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45934</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45934</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45934</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45934</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45934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45934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45934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45934</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34040-2024</t>
        </is>
      </c>
      <c r="B13" s="1" t="n">
        <v>45523</v>
      </c>
      <c r="C13" s="1" t="n">
        <v>45934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45934</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45934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45934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45934</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45934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45934</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45934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4105-2025</t>
        </is>
      </c>
      <c r="B21" s="1" t="n">
        <v>45684</v>
      </c>
      <c r="C21" s="1" t="n">
        <v>45934</v>
      </c>
      <c r="D21" t="inlineStr">
        <is>
          <t>VÄSTMANLANDS LÄN</t>
        </is>
      </c>
      <c r="E21" t="inlineStr">
        <is>
          <t>SURAHAMMAR</t>
        </is>
      </c>
      <c r="F21" t="inlineStr">
        <is>
          <t>Bergvik skog väst AB</t>
        </is>
      </c>
      <c r="G21" t="n">
        <v>14.7</v>
      </c>
      <c r="H21" t="n">
        <v>3</v>
      </c>
      <c r="I21" t="n">
        <v>0</v>
      </c>
      <c r="J21" t="n">
        <v>2</v>
      </c>
      <c r="K21" t="n">
        <v>1</v>
      </c>
      <c r="L21" t="n">
        <v>0</v>
      </c>
      <c r="M21" t="n">
        <v>0</v>
      </c>
      <c r="N21" t="n">
        <v>0</v>
      </c>
      <c r="O21" t="n">
        <v>3</v>
      </c>
      <c r="P21" t="n">
        <v>1</v>
      </c>
      <c r="Q21" t="n">
        <v>4</v>
      </c>
      <c r="R21" s="2" t="inlineStr">
        <is>
          <t>Knärot
Havsörn
Ullticka
Revlummer</t>
        </is>
      </c>
      <c r="S21">
        <f>HYPERLINK("https://klasma.github.io/Logging_1907/artfynd/A 4105-2025 artfynd.xlsx", "A 4105-2025")</f>
        <v/>
      </c>
      <c r="T21">
        <f>HYPERLINK("https://klasma.github.io/Logging_1907/kartor/A 4105-2025 karta.png", "A 4105-2025")</f>
        <v/>
      </c>
      <c r="U21">
        <f>HYPERLINK("https://klasma.github.io/Logging_1907/knärot/A 4105-2025 karta knärot.png", "A 4105-2025")</f>
        <v/>
      </c>
      <c r="V21">
        <f>HYPERLINK("https://klasma.github.io/Logging_1907/klagomål/A 4105-2025 FSC-klagomål.docx", "A 4105-2025")</f>
        <v/>
      </c>
      <c r="W21">
        <f>HYPERLINK("https://klasma.github.io/Logging_1907/klagomålsmail/A 4105-2025 FSC-klagomål mail.docx", "A 4105-2025")</f>
        <v/>
      </c>
      <c r="X21">
        <f>HYPERLINK("https://klasma.github.io/Logging_1907/tillsyn/A 4105-2025 tillsynsbegäran.docx", "A 4105-2025")</f>
        <v/>
      </c>
      <c r="Y21">
        <f>HYPERLINK("https://klasma.github.io/Logging_1907/tillsynsmail/A 4105-2025 tillsynsbegäran mail.docx", "A 4105-2025")</f>
        <v/>
      </c>
      <c r="Z21">
        <f>HYPERLINK("https://klasma.github.io/Logging_1907/fåglar/A 4105-2025 prioriterade fågelarter.docx", "A 4105-2025")</f>
        <v/>
      </c>
    </row>
    <row r="22" ht="15" customHeight="1">
      <c r="A22" t="inlineStr">
        <is>
          <t>A 21716-2025</t>
        </is>
      </c>
      <c r="B22" s="1" t="n">
        <v>45783.54804398148</v>
      </c>
      <c r="C22" s="1" t="n">
        <v>45934</v>
      </c>
      <c r="D22" t="inlineStr">
        <is>
          <t>VÄSTMANLANDS LÄN</t>
        </is>
      </c>
      <c r="E22" t="inlineStr">
        <is>
          <t>SURAHAMMAR</t>
        </is>
      </c>
      <c r="F22" t="inlineStr">
        <is>
          <t>Allmännings- och besparingsskogar</t>
        </is>
      </c>
      <c r="G22" t="n">
        <v>21.1</v>
      </c>
      <c r="H22" t="n">
        <v>3</v>
      </c>
      <c r="I22" t="n">
        <v>1</v>
      </c>
      <c r="J22" t="n">
        <v>2</v>
      </c>
      <c r="K22" t="n">
        <v>1</v>
      </c>
      <c r="L22" t="n">
        <v>0</v>
      </c>
      <c r="M22" t="n">
        <v>0</v>
      </c>
      <c r="N22" t="n">
        <v>0</v>
      </c>
      <c r="O22" t="n">
        <v>3</v>
      </c>
      <c r="P22" t="n">
        <v>1</v>
      </c>
      <c r="Q22" t="n">
        <v>4</v>
      </c>
      <c r="R22" s="2" t="inlineStr">
        <is>
          <t>Knärot
Spillkråka
Talltita
Vedticka</t>
        </is>
      </c>
      <c r="S22">
        <f>HYPERLINK("https://klasma.github.io/Logging_1907/artfynd/A 21716-2025 artfynd.xlsx", "A 21716-2025")</f>
        <v/>
      </c>
      <c r="T22">
        <f>HYPERLINK("https://klasma.github.io/Logging_1907/kartor/A 21716-2025 karta.png", "A 21716-2025")</f>
        <v/>
      </c>
      <c r="U22">
        <f>HYPERLINK("https://klasma.github.io/Logging_1907/knärot/A 21716-2025 karta knärot.png", "A 21716-2025")</f>
        <v/>
      </c>
      <c r="V22">
        <f>HYPERLINK("https://klasma.github.io/Logging_1907/klagomål/A 21716-2025 FSC-klagomål.docx", "A 21716-2025")</f>
        <v/>
      </c>
      <c r="W22">
        <f>HYPERLINK("https://klasma.github.io/Logging_1907/klagomålsmail/A 21716-2025 FSC-klagomål mail.docx", "A 21716-2025")</f>
        <v/>
      </c>
      <c r="X22">
        <f>HYPERLINK("https://klasma.github.io/Logging_1907/tillsyn/A 21716-2025 tillsynsbegäran.docx", "A 21716-2025")</f>
        <v/>
      </c>
      <c r="Y22">
        <f>HYPERLINK("https://klasma.github.io/Logging_1907/tillsynsmail/A 21716-2025 tillsynsbegäran mail.docx", "A 21716-2025")</f>
        <v/>
      </c>
      <c r="Z22">
        <f>HYPERLINK("https://klasma.github.io/Logging_1907/fåglar/A 21716-2025 prioriterade fågelarter.docx", "A 21716-2025")</f>
        <v/>
      </c>
    </row>
    <row r="23" ht="15" customHeight="1">
      <c r="A23" t="inlineStr">
        <is>
          <t>A 25548-2024</t>
        </is>
      </c>
      <c r="B23" s="1" t="n">
        <v>45463</v>
      </c>
      <c r="C23" s="1" t="n">
        <v>45934</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48891-2023</t>
        </is>
      </c>
      <c r="B24" s="1" t="n">
        <v>45203</v>
      </c>
      <c r="C24" s="1" t="n">
        <v>45934</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38172-2024</t>
        </is>
      </c>
      <c r="B25" s="1" t="n">
        <v>45545</v>
      </c>
      <c r="C25" s="1" t="n">
        <v>45934</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45934</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45934</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48128-2023</t>
        </is>
      </c>
      <c r="B28" s="1" t="n">
        <v>45205</v>
      </c>
      <c r="C28" s="1" t="n">
        <v>45934</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49718-2023</t>
        </is>
      </c>
      <c r="B29" s="1" t="n">
        <v>45212</v>
      </c>
      <c r="C29" s="1" t="n">
        <v>45934</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42860-2022</t>
        </is>
      </c>
      <c r="B30" s="1" t="n">
        <v>44832</v>
      </c>
      <c r="C30" s="1" t="n">
        <v>45934</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45934</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8552-2022</t>
        </is>
      </c>
      <c r="B32" s="1" t="n">
        <v>44613</v>
      </c>
      <c r="C32" s="1" t="n">
        <v>45934</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39594-2025</t>
        </is>
      </c>
      <c r="B33" s="1" t="n">
        <v>45890</v>
      </c>
      <c r="C33" s="1" t="n">
        <v>45934</v>
      </c>
      <c r="D33" t="inlineStr">
        <is>
          <t>VÄSTMANLANDS LÄN</t>
        </is>
      </c>
      <c r="E33" t="inlineStr">
        <is>
          <t>SURAHAMMAR</t>
        </is>
      </c>
      <c r="F33" t="inlineStr">
        <is>
          <t>Bergvik skog väst AB</t>
        </is>
      </c>
      <c r="G33" t="n">
        <v>7</v>
      </c>
      <c r="H33" t="n">
        <v>0</v>
      </c>
      <c r="I33" t="n">
        <v>2</v>
      </c>
      <c r="J33" t="n">
        <v>1</v>
      </c>
      <c r="K33" t="n">
        <v>0</v>
      </c>
      <c r="L33" t="n">
        <v>0</v>
      </c>
      <c r="M33" t="n">
        <v>0</v>
      </c>
      <c r="N33" t="n">
        <v>0</v>
      </c>
      <c r="O33" t="n">
        <v>1</v>
      </c>
      <c r="P33" t="n">
        <v>0</v>
      </c>
      <c r="Q33" t="n">
        <v>3</v>
      </c>
      <c r="R33" s="2" t="inlineStr">
        <is>
          <t>Gropticka
Gullgröppa
Vedticka</t>
        </is>
      </c>
      <c r="S33">
        <f>HYPERLINK("https://klasma.github.io/Logging_1907/artfynd/A 39594-2025 artfynd.xlsx", "A 39594-2025")</f>
        <v/>
      </c>
      <c r="T33">
        <f>HYPERLINK("https://klasma.github.io/Logging_1907/kartor/A 39594-2025 karta.png", "A 39594-2025")</f>
        <v/>
      </c>
      <c r="V33">
        <f>HYPERLINK("https://klasma.github.io/Logging_1907/klagomål/A 39594-2025 FSC-klagomål.docx", "A 39594-2025")</f>
        <v/>
      </c>
      <c r="W33">
        <f>HYPERLINK("https://klasma.github.io/Logging_1907/klagomålsmail/A 39594-2025 FSC-klagomål mail.docx", "A 39594-2025")</f>
        <v/>
      </c>
      <c r="X33">
        <f>HYPERLINK("https://klasma.github.io/Logging_1907/tillsyn/A 39594-2025 tillsynsbegäran.docx", "A 39594-2025")</f>
        <v/>
      </c>
      <c r="Y33">
        <f>HYPERLINK("https://klasma.github.io/Logging_1907/tillsynsmail/A 39594-2025 tillsynsbegäran mail.docx", "A 39594-2025")</f>
        <v/>
      </c>
    </row>
    <row r="34" ht="15" customHeight="1">
      <c r="A34" t="inlineStr">
        <is>
          <t>A 20391-2024</t>
        </is>
      </c>
      <c r="B34" s="1" t="n">
        <v>45435</v>
      </c>
      <c r="C34" s="1" t="n">
        <v>45934</v>
      </c>
      <c r="D34" t="inlineStr">
        <is>
          <t>VÄSTMANLANDS LÄN</t>
        </is>
      </c>
      <c r="E34" t="inlineStr">
        <is>
          <t>SURAHAMMAR</t>
        </is>
      </c>
      <c r="G34" t="n">
        <v>1.5</v>
      </c>
      <c r="H34" t="n">
        <v>0</v>
      </c>
      <c r="I34" t="n">
        <v>2</v>
      </c>
      <c r="J34" t="n">
        <v>1</v>
      </c>
      <c r="K34" t="n">
        <v>0</v>
      </c>
      <c r="L34" t="n">
        <v>0</v>
      </c>
      <c r="M34" t="n">
        <v>0</v>
      </c>
      <c r="N34" t="n">
        <v>0</v>
      </c>
      <c r="O34" t="n">
        <v>1</v>
      </c>
      <c r="P34" t="n">
        <v>0</v>
      </c>
      <c r="Q34" t="n">
        <v>3</v>
      </c>
      <c r="R34" s="2" t="inlineStr">
        <is>
          <t>Vedtrappmossa
Kattfotslav
Stubbspretmossa</t>
        </is>
      </c>
      <c r="S34">
        <f>HYPERLINK("https://klasma.github.io/Logging_1907/artfynd/A 20391-2024 artfynd.xlsx", "A 20391-2024")</f>
        <v/>
      </c>
      <c r="T34">
        <f>HYPERLINK("https://klasma.github.io/Logging_1907/kartor/A 20391-2024 karta.png", "A 20391-2024")</f>
        <v/>
      </c>
      <c r="V34">
        <f>HYPERLINK("https://klasma.github.io/Logging_1907/klagomål/A 20391-2024 FSC-klagomål.docx", "A 20391-2024")</f>
        <v/>
      </c>
      <c r="W34">
        <f>HYPERLINK("https://klasma.github.io/Logging_1907/klagomålsmail/A 20391-2024 FSC-klagomål mail.docx", "A 20391-2024")</f>
        <v/>
      </c>
      <c r="X34">
        <f>HYPERLINK("https://klasma.github.io/Logging_1907/tillsyn/A 20391-2024 tillsynsbegäran.docx", "A 20391-2024")</f>
        <v/>
      </c>
      <c r="Y34">
        <f>HYPERLINK("https://klasma.github.io/Logging_1907/tillsynsmail/A 20391-2024 tillsynsbegäran mail.docx", "A 20391-2024")</f>
        <v/>
      </c>
    </row>
    <row r="35" ht="15" customHeight="1">
      <c r="A35" t="inlineStr">
        <is>
          <t>A 42853-2022</t>
        </is>
      </c>
      <c r="B35" s="1" t="n">
        <v>44832</v>
      </c>
      <c r="C35" s="1" t="n">
        <v>45934</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29707-2025</t>
        </is>
      </c>
      <c r="B36" s="1" t="n">
        <v>45825.56100694444</v>
      </c>
      <c r="C36" s="1" t="n">
        <v>45934</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38200-2021</t>
        </is>
      </c>
      <c r="B37" s="1" t="n">
        <v>44405</v>
      </c>
      <c r="C37" s="1" t="n">
        <v>45934</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45934</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45934</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21618-2025</t>
        </is>
      </c>
      <c r="B40" s="1" t="n">
        <v>45783</v>
      </c>
      <c r="C40" s="1" t="n">
        <v>45934</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37800-2021</t>
        </is>
      </c>
      <c r="B41" s="1" t="n">
        <v>44402</v>
      </c>
      <c r="C41" s="1" t="n">
        <v>45934</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4082-2025</t>
        </is>
      </c>
      <c r="B42" s="1" t="n">
        <v>45684</v>
      </c>
      <c r="C42" s="1" t="n">
        <v>45934</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41204-2023</t>
        </is>
      </c>
      <c r="B43" s="1" t="n">
        <v>45174</v>
      </c>
      <c r="C43" s="1" t="n">
        <v>45934</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38170-2021</t>
        </is>
      </c>
      <c r="B44" s="1" t="n">
        <v>44405.43472222222</v>
      </c>
      <c r="C44" s="1" t="n">
        <v>45934</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45934</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45934</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30074-2023</t>
        </is>
      </c>
      <c r="B47" s="1" t="n">
        <v>45110</v>
      </c>
      <c r="C47" s="1" t="n">
        <v>45934</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39099-2022</t>
        </is>
      </c>
      <c r="B48" s="1" t="n">
        <v>44817</v>
      </c>
      <c r="C48" s="1" t="n">
        <v>45934</v>
      </c>
      <c r="D48" t="inlineStr">
        <is>
          <t>VÄSTMANLANDS LÄN</t>
        </is>
      </c>
      <c r="E48" t="inlineStr">
        <is>
          <t>SURAHAMMAR</t>
        </is>
      </c>
      <c r="F48" t="inlineStr">
        <is>
          <t>Bergvik skog väst AB</t>
        </is>
      </c>
      <c r="G48" t="n">
        <v>7.4</v>
      </c>
      <c r="H48" t="n">
        <v>0</v>
      </c>
      <c r="I48" t="n">
        <v>1</v>
      </c>
      <c r="J48" t="n">
        <v>0</v>
      </c>
      <c r="K48" t="n">
        <v>0</v>
      </c>
      <c r="L48" t="n">
        <v>0</v>
      </c>
      <c r="M48" t="n">
        <v>0</v>
      </c>
      <c r="N48" t="n">
        <v>0</v>
      </c>
      <c r="O48" t="n">
        <v>0</v>
      </c>
      <c r="P48" t="n">
        <v>0</v>
      </c>
      <c r="Q48" t="n">
        <v>1</v>
      </c>
      <c r="R48" s="2" t="inlineStr">
        <is>
          <t>Stekelbock</t>
        </is>
      </c>
      <c r="S48">
        <f>HYPERLINK("https://klasma.github.io/Logging_1907/artfynd/A 39099-2022 artfynd.xlsx", "A 39099-2022")</f>
        <v/>
      </c>
      <c r="T48">
        <f>HYPERLINK("https://klasma.github.io/Logging_1907/kartor/A 39099-2022 karta.png", "A 39099-2022")</f>
        <v/>
      </c>
      <c r="V48">
        <f>HYPERLINK("https://klasma.github.io/Logging_1907/klagomål/A 39099-2022 FSC-klagomål.docx", "A 39099-2022")</f>
        <v/>
      </c>
      <c r="W48">
        <f>HYPERLINK("https://klasma.github.io/Logging_1907/klagomålsmail/A 39099-2022 FSC-klagomål mail.docx", "A 39099-2022")</f>
        <v/>
      </c>
      <c r="X48">
        <f>HYPERLINK("https://klasma.github.io/Logging_1907/tillsyn/A 39099-2022 tillsynsbegäran.docx", "A 39099-2022")</f>
        <v/>
      </c>
      <c r="Y48">
        <f>HYPERLINK("https://klasma.github.io/Logging_1907/tillsynsmail/A 39099-2022 tillsynsbegäran mail.docx", "A 39099-2022")</f>
        <v/>
      </c>
    </row>
    <row r="49" ht="15" customHeight="1">
      <c r="A49" t="inlineStr">
        <is>
          <t>A 40411-2021</t>
        </is>
      </c>
      <c r="B49" s="1" t="n">
        <v>44419</v>
      </c>
      <c r="C49" s="1" t="n">
        <v>45934</v>
      </c>
      <c r="D49" t="inlineStr">
        <is>
          <t>VÄSTMANLANDS LÄN</t>
        </is>
      </c>
      <c r="E49" t="inlineStr">
        <is>
          <t>SURAHAMMAR</t>
        </is>
      </c>
      <c r="F49" t="inlineStr">
        <is>
          <t>Sveaskog</t>
        </is>
      </c>
      <c r="G49" t="n">
        <v>2.4</v>
      </c>
      <c r="H49" t="n">
        <v>1</v>
      </c>
      <c r="I49" t="n">
        <v>0</v>
      </c>
      <c r="J49" t="n">
        <v>0</v>
      </c>
      <c r="K49" t="n">
        <v>0</v>
      </c>
      <c r="L49" t="n">
        <v>0</v>
      </c>
      <c r="M49" t="n">
        <v>0</v>
      </c>
      <c r="N49" t="n">
        <v>0</v>
      </c>
      <c r="O49" t="n">
        <v>0</v>
      </c>
      <c r="P49" t="n">
        <v>0</v>
      </c>
      <c r="Q49" t="n">
        <v>1</v>
      </c>
      <c r="R49" s="2" t="inlineStr">
        <is>
          <t>Kopparödla</t>
        </is>
      </c>
      <c r="S49">
        <f>HYPERLINK("https://klasma.github.io/Logging_1907/artfynd/A 40411-2021 artfynd.xlsx", "A 40411-2021")</f>
        <v/>
      </c>
      <c r="T49">
        <f>HYPERLINK("https://klasma.github.io/Logging_1907/kartor/A 40411-2021 karta.png", "A 40411-2021")</f>
        <v/>
      </c>
      <c r="V49">
        <f>HYPERLINK("https://klasma.github.io/Logging_1907/klagomål/A 40411-2021 FSC-klagomål.docx", "A 40411-2021")</f>
        <v/>
      </c>
      <c r="W49">
        <f>HYPERLINK("https://klasma.github.io/Logging_1907/klagomålsmail/A 40411-2021 FSC-klagomål mail.docx", "A 40411-2021")</f>
        <v/>
      </c>
      <c r="X49">
        <f>HYPERLINK("https://klasma.github.io/Logging_1907/tillsyn/A 40411-2021 tillsynsbegäran.docx", "A 40411-2021")</f>
        <v/>
      </c>
      <c r="Y49">
        <f>HYPERLINK("https://klasma.github.io/Logging_1907/tillsynsmail/A 40411-2021 tillsynsbegäran mail.docx", "A 40411-2021")</f>
        <v/>
      </c>
    </row>
    <row r="50" ht="15" customHeight="1">
      <c r="A50" t="inlineStr">
        <is>
          <t>A 42765-2022</t>
        </is>
      </c>
      <c r="B50" s="1" t="n">
        <v>44832</v>
      </c>
      <c r="C50" s="1" t="n">
        <v>45934</v>
      </c>
      <c r="D50" t="inlineStr">
        <is>
          <t>VÄSTMANLANDS LÄN</t>
        </is>
      </c>
      <c r="E50" t="inlineStr">
        <is>
          <t>SURAHAMMAR</t>
        </is>
      </c>
      <c r="G50" t="n">
        <v>1.8</v>
      </c>
      <c r="H50" t="n">
        <v>1</v>
      </c>
      <c r="I50" t="n">
        <v>0</v>
      </c>
      <c r="J50" t="n">
        <v>0</v>
      </c>
      <c r="K50" t="n">
        <v>0</v>
      </c>
      <c r="L50" t="n">
        <v>0</v>
      </c>
      <c r="M50" t="n">
        <v>0</v>
      </c>
      <c r="N50" t="n">
        <v>0</v>
      </c>
      <c r="O50" t="n">
        <v>0</v>
      </c>
      <c r="P50" t="n">
        <v>0</v>
      </c>
      <c r="Q50" t="n">
        <v>1</v>
      </c>
      <c r="R50" s="2" t="inlineStr">
        <is>
          <t>Blåsippa</t>
        </is>
      </c>
      <c r="S50">
        <f>HYPERLINK("https://klasma.github.io/Logging_1907/artfynd/A 42765-2022 artfynd.xlsx", "A 42765-2022")</f>
        <v/>
      </c>
      <c r="T50">
        <f>HYPERLINK("https://klasma.github.io/Logging_1907/kartor/A 42765-2022 karta.png", "A 42765-2022")</f>
        <v/>
      </c>
      <c r="V50">
        <f>HYPERLINK("https://klasma.github.io/Logging_1907/klagomål/A 42765-2022 FSC-klagomål.docx", "A 42765-2022")</f>
        <v/>
      </c>
      <c r="W50">
        <f>HYPERLINK("https://klasma.github.io/Logging_1907/klagomålsmail/A 42765-2022 FSC-klagomål mail.docx", "A 42765-2022")</f>
        <v/>
      </c>
      <c r="X50">
        <f>HYPERLINK("https://klasma.github.io/Logging_1907/tillsyn/A 42765-2022 tillsynsbegäran.docx", "A 42765-2022")</f>
        <v/>
      </c>
      <c r="Y50">
        <f>HYPERLINK("https://klasma.github.io/Logging_1907/tillsynsmail/A 42765-2022 tillsynsbegäran mail.docx", "A 42765-2022")</f>
        <v/>
      </c>
    </row>
    <row r="51" ht="15" customHeight="1">
      <c r="A51" t="inlineStr">
        <is>
          <t>A 10819-2024</t>
        </is>
      </c>
      <c r="B51" s="1" t="n">
        <v>45369.66049768519</v>
      </c>
      <c r="C51" s="1" t="n">
        <v>45934</v>
      </c>
      <c r="D51" t="inlineStr">
        <is>
          <t>VÄSTMANLANDS LÄN</t>
        </is>
      </c>
      <c r="E51" t="inlineStr">
        <is>
          <t>SURAHAMMAR</t>
        </is>
      </c>
      <c r="G51" t="n">
        <v>2</v>
      </c>
      <c r="H51" t="n">
        <v>0</v>
      </c>
      <c r="I51" t="n">
        <v>1</v>
      </c>
      <c r="J51" t="n">
        <v>0</v>
      </c>
      <c r="K51" t="n">
        <v>0</v>
      </c>
      <c r="L51" t="n">
        <v>0</v>
      </c>
      <c r="M51" t="n">
        <v>0</v>
      </c>
      <c r="N51" t="n">
        <v>0</v>
      </c>
      <c r="O51" t="n">
        <v>0</v>
      </c>
      <c r="P51" t="n">
        <v>0</v>
      </c>
      <c r="Q51" t="n">
        <v>1</v>
      </c>
      <c r="R51" s="2" t="inlineStr">
        <is>
          <t>Tibast</t>
        </is>
      </c>
      <c r="S51">
        <f>HYPERLINK("https://klasma.github.io/Logging_1907/artfynd/A 10819-2024 artfynd.xlsx", "A 10819-2024")</f>
        <v/>
      </c>
      <c r="T51">
        <f>HYPERLINK("https://klasma.github.io/Logging_1907/kartor/A 10819-2024 karta.png", "A 10819-2024")</f>
        <v/>
      </c>
      <c r="V51">
        <f>HYPERLINK("https://klasma.github.io/Logging_1907/klagomål/A 10819-2024 FSC-klagomål.docx", "A 10819-2024")</f>
        <v/>
      </c>
      <c r="W51">
        <f>HYPERLINK("https://klasma.github.io/Logging_1907/klagomålsmail/A 10819-2024 FSC-klagomål mail.docx", "A 10819-2024")</f>
        <v/>
      </c>
      <c r="X51">
        <f>HYPERLINK("https://klasma.github.io/Logging_1907/tillsyn/A 10819-2024 tillsynsbegäran.docx", "A 10819-2024")</f>
        <v/>
      </c>
      <c r="Y51">
        <f>HYPERLINK("https://klasma.github.io/Logging_1907/tillsynsmail/A 10819-2024 tillsynsbegäran mail.docx", "A 10819-2024")</f>
        <v/>
      </c>
    </row>
    <row r="52" ht="15" customHeight="1">
      <c r="A52" t="inlineStr">
        <is>
          <t>A 13971-2023</t>
        </is>
      </c>
      <c r="B52" s="1" t="n">
        <v>45007</v>
      </c>
      <c r="C52" s="1" t="n">
        <v>45934</v>
      </c>
      <c r="D52" t="inlineStr">
        <is>
          <t>VÄSTMANLANDS LÄN</t>
        </is>
      </c>
      <c r="E52" t="inlineStr">
        <is>
          <t>SURAHAMMAR</t>
        </is>
      </c>
      <c r="F52" t="inlineStr">
        <is>
          <t>Bergvik skog väst AB</t>
        </is>
      </c>
      <c r="G52" t="n">
        <v>2.9</v>
      </c>
      <c r="H52" t="n">
        <v>1</v>
      </c>
      <c r="I52" t="n">
        <v>0</v>
      </c>
      <c r="J52" t="n">
        <v>0</v>
      </c>
      <c r="K52" t="n">
        <v>0</v>
      </c>
      <c r="L52" t="n">
        <v>0</v>
      </c>
      <c r="M52" t="n">
        <v>0</v>
      </c>
      <c r="N52" t="n">
        <v>0</v>
      </c>
      <c r="O52" t="n">
        <v>0</v>
      </c>
      <c r="P52" t="n">
        <v>0</v>
      </c>
      <c r="Q52" t="n">
        <v>1</v>
      </c>
      <c r="R52" s="2" t="inlineStr">
        <is>
          <t>Fläcknycklar</t>
        </is>
      </c>
      <c r="S52">
        <f>HYPERLINK("https://klasma.github.io/Logging_1907/artfynd/A 13971-2023 artfynd.xlsx", "A 13971-2023")</f>
        <v/>
      </c>
      <c r="T52">
        <f>HYPERLINK("https://klasma.github.io/Logging_1907/kartor/A 13971-2023 karta.png", "A 13971-2023")</f>
        <v/>
      </c>
      <c r="V52">
        <f>HYPERLINK("https://klasma.github.io/Logging_1907/klagomål/A 13971-2023 FSC-klagomål.docx", "A 13971-2023")</f>
        <v/>
      </c>
      <c r="W52">
        <f>HYPERLINK("https://klasma.github.io/Logging_1907/klagomålsmail/A 13971-2023 FSC-klagomål mail.docx", "A 13971-2023")</f>
        <v/>
      </c>
      <c r="X52">
        <f>HYPERLINK("https://klasma.github.io/Logging_1907/tillsyn/A 13971-2023 tillsynsbegäran.docx", "A 13971-2023")</f>
        <v/>
      </c>
      <c r="Y52">
        <f>HYPERLINK("https://klasma.github.io/Logging_1907/tillsynsmail/A 13971-2023 tillsynsbegäran mail.docx", "A 13971-2023")</f>
        <v/>
      </c>
    </row>
    <row r="53" ht="15" customHeight="1">
      <c r="A53" t="inlineStr">
        <is>
          <t>A 31176-2024</t>
        </is>
      </c>
      <c r="B53" s="1" t="n">
        <v>45503</v>
      </c>
      <c r="C53" s="1" t="n">
        <v>45934</v>
      </c>
      <c r="D53" t="inlineStr">
        <is>
          <t>VÄSTMANLANDS LÄN</t>
        </is>
      </c>
      <c r="E53" t="inlineStr">
        <is>
          <t>SURAHAMMAR</t>
        </is>
      </c>
      <c r="F53" t="inlineStr">
        <is>
          <t>Allmännings- och besparingsskogar</t>
        </is>
      </c>
      <c r="G53" t="n">
        <v>10.7</v>
      </c>
      <c r="H53" t="n">
        <v>0</v>
      </c>
      <c r="I53" t="n">
        <v>0</v>
      </c>
      <c r="J53" t="n">
        <v>1</v>
      </c>
      <c r="K53" t="n">
        <v>0</v>
      </c>
      <c r="L53" t="n">
        <v>0</v>
      </c>
      <c r="M53" t="n">
        <v>0</v>
      </c>
      <c r="N53" t="n">
        <v>0</v>
      </c>
      <c r="O53" t="n">
        <v>1</v>
      </c>
      <c r="P53" t="n">
        <v>0</v>
      </c>
      <c r="Q53" t="n">
        <v>1</v>
      </c>
      <c r="R53" s="2" t="inlineStr">
        <is>
          <t>Doftskinn</t>
        </is>
      </c>
      <c r="S53">
        <f>HYPERLINK("https://klasma.github.io/Logging_1907/artfynd/A 31176-2024 artfynd.xlsx", "A 31176-2024")</f>
        <v/>
      </c>
      <c r="T53">
        <f>HYPERLINK("https://klasma.github.io/Logging_1907/kartor/A 31176-2024 karta.png", "A 31176-2024")</f>
        <v/>
      </c>
      <c r="V53">
        <f>HYPERLINK("https://klasma.github.io/Logging_1907/klagomål/A 31176-2024 FSC-klagomål.docx", "A 31176-2024")</f>
        <v/>
      </c>
      <c r="W53">
        <f>HYPERLINK("https://klasma.github.io/Logging_1907/klagomålsmail/A 31176-2024 FSC-klagomål mail.docx", "A 31176-2024")</f>
        <v/>
      </c>
      <c r="X53">
        <f>HYPERLINK("https://klasma.github.io/Logging_1907/tillsyn/A 31176-2024 tillsynsbegäran.docx", "A 31176-2024")</f>
        <v/>
      </c>
      <c r="Y53">
        <f>HYPERLINK("https://klasma.github.io/Logging_1907/tillsynsmail/A 31176-2024 tillsynsbegäran mail.docx", "A 31176-2024")</f>
        <v/>
      </c>
    </row>
    <row r="54" ht="15" customHeight="1">
      <c r="A54" t="inlineStr">
        <is>
          <t>A 56362-2023</t>
        </is>
      </c>
      <c r="B54" s="1" t="n">
        <v>45236</v>
      </c>
      <c r="C54" s="1" t="n">
        <v>45934</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69777-2021</t>
        </is>
      </c>
      <c r="B55" s="1" t="n">
        <v>44532</v>
      </c>
      <c r="C55" s="1" t="n">
        <v>45934</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47453-2024</t>
        </is>
      </c>
      <c r="B56" s="1" t="n">
        <v>45587.55017361111</v>
      </c>
      <c r="C56" s="1" t="n">
        <v>45934</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17632-2022</t>
        </is>
      </c>
      <c r="B57" s="1" t="n">
        <v>44680</v>
      </c>
      <c r="C57" s="1" t="n">
        <v>45934</v>
      </c>
      <c r="D57" t="inlineStr">
        <is>
          <t>VÄSTMANLANDS LÄN</t>
        </is>
      </c>
      <c r="E57" t="inlineStr">
        <is>
          <t>SURAHAMMAR</t>
        </is>
      </c>
      <c r="G57" t="n">
        <v>5.2</v>
      </c>
      <c r="H57" t="n">
        <v>0</v>
      </c>
      <c r="I57" t="n">
        <v>1</v>
      </c>
      <c r="J57" t="n">
        <v>0</v>
      </c>
      <c r="K57" t="n">
        <v>0</v>
      </c>
      <c r="L57" t="n">
        <v>0</v>
      </c>
      <c r="M57" t="n">
        <v>0</v>
      </c>
      <c r="N57" t="n">
        <v>0</v>
      </c>
      <c r="O57" t="n">
        <v>0</v>
      </c>
      <c r="P57" t="n">
        <v>0</v>
      </c>
      <c r="Q57" t="n">
        <v>1</v>
      </c>
      <c r="R57" s="2" t="inlineStr">
        <is>
          <t>Blodticka</t>
        </is>
      </c>
      <c r="S57">
        <f>HYPERLINK("https://klasma.github.io/Logging_1907/artfynd/A 17632-2022 artfynd.xlsx", "A 17632-2022")</f>
        <v/>
      </c>
      <c r="T57">
        <f>HYPERLINK("https://klasma.github.io/Logging_1907/kartor/A 17632-2022 karta.png", "A 17632-2022")</f>
        <v/>
      </c>
      <c r="V57">
        <f>HYPERLINK("https://klasma.github.io/Logging_1907/klagomål/A 17632-2022 FSC-klagomål.docx", "A 17632-2022")</f>
        <v/>
      </c>
      <c r="W57">
        <f>HYPERLINK("https://klasma.github.io/Logging_1907/klagomålsmail/A 17632-2022 FSC-klagomål mail.docx", "A 17632-2022")</f>
        <v/>
      </c>
      <c r="X57">
        <f>HYPERLINK("https://klasma.github.io/Logging_1907/tillsyn/A 17632-2022 tillsynsbegäran.docx", "A 17632-2022")</f>
        <v/>
      </c>
      <c r="Y57">
        <f>HYPERLINK("https://klasma.github.io/Logging_1907/tillsynsmail/A 17632-2022 tillsynsbegäran mail.docx", "A 17632-2022")</f>
        <v/>
      </c>
    </row>
    <row r="58" ht="15" customHeight="1">
      <c r="A58" t="inlineStr">
        <is>
          <t>A 25583-2024</t>
        </is>
      </c>
      <c r="B58" s="1" t="n">
        <v>45463</v>
      </c>
      <c r="C58" s="1" t="n">
        <v>45934</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43451-2024</t>
        </is>
      </c>
      <c r="B59" s="1" t="n">
        <v>45568</v>
      </c>
      <c r="C59" s="1" t="n">
        <v>45934</v>
      </c>
      <c r="D59" t="inlineStr">
        <is>
          <t>VÄSTMANLANDS LÄN</t>
        </is>
      </c>
      <c r="E59" t="inlineStr">
        <is>
          <t>SURAHAMMAR</t>
        </is>
      </c>
      <c r="F59" t="inlineStr">
        <is>
          <t>Bergvik skog väst AB</t>
        </is>
      </c>
      <c r="G59" t="n">
        <v>2.9</v>
      </c>
      <c r="H59" t="n">
        <v>0</v>
      </c>
      <c r="I59" t="n">
        <v>0</v>
      </c>
      <c r="J59" t="n">
        <v>1</v>
      </c>
      <c r="K59" t="n">
        <v>0</v>
      </c>
      <c r="L59" t="n">
        <v>0</v>
      </c>
      <c r="M59" t="n">
        <v>0</v>
      </c>
      <c r="N59" t="n">
        <v>0</v>
      </c>
      <c r="O59" t="n">
        <v>1</v>
      </c>
      <c r="P59" t="n">
        <v>0</v>
      </c>
      <c r="Q59" t="n">
        <v>1</v>
      </c>
      <c r="R59" s="2" t="inlineStr">
        <is>
          <t>Ullticka</t>
        </is>
      </c>
      <c r="S59">
        <f>HYPERLINK("https://klasma.github.io/Logging_1907/artfynd/A 43451-2024 artfynd.xlsx", "A 43451-2024")</f>
        <v/>
      </c>
      <c r="T59">
        <f>HYPERLINK("https://klasma.github.io/Logging_1907/kartor/A 43451-2024 karta.png", "A 43451-2024")</f>
        <v/>
      </c>
      <c r="V59">
        <f>HYPERLINK("https://klasma.github.io/Logging_1907/klagomål/A 43451-2024 FSC-klagomål.docx", "A 43451-2024")</f>
        <v/>
      </c>
      <c r="W59">
        <f>HYPERLINK("https://klasma.github.io/Logging_1907/klagomålsmail/A 43451-2024 FSC-klagomål mail.docx", "A 43451-2024")</f>
        <v/>
      </c>
      <c r="X59">
        <f>HYPERLINK("https://klasma.github.io/Logging_1907/tillsyn/A 43451-2024 tillsynsbegäran.docx", "A 43451-2024")</f>
        <v/>
      </c>
      <c r="Y59">
        <f>HYPERLINK("https://klasma.github.io/Logging_1907/tillsynsmail/A 43451-2024 tillsynsbegäran mail.docx", "A 43451-2024")</f>
        <v/>
      </c>
    </row>
    <row r="60" ht="15" customHeight="1">
      <c r="A60" t="inlineStr">
        <is>
          <t>A 62097-2024</t>
        </is>
      </c>
      <c r="B60" s="1" t="n">
        <v>45646</v>
      </c>
      <c r="C60" s="1" t="n">
        <v>45934</v>
      </c>
      <c r="D60" t="inlineStr">
        <is>
          <t>VÄSTMANLANDS LÄN</t>
        </is>
      </c>
      <c r="E60" t="inlineStr">
        <is>
          <t>SURAHAMMAR</t>
        </is>
      </c>
      <c r="F60" t="inlineStr">
        <is>
          <t>Bergvik skog väst AB</t>
        </is>
      </c>
      <c r="G60" t="n">
        <v>21.7</v>
      </c>
      <c r="H60" t="n">
        <v>1</v>
      </c>
      <c r="I60" t="n">
        <v>0</v>
      </c>
      <c r="J60" t="n">
        <v>0</v>
      </c>
      <c r="K60" t="n">
        <v>0</v>
      </c>
      <c r="L60" t="n">
        <v>0</v>
      </c>
      <c r="M60" t="n">
        <v>0</v>
      </c>
      <c r="N60" t="n">
        <v>0</v>
      </c>
      <c r="O60" t="n">
        <v>0</v>
      </c>
      <c r="P60" t="n">
        <v>0</v>
      </c>
      <c r="Q60" t="n">
        <v>1</v>
      </c>
      <c r="R60" s="2" t="inlineStr">
        <is>
          <t>Revlummer</t>
        </is>
      </c>
      <c r="S60">
        <f>HYPERLINK("https://klasma.github.io/Logging_1907/artfynd/A 62097-2024 artfynd.xlsx", "A 62097-2024")</f>
        <v/>
      </c>
      <c r="T60">
        <f>HYPERLINK("https://klasma.github.io/Logging_1907/kartor/A 62097-2024 karta.png", "A 62097-2024")</f>
        <v/>
      </c>
      <c r="V60">
        <f>HYPERLINK("https://klasma.github.io/Logging_1907/klagomål/A 62097-2024 FSC-klagomål.docx", "A 62097-2024")</f>
        <v/>
      </c>
      <c r="W60">
        <f>HYPERLINK("https://klasma.github.io/Logging_1907/klagomålsmail/A 62097-2024 FSC-klagomål mail.docx", "A 62097-2024")</f>
        <v/>
      </c>
      <c r="X60">
        <f>HYPERLINK("https://klasma.github.io/Logging_1907/tillsyn/A 62097-2024 tillsynsbegäran.docx", "A 62097-2024")</f>
        <v/>
      </c>
      <c r="Y60">
        <f>HYPERLINK("https://klasma.github.io/Logging_1907/tillsynsmail/A 62097-2024 tillsynsbegäran mail.docx", "A 62097-2024")</f>
        <v/>
      </c>
    </row>
    <row r="61" ht="15" customHeight="1">
      <c r="A61" t="inlineStr">
        <is>
          <t>A 39694-2025</t>
        </is>
      </c>
      <c r="B61" s="1" t="n">
        <v>45890</v>
      </c>
      <c r="C61" s="1" t="n">
        <v>45934</v>
      </c>
      <c r="D61" t="inlineStr">
        <is>
          <t>VÄSTMANLANDS LÄN</t>
        </is>
      </c>
      <c r="E61" t="inlineStr">
        <is>
          <t>SURAHAMMAR</t>
        </is>
      </c>
      <c r="F61" t="inlineStr">
        <is>
          <t>Bergvik skog väst AB</t>
        </is>
      </c>
      <c r="G61" t="n">
        <v>2.9</v>
      </c>
      <c r="H61" t="n">
        <v>0</v>
      </c>
      <c r="I61" t="n">
        <v>1</v>
      </c>
      <c r="J61" t="n">
        <v>0</v>
      </c>
      <c r="K61" t="n">
        <v>0</v>
      </c>
      <c r="L61" t="n">
        <v>0</v>
      </c>
      <c r="M61" t="n">
        <v>0</v>
      </c>
      <c r="N61" t="n">
        <v>0</v>
      </c>
      <c r="O61" t="n">
        <v>0</v>
      </c>
      <c r="P61" t="n">
        <v>0</v>
      </c>
      <c r="Q61" t="n">
        <v>1</v>
      </c>
      <c r="R61" s="2" t="inlineStr">
        <is>
          <t>Mindre märgborre</t>
        </is>
      </c>
      <c r="S61">
        <f>HYPERLINK("https://klasma.github.io/Logging_1907/artfynd/A 39694-2025 artfynd.xlsx", "A 39694-2025")</f>
        <v/>
      </c>
      <c r="T61">
        <f>HYPERLINK("https://klasma.github.io/Logging_1907/kartor/A 39694-2025 karta.png", "A 39694-2025")</f>
        <v/>
      </c>
      <c r="V61">
        <f>HYPERLINK("https://klasma.github.io/Logging_1907/klagomål/A 39694-2025 FSC-klagomål.docx", "A 39694-2025")</f>
        <v/>
      </c>
      <c r="W61">
        <f>HYPERLINK("https://klasma.github.io/Logging_1907/klagomålsmail/A 39694-2025 FSC-klagomål mail.docx", "A 39694-2025")</f>
        <v/>
      </c>
      <c r="X61">
        <f>HYPERLINK("https://klasma.github.io/Logging_1907/tillsyn/A 39694-2025 tillsynsbegäran.docx", "A 39694-2025")</f>
        <v/>
      </c>
      <c r="Y61">
        <f>HYPERLINK("https://klasma.github.io/Logging_1907/tillsynsmail/A 39694-2025 tillsynsbegäran mail.docx", "A 39694-2025")</f>
        <v/>
      </c>
    </row>
    <row r="62" ht="15" customHeight="1">
      <c r="A62" t="inlineStr">
        <is>
          <t>A 13788-2025</t>
        </is>
      </c>
      <c r="B62" s="1" t="n">
        <v>45737.45327546296</v>
      </c>
      <c r="C62" s="1" t="n">
        <v>45934</v>
      </c>
      <c r="D62" t="inlineStr">
        <is>
          <t>VÄSTMANLANDS LÄN</t>
        </is>
      </c>
      <c r="E62" t="inlineStr">
        <is>
          <t>SURAHAMMAR</t>
        </is>
      </c>
      <c r="G62" t="n">
        <v>9.699999999999999</v>
      </c>
      <c r="H62" t="n">
        <v>1</v>
      </c>
      <c r="I62" t="n">
        <v>0</v>
      </c>
      <c r="J62" t="n">
        <v>0</v>
      </c>
      <c r="K62" t="n">
        <v>0</v>
      </c>
      <c r="L62" t="n">
        <v>0</v>
      </c>
      <c r="M62" t="n">
        <v>0</v>
      </c>
      <c r="N62" t="n">
        <v>0</v>
      </c>
      <c r="O62" t="n">
        <v>0</v>
      </c>
      <c r="P62" t="n">
        <v>0</v>
      </c>
      <c r="Q62" t="n">
        <v>1</v>
      </c>
      <c r="R62" s="2" t="inlineStr">
        <is>
          <t>Sparvuggla</t>
        </is>
      </c>
      <c r="S62">
        <f>HYPERLINK("https://klasma.github.io/Logging_1907/artfynd/A 13788-2025 artfynd.xlsx", "A 13788-2025")</f>
        <v/>
      </c>
      <c r="T62">
        <f>HYPERLINK("https://klasma.github.io/Logging_1907/kartor/A 13788-2025 karta.png", "A 13788-2025")</f>
        <v/>
      </c>
      <c r="V62">
        <f>HYPERLINK("https://klasma.github.io/Logging_1907/klagomål/A 13788-2025 FSC-klagomål.docx", "A 13788-2025")</f>
        <v/>
      </c>
      <c r="W62">
        <f>HYPERLINK("https://klasma.github.io/Logging_1907/klagomålsmail/A 13788-2025 FSC-klagomål mail.docx", "A 13788-2025")</f>
        <v/>
      </c>
      <c r="X62">
        <f>HYPERLINK("https://klasma.github.io/Logging_1907/tillsyn/A 13788-2025 tillsynsbegäran.docx", "A 13788-2025")</f>
        <v/>
      </c>
      <c r="Y62">
        <f>HYPERLINK("https://klasma.github.io/Logging_1907/tillsynsmail/A 13788-2025 tillsynsbegäran mail.docx", "A 13788-2025")</f>
        <v/>
      </c>
      <c r="Z62">
        <f>HYPERLINK("https://klasma.github.io/Logging_1907/fåglar/A 13788-2025 prioriterade fågelarter.docx", "A 13788-2025")</f>
        <v/>
      </c>
    </row>
    <row r="63" ht="15" customHeight="1">
      <c r="A63" t="inlineStr">
        <is>
          <t>A 44356-2024</t>
        </is>
      </c>
      <c r="B63" s="1" t="n">
        <v>45573</v>
      </c>
      <c r="C63" s="1" t="n">
        <v>45934</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45934</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45934</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40403-2025</t>
        </is>
      </c>
      <c r="B66" s="1" t="n">
        <v>45895</v>
      </c>
      <c r="C66" s="1" t="n">
        <v>45934</v>
      </c>
      <c r="D66" t="inlineStr">
        <is>
          <t>VÄSTMANLANDS LÄN</t>
        </is>
      </c>
      <c r="E66" t="inlineStr">
        <is>
          <t>SURAHAMMAR</t>
        </is>
      </c>
      <c r="F66" t="inlineStr">
        <is>
          <t>Kommuner</t>
        </is>
      </c>
      <c r="G66" t="n">
        <v>3.9</v>
      </c>
      <c r="H66" t="n">
        <v>0</v>
      </c>
      <c r="I66" t="n">
        <v>0</v>
      </c>
      <c r="J66" t="n">
        <v>1</v>
      </c>
      <c r="K66" t="n">
        <v>0</v>
      </c>
      <c r="L66" t="n">
        <v>0</v>
      </c>
      <c r="M66" t="n">
        <v>0</v>
      </c>
      <c r="N66" t="n">
        <v>0</v>
      </c>
      <c r="O66" t="n">
        <v>1</v>
      </c>
      <c r="P66" t="n">
        <v>0</v>
      </c>
      <c r="Q66" t="n">
        <v>1</v>
      </c>
      <c r="R66" s="2" t="inlineStr">
        <is>
          <t>Igelkott</t>
        </is>
      </c>
      <c r="S66">
        <f>HYPERLINK("https://klasma.github.io/Logging_1907/artfynd/A 40403-2025 artfynd.xlsx", "A 40403-2025")</f>
        <v/>
      </c>
      <c r="T66">
        <f>HYPERLINK("https://klasma.github.io/Logging_1907/kartor/A 40403-2025 karta.png", "A 40403-2025")</f>
        <v/>
      </c>
      <c r="V66">
        <f>HYPERLINK("https://klasma.github.io/Logging_1907/klagomål/A 40403-2025 FSC-klagomål.docx", "A 40403-2025")</f>
        <v/>
      </c>
      <c r="W66">
        <f>HYPERLINK("https://klasma.github.io/Logging_1907/klagomålsmail/A 40403-2025 FSC-klagomål mail.docx", "A 40403-2025")</f>
        <v/>
      </c>
      <c r="X66">
        <f>HYPERLINK("https://klasma.github.io/Logging_1907/tillsyn/A 40403-2025 tillsynsbegäran.docx", "A 40403-2025")</f>
        <v/>
      </c>
      <c r="Y66">
        <f>HYPERLINK("https://klasma.github.io/Logging_1907/tillsynsmail/A 40403-2025 tillsynsbegäran mail.docx", "A 40403-2025")</f>
        <v/>
      </c>
    </row>
    <row r="67" ht="15" customHeight="1">
      <c r="A67" t="inlineStr">
        <is>
          <t>A 42089-2025</t>
        </is>
      </c>
      <c r="B67" s="1" t="n">
        <v>45902</v>
      </c>
      <c r="C67" s="1" t="n">
        <v>45934</v>
      </c>
      <c r="D67" t="inlineStr">
        <is>
          <t>VÄSTMANLANDS LÄN</t>
        </is>
      </c>
      <c r="E67" t="inlineStr">
        <is>
          <t>SURAHAMMAR</t>
        </is>
      </c>
      <c r="G67" t="n">
        <v>2.2</v>
      </c>
      <c r="H67" t="n">
        <v>0</v>
      </c>
      <c r="I67" t="n">
        <v>0</v>
      </c>
      <c r="J67" t="n">
        <v>1</v>
      </c>
      <c r="K67" t="n">
        <v>0</v>
      </c>
      <c r="L67" t="n">
        <v>0</v>
      </c>
      <c r="M67" t="n">
        <v>0</v>
      </c>
      <c r="N67" t="n">
        <v>0</v>
      </c>
      <c r="O67" t="n">
        <v>1</v>
      </c>
      <c r="P67" t="n">
        <v>0</v>
      </c>
      <c r="Q67" t="n">
        <v>1</v>
      </c>
      <c r="R67" s="2" t="inlineStr">
        <is>
          <t>Motaggsvamp</t>
        </is>
      </c>
      <c r="S67">
        <f>HYPERLINK("https://klasma.github.io/Logging_1907/artfynd/A 42089-2025 artfynd.xlsx", "A 42089-2025")</f>
        <v/>
      </c>
      <c r="T67">
        <f>HYPERLINK("https://klasma.github.io/Logging_1907/kartor/A 42089-2025 karta.png", "A 42089-2025")</f>
        <v/>
      </c>
      <c r="V67">
        <f>HYPERLINK("https://klasma.github.io/Logging_1907/klagomål/A 42089-2025 FSC-klagomål.docx", "A 42089-2025")</f>
        <v/>
      </c>
      <c r="W67">
        <f>HYPERLINK("https://klasma.github.io/Logging_1907/klagomålsmail/A 42089-2025 FSC-klagomål mail.docx", "A 42089-2025")</f>
        <v/>
      </c>
      <c r="X67">
        <f>HYPERLINK("https://klasma.github.io/Logging_1907/tillsyn/A 42089-2025 tillsynsbegäran.docx", "A 42089-2025")</f>
        <v/>
      </c>
      <c r="Y67">
        <f>HYPERLINK("https://klasma.github.io/Logging_1907/tillsynsmail/A 42089-2025 tillsynsbegäran mail.docx", "A 42089-2025")</f>
        <v/>
      </c>
    </row>
    <row r="68" ht="15" customHeight="1">
      <c r="A68" t="inlineStr">
        <is>
          <t>A 14001-2023</t>
        </is>
      </c>
      <c r="B68" s="1" t="n">
        <v>45007</v>
      </c>
      <c r="C68" s="1" t="n">
        <v>45934</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1492-2021</t>
        </is>
      </c>
      <c r="B69" s="1" t="n">
        <v>44209</v>
      </c>
      <c r="C69" s="1" t="n">
        <v>45934</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45934</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45934</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45934</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45934</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45934</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45934</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45934</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45934</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45934</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45934</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45934</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52076-2020</t>
        </is>
      </c>
      <c r="B81" s="1" t="n">
        <v>44117</v>
      </c>
      <c r="C81" s="1" t="n">
        <v>45934</v>
      </c>
      <c r="D81" t="inlineStr">
        <is>
          <t>VÄSTMANLANDS LÄN</t>
        </is>
      </c>
      <c r="E81" t="inlineStr">
        <is>
          <t>SURAHAMMAR</t>
        </is>
      </c>
      <c r="F81" t="inlineStr">
        <is>
          <t>Sveaskog</t>
        </is>
      </c>
      <c r="G81" t="n">
        <v>1.5</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45934</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59543-2020</t>
        </is>
      </c>
      <c r="B83" s="1" t="n">
        <v>44148</v>
      </c>
      <c r="C83" s="1" t="n">
        <v>45934</v>
      </c>
      <c r="D83" t="inlineStr">
        <is>
          <t>VÄSTMANLANDS LÄN</t>
        </is>
      </c>
      <c r="E83" t="inlineStr">
        <is>
          <t>SURAHAMMAR</t>
        </is>
      </c>
      <c r="G83" t="n">
        <v>1.3</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45934</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45934</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45934</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45934</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67611-2021</t>
        </is>
      </c>
      <c r="B88" s="1" t="n">
        <v>44524</v>
      </c>
      <c r="C88" s="1" t="n">
        <v>45934</v>
      </c>
      <c r="D88" t="inlineStr">
        <is>
          <t>VÄSTMANLANDS LÄN</t>
        </is>
      </c>
      <c r="E88" t="inlineStr">
        <is>
          <t>SURAHAMMAR</t>
        </is>
      </c>
      <c r="F88" t="inlineStr">
        <is>
          <t>Kommuner</t>
        </is>
      </c>
      <c r="G88" t="n">
        <v>3.8</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45934</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19846-2022</t>
        </is>
      </c>
      <c r="B90" s="1" t="n">
        <v>44696.89327546296</v>
      </c>
      <c r="C90" s="1" t="n">
        <v>45934</v>
      </c>
      <c r="D90" t="inlineStr">
        <is>
          <t>VÄSTMANLANDS LÄN</t>
        </is>
      </c>
      <c r="E90" t="inlineStr">
        <is>
          <t>SURAHAMMAR</t>
        </is>
      </c>
      <c r="F90" t="inlineStr">
        <is>
          <t>Kommuner</t>
        </is>
      </c>
      <c r="G90" t="n">
        <v>3.4</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45934</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45934</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45934</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45934</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19637-2022</t>
        </is>
      </c>
      <c r="B95" s="1" t="n">
        <v>44694</v>
      </c>
      <c r="C95" s="1" t="n">
        <v>45934</v>
      </c>
      <c r="D95" t="inlineStr">
        <is>
          <t>VÄSTMANLANDS LÄN</t>
        </is>
      </c>
      <c r="E95" t="inlineStr">
        <is>
          <t>SURAHAMMAR</t>
        </is>
      </c>
      <c r="F95" t="inlineStr">
        <is>
          <t>Bergvik skog väst AB</t>
        </is>
      </c>
      <c r="G95" t="n">
        <v>0.7</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45934</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45934</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45934</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42714-2022</t>
        </is>
      </c>
      <c r="B99" s="1" t="n">
        <v>44832</v>
      </c>
      <c r="C99" s="1" t="n">
        <v>45934</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45934</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45934</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37013-2025</t>
        </is>
      </c>
      <c r="B102" s="1" t="n">
        <v>45874</v>
      </c>
      <c r="C102" s="1" t="n">
        <v>45934</v>
      </c>
      <c r="D102" t="inlineStr">
        <is>
          <t>VÄSTMANLANDS LÄN</t>
        </is>
      </c>
      <c r="E102" t="inlineStr">
        <is>
          <t>SURAHAMMAR</t>
        </is>
      </c>
      <c r="F102" t="inlineStr">
        <is>
          <t>Bergvik skog väst AB</t>
        </is>
      </c>
      <c r="G102" t="n">
        <v>10.7</v>
      </c>
      <c r="H102" t="n">
        <v>0</v>
      </c>
      <c r="I102" t="n">
        <v>0</v>
      </c>
      <c r="J102" t="n">
        <v>0</v>
      </c>
      <c r="K102" t="n">
        <v>0</v>
      </c>
      <c r="L102" t="n">
        <v>0</v>
      </c>
      <c r="M102" t="n">
        <v>0</v>
      </c>
      <c r="N102" t="n">
        <v>0</v>
      </c>
      <c r="O102" t="n">
        <v>0</v>
      </c>
      <c r="P102" t="n">
        <v>0</v>
      </c>
      <c r="Q102" t="n">
        <v>0</v>
      </c>
      <c r="R102" s="2" t="inlineStr"/>
    </row>
    <row r="103" ht="15" customHeight="1">
      <c r="A103" t="inlineStr">
        <is>
          <t>A 35682-2022</t>
        </is>
      </c>
      <c r="B103" s="1" t="n">
        <v>44799.60422453703</v>
      </c>
      <c r="C103" s="1" t="n">
        <v>45934</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11728-2023</t>
        </is>
      </c>
      <c r="B104" s="1" t="n">
        <v>44993</v>
      </c>
      <c r="C104" s="1" t="n">
        <v>45934</v>
      </c>
      <c r="D104" t="inlineStr">
        <is>
          <t>VÄSTMANLANDS LÄN</t>
        </is>
      </c>
      <c r="E104" t="inlineStr">
        <is>
          <t>SURAHAMMAR</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5567-2022</t>
        </is>
      </c>
      <c r="B105" s="1" t="n">
        <v>44595</v>
      </c>
      <c r="C105" s="1" t="n">
        <v>45934</v>
      </c>
      <c r="D105" t="inlineStr">
        <is>
          <t>VÄSTMANLANDS LÄN</t>
        </is>
      </c>
      <c r="E105" t="inlineStr">
        <is>
          <t>SURAHAMMAR</t>
        </is>
      </c>
      <c r="G105" t="n">
        <v>1.3</v>
      </c>
      <c r="H105" t="n">
        <v>0</v>
      </c>
      <c r="I105" t="n">
        <v>0</v>
      </c>
      <c r="J105" t="n">
        <v>0</v>
      </c>
      <c r="K105" t="n">
        <v>0</v>
      </c>
      <c r="L105" t="n">
        <v>0</v>
      </c>
      <c r="M105" t="n">
        <v>0</v>
      </c>
      <c r="N105" t="n">
        <v>0</v>
      </c>
      <c r="O105" t="n">
        <v>0</v>
      </c>
      <c r="P105" t="n">
        <v>0</v>
      </c>
      <c r="Q105" t="n">
        <v>0</v>
      </c>
      <c r="R105" s="2" t="inlineStr"/>
    </row>
    <row r="106" ht="15" customHeight="1">
      <c r="A106" t="inlineStr">
        <is>
          <t>A 42832-2022</t>
        </is>
      </c>
      <c r="B106" s="1" t="n">
        <v>44832</v>
      </c>
      <c r="C106" s="1" t="n">
        <v>45934</v>
      </c>
      <c r="D106" t="inlineStr">
        <is>
          <t>VÄSTMANLANDS LÄN</t>
        </is>
      </c>
      <c r="E106" t="inlineStr">
        <is>
          <t>SURAHAMMAR</t>
        </is>
      </c>
      <c r="G106" t="n">
        <v>1.1</v>
      </c>
      <c r="H106" t="n">
        <v>0</v>
      </c>
      <c r="I106" t="n">
        <v>0</v>
      </c>
      <c r="J106" t="n">
        <v>0</v>
      </c>
      <c r="K106" t="n">
        <v>0</v>
      </c>
      <c r="L106" t="n">
        <v>0</v>
      </c>
      <c r="M106" t="n">
        <v>0</v>
      </c>
      <c r="N106" t="n">
        <v>0</v>
      </c>
      <c r="O106" t="n">
        <v>0</v>
      </c>
      <c r="P106" t="n">
        <v>0</v>
      </c>
      <c r="Q106" t="n">
        <v>0</v>
      </c>
      <c r="R106" s="2" t="inlineStr"/>
    </row>
    <row r="107" ht="15" customHeight="1">
      <c r="A107" t="inlineStr">
        <is>
          <t>A 24665-2023</t>
        </is>
      </c>
      <c r="B107" s="1" t="n">
        <v>45084.48592592592</v>
      </c>
      <c r="C107" s="1" t="n">
        <v>45934</v>
      </c>
      <c r="D107" t="inlineStr">
        <is>
          <t>VÄSTMANLANDS LÄN</t>
        </is>
      </c>
      <c r="E107" t="inlineStr">
        <is>
          <t>SURAHAMMAR</t>
        </is>
      </c>
      <c r="G107" t="n">
        <v>0.9</v>
      </c>
      <c r="H107" t="n">
        <v>0</v>
      </c>
      <c r="I107" t="n">
        <v>0</v>
      </c>
      <c r="J107" t="n">
        <v>0</v>
      </c>
      <c r="K107" t="n">
        <v>0</v>
      </c>
      <c r="L107" t="n">
        <v>0</v>
      </c>
      <c r="M107" t="n">
        <v>0</v>
      </c>
      <c r="N107" t="n">
        <v>0</v>
      </c>
      <c r="O107" t="n">
        <v>0</v>
      </c>
      <c r="P107" t="n">
        <v>0</v>
      </c>
      <c r="Q107" t="n">
        <v>0</v>
      </c>
      <c r="R107" s="2" t="inlineStr"/>
    </row>
    <row r="108" ht="15" customHeight="1">
      <c r="A108" t="inlineStr">
        <is>
          <t>A 37954-2025</t>
        </is>
      </c>
      <c r="B108" s="1" t="n">
        <v>45881</v>
      </c>
      <c r="C108" s="1" t="n">
        <v>45934</v>
      </c>
      <c r="D108" t="inlineStr">
        <is>
          <t>VÄSTMANLANDS LÄN</t>
        </is>
      </c>
      <c r="E108" t="inlineStr">
        <is>
          <t>SURAHAMMAR</t>
        </is>
      </c>
      <c r="G108" t="n">
        <v>9.5</v>
      </c>
      <c r="H108" t="n">
        <v>0</v>
      </c>
      <c r="I108" t="n">
        <v>0</v>
      </c>
      <c r="J108" t="n">
        <v>0</v>
      </c>
      <c r="K108" t="n">
        <v>0</v>
      </c>
      <c r="L108" t="n">
        <v>0</v>
      </c>
      <c r="M108" t="n">
        <v>0</v>
      </c>
      <c r="N108" t="n">
        <v>0</v>
      </c>
      <c r="O108" t="n">
        <v>0</v>
      </c>
      <c r="P108" t="n">
        <v>0</v>
      </c>
      <c r="Q108" t="n">
        <v>0</v>
      </c>
      <c r="R108" s="2" t="inlineStr"/>
    </row>
    <row r="109" ht="15" customHeight="1">
      <c r="A109" t="inlineStr">
        <is>
          <t>A 32808-2024</t>
        </is>
      </c>
      <c r="B109" s="1" t="n">
        <v>45516</v>
      </c>
      <c r="C109" s="1" t="n">
        <v>45934</v>
      </c>
      <c r="D109" t="inlineStr">
        <is>
          <t>VÄSTMANLANDS LÄN</t>
        </is>
      </c>
      <c r="E109" t="inlineStr">
        <is>
          <t>SURAHAMMAR</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7787-2024</t>
        </is>
      </c>
      <c r="B110" s="1" t="n">
        <v>45348</v>
      </c>
      <c r="C110" s="1" t="n">
        <v>45934</v>
      </c>
      <c r="D110" t="inlineStr">
        <is>
          <t>VÄSTMANLANDS LÄN</t>
        </is>
      </c>
      <c r="E110" t="inlineStr">
        <is>
          <t>SURAHAMMAR</t>
        </is>
      </c>
      <c r="G110" t="n">
        <v>1</v>
      </c>
      <c r="H110" t="n">
        <v>0</v>
      </c>
      <c r="I110" t="n">
        <v>0</v>
      </c>
      <c r="J110" t="n">
        <v>0</v>
      </c>
      <c r="K110" t="n">
        <v>0</v>
      </c>
      <c r="L110" t="n">
        <v>0</v>
      </c>
      <c r="M110" t="n">
        <v>0</v>
      </c>
      <c r="N110" t="n">
        <v>0</v>
      </c>
      <c r="O110" t="n">
        <v>0</v>
      </c>
      <c r="P110" t="n">
        <v>0</v>
      </c>
      <c r="Q110" t="n">
        <v>0</v>
      </c>
      <c r="R110" s="2" t="inlineStr"/>
    </row>
    <row r="111" ht="15" customHeight="1">
      <c r="A111" t="inlineStr">
        <is>
          <t>A 42841-2022</t>
        </is>
      </c>
      <c r="B111" s="1" t="n">
        <v>44832</v>
      </c>
      <c r="C111" s="1" t="n">
        <v>45934</v>
      </c>
      <c r="D111" t="inlineStr">
        <is>
          <t>VÄSTMANLANDS LÄN</t>
        </is>
      </c>
      <c r="E111" t="inlineStr">
        <is>
          <t>SURAHAMMAR</t>
        </is>
      </c>
      <c r="G111" t="n">
        <v>1.8</v>
      </c>
      <c r="H111" t="n">
        <v>0</v>
      </c>
      <c r="I111" t="n">
        <v>0</v>
      </c>
      <c r="J111" t="n">
        <v>0</v>
      </c>
      <c r="K111" t="n">
        <v>0</v>
      </c>
      <c r="L111" t="n">
        <v>0</v>
      </c>
      <c r="M111" t="n">
        <v>0</v>
      </c>
      <c r="N111" t="n">
        <v>0</v>
      </c>
      <c r="O111" t="n">
        <v>0</v>
      </c>
      <c r="P111" t="n">
        <v>0</v>
      </c>
      <c r="Q111" t="n">
        <v>0</v>
      </c>
      <c r="R111" s="2" t="inlineStr"/>
    </row>
    <row r="112" ht="15" customHeight="1">
      <c r="A112" t="inlineStr">
        <is>
          <t>A 42829-2022</t>
        </is>
      </c>
      <c r="B112" s="1" t="n">
        <v>44832</v>
      </c>
      <c r="C112" s="1" t="n">
        <v>45934</v>
      </c>
      <c r="D112" t="inlineStr">
        <is>
          <t>VÄSTMANLANDS LÄN</t>
        </is>
      </c>
      <c r="E112" t="inlineStr">
        <is>
          <t>SURAHAMMAR</t>
        </is>
      </c>
      <c r="G112" t="n">
        <v>1.6</v>
      </c>
      <c r="H112" t="n">
        <v>0</v>
      </c>
      <c r="I112" t="n">
        <v>0</v>
      </c>
      <c r="J112" t="n">
        <v>0</v>
      </c>
      <c r="K112" t="n">
        <v>0</v>
      </c>
      <c r="L112" t="n">
        <v>0</v>
      </c>
      <c r="M112" t="n">
        <v>0</v>
      </c>
      <c r="N112" t="n">
        <v>0</v>
      </c>
      <c r="O112" t="n">
        <v>0</v>
      </c>
      <c r="P112" t="n">
        <v>0</v>
      </c>
      <c r="Q112" t="n">
        <v>0</v>
      </c>
      <c r="R112" s="2" t="inlineStr"/>
    </row>
    <row r="113" ht="15" customHeight="1">
      <c r="A113" t="inlineStr">
        <is>
          <t>A 21509-2024</t>
        </is>
      </c>
      <c r="B113" s="1" t="n">
        <v>45441</v>
      </c>
      <c r="C113" s="1" t="n">
        <v>45934</v>
      </c>
      <c r="D113" t="inlineStr">
        <is>
          <t>VÄSTMANLANDS LÄN</t>
        </is>
      </c>
      <c r="E113" t="inlineStr">
        <is>
          <t>SURAHAMMAR</t>
        </is>
      </c>
      <c r="F113" t="inlineStr">
        <is>
          <t>Bergvik skog väst AB</t>
        </is>
      </c>
      <c r="G113" t="n">
        <v>3.9</v>
      </c>
      <c r="H113" t="n">
        <v>0</v>
      </c>
      <c r="I113" t="n">
        <v>0</v>
      </c>
      <c r="J113" t="n">
        <v>0</v>
      </c>
      <c r="K113" t="n">
        <v>0</v>
      </c>
      <c r="L113" t="n">
        <v>0</v>
      </c>
      <c r="M113" t="n">
        <v>0</v>
      </c>
      <c r="N113" t="n">
        <v>0</v>
      </c>
      <c r="O113" t="n">
        <v>0</v>
      </c>
      <c r="P113" t="n">
        <v>0</v>
      </c>
      <c r="Q113" t="n">
        <v>0</v>
      </c>
      <c r="R113" s="2" t="inlineStr"/>
    </row>
    <row r="114" ht="15" customHeight="1">
      <c r="A114" t="inlineStr">
        <is>
          <t>A 22662-2023</t>
        </is>
      </c>
      <c r="B114" s="1" t="n">
        <v>45071</v>
      </c>
      <c r="C114" s="1" t="n">
        <v>45934</v>
      </c>
      <c r="D114" t="inlineStr">
        <is>
          <t>VÄSTMANLANDS LÄN</t>
        </is>
      </c>
      <c r="E114" t="inlineStr">
        <is>
          <t>SURAHAMMAR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16013-2023</t>
        </is>
      </c>
      <c r="B115" s="1" t="n">
        <v>45026</v>
      </c>
      <c r="C115" s="1" t="n">
        <v>45934</v>
      </c>
      <c r="D115" t="inlineStr">
        <is>
          <t>VÄSTMANLANDS LÄN</t>
        </is>
      </c>
      <c r="E115" t="inlineStr">
        <is>
          <t>SURAHAMMAR</t>
        </is>
      </c>
      <c r="G115" t="n">
        <v>3.9</v>
      </c>
      <c r="H115" t="n">
        <v>0</v>
      </c>
      <c r="I115" t="n">
        <v>0</v>
      </c>
      <c r="J115" t="n">
        <v>0</v>
      </c>
      <c r="K115" t="n">
        <v>0</v>
      </c>
      <c r="L115" t="n">
        <v>0</v>
      </c>
      <c r="M115" t="n">
        <v>0</v>
      </c>
      <c r="N115" t="n">
        <v>0</v>
      </c>
      <c r="O115" t="n">
        <v>0</v>
      </c>
      <c r="P115" t="n">
        <v>0</v>
      </c>
      <c r="Q115" t="n">
        <v>0</v>
      </c>
      <c r="R115" s="2" t="inlineStr"/>
    </row>
    <row r="116" ht="15" customHeight="1">
      <c r="A116" t="inlineStr">
        <is>
          <t>A 41555-2022</t>
        </is>
      </c>
      <c r="B116" s="1" t="n">
        <v>44826</v>
      </c>
      <c r="C116" s="1" t="n">
        <v>45934</v>
      </c>
      <c r="D116" t="inlineStr">
        <is>
          <t>VÄSTMANLANDS LÄN</t>
        </is>
      </c>
      <c r="E116" t="inlineStr">
        <is>
          <t>SURAHAMMAR</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37287-2023</t>
        </is>
      </c>
      <c r="B117" s="1" t="n">
        <v>45156</v>
      </c>
      <c r="C117" s="1" t="n">
        <v>45934</v>
      </c>
      <c r="D117" t="inlineStr">
        <is>
          <t>VÄSTMANLANDS LÄN</t>
        </is>
      </c>
      <c r="E117" t="inlineStr">
        <is>
          <t>SURAHAMMAR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2867-2024</t>
        </is>
      </c>
      <c r="B118" s="1" t="n">
        <v>45315</v>
      </c>
      <c r="C118" s="1" t="n">
        <v>45934</v>
      </c>
      <c r="D118" t="inlineStr">
        <is>
          <t>VÄSTMANLANDS LÄN</t>
        </is>
      </c>
      <c r="E118" t="inlineStr">
        <is>
          <t>SURAHAMMAR</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3085-2023</t>
        </is>
      </c>
      <c r="B119" s="1" t="n">
        <v>44946</v>
      </c>
      <c r="C119" s="1" t="n">
        <v>45934</v>
      </c>
      <c r="D119" t="inlineStr">
        <is>
          <t>VÄSTMANLANDS LÄN</t>
        </is>
      </c>
      <c r="E119" t="inlineStr">
        <is>
          <t>SURAHAMMAR</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41576-2022</t>
        </is>
      </c>
      <c r="B120" s="1" t="n">
        <v>44826</v>
      </c>
      <c r="C120" s="1" t="n">
        <v>45934</v>
      </c>
      <c r="D120" t="inlineStr">
        <is>
          <t>VÄSTMANLANDS LÄN</t>
        </is>
      </c>
      <c r="E120" t="inlineStr">
        <is>
          <t>SURAHAMMAR</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25780-2023</t>
        </is>
      </c>
      <c r="B121" s="1" t="n">
        <v>45090.47523148148</v>
      </c>
      <c r="C121" s="1" t="n">
        <v>45934</v>
      </c>
      <c r="D121" t="inlineStr">
        <is>
          <t>VÄSTMANLANDS LÄN</t>
        </is>
      </c>
      <c r="E121" t="inlineStr">
        <is>
          <t>SURAHAMMAR</t>
        </is>
      </c>
      <c r="G121" t="n">
        <v>2.8</v>
      </c>
      <c r="H121" t="n">
        <v>0</v>
      </c>
      <c r="I121" t="n">
        <v>0</v>
      </c>
      <c r="J121" t="n">
        <v>0</v>
      </c>
      <c r="K121" t="n">
        <v>0</v>
      </c>
      <c r="L121" t="n">
        <v>0</v>
      </c>
      <c r="M121" t="n">
        <v>0</v>
      </c>
      <c r="N121" t="n">
        <v>0</v>
      </c>
      <c r="O121" t="n">
        <v>0</v>
      </c>
      <c r="P121" t="n">
        <v>0</v>
      </c>
      <c r="Q121" t="n">
        <v>0</v>
      </c>
      <c r="R121" s="2" t="inlineStr"/>
    </row>
    <row r="122" ht="15" customHeight="1">
      <c r="A122" t="inlineStr">
        <is>
          <t>A 13386-2025</t>
        </is>
      </c>
      <c r="B122" s="1" t="n">
        <v>45735</v>
      </c>
      <c r="C122" s="1" t="n">
        <v>45934</v>
      </c>
      <c r="D122" t="inlineStr">
        <is>
          <t>VÄSTMANLANDS LÄN</t>
        </is>
      </c>
      <c r="E122" t="inlineStr">
        <is>
          <t>SURAHAMMAR</t>
        </is>
      </c>
      <c r="F122" t="inlineStr">
        <is>
          <t>Bergvik skog väst AB</t>
        </is>
      </c>
      <c r="G122" t="n">
        <v>4</v>
      </c>
      <c r="H122" t="n">
        <v>0</v>
      </c>
      <c r="I122" t="n">
        <v>0</v>
      </c>
      <c r="J122" t="n">
        <v>0</v>
      </c>
      <c r="K122" t="n">
        <v>0</v>
      </c>
      <c r="L122" t="n">
        <v>0</v>
      </c>
      <c r="M122" t="n">
        <v>0</v>
      </c>
      <c r="N122" t="n">
        <v>0</v>
      </c>
      <c r="O122" t="n">
        <v>0</v>
      </c>
      <c r="P122" t="n">
        <v>0</v>
      </c>
      <c r="Q122" t="n">
        <v>0</v>
      </c>
      <c r="R122" s="2" t="inlineStr"/>
    </row>
    <row r="123" ht="15" customHeight="1">
      <c r="A123" t="inlineStr">
        <is>
          <t>A 49058-2024</t>
        </is>
      </c>
      <c r="B123" s="1" t="n">
        <v>45594</v>
      </c>
      <c r="C123" s="1" t="n">
        <v>45934</v>
      </c>
      <c r="D123" t="inlineStr">
        <is>
          <t>VÄSTMANLANDS LÄN</t>
        </is>
      </c>
      <c r="E123" t="inlineStr">
        <is>
          <t>SURAHAMMAR</t>
        </is>
      </c>
      <c r="F123" t="inlineStr">
        <is>
          <t>Sveaskog</t>
        </is>
      </c>
      <c r="G123" t="n">
        <v>11.4</v>
      </c>
      <c r="H123" t="n">
        <v>0</v>
      </c>
      <c r="I123" t="n">
        <v>0</v>
      </c>
      <c r="J123" t="n">
        <v>0</v>
      </c>
      <c r="K123" t="n">
        <v>0</v>
      </c>
      <c r="L123" t="n">
        <v>0</v>
      </c>
      <c r="M123" t="n">
        <v>0</v>
      </c>
      <c r="N123" t="n">
        <v>0</v>
      </c>
      <c r="O123" t="n">
        <v>0</v>
      </c>
      <c r="P123" t="n">
        <v>0</v>
      </c>
      <c r="Q123" t="n">
        <v>0</v>
      </c>
      <c r="R123" s="2" t="inlineStr"/>
    </row>
    <row r="124" ht="15" customHeight="1">
      <c r="A124" t="inlineStr">
        <is>
          <t>A 49060-2024</t>
        </is>
      </c>
      <c r="B124" s="1" t="n">
        <v>45594</v>
      </c>
      <c r="C124" s="1" t="n">
        <v>45934</v>
      </c>
      <c r="D124" t="inlineStr">
        <is>
          <t>VÄSTMANLANDS LÄN</t>
        </is>
      </c>
      <c r="E124" t="inlineStr">
        <is>
          <t>SURAHAMMAR</t>
        </is>
      </c>
      <c r="F124" t="inlineStr">
        <is>
          <t>Sveaskog</t>
        </is>
      </c>
      <c r="G124" t="n">
        <v>4.4</v>
      </c>
      <c r="H124" t="n">
        <v>0</v>
      </c>
      <c r="I124" t="n">
        <v>0</v>
      </c>
      <c r="J124" t="n">
        <v>0</v>
      </c>
      <c r="K124" t="n">
        <v>0</v>
      </c>
      <c r="L124" t="n">
        <v>0</v>
      </c>
      <c r="M124" t="n">
        <v>0</v>
      </c>
      <c r="N124" t="n">
        <v>0</v>
      </c>
      <c r="O124" t="n">
        <v>0</v>
      </c>
      <c r="P124" t="n">
        <v>0</v>
      </c>
      <c r="Q124" t="n">
        <v>0</v>
      </c>
      <c r="R124" s="2" t="inlineStr"/>
    </row>
    <row r="125" ht="15" customHeight="1">
      <c r="A125" t="inlineStr">
        <is>
          <t>A 47785-2021</t>
        </is>
      </c>
      <c r="B125" s="1" t="n">
        <v>44448</v>
      </c>
      <c r="C125" s="1" t="n">
        <v>45934</v>
      </c>
      <c r="D125" t="inlineStr">
        <is>
          <t>VÄSTMANLANDS LÄN</t>
        </is>
      </c>
      <c r="E125" t="inlineStr">
        <is>
          <t>SURAHAMMAR</t>
        </is>
      </c>
      <c r="F125" t="inlineStr">
        <is>
          <t>Kommuner</t>
        </is>
      </c>
      <c r="G125" t="n">
        <v>3.3</v>
      </c>
      <c r="H125" t="n">
        <v>0</v>
      </c>
      <c r="I125" t="n">
        <v>0</v>
      </c>
      <c r="J125" t="n">
        <v>0</v>
      </c>
      <c r="K125" t="n">
        <v>0</v>
      </c>
      <c r="L125" t="n">
        <v>0</v>
      </c>
      <c r="M125" t="n">
        <v>0</v>
      </c>
      <c r="N125" t="n">
        <v>0</v>
      </c>
      <c r="O125" t="n">
        <v>0</v>
      </c>
      <c r="P125" t="n">
        <v>0</v>
      </c>
      <c r="Q125" t="n">
        <v>0</v>
      </c>
      <c r="R125" s="2" t="inlineStr"/>
    </row>
    <row r="126" ht="15" customHeight="1">
      <c r="A126" t="inlineStr">
        <is>
          <t>A 72367-2021</t>
        </is>
      </c>
      <c r="B126" s="1" t="n">
        <v>44545</v>
      </c>
      <c r="C126" s="1" t="n">
        <v>45934</v>
      </c>
      <c r="D126" t="inlineStr">
        <is>
          <t>VÄSTMANLANDS LÄN</t>
        </is>
      </c>
      <c r="E126" t="inlineStr">
        <is>
          <t>SURAHAMMAR</t>
        </is>
      </c>
      <c r="G126" t="n">
        <v>2.5</v>
      </c>
      <c r="H126" t="n">
        <v>0</v>
      </c>
      <c r="I126" t="n">
        <v>0</v>
      </c>
      <c r="J126" t="n">
        <v>0</v>
      </c>
      <c r="K126" t="n">
        <v>0</v>
      </c>
      <c r="L126" t="n">
        <v>0</v>
      </c>
      <c r="M126" t="n">
        <v>0</v>
      </c>
      <c r="N126" t="n">
        <v>0</v>
      </c>
      <c r="O126" t="n">
        <v>0</v>
      </c>
      <c r="P126" t="n">
        <v>0</v>
      </c>
      <c r="Q126" t="n">
        <v>0</v>
      </c>
      <c r="R126" s="2" t="inlineStr"/>
    </row>
    <row r="127" ht="15" customHeight="1">
      <c r="A127" t="inlineStr">
        <is>
          <t>A 33931-2022</t>
        </is>
      </c>
      <c r="B127" s="1" t="n">
        <v>44790.65153935185</v>
      </c>
      <c r="C127" s="1" t="n">
        <v>45934</v>
      </c>
      <c r="D127" t="inlineStr">
        <is>
          <t>VÄSTMANLANDS LÄN</t>
        </is>
      </c>
      <c r="E127" t="inlineStr">
        <is>
          <t>SURAHAMMAR</t>
        </is>
      </c>
      <c r="G127" t="n">
        <v>2.2</v>
      </c>
      <c r="H127" t="n">
        <v>0</v>
      </c>
      <c r="I127" t="n">
        <v>0</v>
      </c>
      <c r="J127" t="n">
        <v>0</v>
      </c>
      <c r="K127" t="n">
        <v>0</v>
      </c>
      <c r="L127" t="n">
        <v>0</v>
      </c>
      <c r="M127" t="n">
        <v>0</v>
      </c>
      <c r="N127" t="n">
        <v>0</v>
      </c>
      <c r="O127" t="n">
        <v>0</v>
      </c>
      <c r="P127" t="n">
        <v>0</v>
      </c>
      <c r="Q127" t="n">
        <v>0</v>
      </c>
      <c r="R127" s="2" t="inlineStr"/>
    </row>
    <row r="128" ht="15" customHeight="1">
      <c r="A128" t="inlineStr">
        <is>
          <t>A 34955-2022</t>
        </is>
      </c>
      <c r="B128" s="1" t="n">
        <v>44796</v>
      </c>
      <c r="C128" s="1" t="n">
        <v>45934</v>
      </c>
      <c r="D128" t="inlineStr">
        <is>
          <t>VÄSTMANLANDS LÄN</t>
        </is>
      </c>
      <c r="E128" t="inlineStr">
        <is>
          <t>SURAHAMMAR</t>
        </is>
      </c>
      <c r="F128" t="inlineStr">
        <is>
          <t>Sveaskog</t>
        </is>
      </c>
      <c r="G128" t="n">
        <v>4.6</v>
      </c>
      <c r="H128" t="n">
        <v>0</v>
      </c>
      <c r="I128" t="n">
        <v>0</v>
      </c>
      <c r="J128" t="n">
        <v>0</v>
      </c>
      <c r="K128" t="n">
        <v>0</v>
      </c>
      <c r="L128" t="n">
        <v>0</v>
      </c>
      <c r="M128" t="n">
        <v>0</v>
      </c>
      <c r="N128" t="n">
        <v>0</v>
      </c>
      <c r="O128" t="n">
        <v>0</v>
      </c>
      <c r="P128" t="n">
        <v>0</v>
      </c>
      <c r="Q128" t="n">
        <v>0</v>
      </c>
      <c r="R128" s="2" t="inlineStr"/>
    </row>
    <row r="129" ht="15" customHeight="1">
      <c r="A129" t="inlineStr">
        <is>
          <t>A 34582-2025</t>
        </is>
      </c>
      <c r="B129" s="1" t="n">
        <v>45846</v>
      </c>
      <c r="C129" s="1" t="n">
        <v>45934</v>
      </c>
      <c r="D129" t="inlineStr">
        <is>
          <t>VÄSTMANLANDS LÄN</t>
        </is>
      </c>
      <c r="E129" t="inlineStr">
        <is>
          <t>SURAHAMMAR</t>
        </is>
      </c>
      <c r="F129" t="inlineStr">
        <is>
          <t>Bergvik skog väst AB</t>
        </is>
      </c>
      <c r="G129" t="n">
        <v>2.6</v>
      </c>
      <c r="H129" t="n">
        <v>0</v>
      </c>
      <c r="I129" t="n">
        <v>0</v>
      </c>
      <c r="J129" t="n">
        <v>0</v>
      </c>
      <c r="K129" t="n">
        <v>0</v>
      </c>
      <c r="L129" t="n">
        <v>0</v>
      </c>
      <c r="M129" t="n">
        <v>0</v>
      </c>
      <c r="N129" t="n">
        <v>0</v>
      </c>
      <c r="O129" t="n">
        <v>0</v>
      </c>
      <c r="P129" t="n">
        <v>0</v>
      </c>
      <c r="Q129" t="n">
        <v>0</v>
      </c>
      <c r="R129" s="2" t="inlineStr"/>
    </row>
    <row r="130" ht="15" customHeight="1">
      <c r="A130" t="inlineStr">
        <is>
          <t>A 20904-2023</t>
        </is>
      </c>
      <c r="B130" s="1" t="n">
        <v>45060</v>
      </c>
      <c r="C130" s="1" t="n">
        <v>45934</v>
      </c>
      <c r="D130" t="inlineStr">
        <is>
          <t>VÄSTMANLANDS LÄN</t>
        </is>
      </c>
      <c r="E130" t="inlineStr">
        <is>
          <t>SURAHAMMAR</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10883-2023</t>
        </is>
      </c>
      <c r="B131" s="1" t="n">
        <v>44991</v>
      </c>
      <c r="C131" s="1" t="n">
        <v>45934</v>
      </c>
      <c r="D131" t="inlineStr">
        <is>
          <t>VÄSTMANLANDS LÄN</t>
        </is>
      </c>
      <c r="E131" t="inlineStr">
        <is>
          <t>SURAHAMMAR</t>
        </is>
      </c>
      <c r="F131" t="inlineStr">
        <is>
          <t>Övriga Aktiebolag</t>
        </is>
      </c>
      <c r="G131" t="n">
        <v>12.5</v>
      </c>
      <c r="H131" t="n">
        <v>0</v>
      </c>
      <c r="I131" t="n">
        <v>0</v>
      </c>
      <c r="J131" t="n">
        <v>0</v>
      </c>
      <c r="K131" t="n">
        <v>0</v>
      </c>
      <c r="L131" t="n">
        <v>0</v>
      </c>
      <c r="M131" t="n">
        <v>0</v>
      </c>
      <c r="N131" t="n">
        <v>0</v>
      </c>
      <c r="O131" t="n">
        <v>0</v>
      </c>
      <c r="P131" t="n">
        <v>0</v>
      </c>
      <c r="Q131" t="n">
        <v>0</v>
      </c>
      <c r="R131" s="2" t="inlineStr"/>
    </row>
    <row r="132" ht="15" customHeight="1">
      <c r="A132" t="inlineStr">
        <is>
          <t>A 2660-2024</t>
        </is>
      </c>
      <c r="B132" s="1" t="n">
        <v>45310</v>
      </c>
      <c r="C132" s="1" t="n">
        <v>45934</v>
      </c>
      <c r="D132" t="inlineStr">
        <is>
          <t>VÄSTMANLANDS LÄN</t>
        </is>
      </c>
      <c r="E132" t="inlineStr">
        <is>
          <t>SURAHAMMAR</t>
        </is>
      </c>
      <c r="G132" t="n">
        <v>2.1</v>
      </c>
      <c r="H132" t="n">
        <v>0</v>
      </c>
      <c r="I132" t="n">
        <v>0</v>
      </c>
      <c r="J132" t="n">
        <v>0</v>
      </c>
      <c r="K132" t="n">
        <v>0</v>
      </c>
      <c r="L132" t="n">
        <v>0</v>
      </c>
      <c r="M132" t="n">
        <v>0</v>
      </c>
      <c r="N132" t="n">
        <v>0</v>
      </c>
      <c r="O132" t="n">
        <v>0</v>
      </c>
      <c r="P132" t="n">
        <v>0</v>
      </c>
      <c r="Q132" t="n">
        <v>0</v>
      </c>
      <c r="R132" s="2" t="inlineStr"/>
    </row>
    <row r="133" ht="15" customHeight="1">
      <c r="A133" t="inlineStr">
        <is>
          <t>A 15739-2023</t>
        </is>
      </c>
      <c r="B133" s="1" t="n">
        <v>45021</v>
      </c>
      <c r="C133" s="1" t="n">
        <v>45934</v>
      </c>
      <c r="D133" t="inlineStr">
        <is>
          <t>VÄSTMANLANDS LÄN</t>
        </is>
      </c>
      <c r="E133" t="inlineStr">
        <is>
          <t>SURAHAMMAR</t>
        </is>
      </c>
      <c r="G133" t="n">
        <v>1.3</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44405.42373842592</v>
      </c>
      <c r="C134" s="1" t="n">
        <v>45934</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14626-2023</t>
        </is>
      </c>
      <c r="B135" s="1" t="n">
        <v>45012</v>
      </c>
      <c r="C135" s="1" t="n">
        <v>45934</v>
      </c>
      <c r="D135" t="inlineStr">
        <is>
          <t>VÄSTMANLANDS LÄN</t>
        </is>
      </c>
      <c r="E135" t="inlineStr">
        <is>
          <t>SURAHAMMAR</t>
        </is>
      </c>
      <c r="F135" t="inlineStr">
        <is>
          <t>Bergvik skog väst AB</t>
        </is>
      </c>
      <c r="G135" t="n">
        <v>5</v>
      </c>
      <c r="H135" t="n">
        <v>0</v>
      </c>
      <c r="I135" t="n">
        <v>0</v>
      </c>
      <c r="J135" t="n">
        <v>0</v>
      </c>
      <c r="K135" t="n">
        <v>0</v>
      </c>
      <c r="L135" t="n">
        <v>0</v>
      </c>
      <c r="M135" t="n">
        <v>0</v>
      </c>
      <c r="N135" t="n">
        <v>0</v>
      </c>
      <c r="O135" t="n">
        <v>0</v>
      </c>
      <c r="P135" t="n">
        <v>0</v>
      </c>
      <c r="Q135" t="n">
        <v>0</v>
      </c>
      <c r="R135" s="2" t="inlineStr"/>
    </row>
    <row r="136" ht="15" customHeight="1">
      <c r="A136" t="inlineStr">
        <is>
          <t>A 37798-2021</t>
        </is>
      </c>
      <c r="B136" s="1" t="n">
        <v>44402</v>
      </c>
      <c r="C136" s="1" t="n">
        <v>45934</v>
      </c>
      <c r="D136" t="inlineStr">
        <is>
          <t>VÄSTMANLANDS LÄN</t>
        </is>
      </c>
      <c r="E136" t="inlineStr">
        <is>
          <t>SURAHAMMAR</t>
        </is>
      </c>
      <c r="F136" t="inlineStr">
        <is>
          <t>Kommuner</t>
        </is>
      </c>
      <c r="G136" t="n">
        <v>1.2</v>
      </c>
      <c r="H136" t="n">
        <v>0</v>
      </c>
      <c r="I136" t="n">
        <v>0</v>
      </c>
      <c r="J136" t="n">
        <v>0</v>
      </c>
      <c r="K136" t="n">
        <v>0</v>
      </c>
      <c r="L136" t="n">
        <v>0</v>
      </c>
      <c r="M136" t="n">
        <v>0</v>
      </c>
      <c r="N136" t="n">
        <v>0</v>
      </c>
      <c r="O136" t="n">
        <v>0</v>
      </c>
      <c r="P136" t="n">
        <v>0</v>
      </c>
      <c r="Q136" t="n">
        <v>0</v>
      </c>
      <c r="R136" s="2" t="inlineStr"/>
    </row>
    <row r="137" ht="15" customHeight="1">
      <c r="A137" t="inlineStr">
        <is>
          <t>A 25450-2024</t>
        </is>
      </c>
      <c r="B137" s="1" t="n">
        <v>45463</v>
      </c>
      <c r="C137" s="1" t="n">
        <v>45934</v>
      </c>
      <c r="D137" t="inlineStr">
        <is>
          <t>VÄSTMANLANDS LÄN</t>
        </is>
      </c>
      <c r="E137" t="inlineStr">
        <is>
          <t>SURAHAMMAR</t>
        </is>
      </c>
      <c r="F137" t="inlineStr">
        <is>
          <t>Bergvik skog väst AB</t>
        </is>
      </c>
      <c r="G137" t="n">
        <v>2.4</v>
      </c>
      <c r="H137" t="n">
        <v>0</v>
      </c>
      <c r="I137" t="n">
        <v>0</v>
      </c>
      <c r="J137" t="n">
        <v>0</v>
      </c>
      <c r="K137" t="n">
        <v>0</v>
      </c>
      <c r="L137" t="n">
        <v>0</v>
      </c>
      <c r="M137" t="n">
        <v>0</v>
      </c>
      <c r="N137" t="n">
        <v>0</v>
      </c>
      <c r="O137" t="n">
        <v>0</v>
      </c>
      <c r="P137" t="n">
        <v>0</v>
      </c>
      <c r="Q137" t="n">
        <v>0</v>
      </c>
      <c r="R137" s="2" t="inlineStr"/>
    </row>
    <row r="138" ht="15" customHeight="1">
      <c r="A138" t="inlineStr">
        <is>
          <t>A 19782-2023</t>
        </is>
      </c>
      <c r="B138" s="1" t="n">
        <v>45050</v>
      </c>
      <c r="C138" s="1" t="n">
        <v>45934</v>
      </c>
      <c r="D138" t="inlineStr">
        <is>
          <t>VÄSTMANLANDS LÄN</t>
        </is>
      </c>
      <c r="E138" t="inlineStr">
        <is>
          <t>SURAHAMMAR</t>
        </is>
      </c>
      <c r="F138" t="inlineStr">
        <is>
          <t>Bergvik skog väst AB</t>
        </is>
      </c>
      <c r="G138" t="n">
        <v>5.2</v>
      </c>
      <c r="H138" t="n">
        <v>0</v>
      </c>
      <c r="I138" t="n">
        <v>0</v>
      </c>
      <c r="J138" t="n">
        <v>0</v>
      </c>
      <c r="K138" t="n">
        <v>0</v>
      </c>
      <c r="L138" t="n">
        <v>0</v>
      </c>
      <c r="M138" t="n">
        <v>0</v>
      </c>
      <c r="N138" t="n">
        <v>0</v>
      </c>
      <c r="O138" t="n">
        <v>0</v>
      </c>
      <c r="P138" t="n">
        <v>0</v>
      </c>
      <c r="Q138" t="n">
        <v>0</v>
      </c>
      <c r="R138" s="2" t="inlineStr"/>
    </row>
    <row r="139" ht="15" customHeight="1">
      <c r="A139" t="inlineStr">
        <is>
          <t>A 34584-2025</t>
        </is>
      </c>
      <c r="B139" s="1" t="n">
        <v>45846</v>
      </c>
      <c r="C139" s="1" t="n">
        <v>45934</v>
      </c>
      <c r="D139" t="inlineStr">
        <is>
          <t>VÄSTMANLANDS LÄN</t>
        </is>
      </c>
      <c r="E139" t="inlineStr">
        <is>
          <t>SURAHAMMAR</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7848-2022</t>
        </is>
      </c>
      <c r="B140" s="1" t="n">
        <v>44608.58400462963</v>
      </c>
      <c r="C140" s="1" t="n">
        <v>45934</v>
      </c>
      <c r="D140" t="inlineStr">
        <is>
          <t>VÄSTMANLANDS LÄN</t>
        </is>
      </c>
      <c r="E140" t="inlineStr">
        <is>
          <t>SURAHAMMAR</t>
        </is>
      </c>
      <c r="G140" t="n">
        <v>2.1</v>
      </c>
      <c r="H140" t="n">
        <v>0</v>
      </c>
      <c r="I140" t="n">
        <v>0</v>
      </c>
      <c r="J140" t="n">
        <v>0</v>
      </c>
      <c r="K140" t="n">
        <v>0</v>
      </c>
      <c r="L140" t="n">
        <v>0</v>
      </c>
      <c r="M140" t="n">
        <v>0</v>
      </c>
      <c r="N140" t="n">
        <v>0</v>
      </c>
      <c r="O140" t="n">
        <v>0</v>
      </c>
      <c r="P140" t="n">
        <v>0</v>
      </c>
      <c r="Q140" t="n">
        <v>0</v>
      </c>
      <c r="R140" s="2" t="inlineStr"/>
    </row>
    <row r="141" ht="15" customHeight="1">
      <c r="A141" t="inlineStr">
        <is>
          <t>A 32916-2025</t>
        </is>
      </c>
      <c r="B141" s="1" t="n">
        <v>45839</v>
      </c>
      <c r="C141" s="1" t="n">
        <v>45934</v>
      </c>
      <c r="D141" t="inlineStr">
        <is>
          <t>VÄSTMANLANDS LÄN</t>
        </is>
      </c>
      <c r="E141" t="inlineStr">
        <is>
          <t>SURAHAMMAR</t>
        </is>
      </c>
      <c r="F141" t="inlineStr">
        <is>
          <t>Kommuner</t>
        </is>
      </c>
      <c r="G141" t="n">
        <v>4.9</v>
      </c>
      <c r="H141" t="n">
        <v>0</v>
      </c>
      <c r="I141" t="n">
        <v>0</v>
      </c>
      <c r="J141" t="n">
        <v>0</v>
      </c>
      <c r="K141" t="n">
        <v>0</v>
      </c>
      <c r="L141" t="n">
        <v>0</v>
      </c>
      <c r="M141" t="n">
        <v>0</v>
      </c>
      <c r="N141" t="n">
        <v>0</v>
      </c>
      <c r="O141" t="n">
        <v>0</v>
      </c>
      <c r="P141" t="n">
        <v>0</v>
      </c>
      <c r="Q141" t="n">
        <v>0</v>
      </c>
      <c r="R141" s="2" t="inlineStr"/>
    </row>
    <row r="142" ht="15" customHeight="1">
      <c r="A142" t="inlineStr">
        <is>
          <t>A 24167-2024</t>
        </is>
      </c>
      <c r="B142" s="1" t="n">
        <v>45456</v>
      </c>
      <c r="C142" s="1" t="n">
        <v>45934</v>
      </c>
      <c r="D142" t="inlineStr">
        <is>
          <t>VÄSTMANLANDS LÄN</t>
        </is>
      </c>
      <c r="E142" t="inlineStr">
        <is>
          <t>SURAHAMMAR</t>
        </is>
      </c>
      <c r="G142" t="n">
        <v>0.6</v>
      </c>
      <c r="H142" t="n">
        <v>0</v>
      </c>
      <c r="I142" t="n">
        <v>0</v>
      </c>
      <c r="J142" t="n">
        <v>0</v>
      </c>
      <c r="K142" t="n">
        <v>0</v>
      </c>
      <c r="L142" t="n">
        <v>0</v>
      </c>
      <c r="M142" t="n">
        <v>0</v>
      </c>
      <c r="N142" t="n">
        <v>0</v>
      </c>
      <c r="O142" t="n">
        <v>0</v>
      </c>
      <c r="P142" t="n">
        <v>0</v>
      </c>
      <c r="Q142" t="n">
        <v>0</v>
      </c>
      <c r="R142" s="2" t="inlineStr"/>
    </row>
    <row r="143" ht="15" customHeight="1">
      <c r="A143" t="inlineStr">
        <is>
          <t>A 56378-2023</t>
        </is>
      </c>
      <c r="B143" s="1" t="n">
        <v>45236</v>
      </c>
      <c r="C143" s="1" t="n">
        <v>45934</v>
      </c>
      <c r="D143" t="inlineStr">
        <is>
          <t>VÄSTMANLANDS LÄN</t>
        </is>
      </c>
      <c r="E143" t="inlineStr">
        <is>
          <t>SURAHAMMAR</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52074-2020</t>
        </is>
      </c>
      <c r="B144" s="1" t="n">
        <v>44117</v>
      </c>
      <c r="C144" s="1" t="n">
        <v>45934</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32910-2025</t>
        </is>
      </c>
      <c r="B145" s="1" t="n">
        <v>45839</v>
      </c>
      <c r="C145" s="1" t="n">
        <v>45934</v>
      </c>
      <c r="D145" t="inlineStr">
        <is>
          <t>VÄSTMANLANDS LÄN</t>
        </is>
      </c>
      <c r="E145" t="inlineStr">
        <is>
          <t>SURAHAMMAR</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45934</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11501-2023</t>
        </is>
      </c>
      <c r="B147" s="1" t="n">
        <v>44991</v>
      </c>
      <c r="C147" s="1" t="n">
        <v>45934</v>
      </c>
      <c r="D147" t="inlineStr">
        <is>
          <t>VÄSTMANLANDS LÄN</t>
        </is>
      </c>
      <c r="E147" t="inlineStr">
        <is>
          <t>SURAHAMMAR</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42088-2025</t>
        </is>
      </c>
      <c r="B148" s="1" t="n">
        <v>45902</v>
      </c>
      <c r="C148" s="1" t="n">
        <v>45934</v>
      </c>
      <c r="D148" t="inlineStr">
        <is>
          <t>VÄSTMANLANDS LÄN</t>
        </is>
      </c>
      <c r="E148" t="inlineStr">
        <is>
          <t>SURAHAMMAR</t>
        </is>
      </c>
      <c r="G148" t="n">
        <v>1</v>
      </c>
      <c r="H148" t="n">
        <v>0</v>
      </c>
      <c r="I148" t="n">
        <v>0</v>
      </c>
      <c r="J148" t="n">
        <v>0</v>
      </c>
      <c r="K148" t="n">
        <v>0</v>
      </c>
      <c r="L148" t="n">
        <v>0</v>
      </c>
      <c r="M148" t="n">
        <v>0</v>
      </c>
      <c r="N148" t="n">
        <v>0</v>
      </c>
      <c r="O148" t="n">
        <v>0</v>
      </c>
      <c r="P148" t="n">
        <v>0</v>
      </c>
      <c r="Q148" t="n">
        <v>0</v>
      </c>
      <c r="R148" s="2" t="inlineStr"/>
    </row>
    <row r="149" ht="15" customHeight="1">
      <c r="A149" t="inlineStr">
        <is>
          <t>A 10396-2025</t>
        </is>
      </c>
      <c r="B149" s="1" t="n">
        <v>45720.60721064815</v>
      </c>
      <c r="C149" s="1" t="n">
        <v>45934</v>
      </c>
      <c r="D149" t="inlineStr">
        <is>
          <t>VÄSTMANLANDS LÄN</t>
        </is>
      </c>
      <c r="E149" t="inlineStr">
        <is>
          <t>SURAHAMMAR</t>
        </is>
      </c>
      <c r="F149" t="inlineStr">
        <is>
          <t>Allmännings- och besparingsskogar</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43255-2025</t>
        </is>
      </c>
      <c r="B150" s="1" t="n">
        <v>45910.55325231481</v>
      </c>
      <c r="C150" s="1" t="n">
        <v>45934</v>
      </c>
      <c r="D150" t="inlineStr">
        <is>
          <t>VÄSTMANLANDS LÄN</t>
        </is>
      </c>
      <c r="E150" t="inlineStr">
        <is>
          <t>SURAHAMMAR</t>
        </is>
      </c>
      <c r="G150" t="n">
        <v>1.9</v>
      </c>
      <c r="H150" t="n">
        <v>0</v>
      </c>
      <c r="I150" t="n">
        <v>0</v>
      </c>
      <c r="J150" t="n">
        <v>0</v>
      </c>
      <c r="K150" t="n">
        <v>0</v>
      </c>
      <c r="L150" t="n">
        <v>0</v>
      </c>
      <c r="M150" t="n">
        <v>0</v>
      </c>
      <c r="N150" t="n">
        <v>0</v>
      </c>
      <c r="O150" t="n">
        <v>0</v>
      </c>
      <c r="P150" t="n">
        <v>0</v>
      </c>
      <c r="Q150" t="n">
        <v>0</v>
      </c>
      <c r="R150" s="2" t="inlineStr"/>
    </row>
    <row r="151" ht="15" customHeight="1">
      <c r="A151" t="inlineStr">
        <is>
          <t>A 43249-2025</t>
        </is>
      </c>
      <c r="B151" s="1" t="n">
        <v>45910.55059027778</v>
      </c>
      <c r="C151" s="1" t="n">
        <v>45934</v>
      </c>
      <c r="D151" t="inlineStr">
        <is>
          <t>VÄSTMANLANDS LÄN</t>
        </is>
      </c>
      <c r="E151" t="inlineStr">
        <is>
          <t>SURAHAMMAR</t>
        </is>
      </c>
      <c r="G151" t="n">
        <v>1.9</v>
      </c>
      <c r="H151" t="n">
        <v>0</v>
      </c>
      <c r="I151" t="n">
        <v>0</v>
      </c>
      <c r="J151" t="n">
        <v>0</v>
      </c>
      <c r="K151" t="n">
        <v>0</v>
      </c>
      <c r="L151" t="n">
        <v>0</v>
      </c>
      <c r="M151" t="n">
        <v>0</v>
      </c>
      <c r="N151" t="n">
        <v>0</v>
      </c>
      <c r="O151" t="n">
        <v>0</v>
      </c>
      <c r="P151" t="n">
        <v>0</v>
      </c>
      <c r="Q151" t="n">
        <v>0</v>
      </c>
      <c r="R151" s="2" t="inlineStr"/>
    </row>
    <row r="152">
      <c r="A152" t="inlineStr">
        <is>
          <t>A 3818-2022</t>
        </is>
      </c>
      <c r="B152" s="1" t="n">
        <v>44587</v>
      </c>
      <c r="C152" s="1" t="n">
        <v>45934</v>
      </c>
      <c r="D152" t="inlineStr">
        <is>
          <t>VÄSTMANLANDS LÄN</t>
        </is>
      </c>
      <c r="E152" t="inlineStr">
        <is>
          <t>SURAHAMMAR</t>
        </is>
      </c>
      <c r="G152" t="n">
        <v>2.6</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2025-10-04T12:39:48Z</dcterms:created>
  <dcterms:modified xmlns:dcterms="http://purl.org/dc/terms/" xmlns:xsi="http://www.w3.org/2001/XMLSchema-instance" xsi:type="dcterms:W3CDTF">2025-10-04T12:39:49Z</dcterms:modified>
</cp:coreProperties>
</file>