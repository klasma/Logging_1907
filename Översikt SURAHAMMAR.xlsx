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45886</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45886</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45886</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45886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45886</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45886</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45886</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45886</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45886</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45886</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7791-2024</t>
        </is>
      </c>
      <c r="B17" s="1" t="n">
        <v>45348</v>
      </c>
      <c r="C17" s="1" t="n">
        <v>45886</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45886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56299-2021</t>
        </is>
      </c>
      <c r="B19" s="1" t="n">
        <v>44477</v>
      </c>
      <c r="C19" s="1" t="n">
        <v>45886</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45886</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45886</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45886</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45886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45886</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45886</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45886</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45886</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45886</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42708-2022</t>
        </is>
      </c>
      <c r="B29" s="1" t="n">
        <v>44832</v>
      </c>
      <c r="C29" s="1" t="n">
        <v>45886</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29707-2025</t>
        </is>
      </c>
      <c r="B30" s="1" t="n">
        <v>45825.56100694444</v>
      </c>
      <c r="C30" s="1" t="n">
        <v>45886</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49718-2023</t>
        </is>
      </c>
      <c r="B31" s="1" t="n">
        <v>45212</v>
      </c>
      <c r="C31" s="1" t="n">
        <v>45886</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8552-2022</t>
        </is>
      </c>
      <c r="B32" s="1" t="n">
        <v>44613</v>
      </c>
      <c r="C32" s="1" t="n">
        <v>45886</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48128-2023</t>
        </is>
      </c>
      <c r="B33" s="1" t="n">
        <v>45205</v>
      </c>
      <c r="C33" s="1" t="n">
        <v>45886</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42853-2022</t>
        </is>
      </c>
      <c r="B34" s="1" t="n">
        <v>44832</v>
      </c>
      <c r="C34" s="1" t="n">
        <v>45886</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45886</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45886</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45886</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45886</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37800-2021</t>
        </is>
      </c>
      <c r="B39" s="1" t="n">
        <v>44402</v>
      </c>
      <c r="C39" s="1" t="n">
        <v>45886</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41204-2023</t>
        </is>
      </c>
      <c r="B40" s="1" t="n">
        <v>45174</v>
      </c>
      <c r="C40" s="1" t="n">
        <v>45886</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45886</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45886</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45886</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45886</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45886</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45886</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13971-2023</t>
        </is>
      </c>
      <c r="B47" s="1" t="n">
        <v>45007</v>
      </c>
      <c r="C47" s="1" t="n">
        <v>45886</v>
      </c>
      <c r="D47" t="inlineStr">
        <is>
          <t>VÄSTMANLANDS LÄN</t>
        </is>
      </c>
      <c r="E47" t="inlineStr">
        <is>
          <t>SURAHAMMAR</t>
        </is>
      </c>
      <c r="F47" t="inlineStr">
        <is>
          <t>Bergvik skog väst AB</t>
        </is>
      </c>
      <c r="G47" t="n">
        <v>2.9</v>
      </c>
      <c r="H47" t="n">
        <v>1</v>
      </c>
      <c r="I47" t="n">
        <v>0</v>
      </c>
      <c r="J47" t="n">
        <v>0</v>
      </c>
      <c r="K47" t="n">
        <v>0</v>
      </c>
      <c r="L47" t="n">
        <v>0</v>
      </c>
      <c r="M47" t="n">
        <v>0</v>
      </c>
      <c r="N47" t="n">
        <v>0</v>
      </c>
      <c r="O47" t="n">
        <v>0</v>
      </c>
      <c r="P47" t="n">
        <v>0</v>
      </c>
      <c r="Q47" t="n">
        <v>1</v>
      </c>
      <c r="R47" s="2" t="inlineStr">
        <is>
          <t>Fläcknycklar</t>
        </is>
      </c>
      <c r="S47">
        <f>HYPERLINK("https://klasma.github.io/Logging_1907/artfynd/A 13971-2023 artfynd.xlsx", "A 13971-2023")</f>
        <v/>
      </c>
      <c r="T47">
        <f>HYPERLINK("https://klasma.github.io/Logging_1907/kartor/A 13971-2023 karta.png", "A 13971-2023")</f>
        <v/>
      </c>
      <c r="V47">
        <f>HYPERLINK("https://klasma.github.io/Logging_1907/klagomål/A 13971-2023 FSC-klagomål.docx", "A 13971-2023")</f>
        <v/>
      </c>
      <c r="W47">
        <f>HYPERLINK("https://klasma.github.io/Logging_1907/klagomålsmail/A 13971-2023 FSC-klagomål mail.docx", "A 13971-2023")</f>
        <v/>
      </c>
      <c r="X47">
        <f>HYPERLINK("https://klasma.github.io/Logging_1907/tillsyn/A 13971-2023 tillsynsbegäran.docx", "A 13971-2023")</f>
        <v/>
      </c>
      <c r="Y47">
        <f>HYPERLINK("https://klasma.github.io/Logging_1907/tillsynsmail/A 13971-2023 tillsynsbegäran mail.docx", "A 13971-2023")</f>
        <v/>
      </c>
    </row>
    <row r="48" ht="15" customHeight="1">
      <c r="A48" t="inlineStr">
        <is>
          <t>A 42765-2022</t>
        </is>
      </c>
      <c r="B48" s="1" t="n">
        <v>44832</v>
      </c>
      <c r="C48" s="1" t="n">
        <v>45886</v>
      </c>
      <c r="D48" t="inlineStr">
        <is>
          <t>VÄSTMANLANDS LÄN</t>
        </is>
      </c>
      <c r="E48" t="inlineStr">
        <is>
          <t>SURAHAMMAR</t>
        </is>
      </c>
      <c r="G48" t="n">
        <v>1.8</v>
      </c>
      <c r="H48" t="n">
        <v>1</v>
      </c>
      <c r="I48" t="n">
        <v>0</v>
      </c>
      <c r="J48" t="n">
        <v>0</v>
      </c>
      <c r="K48" t="n">
        <v>0</v>
      </c>
      <c r="L48" t="n">
        <v>0</v>
      </c>
      <c r="M48" t="n">
        <v>0</v>
      </c>
      <c r="N48" t="n">
        <v>0</v>
      </c>
      <c r="O48" t="n">
        <v>0</v>
      </c>
      <c r="P48" t="n">
        <v>0</v>
      </c>
      <c r="Q48" t="n">
        <v>1</v>
      </c>
      <c r="R48" s="2" t="inlineStr">
        <is>
          <t>Blåsippa</t>
        </is>
      </c>
      <c r="S48">
        <f>HYPERLINK("https://klasma.github.io/Logging_1907/artfynd/A 42765-2022 artfynd.xlsx", "A 42765-2022")</f>
        <v/>
      </c>
      <c r="T48">
        <f>HYPERLINK("https://klasma.github.io/Logging_1907/kartor/A 42765-2022 karta.png", "A 42765-2022")</f>
        <v/>
      </c>
      <c r="V48">
        <f>HYPERLINK("https://klasma.github.io/Logging_1907/klagomål/A 42765-2022 FSC-klagomål.docx", "A 42765-2022")</f>
        <v/>
      </c>
      <c r="W48">
        <f>HYPERLINK("https://klasma.github.io/Logging_1907/klagomålsmail/A 42765-2022 FSC-klagomål mail.docx", "A 42765-2022")</f>
        <v/>
      </c>
      <c r="X48">
        <f>HYPERLINK("https://klasma.github.io/Logging_1907/tillsyn/A 42765-2022 tillsynsbegäran.docx", "A 42765-2022")</f>
        <v/>
      </c>
      <c r="Y48">
        <f>HYPERLINK("https://klasma.github.io/Logging_1907/tillsynsmail/A 42765-2022 tillsynsbegäran mail.docx", "A 42765-2022")</f>
        <v/>
      </c>
    </row>
    <row r="49" ht="15" customHeight="1">
      <c r="A49" t="inlineStr">
        <is>
          <t>A 44356-2024</t>
        </is>
      </c>
      <c r="B49" s="1" t="n">
        <v>45573</v>
      </c>
      <c r="C49" s="1" t="n">
        <v>45886</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13788-2025</t>
        </is>
      </c>
      <c r="B50" s="1" t="n">
        <v>45737.45327546296</v>
      </c>
      <c r="C50" s="1" t="n">
        <v>45886</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39099-2022</t>
        </is>
      </c>
      <c r="B51" s="1" t="n">
        <v>44817</v>
      </c>
      <c r="C51" s="1" t="n">
        <v>45886</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69777-2021</t>
        </is>
      </c>
      <c r="B52" s="1" t="n">
        <v>44532</v>
      </c>
      <c r="C52" s="1" t="n">
        <v>45886</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45886</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17632-2022</t>
        </is>
      </c>
      <c r="B54" s="1" t="n">
        <v>44680</v>
      </c>
      <c r="C54" s="1" t="n">
        <v>45886</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47453-2024</t>
        </is>
      </c>
      <c r="B55" s="1" t="n">
        <v>45587.55017361111</v>
      </c>
      <c r="C55" s="1" t="n">
        <v>45886</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10819-2024</t>
        </is>
      </c>
      <c r="B56" s="1" t="n">
        <v>45369.66049768519</v>
      </c>
      <c r="C56" s="1" t="n">
        <v>45886</v>
      </c>
      <c r="D56" t="inlineStr">
        <is>
          <t>VÄSTMANLANDS LÄN</t>
        </is>
      </c>
      <c r="E56" t="inlineStr">
        <is>
          <t>SURAHAMMAR</t>
        </is>
      </c>
      <c r="G56" t="n">
        <v>2</v>
      </c>
      <c r="H56" t="n">
        <v>0</v>
      </c>
      <c r="I56" t="n">
        <v>1</v>
      </c>
      <c r="J56" t="n">
        <v>0</v>
      </c>
      <c r="K56" t="n">
        <v>0</v>
      </c>
      <c r="L56" t="n">
        <v>0</v>
      </c>
      <c r="M56" t="n">
        <v>0</v>
      </c>
      <c r="N56" t="n">
        <v>0</v>
      </c>
      <c r="O56" t="n">
        <v>0</v>
      </c>
      <c r="P56" t="n">
        <v>0</v>
      </c>
      <c r="Q56" t="n">
        <v>1</v>
      </c>
      <c r="R56" s="2" t="inlineStr">
        <is>
          <t>Tibast</t>
        </is>
      </c>
      <c r="S56">
        <f>HYPERLINK("https://klasma.github.io/Logging_1907/artfynd/A 10819-2024 artfynd.xlsx", "A 10819-2024")</f>
        <v/>
      </c>
      <c r="T56">
        <f>HYPERLINK("https://klasma.github.io/Logging_1907/kartor/A 10819-2024 karta.png", "A 10819-2024")</f>
        <v/>
      </c>
      <c r="V56">
        <f>HYPERLINK("https://klasma.github.io/Logging_1907/klagomål/A 10819-2024 FSC-klagomål.docx", "A 10819-2024")</f>
        <v/>
      </c>
      <c r="W56">
        <f>HYPERLINK("https://klasma.github.io/Logging_1907/klagomålsmail/A 10819-2024 FSC-klagomål mail.docx", "A 10819-2024")</f>
        <v/>
      </c>
      <c r="X56">
        <f>HYPERLINK("https://klasma.github.io/Logging_1907/tillsyn/A 10819-2024 tillsynsbegäran.docx", "A 10819-2024")</f>
        <v/>
      </c>
      <c r="Y56">
        <f>HYPERLINK("https://klasma.github.io/Logging_1907/tillsynsmail/A 10819-2024 tillsynsbegäran mail.docx", "A 10819-2024")</f>
        <v/>
      </c>
    </row>
    <row r="57" ht="15" customHeight="1">
      <c r="A57" t="inlineStr">
        <is>
          <t>A 22840-2023</t>
        </is>
      </c>
      <c r="B57" s="1" t="n">
        <v>45072</v>
      </c>
      <c r="C57" s="1" t="n">
        <v>45886</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62097-2024</t>
        </is>
      </c>
      <c r="B58" s="1" t="n">
        <v>45646</v>
      </c>
      <c r="C58" s="1" t="n">
        <v>45886</v>
      </c>
      <c r="D58" t="inlineStr">
        <is>
          <t>VÄSTMANLANDS LÄN</t>
        </is>
      </c>
      <c r="E58" t="inlineStr">
        <is>
          <t>SURAHAMMAR</t>
        </is>
      </c>
      <c r="F58" t="inlineStr">
        <is>
          <t>Bergvik skog väst AB</t>
        </is>
      </c>
      <c r="G58" t="n">
        <v>21.7</v>
      </c>
      <c r="H58" t="n">
        <v>1</v>
      </c>
      <c r="I58" t="n">
        <v>0</v>
      </c>
      <c r="J58" t="n">
        <v>0</v>
      </c>
      <c r="K58" t="n">
        <v>0</v>
      </c>
      <c r="L58" t="n">
        <v>0</v>
      </c>
      <c r="M58" t="n">
        <v>0</v>
      </c>
      <c r="N58" t="n">
        <v>0</v>
      </c>
      <c r="O58" t="n">
        <v>0</v>
      </c>
      <c r="P58" t="n">
        <v>0</v>
      </c>
      <c r="Q58" t="n">
        <v>1</v>
      </c>
      <c r="R58" s="2" t="inlineStr">
        <is>
          <t>Revlummer</t>
        </is>
      </c>
      <c r="S58">
        <f>HYPERLINK("https://klasma.github.io/Logging_1907/artfynd/A 62097-2024 artfynd.xlsx", "A 62097-2024")</f>
        <v/>
      </c>
      <c r="T58">
        <f>HYPERLINK("https://klasma.github.io/Logging_1907/kartor/A 62097-2024 karta.png", "A 62097-2024")</f>
        <v/>
      </c>
      <c r="V58">
        <f>HYPERLINK("https://klasma.github.io/Logging_1907/klagomål/A 62097-2024 FSC-klagomål.docx", "A 62097-2024")</f>
        <v/>
      </c>
      <c r="W58">
        <f>HYPERLINK("https://klasma.github.io/Logging_1907/klagomålsmail/A 62097-2024 FSC-klagomål mail.docx", "A 62097-2024")</f>
        <v/>
      </c>
      <c r="X58">
        <f>HYPERLINK("https://klasma.github.io/Logging_1907/tillsyn/A 62097-2024 tillsynsbegäran.docx", "A 62097-2024")</f>
        <v/>
      </c>
      <c r="Y58">
        <f>HYPERLINK("https://klasma.github.io/Logging_1907/tillsynsmail/A 62097-2024 tillsynsbegäran mail.docx", "A 62097-2024")</f>
        <v/>
      </c>
    </row>
    <row r="59" ht="15" customHeight="1">
      <c r="A59" t="inlineStr">
        <is>
          <t>A 45735-2024</t>
        </is>
      </c>
      <c r="B59" s="1" t="n">
        <v>45579</v>
      </c>
      <c r="C59" s="1" t="n">
        <v>45886</v>
      </c>
      <c r="D59" t="inlineStr">
        <is>
          <t>VÄSTMANLANDS LÄN</t>
        </is>
      </c>
      <c r="E59" t="inlineStr">
        <is>
          <t>SURAHAMMAR</t>
        </is>
      </c>
      <c r="F59" t="inlineStr">
        <is>
          <t>Sveaskog</t>
        </is>
      </c>
      <c r="G59" t="n">
        <v>13.5</v>
      </c>
      <c r="H59" t="n">
        <v>1</v>
      </c>
      <c r="I59" t="n">
        <v>0</v>
      </c>
      <c r="J59" t="n">
        <v>0</v>
      </c>
      <c r="K59" t="n">
        <v>0</v>
      </c>
      <c r="L59" t="n">
        <v>0</v>
      </c>
      <c r="M59" t="n">
        <v>0</v>
      </c>
      <c r="N59" t="n">
        <v>0</v>
      </c>
      <c r="O59" t="n">
        <v>0</v>
      </c>
      <c r="P59" t="n">
        <v>0</v>
      </c>
      <c r="Q59" t="n">
        <v>1</v>
      </c>
      <c r="R59" s="2" t="inlineStr">
        <is>
          <t>Revlummer</t>
        </is>
      </c>
      <c r="S59">
        <f>HYPERLINK("https://klasma.github.io/Logging_1907/artfynd/A 45735-2024 artfynd.xlsx", "A 45735-2024")</f>
        <v/>
      </c>
      <c r="T59">
        <f>HYPERLINK("https://klasma.github.io/Logging_1907/kartor/A 45735-2024 karta.png", "A 45735-2024")</f>
        <v/>
      </c>
      <c r="V59">
        <f>HYPERLINK("https://klasma.github.io/Logging_1907/klagomål/A 45735-2024 FSC-klagomål.docx", "A 45735-2024")</f>
        <v/>
      </c>
      <c r="W59">
        <f>HYPERLINK("https://klasma.github.io/Logging_1907/klagomålsmail/A 45735-2024 FSC-klagomål mail.docx", "A 45735-2024")</f>
        <v/>
      </c>
      <c r="X59">
        <f>HYPERLINK("https://klasma.github.io/Logging_1907/tillsyn/A 45735-2024 tillsynsbegäran.docx", "A 45735-2024")</f>
        <v/>
      </c>
      <c r="Y59">
        <f>HYPERLINK("https://klasma.github.io/Logging_1907/tillsynsmail/A 45735-2024 tillsynsbegäran mail.docx", "A 45735-2024")</f>
        <v/>
      </c>
    </row>
    <row r="60" ht="15" customHeight="1">
      <c r="A60" t="inlineStr">
        <is>
          <t>A 44355-2024</t>
        </is>
      </c>
      <c r="B60" s="1" t="n">
        <v>45573</v>
      </c>
      <c r="C60" s="1" t="n">
        <v>45886</v>
      </c>
      <c r="D60" t="inlineStr">
        <is>
          <t>VÄSTMANLANDS LÄN</t>
        </is>
      </c>
      <c r="E60" t="inlineStr">
        <is>
          <t>SURAHAMMAR</t>
        </is>
      </c>
      <c r="F60" t="inlineStr">
        <is>
          <t>Sveaskog</t>
        </is>
      </c>
      <c r="G60" t="n">
        <v>3.5</v>
      </c>
      <c r="H60" t="n">
        <v>1</v>
      </c>
      <c r="I60" t="n">
        <v>0</v>
      </c>
      <c r="J60" t="n">
        <v>0</v>
      </c>
      <c r="K60" t="n">
        <v>0</v>
      </c>
      <c r="L60" t="n">
        <v>0</v>
      </c>
      <c r="M60" t="n">
        <v>0</v>
      </c>
      <c r="N60" t="n">
        <v>0</v>
      </c>
      <c r="O60" t="n">
        <v>0</v>
      </c>
      <c r="P60" t="n">
        <v>0</v>
      </c>
      <c r="Q60" t="n">
        <v>1</v>
      </c>
      <c r="R60" s="2" t="inlineStr">
        <is>
          <t>Revlummer</t>
        </is>
      </c>
      <c r="S60">
        <f>HYPERLINK("https://klasma.github.io/Logging_1907/artfynd/A 44355-2024 artfynd.xlsx", "A 44355-2024")</f>
        <v/>
      </c>
      <c r="T60">
        <f>HYPERLINK("https://klasma.github.io/Logging_1907/kartor/A 44355-2024 karta.png", "A 44355-2024")</f>
        <v/>
      </c>
      <c r="V60">
        <f>HYPERLINK("https://klasma.github.io/Logging_1907/klagomål/A 44355-2024 FSC-klagomål.docx", "A 44355-2024")</f>
        <v/>
      </c>
      <c r="W60">
        <f>HYPERLINK("https://klasma.github.io/Logging_1907/klagomålsmail/A 44355-2024 FSC-klagomål mail.docx", "A 44355-2024")</f>
        <v/>
      </c>
      <c r="X60">
        <f>HYPERLINK("https://klasma.github.io/Logging_1907/tillsyn/A 44355-2024 tillsynsbegäran.docx", "A 44355-2024")</f>
        <v/>
      </c>
      <c r="Y60">
        <f>HYPERLINK("https://klasma.github.io/Logging_1907/tillsynsmail/A 44355-2024 tillsynsbegäran mail.docx", "A 44355-2024")</f>
        <v/>
      </c>
    </row>
    <row r="61" ht="15" customHeight="1">
      <c r="A61" t="inlineStr">
        <is>
          <t>A 40411-2021</t>
        </is>
      </c>
      <c r="B61" s="1" t="n">
        <v>44419</v>
      </c>
      <c r="C61" s="1" t="n">
        <v>45886</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45886</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45886</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43451-2024</t>
        </is>
      </c>
      <c r="B64" s="1" t="n">
        <v>45568</v>
      </c>
      <c r="C64" s="1" t="n">
        <v>45886</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31176-2024</t>
        </is>
      </c>
      <c r="B65" s="1" t="n">
        <v>45503</v>
      </c>
      <c r="C65" s="1" t="n">
        <v>45886</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43177-2020</t>
        </is>
      </c>
      <c r="B66" s="1" t="n">
        <v>44081</v>
      </c>
      <c r="C66" s="1" t="n">
        <v>45886</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45886</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45886</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45886</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45886</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45886</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45886</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45886</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45886</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45886</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45886</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45886</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45886</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45886</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45886</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45886</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45886</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45886</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45886</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45886</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45886</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45886</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45886</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45886</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66350-2021</t>
        </is>
      </c>
      <c r="B90" s="1" t="n">
        <v>44518</v>
      </c>
      <c r="C90" s="1" t="n">
        <v>45886</v>
      </c>
      <c r="D90" t="inlineStr">
        <is>
          <t>VÄSTMANLANDS LÄN</t>
        </is>
      </c>
      <c r="E90" t="inlineStr">
        <is>
          <t>SURAHAMMAR</t>
        </is>
      </c>
      <c r="F90" t="inlineStr">
        <is>
          <t>Sveaskog</t>
        </is>
      </c>
      <c r="G90" t="n">
        <v>3.5</v>
      </c>
      <c r="H90" t="n">
        <v>0</v>
      </c>
      <c r="I90" t="n">
        <v>0</v>
      </c>
      <c r="J90" t="n">
        <v>0</v>
      </c>
      <c r="K90" t="n">
        <v>0</v>
      </c>
      <c r="L90" t="n">
        <v>0</v>
      </c>
      <c r="M90" t="n">
        <v>0</v>
      </c>
      <c r="N90" t="n">
        <v>0</v>
      </c>
      <c r="O90" t="n">
        <v>0</v>
      </c>
      <c r="P90" t="n">
        <v>0</v>
      </c>
      <c r="Q90" t="n">
        <v>0</v>
      </c>
      <c r="R90" s="2" t="inlineStr"/>
    </row>
    <row r="91" ht="15" customHeight="1">
      <c r="A91" t="inlineStr">
        <is>
          <t>A 67611-2021</t>
        </is>
      </c>
      <c r="B91" s="1" t="n">
        <v>44524</v>
      </c>
      <c r="C91" s="1" t="n">
        <v>45886</v>
      </c>
      <c r="D91" t="inlineStr">
        <is>
          <t>VÄSTMANLANDS LÄN</t>
        </is>
      </c>
      <c r="E91" t="inlineStr">
        <is>
          <t>SURAHAMMAR</t>
        </is>
      </c>
      <c r="F91" t="inlineStr">
        <is>
          <t>Kommuner</t>
        </is>
      </c>
      <c r="G91" t="n">
        <v>3.8</v>
      </c>
      <c r="H91" t="n">
        <v>0</v>
      </c>
      <c r="I91" t="n">
        <v>0</v>
      </c>
      <c r="J91" t="n">
        <v>0</v>
      </c>
      <c r="K91" t="n">
        <v>0</v>
      </c>
      <c r="L91" t="n">
        <v>0</v>
      </c>
      <c r="M91" t="n">
        <v>0</v>
      </c>
      <c r="N91" t="n">
        <v>0</v>
      </c>
      <c r="O91" t="n">
        <v>0</v>
      </c>
      <c r="P91" t="n">
        <v>0</v>
      </c>
      <c r="Q91" t="n">
        <v>0</v>
      </c>
      <c r="R91" s="2" t="inlineStr"/>
    </row>
    <row r="92" ht="15" customHeight="1">
      <c r="A92" t="inlineStr">
        <is>
          <t>A 19846-2022</t>
        </is>
      </c>
      <c r="B92" s="1" t="n">
        <v>44696.89327546296</v>
      </c>
      <c r="C92" s="1" t="n">
        <v>45886</v>
      </c>
      <c r="D92" t="inlineStr">
        <is>
          <t>VÄSTMANLANDS LÄN</t>
        </is>
      </c>
      <c r="E92" t="inlineStr">
        <is>
          <t>SURAHAMMAR</t>
        </is>
      </c>
      <c r="F92" t="inlineStr">
        <is>
          <t>Kommuner</t>
        </is>
      </c>
      <c r="G92" t="n">
        <v>3.4</v>
      </c>
      <c r="H92" t="n">
        <v>0</v>
      </c>
      <c r="I92" t="n">
        <v>0</v>
      </c>
      <c r="J92" t="n">
        <v>0</v>
      </c>
      <c r="K92" t="n">
        <v>0</v>
      </c>
      <c r="L92" t="n">
        <v>0</v>
      </c>
      <c r="M92" t="n">
        <v>0</v>
      </c>
      <c r="N92" t="n">
        <v>0</v>
      </c>
      <c r="O92" t="n">
        <v>0</v>
      </c>
      <c r="P92" t="n">
        <v>0</v>
      </c>
      <c r="Q92" t="n">
        <v>0</v>
      </c>
      <c r="R92" s="2" t="inlineStr"/>
    </row>
    <row r="93" ht="15" customHeight="1">
      <c r="A93" t="inlineStr">
        <is>
          <t>A 7787-2024</t>
        </is>
      </c>
      <c r="B93" s="1" t="n">
        <v>45348</v>
      </c>
      <c r="C93" s="1" t="n">
        <v>45886</v>
      </c>
      <c r="D93" t="inlineStr">
        <is>
          <t>VÄSTMANLANDS LÄN</t>
        </is>
      </c>
      <c r="E93" t="inlineStr">
        <is>
          <t>SURAHAMMAR</t>
        </is>
      </c>
      <c r="G93" t="n">
        <v>1</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45886</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45886</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45886</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45886</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45886</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25417-2024</t>
        </is>
      </c>
      <c r="B99" s="1" t="n">
        <v>45463</v>
      </c>
      <c r="C99" s="1" t="n">
        <v>45886</v>
      </c>
      <c r="D99" t="inlineStr">
        <is>
          <t>VÄSTMANLANDS LÄN</t>
        </is>
      </c>
      <c r="E99" t="inlineStr">
        <is>
          <t>SURAHAMMAR</t>
        </is>
      </c>
      <c r="F99" t="inlineStr">
        <is>
          <t>Sveaskog</t>
        </is>
      </c>
      <c r="G99" t="n">
        <v>3.4</v>
      </c>
      <c r="H99" t="n">
        <v>0</v>
      </c>
      <c r="I99" t="n">
        <v>0</v>
      </c>
      <c r="J99" t="n">
        <v>0</v>
      </c>
      <c r="K99" t="n">
        <v>0</v>
      </c>
      <c r="L99" t="n">
        <v>0</v>
      </c>
      <c r="M99" t="n">
        <v>0</v>
      </c>
      <c r="N99" t="n">
        <v>0</v>
      </c>
      <c r="O99" t="n">
        <v>0</v>
      </c>
      <c r="P99" t="n">
        <v>0</v>
      </c>
      <c r="Q99" t="n">
        <v>0</v>
      </c>
      <c r="R99" s="2" t="inlineStr"/>
    </row>
    <row r="100" ht="15" customHeight="1">
      <c r="A100" t="inlineStr">
        <is>
          <t>A 25450-2024</t>
        </is>
      </c>
      <c r="B100" s="1" t="n">
        <v>45463</v>
      </c>
      <c r="C100" s="1" t="n">
        <v>45886</v>
      </c>
      <c r="D100" t="inlineStr">
        <is>
          <t>VÄSTMANLANDS LÄN</t>
        </is>
      </c>
      <c r="E100" t="inlineStr">
        <is>
          <t>SURAHAMMAR</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45886</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45886</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45886</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45886</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72367-2021</t>
        </is>
      </c>
      <c r="B105" s="1" t="n">
        <v>44545</v>
      </c>
      <c r="C105" s="1" t="n">
        <v>45886</v>
      </c>
      <c r="D105" t="inlineStr">
        <is>
          <t>VÄSTMANLANDS LÄN</t>
        </is>
      </c>
      <c r="E105" t="inlineStr">
        <is>
          <t>SURAHAMMAR</t>
        </is>
      </c>
      <c r="G105" t="n">
        <v>2.5</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45886</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44357-2024</t>
        </is>
      </c>
      <c r="B107" s="1" t="n">
        <v>45573</v>
      </c>
      <c r="C107" s="1" t="n">
        <v>45886</v>
      </c>
      <c r="D107" t="inlineStr">
        <is>
          <t>VÄSTMANLANDS LÄN</t>
        </is>
      </c>
      <c r="E107" t="inlineStr">
        <is>
          <t>SURAHAMMAR</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45886</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45886</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45886</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45886</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45886</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44358-2024</t>
        </is>
      </c>
      <c r="B113" s="1" t="n">
        <v>45573</v>
      </c>
      <c r="C113" s="1" t="n">
        <v>45886</v>
      </c>
      <c r="D113" t="inlineStr">
        <is>
          <t>VÄSTMANLANDS LÄN</t>
        </is>
      </c>
      <c r="E113" t="inlineStr">
        <is>
          <t>SURAHAMMAR</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44359-2024</t>
        </is>
      </c>
      <c r="B114" s="1" t="n">
        <v>45573</v>
      </c>
      <c r="C114" s="1" t="n">
        <v>45886</v>
      </c>
      <c r="D114" t="inlineStr">
        <is>
          <t>VÄSTMANLANDS LÄN</t>
        </is>
      </c>
      <c r="E114" t="inlineStr">
        <is>
          <t>SURAHAMMAR</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34582-2025</t>
        </is>
      </c>
      <c r="B115" s="1" t="n">
        <v>45846</v>
      </c>
      <c r="C115" s="1" t="n">
        <v>45886</v>
      </c>
      <c r="D115" t="inlineStr">
        <is>
          <t>VÄSTMANLANDS LÄN</t>
        </is>
      </c>
      <c r="E115" t="inlineStr">
        <is>
          <t>SURAHAMMAR</t>
        </is>
      </c>
      <c r="F115" t="inlineStr">
        <is>
          <t>Bergvik skog väst AB</t>
        </is>
      </c>
      <c r="G115" t="n">
        <v>2.6</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45886</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45886</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45886</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45886</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45886</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3818-2022</t>
        </is>
      </c>
      <c r="B121" s="1" t="n">
        <v>44587</v>
      </c>
      <c r="C121" s="1" t="n">
        <v>45886</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45886</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45886</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45886</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45886</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44353-2024</t>
        </is>
      </c>
      <c r="B126" s="1" t="n">
        <v>45573</v>
      </c>
      <c r="C126" s="1" t="n">
        <v>45886</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45886</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41576-2022</t>
        </is>
      </c>
      <c r="B128" s="1" t="n">
        <v>44826</v>
      </c>
      <c r="C128" s="1" t="n">
        <v>45886</v>
      </c>
      <c r="D128" t="inlineStr">
        <is>
          <t>VÄSTMANLANDS LÄN</t>
        </is>
      </c>
      <c r="E128" t="inlineStr">
        <is>
          <t>SURAHAMMAR</t>
        </is>
      </c>
      <c r="F128" t="inlineStr">
        <is>
          <t>Bergvik skog väst AB</t>
        </is>
      </c>
      <c r="G128" t="n">
        <v>6.4</v>
      </c>
      <c r="H128" t="n">
        <v>0</v>
      </c>
      <c r="I128" t="n">
        <v>0</v>
      </c>
      <c r="J128" t="n">
        <v>0</v>
      </c>
      <c r="K128" t="n">
        <v>0</v>
      </c>
      <c r="L128" t="n">
        <v>0</v>
      </c>
      <c r="M128" t="n">
        <v>0</v>
      </c>
      <c r="N128" t="n">
        <v>0</v>
      </c>
      <c r="O128" t="n">
        <v>0</v>
      </c>
      <c r="P128" t="n">
        <v>0</v>
      </c>
      <c r="Q128" t="n">
        <v>0</v>
      </c>
      <c r="R128" s="2" t="inlineStr"/>
    </row>
    <row r="129" ht="15" customHeight="1">
      <c r="A129" t="inlineStr">
        <is>
          <t>A 13119-2022</t>
        </is>
      </c>
      <c r="B129" s="1" t="n">
        <v>44643</v>
      </c>
      <c r="C129" s="1" t="n">
        <v>45886</v>
      </c>
      <c r="D129" t="inlineStr">
        <is>
          <t>VÄSTMANLANDS LÄN</t>
        </is>
      </c>
      <c r="E129" t="inlineStr">
        <is>
          <t>SURAHAMMAR</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19782-2023</t>
        </is>
      </c>
      <c r="B130" s="1" t="n">
        <v>45050</v>
      </c>
      <c r="C130" s="1" t="n">
        <v>45886</v>
      </c>
      <c r="D130" t="inlineStr">
        <is>
          <t>VÄSTMANLANDS LÄN</t>
        </is>
      </c>
      <c r="E130" t="inlineStr">
        <is>
          <t>SURAHAMMAR</t>
        </is>
      </c>
      <c r="F130" t="inlineStr">
        <is>
          <t>Bergvik skog väst AB</t>
        </is>
      </c>
      <c r="G130" t="n">
        <v>5.2</v>
      </c>
      <c r="H130" t="n">
        <v>0</v>
      </c>
      <c r="I130" t="n">
        <v>0</v>
      </c>
      <c r="J130" t="n">
        <v>0</v>
      </c>
      <c r="K130" t="n">
        <v>0</v>
      </c>
      <c r="L130" t="n">
        <v>0</v>
      </c>
      <c r="M130" t="n">
        <v>0</v>
      </c>
      <c r="N130" t="n">
        <v>0</v>
      </c>
      <c r="O130" t="n">
        <v>0</v>
      </c>
      <c r="P130" t="n">
        <v>0</v>
      </c>
      <c r="Q130" t="n">
        <v>0</v>
      </c>
      <c r="R130" s="2" t="inlineStr"/>
    </row>
    <row r="131" ht="15" customHeight="1">
      <c r="A131" t="inlineStr">
        <is>
          <t>A 37954-2025</t>
        </is>
      </c>
      <c r="B131" s="1" t="n">
        <v>45881</v>
      </c>
      <c r="C131" s="1" t="n">
        <v>45886</v>
      </c>
      <c r="D131" t="inlineStr">
        <is>
          <t>VÄSTMANLANDS LÄN</t>
        </is>
      </c>
      <c r="E131" t="inlineStr">
        <is>
          <t>SURAHAMMAR</t>
        </is>
      </c>
      <c r="G131" t="n">
        <v>9.5</v>
      </c>
      <c r="H131" t="n">
        <v>0</v>
      </c>
      <c r="I131" t="n">
        <v>0</v>
      </c>
      <c r="J131" t="n">
        <v>0</v>
      </c>
      <c r="K131" t="n">
        <v>0</v>
      </c>
      <c r="L131" t="n">
        <v>0</v>
      </c>
      <c r="M131" t="n">
        <v>0</v>
      </c>
      <c r="N131" t="n">
        <v>0</v>
      </c>
      <c r="O131" t="n">
        <v>0</v>
      </c>
      <c r="P131" t="n">
        <v>0</v>
      </c>
      <c r="Q131" t="n">
        <v>0</v>
      </c>
      <c r="R131" s="2" t="inlineStr"/>
    </row>
    <row r="132" ht="15" customHeight="1">
      <c r="A132" t="inlineStr">
        <is>
          <t>A 14626-2023</t>
        </is>
      </c>
      <c r="B132" s="1" t="n">
        <v>45012</v>
      </c>
      <c r="C132" s="1" t="n">
        <v>45886</v>
      </c>
      <c r="D132" t="inlineStr">
        <is>
          <t>VÄSTMANLANDS LÄN</t>
        </is>
      </c>
      <c r="E132" t="inlineStr">
        <is>
          <t>SURAHAMMAR</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52074-2020</t>
        </is>
      </c>
      <c r="B133" s="1" t="n">
        <v>44117</v>
      </c>
      <c r="C133" s="1" t="n">
        <v>45886</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8553-2023</t>
        </is>
      </c>
      <c r="B134" s="1" t="n">
        <v>44977</v>
      </c>
      <c r="C134" s="1" t="n">
        <v>45886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45886</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3085-2023</t>
        </is>
      </c>
      <c r="B136" s="1" t="n">
        <v>44946</v>
      </c>
      <c r="C136" s="1" t="n">
        <v>45886</v>
      </c>
      <c r="D136" t="inlineStr">
        <is>
          <t>VÄSTMANLANDS LÄN</t>
        </is>
      </c>
      <c r="E136" t="inlineStr">
        <is>
          <t>SURAHAMMAR</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11728-2023</t>
        </is>
      </c>
      <c r="B137" s="1" t="n">
        <v>44993</v>
      </c>
      <c r="C137" s="1" t="n">
        <v>45886</v>
      </c>
      <c r="D137" t="inlineStr">
        <is>
          <t>VÄSTMANLANDS LÄN</t>
        </is>
      </c>
      <c r="E137" t="inlineStr">
        <is>
          <t>SURAHAMMAR</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45886</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11501-2023</t>
        </is>
      </c>
      <c r="B139" s="1" t="n">
        <v>44991</v>
      </c>
      <c r="C139" s="1" t="n">
        <v>45886</v>
      </c>
      <c r="D139" t="inlineStr">
        <is>
          <t>VÄSTMANLANDS LÄN</t>
        </is>
      </c>
      <c r="E139" t="inlineStr">
        <is>
          <t>SURAHAMMAR</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45886</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20904-2023</t>
        </is>
      </c>
      <c r="B141" s="1" t="n">
        <v>45060</v>
      </c>
      <c r="C141" s="1" t="n">
        <v>45886</v>
      </c>
      <c r="D141" t="inlineStr">
        <is>
          <t>VÄSTMANLANDS LÄN</t>
        </is>
      </c>
      <c r="E141" t="inlineStr">
        <is>
          <t>SURAHAMMAR</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16608-2022</t>
        </is>
      </c>
      <c r="B142" s="1" t="n">
        <v>44672</v>
      </c>
      <c r="C142" s="1" t="n">
        <v>45886</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42829-2022</t>
        </is>
      </c>
      <c r="B143" s="1" t="n">
        <v>44832</v>
      </c>
      <c r="C143" s="1" t="n">
        <v>45886</v>
      </c>
      <c r="D143" t="inlineStr">
        <is>
          <t>VÄSTMANLANDS LÄN</t>
        </is>
      </c>
      <c r="E143" t="inlineStr">
        <is>
          <t>SURAHAMMAR</t>
        </is>
      </c>
      <c r="G143" t="n">
        <v>1.6</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45886</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15743-2023</t>
        </is>
      </c>
      <c r="B145" s="1" t="n">
        <v>45021</v>
      </c>
      <c r="C145" s="1" t="n">
        <v>45886</v>
      </c>
      <c r="D145" t="inlineStr">
        <is>
          <t>VÄSTMANLANDS LÄN</t>
        </is>
      </c>
      <c r="E145" t="inlineStr">
        <is>
          <t>SURAHAMMAR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45886</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48205-2023</t>
        </is>
      </c>
      <c r="B147" s="1" t="n">
        <v>45205</v>
      </c>
      <c r="C147" s="1" t="n">
        <v>45886</v>
      </c>
      <c r="D147" t="inlineStr">
        <is>
          <t>VÄSTMANLANDS LÄN</t>
        </is>
      </c>
      <c r="E147" t="inlineStr">
        <is>
          <t>SURAHAMMAR</t>
        </is>
      </c>
      <c r="F147" t="inlineStr">
        <is>
          <t>Allmännings- och besparingsskogar</t>
        </is>
      </c>
      <c r="G147" t="n">
        <v>7.6</v>
      </c>
      <c r="H147" t="n">
        <v>0</v>
      </c>
      <c r="I147" t="n">
        <v>0</v>
      </c>
      <c r="J147" t="n">
        <v>0</v>
      </c>
      <c r="K147" t="n">
        <v>0</v>
      </c>
      <c r="L147" t="n">
        <v>0</v>
      </c>
      <c r="M147" t="n">
        <v>0</v>
      </c>
      <c r="N147" t="n">
        <v>0</v>
      </c>
      <c r="O147" t="n">
        <v>0</v>
      </c>
      <c r="P147" t="n">
        <v>0</v>
      </c>
      <c r="Q147" t="n">
        <v>0</v>
      </c>
      <c r="R147" s="2" t="inlineStr"/>
    </row>
    <row r="148" ht="15" customHeight="1">
      <c r="A148" t="inlineStr">
        <is>
          <t>A 13796-2025</t>
        </is>
      </c>
      <c r="B148" s="1" t="n">
        <v>45737.47846064815</v>
      </c>
      <c r="C148" s="1" t="n">
        <v>45886</v>
      </c>
      <c r="D148" t="inlineStr">
        <is>
          <t>VÄSTMANLANDS LÄN</t>
        </is>
      </c>
      <c r="E148" t="inlineStr">
        <is>
          <t>SURAHAMMAR</t>
        </is>
      </c>
      <c r="G148" t="n">
        <v>3.3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45886</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45886</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ht="15" customHeight="1">
      <c r="A151" t="inlineStr">
        <is>
          <t>A 33931-2022</t>
        </is>
      </c>
      <c r="B151" s="1" t="n">
        <v>44790.65153935185</v>
      </c>
      <c r="C151" s="1" t="n">
        <v>45886</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22662-2023</t>
        </is>
      </c>
      <c r="B152" s="1" t="n">
        <v>45071</v>
      </c>
      <c r="C152" s="1" t="n">
        <v>45886</v>
      </c>
      <c r="D152" t="inlineStr">
        <is>
          <t>VÄSTMANLANDS LÄN</t>
        </is>
      </c>
      <c r="E152" t="inlineStr">
        <is>
          <t>SURAHAMMAR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30076-2023</t>
        </is>
      </c>
      <c r="B153" s="1" t="n">
        <v>45110</v>
      </c>
      <c r="C153" s="1" t="n">
        <v>45886</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c r="A154" t="inlineStr">
        <is>
          <t>A 10396-2025</t>
        </is>
      </c>
      <c r="B154" s="1" t="n">
        <v>45720.60721064815</v>
      </c>
      <c r="C154" s="1" t="n">
        <v>45886</v>
      </c>
      <c r="D154" t="inlineStr">
        <is>
          <t>VÄSTMANLANDS LÄN</t>
        </is>
      </c>
      <c r="E154" t="inlineStr">
        <is>
          <t>SURAHAMMAR</t>
        </is>
      </c>
      <c r="F154" t="inlineStr">
        <is>
          <t>Allmännings- och besparingsskogar</t>
        </is>
      </c>
      <c r="G154" t="n">
        <v>9.300000000000001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2025-08-17T08:28:24Z</dcterms:created>
  <dcterms:modified xmlns:dcterms="http://purl.org/dc/terms/" xmlns:xsi="http://www.w3.org/2001/XMLSchema-instance" xsi:type="dcterms:W3CDTF">2025-08-17T08:28:24Z</dcterms:modified>
</cp:coreProperties>
</file>