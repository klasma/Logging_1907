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45924</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45924</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45924</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34759-2023</t>
        </is>
      </c>
      <c r="B7" s="1" t="n">
        <v>45139</v>
      </c>
      <c r="C7" s="1" t="n">
        <v>45924</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45924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45924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45924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45924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45924</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45924</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45924</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45924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45924</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45924</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65024-2023</t>
        </is>
      </c>
      <c r="B22" s="1" t="n">
        <v>45282</v>
      </c>
      <c r="C22" s="1" t="n">
        <v>45924</v>
      </c>
      <c r="D22" t="inlineStr">
        <is>
          <t>VÄSTMANLANDS LÄN</t>
        </is>
      </c>
      <c r="E22" t="inlineStr">
        <is>
          <t>SURAHAMMAR</t>
        </is>
      </c>
      <c r="F22" t="inlineStr">
        <is>
          <t>Bergvik skog väst AB</t>
        </is>
      </c>
      <c r="G22" t="n">
        <v>14.9</v>
      </c>
      <c r="H22" t="n">
        <v>2</v>
      </c>
      <c r="I22" t="n">
        <v>1</v>
      </c>
      <c r="J22" t="n">
        <v>3</v>
      </c>
      <c r="K22" t="n">
        <v>0</v>
      </c>
      <c r="L22" t="n">
        <v>0</v>
      </c>
      <c r="M22" t="n">
        <v>0</v>
      </c>
      <c r="N22" t="n">
        <v>0</v>
      </c>
      <c r="O22" t="n">
        <v>3</v>
      </c>
      <c r="P22" t="n">
        <v>0</v>
      </c>
      <c r="Q22" t="n">
        <v>4</v>
      </c>
      <c r="R22" s="2" t="inlineStr">
        <is>
          <t>Gropticka
Spillkråka
Talltita
Blodticka</t>
        </is>
      </c>
      <c r="S22">
        <f>HYPERLINK("https://klasma.github.io/Logging_1907/artfynd/A 65024-2023 artfynd.xlsx", "A 65024-2023")</f>
        <v/>
      </c>
      <c r="T22">
        <f>HYPERLINK("https://klasma.github.io/Logging_1907/kartor/A 65024-2023 karta.png", "A 65024-2023")</f>
        <v/>
      </c>
      <c r="V22">
        <f>HYPERLINK("https://klasma.github.io/Logging_1907/klagomål/A 65024-2023 FSC-klagomål.docx", "A 65024-2023")</f>
        <v/>
      </c>
      <c r="W22">
        <f>HYPERLINK("https://klasma.github.io/Logging_1907/klagomålsmail/A 65024-2023 FSC-klagomål mail.docx", "A 65024-2023")</f>
        <v/>
      </c>
      <c r="X22">
        <f>HYPERLINK("https://klasma.github.io/Logging_1907/tillsyn/A 65024-2023 tillsynsbegäran.docx", "A 65024-2023")</f>
        <v/>
      </c>
      <c r="Y22">
        <f>HYPERLINK("https://klasma.github.io/Logging_1907/tillsynsmail/A 65024-2023 tillsynsbegäran mail.docx", "A 65024-2023")</f>
        <v/>
      </c>
      <c r="Z22">
        <f>HYPERLINK("https://klasma.github.io/Logging_1907/fåglar/A 65024-2023 prioriterade fågelarter.docx", "A 65024-2023")</f>
        <v/>
      </c>
    </row>
    <row r="23" ht="15" customHeight="1">
      <c r="A23" t="inlineStr">
        <is>
          <t>A 4105-2025</t>
        </is>
      </c>
      <c r="B23" s="1" t="n">
        <v>45684</v>
      </c>
      <c r="C23" s="1" t="n">
        <v>45924</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45924</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45924</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45924</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59550-2020</t>
        </is>
      </c>
      <c r="B27" s="1" t="n">
        <v>44148</v>
      </c>
      <c r="C27" s="1" t="n">
        <v>45924</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42860-2022</t>
        </is>
      </c>
      <c r="B28" s="1" t="n">
        <v>44832</v>
      </c>
      <c r="C28" s="1" t="n">
        <v>45924</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45924</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48128-2023</t>
        </is>
      </c>
      <c r="B30" s="1" t="n">
        <v>45205</v>
      </c>
      <c r="C30" s="1" t="n">
        <v>45924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42708-2022</t>
        </is>
      </c>
      <c r="B31" s="1" t="n">
        <v>44832</v>
      </c>
      <c r="C31" s="1" t="n">
        <v>45924</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45924</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42853-2022</t>
        </is>
      </c>
      <c r="B33" s="1" t="n">
        <v>44832</v>
      </c>
      <c r="C33" s="1" t="n">
        <v>45924</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38200-2021</t>
        </is>
      </c>
      <c r="B34" s="1" t="n">
        <v>44405</v>
      </c>
      <c r="C34" s="1" t="n">
        <v>45924</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49718-2023</t>
        </is>
      </c>
      <c r="B35" s="1" t="n">
        <v>45212</v>
      </c>
      <c r="C35" s="1" t="n">
        <v>45924</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39594-2025</t>
        </is>
      </c>
      <c r="B36" s="1" t="n">
        <v>45890</v>
      </c>
      <c r="C36" s="1" t="n">
        <v>45924</v>
      </c>
      <c r="D36" t="inlineStr">
        <is>
          <t>VÄSTMANLANDS LÄN</t>
        </is>
      </c>
      <c r="E36" t="inlineStr">
        <is>
          <t>SURAHAMMAR</t>
        </is>
      </c>
      <c r="F36" t="inlineStr">
        <is>
          <t>Bergvik skog väst AB</t>
        </is>
      </c>
      <c r="G36" t="n">
        <v>7</v>
      </c>
      <c r="H36" t="n">
        <v>0</v>
      </c>
      <c r="I36" t="n">
        <v>2</v>
      </c>
      <c r="J36" t="n">
        <v>1</v>
      </c>
      <c r="K36" t="n">
        <v>0</v>
      </c>
      <c r="L36" t="n">
        <v>0</v>
      </c>
      <c r="M36" t="n">
        <v>0</v>
      </c>
      <c r="N36" t="n">
        <v>0</v>
      </c>
      <c r="O36" t="n">
        <v>1</v>
      </c>
      <c r="P36" t="n">
        <v>0</v>
      </c>
      <c r="Q36" t="n">
        <v>3</v>
      </c>
      <c r="R36" s="2" t="inlineStr">
        <is>
          <t>Gropticka
Gullgröppa
Vedticka</t>
        </is>
      </c>
      <c r="S36">
        <f>HYPERLINK("https://klasma.github.io/Logging_1907/artfynd/A 39594-2025 artfynd.xlsx", "A 39594-2025")</f>
        <v/>
      </c>
      <c r="T36">
        <f>HYPERLINK("https://klasma.github.io/Logging_1907/kartor/A 39594-2025 karta.png", "A 39594-2025")</f>
        <v/>
      </c>
      <c r="V36">
        <f>HYPERLINK("https://klasma.github.io/Logging_1907/klagomål/A 39594-2025 FSC-klagomål.docx", "A 39594-2025")</f>
        <v/>
      </c>
      <c r="W36">
        <f>HYPERLINK("https://klasma.github.io/Logging_1907/klagomålsmail/A 39594-2025 FSC-klagomål mail.docx", "A 39594-2025")</f>
        <v/>
      </c>
      <c r="X36">
        <f>HYPERLINK("https://klasma.github.io/Logging_1907/tillsyn/A 39594-2025 tillsynsbegäran.docx", "A 39594-2025")</f>
        <v/>
      </c>
      <c r="Y36">
        <f>HYPERLINK("https://klasma.github.io/Logging_1907/tillsynsmail/A 39594-2025 tillsynsbegäran mail.docx", "A 39594-2025")</f>
        <v/>
      </c>
    </row>
    <row r="37" ht="15" customHeight="1">
      <c r="A37" t="inlineStr">
        <is>
          <t>A 8552-2022</t>
        </is>
      </c>
      <c r="B37" s="1" t="n">
        <v>44613</v>
      </c>
      <c r="C37" s="1" t="n">
        <v>45924</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37801-2021</t>
        </is>
      </c>
      <c r="B38" s="1" t="n">
        <v>44402</v>
      </c>
      <c r="C38" s="1" t="n">
        <v>45924</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45924</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45924</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4082-2025</t>
        </is>
      </c>
      <c r="B41" s="1" t="n">
        <v>45684</v>
      </c>
      <c r="C41" s="1" t="n">
        <v>45924</v>
      </c>
      <c r="D41" t="inlineStr">
        <is>
          <t>VÄSTMANLANDS LÄN</t>
        </is>
      </c>
      <c r="E41" t="inlineStr">
        <is>
          <t>SURAHAMMAR</t>
        </is>
      </c>
      <c r="F41" t="inlineStr">
        <is>
          <t>Bergvik skog väst AB</t>
        </is>
      </c>
      <c r="G41" t="n">
        <v>11.6</v>
      </c>
      <c r="H41" t="n">
        <v>1</v>
      </c>
      <c r="I41" t="n">
        <v>2</v>
      </c>
      <c r="J41" t="n">
        <v>0</v>
      </c>
      <c r="K41" t="n">
        <v>0</v>
      </c>
      <c r="L41" t="n">
        <v>0</v>
      </c>
      <c r="M41" t="n">
        <v>0</v>
      </c>
      <c r="N41" t="n">
        <v>0</v>
      </c>
      <c r="O41" t="n">
        <v>0</v>
      </c>
      <c r="P41" t="n">
        <v>0</v>
      </c>
      <c r="Q41" t="n">
        <v>2</v>
      </c>
      <c r="R41" s="2" t="inlineStr">
        <is>
          <t>Grönpyrola
Plattlummer</t>
        </is>
      </c>
      <c r="S41">
        <f>HYPERLINK("https://klasma.github.io/Logging_1907/artfynd/A 4082-2025 artfynd.xlsx", "A 4082-2025")</f>
        <v/>
      </c>
      <c r="T41">
        <f>HYPERLINK("https://klasma.github.io/Logging_1907/kartor/A 4082-2025 karta.png", "A 4082-2025")</f>
        <v/>
      </c>
      <c r="V41">
        <f>HYPERLINK("https://klasma.github.io/Logging_1907/klagomål/A 4082-2025 FSC-klagomål.docx", "A 4082-2025")</f>
        <v/>
      </c>
      <c r="W41">
        <f>HYPERLINK("https://klasma.github.io/Logging_1907/klagomålsmail/A 4082-2025 FSC-klagomål mail.docx", "A 4082-2025")</f>
        <v/>
      </c>
      <c r="X41">
        <f>HYPERLINK("https://klasma.github.io/Logging_1907/tillsyn/A 4082-2025 tillsynsbegäran.docx", "A 4082-2025")</f>
        <v/>
      </c>
      <c r="Y41">
        <f>HYPERLINK("https://klasma.github.io/Logging_1907/tillsynsmail/A 4082-2025 tillsynsbegäran mail.docx", "A 4082-2025")</f>
        <v/>
      </c>
    </row>
    <row r="42" ht="15" customHeight="1">
      <c r="A42" t="inlineStr">
        <is>
          <t>A 41204-2023</t>
        </is>
      </c>
      <c r="B42" s="1" t="n">
        <v>45174</v>
      </c>
      <c r="C42" s="1" t="n">
        <v>45924</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21618-2025</t>
        </is>
      </c>
      <c r="B43" s="1" t="n">
        <v>45783</v>
      </c>
      <c r="C43" s="1" t="n">
        <v>45924</v>
      </c>
      <c r="D43" t="inlineStr">
        <is>
          <t>VÄSTMANLANDS LÄN</t>
        </is>
      </c>
      <c r="E43" t="inlineStr">
        <is>
          <t>SURAHAMMAR</t>
        </is>
      </c>
      <c r="F43" t="inlineStr">
        <is>
          <t>Bergvik skog väst AB</t>
        </is>
      </c>
      <c r="G43" t="n">
        <v>1.1</v>
      </c>
      <c r="H43" t="n">
        <v>2</v>
      </c>
      <c r="I43" t="n">
        <v>1</v>
      </c>
      <c r="J43" t="n">
        <v>0</v>
      </c>
      <c r="K43" t="n">
        <v>0</v>
      </c>
      <c r="L43" t="n">
        <v>0</v>
      </c>
      <c r="M43" t="n">
        <v>0</v>
      </c>
      <c r="N43" t="n">
        <v>0</v>
      </c>
      <c r="O43" t="n">
        <v>0</v>
      </c>
      <c r="P43" t="n">
        <v>0</v>
      </c>
      <c r="Q43" t="n">
        <v>2</v>
      </c>
      <c r="R43" s="2" t="inlineStr">
        <is>
          <t>Plattlummer
Mattlummer</t>
        </is>
      </c>
      <c r="S43">
        <f>HYPERLINK("https://klasma.github.io/Logging_1907/artfynd/A 21618-2025 artfynd.xlsx", "A 21618-2025")</f>
        <v/>
      </c>
      <c r="T43">
        <f>HYPERLINK("https://klasma.github.io/Logging_1907/kartor/A 21618-2025 karta.png", "A 21618-2025")</f>
        <v/>
      </c>
      <c r="V43">
        <f>HYPERLINK("https://klasma.github.io/Logging_1907/klagomål/A 21618-2025 FSC-klagomål.docx", "A 21618-2025")</f>
        <v/>
      </c>
      <c r="W43">
        <f>HYPERLINK("https://klasma.github.io/Logging_1907/klagomålsmail/A 21618-2025 FSC-klagomål mail.docx", "A 21618-2025")</f>
        <v/>
      </c>
      <c r="X43">
        <f>HYPERLINK("https://klasma.github.io/Logging_1907/tillsyn/A 21618-2025 tillsynsbegäran.docx", "A 21618-2025")</f>
        <v/>
      </c>
      <c r="Y43">
        <f>HYPERLINK("https://klasma.github.io/Logging_1907/tillsynsmail/A 21618-2025 tillsynsbegäran mail.docx", "A 21618-2025")</f>
        <v/>
      </c>
    </row>
    <row r="44" ht="15" customHeight="1">
      <c r="A44" t="inlineStr">
        <is>
          <t>A 38170-2021</t>
        </is>
      </c>
      <c r="B44" s="1" t="n">
        <v>44405.43472222222</v>
      </c>
      <c r="C44" s="1" t="n">
        <v>45924</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18717-2021</t>
        </is>
      </c>
      <c r="B45" s="1" t="n">
        <v>44306</v>
      </c>
      <c r="C45" s="1" t="n">
        <v>45924</v>
      </c>
      <c r="D45" t="inlineStr">
        <is>
          <t>VÄSTMANLANDS LÄN</t>
        </is>
      </c>
      <c r="E45" t="inlineStr">
        <is>
          <t>SURAHAMMAR</t>
        </is>
      </c>
      <c r="F45" t="inlineStr">
        <is>
          <t>Bergvik skog väst AB</t>
        </is>
      </c>
      <c r="G45" t="n">
        <v>18</v>
      </c>
      <c r="H45" t="n">
        <v>1</v>
      </c>
      <c r="I45" t="n">
        <v>0</v>
      </c>
      <c r="J45" t="n">
        <v>0</v>
      </c>
      <c r="K45" t="n">
        <v>0</v>
      </c>
      <c r="L45" t="n">
        <v>0</v>
      </c>
      <c r="M45" t="n">
        <v>0</v>
      </c>
      <c r="N45" t="n">
        <v>0</v>
      </c>
      <c r="O45" t="n">
        <v>0</v>
      </c>
      <c r="P45" t="n">
        <v>0</v>
      </c>
      <c r="Q45" t="n">
        <v>1</v>
      </c>
      <c r="R45" s="2" t="inlineStr">
        <is>
          <t>Revlummer</t>
        </is>
      </c>
      <c r="S45">
        <f>HYPERLINK("https://klasma.github.io/Logging_1907/artfynd/A 18717-2021 artfynd.xlsx", "A 18717-2021")</f>
        <v/>
      </c>
      <c r="T45">
        <f>HYPERLINK("https://klasma.github.io/Logging_1907/kartor/A 18717-2021 karta.png", "A 18717-2021")</f>
        <v/>
      </c>
      <c r="V45">
        <f>HYPERLINK("https://klasma.github.io/Logging_1907/klagomål/A 18717-2021 FSC-klagomål.docx", "A 18717-2021")</f>
        <v/>
      </c>
      <c r="W45">
        <f>HYPERLINK("https://klasma.github.io/Logging_1907/klagomålsmail/A 18717-2021 FSC-klagomål mail.docx", "A 18717-2021")</f>
        <v/>
      </c>
      <c r="X45">
        <f>HYPERLINK("https://klasma.github.io/Logging_1907/tillsyn/A 18717-2021 tillsynsbegäran.docx", "A 18717-2021")</f>
        <v/>
      </c>
      <c r="Y45">
        <f>HYPERLINK("https://klasma.github.io/Logging_1907/tillsynsmail/A 18717-2021 tillsynsbegäran mail.docx", "A 18717-2021")</f>
        <v/>
      </c>
    </row>
    <row r="46" ht="15" customHeight="1">
      <c r="A46" t="inlineStr">
        <is>
          <t>A 26700-2022</t>
        </is>
      </c>
      <c r="B46" s="1" t="n">
        <v>44739</v>
      </c>
      <c r="C46" s="1" t="n">
        <v>45924</v>
      </c>
      <c r="D46" t="inlineStr">
        <is>
          <t>VÄSTMANLANDS LÄN</t>
        </is>
      </c>
      <c r="E46" t="inlineStr">
        <is>
          <t>SURAHAMMAR</t>
        </is>
      </c>
      <c r="F46" t="inlineStr">
        <is>
          <t>Kommuner</t>
        </is>
      </c>
      <c r="G46" t="n">
        <v>3.1</v>
      </c>
      <c r="H46" t="n">
        <v>1</v>
      </c>
      <c r="I46" t="n">
        <v>0</v>
      </c>
      <c r="J46" t="n">
        <v>0</v>
      </c>
      <c r="K46" t="n">
        <v>0</v>
      </c>
      <c r="L46" t="n">
        <v>0</v>
      </c>
      <c r="M46" t="n">
        <v>0</v>
      </c>
      <c r="N46" t="n">
        <v>0</v>
      </c>
      <c r="O46" t="n">
        <v>0</v>
      </c>
      <c r="P46" t="n">
        <v>0</v>
      </c>
      <c r="Q46" t="n">
        <v>1</v>
      </c>
      <c r="R46" s="2" t="inlineStr">
        <is>
          <t>Fläcknycklar</t>
        </is>
      </c>
      <c r="S46">
        <f>HYPERLINK("https://klasma.github.io/Logging_1907/artfynd/A 26700-2022 artfynd.xlsx", "A 26700-2022")</f>
        <v/>
      </c>
      <c r="T46">
        <f>HYPERLINK("https://klasma.github.io/Logging_1907/kartor/A 26700-2022 karta.png", "A 26700-2022")</f>
        <v/>
      </c>
      <c r="V46">
        <f>HYPERLINK("https://klasma.github.io/Logging_1907/klagomål/A 26700-2022 FSC-klagomål.docx", "A 26700-2022")</f>
        <v/>
      </c>
      <c r="W46">
        <f>HYPERLINK("https://klasma.github.io/Logging_1907/klagomålsmail/A 26700-2022 FSC-klagomål mail.docx", "A 26700-2022")</f>
        <v/>
      </c>
      <c r="X46">
        <f>HYPERLINK("https://klasma.github.io/Logging_1907/tillsyn/A 26700-2022 tillsynsbegäran.docx", "A 26700-2022")</f>
        <v/>
      </c>
      <c r="Y46">
        <f>HYPERLINK("https://klasma.github.io/Logging_1907/tillsynsmail/A 26700-2022 tillsynsbegäran mail.docx", "A 26700-2022")</f>
        <v/>
      </c>
    </row>
    <row r="47" ht="15" customHeight="1">
      <c r="A47" t="inlineStr">
        <is>
          <t>A 40411-2021</t>
        </is>
      </c>
      <c r="B47" s="1" t="n">
        <v>44419</v>
      </c>
      <c r="C47" s="1" t="n">
        <v>45924</v>
      </c>
      <c r="D47" t="inlineStr">
        <is>
          <t>VÄSTMANLANDS LÄN</t>
        </is>
      </c>
      <c r="E47" t="inlineStr">
        <is>
          <t>SURAHAMMAR</t>
        </is>
      </c>
      <c r="F47" t="inlineStr">
        <is>
          <t>Sveaskog</t>
        </is>
      </c>
      <c r="G47" t="n">
        <v>2.4</v>
      </c>
      <c r="H47" t="n">
        <v>1</v>
      </c>
      <c r="I47" t="n">
        <v>0</v>
      </c>
      <c r="J47" t="n">
        <v>0</v>
      </c>
      <c r="K47" t="n">
        <v>0</v>
      </c>
      <c r="L47" t="n">
        <v>0</v>
      </c>
      <c r="M47" t="n">
        <v>0</v>
      </c>
      <c r="N47" t="n">
        <v>0</v>
      </c>
      <c r="O47" t="n">
        <v>0</v>
      </c>
      <c r="P47" t="n">
        <v>0</v>
      </c>
      <c r="Q47" t="n">
        <v>1</v>
      </c>
      <c r="R47" s="2" t="inlineStr">
        <is>
          <t>Kopparödla</t>
        </is>
      </c>
      <c r="S47">
        <f>HYPERLINK("https://klasma.github.io/Logging_1907/artfynd/A 40411-2021 artfynd.xlsx", "A 40411-2021")</f>
        <v/>
      </c>
      <c r="T47">
        <f>HYPERLINK("https://klasma.github.io/Logging_1907/kartor/A 40411-2021 karta.png", "A 40411-2021")</f>
        <v/>
      </c>
      <c r="V47">
        <f>HYPERLINK("https://klasma.github.io/Logging_1907/klagomål/A 40411-2021 FSC-klagomål.docx", "A 40411-2021")</f>
        <v/>
      </c>
      <c r="W47">
        <f>HYPERLINK("https://klasma.github.io/Logging_1907/klagomålsmail/A 40411-2021 FSC-klagomål mail.docx", "A 40411-2021")</f>
        <v/>
      </c>
      <c r="X47">
        <f>HYPERLINK("https://klasma.github.io/Logging_1907/tillsyn/A 40411-2021 tillsynsbegäran.docx", "A 40411-2021")</f>
        <v/>
      </c>
      <c r="Y47">
        <f>HYPERLINK("https://klasma.github.io/Logging_1907/tillsynsmail/A 40411-2021 tillsynsbegäran mail.docx", "A 40411-2021")</f>
        <v/>
      </c>
    </row>
    <row r="48" ht="15" customHeight="1">
      <c r="A48" t="inlineStr">
        <is>
          <t>A 13788-2025</t>
        </is>
      </c>
      <c r="B48" s="1" t="n">
        <v>45737.45327546296</v>
      </c>
      <c r="C48" s="1" t="n">
        <v>45924</v>
      </c>
      <c r="D48" t="inlineStr">
        <is>
          <t>VÄSTMANLANDS LÄN</t>
        </is>
      </c>
      <c r="E48" t="inlineStr">
        <is>
          <t>SURAHAMMAR</t>
        </is>
      </c>
      <c r="G48" t="n">
        <v>9.699999999999999</v>
      </c>
      <c r="H48" t="n">
        <v>1</v>
      </c>
      <c r="I48" t="n">
        <v>0</v>
      </c>
      <c r="J48" t="n">
        <v>0</v>
      </c>
      <c r="K48" t="n">
        <v>0</v>
      </c>
      <c r="L48" t="n">
        <v>0</v>
      </c>
      <c r="M48" t="n">
        <v>0</v>
      </c>
      <c r="N48" t="n">
        <v>0</v>
      </c>
      <c r="O48" t="n">
        <v>0</v>
      </c>
      <c r="P48" t="n">
        <v>0</v>
      </c>
      <c r="Q48" t="n">
        <v>1</v>
      </c>
      <c r="R48" s="2" t="inlineStr">
        <is>
          <t>Sparvuggla</t>
        </is>
      </c>
      <c r="S48">
        <f>HYPERLINK("https://klasma.github.io/Logging_1907/artfynd/A 13788-2025 artfynd.xlsx", "A 13788-2025")</f>
        <v/>
      </c>
      <c r="T48">
        <f>HYPERLINK("https://klasma.github.io/Logging_1907/kartor/A 13788-2025 karta.png", "A 13788-2025")</f>
        <v/>
      </c>
      <c r="V48">
        <f>HYPERLINK("https://klasma.github.io/Logging_1907/klagomål/A 13788-2025 FSC-klagomål.docx", "A 13788-2025")</f>
        <v/>
      </c>
      <c r="W48">
        <f>HYPERLINK("https://klasma.github.io/Logging_1907/klagomålsmail/A 13788-2025 FSC-klagomål mail.docx", "A 13788-2025")</f>
        <v/>
      </c>
      <c r="X48">
        <f>HYPERLINK("https://klasma.github.io/Logging_1907/tillsyn/A 13788-2025 tillsynsbegäran.docx", "A 13788-2025")</f>
        <v/>
      </c>
      <c r="Y48">
        <f>HYPERLINK("https://klasma.github.io/Logging_1907/tillsynsmail/A 13788-2025 tillsynsbegäran mail.docx", "A 13788-2025")</f>
        <v/>
      </c>
      <c r="Z48">
        <f>HYPERLINK("https://klasma.github.io/Logging_1907/fåglar/A 13788-2025 prioriterade fågelarter.docx", "A 13788-2025")</f>
        <v/>
      </c>
    </row>
    <row r="49" ht="15" customHeight="1">
      <c r="A49" t="inlineStr">
        <is>
          <t>A 30074-2023</t>
        </is>
      </c>
      <c r="B49" s="1" t="n">
        <v>45110</v>
      </c>
      <c r="C49" s="1" t="n">
        <v>45924</v>
      </c>
      <c r="D49" t="inlineStr">
        <is>
          <t>VÄSTMANLANDS LÄN</t>
        </is>
      </c>
      <c r="E49" t="inlineStr">
        <is>
          <t>SURAHAMMAR</t>
        </is>
      </c>
      <c r="F49" t="inlineStr">
        <is>
          <t>Sveaskog</t>
        </is>
      </c>
      <c r="G49" t="n">
        <v>1.1</v>
      </c>
      <c r="H49" t="n">
        <v>1</v>
      </c>
      <c r="I49" t="n">
        <v>0</v>
      </c>
      <c r="J49" t="n">
        <v>0</v>
      </c>
      <c r="K49" t="n">
        <v>0</v>
      </c>
      <c r="L49" t="n">
        <v>0</v>
      </c>
      <c r="M49" t="n">
        <v>0</v>
      </c>
      <c r="N49" t="n">
        <v>0</v>
      </c>
      <c r="O49" t="n">
        <v>0</v>
      </c>
      <c r="P49" t="n">
        <v>0</v>
      </c>
      <c r="Q49" t="n">
        <v>1</v>
      </c>
      <c r="R49" s="2" t="inlineStr">
        <is>
          <t>Revlummer</t>
        </is>
      </c>
      <c r="S49">
        <f>HYPERLINK("https://klasma.github.io/Logging_1907/artfynd/A 30074-2023 artfynd.xlsx", "A 30074-2023")</f>
        <v/>
      </c>
      <c r="T49">
        <f>HYPERLINK("https://klasma.github.io/Logging_1907/kartor/A 30074-2023 karta.png", "A 30074-2023")</f>
        <v/>
      </c>
      <c r="V49">
        <f>HYPERLINK("https://klasma.github.io/Logging_1907/klagomål/A 30074-2023 FSC-klagomål.docx", "A 30074-2023")</f>
        <v/>
      </c>
      <c r="W49">
        <f>HYPERLINK("https://klasma.github.io/Logging_1907/klagomålsmail/A 30074-2023 FSC-klagomål mail.docx", "A 30074-2023")</f>
        <v/>
      </c>
      <c r="X49">
        <f>HYPERLINK("https://klasma.github.io/Logging_1907/tillsyn/A 30074-2023 tillsynsbegäran.docx", "A 30074-2023")</f>
        <v/>
      </c>
      <c r="Y49">
        <f>HYPERLINK("https://klasma.github.io/Logging_1907/tillsynsmail/A 30074-2023 tillsynsbegäran mail.docx", "A 30074-2023")</f>
        <v/>
      </c>
    </row>
    <row r="50" ht="15" customHeight="1">
      <c r="A50" t="inlineStr">
        <is>
          <t>A 44356-2024</t>
        </is>
      </c>
      <c r="B50" s="1" t="n">
        <v>45573</v>
      </c>
      <c r="C50" s="1" t="n">
        <v>45924</v>
      </c>
      <c r="D50" t="inlineStr">
        <is>
          <t>VÄSTMANLANDS LÄN</t>
        </is>
      </c>
      <c r="E50" t="inlineStr">
        <is>
          <t>SURAHAMMAR</t>
        </is>
      </c>
      <c r="F50" t="inlineStr">
        <is>
          <t>Sveaskog</t>
        </is>
      </c>
      <c r="G50" t="n">
        <v>0.7</v>
      </c>
      <c r="H50" t="n">
        <v>1</v>
      </c>
      <c r="I50" t="n">
        <v>0</v>
      </c>
      <c r="J50" t="n">
        <v>0</v>
      </c>
      <c r="K50" t="n">
        <v>0</v>
      </c>
      <c r="L50" t="n">
        <v>0</v>
      </c>
      <c r="M50" t="n">
        <v>0</v>
      </c>
      <c r="N50" t="n">
        <v>0</v>
      </c>
      <c r="O50" t="n">
        <v>0</v>
      </c>
      <c r="P50" t="n">
        <v>0</v>
      </c>
      <c r="Q50" t="n">
        <v>1</v>
      </c>
      <c r="R50" s="2" t="inlineStr">
        <is>
          <t>Revlummer</t>
        </is>
      </c>
      <c r="S50">
        <f>HYPERLINK("https://klasma.github.io/Logging_1907/artfynd/A 44356-2024 artfynd.xlsx", "A 44356-2024")</f>
        <v/>
      </c>
      <c r="T50">
        <f>HYPERLINK("https://klasma.github.io/Logging_1907/kartor/A 44356-2024 karta.png", "A 44356-2024")</f>
        <v/>
      </c>
      <c r="V50">
        <f>HYPERLINK("https://klasma.github.io/Logging_1907/klagomål/A 44356-2024 FSC-klagomål.docx", "A 44356-2024")</f>
        <v/>
      </c>
      <c r="W50">
        <f>HYPERLINK("https://klasma.github.io/Logging_1907/klagomålsmail/A 44356-2024 FSC-klagomål mail.docx", "A 44356-2024")</f>
        <v/>
      </c>
      <c r="X50">
        <f>HYPERLINK("https://klasma.github.io/Logging_1907/tillsyn/A 44356-2024 tillsynsbegäran.docx", "A 44356-2024")</f>
        <v/>
      </c>
      <c r="Y50">
        <f>HYPERLINK("https://klasma.github.io/Logging_1907/tillsynsmail/A 44356-2024 tillsynsbegäran mail.docx", "A 44356-2024")</f>
        <v/>
      </c>
    </row>
    <row r="51" ht="15" customHeight="1">
      <c r="A51" t="inlineStr">
        <is>
          <t>A 56362-2023</t>
        </is>
      </c>
      <c r="B51" s="1" t="n">
        <v>45236</v>
      </c>
      <c r="C51" s="1" t="n">
        <v>45924</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47453-2024</t>
        </is>
      </c>
      <c r="B52" s="1" t="n">
        <v>45587.55017361111</v>
      </c>
      <c r="C52" s="1" t="n">
        <v>45924</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22840-2023</t>
        </is>
      </c>
      <c r="B53" s="1" t="n">
        <v>45072</v>
      </c>
      <c r="C53" s="1" t="n">
        <v>45924</v>
      </c>
      <c r="D53" t="inlineStr">
        <is>
          <t>VÄSTMANLANDS LÄN</t>
        </is>
      </c>
      <c r="E53" t="inlineStr">
        <is>
          <t>SURAHAMMAR</t>
        </is>
      </c>
      <c r="G53" t="n">
        <v>4.3</v>
      </c>
      <c r="H53" t="n">
        <v>1</v>
      </c>
      <c r="I53" t="n">
        <v>0</v>
      </c>
      <c r="J53" t="n">
        <v>0</v>
      </c>
      <c r="K53" t="n">
        <v>0</v>
      </c>
      <c r="L53" t="n">
        <v>0</v>
      </c>
      <c r="M53" t="n">
        <v>0</v>
      </c>
      <c r="N53" t="n">
        <v>0</v>
      </c>
      <c r="O53" t="n">
        <v>0</v>
      </c>
      <c r="P53" t="n">
        <v>0</v>
      </c>
      <c r="Q53" t="n">
        <v>1</v>
      </c>
      <c r="R53" s="2" t="inlineStr">
        <is>
          <t>Fläcknycklar</t>
        </is>
      </c>
      <c r="S53">
        <f>HYPERLINK("https://klasma.github.io/Logging_1907/artfynd/A 22840-2023 artfynd.xlsx", "A 22840-2023")</f>
        <v/>
      </c>
      <c r="T53">
        <f>HYPERLINK("https://klasma.github.io/Logging_1907/kartor/A 22840-2023 karta.png", "A 22840-2023")</f>
        <v/>
      </c>
      <c r="V53">
        <f>HYPERLINK("https://klasma.github.io/Logging_1907/klagomål/A 22840-2023 FSC-klagomål.docx", "A 22840-2023")</f>
        <v/>
      </c>
      <c r="W53">
        <f>HYPERLINK("https://klasma.github.io/Logging_1907/klagomålsmail/A 22840-2023 FSC-klagomål mail.docx", "A 22840-2023")</f>
        <v/>
      </c>
      <c r="X53">
        <f>HYPERLINK("https://klasma.github.io/Logging_1907/tillsyn/A 22840-2023 tillsynsbegäran.docx", "A 22840-2023")</f>
        <v/>
      </c>
      <c r="Y53">
        <f>HYPERLINK("https://klasma.github.io/Logging_1907/tillsynsmail/A 22840-2023 tillsynsbegäran mail.docx", "A 22840-2023")</f>
        <v/>
      </c>
    </row>
    <row r="54" ht="15" customHeight="1">
      <c r="A54" t="inlineStr">
        <is>
          <t>A 33231-2024</t>
        </is>
      </c>
      <c r="B54" s="1" t="n">
        <v>45518</v>
      </c>
      <c r="C54" s="1" t="n">
        <v>45924</v>
      </c>
      <c r="D54" t="inlineStr">
        <is>
          <t>VÄSTMANLANDS LÄN</t>
        </is>
      </c>
      <c r="E54" t="inlineStr">
        <is>
          <t>SURAHAMMAR</t>
        </is>
      </c>
      <c r="F54" t="inlineStr">
        <is>
          <t>Bergvik skog väst AB</t>
        </is>
      </c>
      <c r="G54" t="n">
        <v>1.5</v>
      </c>
      <c r="H54" t="n">
        <v>1</v>
      </c>
      <c r="I54" t="n">
        <v>0</v>
      </c>
      <c r="J54" t="n">
        <v>0</v>
      </c>
      <c r="K54" t="n">
        <v>0</v>
      </c>
      <c r="L54" t="n">
        <v>0</v>
      </c>
      <c r="M54" t="n">
        <v>0</v>
      </c>
      <c r="N54" t="n">
        <v>0</v>
      </c>
      <c r="O54" t="n">
        <v>0</v>
      </c>
      <c r="P54" t="n">
        <v>0</v>
      </c>
      <c r="Q54" t="n">
        <v>1</v>
      </c>
      <c r="R54" s="2" t="inlineStr">
        <is>
          <t>Mindre vattensalamander</t>
        </is>
      </c>
      <c r="S54">
        <f>HYPERLINK("https://klasma.github.io/Logging_1907/artfynd/A 33231-2024 artfynd.xlsx", "A 33231-2024")</f>
        <v/>
      </c>
      <c r="T54">
        <f>HYPERLINK("https://klasma.github.io/Logging_1907/kartor/A 33231-2024 karta.png", "A 33231-2024")</f>
        <v/>
      </c>
      <c r="V54">
        <f>HYPERLINK("https://klasma.github.io/Logging_1907/klagomål/A 33231-2024 FSC-klagomål.docx", "A 33231-2024")</f>
        <v/>
      </c>
      <c r="W54">
        <f>HYPERLINK("https://klasma.github.io/Logging_1907/klagomålsmail/A 33231-2024 FSC-klagomål mail.docx", "A 33231-2024")</f>
        <v/>
      </c>
      <c r="X54">
        <f>HYPERLINK("https://klasma.github.io/Logging_1907/tillsyn/A 33231-2024 tillsynsbegäran.docx", "A 33231-2024")</f>
        <v/>
      </c>
      <c r="Y54">
        <f>HYPERLINK("https://klasma.github.io/Logging_1907/tillsynsmail/A 33231-2024 tillsynsbegäran mail.docx", "A 33231-2024")</f>
        <v/>
      </c>
    </row>
    <row r="55" ht="15" customHeight="1">
      <c r="A55" t="inlineStr">
        <is>
          <t>A 25583-2024</t>
        </is>
      </c>
      <c r="B55" s="1" t="n">
        <v>45463</v>
      </c>
      <c r="C55" s="1" t="n">
        <v>45924</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62097-2024</t>
        </is>
      </c>
      <c r="B56" s="1" t="n">
        <v>45646</v>
      </c>
      <c r="C56" s="1" t="n">
        <v>45924</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40403-2025</t>
        </is>
      </c>
      <c r="B57" s="1" t="n">
        <v>45895</v>
      </c>
      <c r="C57" s="1" t="n">
        <v>45924</v>
      </c>
      <c r="D57" t="inlineStr">
        <is>
          <t>VÄSTMANLANDS LÄN</t>
        </is>
      </c>
      <c r="E57" t="inlineStr">
        <is>
          <t>SURAHAMMAR</t>
        </is>
      </c>
      <c r="F57" t="inlineStr">
        <is>
          <t>Kommuner</t>
        </is>
      </c>
      <c r="G57" t="n">
        <v>3.9</v>
      </c>
      <c r="H57" t="n">
        <v>0</v>
      </c>
      <c r="I57" t="n">
        <v>0</v>
      </c>
      <c r="J57" t="n">
        <v>1</v>
      </c>
      <c r="K57" t="n">
        <v>0</v>
      </c>
      <c r="L57" t="n">
        <v>0</v>
      </c>
      <c r="M57" t="n">
        <v>0</v>
      </c>
      <c r="N57" t="n">
        <v>0</v>
      </c>
      <c r="O57" t="n">
        <v>1</v>
      </c>
      <c r="P57" t="n">
        <v>0</v>
      </c>
      <c r="Q57" t="n">
        <v>1</v>
      </c>
      <c r="R57" s="2" t="inlineStr">
        <is>
          <t>Igelkott</t>
        </is>
      </c>
      <c r="S57">
        <f>HYPERLINK("https://klasma.github.io/Logging_1907/artfynd/A 40403-2025 artfynd.xlsx", "A 40403-2025")</f>
        <v/>
      </c>
      <c r="T57">
        <f>HYPERLINK("https://klasma.github.io/Logging_1907/kartor/A 40403-2025 karta.png", "A 40403-2025")</f>
        <v/>
      </c>
      <c r="V57">
        <f>HYPERLINK("https://klasma.github.io/Logging_1907/klagomål/A 40403-2025 FSC-klagomål.docx", "A 40403-2025")</f>
        <v/>
      </c>
      <c r="W57">
        <f>HYPERLINK("https://klasma.github.io/Logging_1907/klagomålsmail/A 40403-2025 FSC-klagomål mail.docx", "A 40403-2025")</f>
        <v/>
      </c>
      <c r="X57">
        <f>HYPERLINK("https://klasma.github.io/Logging_1907/tillsyn/A 40403-2025 tillsynsbegäran.docx", "A 40403-2025")</f>
        <v/>
      </c>
      <c r="Y57">
        <f>HYPERLINK("https://klasma.github.io/Logging_1907/tillsynsmail/A 40403-2025 tillsynsbegäran mail.docx", "A 40403-2025")</f>
        <v/>
      </c>
    </row>
    <row r="58" ht="15" customHeight="1">
      <c r="A58" t="inlineStr">
        <is>
          <t>A 42089-2025</t>
        </is>
      </c>
      <c r="B58" s="1" t="n">
        <v>45902</v>
      </c>
      <c r="C58" s="1" t="n">
        <v>45924</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39099-2022</t>
        </is>
      </c>
      <c r="B59" s="1" t="n">
        <v>44817</v>
      </c>
      <c r="C59" s="1" t="n">
        <v>45924</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39694-2025</t>
        </is>
      </c>
      <c r="B60" s="1" t="n">
        <v>45890</v>
      </c>
      <c r="C60" s="1" t="n">
        <v>45924</v>
      </c>
      <c r="D60" t="inlineStr">
        <is>
          <t>VÄSTMANLANDS LÄN</t>
        </is>
      </c>
      <c r="E60" t="inlineStr">
        <is>
          <t>SURAHAMMAR</t>
        </is>
      </c>
      <c r="F60" t="inlineStr">
        <is>
          <t>Bergvik skog väst AB</t>
        </is>
      </c>
      <c r="G60" t="n">
        <v>2.9</v>
      </c>
      <c r="H60" t="n">
        <v>0</v>
      </c>
      <c r="I60" t="n">
        <v>1</v>
      </c>
      <c r="J60" t="n">
        <v>0</v>
      </c>
      <c r="K60" t="n">
        <v>0</v>
      </c>
      <c r="L60" t="n">
        <v>0</v>
      </c>
      <c r="M60" t="n">
        <v>0</v>
      </c>
      <c r="N60" t="n">
        <v>0</v>
      </c>
      <c r="O60" t="n">
        <v>0</v>
      </c>
      <c r="P60" t="n">
        <v>0</v>
      </c>
      <c r="Q60" t="n">
        <v>1</v>
      </c>
      <c r="R60" s="2" t="inlineStr">
        <is>
          <t>Mindre märgborre</t>
        </is>
      </c>
      <c r="S60">
        <f>HYPERLINK("https://klasma.github.io/Logging_1907/artfynd/A 39694-2025 artfynd.xlsx", "A 39694-2025")</f>
        <v/>
      </c>
      <c r="T60">
        <f>HYPERLINK("https://klasma.github.io/Logging_1907/kartor/A 39694-2025 karta.png", "A 39694-2025")</f>
        <v/>
      </c>
      <c r="V60">
        <f>HYPERLINK("https://klasma.github.io/Logging_1907/klagomål/A 39694-2025 FSC-klagomål.docx", "A 39694-2025")</f>
        <v/>
      </c>
      <c r="W60">
        <f>HYPERLINK("https://klasma.github.io/Logging_1907/klagomålsmail/A 39694-2025 FSC-klagomål mail.docx", "A 39694-2025")</f>
        <v/>
      </c>
      <c r="X60">
        <f>HYPERLINK("https://klasma.github.io/Logging_1907/tillsyn/A 39694-2025 tillsynsbegäran.docx", "A 39694-2025")</f>
        <v/>
      </c>
      <c r="Y60">
        <f>HYPERLINK("https://klasma.github.io/Logging_1907/tillsynsmail/A 39694-2025 tillsynsbegäran mail.docx", "A 39694-2025")</f>
        <v/>
      </c>
    </row>
    <row r="61" ht="15" customHeight="1">
      <c r="A61" t="inlineStr">
        <is>
          <t>A 42765-2022</t>
        </is>
      </c>
      <c r="B61" s="1" t="n">
        <v>44832</v>
      </c>
      <c r="C61" s="1" t="n">
        <v>45924</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45924</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14001-2023</t>
        </is>
      </c>
      <c r="B63" s="1" t="n">
        <v>45007</v>
      </c>
      <c r="C63" s="1" t="n">
        <v>45924</v>
      </c>
      <c r="D63" t="inlineStr">
        <is>
          <t>VÄSTMANLANDS LÄN</t>
        </is>
      </c>
      <c r="E63" t="inlineStr">
        <is>
          <t>SURAHAMMAR</t>
        </is>
      </c>
      <c r="F63" t="inlineStr">
        <is>
          <t>Bergvik skog väst AB</t>
        </is>
      </c>
      <c r="G63" t="n">
        <v>1</v>
      </c>
      <c r="H63" t="n">
        <v>0</v>
      </c>
      <c r="I63" t="n">
        <v>0</v>
      </c>
      <c r="J63" t="n">
        <v>1</v>
      </c>
      <c r="K63" t="n">
        <v>0</v>
      </c>
      <c r="L63" t="n">
        <v>0</v>
      </c>
      <c r="M63" t="n">
        <v>0</v>
      </c>
      <c r="N63" t="n">
        <v>0</v>
      </c>
      <c r="O63" t="n">
        <v>1</v>
      </c>
      <c r="P63" t="n">
        <v>0</v>
      </c>
      <c r="Q63" t="n">
        <v>1</v>
      </c>
      <c r="R63" s="2" t="inlineStr">
        <is>
          <t>Motaggsvamp</t>
        </is>
      </c>
      <c r="S63">
        <f>HYPERLINK("https://klasma.github.io/Logging_1907/artfynd/A 14001-2023 artfynd.xlsx", "A 14001-2023")</f>
        <v/>
      </c>
      <c r="T63">
        <f>HYPERLINK("https://klasma.github.io/Logging_1907/kartor/A 14001-2023 karta.png", "A 14001-2023")</f>
        <v/>
      </c>
      <c r="V63">
        <f>HYPERLINK("https://klasma.github.io/Logging_1907/klagomål/A 14001-2023 FSC-klagomål.docx", "A 14001-2023")</f>
        <v/>
      </c>
      <c r="W63">
        <f>HYPERLINK("https://klasma.github.io/Logging_1907/klagomålsmail/A 14001-2023 FSC-klagomål mail.docx", "A 14001-2023")</f>
        <v/>
      </c>
      <c r="X63">
        <f>HYPERLINK("https://klasma.github.io/Logging_1907/tillsyn/A 14001-2023 tillsynsbegäran.docx", "A 14001-2023")</f>
        <v/>
      </c>
      <c r="Y63">
        <f>HYPERLINK("https://klasma.github.io/Logging_1907/tillsynsmail/A 14001-2023 tillsynsbegäran mail.docx", "A 14001-2023")</f>
        <v/>
      </c>
    </row>
    <row r="64" ht="15" customHeight="1">
      <c r="A64" t="inlineStr">
        <is>
          <t>A 69777-2021</t>
        </is>
      </c>
      <c r="B64" s="1" t="n">
        <v>44532</v>
      </c>
      <c r="C64" s="1" t="n">
        <v>45924</v>
      </c>
      <c r="D64" t="inlineStr">
        <is>
          <t>VÄSTMANLANDS LÄN</t>
        </is>
      </c>
      <c r="E64" t="inlineStr">
        <is>
          <t>SURAHAMMAR</t>
        </is>
      </c>
      <c r="G64" t="n">
        <v>2.3</v>
      </c>
      <c r="H64" t="n">
        <v>1</v>
      </c>
      <c r="I64" t="n">
        <v>0</v>
      </c>
      <c r="J64" t="n">
        <v>0</v>
      </c>
      <c r="K64" t="n">
        <v>1</v>
      </c>
      <c r="L64" t="n">
        <v>0</v>
      </c>
      <c r="M64" t="n">
        <v>0</v>
      </c>
      <c r="N64" t="n">
        <v>0</v>
      </c>
      <c r="O64" t="n">
        <v>1</v>
      </c>
      <c r="P64" t="n">
        <v>1</v>
      </c>
      <c r="Q64" t="n">
        <v>1</v>
      </c>
      <c r="R64" s="2" t="inlineStr">
        <is>
          <t>Bombmurkla</t>
        </is>
      </c>
      <c r="S64">
        <f>HYPERLINK("https://klasma.github.io/Logging_1907/artfynd/A 69777-2021 artfynd.xlsx", "A 69777-2021")</f>
        <v/>
      </c>
      <c r="T64">
        <f>HYPERLINK("https://klasma.github.io/Logging_1907/kartor/A 69777-2021 karta.png", "A 69777-2021")</f>
        <v/>
      </c>
      <c r="V64">
        <f>HYPERLINK("https://klasma.github.io/Logging_1907/klagomål/A 69777-2021 FSC-klagomål.docx", "A 69777-2021")</f>
        <v/>
      </c>
      <c r="W64">
        <f>HYPERLINK("https://klasma.github.io/Logging_1907/klagomålsmail/A 69777-2021 FSC-klagomål mail.docx", "A 69777-2021")</f>
        <v/>
      </c>
      <c r="X64">
        <f>HYPERLINK("https://klasma.github.io/Logging_1907/tillsyn/A 69777-2021 tillsynsbegäran.docx", "A 69777-2021")</f>
        <v/>
      </c>
      <c r="Y64">
        <f>HYPERLINK("https://klasma.github.io/Logging_1907/tillsynsmail/A 69777-2021 tillsynsbegäran mail.docx", "A 69777-2021")</f>
        <v/>
      </c>
    </row>
    <row r="65" ht="15" customHeight="1">
      <c r="A65" t="inlineStr">
        <is>
          <t>A 13971-2023</t>
        </is>
      </c>
      <c r="B65" s="1" t="n">
        <v>45007</v>
      </c>
      <c r="C65" s="1" t="n">
        <v>45924</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17632-2022</t>
        </is>
      </c>
      <c r="B66" s="1" t="n">
        <v>44680</v>
      </c>
      <c r="C66" s="1" t="n">
        <v>45924</v>
      </c>
      <c r="D66" t="inlineStr">
        <is>
          <t>VÄSTMANLANDS LÄN</t>
        </is>
      </c>
      <c r="E66" t="inlineStr">
        <is>
          <t>SURAHAMMAR</t>
        </is>
      </c>
      <c r="G66" t="n">
        <v>5.2</v>
      </c>
      <c r="H66" t="n">
        <v>0</v>
      </c>
      <c r="I66" t="n">
        <v>1</v>
      </c>
      <c r="J66" t="n">
        <v>0</v>
      </c>
      <c r="K66" t="n">
        <v>0</v>
      </c>
      <c r="L66" t="n">
        <v>0</v>
      </c>
      <c r="M66" t="n">
        <v>0</v>
      </c>
      <c r="N66" t="n">
        <v>0</v>
      </c>
      <c r="O66" t="n">
        <v>0</v>
      </c>
      <c r="P66" t="n">
        <v>0</v>
      </c>
      <c r="Q66" t="n">
        <v>1</v>
      </c>
      <c r="R66" s="2" t="inlineStr">
        <is>
          <t>Blodticka</t>
        </is>
      </c>
      <c r="S66">
        <f>HYPERLINK("https://klasma.github.io/Logging_1907/artfynd/A 17632-2022 artfynd.xlsx", "A 17632-2022")</f>
        <v/>
      </c>
      <c r="T66">
        <f>HYPERLINK("https://klasma.github.io/Logging_1907/kartor/A 17632-2022 karta.png", "A 17632-2022")</f>
        <v/>
      </c>
      <c r="V66">
        <f>HYPERLINK("https://klasma.github.io/Logging_1907/klagomål/A 17632-2022 FSC-klagomål.docx", "A 17632-2022")</f>
        <v/>
      </c>
      <c r="W66">
        <f>HYPERLINK("https://klasma.github.io/Logging_1907/klagomålsmail/A 17632-2022 FSC-klagomål mail.docx", "A 17632-2022")</f>
        <v/>
      </c>
      <c r="X66">
        <f>HYPERLINK("https://klasma.github.io/Logging_1907/tillsyn/A 17632-2022 tillsynsbegäran.docx", "A 17632-2022")</f>
        <v/>
      </c>
      <c r="Y66">
        <f>HYPERLINK("https://klasma.github.io/Logging_1907/tillsynsmail/A 17632-2022 tillsynsbegäran mail.docx", "A 17632-2022")</f>
        <v/>
      </c>
    </row>
    <row r="67" ht="15" customHeight="1">
      <c r="A67" t="inlineStr">
        <is>
          <t>A 31176-2024</t>
        </is>
      </c>
      <c r="B67" s="1" t="n">
        <v>45503</v>
      </c>
      <c r="C67" s="1" t="n">
        <v>45924</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43451-2024</t>
        </is>
      </c>
      <c r="B68" s="1" t="n">
        <v>45568</v>
      </c>
      <c r="C68" s="1" t="n">
        <v>45924</v>
      </c>
      <c r="D68" t="inlineStr">
        <is>
          <t>VÄSTMANLANDS LÄN</t>
        </is>
      </c>
      <c r="E68" t="inlineStr">
        <is>
          <t>SURAHAMMAR</t>
        </is>
      </c>
      <c r="F68" t="inlineStr">
        <is>
          <t>Bergvik skog väst AB</t>
        </is>
      </c>
      <c r="G68" t="n">
        <v>2.9</v>
      </c>
      <c r="H68" t="n">
        <v>0</v>
      </c>
      <c r="I68" t="n">
        <v>0</v>
      </c>
      <c r="J68" t="n">
        <v>1</v>
      </c>
      <c r="K68" t="n">
        <v>0</v>
      </c>
      <c r="L68" t="n">
        <v>0</v>
      </c>
      <c r="M68" t="n">
        <v>0</v>
      </c>
      <c r="N68" t="n">
        <v>0</v>
      </c>
      <c r="O68" t="n">
        <v>1</v>
      </c>
      <c r="P68" t="n">
        <v>0</v>
      </c>
      <c r="Q68" t="n">
        <v>1</v>
      </c>
      <c r="R68" s="2" t="inlineStr">
        <is>
          <t>Ullticka</t>
        </is>
      </c>
      <c r="S68">
        <f>HYPERLINK("https://klasma.github.io/Logging_1907/artfynd/A 43451-2024 artfynd.xlsx", "A 43451-2024")</f>
        <v/>
      </c>
      <c r="T68">
        <f>HYPERLINK("https://klasma.github.io/Logging_1907/kartor/A 43451-2024 karta.png", "A 43451-2024")</f>
        <v/>
      </c>
      <c r="V68">
        <f>HYPERLINK("https://klasma.github.io/Logging_1907/klagomål/A 43451-2024 FSC-klagomål.docx", "A 43451-2024")</f>
        <v/>
      </c>
      <c r="W68">
        <f>HYPERLINK("https://klasma.github.io/Logging_1907/klagomålsmail/A 43451-2024 FSC-klagomål mail.docx", "A 43451-2024")</f>
        <v/>
      </c>
      <c r="X68">
        <f>HYPERLINK("https://klasma.github.io/Logging_1907/tillsyn/A 43451-2024 tillsynsbegäran.docx", "A 43451-2024")</f>
        <v/>
      </c>
      <c r="Y68">
        <f>HYPERLINK("https://klasma.github.io/Logging_1907/tillsynsmail/A 43451-2024 tillsynsbegäran mail.docx", "A 43451-2024")</f>
        <v/>
      </c>
    </row>
    <row r="69" ht="15" customHeight="1">
      <c r="A69" t="inlineStr">
        <is>
          <t>A 1492-2021</t>
        </is>
      </c>
      <c r="B69" s="1" t="n">
        <v>44209</v>
      </c>
      <c r="C69" s="1" t="n">
        <v>45924</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45924</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45924</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45924</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45924</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47997-2020</t>
        </is>
      </c>
      <c r="B74" s="1" t="n">
        <v>44099</v>
      </c>
      <c r="C74" s="1" t="n">
        <v>45924</v>
      </c>
      <c r="D74" t="inlineStr">
        <is>
          <t>VÄSTMANLANDS LÄN</t>
        </is>
      </c>
      <c r="E74" t="inlineStr">
        <is>
          <t>SURAHAMMAR</t>
        </is>
      </c>
      <c r="G74" t="n">
        <v>4.8</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45924</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45924</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45924</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3155-2022</t>
        </is>
      </c>
      <c r="B78" s="1" t="n">
        <v>44582</v>
      </c>
      <c r="C78" s="1" t="n">
        <v>45924</v>
      </c>
      <c r="D78" t="inlineStr">
        <is>
          <t>VÄSTMANLANDS LÄN</t>
        </is>
      </c>
      <c r="E78" t="inlineStr">
        <is>
          <t>SURAHAMMAR</t>
        </is>
      </c>
      <c r="G78" t="n">
        <v>5.5</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45924</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45924</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52076-2020</t>
        </is>
      </c>
      <c r="B81" s="1" t="n">
        <v>44117</v>
      </c>
      <c r="C81" s="1" t="n">
        <v>45924</v>
      </c>
      <c r="D81" t="inlineStr">
        <is>
          <t>VÄSTMANLANDS LÄN</t>
        </is>
      </c>
      <c r="E81" t="inlineStr">
        <is>
          <t>SURAHAMMAR</t>
        </is>
      </c>
      <c r="F81" t="inlineStr">
        <is>
          <t>Sveaskog</t>
        </is>
      </c>
      <c r="G81" t="n">
        <v>1.5</v>
      </c>
      <c r="H81" t="n">
        <v>0</v>
      </c>
      <c r="I81" t="n">
        <v>0</v>
      </c>
      <c r="J81" t="n">
        <v>0</v>
      </c>
      <c r="K81" t="n">
        <v>0</v>
      </c>
      <c r="L81" t="n">
        <v>0</v>
      </c>
      <c r="M81" t="n">
        <v>0</v>
      </c>
      <c r="N81" t="n">
        <v>0</v>
      </c>
      <c r="O81" t="n">
        <v>0</v>
      </c>
      <c r="P81" t="n">
        <v>0</v>
      </c>
      <c r="Q81" t="n">
        <v>0</v>
      </c>
      <c r="R81" s="2" t="inlineStr"/>
    </row>
    <row r="82" ht="15" customHeight="1">
      <c r="A82" t="inlineStr">
        <is>
          <t>A 66350-2021</t>
        </is>
      </c>
      <c r="B82" s="1" t="n">
        <v>44518</v>
      </c>
      <c r="C82" s="1" t="n">
        <v>45924</v>
      </c>
      <c r="D82" t="inlineStr">
        <is>
          <t>VÄSTMANLANDS LÄN</t>
        </is>
      </c>
      <c r="E82" t="inlineStr">
        <is>
          <t>SURAHAMMAR</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67611-2021</t>
        </is>
      </c>
      <c r="B83" s="1" t="n">
        <v>44524</v>
      </c>
      <c r="C83" s="1" t="n">
        <v>45924</v>
      </c>
      <c r="D83" t="inlineStr">
        <is>
          <t>VÄSTMANLANDS LÄN</t>
        </is>
      </c>
      <c r="E83" t="inlineStr">
        <is>
          <t>SURAHAMMAR</t>
        </is>
      </c>
      <c r="F83" t="inlineStr">
        <is>
          <t>Kommuner</t>
        </is>
      </c>
      <c r="G83" t="n">
        <v>3.8</v>
      </c>
      <c r="H83" t="n">
        <v>0</v>
      </c>
      <c r="I83" t="n">
        <v>0</v>
      </c>
      <c r="J83" t="n">
        <v>0</v>
      </c>
      <c r="K83" t="n">
        <v>0</v>
      </c>
      <c r="L83" t="n">
        <v>0</v>
      </c>
      <c r="M83" t="n">
        <v>0</v>
      </c>
      <c r="N83" t="n">
        <v>0</v>
      </c>
      <c r="O83" t="n">
        <v>0</v>
      </c>
      <c r="P83" t="n">
        <v>0</v>
      </c>
      <c r="Q83" t="n">
        <v>0</v>
      </c>
      <c r="R83" s="2" t="inlineStr"/>
    </row>
    <row r="84" ht="15" customHeight="1">
      <c r="A84" t="inlineStr">
        <is>
          <t>A 59543-2020</t>
        </is>
      </c>
      <c r="B84" s="1" t="n">
        <v>44148</v>
      </c>
      <c r="C84" s="1" t="n">
        <v>45924</v>
      </c>
      <c r="D84" t="inlineStr">
        <is>
          <t>VÄSTMANLANDS LÄN</t>
        </is>
      </c>
      <c r="E84" t="inlineStr">
        <is>
          <t>SURAHAMMAR</t>
        </is>
      </c>
      <c r="G84" t="n">
        <v>1.3</v>
      </c>
      <c r="H84" t="n">
        <v>0</v>
      </c>
      <c r="I84" t="n">
        <v>0</v>
      </c>
      <c r="J84" t="n">
        <v>0</v>
      </c>
      <c r="K84" t="n">
        <v>0</v>
      </c>
      <c r="L84" t="n">
        <v>0</v>
      </c>
      <c r="M84" t="n">
        <v>0</v>
      </c>
      <c r="N84" t="n">
        <v>0</v>
      </c>
      <c r="O84" t="n">
        <v>0</v>
      </c>
      <c r="P84" t="n">
        <v>0</v>
      </c>
      <c r="Q84" t="n">
        <v>0</v>
      </c>
      <c r="R84" s="2" t="inlineStr"/>
    </row>
    <row r="85" ht="15" customHeight="1">
      <c r="A85" t="inlineStr">
        <is>
          <t>A 19846-2022</t>
        </is>
      </c>
      <c r="B85" s="1" t="n">
        <v>44696.89327546296</v>
      </c>
      <c r="C85" s="1" t="n">
        <v>45924</v>
      </c>
      <c r="D85" t="inlineStr">
        <is>
          <t>VÄSTMANLANDS LÄN</t>
        </is>
      </c>
      <c r="E85" t="inlineStr">
        <is>
          <t>SURAHAMMAR</t>
        </is>
      </c>
      <c r="F85" t="inlineStr">
        <is>
          <t>Kommuner</t>
        </is>
      </c>
      <c r="G85" t="n">
        <v>3.4</v>
      </c>
      <c r="H85" t="n">
        <v>0</v>
      </c>
      <c r="I85" t="n">
        <v>0</v>
      </c>
      <c r="J85" t="n">
        <v>0</v>
      </c>
      <c r="K85" t="n">
        <v>0</v>
      </c>
      <c r="L85" t="n">
        <v>0</v>
      </c>
      <c r="M85" t="n">
        <v>0</v>
      </c>
      <c r="N85" t="n">
        <v>0</v>
      </c>
      <c r="O85" t="n">
        <v>0</v>
      </c>
      <c r="P85" t="n">
        <v>0</v>
      </c>
      <c r="Q85" t="n">
        <v>0</v>
      </c>
      <c r="R85" s="2" t="inlineStr"/>
    </row>
    <row r="86" ht="15" customHeight="1">
      <c r="A86" t="inlineStr">
        <is>
          <t>A 21839-2021</t>
        </is>
      </c>
      <c r="B86" s="1" t="n">
        <v>44322</v>
      </c>
      <c r="C86" s="1" t="n">
        <v>45924</v>
      </c>
      <c r="D86" t="inlineStr">
        <is>
          <t>VÄSTMANLANDS LÄN</t>
        </is>
      </c>
      <c r="E86" t="inlineStr">
        <is>
          <t>SURAHAMMAR</t>
        </is>
      </c>
      <c r="G86" t="n">
        <v>1.6</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45924</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45924</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31468-2021</t>
        </is>
      </c>
      <c r="B89" s="1" t="n">
        <v>44369</v>
      </c>
      <c r="C89" s="1" t="n">
        <v>45924</v>
      </c>
      <c r="D89" t="inlineStr">
        <is>
          <t>VÄSTMANLANDS LÄN</t>
        </is>
      </c>
      <c r="E89" t="inlineStr">
        <is>
          <t>SURAHAMMAR</t>
        </is>
      </c>
      <c r="G89" t="n">
        <v>1.1</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45924</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3595-2022</t>
        </is>
      </c>
      <c r="B91" s="1" t="n">
        <v>44586</v>
      </c>
      <c r="C91" s="1" t="n">
        <v>45924</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16608-2022</t>
        </is>
      </c>
      <c r="B92" s="1" t="n">
        <v>44672</v>
      </c>
      <c r="C92" s="1" t="n">
        <v>45924</v>
      </c>
      <c r="D92" t="inlineStr">
        <is>
          <t>VÄSTMANLANDS LÄN</t>
        </is>
      </c>
      <c r="E92" t="inlineStr">
        <is>
          <t>SURAHAMMAR</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15637-2022</t>
        </is>
      </c>
      <c r="B93" s="1" t="n">
        <v>44662.89638888889</v>
      </c>
      <c r="C93" s="1" t="n">
        <v>45924</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38154-2021</t>
        </is>
      </c>
      <c r="B94" s="1" t="n">
        <v>44405.42373842592</v>
      </c>
      <c r="C94" s="1" t="n">
        <v>45924</v>
      </c>
      <c r="D94" t="inlineStr">
        <is>
          <t>VÄSTMANLANDS LÄN</t>
        </is>
      </c>
      <c r="E94" t="inlineStr">
        <is>
          <t>SURAHAMMAR</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20904-2023</t>
        </is>
      </c>
      <c r="B95" s="1" t="n">
        <v>45060</v>
      </c>
      <c r="C95" s="1" t="n">
        <v>45924</v>
      </c>
      <c r="D95" t="inlineStr">
        <is>
          <t>VÄSTMANLANDS LÄN</t>
        </is>
      </c>
      <c r="E95" t="inlineStr">
        <is>
          <t>SURAHAMMAR</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18723-2021</t>
        </is>
      </c>
      <c r="B96" s="1" t="n">
        <v>44306</v>
      </c>
      <c r="C96" s="1" t="n">
        <v>45924</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10883-2023</t>
        </is>
      </c>
      <c r="B97" s="1" t="n">
        <v>44991</v>
      </c>
      <c r="C97" s="1" t="n">
        <v>45924</v>
      </c>
      <c r="D97" t="inlineStr">
        <is>
          <t>VÄSTMANLANDS LÄN</t>
        </is>
      </c>
      <c r="E97" t="inlineStr">
        <is>
          <t>SURAHAMMAR</t>
        </is>
      </c>
      <c r="F97" t="inlineStr">
        <is>
          <t>Övriga Aktiebolag</t>
        </is>
      </c>
      <c r="G97" t="n">
        <v>12.5</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45924</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2660-2024</t>
        </is>
      </c>
      <c r="B99" s="1" t="n">
        <v>45310</v>
      </c>
      <c r="C99" s="1" t="n">
        <v>45924</v>
      </c>
      <c r="D99" t="inlineStr">
        <is>
          <t>VÄSTMANLANDS LÄN</t>
        </is>
      </c>
      <c r="E99" t="inlineStr">
        <is>
          <t>SURAHAMMAR</t>
        </is>
      </c>
      <c r="G99" t="n">
        <v>2.1</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45924</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45924</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48205-2023</t>
        </is>
      </c>
      <c r="B102" s="1" t="n">
        <v>45205</v>
      </c>
      <c r="C102" s="1" t="n">
        <v>45924</v>
      </c>
      <c r="D102" t="inlineStr">
        <is>
          <t>VÄSTMANLANDS LÄN</t>
        </is>
      </c>
      <c r="E102" t="inlineStr">
        <is>
          <t>SURAHAMMAR</t>
        </is>
      </c>
      <c r="F102" t="inlineStr">
        <is>
          <t>Allmännings- och besparingsskogar</t>
        </is>
      </c>
      <c r="G102" t="n">
        <v>7.6</v>
      </c>
      <c r="H102" t="n">
        <v>0</v>
      </c>
      <c r="I102" t="n">
        <v>0</v>
      </c>
      <c r="J102" t="n">
        <v>0</v>
      </c>
      <c r="K102" t="n">
        <v>0</v>
      </c>
      <c r="L102" t="n">
        <v>0</v>
      </c>
      <c r="M102" t="n">
        <v>0</v>
      </c>
      <c r="N102" t="n">
        <v>0</v>
      </c>
      <c r="O102" t="n">
        <v>0</v>
      </c>
      <c r="P102" t="n">
        <v>0</v>
      </c>
      <c r="Q102" t="n">
        <v>0</v>
      </c>
      <c r="R102" s="2" t="inlineStr"/>
    </row>
    <row r="103" ht="15" customHeight="1">
      <c r="A103" t="inlineStr">
        <is>
          <t>A 15743-2023</t>
        </is>
      </c>
      <c r="B103" s="1" t="n">
        <v>45021</v>
      </c>
      <c r="C103" s="1" t="n">
        <v>45924</v>
      </c>
      <c r="D103" t="inlineStr">
        <is>
          <t>VÄSTMANLANDS LÄN</t>
        </is>
      </c>
      <c r="E103" t="inlineStr">
        <is>
          <t>SURAHAMMAR</t>
        </is>
      </c>
      <c r="G103" t="n">
        <v>0.5</v>
      </c>
      <c r="H103" t="n">
        <v>0</v>
      </c>
      <c r="I103" t="n">
        <v>0</v>
      </c>
      <c r="J103" t="n">
        <v>0</v>
      </c>
      <c r="K103" t="n">
        <v>0</v>
      </c>
      <c r="L103" t="n">
        <v>0</v>
      </c>
      <c r="M103" t="n">
        <v>0</v>
      </c>
      <c r="N103" t="n">
        <v>0</v>
      </c>
      <c r="O103" t="n">
        <v>0</v>
      </c>
      <c r="P103" t="n">
        <v>0</v>
      </c>
      <c r="Q103" t="n">
        <v>0</v>
      </c>
      <c r="R103" s="2" t="inlineStr"/>
    </row>
    <row r="104" ht="15" customHeight="1">
      <c r="A104" t="inlineStr">
        <is>
          <t>A 30076-2023</t>
        </is>
      </c>
      <c r="B104" s="1" t="n">
        <v>45110</v>
      </c>
      <c r="C104" s="1" t="n">
        <v>45924</v>
      </c>
      <c r="D104" t="inlineStr">
        <is>
          <t>VÄSTMANLANDS LÄN</t>
        </is>
      </c>
      <c r="E104" t="inlineStr">
        <is>
          <t>SURAHAMMAR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45924</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14626-2023</t>
        </is>
      </c>
      <c r="B106" s="1" t="n">
        <v>45012</v>
      </c>
      <c r="C106" s="1" t="n">
        <v>45924</v>
      </c>
      <c r="D106" t="inlineStr">
        <is>
          <t>VÄSTMANLANDS LÄN</t>
        </is>
      </c>
      <c r="E106" t="inlineStr">
        <is>
          <t>SURAHAMMAR</t>
        </is>
      </c>
      <c r="F106" t="inlineStr">
        <is>
          <t>Bergvik skog väst AB</t>
        </is>
      </c>
      <c r="G106" t="n">
        <v>5</v>
      </c>
      <c r="H106" t="n">
        <v>0</v>
      </c>
      <c r="I106" t="n">
        <v>0</v>
      </c>
      <c r="J106" t="n">
        <v>0</v>
      </c>
      <c r="K106" t="n">
        <v>0</v>
      </c>
      <c r="L106" t="n">
        <v>0</v>
      </c>
      <c r="M106" t="n">
        <v>0</v>
      </c>
      <c r="N106" t="n">
        <v>0</v>
      </c>
      <c r="O106" t="n">
        <v>0</v>
      </c>
      <c r="P106" t="n">
        <v>0</v>
      </c>
      <c r="Q106" t="n">
        <v>0</v>
      </c>
      <c r="R106" s="2" t="inlineStr"/>
    </row>
    <row r="107" ht="15" customHeight="1">
      <c r="A107" t="inlineStr">
        <is>
          <t>A 37287-2023</t>
        </is>
      </c>
      <c r="B107" s="1" t="n">
        <v>45156</v>
      </c>
      <c r="C107" s="1" t="n">
        <v>45924</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37798-2021</t>
        </is>
      </c>
      <c r="B108" s="1" t="n">
        <v>44402</v>
      </c>
      <c r="C108" s="1" t="n">
        <v>45924</v>
      </c>
      <c r="D108" t="inlineStr">
        <is>
          <t>VÄSTMANLANDS LÄN</t>
        </is>
      </c>
      <c r="E108" t="inlineStr">
        <is>
          <t>SURAHAMMAR</t>
        </is>
      </c>
      <c r="F108" t="inlineStr">
        <is>
          <t>Kommuner</t>
        </is>
      </c>
      <c r="G108" t="n">
        <v>1.2</v>
      </c>
      <c r="H108" t="n">
        <v>0</v>
      </c>
      <c r="I108" t="n">
        <v>0</v>
      </c>
      <c r="J108" t="n">
        <v>0</v>
      </c>
      <c r="K108" t="n">
        <v>0</v>
      </c>
      <c r="L108" t="n">
        <v>0</v>
      </c>
      <c r="M108" t="n">
        <v>0</v>
      </c>
      <c r="N108" t="n">
        <v>0</v>
      </c>
      <c r="O108" t="n">
        <v>0</v>
      </c>
      <c r="P108" t="n">
        <v>0</v>
      </c>
      <c r="Q108" t="n">
        <v>0</v>
      </c>
      <c r="R108" s="2" t="inlineStr"/>
    </row>
    <row r="109" ht="15" customHeight="1">
      <c r="A109" t="inlineStr">
        <is>
          <t>A 41576-2022</t>
        </is>
      </c>
      <c r="B109" s="1" t="n">
        <v>44826</v>
      </c>
      <c r="C109" s="1" t="n">
        <v>45924</v>
      </c>
      <c r="D109" t="inlineStr">
        <is>
          <t>VÄSTMANLANDS LÄN</t>
        </is>
      </c>
      <c r="E109" t="inlineStr">
        <is>
          <t>SURAHAMMAR</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34582-2025</t>
        </is>
      </c>
      <c r="B110" s="1" t="n">
        <v>45846</v>
      </c>
      <c r="C110" s="1" t="n">
        <v>45924</v>
      </c>
      <c r="D110" t="inlineStr">
        <is>
          <t>VÄSTMANLANDS LÄN</t>
        </is>
      </c>
      <c r="E110" t="inlineStr">
        <is>
          <t>SURAHAMMAR</t>
        </is>
      </c>
      <c r="F110" t="inlineStr">
        <is>
          <t>Bergvik skog väst AB</t>
        </is>
      </c>
      <c r="G110" t="n">
        <v>2.6</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45924</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25450-2024</t>
        </is>
      </c>
      <c r="B112" s="1" t="n">
        <v>45463</v>
      </c>
      <c r="C112" s="1" t="n">
        <v>45924</v>
      </c>
      <c r="D112" t="inlineStr">
        <is>
          <t>VÄSTMANLANDS LÄN</t>
        </is>
      </c>
      <c r="E112" t="inlineStr">
        <is>
          <t>SURAHAMMAR</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72367-2021</t>
        </is>
      </c>
      <c r="B113" s="1" t="n">
        <v>44545</v>
      </c>
      <c r="C113" s="1" t="n">
        <v>45924</v>
      </c>
      <c r="D113" t="inlineStr">
        <is>
          <t>VÄSTMANLANDS LÄN</t>
        </is>
      </c>
      <c r="E113" t="inlineStr">
        <is>
          <t>SURAHAMMAR</t>
        </is>
      </c>
      <c r="G113" t="n">
        <v>2.5</v>
      </c>
      <c r="H113" t="n">
        <v>0</v>
      </c>
      <c r="I113" t="n">
        <v>0</v>
      </c>
      <c r="J113" t="n">
        <v>0</v>
      </c>
      <c r="K113" t="n">
        <v>0</v>
      </c>
      <c r="L113" t="n">
        <v>0</v>
      </c>
      <c r="M113" t="n">
        <v>0</v>
      </c>
      <c r="N113" t="n">
        <v>0</v>
      </c>
      <c r="O113" t="n">
        <v>0</v>
      </c>
      <c r="P113" t="n">
        <v>0</v>
      </c>
      <c r="Q113" t="n">
        <v>0</v>
      </c>
      <c r="R113" s="2" t="inlineStr"/>
    </row>
    <row r="114" ht="15" customHeight="1">
      <c r="A114" t="inlineStr">
        <is>
          <t>A 32916-2025</t>
        </is>
      </c>
      <c r="B114" s="1" t="n">
        <v>45839</v>
      </c>
      <c r="C114" s="1" t="n">
        <v>45924</v>
      </c>
      <c r="D114" t="inlineStr">
        <is>
          <t>VÄSTMANLANDS LÄN</t>
        </is>
      </c>
      <c r="E114" t="inlineStr">
        <is>
          <t>SURAHAMMAR</t>
        </is>
      </c>
      <c r="F114" t="inlineStr">
        <is>
          <t>Kommuner</t>
        </is>
      </c>
      <c r="G114" t="n">
        <v>4.9</v>
      </c>
      <c r="H114" t="n">
        <v>0</v>
      </c>
      <c r="I114" t="n">
        <v>0</v>
      </c>
      <c r="J114" t="n">
        <v>0</v>
      </c>
      <c r="K114" t="n">
        <v>0</v>
      </c>
      <c r="L114" t="n">
        <v>0</v>
      </c>
      <c r="M114" t="n">
        <v>0</v>
      </c>
      <c r="N114" t="n">
        <v>0</v>
      </c>
      <c r="O114" t="n">
        <v>0</v>
      </c>
      <c r="P114" t="n">
        <v>0</v>
      </c>
      <c r="Q114" t="n">
        <v>0</v>
      </c>
      <c r="R114" s="2" t="inlineStr"/>
    </row>
    <row r="115" ht="15" customHeight="1">
      <c r="A115" t="inlineStr">
        <is>
          <t>A 32910-2025</t>
        </is>
      </c>
      <c r="B115" s="1" t="n">
        <v>45839</v>
      </c>
      <c r="C115" s="1" t="n">
        <v>45924</v>
      </c>
      <c r="D115" t="inlineStr">
        <is>
          <t>VÄSTMANLANDS LÄN</t>
        </is>
      </c>
      <c r="E115" t="inlineStr">
        <is>
          <t>SURAHAMMAR</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33931-2022</t>
        </is>
      </c>
      <c r="B116" s="1" t="n">
        <v>44790.65153935185</v>
      </c>
      <c r="C116" s="1" t="n">
        <v>45924</v>
      </c>
      <c r="D116" t="inlineStr">
        <is>
          <t>VÄSTMANLANDS LÄN</t>
        </is>
      </c>
      <c r="E116" t="inlineStr">
        <is>
          <t>SURAHAMMAR</t>
        </is>
      </c>
      <c r="G116" t="n">
        <v>2.2</v>
      </c>
      <c r="H116" t="n">
        <v>0</v>
      </c>
      <c r="I116" t="n">
        <v>0</v>
      </c>
      <c r="J116" t="n">
        <v>0</v>
      </c>
      <c r="K116" t="n">
        <v>0</v>
      </c>
      <c r="L116" t="n">
        <v>0</v>
      </c>
      <c r="M116" t="n">
        <v>0</v>
      </c>
      <c r="N116" t="n">
        <v>0</v>
      </c>
      <c r="O116" t="n">
        <v>0</v>
      </c>
      <c r="P116" t="n">
        <v>0</v>
      </c>
      <c r="Q116" t="n">
        <v>0</v>
      </c>
      <c r="R116" s="2" t="inlineStr"/>
    </row>
    <row r="117" ht="15" customHeight="1">
      <c r="A117" t="inlineStr">
        <is>
          <t>A 19782-2023</t>
        </is>
      </c>
      <c r="B117" s="1" t="n">
        <v>45050</v>
      </c>
      <c r="C117" s="1" t="n">
        <v>45924</v>
      </c>
      <c r="D117" t="inlineStr">
        <is>
          <t>VÄSTMANLANDS LÄN</t>
        </is>
      </c>
      <c r="E117" t="inlineStr">
        <is>
          <t>SURAHAMMAR</t>
        </is>
      </c>
      <c r="F117" t="inlineStr">
        <is>
          <t>Bergvik skog väst AB</t>
        </is>
      </c>
      <c r="G117" t="n">
        <v>5.2</v>
      </c>
      <c r="H117" t="n">
        <v>0</v>
      </c>
      <c r="I117" t="n">
        <v>0</v>
      </c>
      <c r="J117" t="n">
        <v>0</v>
      </c>
      <c r="K117" t="n">
        <v>0</v>
      </c>
      <c r="L117" t="n">
        <v>0</v>
      </c>
      <c r="M117" t="n">
        <v>0</v>
      </c>
      <c r="N117" t="n">
        <v>0</v>
      </c>
      <c r="O117" t="n">
        <v>0</v>
      </c>
      <c r="P117" t="n">
        <v>0</v>
      </c>
      <c r="Q117" t="n">
        <v>0</v>
      </c>
      <c r="R117" s="2" t="inlineStr"/>
    </row>
    <row r="118" ht="15" customHeight="1">
      <c r="A118" t="inlineStr">
        <is>
          <t>A 42088-2025</t>
        </is>
      </c>
      <c r="B118" s="1" t="n">
        <v>45902</v>
      </c>
      <c r="C118" s="1" t="n">
        <v>45924</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24158-2023</t>
        </is>
      </c>
      <c r="B119" s="1" t="n">
        <v>45079</v>
      </c>
      <c r="C119" s="1" t="n">
        <v>45924</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43255-2025</t>
        </is>
      </c>
      <c r="B120" s="1" t="n">
        <v>45910.55325231481</v>
      </c>
      <c r="C120" s="1" t="n">
        <v>45924</v>
      </c>
      <c r="D120" t="inlineStr">
        <is>
          <t>VÄSTMANLANDS LÄN</t>
        </is>
      </c>
      <c r="E120" t="inlineStr">
        <is>
          <t>SURAHAMMAR</t>
        </is>
      </c>
      <c r="G120" t="n">
        <v>1.9</v>
      </c>
      <c r="H120" t="n">
        <v>0</v>
      </c>
      <c r="I120" t="n">
        <v>0</v>
      </c>
      <c r="J120" t="n">
        <v>0</v>
      </c>
      <c r="K120" t="n">
        <v>0</v>
      </c>
      <c r="L120" t="n">
        <v>0</v>
      </c>
      <c r="M120" t="n">
        <v>0</v>
      </c>
      <c r="N120" t="n">
        <v>0</v>
      </c>
      <c r="O120" t="n">
        <v>0</v>
      </c>
      <c r="P120" t="n">
        <v>0</v>
      </c>
      <c r="Q120" t="n">
        <v>0</v>
      </c>
      <c r="R120" s="2" t="inlineStr"/>
    </row>
    <row r="121" ht="15" customHeight="1">
      <c r="A121" t="inlineStr">
        <is>
          <t>A 43249-2025</t>
        </is>
      </c>
      <c r="B121" s="1" t="n">
        <v>45910.55059027778</v>
      </c>
      <c r="C121" s="1" t="n">
        <v>45924</v>
      </c>
      <c r="D121" t="inlineStr">
        <is>
          <t>VÄSTMANLANDS LÄN</t>
        </is>
      </c>
      <c r="E121" t="inlineStr">
        <is>
          <t>SURAHAMMAR</t>
        </is>
      </c>
      <c r="G121" t="n">
        <v>1.9</v>
      </c>
      <c r="H121" t="n">
        <v>0</v>
      </c>
      <c r="I121" t="n">
        <v>0</v>
      </c>
      <c r="J121" t="n">
        <v>0</v>
      </c>
      <c r="K121" t="n">
        <v>0</v>
      </c>
      <c r="L121" t="n">
        <v>0</v>
      </c>
      <c r="M121" t="n">
        <v>0</v>
      </c>
      <c r="N121" t="n">
        <v>0</v>
      </c>
      <c r="O121" t="n">
        <v>0</v>
      </c>
      <c r="P121" t="n">
        <v>0</v>
      </c>
      <c r="Q121" t="n">
        <v>0</v>
      </c>
      <c r="R121" s="2" t="inlineStr"/>
    </row>
    <row r="122" ht="15" customHeight="1">
      <c r="A122" t="inlineStr">
        <is>
          <t>A 7848-2022</t>
        </is>
      </c>
      <c r="B122" s="1" t="n">
        <v>44608.58400462963</v>
      </c>
      <c r="C122" s="1" t="n">
        <v>45924</v>
      </c>
      <c r="D122" t="inlineStr">
        <is>
          <t>VÄSTMANLANDS LÄN</t>
        </is>
      </c>
      <c r="E122" t="inlineStr">
        <is>
          <t>SURAHAMMAR</t>
        </is>
      </c>
      <c r="G122" t="n">
        <v>2.1</v>
      </c>
      <c r="H122" t="n">
        <v>0</v>
      </c>
      <c r="I122" t="n">
        <v>0</v>
      </c>
      <c r="J122" t="n">
        <v>0</v>
      </c>
      <c r="K122" t="n">
        <v>0</v>
      </c>
      <c r="L122" t="n">
        <v>0</v>
      </c>
      <c r="M122" t="n">
        <v>0</v>
      </c>
      <c r="N122" t="n">
        <v>0</v>
      </c>
      <c r="O122" t="n">
        <v>0</v>
      </c>
      <c r="P122" t="n">
        <v>0</v>
      </c>
      <c r="Q122" t="n">
        <v>0</v>
      </c>
      <c r="R122" s="2" t="inlineStr"/>
    </row>
    <row r="123" ht="15" customHeight="1">
      <c r="A123" t="inlineStr">
        <is>
          <t>A 24167-2024</t>
        </is>
      </c>
      <c r="B123" s="1" t="n">
        <v>45456</v>
      </c>
      <c r="C123" s="1" t="n">
        <v>45924</v>
      </c>
      <c r="D123" t="inlineStr">
        <is>
          <t>VÄSTMANLANDS LÄN</t>
        </is>
      </c>
      <c r="E123" t="inlineStr">
        <is>
          <t>SURAHAMMAR</t>
        </is>
      </c>
      <c r="G123" t="n">
        <v>0.6</v>
      </c>
      <c r="H123" t="n">
        <v>0</v>
      </c>
      <c r="I123" t="n">
        <v>0</v>
      </c>
      <c r="J123" t="n">
        <v>0</v>
      </c>
      <c r="K123" t="n">
        <v>0</v>
      </c>
      <c r="L123" t="n">
        <v>0</v>
      </c>
      <c r="M123" t="n">
        <v>0</v>
      </c>
      <c r="N123" t="n">
        <v>0</v>
      </c>
      <c r="O123" t="n">
        <v>0</v>
      </c>
      <c r="P123" t="n">
        <v>0</v>
      </c>
      <c r="Q123" t="n">
        <v>0</v>
      </c>
      <c r="R123" s="2" t="inlineStr"/>
    </row>
    <row r="124" ht="15" customHeight="1">
      <c r="A124" t="inlineStr">
        <is>
          <t>A 56378-2023</t>
        </is>
      </c>
      <c r="B124" s="1" t="n">
        <v>45236</v>
      </c>
      <c r="C124" s="1" t="n">
        <v>45924</v>
      </c>
      <c r="D124" t="inlineStr">
        <is>
          <t>VÄSTMANLANDS LÄN</t>
        </is>
      </c>
      <c r="E124" t="inlineStr">
        <is>
          <t>SURAHAMMAR</t>
        </is>
      </c>
      <c r="F124" t="inlineStr">
        <is>
          <t>Bergvik skog väst AB</t>
        </is>
      </c>
      <c r="G124" t="n">
        <v>4.6</v>
      </c>
      <c r="H124" t="n">
        <v>0</v>
      </c>
      <c r="I124" t="n">
        <v>0</v>
      </c>
      <c r="J124" t="n">
        <v>0</v>
      </c>
      <c r="K124" t="n">
        <v>0</v>
      </c>
      <c r="L124" t="n">
        <v>0</v>
      </c>
      <c r="M124" t="n">
        <v>0</v>
      </c>
      <c r="N124" t="n">
        <v>0</v>
      </c>
      <c r="O124" t="n">
        <v>0</v>
      </c>
      <c r="P124" t="n">
        <v>0</v>
      </c>
      <c r="Q124" t="n">
        <v>0</v>
      </c>
      <c r="R124" s="2" t="inlineStr"/>
    </row>
    <row r="125" ht="15" customHeight="1">
      <c r="A125" t="inlineStr">
        <is>
          <t>A 52074-2020</t>
        </is>
      </c>
      <c r="B125" s="1" t="n">
        <v>44117</v>
      </c>
      <c r="C125" s="1" t="n">
        <v>45924</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19099-2022</t>
        </is>
      </c>
      <c r="B126" s="1" t="n">
        <v>44691</v>
      </c>
      <c r="C126" s="1" t="n">
        <v>45924</v>
      </c>
      <c r="D126" t="inlineStr">
        <is>
          <t>VÄSTMANLANDS LÄN</t>
        </is>
      </c>
      <c r="E126" t="inlineStr">
        <is>
          <t>SURAHAMMAR</t>
        </is>
      </c>
      <c r="F126" t="inlineStr">
        <is>
          <t>Övriga Aktiebolag</t>
        </is>
      </c>
      <c r="G126" t="n">
        <v>3.4</v>
      </c>
      <c r="H126" t="n">
        <v>0</v>
      </c>
      <c r="I126" t="n">
        <v>0</v>
      </c>
      <c r="J126" t="n">
        <v>0</v>
      </c>
      <c r="K126" t="n">
        <v>0</v>
      </c>
      <c r="L126" t="n">
        <v>0</v>
      </c>
      <c r="M126" t="n">
        <v>0</v>
      </c>
      <c r="N126" t="n">
        <v>0</v>
      </c>
      <c r="O126" t="n">
        <v>0</v>
      </c>
      <c r="P126" t="n">
        <v>0</v>
      </c>
      <c r="Q126" t="n">
        <v>0</v>
      </c>
      <c r="R126" s="2" t="inlineStr"/>
    </row>
    <row r="127" ht="15" customHeight="1">
      <c r="A127" t="inlineStr">
        <is>
          <t>A 37013-2025</t>
        </is>
      </c>
      <c r="B127" s="1" t="n">
        <v>45874</v>
      </c>
      <c r="C127" s="1" t="n">
        <v>45924</v>
      </c>
      <c r="D127" t="inlineStr">
        <is>
          <t>VÄSTMANLANDS LÄN</t>
        </is>
      </c>
      <c r="E127" t="inlineStr">
        <is>
          <t>SURAHAMMAR</t>
        </is>
      </c>
      <c r="F127" t="inlineStr">
        <is>
          <t>Bergvik skog väst AB</t>
        </is>
      </c>
      <c r="G127" t="n">
        <v>10.7</v>
      </c>
      <c r="H127" t="n">
        <v>0</v>
      </c>
      <c r="I127" t="n">
        <v>0</v>
      </c>
      <c r="J127" t="n">
        <v>0</v>
      </c>
      <c r="K127" t="n">
        <v>0</v>
      </c>
      <c r="L127" t="n">
        <v>0</v>
      </c>
      <c r="M127" t="n">
        <v>0</v>
      </c>
      <c r="N127" t="n">
        <v>0</v>
      </c>
      <c r="O127" t="n">
        <v>0</v>
      </c>
      <c r="P127" t="n">
        <v>0</v>
      </c>
      <c r="Q127" t="n">
        <v>0</v>
      </c>
      <c r="R127" s="2" t="inlineStr"/>
    </row>
    <row r="128" ht="15" customHeight="1">
      <c r="A128" t="inlineStr">
        <is>
          <t>A 42714-2022</t>
        </is>
      </c>
      <c r="B128" s="1" t="n">
        <v>44832</v>
      </c>
      <c r="C128" s="1" t="n">
        <v>45924</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11501-2023</t>
        </is>
      </c>
      <c r="B129" s="1" t="n">
        <v>44991</v>
      </c>
      <c r="C129" s="1" t="n">
        <v>45924</v>
      </c>
      <c r="D129" t="inlineStr">
        <is>
          <t>VÄSTMANLANDS LÄN</t>
        </is>
      </c>
      <c r="E129" t="inlineStr">
        <is>
          <t>SURAHAMMAR</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35682-2022</t>
        </is>
      </c>
      <c r="B130" s="1" t="n">
        <v>44799.60422453703</v>
      </c>
      <c r="C130" s="1" t="n">
        <v>45924</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11728-2023</t>
        </is>
      </c>
      <c r="B131" s="1" t="n">
        <v>44993</v>
      </c>
      <c r="C131" s="1" t="n">
        <v>45924</v>
      </c>
      <c r="D131" t="inlineStr">
        <is>
          <t>VÄSTMANLANDS LÄN</t>
        </is>
      </c>
      <c r="E131" t="inlineStr">
        <is>
          <t>SURAHAMMAR</t>
        </is>
      </c>
      <c r="F131" t="inlineStr">
        <is>
          <t>Bergvik skog väst AB</t>
        </is>
      </c>
      <c r="G131" t="n">
        <v>0.4</v>
      </c>
      <c r="H131" t="n">
        <v>0</v>
      </c>
      <c r="I131" t="n">
        <v>0</v>
      </c>
      <c r="J131" t="n">
        <v>0</v>
      </c>
      <c r="K131" t="n">
        <v>0</v>
      </c>
      <c r="L131" t="n">
        <v>0</v>
      </c>
      <c r="M131" t="n">
        <v>0</v>
      </c>
      <c r="N131" t="n">
        <v>0</v>
      </c>
      <c r="O131" t="n">
        <v>0</v>
      </c>
      <c r="P131" t="n">
        <v>0</v>
      </c>
      <c r="Q131" t="n">
        <v>0</v>
      </c>
      <c r="R131" s="2" t="inlineStr"/>
    </row>
    <row r="132" ht="15" customHeight="1">
      <c r="A132" t="inlineStr">
        <is>
          <t>A 10396-2025</t>
        </is>
      </c>
      <c r="B132" s="1" t="n">
        <v>45720.60721064815</v>
      </c>
      <c r="C132" s="1" t="n">
        <v>45924</v>
      </c>
      <c r="D132" t="inlineStr">
        <is>
          <t>VÄSTMANLANDS LÄN</t>
        </is>
      </c>
      <c r="E132" t="inlineStr">
        <is>
          <t>SURAHAMMAR</t>
        </is>
      </c>
      <c r="F132" t="inlineStr">
        <is>
          <t>Allmännings- och besparingsskogar</t>
        </is>
      </c>
      <c r="G132" t="n">
        <v>9.300000000000001</v>
      </c>
      <c r="H132" t="n">
        <v>0</v>
      </c>
      <c r="I132" t="n">
        <v>0</v>
      </c>
      <c r="J132" t="n">
        <v>0</v>
      </c>
      <c r="K132" t="n">
        <v>0</v>
      </c>
      <c r="L132" t="n">
        <v>0</v>
      </c>
      <c r="M132" t="n">
        <v>0</v>
      </c>
      <c r="N132" t="n">
        <v>0</v>
      </c>
      <c r="O132" t="n">
        <v>0</v>
      </c>
      <c r="P132" t="n">
        <v>0</v>
      </c>
      <c r="Q132" t="n">
        <v>0</v>
      </c>
      <c r="R132" s="2" t="inlineStr"/>
    </row>
    <row r="133" ht="15" customHeight="1">
      <c r="A133" t="inlineStr">
        <is>
          <t>A 37954-2025</t>
        </is>
      </c>
      <c r="B133" s="1" t="n">
        <v>45881</v>
      </c>
      <c r="C133" s="1" t="n">
        <v>45924</v>
      </c>
      <c r="D133" t="inlineStr">
        <is>
          <t>VÄSTMANLANDS LÄN</t>
        </is>
      </c>
      <c r="E133" t="inlineStr">
        <is>
          <t>SURAHAMMAR</t>
        </is>
      </c>
      <c r="G133" t="n">
        <v>9.5</v>
      </c>
      <c r="H133" t="n">
        <v>0</v>
      </c>
      <c r="I133" t="n">
        <v>0</v>
      </c>
      <c r="J133" t="n">
        <v>0</v>
      </c>
      <c r="K133" t="n">
        <v>0</v>
      </c>
      <c r="L133" t="n">
        <v>0</v>
      </c>
      <c r="M133" t="n">
        <v>0</v>
      </c>
      <c r="N133" t="n">
        <v>0</v>
      </c>
      <c r="O133" t="n">
        <v>0</v>
      </c>
      <c r="P133" t="n">
        <v>0</v>
      </c>
      <c r="Q133" t="n">
        <v>0</v>
      </c>
      <c r="R133" s="2" t="inlineStr"/>
    </row>
    <row r="134" ht="15" customHeight="1">
      <c r="A134" t="inlineStr">
        <is>
          <t>A 5567-2022</t>
        </is>
      </c>
      <c r="B134" s="1" t="n">
        <v>44595</v>
      </c>
      <c r="C134" s="1" t="n">
        <v>45924</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42832-2022</t>
        </is>
      </c>
      <c r="B135" s="1" t="n">
        <v>44832</v>
      </c>
      <c r="C135" s="1" t="n">
        <v>45924</v>
      </c>
      <c r="D135" t="inlineStr">
        <is>
          <t>VÄSTMANLANDS LÄN</t>
        </is>
      </c>
      <c r="E135" t="inlineStr">
        <is>
          <t>SURAHAMMAR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3818-2022</t>
        </is>
      </c>
      <c r="B136" s="1" t="n">
        <v>44587</v>
      </c>
      <c r="C136" s="1" t="n">
        <v>45924</v>
      </c>
      <c r="D136" t="inlineStr">
        <is>
          <t>VÄSTMANLANDS LÄN</t>
        </is>
      </c>
      <c r="E136" t="inlineStr">
        <is>
          <t>SURAHAMMAR</t>
        </is>
      </c>
      <c r="G136" t="n">
        <v>2.6</v>
      </c>
      <c r="H136" t="n">
        <v>0</v>
      </c>
      <c r="I136" t="n">
        <v>0</v>
      </c>
      <c r="J136" t="n">
        <v>0</v>
      </c>
      <c r="K136" t="n">
        <v>0</v>
      </c>
      <c r="L136" t="n">
        <v>0</v>
      </c>
      <c r="M136" t="n">
        <v>0</v>
      </c>
      <c r="N136" t="n">
        <v>0</v>
      </c>
      <c r="O136" t="n">
        <v>0</v>
      </c>
      <c r="P136" t="n">
        <v>0</v>
      </c>
      <c r="Q136" t="n">
        <v>0</v>
      </c>
      <c r="R136" s="2" t="inlineStr"/>
    </row>
    <row r="137" ht="15" customHeight="1">
      <c r="A137" t="inlineStr">
        <is>
          <t>A 24665-2023</t>
        </is>
      </c>
      <c r="B137" s="1" t="n">
        <v>45084.48592592592</v>
      </c>
      <c r="C137" s="1" t="n">
        <v>45924</v>
      </c>
      <c r="D137" t="inlineStr">
        <is>
          <t>VÄSTMANLANDS LÄN</t>
        </is>
      </c>
      <c r="E137" t="inlineStr">
        <is>
          <t>SURAHAMMAR</t>
        </is>
      </c>
      <c r="G137" t="n">
        <v>0.9</v>
      </c>
      <c r="H137" t="n">
        <v>0</v>
      </c>
      <c r="I137" t="n">
        <v>0</v>
      </c>
      <c r="J137" t="n">
        <v>0</v>
      </c>
      <c r="K137" t="n">
        <v>0</v>
      </c>
      <c r="L137" t="n">
        <v>0</v>
      </c>
      <c r="M137" t="n">
        <v>0</v>
      </c>
      <c r="N137" t="n">
        <v>0</v>
      </c>
      <c r="O137" t="n">
        <v>0</v>
      </c>
      <c r="P137" t="n">
        <v>0</v>
      </c>
      <c r="Q137" t="n">
        <v>0</v>
      </c>
      <c r="R137" s="2" t="inlineStr"/>
    </row>
    <row r="138" ht="15" customHeight="1">
      <c r="A138" t="inlineStr">
        <is>
          <t>A 32808-2024</t>
        </is>
      </c>
      <c r="B138" s="1" t="n">
        <v>45516</v>
      </c>
      <c r="C138" s="1" t="n">
        <v>45924</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42841-2022</t>
        </is>
      </c>
      <c r="B139" s="1" t="n">
        <v>44832</v>
      </c>
      <c r="C139" s="1" t="n">
        <v>45924</v>
      </c>
      <c r="D139" t="inlineStr">
        <is>
          <t>VÄSTMANLANDS LÄN</t>
        </is>
      </c>
      <c r="E139" t="inlineStr">
        <is>
          <t>SURAHAMMAR</t>
        </is>
      </c>
      <c r="G139" t="n">
        <v>1.8</v>
      </c>
      <c r="H139" t="n">
        <v>0</v>
      </c>
      <c r="I139" t="n">
        <v>0</v>
      </c>
      <c r="J139" t="n">
        <v>0</v>
      </c>
      <c r="K139" t="n">
        <v>0</v>
      </c>
      <c r="L139" t="n">
        <v>0</v>
      </c>
      <c r="M139" t="n">
        <v>0</v>
      </c>
      <c r="N139" t="n">
        <v>0</v>
      </c>
      <c r="O139" t="n">
        <v>0</v>
      </c>
      <c r="P139" t="n">
        <v>0</v>
      </c>
      <c r="Q139" t="n">
        <v>0</v>
      </c>
      <c r="R139" s="2" t="inlineStr"/>
    </row>
    <row r="140" ht="15" customHeight="1">
      <c r="A140" t="inlineStr">
        <is>
          <t>A 42829-2022</t>
        </is>
      </c>
      <c r="B140" s="1" t="n">
        <v>44832</v>
      </c>
      <c r="C140" s="1" t="n">
        <v>45924</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25417-2024</t>
        </is>
      </c>
      <c r="B141" s="1" t="n">
        <v>45463</v>
      </c>
      <c r="C141" s="1" t="n">
        <v>45924</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2867-2024</t>
        </is>
      </c>
      <c r="B142" s="1" t="n">
        <v>45315</v>
      </c>
      <c r="C142" s="1" t="n">
        <v>45924</v>
      </c>
      <c r="D142" t="inlineStr">
        <is>
          <t>VÄSTMANLANDS LÄN</t>
        </is>
      </c>
      <c r="E142" t="inlineStr">
        <is>
          <t>SURAHAMMAR</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3085-2023</t>
        </is>
      </c>
      <c r="B143" s="1" t="n">
        <v>44946</v>
      </c>
      <c r="C143" s="1" t="n">
        <v>45924</v>
      </c>
      <c r="D143" t="inlineStr">
        <is>
          <t>VÄSTMANLANDS LÄN</t>
        </is>
      </c>
      <c r="E143" t="inlineStr">
        <is>
          <t>SURAHAMMAR</t>
        </is>
      </c>
      <c r="F143" t="inlineStr">
        <is>
          <t>Kyrkan</t>
        </is>
      </c>
      <c r="G143" t="n">
        <v>13</v>
      </c>
      <c r="H143" t="n">
        <v>0</v>
      </c>
      <c r="I143" t="n">
        <v>0</v>
      </c>
      <c r="J143" t="n">
        <v>0</v>
      </c>
      <c r="K143" t="n">
        <v>0</v>
      </c>
      <c r="L143" t="n">
        <v>0</v>
      </c>
      <c r="M143" t="n">
        <v>0</v>
      </c>
      <c r="N143" t="n">
        <v>0</v>
      </c>
      <c r="O143" t="n">
        <v>0</v>
      </c>
      <c r="P143" t="n">
        <v>0</v>
      </c>
      <c r="Q143" t="n">
        <v>0</v>
      </c>
      <c r="R143" s="2" t="inlineStr"/>
    </row>
    <row r="144" ht="15" customHeight="1">
      <c r="A144" t="inlineStr">
        <is>
          <t>A 44358-2024</t>
        </is>
      </c>
      <c r="B144" s="1" t="n">
        <v>45573</v>
      </c>
      <c r="C144" s="1" t="n">
        <v>45924</v>
      </c>
      <c r="D144" t="inlineStr">
        <is>
          <t>VÄSTMANLANDS LÄN</t>
        </is>
      </c>
      <c r="E144" t="inlineStr">
        <is>
          <t>SURAHAMMAR</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49058-2024</t>
        </is>
      </c>
      <c r="B145" s="1" t="n">
        <v>45594</v>
      </c>
      <c r="C145" s="1" t="n">
        <v>45924</v>
      </c>
      <c r="D145" t="inlineStr">
        <is>
          <t>VÄSTMANLANDS LÄN</t>
        </is>
      </c>
      <c r="E145" t="inlineStr">
        <is>
          <t>SURAHAMMAR</t>
        </is>
      </c>
      <c r="F145" t="inlineStr">
        <is>
          <t>Sveaskog</t>
        </is>
      </c>
      <c r="G145" t="n">
        <v>11.4</v>
      </c>
      <c r="H145" t="n">
        <v>0</v>
      </c>
      <c r="I145" t="n">
        <v>0</v>
      </c>
      <c r="J145" t="n">
        <v>0</v>
      </c>
      <c r="K145" t="n">
        <v>0</v>
      </c>
      <c r="L145" t="n">
        <v>0</v>
      </c>
      <c r="M145" t="n">
        <v>0</v>
      </c>
      <c r="N145" t="n">
        <v>0</v>
      </c>
      <c r="O145" t="n">
        <v>0</v>
      </c>
      <c r="P145" t="n">
        <v>0</v>
      </c>
      <c r="Q145" t="n">
        <v>0</v>
      </c>
      <c r="R145" s="2" t="inlineStr"/>
    </row>
    <row r="146" ht="15" customHeight="1">
      <c r="A146" t="inlineStr">
        <is>
          <t>A 49060-2024</t>
        </is>
      </c>
      <c r="B146" s="1" t="n">
        <v>45594</v>
      </c>
      <c r="C146" s="1" t="n">
        <v>45924</v>
      </c>
      <c r="D146" t="inlineStr">
        <is>
          <t>VÄSTMANLANDS LÄN</t>
        </is>
      </c>
      <c r="E146" t="inlineStr">
        <is>
          <t>SURAHAMMAR</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21509-2024</t>
        </is>
      </c>
      <c r="B147" s="1" t="n">
        <v>45441</v>
      </c>
      <c r="C147" s="1" t="n">
        <v>45924</v>
      </c>
      <c r="D147" t="inlineStr">
        <is>
          <t>VÄSTMANLANDS LÄN</t>
        </is>
      </c>
      <c r="E147" t="inlineStr">
        <is>
          <t>SURAHAMMAR</t>
        </is>
      </c>
      <c r="F147" t="inlineStr">
        <is>
          <t>Bergvik skog väst AB</t>
        </is>
      </c>
      <c r="G147" t="n">
        <v>3.9</v>
      </c>
      <c r="H147" t="n">
        <v>0</v>
      </c>
      <c r="I147" t="n">
        <v>0</v>
      </c>
      <c r="J147" t="n">
        <v>0</v>
      </c>
      <c r="K147" t="n">
        <v>0</v>
      </c>
      <c r="L147" t="n">
        <v>0</v>
      </c>
      <c r="M147" t="n">
        <v>0</v>
      </c>
      <c r="N147" t="n">
        <v>0</v>
      </c>
      <c r="O147" t="n">
        <v>0</v>
      </c>
      <c r="P147" t="n">
        <v>0</v>
      </c>
      <c r="Q147" t="n">
        <v>0</v>
      </c>
      <c r="R147" s="2" t="inlineStr"/>
    </row>
    <row r="148" ht="15" customHeight="1">
      <c r="A148" t="inlineStr">
        <is>
          <t>A 22662-2023</t>
        </is>
      </c>
      <c r="B148" s="1" t="n">
        <v>45071</v>
      </c>
      <c r="C148" s="1" t="n">
        <v>45924</v>
      </c>
      <c r="D148" t="inlineStr">
        <is>
          <t>VÄSTMANLANDS LÄN</t>
        </is>
      </c>
      <c r="E148" t="inlineStr">
        <is>
          <t>SURAHAMMAR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16013-2023</t>
        </is>
      </c>
      <c r="B149" s="1" t="n">
        <v>45026</v>
      </c>
      <c r="C149" s="1" t="n">
        <v>45924</v>
      </c>
      <c r="D149" t="inlineStr">
        <is>
          <t>VÄSTMANLANDS LÄN</t>
        </is>
      </c>
      <c r="E149" t="inlineStr">
        <is>
          <t>SURAHAMMAR</t>
        </is>
      </c>
      <c r="G149" t="n">
        <v>3.9</v>
      </c>
      <c r="H149" t="n">
        <v>0</v>
      </c>
      <c r="I149" t="n">
        <v>0</v>
      </c>
      <c r="J149" t="n">
        <v>0</v>
      </c>
      <c r="K149" t="n">
        <v>0</v>
      </c>
      <c r="L149" t="n">
        <v>0</v>
      </c>
      <c r="M149" t="n">
        <v>0</v>
      </c>
      <c r="N149" t="n">
        <v>0</v>
      </c>
      <c r="O149" t="n">
        <v>0</v>
      </c>
      <c r="P149" t="n">
        <v>0</v>
      </c>
      <c r="Q149" t="n">
        <v>0</v>
      </c>
      <c r="R149" s="2" t="inlineStr"/>
    </row>
    <row r="150" ht="15" customHeight="1">
      <c r="A150" t="inlineStr">
        <is>
          <t>A 34955-2022</t>
        </is>
      </c>
      <c r="B150" s="1" t="n">
        <v>44796</v>
      </c>
      <c r="C150" s="1" t="n">
        <v>45924</v>
      </c>
      <c r="D150" t="inlineStr">
        <is>
          <t>VÄSTMANLANDS LÄN</t>
        </is>
      </c>
      <c r="E150" t="inlineStr">
        <is>
          <t>SURAHAMMAR</t>
        </is>
      </c>
      <c r="F150" t="inlineStr">
        <is>
          <t>Sveaskog</t>
        </is>
      </c>
      <c r="G150" t="n">
        <v>4.6</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45924</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25780-2023</t>
        </is>
      </c>
      <c r="B152" s="1" t="n">
        <v>45090.47523148148</v>
      </c>
      <c r="C152" s="1" t="n">
        <v>45924</v>
      </c>
      <c r="D152" t="inlineStr">
        <is>
          <t>VÄSTMANLANDS LÄN</t>
        </is>
      </c>
      <c r="E152" t="inlineStr">
        <is>
          <t>SURAHAMMAR</t>
        </is>
      </c>
      <c r="G152" t="n">
        <v>2.8</v>
      </c>
      <c r="H152" t="n">
        <v>0</v>
      </c>
      <c r="I152" t="n">
        <v>0</v>
      </c>
      <c r="J152" t="n">
        <v>0</v>
      </c>
      <c r="K152" t="n">
        <v>0</v>
      </c>
      <c r="L152" t="n">
        <v>0</v>
      </c>
      <c r="M152" t="n">
        <v>0</v>
      </c>
      <c r="N152" t="n">
        <v>0</v>
      </c>
      <c r="O152" t="n">
        <v>0</v>
      </c>
      <c r="P152" t="n">
        <v>0</v>
      </c>
      <c r="Q152" t="n">
        <v>0</v>
      </c>
      <c r="R152" s="2" t="inlineStr"/>
    </row>
    <row r="153" ht="15" customHeight="1">
      <c r="A153" t="inlineStr">
        <is>
          <t>A 13386-2025</t>
        </is>
      </c>
      <c r="B153" s="1" t="n">
        <v>45735</v>
      </c>
      <c r="C153" s="1" t="n">
        <v>45924</v>
      </c>
      <c r="D153" t="inlineStr">
        <is>
          <t>VÄSTMANLANDS LÄN</t>
        </is>
      </c>
      <c r="E153" t="inlineStr">
        <is>
          <t>SURAHAMMAR</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47785-2021</t>
        </is>
      </c>
      <c r="B154" s="1" t="n">
        <v>44448</v>
      </c>
      <c r="C154" s="1" t="n">
        <v>45924</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c r="A155" t="inlineStr">
        <is>
          <t>A 15739-2023</t>
        </is>
      </c>
      <c r="B155" s="1" t="n">
        <v>45021</v>
      </c>
      <c r="C155" s="1" t="n">
        <v>45924</v>
      </c>
      <c r="D155" t="inlineStr">
        <is>
          <t>VÄSTMANLANDS LÄN</t>
        </is>
      </c>
      <c r="E155" t="inlineStr">
        <is>
          <t>SURAHAMMAR</t>
        </is>
      </c>
      <c r="G155" t="n">
        <v>1.3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2025-09-24T10:15:16Z</dcterms:created>
  <dcterms:modified xmlns:dcterms="http://purl.org/dc/terms/" xmlns:xsi="http://www.w3.org/2001/XMLSchema-instance" xsi:type="dcterms:W3CDTF">2025-09-24T10:15:16Z</dcterms:modified>
</cp:coreProperties>
</file>