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46163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46163</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46163</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46163</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46163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46163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46163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46163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46163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46163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46163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46163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46163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46163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46163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46163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46163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46163</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46163</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46163</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46163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46163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10236-2026</t>
        </is>
      </c>
      <c r="B24" s="1" t="n">
        <v>46076.54277777778</v>
      </c>
      <c r="C24" s="1" t="n">
        <v>46163</v>
      </c>
      <c r="D24" t="inlineStr">
        <is>
          <t>VÄSTMANLANDS LÄN</t>
        </is>
      </c>
      <c r="E24" t="inlineStr">
        <is>
          <t>SURAHAMMAR</t>
        </is>
      </c>
      <c r="F24" t="inlineStr">
        <is>
          <t>Allmännings- och besparingsskogar</t>
        </is>
      </c>
      <c r="G24" t="n">
        <v>2.8</v>
      </c>
      <c r="H24" t="n">
        <v>2</v>
      </c>
      <c r="I24" t="n">
        <v>1</v>
      </c>
      <c r="J24" t="n">
        <v>0</v>
      </c>
      <c r="K24" t="n">
        <v>1</v>
      </c>
      <c r="L24" t="n">
        <v>0</v>
      </c>
      <c r="M24" t="n">
        <v>0</v>
      </c>
      <c r="N24" t="n">
        <v>0</v>
      </c>
      <c r="O24" t="n">
        <v>1</v>
      </c>
      <c r="P24" t="n">
        <v>1</v>
      </c>
      <c r="Q24" t="n">
        <v>4</v>
      </c>
      <c r="R24" s="2" t="inlineStr">
        <is>
          <t>Vågticka
Brandticka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48891-2023</t>
        </is>
      </c>
      <c r="B25" s="1" t="n">
        <v>45203</v>
      </c>
      <c r="C25" s="1" t="n">
        <v>46163</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42853-2022</t>
        </is>
      </c>
      <c r="B26" s="1" t="n">
        <v>44832</v>
      </c>
      <c r="C26" s="1" t="n">
        <v>46163</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46163</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46163</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46163</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48128-2023</t>
        </is>
      </c>
      <c r="B30" s="1" t="n">
        <v>45205</v>
      </c>
      <c r="C30" s="1" t="n">
        <v>46163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46163</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46163</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39694-2025</t>
        </is>
      </c>
      <c r="B33" s="1" t="n">
        <v>45890</v>
      </c>
      <c r="C33" s="1" t="n">
        <v>46163</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46163</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46163</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46163</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4082-2025</t>
        </is>
      </c>
      <c r="B37" s="1" t="n">
        <v>45684</v>
      </c>
      <c r="C37" s="1" t="n">
        <v>46163</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38200-2021</t>
        </is>
      </c>
      <c r="B38" s="1" t="n">
        <v>44405</v>
      </c>
      <c r="C38" s="1" t="n">
        <v>46163</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29707-2025</t>
        </is>
      </c>
      <c r="B39" s="1" t="n">
        <v>45825.56100694444</v>
      </c>
      <c r="C39" s="1" t="n">
        <v>46163</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46163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46163</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41576-2022</t>
        </is>
      </c>
      <c r="B42" s="1" t="n">
        <v>44826</v>
      </c>
      <c r="C42" s="1" t="n">
        <v>46163</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46163</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46163</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37800-2021</t>
        </is>
      </c>
      <c r="B45" s="1" t="n">
        <v>44402</v>
      </c>
      <c r="C45" s="1" t="n">
        <v>46163</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63146-2025</t>
        </is>
      </c>
      <c r="B46" s="1" t="n">
        <v>46009</v>
      </c>
      <c r="C46" s="1" t="n">
        <v>46163</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41204-2023</t>
        </is>
      </c>
      <c r="B47" s="1" t="n">
        <v>45174</v>
      </c>
      <c r="C47" s="1" t="n">
        <v>46163</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46163</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46163</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46163</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46163</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46163</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46163</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56362-2023</t>
        </is>
      </c>
      <c r="B54" s="1" t="n">
        <v>45236</v>
      </c>
      <c r="C54" s="1" t="n">
        <v>46163</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46163</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46163</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34582-2025</t>
        </is>
      </c>
      <c r="B57" s="1" t="n">
        <v>45846</v>
      </c>
      <c r="C57" s="1" t="n">
        <v>46163</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34584-2025</t>
        </is>
      </c>
      <c r="B58" s="1" t="n">
        <v>45846</v>
      </c>
      <c r="C58" s="1" t="n">
        <v>46163</v>
      </c>
      <c r="D58" t="inlineStr">
        <is>
          <t>VÄSTMANLANDS LÄN</t>
        </is>
      </c>
      <c r="E58" t="inlineStr">
        <is>
          <t>SURAHAMMAR</t>
        </is>
      </c>
      <c r="F58" t="inlineStr">
        <is>
          <t>Bergvik skog väst AB</t>
        </is>
      </c>
      <c r="G58" t="n">
        <v>2.7</v>
      </c>
      <c r="H58" t="n">
        <v>1</v>
      </c>
      <c r="I58" t="n">
        <v>0</v>
      </c>
      <c r="J58" t="n">
        <v>0</v>
      </c>
      <c r="K58" t="n">
        <v>0</v>
      </c>
      <c r="L58" t="n">
        <v>0</v>
      </c>
      <c r="M58" t="n">
        <v>0</v>
      </c>
      <c r="N58" t="n">
        <v>0</v>
      </c>
      <c r="O58" t="n">
        <v>0</v>
      </c>
      <c r="P58" t="n">
        <v>0</v>
      </c>
      <c r="Q58" t="n">
        <v>1</v>
      </c>
      <c r="R58" s="2" t="inlineStr">
        <is>
          <t>Tjäder</t>
        </is>
      </c>
      <c r="S58">
        <f>HYPERLINK("https://klasma.github.io/Logging_1907/artfynd/A 34584-2025 artfynd.xlsx", "A 34584-2025")</f>
        <v/>
      </c>
      <c r="T58">
        <f>HYPERLINK("https://klasma.github.io/Logging_1907/kartor/A 34584-2025 karta.png", "A 34584-2025")</f>
        <v/>
      </c>
      <c r="V58">
        <f>HYPERLINK("https://klasma.github.io/Logging_1907/klagomål/A 34584-2025 FSC-klagomål.docx", "A 34584-2025")</f>
        <v/>
      </c>
      <c r="W58">
        <f>HYPERLINK("https://klasma.github.io/Logging_1907/klagomålsmail/A 34584-2025 FSC-klagomål mail.docx", "A 34584-2025")</f>
        <v/>
      </c>
      <c r="X58">
        <f>HYPERLINK("https://klasma.github.io/Logging_1907/tillsyn/A 34584-2025 tillsynsbegäran.docx", "A 34584-2025")</f>
        <v/>
      </c>
      <c r="Y58">
        <f>HYPERLINK("https://klasma.github.io/Logging_1907/tillsynsmail/A 34584-2025 tillsynsbegäran mail.docx", "A 34584-2025")</f>
        <v/>
      </c>
      <c r="Z58">
        <f>HYPERLINK("https://klasma.github.io/Logging_1907/fåglar/A 34584-2025 prioriterade fågelarter.docx", "A 34584-2025")</f>
        <v/>
      </c>
    </row>
    <row r="59" ht="15" customHeight="1">
      <c r="A59" t="inlineStr">
        <is>
          <t>A 39099-2022</t>
        </is>
      </c>
      <c r="B59" s="1" t="n">
        <v>44817</v>
      </c>
      <c r="C59" s="1" t="n">
        <v>46163</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42089-2025</t>
        </is>
      </c>
      <c r="B60" s="1" t="n">
        <v>45902</v>
      </c>
      <c r="C60" s="1" t="n">
        <v>46163</v>
      </c>
      <c r="D60" t="inlineStr">
        <is>
          <t>VÄSTMANLANDS LÄN</t>
        </is>
      </c>
      <c r="E60" t="inlineStr">
        <is>
          <t>SURAHAMMAR</t>
        </is>
      </c>
      <c r="G60" t="n">
        <v>2.2</v>
      </c>
      <c r="H60" t="n">
        <v>0</v>
      </c>
      <c r="I60" t="n">
        <v>0</v>
      </c>
      <c r="J60" t="n">
        <v>1</v>
      </c>
      <c r="K60" t="n">
        <v>0</v>
      </c>
      <c r="L60" t="n">
        <v>0</v>
      </c>
      <c r="M60" t="n">
        <v>0</v>
      </c>
      <c r="N60" t="n">
        <v>0</v>
      </c>
      <c r="O60" t="n">
        <v>1</v>
      </c>
      <c r="P60" t="n">
        <v>0</v>
      </c>
      <c r="Q60" t="n">
        <v>1</v>
      </c>
      <c r="R60" s="2" t="inlineStr">
        <is>
          <t>Motaggsvamp</t>
        </is>
      </c>
      <c r="S60">
        <f>HYPERLINK("https://klasma.github.io/Logging_1907/artfynd/A 42089-2025 artfynd.xlsx", "A 42089-2025")</f>
        <v/>
      </c>
      <c r="T60">
        <f>HYPERLINK("https://klasma.github.io/Logging_1907/kartor/A 42089-2025 karta.png", "A 42089-2025")</f>
        <v/>
      </c>
      <c r="V60">
        <f>HYPERLINK("https://klasma.github.io/Logging_1907/klagomål/A 42089-2025 FSC-klagomål.docx", "A 42089-2025")</f>
        <v/>
      </c>
      <c r="W60">
        <f>HYPERLINK("https://klasma.github.io/Logging_1907/klagomålsmail/A 42089-2025 FSC-klagomål mail.docx", "A 42089-2025")</f>
        <v/>
      </c>
      <c r="X60">
        <f>HYPERLINK("https://klasma.github.io/Logging_1907/tillsyn/A 42089-2025 tillsynsbegäran.docx", "A 42089-2025")</f>
        <v/>
      </c>
      <c r="Y60">
        <f>HYPERLINK("https://klasma.github.io/Logging_1907/tillsynsmail/A 42089-2025 tillsynsbegäran mail.docx", "A 42089-2025")</f>
        <v/>
      </c>
    </row>
    <row r="61" ht="15" customHeight="1">
      <c r="A61" t="inlineStr">
        <is>
          <t>A 42765-2022</t>
        </is>
      </c>
      <c r="B61" s="1" t="n">
        <v>44832</v>
      </c>
      <c r="C61" s="1" t="n">
        <v>46163</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46163</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46163</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17632-2022</t>
        </is>
      </c>
      <c r="B64" s="1" t="n">
        <v>44680</v>
      </c>
      <c r="C64" s="1" t="n">
        <v>46163</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55042-2025</t>
        </is>
      </c>
      <c r="B65" s="1" t="n">
        <v>45967.65858796296</v>
      </c>
      <c r="C65" s="1" t="n">
        <v>46163</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46163</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46163</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44356-2024</t>
        </is>
      </c>
      <c r="B68" s="1" t="n">
        <v>45573</v>
      </c>
      <c r="C68" s="1" t="n">
        <v>46163</v>
      </c>
      <c r="D68" t="inlineStr">
        <is>
          <t>VÄSTMANLANDS LÄN</t>
        </is>
      </c>
      <c r="E68" t="inlineStr">
        <is>
          <t>SURAHAMMAR</t>
        </is>
      </c>
      <c r="F68" t="inlineStr">
        <is>
          <t>Sveaskog</t>
        </is>
      </c>
      <c r="G68" t="n">
        <v>0.7</v>
      </c>
      <c r="H68" t="n">
        <v>1</v>
      </c>
      <c r="I68" t="n">
        <v>0</v>
      </c>
      <c r="J68" t="n">
        <v>0</v>
      </c>
      <c r="K68" t="n">
        <v>0</v>
      </c>
      <c r="L68" t="n">
        <v>0</v>
      </c>
      <c r="M68" t="n">
        <v>0</v>
      </c>
      <c r="N68" t="n">
        <v>0</v>
      </c>
      <c r="O68" t="n">
        <v>0</v>
      </c>
      <c r="P68" t="n">
        <v>0</v>
      </c>
      <c r="Q68" t="n">
        <v>1</v>
      </c>
      <c r="R68" s="2" t="inlineStr">
        <is>
          <t>Revlummer</t>
        </is>
      </c>
      <c r="S68">
        <f>HYPERLINK("https://klasma.github.io/Logging_1907/artfynd/A 44356-2024 artfynd.xlsx", "A 44356-2024")</f>
        <v/>
      </c>
      <c r="T68">
        <f>HYPERLINK("https://klasma.github.io/Logging_1907/kartor/A 44356-2024 karta.png", "A 44356-2024")</f>
        <v/>
      </c>
      <c r="V68">
        <f>HYPERLINK("https://klasma.github.io/Logging_1907/klagomål/A 44356-2024 FSC-klagomål.docx", "A 44356-2024")</f>
        <v/>
      </c>
      <c r="W68">
        <f>HYPERLINK("https://klasma.github.io/Logging_1907/klagomålsmail/A 44356-2024 FSC-klagomål mail.docx", "A 44356-2024")</f>
        <v/>
      </c>
      <c r="X68">
        <f>HYPERLINK("https://klasma.github.io/Logging_1907/tillsyn/A 44356-2024 tillsynsbegäran.docx", "A 44356-2024")</f>
        <v/>
      </c>
      <c r="Y68">
        <f>HYPERLINK("https://klasma.github.io/Logging_1907/tillsynsmail/A 44356-2024 tillsynsbegäran mail.docx", "A 44356-2024")</f>
        <v/>
      </c>
    </row>
    <row r="69" ht="15" customHeight="1">
      <c r="A69" t="inlineStr">
        <is>
          <t>A 22840-2023</t>
        </is>
      </c>
      <c r="B69" s="1" t="n">
        <v>45072</v>
      </c>
      <c r="C69" s="1" t="n">
        <v>46163</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33231-2024</t>
        </is>
      </c>
      <c r="B70" s="1" t="n">
        <v>45518</v>
      </c>
      <c r="C70" s="1" t="n">
        <v>46163</v>
      </c>
      <c r="D70" t="inlineStr">
        <is>
          <t>VÄSTMANLANDS LÄN</t>
        </is>
      </c>
      <c r="E70" t="inlineStr">
        <is>
          <t>SURAHAMMAR</t>
        </is>
      </c>
      <c r="F70" t="inlineStr">
        <is>
          <t>Bergvik skog väst AB</t>
        </is>
      </c>
      <c r="G70" t="n">
        <v>1.5</v>
      </c>
      <c r="H70" t="n">
        <v>1</v>
      </c>
      <c r="I70" t="n">
        <v>0</v>
      </c>
      <c r="J70" t="n">
        <v>0</v>
      </c>
      <c r="K70" t="n">
        <v>0</v>
      </c>
      <c r="L70" t="n">
        <v>0</v>
      </c>
      <c r="M70" t="n">
        <v>0</v>
      </c>
      <c r="N70" t="n">
        <v>0</v>
      </c>
      <c r="O70" t="n">
        <v>0</v>
      </c>
      <c r="P70" t="n">
        <v>0</v>
      </c>
      <c r="Q70" t="n">
        <v>1</v>
      </c>
      <c r="R70" s="2" t="inlineStr">
        <is>
          <t>Mindre vattensalamander</t>
        </is>
      </c>
      <c r="S70">
        <f>HYPERLINK("https://klasma.github.io/Logging_1907/artfynd/A 33231-2024 artfynd.xlsx", "A 33231-2024")</f>
        <v/>
      </c>
      <c r="T70">
        <f>HYPERLINK("https://klasma.github.io/Logging_1907/kartor/A 33231-2024 karta.png", "A 33231-2024")</f>
        <v/>
      </c>
      <c r="V70">
        <f>HYPERLINK("https://klasma.github.io/Logging_1907/klagomål/A 33231-2024 FSC-klagomål.docx", "A 33231-2024")</f>
        <v/>
      </c>
      <c r="W70">
        <f>HYPERLINK("https://klasma.github.io/Logging_1907/klagomålsmail/A 33231-2024 FSC-klagomål mail.docx", "A 33231-2024")</f>
        <v/>
      </c>
      <c r="X70">
        <f>HYPERLINK("https://klasma.github.io/Logging_1907/tillsyn/A 33231-2024 tillsynsbegäran.docx", "A 33231-2024")</f>
        <v/>
      </c>
      <c r="Y70">
        <f>HYPERLINK("https://klasma.github.io/Logging_1907/tillsynsmail/A 33231-2024 tillsynsbegäran mail.docx", "A 33231-2024")</f>
        <v/>
      </c>
    </row>
    <row r="71" ht="15" customHeight="1">
      <c r="A71" t="inlineStr">
        <is>
          <t>A 63145-2025</t>
        </is>
      </c>
      <c r="B71" s="1" t="n">
        <v>46009</v>
      </c>
      <c r="C71" s="1" t="n">
        <v>46163</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14001-2023</t>
        </is>
      </c>
      <c r="B72" s="1" t="n">
        <v>45007</v>
      </c>
      <c r="C72" s="1" t="n">
        <v>46163</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46163</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46163</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46163</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13788-2025</t>
        </is>
      </c>
      <c r="B76" s="1" t="n">
        <v>45737.45327546296</v>
      </c>
      <c r="C76" s="1" t="n">
        <v>46163</v>
      </c>
      <c r="D76" t="inlineStr">
        <is>
          <t>VÄSTMANLANDS LÄN</t>
        </is>
      </c>
      <c r="E76" t="inlineStr">
        <is>
          <t>SURAHAMMAR</t>
        </is>
      </c>
      <c r="G76" t="n">
        <v>9.699999999999999</v>
      </c>
      <c r="H76" t="n">
        <v>1</v>
      </c>
      <c r="I76" t="n">
        <v>0</v>
      </c>
      <c r="J76" t="n">
        <v>0</v>
      </c>
      <c r="K76" t="n">
        <v>0</v>
      </c>
      <c r="L76" t="n">
        <v>0</v>
      </c>
      <c r="M76" t="n">
        <v>0</v>
      </c>
      <c r="N76" t="n">
        <v>0</v>
      </c>
      <c r="O76" t="n">
        <v>0</v>
      </c>
      <c r="P76" t="n">
        <v>0</v>
      </c>
      <c r="Q76" t="n">
        <v>1</v>
      </c>
      <c r="R76" s="2" t="inlineStr">
        <is>
          <t>Sparvuggla</t>
        </is>
      </c>
      <c r="S76">
        <f>HYPERLINK("https://klasma.github.io/Logging_1907/artfynd/A 13788-2025 artfynd.xlsx", "A 13788-2025")</f>
        <v/>
      </c>
      <c r="T76">
        <f>HYPERLINK("https://klasma.github.io/Logging_1907/kartor/A 13788-2025 karta.png", "A 13788-2025")</f>
        <v/>
      </c>
      <c r="V76">
        <f>HYPERLINK("https://klasma.github.io/Logging_1907/klagomål/A 13788-2025 FSC-klagomål.docx", "A 13788-2025")</f>
        <v/>
      </c>
      <c r="W76">
        <f>HYPERLINK("https://klasma.github.io/Logging_1907/klagomålsmail/A 13788-2025 FSC-klagomål mail.docx", "A 13788-2025")</f>
        <v/>
      </c>
      <c r="X76">
        <f>HYPERLINK("https://klasma.github.io/Logging_1907/tillsyn/A 13788-2025 tillsynsbegäran.docx", "A 13788-2025")</f>
        <v/>
      </c>
      <c r="Y76">
        <f>HYPERLINK("https://klasma.github.io/Logging_1907/tillsynsmail/A 13788-2025 tillsynsbegäran mail.docx", "A 13788-2025")</f>
        <v/>
      </c>
      <c r="Z76">
        <f>HYPERLINK("https://klasma.github.io/Logging_1907/fåglar/A 13788-2025 prioriterade fågelarter.docx", "A 13788-2025")</f>
        <v/>
      </c>
    </row>
    <row r="77" ht="15" customHeight="1">
      <c r="A77" t="inlineStr">
        <is>
          <t>A 64073-2021</t>
        </is>
      </c>
      <c r="B77" s="1" t="n">
        <v>44509</v>
      </c>
      <c r="C77" s="1" t="n">
        <v>46163</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46163</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46163</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46163</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46163</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46163</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46163</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46163</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46163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46163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46163</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46163</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46163</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46163</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46163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46163</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46163</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46163</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46163</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46163</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46163</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46163</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46163</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46163</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46163</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46163</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33931-2022</t>
        </is>
      </c>
      <c r="B103" s="1" t="n">
        <v>44790.65153935185</v>
      </c>
      <c r="C103" s="1" t="n">
        <v>46163</v>
      </c>
      <c r="D103" t="inlineStr">
        <is>
          <t>VÄSTMANLANDS LÄN</t>
        </is>
      </c>
      <c r="E103" t="inlineStr">
        <is>
          <t>SURAHAMMAR</t>
        </is>
      </c>
      <c r="G103" t="n">
        <v>2.2</v>
      </c>
      <c r="H103" t="n">
        <v>0</v>
      </c>
      <c r="I103" t="n">
        <v>0</v>
      </c>
      <c r="J103" t="n">
        <v>0</v>
      </c>
      <c r="K103" t="n">
        <v>0</v>
      </c>
      <c r="L103" t="n">
        <v>0</v>
      </c>
      <c r="M103" t="n">
        <v>0</v>
      </c>
      <c r="N103" t="n">
        <v>0</v>
      </c>
      <c r="O103" t="n">
        <v>0</v>
      </c>
      <c r="P103" t="n">
        <v>0</v>
      </c>
      <c r="Q103" t="n">
        <v>0</v>
      </c>
      <c r="R103" s="2" t="inlineStr"/>
    </row>
    <row r="104" ht="15" customHeight="1">
      <c r="A104" t="inlineStr">
        <is>
          <t>A 24158-2023</t>
        </is>
      </c>
      <c r="B104" s="1" t="n">
        <v>45079</v>
      </c>
      <c r="C104" s="1" t="n">
        <v>46163</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32916-2025</t>
        </is>
      </c>
      <c r="B105" s="1" t="n">
        <v>45839</v>
      </c>
      <c r="C105" s="1" t="n">
        <v>46163</v>
      </c>
      <c r="D105" t="inlineStr">
        <is>
          <t>VÄSTMANLANDS LÄN</t>
        </is>
      </c>
      <c r="E105" t="inlineStr">
        <is>
          <t>SURAHAMMAR</t>
        </is>
      </c>
      <c r="F105" t="inlineStr">
        <is>
          <t>Kommuner</t>
        </is>
      </c>
      <c r="G105" t="n">
        <v>4.9</v>
      </c>
      <c r="H105" t="n">
        <v>0</v>
      </c>
      <c r="I105" t="n">
        <v>0</v>
      </c>
      <c r="J105" t="n">
        <v>0</v>
      </c>
      <c r="K105" t="n">
        <v>0</v>
      </c>
      <c r="L105" t="n">
        <v>0</v>
      </c>
      <c r="M105" t="n">
        <v>0</v>
      </c>
      <c r="N105" t="n">
        <v>0</v>
      </c>
      <c r="O105" t="n">
        <v>0</v>
      </c>
      <c r="P105" t="n">
        <v>0</v>
      </c>
      <c r="Q105" t="n">
        <v>0</v>
      </c>
      <c r="R105" s="2" t="inlineStr"/>
    </row>
    <row r="106" ht="15" customHeight="1">
      <c r="A106" t="inlineStr">
        <is>
          <t>A 32910-2025</t>
        </is>
      </c>
      <c r="B106" s="1" t="n">
        <v>45839</v>
      </c>
      <c r="C106" s="1" t="n">
        <v>46163</v>
      </c>
      <c r="D106" t="inlineStr">
        <is>
          <t>VÄSTMANLANDS LÄN</t>
        </is>
      </c>
      <c r="E106" t="inlineStr">
        <is>
          <t>SURAHAMMAR</t>
        </is>
      </c>
      <c r="F106" t="inlineStr">
        <is>
          <t>Kommuner</t>
        </is>
      </c>
      <c r="G106" t="n">
        <v>1.1</v>
      </c>
      <c r="H106" t="n">
        <v>0</v>
      </c>
      <c r="I106" t="n">
        <v>0</v>
      </c>
      <c r="J106" t="n">
        <v>0</v>
      </c>
      <c r="K106" t="n">
        <v>0</v>
      </c>
      <c r="L106" t="n">
        <v>0</v>
      </c>
      <c r="M106" t="n">
        <v>0</v>
      </c>
      <c r="N106" t="n">
        <v>0</v>
      </c>
      <c r="O106" t="n">
        <v>0</v>
      </c>
      <c r="P106" t="n">
        <v>0</v>
      </c>
      <c r="Q106" t="n">
        <v>0</v>
      </c>
      <c r="R106" s="2" t="inlineStr"/>
    </row>
    <row r="107" ht="15" customHeight="1">
      <c r="A107" t="inlineStr">
        <is>
          <t>A 42088-2025</t>
        </is>
      </c>
      <c r="B107" s="1" t="n">
        <v>45902</v>
      </c>
      <c r="C107" s="1" t="n">
        <v>46163</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46163</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31107-2025</t>
        </is>
      </c>
      <c r="B109" s="1" t="n">
        <v>45831</v>
      </c>
      <c r="C109" s="1" t="n">
        <v>46163</v>
      </c>
      <c r="D109" t="inlineStr">
        <is>
          <t>VÄSTMANLANDS LÄN</t>
        </is>
      </c>
      <c r="E109" t="inlineStr">
        <is>
          <t>SURAHAMMAR</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46163</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43255-2025</t>
        </is>
      </c>
      <c r="B111" s="1" t="n">
        <v>45910.55325231481</v>
      </c>
      <c r="C111" s="1" t="n">
        <v>46163</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46163</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46163</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46163</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5567-2022</t>
        </is>
      </c>
      <c r="B115" s="1" t="n">
        <v>44595</v>
      </c>
      <c r="C115" s="1" t="n">
        <v>46163</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42832-2022</t>
        </is>
      </c>
      <c r="B116" s="1" t="n">
        <v>44832</v>
      </c>
      <c r="C116" s="1" t="n">
        <v>46163</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46163</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24665-2023</t>
        </is>
      </c>
      <c r="B118" s="1" t="n">
        <v>45084.48592592592</v>
      </c>
      <c r="C118" s="1" t="n">
        <v>46163</v>
      </c>
      <c r="D118" t="inlineStr">
        <is>
          <t>VÄSTMANLANDS LÄN</t>
        </is>
      </c>
      <c r="E118" t="inlineStr">
        <is>
          <t>SURAHAMMAR</t>
        </is>
      </c>
      <c r="G118" t="n">
        <v>0.9</v>
      </c>
      <c r="H118" t="n">
        <v>0</v>
      </c>
      <c r="I118" t="n">
        <v>0</v>
      </c>
      <c r="J118" t="n">
        <v>0</v>
      </c>
      <c r="K118" t="n">
        <v>0</v>
      </c>
      <c r="L118" t="n">
        <v>0</v>
      </c>
      <c r="M118" t="n">
        <v>0</v>
      </c>
      <c r="N118" t="n">
        <v>0</v>
      </c>
      <c r="O118" t="n">
        <v>0</v>
      </c>
      <c r="P118" t="n">
        <v>0</v>
      </c>
      <c r="Q118" t="n">
        <v>0</v>
      </c>
      <c r="R118" s="2" t="inlineStr"/>
    </row>
    <row r="119" ht="15" customHeight="1">
      <c r="A119" t="inlineStr">
        <is>
          <t>A 32808-2024</t>
        </is>
      </c>
      <c r="B119" s="1" t="n">
        <v>45516</v>
      </c>
      <c r="C119" s="1" t="n">
        <v>46163</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42841-2022</t>
        </is>
      </c>
      <c r="B120" s="1" t="n">
        <v>44832</v>
      </c>
      <c r="C120" s="1" t="n">
        <v>46163</v>
      </c>
      <c r="D120" t="inlineStr">
        <is>
          <t>VÄSTMANLANDS LÄN</t>
        </is>
      </c>
      <c r="E120" t="inlineStr">
        <is>
          <t>SURAHAMMAR</t>
        </is>
      </c>
      <c r="G120" t="n">
        <v>1.8</v>
      </c>
      <c r="H120" t="n">
        <v>0</v>
      </c>
      <c r="I120" t="n">
        <v>0</v>
      </c>
      <c r="J120" t="n">
        <v>0</v>
      </c>
      <c r="K120" t="n">
        <v>0</v>
      </c>
      <c r="L120" t="n">
        <v>0</v>
      </c>
      <c r="M120" t="n">
        <v>0</v>
      </c>
      <c r="N120" t="n">
        <v>0</v>
      </c>
      <c r="O120" t="n">
        <v>0</v>
      </c>
      <c r="P120" t="n">
        <v>0</v>
      </c>
      <c r="Q120" t="n">
        <v>0</v>
      </c>
      <c r="R120" s="2" t="inlineStr"/>
    </row>
    <row r="121" ht="15" customHeight="1">
      <c r="A121" t="inlineStr">
        <is>
          <t>A 10512-2026</t>
        </is>
      </c>
      <c r="B121" s="1" t="n">
        <v>46077.56861111111</v>
      </c>
      <c r="C121" s="1" t="n">
        <v>46163</v>
      </c>
      <c r="D121" t="inlineStr">
        <is>
          <t>VÄSTMANLANDS LÄN</t>
        </is>
      </c>
      <c r="E121" t="inlineStr">
        <is>
          <t>SURAHAMMAR</t>
        </is>
      </c>
      <c r="F121" t="inlineStr">
        <is>
          <t>Övriga Aktiebolag</t>
        </is>
      </c>
      <c r="G121" t="n">
        <v>4.3</v>
      </c>
      <c r="H121" t="n">
        <v>0</v>
      </c>
      <c r="I121" t="n">
        <v>0</v>
      </c>
      <c r="J121" t="n">
        <v>0</v>
      </c>
      <c r="K121" t="n">
        <v>0</v>
      </c>
      <c r="L121" t="n">
        <v>0</v>
      </c>
      <c r="M121" t="n">
        <v>0</v>
      </c>
      <c r="N121" t="n">
        <v>0</v>
      </c>
      <c r="O121" t="n">
        <v>0</v>
      </c>
      <c r="P121" t="n">
        <v>0</v>
      </c>
      <c r="Q121" t="n">
        <v>0</v>
      </c>
      <c r="R121" s="2" t="inlineStr"/>
    </row>
    <row r="122" ht="15" customHeight="1">
      <c r="A122" t="inlineStr">
        <is>
          <t>A 10249-2026</t>
        </is>
      </c>
      <c r="B122" s="1" t="n">
        <v>46076.55456018518</v>
      </c>
      <c r="C122" s="1" t="n">
        <v>46163</v>
      </c>
      <c r="D122" t="inlineStr">
        <is>
          <t>VÄSTMANLANDS LÄN</t>
        </is>
      </c>
      <c r="E122" t="inlineStr">
        <is>
          <t>SURAHAMMAR</t>
        </is>
      </c>
      <c r="F122" t="inlineStr">
        <is>
          <t>Allmännings- och besparingsskogar</t>
        </is>
      </c>
      <c r="G122" t="n">
        <v>4.8</v>
      </c>
      <c r="H122" t="n">
        <v>0</v>
      </c>
      <c r="I122" t="n">
        <v>0</v>
      </c>
      <c r="J122" t="n">
        <v>0</v>
      </c>
      <c r="K122" t="n">
        <v>0</v>
      </c>
      <c r="L122" t="n">
        <v>0</v>
      </c>
      <c r="M122" t="n">
        <v>0</v>
      </c>
      <c r="N122" t="n">
        <v>0</v>
      </c>
      <c r="O122" t="n">
        <v>0</v>
      </c>
      <c r="P122" t="n">
        <v>0</v>
      </c>
      <c r="Q122" t="n">
        <v>0</v>
      </c>
      <c r="R122" s="2" t="inlineStr"/>
    </row>
    <row r="123" ht="15" customHeight="1">
      <c r="A123" t="inlineStr">
        <is>
          <t>A 42829-2022</t>
        </is>
      </c>
      <c r="B123" s="1" t="n">
        <v>44832</v>
      </c>
      <c r="C123" s="1" t="n">
        <v>46163</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10244-2026</t>
        </is>
      </c>
      <c r="B124" s="1" t="n">
        <v>46076.55032407407</v>
      </c>
      <c r="C124" s="1" t="n">
        <v>46163</v>
      </c>
      <c r="D124" t="inlineStr">
        <is>
          <t>VÄSTMANLANDS LÄN</t>
        </is>
      </c>
      <c r="E124" t="inlineStr">
        <is>
          <t>SURAHAMMAR</t>
        </is>
      </c>
      <c r="F124" t="inlineStr">
        <is>
          <t>Allmännings- och besparingsskogar</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10562-2026</t>
        </is>
      </c>
      <c r="B125" s="1" t="n">
        <v>46077.64043981482</v>
      </c>
      <c r="C125" s="1" t="n">
        <v>46163</v>
      </c>
      <c r="D125" t="inlineStr">
        <is>
          <t>VÄSTMANLANDS LÄN</t>
        </is>
      </c>
      <c r="E125" t="inlineStr">
        <is>
          <t>SURAHAMMAR</t>
        </is>
      </c>
      <c r="F125" t="inlineStr">
        <is>
          <t>Övriga Aktiebolag</t>
        </is>
      </c>
      <c r="G125" t="n">
        <v>2.3</v>
      </c>
      <c r="H125" t="n">
        <v>0</v>
      </c>
      <c r="I125" t="n">
        <v>0</v>
      </c>
      <c r="J125" t="n">
        <v>0</v>
      </c>
      <c r="K125" t="n">
        <v>0</v>
      </c>
      <c r="L125" t="n">
        <v>0</v>
      </c>
      <c r="M125" t="n">
        <v>0</v>
      </c>
      <c r="N125" t="n">
        <v>0</v>
      </c>
      <c r="O125" t="n">
        <v>0</v>
      </c>
      <c r="P125" t="n">
        <v>0</v>
      </c>
      <c r="Q125" t="n">
        <v>0</v>
      </c>
      <c r="R125" s="2" t="inlineStr"/>
    </row>
    <row r="126" ht="15" customHeight="1">
      <c r="A126" t="inlineStr">
        <is>
          <t>A 10347-2026</t>
        </is>
      </c>
      <c r="B126" s="1" t="n">
        <v>46076.69101851852</v>
      </c>
      <c r="C126" s="1" t="n">
        <v>46163</v>
      </c>
      <c r="D126" t="inlineStr">
        <is>
          <t>VÄSTMANLANDS LÄN</t>
        </is>
      </c>
      <c r="E126" t="inlineStr">
        <is>
          <t>SURAHAMMAR</t>
        </is>
      </c>
      <c r="F126" t="inlineStr">
        <is>
          <t>Allmännings- och besparingsskogar</t>
        </is>
      </c>
      <c r="G126" t="n">
        <v>3</v>
      </c>
      <c r="H126" t="n">
        <v>0</v>
      </c>
      <c r="I126" t="n">
        <v>0</v>
      </c>
      <c r="J126" t="n">
        <v>0</v>
      </c>
      <c r="K126" t="n">
        <v>0</v>
      </c>
      <c r="L126" t="n">
        <v>0</v>
      </c>
      <c r="M126" t="n">
        <v>0</v>
      </c>
      <c r="N126" t="n">
        <v>0</v>
      </c>
      <c r="O126" t="n">
        <v>0</v>
      </c>
      <c r="P126" t="n">
        <v>0</v>
      </c>
      <c r="Q126" t="n">
        <v>0</v>
      </c>
      <c r="R126" s="2" t="inlineStr"/>
    </row>
    <row r="127" ht="15" customHeight="1">
      <c r="A127" t="inlineStr">
        <is>
          <t>A 2867-2024</t>
        </is>
      </c>
      <c r="B127" s="1" t="n">
        <v>45315</v>
      </c>
      <c r="C127" s="1" t="n">
        <v>46163</v>
      </c>
      <c r="D127" t="inlineStr">
        <is>
          <t>VÄSTMANLANDS LÄN</t>
        </is>
      </c>
      <c r="E127" t="inlineStr">
        <is>
          <t>SURAHAMMAR</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19246-2026</t>
        </is>
      </c>
      <c r="B128" s="1" t="n">
        <v>46132.66501157408</v>
      </c>
      <c r="C128" s="1" t="n">
        <v>46163</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3085-2023</t>
        </is>
      </c>
      <c r="B129" s="1" t="n">
        <v>44946</v>
      </c>
      <c r="C129" s="1" t="n">
        <v>46163</v>
      </c>
      <c r="D129" t="inlineStr">
        <is>
          <t>VÄSTMANLANDS LÄN</t>
        </is>
      </c>
      <c r="E129" t="inlineStr">
        <is>
          <t>SURAHAMMAR</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12841-2026</t>
        </is>
      </c>
      <c r="B130" s="1" t="n">
        <v>46091</v>
      </c>
      <c r="C130" s="1" t="n">
        <v>46163</v>
      </c>
      <c r="D130" t="inlineStr">
        <is>
          <t>VÄSTMANLANDS LÄN</t>
        </is>
      </c>
      <c r="E130" t="inlineStr">
        <is>
          <t>SURAHAMMAR</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46163</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46163</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46163</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20535-2026</t>
        </is>
      </c>
      <c r="B134" s="1" t="n">
        <v>46140.56516203703</v>
      </c>
      <c r="C134" s="1" t="n">
        <v>46163</v>
      </c>
      <c r="D134" t="inlineStr">
        <is>
          <t>VÄSTMANLANDS LÄN</t>
        </is>
      </c>
      <c r="E134" t="inlineStr">
        <is>
          <t>SURAHAMMAR</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20904-2023</t>
        </is>
      </c>
      <c r="B135" s="1" t="n">
        <v>45060</v>
      </c>
      <c r="C135" s="1" t="n">
        <v>46163</v>
      </c>
      <c r="D135" t="inlineStr">
        <is>
          <t>VÄSTMANLANDS LÄN</t>
        </is>
      </c>
      <c r="E135" t="inlineStr">
        <is>
          <t>SURAHAMMAR</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10883-2023</t>
        </is>
      </c>
      <c r="B136" s="1" t="n">
        <v>44991</v>
      </c>
      <c r="C136" s="1" t="n">
        <v>46163</v>
      </c>
      <c r="D136" t="inlineStr">
        <is>
          <t>VÄSTMANLANDS LÄN</t>
        </is>
      </c>
      <c r="E136" t="inlineStr">
        <is>
          <t>SURAHAMMAR</t>
        </is>
      </c>
      <c r="F136" t="inlineStr">
        <is>
          <t>Övriga Aktiebolag</t>
        </is>
      </c>
      <c r="G136" t="n">
        <v>12.5</v>
      </c>
      <c r="H136" t="n">
        <v>0</v>
      </c>
      <c r="I136" t="n">
        <v>0</v>
      </c>
      <c r="J136" t="n">
        <v>0</v>
      </c>
      <c r="K136" t="n">
        <v>0</v>
      </c>
      <c r="L136" t="n">
        <v>0</v>
      </c>
      <c r="M136" t="n">
        <v>0</v>
      </c>
      <c r="N136" t="n">
        <v>0</v>
      </c>
      <c r="O136" t="n">
        <v>0</v>
      </c>
      <c r="P136" t="n">
        <v>0</v>
      </c>
      <c r="Q136" t="n">
        <v>0</v>
      </c>
      <c r="R136" s="2" t="inlineStr"/>
    </row>
    <row r="137" ht="15" customHeight="1">
      <c r="A137" t="inlineStr">
        <is>
          <t>A 2660-2024</t>
        </is>
      </c>
      <c r="B137" s="1" t="n">
        <v>45310</v>
      </c>
      <c r="C137" s="1" t="n">
        <v>46163</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55868-2025</t>
        </is>
      </c>
      <c r="B138" s="1" t="n">
        <v>45973.35263888889</v>
      </c>
      <c r="C138" s="1" t="n">
        <v>46163</v>
      </c>
      <c r="D138" t="inlineStr">
        <is>
          <t>VÄSTMANLANDS LÄN</t>
        </is>
      </c>
      <c r="E138" t="inlineStr">
        <is>
          <t>SURAHAMMAR</t>
        </is>
      </c>
      <c r="F138" t="inlineStr">
        <is>
          <t>Sveaskog</t>
        </is>
      </c>
      <c r="G138" t="n">
        <v>2.8</v>
      </c>
      <c r="H138" t="n">
        <v>0</v>
      </c>
      <c r="I138" t="n">
        <v>0</v>
      </c>
      <c r="J138" t="n">
        <v>0</v>
      </c>
      <c r="K138" t="n">
        <v>0</v>
      </c>
      <c r="L138" t="n">
        <v>0</v>
      </c>
      <c r="M138" t="n">
        <v>0</v>
      </c>
      <c r="N138" t="n">
        <v>0</v>
      </c>
      <c r="O138" t="n">
        <v>0</v>
      </c>
      <c r="P138" t="n">
        <v>0</v>
      </c>
      <c r="Q138" t="n">
        <v>0</v>
      </c>
      <c r="R138" s="2" t="inlineStr"/>
    </row>
    <row r="139" ht="15" customHeight="1">
      <c r="A139" t="inlineStr">
        <is>
          <t>A 55874-2025</t>
        </is>
      </c>
      <c r="B139" s="1" t="n">
        <v>45973.3569212963</v>
      </c>
      <c r="C139" s="1" t="n">
        <v>46163</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55873-2025</t>
        </is>
      </c>
      <c r="B140" s="1" t="n">
        <v>45973.35608796297</v>
      </c>
      <c r="C140" s="1" t="n">
        <v>46163</v>
      </c>
      <c r="D140" t="inlineStr">
        <is>
          <t>VÄSTMANLANDS LÄN</t>
        </is>
      </c>
      <c r="E140" t="inlineStr">
        <is>
          <t>SURAHAMMAR</t>
        </is>
      </c>
      <c r="F140" t="inlineStr">
        <is>
          <t>Sveaskog</t>
        </is>
      </c>
      <c r="G140" t="n">
        <v>0.5</v>
      </c>
      <c r="H140" t="n">
        <v>0</v>
      </c>
      <c r="I140" t="n">
        <v>0</v>
      </c>
      <c r="J140" t="n">
        <v>0</v>
      </c>
      <c r="K140" t="n">
        <v>0</v>
      </c>
      <c r="L140" t="n">
        <v>0</v>
      </c>
      <c r="M140" t="n">
        <v>0</v>
      </c>
      <c r="N140" t="n">
        <v>0</v>
      </c>
      <c r="O140" t="n">
        <v>0</v>
      </c>
      <c r="P140" t="n">
        <v>0</v>
      </c>
      <c r="Q140" t="n">
        <v>0</v>
      </c>
      <c r="R140" s="2" t="inlineStr"/>
    </row>
    <row r="141" ht="15" customHeight="1">
      <c r="A141" t="inlineStr">
        <is>
          <t>A 56543-2025</t>
        </is>
      </c>
      <c r="B141" s="1" t="n">
        <v>45975</v>
      </c>
      <c r="C141" s="1" t="n">
        <v>46163</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59399-2025</t>
        </is>
      </c>
      <c r="B142" s="1" t="n">
        <v>45989</v>
      </c>
      <c r="C142" s="1" t="n">
        <v>46163</v>
      </c>
      <c r="D142" t="inlineStr">
        <is>
          <t>VÄSTMANLANDS LÄN</t>
        </is>
      </c>
      <c r="E142" t="inlineStr">
        <is>
          <t>SURAHAMMAR</t>
        </is>
      </c>
      <c r="F142" t="inlineStr">
        <is>
          <t>Kommuner</t>
        </is>
      </c>
      <c r="G142" t="n">
        <v>2.1</v>
      </c>
      <c r="H142" t="n">
        <v>0</v>
      </c>
      <c r="I142" t="n">
        <v>0</v>
      </c>
      <c r="J142" t="n">
        <v>0</v>
      </c>
      <c r="K142" t="n">
        <v>0</v>
      </c>
      <c r="L142" t="n">
        <v>0</v>
      </c>
      <c r="M142" t="n">
        <v>0</v>
      </c>
      <c r="N142" t="n">
        <v>0</v>
      </c>
      <c r="O142" t="n">
        <v>0</v>
      </c>
      <c r="P142" t="n">
        <v>0</v>
      </c>
      <c r="Q142" t="n">
        <v>0</v>
      </c>
      <c r="R142" s="2" t="inlineStr"/>
    </row>
    <row r="143" ht="15" customHeight="1">
      <c r="A143" t="inlineStr">
        <is>
          <t>A 56541-2025</t>
        </is>
      </c>
      <c r="B143" s="1" t="n">
        <v>45975</v>
      </c>
      <c r="C143" s="1" t="n">
        <v>46163</v>
      </c>
      <c r="D143" t="inlineStr">
        <is>
          <t>VÄSTMANLANDS LÄN</t>
        </is>
      </c>
      <c r="E143" t="inlineStr">
        <is>
          <t>SURAHAMMAR</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46163</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46163</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63138-2025</t>
        </is>
      </c>
      <c r="B146" s="1" t="n">
        <v>46009</v>
      </c>
      <c r="C146" s="1" t="n">
        <v>46163</v>
      </c>
      <c r="D146" t="inlineStr">
        <is>
          <t>VÄSTMANLANDS LÄN</t>
        </is>
      </c>
      <c r="E146" t="inlineStr">
        <is>
          <t>SURAHAMMAR</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22628-2026</t>
        </is>
      </c>
      <c r="B147" s="1" t="n">
        <v>46155.6371875</v>
      </c>
      <c r="C147" s="1" t="n">
        <v>46163</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25450-2024</t>
        </is>
      </c>
      <c r="B148" s="1" t="n">
        <v>45463</v>
      </c>
      <c r="C148" s="1" t="n">
        <v>46163</v>
      </c>
      <c r="D148" t="inlineStr">
        <is>
          <t>VÄSTMANLANDS LÄN</t>
        </is>
      </c>
      <c r="E148" t="inlineStr">
        <is>
          <t>SURAHAMMAR</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22626-2026</t>
        </is>
      </c>
      <c r="B149" s="1" t="n">
        <v>46155.63545138889</v>
      </c>
      <c r="C149" s="1" t="n">
        <v>46163</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22630-2026</t>
        </is>
      </c>
      <c r="B150" s="1" t="n">
        <v>46155.63839120371</v>
      </c>
      <c r="C150" s="1" t="n">
        <v>46163</v>
      </c>
      <c r="D150" t="inlineStr">
        <is>
          <t>VÄSTMANLANDS LÄN</t>
        </is>
      </c>
      <c r="E150" t="inlineStr">
        <is>
          <t>SURAHAMMAR</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19782-2023</t>
        </is>
      </c>
      <c r="B151" s="1" t="n">
        <v>45050</v>
      </c>
      <c r="C151" s="1" t="n">
        <v>46163</v>
      </c>
      <c r="D151" t="inlineStr">
        <is>
          <t>VÄSTMANLANDS LÄN</t>
        </is>
      </c>
      <c r="E151" t="inlineStr">
        <is>
          <t>SURAHAMMAR</t>
        </is>
      </c>
      <c r="F151" t="inlineStr">
        <is>
          <t>Bergvik skog väst AB</t>
        </is>
      </c>
      <c r="G151" t="n">
        <v>5.2</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46163</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24167-2024</t>
        </is>
      </c>
      <c r="B153" s="1" t="n">
        <v>45456</v>
      </c>
      <c r="C153" s="1" t="n">
        <v>46163</v>
      </c>
      <c r="D153" t="inlineStr">
        <is>
          <t>VÄSTMANLANDS LÄN</t>
        </is>
      </c>
      <c r="E153" t="inlineStr">
        <is>
          <t>SURAHAMMAR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4724-2026</t>
        </is>
      </c>
      <c r="B154" s="1" t="n">
        <v>46048</v>
      </c>
      <c r="C154" s="1" t="n">
        <v>46163</v>
      </c>
      <c r="D154" t="inlineStr">
        <is>
          <t>VÄSTMANLANDS LÄN</t>
        </is>
      </c>
      <c r="E154" t="inlineStr">
        <is>
          <t>SURAHAMMAR</t>
        </is>
      </c>
      <c r="G154" t="n">
        <v>1.7</v>
      </c>
      <c r="H154" t="n">
        <v>0</v>
      </c>
      <c r="I154" t="n">
        <v>0</v>
      </c>
      <c r="J154" t="n">
        <v>0</v>
      </c>
      <c r="K154" t="n">
        <v>0</v>
      </c>
      <c r="L154" t="n">
        <v>0</v>
      </c>
      <c r="M154" t="n">
        <v>0</v>
      </c>
      <c r="N154" t="n">
        <v>0</v>
      </c>
      <c r="O154" t="n">
        <v>0</v>
      </c>
      <c r="P154" t="n">
        <v>0</v>
      </c>
      <c r="Q154" t="n">
        <v>0</v>
      </c>
      <c r="R154" s="2" t="inlineStr"/>
    </row>
    <row r="155" ht="15" customHeight="1">
      <c r="A155" t="inlineStr">
        <is>
          <t>A 4734-2026</t>
        </is>
      </c>
      <c r="B155" s="1" t="n">
        <v>46048</v>
      </c>
      <c r="C155" s="1" t="n">
        <v>46163</v>
      </c>
      <c r="D155" t="inlineStr">
        <is>
          <t>VÄSTMANLANDS LÄN</t>
        </is>
      </c>
      <c r="E155" t="inlineStr">
        <is>
          <t>SURAHAMMAR</t>
        </is>
      </c>
      <c r="G155" t="n">
        <v>0.7</v>
      </c>
      <c r="H155" t="n">
        <v>0</v>
      </c>
      <c r="I155" t="n">
        <v>0</v>
      </c>
      <c r="J155" t="n">
        <v>0</v>
      </c>
      <c r="K155" t="n">
        <v>0</v>
      </c>
      <c r="L155" t="n">
        <v>0</v>
      </c>
      <c r="M155" t="n">
        <v>0</v>
      </c>
      <c r="N155" t="n">
        <v>0</v>
      </c>
      <c r="O155" t="n">
        <v>0</v>
      </c>
      <c r="P155" t="n">
        <v>0</v>
      </c>
      <c r="Q155" t="n">
        <v>0</v>
      </c>
      <c r="R155" s="2" t="inlineStr"/>
    </row>
    <row r="156" ht="15" customHeight="1">
      <c r="A156" t="inlineStr">
        <is>
          <t>A 56378-2023</t>
        </is>
      </c>
      <c r="B156" s="1" t="n">
        <v>45236</v>
      </c>
      <c r="C156" s="1" t="n">
        <v>46163</v>
      </c>
      <c r="D156" t="inlineStr">
        <is>
          <t>VÄSTMANLANDS LÄN</t>
        </is>
      </c>
      <c r="E156" t="inlineStr">
        <is>
          <t>SURAHAMMAR</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46163</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5696-2026</t>
        </is>
      </c>
      <c r="B158" s="1" t="n">
        <v>46051.4975</v>
      </c>
      <c r="C158" s="1" t="n">
        <v>46163</v>
      </c>
      <c r="D158" t="inlineStr">
        <is>
          <t>VÄSTMANLANDS LÄN</t>
        </is>
      </c>
      <c r="E158" t="inlineStr">
        <is>
          <t>SURAHAMMAR</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5697-2026</t>
        </is>
      </c>
      <c r="B159" s="1" t="n">
        <v>46051.50020833333</v>
      </c>
      <c r="C159" s="1" t="n">
        <v>46163</v>
      </c>
      <c r="D159" t="inlineStr">
        <is>
          <t>VÄSTMANLANDS LÄN</t>
        </is>
      </c>
      <c r="E159" t="inlineStr">
        <is>
          <t>SURAHAMMAR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5698-2026</t>
        </is>
      </c>
      <c r="B160" s="1" t="n">
        <v>46051.50196759259</v>
      </c>
      <c r="C160" s="1" t="n">
        <v>46163</v>
      </c>
      <c r="D160" t="inlineStr">
        <is>
          <t>VÄSTMANLANDS LÄN</t>
        </is>
      </c>
      <c r="E160" t="inlineStr">
        <is>
          <t>SURAHAMMAR</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11501-2023</t>
        </is>
      </c>
      <c r="B161" s="1" t="n">
        <v>44991</v>
      </c>
      <c r="C161" s="1" t="n">
        <v>46163</v>
      </c>
      <c r="D161" t="inlineStr">
        <is>
          <t>VÄSTMANLANDS LÄN</t>
        </is>
      </c>
      <c r="E161" t="inlineStr">
        <is>
          <t>SURAHAMMAR</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46163</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21509-2024</t>
        </is>
      </c>
      <c r="B163" s="1" t="n">
        <v>45441</v>
      </c>
      <c r="C163" s="1" t="n">
        <v>46163</v>
      </c>
      <c r="D163" t="inlineStr">
        <is>
          <t>VÄSTMANLANDS LÄN</t>
        </is>
      </c>
      <c r="E163" t="inlineStr">
        <is>
          <t>SURAHAMMAR</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22662-2023</t>
        </is>
      </c>
      <c r="B164" s="1" t="n">
        <v>45071</v>
      </c>
      <c r="C164" s="1" t="n">
        <v>46163</v>
      </c>
      <c r="D164" t="inlineStr">
        <is>
          <t>VÄSTMANLANDS LÄN</t>
        </is>
      </c>
      <c r="E164" t="inlineStr">
        <is>
          <t>SURAHAMMAR</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16013-2023</t>
        </is>
      </c>
      <c r="B165" s="1" t="n">
        <v>45026</v>
      </c>
      <c r="C165" s="1" t="n">
        <v>46163</v>
      </c>
      <c r="D165" t="inlineStr">
        <is>
          <t>VÄSTMANLANDS LÄN</t>
        </is>
      </c>
      <c r="E165" t="inlineStr">
        <is>
          <t>SURAHAMMAR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41555-2022</t>
        </is>
      </c>
      <c r="B166" s="1" t="n">
        <v>44826</v>
      </c>
      <c r="C166" s="1" t="n">
        <v>46163</v>
      </c>
      <c r="D166" t="inlineStr">
        <is>
          <t>VÄSTMANLANDS LÄN</t>
        </is>
      </c>
      <c r="E166" t="inlineStr">
        <is>
          <t>SURAHAMMAR</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25780-2023</t>
        </is>
      </c>
      <c r="B167" s="1" t="n">
        <v>45090.47523148148</v>
      </c>
      <c r="C167" s="1" t="n">
        <v>46163</v>
      </c>
      <c r="D167" t="inlineStr">
        <is>
          <t>VÄSTMANLANDS LÄN</t>
        </is>
      </c>
      <c r="E167" t="inlineStr">
        <is>
          <t>SURAHAMMAR</t>
        </is>
      </c>
      <c r="G167" t="n">
        <v>2.8</v>
      </c>
      <c r="H167" t="n">
        <v>0</v>
      </c>
      <c r="I167" t="n">
        <v>0</v>
      </c>
      <c r="J167" t="n">
        <v>0</v>
      </c>
      <c r="K167" t="n">
        <v>0</v>
      </c>
      <c r="L167" t="n">
        <v>0</v>
      </c>
      <c r="M167" t="n">
        <v>0</v>
      </c>
      <c r="N167" t="n">
        <v>0</v>
      </c>
      <c r="O167" t="n">
        <v>0</v>
      </c>
      <c r="P167" t="n">
        <v>0</v>
      </c>
      <c r="Q167" t="n">
        <v>0</v>
      </c>
      <c r="R167" s="2" t="inlineStr"/>
    </row>
    <row r="168" ht="15" customHeight="1">
      <c r="A168" t="inlineStr">
        <is>
          <t>A 13386-2025</t>
        </is>
      </c>
      <c r="B168" s="1" t="n">
        <v>45735</v>
      </c>
      <c r="C168" s="1" t="n">
        <v>46163</v>
      </c>
      <c r="D168" t="inlineStr">
        <is>
          <t>VÄSTMANLANDS LÄN</t>
        </is>
      </c>
      <c r="E168" t="inlineStr">
        <is>
          <t>SURAHAMMAR</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47785-2021</t>
        </is>
      </c>
      <c r="B169" s="1" t="n">
        <v>44448</v>
      </c>
      <c r="C169" s="1" t="n">
        <v>46163</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15739-2023</t>
        </is>
      </c>
      <c r="B170" s="1" t="n">
        <v>45021</v>
      </c>
      <c r="C170" s="1" t="n">
        <v>46163</v>
      </c>
      <c r="D170" t="inlineStr">
        <is>
          <t>VÄSTMANLANDS LÄN</t>
        </is>
      </c>
      <c r="E170" t="inlineStr">
        <is>
          <t>SURAHAMMAR</t>
        </is>
      </c>
      <c r="G170" t="n">
        <v>1.3</v>
      </c>
      <c r="H170" t="n">
        <v>0</v>
      </c>
      <c r="I170" t="n">
        <v>0</v>
      </c>
      <c r="J170" t="n">
        <v>0</v>
      </c>
      <c r="K170" t="n">
        <v>0</v>
      </c>
      <c r="L170" t="n">
        <v>0</v>
      </c>
      <c r="M170" t="n">
        <v>0</v>
      </c>
      <c r="N170" t="n">
        <v>0</v>
      </c>
      <c r="O170" t="n">
        <v>0</v>
      </c>
      <c r="P170" t="n">
        <v>0</v>
      </c>
      <c r="Q170" t="n">
        <v>0</v>
      </c>
      <c r="R170" s="2" t="inlineStr"/>
    </row>
    <row r="171">
      <c r="A171" t="inlineStr">
        <is>
          <t>A 38154-2021</t>
        </is>
      </c>
      <c r="B171" s="1" t="n">
        <v>44405.42373842592</v>
      </c>
      <c r="C171" s="1" t="n">
        <v>46163</v>
      </c>
      <c r="D171" t="inlineStr">
        <is>
          <t>VÄSTMANLANDS LÄN</t>
        </is>
      </c>
      <c r="E171" t="inlineStr">
        <is>
          <t>SURAHAMMAR</t>
        </is>
      </c>
      <c r="F171" t="inlineStr">
        <is>
          <t>Sveaskog</t>
        </is>
      </c>
      <c r="G171" t="n">
        <v>1.3</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2026-05-21T10:50:40Z</dcterms:created>
  <dcterms:modified xmlns:dcterms="http://purl.org/dc/terms/" xmlns:xsi="http://www.w3.org/2001/XMLSchema-instance" xsi:type="dcterms:W3CDTF">2026-05-21T10:50:40Z</dcterms:modified>
</cp:coreProperties>
</file>