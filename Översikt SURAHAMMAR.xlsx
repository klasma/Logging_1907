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46224</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46224</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t="n">
        <v>82</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46224</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46224</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46224</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46224</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46224</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46224</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46224</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46224</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46224</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46224</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46224</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46224</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46224</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38172-2024</t>
        </is>
      </c>
      <c r="B24" t="inlineStr">
        <is>
          <t>avverkningsanmälan</t>
        </is>
      </c>
      <c r="C24" t="inlineStr">
        <is>
          <t>Avverkning för att bevara och utveckla /försöksver</t>
        </is>
      </c>
      <c r="D24" s="1" t="n">
        <v>45545</v>
      </c>
      <c r="E24" s="1" t="n">
        <v>46224</v>
      </c>
      <c r="F24" t="inlineStr">
        <is>
          <t>VÄSTMANLANDS LÄN</t>
        </is>
      </c>
      <c r="G24" t="inlineStr">
        <is>
          <t>SURAHAMMAR</t>
        </is>
      </c>
      <c r="H24" t="inlineStr">
        <is>
          <t>Sveaskog</t>
        </is>
      </c>
      <c r="I24" t="n">
        <v>5.2</v>
      </c>
      <c r="J24" t="n">
        <v>5</v>
      </c>
      <c r="K24" t="n">
        <v>0</v>
      </c>
      <c r="L24" t="n">
        <v>3</v>
      </c>
      <c r="M24" t="n">
        <v>1</v>
      </c>
      <c r="N24" t="n">
        <v>0</v>
      </c>
      <c r="O24" t="n">
        <v>0</v>
      </c>
      <c r="P24" t="n">
        <v>0</v>
      </c>
      <c r="Q24" t="n">
        <v>4</v>
      </c>
      <c r="R24" t="n">
        <v>1</v>
      </c>
      <c r="S24" t="n">
        <v>7</v>
      </c>
      <c r="T24" t="n">
        <v>8</v>
      </c>
      <c r="U24" t="n">
        <v>2</v>
      </c>
      <c r="V24" s="2" t="inlineStr">
        <is>
          <t>Knärot
Gropticka
Sädesärla
Vedtrappmossa
Stjärtmes
Lopplummer (aggregat)
Revlummer</t>
        </is>
      </c>
      <c r="W24">
        <f>HYPERLINK("https://klasma.github.io/Logging_1907/artfynd/A 38172-2024 artfynd.xlsx", "A 38172-2024")</f>
        <v/>
      </c>
      <c r="X24">
        <f>HYPERLINK("https://klasma.github.io/Logging_1907/kartor/A 38172-2024 karta.png", "A 38172-2024")</f>
        <v/>
      </c>
      <c r="Y24">
        <f>HYPERLINK("https://klasma.github.io/Logging_1907/kartor_geotiff/A 38172-2024 georefererad karta.tif", "A 38172-2024")</f>
        <v/>
      </c>
      <c r="Z24">
        <f>HYPERLINK("https://klasma.github.io/Logging_1907/knärot/A 38172-2024 karta knärot.png", "A 38172-2024")</f>
        <v/>
      </c>
      <c r="AA24">
        <f>HYPERLINK("https://klasma.github.io/Logging_1907/klagomål/A 38172-2024 FSC-klagomål.docx", "A 38172-2024")</f>
        <v/>
      </c>
      <c r="AB24">
        <f>HYPERLINK("https://klasma.github.io/Logging_1907/klagomålsmail/A 38172-2024 FSC-klagomål mail.docx", "A 38172-2024")</f>
        <v/>
      </c>
      <c r="AC24">
        <f>HYPERLINK("https://klasma.github.io/Logging_1907/tillsyn/A 38172-2024 tillsynsbegäran.docx", "A 38172-2024")</f>
        <v/>
      </c>
      <c r="AD24">
        <f>HYPERLINK("https://klasma.github.io/Logging_1907/tillsynsmail/A 38172-2024 tillsynsbegäran mail.docx", "A 38172-2024")</f>
        <v/>
      </c>
      <c r="AE24">
        <f>HYPERLINK("https://klasma.github.io/Logging_1907/fåglar/A 38172-2024 prioriterade fågelarter.docx", "A 38172-2024")</f>
        <v/>
      </c>
    </row>
    <row r="25" ht="15" customHeight="1">
      <c r="A25" t="inlineStr">
        <is>
          <t>A 56299-2021</t>
        </is>
      </c>
      <c r="B25" t="inlineStr">
        <is>
          <t>avverkningsanmälan</t>
        </is>
      </c>
      <c r="C25" t="inlineStr">
        <is>
          <t>Föryngringsavverkning</t>
        </is>
      </c>
      <c r="D25" s="1" t="n">
        <v>44477</v>
      </c>
      <c r="E25" s="1" t="n">
        <v>46224</v>
      </c>
      <c r="F25" t="inlineStr">
        <is>
          <t>VÄSTMANLANDS LÄN</t>
        </is>
      </c>
      <c r="G25" t="inlineStr">
        <is>
          <t>SURAHAMMAR</t>
        </is>
      </c>
      <c r="H25" t="inlineStr">
        <is>
          <t>Bergvik skog väst AB</t>
        </is>
      </c>
      <c r="I25" t="n">
        <v>8</v>
      </c>
      <c r="J25" t="n">
        <v>2</v>
      </c>
      <c r="K25" t="n">
        <v>4</v>
      </c>
      <c r="L25" t="n">
        <v>2</v>
      </c>
      <c r="M25" t="n">
        <v>0</v>
      </c>
      <c r="N25" t="n">
        <v>0</v>
      </c>
      <c r="O25" t="n">
        <v>0</v>
      </c>
      <c r="P25" t="n">
        <v>0</v>
      </c>
      <c r="Q25" t="n">
        <v>2</v>
      </c>
      <c r="R25" t="n">
        <v>0</v>
      </c>
      <c r="S25" t="n">
        <v>7</v>
      </c>
      <c r="T25" t="n">
        <v>7</v>
      </c>
      <c r="U25" t="n">
        <v>1</v>
      </c>
      <c r="V25" s="2" t="inlineStr">
        <is>
          <t>Större flatbagge
Tretåig hackspett
Björksplintborre
Blodticka
Korallblylav
Skinnlav
Kungsfågel</t>
        </is>
      </c>
      <c r="W25">
        <f>HYPERLINK("https://klasma.github.io/Logging_1907/artfynd/A 56299-2021 artfynd.xlsx", "A 56299-2021")</f>
        <v/>
      </c>
      <c r="X25">
        <f>HYPERLINK("https://klasma.github.io/Logging_1907/kartor/A 56299-2021 karta.png", "A 56299-2021")</f>
        <v/>
      </c>
      <c r="Y25">
        <f>HYPERLINK("https://klasma.github.io/Logging_1907/kartor_geotiff/A 56299-2021 georefererad karta.tif", "A 56299-2021")</f>
        <v/>
      </c>
      <c r="AA25">
        <f>HYPERLINK("https://klasma.github.io/Logging_1907/klagomål/A 56299-2021 FSC-klagomål.docx", "A 56299-2021")</f>
        <v/>
      </c>
      <c r="AB25">
        <f>HYPERLINK("https://klasma.github.io/Logging_1907/klagomålsmail/A 56299-2021 FSC-klagomål mail.docx", "A 56299-2021")</f>
        <v/>
      </c>
      <c r="AC25">
        <f>HYPERLINK("https://klasma.github.io/Logging_1907/tillsyn/A 56299-2021 tillsynsbegäran.docx", "A 56299-2021")</f>
        <v/>
      </c>
      <c r="AD25">
        <f>HYPERLINK("https://klasma.github.io/Logging_1907/tillsynsmail/A 56299-2021 tillsynsbegäran mail.docx", "A 56299-2021")</f>
        <v/>
      </c>
      <c r="AE25">
        <f>HYPERLINK("https://klasma.github.io/Logging_1907/fåglar/A 56299-2021 prioriterade fågelarter.docx", "A 56299-2021")</f>
        <v/>
      </c>
    </row>
    <row r="26" ht="15" customHeight="1">
      <c r="A26" t="inlineStr">
        <is>
          <t>A 48891-2023</t>
        </is>
      </c>
      <c r="B26" t="inlineStr">
        <is>
          <t>avverkningsanmälan</t>
        </is>
      </c>
      <c r="C26" t="inlineStr">
        <is>
          <t>Föryngringsavverkning</t>
        </is>
      </c>
      <c r="D26" s="1" t="n">
        <v>45203</v>
      </c>
      <c r="E26" s="1" t="n">
        <v>46224</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22840-2023</t>
        </is>
      </c>
      <c r="B27" t="inlineStr">
        <is>
          <t>avverkningsanmälan</t>
        </is>
      </c>
      <c r="C27" t="inlineStr">
        <is>
          <t>Föryngringsavverkning</t>
        </is>
      </c>
      <c r="D27" s="1" t="n">
        <v>45072</v>
      </c>
      <c r="E27" s="1" t="n">
        <v>46224</v>
      </c>
      <c r="F27" t="inlineStr">
        <is>
          <t>VÄSTMANLANDS LÄN</t>
        </is>
      </c>
      <c r="G27" t="inlineStr">
        <is>
          <t>SURAHAMMAR</t>
        </is>
      </c>
      <c r="I27" t="n">
        <v>4.3</v>
      </c>
      <c r="J27" t="n">
        <v>2</v>
      </c>
      <c r="K27" t="n">
        <v>0</v>
      </c>
      <c r="L27" t="n">
        <v>0</v>
      </c>
      <c r="M27" t="n">
        <v>0</v>
      </c>
      <c r="N27" t="n">
        <v>0</v>
      </c>
      <c r="O27" t="n">
        <v>0</v>
      </c>
      <c r="P27" t="n">
        <v>0</v>
      </c>
      <c r="Q27" t="n">
        <v>0</v>
      </c>
      <c r="R27" t="n">
        <v>0</v>
      </c>
      <c r="S27" t="n">
        <v>7</v>
      </c>
      <c r="T27" t="n">
        <v>10</v>
      </c>
      <c r="U27" t="n">
        <v>9</v>
      </c>
      <c r="V27" s="2" t="inlineStr">
        <is>
          <t>Hultbräken
Kärrviol
Mattlummer
Skogsstjärna
Stjärnstarr
Vitsippa
Fläcknycklar</t>
        </is>
      </c>
      <c r="W27">
        <f>HYPERLINK("https://klasma.github.io/Logging_1907/artfynd/A 22840-2023 artfynd.xlsx", "A 22840-2023")</f>
        <v/>
      </c>
      <c r="X27">
        <f>HYPERLINK("https://klasma.github.io/Logging_1907/kartor/A 22840-2023 karta.png", "A 22840-2023")</f>
        <v/>
      </c>
      <c r="Y27">
        <f>HYPERLINK("https://klasma.github.io/Logging_1907/kartor_geotiff/A 22840-2023 georefererad karta.tif", "A 22840-2023")</f>
        <v/>
      </c>
      <c r="AA27">
        <f>HYPERLINK("https://klasma.github.io/Logging_1907/klagomål/A 22840-2023 FSC-klagomål.docx", "A 22840-2023")</f>
        <v/>
      </c>
      <c r="AB27">
        <f>HYPERLINK("https://klasma.github.io/Logging_1907/klagomålsmail/A 22840-2023 FSC-klagomål mail.docx", "A 22840-2023")</f>
        <v/>
      </c>
      <c r="AC27">
        <f>HYPERLINK("https://klasma.github.io/Logging_1907/tillsyn/A 22840-2023 tillsynsbegäran.docx", "A 22840-2023")</f>
        <v/>
      </c>
      <c r="AD27">
        <f>HYPERLINK("https://klasma.github.io/Logging_1907/tillsynsmail/A 22840-2023 tillsynsbegäran mail.docx", "A 22840-2023")</f>
        <v/>
      </c>
    </row>
    <row r="28" ht="15" customHeight="1">
      <c r="A28" t="inlineStr">
        <is>
          <t>S 2882-2025</t>
        </is>
      </c>
      <c r="B28" t="inlineStr">
        <is>
          <t>samrådsanmälan</t>
        </is>
      </c>
      <c r="C28" t="inlineStr">
        <is>
          <t>Annan skogsbruksåtgärd</t>
        </is>
      </c>
      <c r="D28" s="1" t="n">
        <v>45945</v>
      </c>
      <c r="E28" s="1" t="n">
        <v>46224</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46224</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46224</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46224</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46224</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46224</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46224</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46224</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46224</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46224</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40411-2021</t>
        </is>
      </c>
      <c r="B38" t="inlineStr">
        <is>
          <t>avverkningsanmälan</t>
        </is>
      </c>
      <c r="C38" t="inlineStr">
        <is>
          <t>Föryngringsavverkning</t>
        </is>
      </c>
      <c r="D38" s="1" t="n">
        <v>44419</v>
      </c>
      <c r="E38" s="1" t="n">
        <v>46224</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46224</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37800-2021</t>
        </is>
      </c>
      <c r="B40" t="inlineStr">
        <is>
          <t>avverkningsanmälan</t>
        </is>
      </c>
      <c r="C40" t="inlineStr">
        <is>
          <t>Föryngringsavverkning</t>
        </is>
      </c>
      <c r="D40" s="1" t="n">
        <v>44402</v>
      </c>
      <c r="E40" s="1" t="n">
        <v>46224</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t="n">
        <v>0</v>
      </c>
      <c r="V40" s="2" t="inlineStr">
        <is>
          <t>Svinrot
Veckticka
Grönvit nattviol
Nattviol</t>
        </is>
      </c>
      <c r="W40">
        <f>HYPERLINK("https://klasma.github.io/Logging_1907/artfynd/A 37800-2021 artfynd.xlsx", "A 37800-2021")</f>
        <v/>
      </c>
      <c r="X40">
        <f>HYPERLINK("https://klasma.github.io/Logging_1907/kartor/A 37800-2021 karta.png", "A 37800-2021")</f>
        <v/>
      </c>
      <c r="Y40">
        <f>HYPERLINK("https://klasma.github.io/Logging_1907/kartor_geotiff/A 37800-2021 georefererad karta.tif", "A 37800-2021")</f>
        <v/>
      </c>
      <c r="AA40">
        <f>HYPERLINK("https://klasma.github.io/Logging_1907/klagomål/A 37800-2021 FSC-klagomål.docx", "A 37800-2021")</f>
        <v/>
      </c>
      <c r="AB40">
        <f>HYPERLINK("https://klasma.github.io/Logging_1907/klagomålsmail/A 37800-2021 FSC-klagomål mail.docx", "A 37800-2021")</f>
        <v/>
      </c>
      <c r="AC40">
        <f>HYPERLINK("https://klasma.github.io/Logging_1907/tillsyn/A 37800-2021 tillsynsbegäran.docx", "A 37800-2021")</f>
        <v/>
      </c>
      <c r="AD40">
        <f>HYPERLINK("https://klasma.github.io/Logging_1907/tillsynsmail/A 37800-2021 tillsynsbegäran mail.docx", "A 37800-2021")</f>
        <v/>
      </c>
    </row>
    <row r="41" ht="15" customHeight="1">
      <c r="A41" t="inlineStr">
        <is>
          <t>A 31176-2024</t>
        </is>
      </c>
      <c r="B41" t="inlineStr">
        <is>
          <t>avverkningsanmälan</t>
        </is>
      </c>
      <c r="C41" t="inlineStr">
        <is>
          <t>Föryngringsavverkning</t>
        </is>
      </c>
      <c r="D41" s="1" t="n">
        <v>45503</v>
      </c>
      <c r="E41" s="1" t="n">
        <v>46224</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25548-2024</t>
        </is>
      </c>
      <c r="B42" t="inlineStr">
        <is>
          <t>avverkningsanmälan</t>
        </is>
      </c>
      <c r="C42" t="inlineStr">
        <is>
          <t>Föryngringsavverkning</t>
        </is>
      </c>
      <c r="D42" s="1" t="n">
        <v>45463</v>
      </c>
      <c r="E42" s="1" t="n">
        <v>46224</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46224</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63146-2025</t>
        </is>
      </c>
      <c r="B44" t="inlineStr">
        <is>
          <t>avverkningsanmälan</t>
        </is>
      </c>
      <c r="C44" t="inlineStr">
        <is>
          <t>Föryngringsavverkning</t>
        </is>
      </c>
      <c r="D44" s="1" t="n">
        <v>46009</v>
      </c>
      <c r="E44" s="1" t="n">
        <v>46224</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39694-2025</t>
        </is>
      </c>
      <c r="B45" t="inlineStr">
        <is>
          <t>avverkningsanmälan</t>
        </is>
      </c>
      <c r="C45" t="inlineStr">
        <is>
          <t>Föryngringsavverkning</t>
        </is>
      </c>
      <c r="D45" s="1" t="n">
        <v>45890</v>
      </c>
      <c r="E45" s="1" t="n">
        <v>46224</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49718-2023</t>
        </is>
      </c>
      <c r="B46" t="inlineStr">
        <is>
          <t>avverkningsanmälan</t>
        </is>
      </c>
      <c r="C46" t="inlineStr">
        <is>
          <t>Föryngringsavverkning</t>
        </is>
      </c>
      <c r="D46" s="1" t="n">
        <v>45212</v>
      </c>
      <c r="E46" s="1" t="n">
        <v>46224</v>
      </c>
      <c r="F46" t="inlineStr">
        <is>
          <t>VÄSTMANLANDS LÄN</t>
        </is>
      </c>
      <c r="G46" t="inlineStr">
        <is>
          <t>SURAHAMMAR</t>
        </is>
      </c>
      <c r="I46" t="n">
        <v>3.4</v>
      </c>
      <c r="J46" t="n">
        <v>1</v>
      </c>
      <c r="K46" t="n">
        <v>1</v>
      </c>
      <c r="L46" t="n">
        <v>2</v>
      </c>
      <c r="M46" t="n">
        <v>0</v>
      </c>
      <c r="N46" t="n">
        <v>0</v>
      </c>
      <c r="O46" t="n">
        <v>0</v>
      </c>
      <c r="P46" t="n">
        <v>0</v>
      </c>
      <c r="Q46" t="n">
        <v>2</v>
      </c>
      <c r="R46" t="n">
        <v>0</v>
      </c>
      <c r="S46" t="n">
        <v>3</v>
      </c>
      <c r="T46" t="n">
        <v>6</v>
      </c>
      <c r="U46" t="n">
        <v>6</v>
      </c>
      <c r="V46" s="2" t="inlineStr">
        <is>
          <t>Motaggsvamp
Talltita
Zontaggsvamp</t>
        </is>
      </c>
      <c r="W46">
        <f>HYPERLINK("https://klasma.github.io/Logging_1907/artfynd/A 49718-2023 artfynd.xlsx", "A 49718-2023")</f>
        <v/>
      </c>
      <c r="X46">
        <f>HYPERLINK("https://klasma.github.io/Logging_1907/kartor/A 49718-2023 karta.png", "A 49718-2023")</f>
        <v/>
      </c>
      <c r="Y46">
        <f>HYPERLINK("https://klasma.github.io/Logging_1907/kartor_geotiff/A 49718-2023 georefererad karta.tif", "A 49718-2023")</f>
        <v/>
      </c>
      <c r="AA46">
        <f>HYPERLINK("https://klasma.github.io/Logging_1907/klagomål/A 49718-2023 FSC-klagomål.docx", "A 49718-2023")</f>
        <v/>
      </c>
      <c r="AB46">
        <f>HYPERLINK("https://klasma.github.io/Logging_1907/klagomålsmail/A 49718-2023 FSC-klagomål mail.docx", "A 49718-2023")</f>
        <v/>
      </c>
      <c r="AC46">
        <f>HYPERLINK("https://klasma.github.io/Logging_1907/tillsyn/A 49718-2023 tillsynsbegäran.docx", "A 49718-2023")</f>
        <v/>
      </c>
      <c r="AD46">
        <f>HYPERLINK("https://klasma.github.io/Logging_1907/tillsynsmail/A 49718-2023 tillsynsbegäran mail.docx", "A 49718-2023")</f>
        <v/>
      </c>
      <c r="AE46">
        <f>HYPERLINK("https://klasma.github.io/Logging_1907/fåglar/A 49718-2023 prioriterade fågelarter.docx", "A 49718-2023")</f>
        <v/>
      </c>
    </row>
    <row r="47" ht="15" customHeight="1">
      <c r="A47" t="inlineStr">
        <is>
          <t>A 42765-2022</t>
        </is>
      </c>
      <c r="B47" t="inlineStr">
        <is>
          <t>avverkningsanmälan</t>
        </is>
      </c>
      <c r="C47" t="inlineStr">
        <is>
          <t>Avverkning för annat ändamål</t>
        </is>
      </c>
      <c r="D47" s="1" t="n">
        <v>44832</v>
      </c>
      <c r="E47" s="1" t="n">
        <v>46224</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69777-2021</t>
        </is>
      </c>
      <c r="B48" t="inlineStr">
        <is>
          <t>avverkningsanmälan</t>
        </is>
      </c>
      <c r="C48" t="inlineStr">
        <is>
          <t>Föryngringsavverkning</t>
        </is>
      </c>
      <c r="D48" s="1" t="n">
        <v>44532</v>
      </c>
      <c r="E48" s="1" t="n">
        <v>46224</v>
      </c>
      <c r="F48" t="inlineStr">
        <is>
          <t>VÄSTMANLANDS LÄN</t>
        </is>
      </c>
      <c r="G48" t="inlineStr">
        <is>
          <t>SURAHAMMAR</t>
        </is>
      </c>
      <c r="I48" t="n">
        <v>2.3</v>
      </c>
      <c r="J48" t="n">
        <v>1</v>
      </c>
      <c r="K48" t="n">
        <v>2</v>
      </c>
      <c r="L48" t="n">
        <v>0</v>
      </c>
      <c r="M48" t="n">
        <v>0</v>
      </c>
      <c r="N48" t="n">
        <v>1</v>
      </c>
      <c r="O48" t="n">
        <v>0</v>
      </c>
      <c r="P48" t="n">
        <v>0</v>
      </c>
      <c r="Q48" t="n">
        <v>1</v>
      </c>
      <c r="R48" t="n">
        <v>1</v>
      </c>
      <c r="S48" t="n">
        <v>3</v>
      </c>
      <c r="T48" t="n">
        <v>5</v>
      </c>
      <c r="U48" t="n">
        <v>0</v>
      </c>
      <c r="V48" s="2" t="inlineStr">
        <is>
          <t>Bombmurkla
Rävticka
Vedticka</t>
        </is>
      </c>
      <c r="W48">
        <f>HYPERLINK("https://klasma.github.io/Logging_1907/artfynd/A 69777-2021 artfynd.xlsx", "A 69777-2021")</f>
        <v/>
      </c>
      <c r="X48">
        <f>HYPERLINK("https://klasma.github.io/Logging_1907/kartor/A 69777-2021 karta.png", "A 69777-2021")</f>
        <v/>
      </c>
      <c r="Y48">
        <f>HYPERLINK("https://klasma.github.io/Logging_1907/kartor_geotiff/A 69777-2021 georefererad karta.tif", "A 69777-2021")</f>
        <v/>
      </c>
      <c r="AA48">
        <f>HYPERLINK("https://klasma.github.io/Logging_1907/klagomål/A 69777-2021 FSC-klagomål.docx", "A 69777-2021")</f>
        <v/>
      </c>
      <c r="AB48">
        <f>HYPERLINK("https://klasma.github.io/Logging_1907/klagomålsmail/A 69777-2021 FSC-klagomål mail.docx", "A 69777-2021")</f>
        <v/>
      </c>
      <c r="AC48">
        <f>HYPERLINK("https://klasma.github.io/Logging_1907/tillsyn/A 69777-2021 tillsynsbegäran.docx", "A 69777-2021")</f>
        <v/>
      </c>
      <c r="AD48">
        <f>HYPERLINK("https://klasma.github.io/Logging_1907/tillsynsmail/A 69777-2021 tillsynsbegäran mail.docx", "A 69777-2021")</f>
        <v/>
      </c>
    </row>
    <row r="49" ht="15" customHeight="1">
      <c r="A49" t="inlineStr">
        <is>
          <t>A 38200-2021</t>
        </is>
      </c>
      <c r="B49" t="inlineStr">
        <is>
          <t>avverkningsanmälan</t>
        </is>
      </c>
      <c r="C49" t="inlineStr">
        <is>
          <t>Föryngringsavverkning</t>
        </is>
      </c>
      <c r="D49" s="1" t="n">
        <v>44405</v>
      </c>
      <c r="E49" s="1" t="n">
        <v>46224</v>
      </c>
      <c r="F49" t="inlineStr">
        <is>
          <t>VÄSTMANLANDS LÄN</t>
        </is>
      </c>
      <c r="G49" t="inlineStr">
        <is>
          <t>SURAHAMMAR</t>
        </is>
      </c>
      <c r="H49" t="inlineStr">
        <is>
          <t>Sveaskog</t>
        </is>
      </c>
      <c r="I49" t="n">
        <v>1.5</v>
      </c>
      <c r="J49" t="n">
        <v>1</v>
      </c>
      <c r="K49" t="n">
        <v>0</v>
      </c>
      <c r="L49" t="n">
        <v>2</v>
      </c>
      <c r="M49" t="n">
        <v>0</v>
      </c>
      <c r="N49" t="n">
        <v>0</v>
      </c>
      <c r="O49" t="n">
        <v>0</v>
      </c>
      <c r="P49" t="n">
        <v>0</v>
      </c>
      <c r="Q49" t="n">
        <v>2</v>
      </c>
      <c r="R49" t="n">
        <v>0</v>
      </c>
      <c r="S49" t="n">
        <v>3</v>
      </c>
      <c r="T49" t="n">
        <v>3</v>
      </c>
      <c r="U49" t="n">
        <v>2</v>
      </c>
      <c r="V49" s="2" t="inlineStr">
        <is>
          <t>Svinrot
Vågticka
Kopparödla</t>
        </is>
      </c>
      <c r="W49">
        <f>HYPERLINK("https://klasma.github.io/Logging_1907/artfynd/A 38200-2021 artfynd.xlsx", "A 38200-2021")</f>
        <v/>
      </c>
      <c r="X49">
        <f>HYPERLINK("https://klasma.github.io/Logging_1907/kartor/A 38200-2021 karta.png", "A 38200-2021")</f>
        <v/>
      </c>
      <c r="Y49">
        <f>HYPERLINK("https://klasma.github.io/Logging_1907/kartor_geotiff/A 38200-2021 georefererad karta.tif", "A 38200-2021")</f>
        <v/>
      </c>
      <c r="AA49">
        <f>HYPERLINK("https://klasma.github.io/Logging_1907/klagomål/A 38200-2021 FSC-klagomål.docx", "A 38200-2021")</f>
        <v/>
      </c>
      <c r="AB49">
        <f>HYPERLINK("https://klasma.github.io/Logging_1907/klagomålsmail/A 38200-2021 FSC-klagomål mail.docx", "A 38200-2021")</f>
        <v/>
      </c>
      <c r="AC49">
        <f>HYPERLINK("https://klasma.github.io/Logging_1907/tillsyn/A 38200-2021 tillsynsbegäran.docx", "A 38200-2021")</f>
        <v/>
      </c>
      <c r="AD49">
        <f>HYPERLINK("https://klasma.github.io/Logging_1907/tillsynsmail/A 38200-2021 tillsynsbegäran mail.docx", "A 38200-2021")</f>
        <v/>
      </c>
    </row>
    <row r="50" ht="15" customHeight="1">
      <c r="A50" t="inlineStr">
        <is>
          <t>A 4082-2025</t>
        </is>
      </c>
      <c r="B50" t="inlineStr">
        <is>
          <t>avverkningsanmälan</t>
        </is>
      </c>
      <c r="C50" t="inlineStr">
        <is>
          <t>Föryngringsavverkning</t>
        </is>
      </c>
      <c r="D50" s="1" t="n">
        <v>45684</v>
      </c>
      <c r="E50" s="1" t="n">
        <v>46224</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46224</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S 1450-2022</t>
        </is>
      </c>
      <c r="B52" t="inlineStr">
        <is>
          <t>samrådsanmälan</t>
        </is>
      </c>
      <c r="C52" t="inlineStr">
        <is>
          <t>Skogsgödsling</t>
        </is>
      </c>
      <c r="D52" s="1" t="n">
        <v>44635</v>
      </c>
      <c r="E52" s="1" t="n">
        <v>46224</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46224</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46224</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46224</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46224</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30074-2023</t>
        </is>
      </c>
      <c r="B57" t="inlineStr">
        <is>
          <t>avverkningsanmälan</t>
        </is>
      </c>
      <c r="C57" t="inlineStr">
        <is>
          <t>Föryngringsavverkning</t>
        </is>
      </c>
      <c r="D57" s="1" t="n">
        <v>45110</v>
      </c>
      <c r="E57" s="1" t="n">
        <v>46224</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63138-2025</t>
        </is>
      </c>
      <c r="B58" t="inlineStr">
        <is>
          <t>avverkningsanmälan</t>
        </is>
      </c>
      <c r="C58" t="inlineStr">
        <is>
          <t>Föryngringsavverkning</t>
        </is>
      </c>
      <c r="D58" s="1" t="n">
        <v>46009</v>
      </c>
      <c r="E58" s="1" t="n">
        <v>46224</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13788-2025</t>
        </is>
      </c>
      <c r="B59" t="inlineStr">
        <is>
          <t>avverkningsanmälan</t>
        </is>
      </c>
      <c r="C59" t="inlineStr">
        <is>
          <t>Föryngringsavverkning</t>
        </is>
      </c>
      <c r="D59" s="1" t="n">
        <v>45737</v>
      </c>
      <c r="E59" s="1" t="n">
        <v>46224</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40403-2025</t>
        </is>
      </c>
      <c r="B60" t="inlineStr">
        <is>
          <t>avverkningsanmälan</t>
        </is>
      </c>
      <c r="C60" t="inlineStr">
        <is>
          <t>Föryngringsavverkning</t>
        </is>
      </c>
      <c r="D60" s="1" t="n">
        <v>45895</v>
      </c>
      <c r="E60" s="1" t="n">
        <v>46224</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56362-2023</t>
        </is>
      </c>
      <c r="B61" t="inlineStr">
        <is>
          <t>avverkningsanmälan</t>
        </is>
      </c>
      <c r="C61" t="inlineStr">
        <is>
          <t>Föryngringsavverkning</t>
        </is>
      </c>
      <c r="D61" s="1" t="n">
        <v>45236</v>
      </c>
      <c r="E61" s="1" t="n">
        <v>46224</v>
      </c>
      <c r="F61" t="inlineStr">
        <is>
          <t>VÄSTMANLANDS LÄN</t>
        </is>
      </c>
      <c r="G61" t="inlineStr">
        <is>
          <t>SURAHAMMAR</t>
        </is>
      </c>
      <c r="H61" t="inlineStr">
        <is>
          <t>Bergvik skog väst AB</t>
        </is>
      </c>
      <c r="I61" t="n">
        <v>15.2</v>
      </c>
      <c r="J61" t="n">
        <v>1</v>
      </c>
      <c r="K61" t="n">
        <v>1</v>
      </c>
      <c r="L61" t="n">
        <v>0</v>
      </c>
      <c r="M61" t="n">
        <v>1</v>
      </c>
      <c r="N61" t="n">
        <v>0</v>
      </c>
      <c r="O61" t="n">
        <v>0</v>
      </c>
      <c r="P61" t="n">
        <v>0</v>
      </c>
      <c r="Q61" t="n">
        <v>1</v>
      </c>
      <c r="R61" t="n">
        <v>1</v>
      </c>
      <c r="S61" t="n">
        <v>2</v>
      </c>
      <c r="T61" t="n">
        <v>2</v>
      </c>
      <c r="U61" t="n">
        <v>1</v>
      </c>
      <c r="V61" s="2" t="inlineStr">
        <is>
          <t>Väddnätfjäril
Grönpyrola</t>
        </is>
      </c>
      <c r="W61">
        <f>HYPERLINK("https://klasma.github.io/Logging_1907/artfynd/A 56362-2023 artfynd.xlsx", "A 56362-2023")</f>
        <v/>
      </c>
      <c r="X61">
        <f>HYPERLINK("https://klasma.github.io/Logging_1907/kartor/A 56362-2023 karta.png", "A 56362-2023")</f>
        <v/>
      </c>
      <c r="Y61">
        <f>HYPERLINK("https://klasma.github.io/Logging_1907/kartor_geotiff/A 56362-2023 georefererad karta.tif", "A 56362-2023")</f>
        <v/>
      </c>
      <c r="AA61">
        <f>HYPERLINK("https://klasma.github.io/Logging_1907/klagomål/A 56362-2023 FSC-klagomål.docx", "A 56362-2023")</f>
        <v/>
      </c>
      <c r="AB61">
        <f>HYPERLINK("https://klasma.github.io/Logging_1907/klagomålsmail/A 56362-2023 FSC-klagomål mail.docx", "A 56362-2023")</f>
        <v/>
      </c>
      <c r="AC61">
        <f>HYPERLINK("https://klasma.github.io/Logging_1907/tillsyn/A 56362-2023 tillsynsbegäran.docx", "A 56362-2023")</f>
        <v/>
      </c>
      <c r="AD61">
        <f>HYPERLINK("https://klasma.github.io/Logging_1907/tillsynsmail/A 56362-2023 tillsynsbegäran mail.docx", "A 56362-2023")</f>
        <v/>
      </c>
    </row>
    <row r="62" ht="15" customHeight="1">
      <c r="A62" t="inlineStr">
        <is>
          <t>A 47453-2024</t>
        </is>
      </c>
      <c r="B62" t="inlineStr">
        <is>
          <t>avverkningsanmälan</t>
        </is>
      </c>
      <c r="C62" t="inlineStr">
        <is>
          <t>Föryngringsavverkning</t>
        </is>
      </c>
      <c r="D62" s="1" t="n">
        <v>45587</v>
      </c>
      <c r="E62" s="1" t="n">
        <v>46224</v>
      </c>
      <c r="F62" t="inlineStr">
        <is>
          <t>VÄSTMANLANDS LÄN</t>
        </is>
      </c>
      <c r="G62" t="inlineStr">
        <is>
          <t>SURAHAMMAR</t>
        </is>
      </c>
      <c r="I62" t="n">
        <v>5.1</v>
      </c>
      <c r="J62" t="n">
        <v>2</v>
      </c>
      <c r="K62" t="n">
        <v>0</v>
      </c>
      <c r="L62" t="n">
        <v>1</v>
      </c>
      <c r="M62" t="n">
        <v>0</v>
      </c>
      <c r="N62" t="n">
        <v>0</v>
      </c>
      <c r="O62" t="n">
        <v>0</v>
      </c>
      <c r="P62" t="n">
        <v>0</v>
      </c>
      <c r="Q62" t="n">
        <v>1</v>
      </c>
      <c r="R62" t="n">
        <v>0</v>
      </c>
      <c r="S62" t="n">
        <v>2</v>
      </c>
      <c r="T62" t="n">
        <v>2</v>
      </c>
      <c r="U62" t="n">
        <v>1</v>
      </c>
      <c r="V62" s="2" t="inlineStr">
        <is>
          <t>Göktyta
Gröngöling</t>
        </is>
      </c>
      <c r="W62">
        <f>HYPERLINK("https://klasma.github.io/Logging_1907/artfynd/A 47453-2024 artfynd.xlsx", "A 47453-2024")</f>
        <v/>
      </c>
      <c r="X62">
        <f>HYPERLINK("https://klasma.github.io/Logging_1907/kartor/A 47453-2024 karta.png", "A 47453-2024")</f>
        <v/>
      </c>
      <c r="Y62">
        <f>HYPERLINK("https://klasma.github.io/Logging_1907/kartor_geotiff/A 47453-2024 georefererad karta.tif", "A 47453-2024")</f>
        <v/>
      </c>
      <c r="AA62">
        <f>HYPERLINK("https://klasma.github.io/Logging_1907/klagomål/A 47453-2024 FSC-klagomål.docx", "A 47453-2024")</f>
        <v/>
      </c>
      <c r="AB62">
        <f>HYPERLINK("https://klasma.github.io/Logging_1907/klagomålsmail/A 47453-2024 FSC-klagomål mail.docx", "A 47453-2024")</f>
        <v/>
      </c>
      <c r="AC62">
        <f>HYPERLINK("https://klasma.github.io/Logging_1907/tillsyn/A 47453-2024 tillsynsbegäran.docx", "A 47453-2024")</f>
        <v/>
      </c>
      <c r="AD62">
        <f>HYPERLINK("https://klasma.github.io/Logging_1907/tillsynsmail/A 47453-2024 tillsynsbegäran mail.docx", "A 47453-2024")</f>
        <v/>
      </c>
      <c r="AE62">
        <f>HYPERLINK("https://klasma.github.io/Logging_1907/fåglar/A 47453-2024 prioriterade fågelarter.docx", "A 47453-2024")</f>
        <v/>
      </c>
    </row>
    <row r="63" ht="15" customHeight="1">
      <c r="A63" t="inlineStr">
        <is>
          <t>A 37013-2025</t>
        </is>
      </c>
      <c r="B63" t="inlineStr">
        <is>
          <t>avverkningsanmälan</t>
        </is>
      </c>
      <c r="C63" t="inlineStr">
        <is>
          <t>Föryngringsavverkning</t>
        </is>
      </c>
      <c r="D63" s="1" t="n">
        <v>45874</v>
      </c>
      <c r="E63" s="1" t="n">
        <v>46224</v>
      </c>
      <c r="F63" t="inlineStr">
        <is>
          <t>VÄSTMANLANDS LÄN</t>
        </is>
      </c>
      <c r="G63" t="inlineStr">
        <is>
          <t>SURAHAMMAR</t>
        </is>
      </c>
      <c r="H63" t="inlineStr">
        <is>
          <t>Bergvik skog väst AB</t>
        </is>
      </c>
      <c r="I63" t="n">
        <v>10.7</v>
      </c>
      <c r="J63" t="n">
        <v>0</v>
      </c>
      <c r="K63" t="n">
        <v>0</v>
      </c>
      <c r="L63" t="n">
        <v>0</v>
      </c>
      <c r="M63" t="n">
        <v>2</v>
      </c>
      <c r="N63" t="n">
        <v>0</v>
      </c>
      <c r="O63" t="n">
        <v>0</v>
      </c>
      <c r="P63" t="n">
        <v>0</v>
      </c>
      <c r="Q63" t="n">
        <v>2</v>
      </c>
      <c r="R63" t="n">
        <v>2</v>
      </c>
      <c r="S63" t="n">
        <v>2</v>
      </c>
      <c r="T63" t="n">
        <v>2</v>
      </c>
      <c r="U63" t="n">
        <v>0</v>
      </c>
      <c r="V63" s="2" t="inlineStr">
        <is>
          <t>Brunfläckig pärlemorfjäril
Fältgentiana</t>
        </is>
      </c>
      <c r="W63">
        <f>HYPERLINK("https://klasma.github.io/Logging_1907/artfynd/A 37013-2025 artfynd.xlsx", "A 37013-2025")</f>
        <v/>
      </c>
      <c r="X63">
        <f>HYPERLINK("https://klasma.github.io/Logging_1907/kartor/A 37013-2025 karta.png", "A 37013-2025")</f>
        <v/>
      </c>
      <c r="Y63">
        <f>HYPERLINK("https://klasma.github.io/Logging_1907/kartor_geotiff/A 37013-2025 georefererad karta.tif", "A 37013-2025")</f>
        <v/>
      </c>
      <c r="AA63">
        <f>HYPERLINK("https://klasma.github.io/Logging_1907/klagomål/A 37013-2025 FSC-klagomål.docx", "A 37013-2025")</f>
        <v/>
      </c>
      <c r="AB63">
        <f>HYPERLINK("https://klasma.github.io/Logging_1907/klagomålsmail/A 37013-2025 FSC-klagomål mail.docx", "A 37013-2025")</f>
        <v/>
      </c>
      <c r="AC63">
        <f>HYPERLINK("https://klasma.github.io/Logging_1907/tillsyn/A 37013-2025 tillsynsbegäran.docx", "A 37013-2025")</f>
        <v/>
      </c>
      <c r="AD63">
        <f>HYPERLINK("https://klasma.github.io/Logging_1907/tillsynsmail/A 37013-2025 tillsynsbegäran mail.docx", "A 37013-2025")</f>
        <v/>
      </c>
    </row>
    <row r="64" ht="15" customHeight="1">
      <c r="A64" t="inlineStr">
        <is>
          <t>A 41204-2023</t>
        </is>
      </c>
      <c r="B64" t="inlineStr">
        <is>
          <t>avverkningsanmälan</t>
        </is>
      </c>
      <c r="C64" t="inlineStr">
        <is>
          <t>Föryngringsavverkning</t>
        </is>
      </c>
      <c r="D64" s="1" t="n">
        <v>45174</v>
      </c>
      <c r="E64" s="1" t="n">
        <v>46224</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11501-2023</t>
        </is>
      </c>
      <c r="B65" t="inlineStr">
        <is>
          <t>avverkningsanmälan</t>
        </is>
      </c>
      <c r="C65" t="inlineStr">
        <is>
          <t>Föryngringsavverkning</t>
        </is>
      </c>
      <c r="D65" s="1" t="n">
        <v>44991</v>
      </c>
      <c r="E65" s="1" t="n">
        <v>46224</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46224</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46224</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46224</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46224</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46224</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46224</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46224</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46224</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46224</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46224</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46224</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17632-2022</t>
        </is>
      </c>
      <c r="B77" t="inlineStr">
        <is>
          <t>avverkningsanmälan</t>
        </is>
      </c>
      <c r="C77" t="inlineStr">
        <is>
          <t>Föryngringsavverkning</t>
        </is>
      </c>
      <c r="D77" s="1" t="n">
        <v>44680</v>
      </c>
      <c r="E77" s="1" t="n">
        <v>46224</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46224</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46224</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46224</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46224</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46224</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16013-2023</t>
        </is>
      </c>
      <c r="B83" t="inlineStr">
        <is>
          <t>avverkningsanmälan</t>
        </is>
      </c>
      <c r="C83" t="inlineStr">
        <is>
          <t>Föryngringsavverkning</t>
        </is>
      </c>
      <c r="D83" s="1" t="n">
        <v>45026</v>
      </c>
      <c r="E83" s="1" t="n">
        <v>46224</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47785-2021</t>
        </is>
      </c>
      <c r="B84" t="inlineStr">
        <is>
          <t>avverkningsanmälan</t>
        </is>
      </c>
      <c r="C84" t="inlineStr">
        <is>
          <t>Föryngringsavverkning</t>
        </is>
      </c>
      <c r="D84" s="1" t="n">
        <v>44448</v>
      </c>
      <c r="E84" s="1" t="n">
        <v>46224</v>
      </c>
      <c r="F84" t="inlineStr">
        <is>
          <t>VÄSTMANLANDS LÄN</t>
        </is>
      </c>
      <c r="G84" t="inlineStr">
        <is>
          <t>SURAHAMMAR</t>
        </is>
      </c>
      <c r="H84" t="inlineStr">
        <is>
          <t>Kommuner</t>
        </is>
      </c>
      <c r="I84" t="n">
        <v>3.3</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HYPERLINK("https://klasma.github.io/Logging_1907/artfynd/A 47785-2021 artfynd.xlsx", "A 47785-2021")</f>
        <v/>
      </c>
      <c r="X84">
        <f>HYPERLINK("https://klasma.github.io/Logging_1907/kartor/A 47785-2021 karta.png", "A 47785-2021")</f>
        <v/>
      </c>
      <c r="Y84">
        <f>HYPERLINK("https://klasma.github.io/Logging_1907/kartor_geotiff/A 47785-2021 georefererad karta.tif", "A 47785-2021")</f>
        <v/>
      </c>
      <c r="AA84">
        <f>HYPERLINK("https://klasma.github.io/Logging_1907/klagomål/A 47785-2021 FSC-klagomål.docx", "A 47785-2021")</f>
        <v/>
      </c>
      <c r="AB84">
        <f>HYPERLINK("https://klasma.github.io/Logging_1907/klagomålsmail/A 47785-2021 FSC-klagomål mail.docx", "A 47785-2021")</f>
        <v/>
      </c>
      <c r="AC84">
        <f>HYPERLINK("https://klasma.github.io/Logging_1907/tillsyn/A 47785-2021 tillsynsbegäran.docx", "A 47785-2021")</f>
        <v/>
      </c>
      <c r="AD84">
        <f>HYPERLINK("https://klasma.github.io/Logging_1907/tillsynsmail/A 47785-2021 tillsynsbegäran mail.docx", "A 47785-2021")</f>
        <v/>
      </c>
    </row>
    <row r="85" ht="15" customHeight="1">
      <c r="A85" t="inlineStr">
        <is>
          <t>A 64073-2021</t>
        </is>
      </c>
      <c r="B85" t="inlineStr">
        <is>
          <t>avverkningsanmälan</t>
        </is>
      </c>
      <c r="C85" t="inlineStr">
        <is>
          <t>Avverkning för annat ändamål</t>
        </is>
      </c>
      <c r="D85" s="1" t="n">
        <v>44509</v>
      </c>
      <c r="E85" s="1" t="n">
        <v>46224</v>
      </c>
      <c r="F85" t="inlineStr">
        <is>
          <t>VÄSTMANLANDS LÄN</t>
        </is>
      </c>
      <c r="G85" t="inlineStr">
        <is>
          <t>SURAHAMMAR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19845-2022</t>
        </is>
      </c>
      <c r="B86" t="inlineStr">
        <is>
          <t>avverkningsanmälan</t>
        </is>
      </c>
      <c r="C86" t="inlineStr">
        <is>
          <t>Föryngringsavverkning</t>
        </is>
      </c>
      <c r="D86" s="1" t="n">
        <v>44696</v>
      </c>
      <c r="E86" s="1" t="n">
        <v>46224</v>
      </c>
      <c r="F86" t="inlineStr">
        <is>
          <t>VÄSTMANLANDS LÄN</t>
        </is>
      </c>
      <c r="G86" t="inlineStr">
        <is>
          <t>SURAHAMMAR</t>
        </is>
      </c>
      <c r="H86" t="inlineStr">
        <is>
          <t>Kommuner</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32491-2022</t>
        </is>
      </c>
      <c r="B87" t="inlineStr">
        <is>
          <t>avverkningsanmälan</t>
        </is>
      </c>
      <c r="C87" t="inlineStr">
        <is>
          <t>Föryngringsavverkning</t>
        </is>
      </c>
      <c r="D87" s="1" t="n">
        <v>44782</v>
      </c>
      <c r="E87" s="1" t="n">
        <v>46224</v>
      </c>
      <c r="F87" t="inlineStr">
        <is>
          <t>VÄSTMANLANDS LÄN</t>
        </is>
      </c>
      <c r="G87" t="inlineStr">
        <is>
          <t>SURAHAMMAR</t>
        </is>
      </c>
      <c r="H87" t="inlineStr">
        <is>
          <t>Bergvik skog väst AB</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37799-2021</t>
        </is>
      </c>
      <c r="B88" t="inlineStr">
        <is>
          <t>avverkningsanmälan</t>
        </is>
      </c>
      <c r="C88" t="inlineStr">
        <is>
          <t>Föryngringsavverkning</t>
        </is>
      </c>
      <c r="D88" s="1" t="n">
        <v>44402</v>
      </c>
      <c r="E88" s="1" t="n">
        <v>46224</v>
      </c>
      <c r="F88" t="inlineStr">
        <is>
          <t>VÄSTMANLANDS LÄN</t>
        </is>
      </c>
      <c r="G88" t="inlineStr">
        <is>
          <t>SURAHAMMAR</t>
        </is>
      </c>
      <c r="H88" t="inlineStr">
        <is>
          <t>Kommuner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46224</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46224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46224</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46224</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46224</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46224</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46224</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46224</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46224</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46224</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46224</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38154-2021</t>
        </is>
      </c>
      <c r="B100" t="inlineStr">
        <is>
          <t>avverkningsanmälan</t>
        </is>
      </c>
      <c r="C100" t="inlineStr">
        <is>
          <t>Föryngringsavverkning</t>
        </is>
      </c>
      <c r="D100" s="1" t="n">
        <v>44405</v>
      </c>
      <c r="E100" s="1" t="n">
        <v>46224</v>
      </c>
      <c r="F100" t="inlineStr">
        <is>
          <t>VÄSTMANLANDS LÄN</t>
        </is>
      </c>
      <c r="G100" t="inlineStr">
        <is>
          <t>SURAHAMMAR</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7787-2024</t>
        </is>
      </c>
      <c r="B101" t="inlineStr">
        <is>
          <t>avverkningsanmälan</t>
        </is>
      </c>
      <c r="C101" t="inlineStr">
        <is>
          <t>Föryngringsavverkning</t>
        </is>
      </c>
      <c r="D101" s="1" t="n">
        <v>45348</v>
      </c>
      <c r="E101" s="1" t="n">
        <v>46224</v>
      </c>
      <c r="F101" t="inlineStr">
        <is>
          <t>VÄSTMANLANDS LÄN</t>
        </is>
      </c>
      <c r="G101" t="inlineStr">
        <is>
          <t>SURAHAMMAR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72367-2021</t>
        </is>
      </c>
      <c r="B102" t="inlineStr">
        <is>
          <t>avverkningsanmälan</t>
        </is>
      </c>
      <c r="C102" t="inlineStr">
        <is>
          <t>Föryngringsavverkning</t>
        </is>
      </c>
      <c r="D102" s="1" t="n">
        <v>44545</v>
      </c>
      <c r="E102" s="1" t="n">
        <v>46224</v>
      </c>
      <c r="F102" t="inlineStr">
        <is>
          <t>VÄSTMANLANDS LÄN</t>
        </is>
      </c>
      <c r="G102" t="inlineStr">
        <is>
          <t>SURAHAMMAR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33931-2022</t>
        </is>
      </c>
      <c r="B103" t="inlineStr">
        <is>
          <t>avverkningsanmälan</t>
        </is>
      </c>
      <c r="C103" t="inlineStr">
        <is>
          <t>Föryngringsavverkning</t>
        </is>
      </c>
      <c r="D103" s="1" t="n">
        <v>44790</v>
      </c>
      <c r="E103" s="1" t="n">
        <v>46224</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39099-2022</t>
        </is>
      </c>
      <c r="B104" t="inlineStr">
        <is>
          <t>avverkningsanmälan</t>
        </is>
      </c>
      <c r="C104" t="inlineStr">
        <is>
          <t>Föryngringsavverkning</t>
        </is>
      </c>
      <c r="D104" s="1" t="n">
        <v>44817</v>
      </c>
      <c r="E104" s="1" t="n">
        <v>46224</v>
      </c>
      <c r="F104" t="inlineStr">
        <is>
          <t>VÄSTMANLANDS LÄN</t>
        </is>
      </c>
      <c r="G104" t="inlineStr">
        <is>
          <t>SURAHAMMAR</t>
        </is>
      </c>
      <c r="H104" t="inlineStr">
        <is>
          <t>Bergvik skog väst AB</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24158-2023</t>
        </is>
      </c>
      <c r="B105" t="inlineStr">
        <is>
          <t>avverkningsanmälan</t>
        </is>
      </c>
      <c r="C105" t="inlineStr">
        <is>
          <t>Föryngringsavverkning</t>
        </is>
      </c>
      <c r="D105" s="1" t="n">
        <v>45079</v>
      </c>
      <c r="E105" s="1" t="n">
        <v>46224</v>
      </c>
      <c r="F105" t="inlineStr">
        <is>
          <t>VÄSTMANLANDS LÄN</t>
        </is>
      </c>
      <c r="G105" t="inlineStr">
        <is>
          <t>SURAHAMMAR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37954-2025</t>
        </is>
      </c>
      <c r="B106" t="inlineStr">
        <is>
          <t>avverkningsanmälan</t>
        </is>
      </c>
      <c r="C106" t="inlineStr">
        <is>
          <t>Föryngringsavverkning</t>
        </is>
      </c>
      <c r="D106" s="1" t="n">
        <v>45881</v>
      </c>
      <c r="E106" s="1" t="n">
        <v>46224</v>
      </c>
      <c r="F106" t="inlineStr">
        <is>
          <t>VÄSTMANLANDS LÄN</t>
        </is>
      </c>
      <c r="G106" t="inlineStr">
        <is>
          <t>SURAHAMMAR</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55873-2025</t>
        </is>
      </c>
      <c r="B107" t="inlineStr">
        <is>
          <t>avverkningsanmälan</t>
        </is>
      </c>
      <c r="C107" t="inlineStr">
        <is>
          <t>Föryngringsavverkning</t>
        </is>
      </c>
      <c r="D107" s="1" t="n">
        <v>45973</v>
      </c>
      <c r="E107" s="1" t="n">
        <v>46224</v>
      </c>
      <c r="F107" t="inlineStr">
        <is>
          <t>VÄSTMANLANDS LÄN</t>
        </is>
      </c>
      <c r="G107" t="inlineStr">
        <is>
          <t>SURAHAMMAR</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42714-2022</t>
        </is>
      </c>
      <c r="B108" t="inlineStr">
        <is>
          <t>avverkningsanmälan</t>
        </is>
      </c>
      <c r="C108" t="inlineStr">
        <is>
          <t>Föryngringsavverkning</t>
        </is>
      </c>
      <c r="D108" s="1" t="n">
        <v>44832</v>
      </c>
      <c r="E108" s="1" t="n">
        <v>46224</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35682-2022</t>
        </is>
      </c>
      <c r="B109" t="inlineStr">
        <is>
          <t>avverkningsanmälan</t>
        </is>
      </c>
      <c r="C109" t="inlineStr">
        <is>
          <t>Föryngringsavverkning</t>
        </is>
      </c>
      <c r="D109" s="1" t="n">
        <v>44799</v>
      </c>
      <c r="E109" s="1" t="n">
        <v>46224</v>
      </c>
      <c r="F109" t="inlineStr">
        <is>
          <t>VÄSTMANLANDS LÄN</t>
        </is>
      </c>
      <c r="G109" t="inlineStr">
        <is>
          <t>SURAHAMMAR</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11728-2023</t>
        </is>
      </c>
      <c r="B110" t="inlineStr">
        <is>
          <t>avverkningsanmälan</t>
        </is>
      </c>
      <c r="C110" t="inlineStr">
        <is>
          <t>Avverkning för att bevara och utveckla /försöksver</t>
        </is>
      </c>
      <c r="D110" s="1" t="n">
        <v>44993</v>
      </c>
      <c r="E110" s="1" t="n">
        <v>46224</v>
      </c>
      <c r="F110" t="inlineStr">
        <is>
          <t>VÄSTMANLANDS LÄN</t>
        </is>
      </c>
      <c r="G110" t="inlineStr">
        <is>
          <t>SURAHAMMAR</t>
        </is>
      </c>
      <c r="H110" t="inlineStr">
        <is>
          <t>Bergvik skog väst AB</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5567-2022</t>
        </is>
      </c>
      <c r="B111" t="inlineStr">
        <is>
          <t>avverkningsanmälan</t>
        </is>
      </c>
      <c r="C111" t="inlineStr">
        <is>
          <t>Föryngringsavverkning</t>
        </is>
      </c>
      <c r="D111" s="1" t="n">
        <v>44595</v>
      </c>
      <c r="E111" s="1" t="n">
        <v>46224</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42832-2022</t>
        </is>
      </c>
      <c r="B112" t="inlineStr">
        <is>
          <t>avverkningsanmälan</t>
        </is>
      </c>
      <c r="C112" t="inlineStr">
        <is>
          <t>Avverkning för annat ändamål</t>
        </is>
      </c>
      <c r="D112" s="1" t="n">
        <v>44832</v>
      </c>
      <c r="E112" s="1" t="n">
        <v>46224</v>
      </c>
      <c r="F112" t="inlineStr">
        <is>
          <t>VÄSTMANLANDS LÄN</t>
        </is>
      </c>
      <c r="G112" t="inlineStr">
        <is>
          <t>SURAHAMMAR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24665-2023</t>
        </is>
      </c>
      <c r="B113" t="inlineStr">
        <is>
          <t>avverkningsanmälan</t>
        </is>
      </c>
      <c r="C113" t="inlineStr">
        <is>
          <t>Föryngringsavverkning</t>
        </is>
      </c>
      <c r="D113" s="1" t="n">
        <v>45084</v>
      </c>
      <c r="E113" s="1" t="n">
        <v>46224</v>
      </c>
      <c r="F113" t="inlineStr">
        <is>
          <t>VÄSTMANLANDS LÄN</t>
        </is>
      </c>
      <c r="G113" t="inlineStr">
        <is>
          <t>SURAHAMMAR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46224</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46224</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46224</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42829-2022</t>
        </is>
      </c>
      <c r="B117" t="inlineStr">
        <is>
          <t>avverkningsanmälan</t>
        </is>
      </c>
      <c r="C117" t="inlineStr">
        <is>
          <t>Avverkning för annat ändamål</t>
        </is>
      </c>
      <c r="D117" s="1" t="n">
        <v>44832</v>
      </c>
      <c r="E117" s="1" t="n">
        <v>46224</v>
      </c>
      <c r="F117" t="inlineStr">
        <is>
          <t>VÄSTMANLANDS LÄN</t>
        </is>
      </c>
      <c r="G117" t="inlineStr">
        <is>
          <t>SURAHAMMAR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2867-2024</t>
        </is>
      </c>
      <c r="B118" t="inlineStr">
        <is>
          <t>avverkningsanmälan</t>
        </is>
      </c>
      <c r="C118" t="inlineStr">
        <is>
          <t>Föryngringsavverkning</t>
        </is>
      </c>
      <c r="D118" s="1" t="n">
        <v>45315</v>
      </c>
      <c r="E118" s="1" t="n">
        <v>46224</v>
      </c>
      <c r="F118" t="inlineStr">
        <is>
          <t>VÄSTMANLANDS LÄN</t>
        </is>
      </c>
      <c r="G118" t="inlineStr">
        <is>
          <t>SURAHAMMAR</t>
        </is>
      </c>
      <c r="H118" t="inlineStr">
        <is>
          <t>Bergvik skog väst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3085-2023</t>
        </is>
      </c>
      <c r="B119" t="inlineStr">
        <is>
          <t>avverkningsanmälan</t>
        </is>
      </c>
      <c r="C119" t="inlineStr">
        <is>
          <t>Föryngringsavverkning</t>
        </is>
      </c>
      <c r="D119" s="1" t="n">
        <v>44946</v>
      </c>
      <c r="E119" s="1" t="n">
        <v>46224</v>
      </c>
      <c r="F119" t="inlineStr">
        <is>
          <t>VÄSTMANLANDS LÄN</t>
        </is>
      </c>
      <c r="G119" t="inlineStr">
        <is>
          <t>SURAHAMMAR</t>
        </is>
      </c>
      <c r="H119" t="inlineStr">
        <is>
          <t>Kyrkan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10249-2026</t>
        </is>
      </c>
      <c r="B120" t="inlineStr">
        <is>
          <t>avverkningsanmälan</t>
        </is>
      </c>
      <c r="C120" t="inlineStr">
        <is>
          <t>Föryngringsavverkning</t>
        </is>
      </c>
      <c r="D120" s="1" t="n">
        <v>46076</v>
      </c>
      <c r="E120" s="1" t="n">
        <v>46224</v>
      </c>
      <c r="F120" t="inlineStr">
        <is>
          <t>VÄSTMANLANDS LÄN</t>
        </is>
      </c>
      <c r="G120" t="inlineStr">
        <is>
          <t>SURAHAMMAR</t>
        </is>
      </c>
      <c r="H120" t="inlineStr">
        <is>
          <t>Allmännings- och besparingsskogar</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10244-2026</t>
        </is>
      </c>
      <c r="B121" t="inlineStr">
        <is>
          <t>avverkningsanmälan</t>
        </is>
      </c>
      <c r="C121" t="inlineStr">
        <is>
          <t>Föryngringsavverkning</t>
        </is>
      </c>
      <c r="D121" s="1" t="n">
        <v>46076</v>
      </c>
      <c r="E121" s="1" t="n">
        <v>46224</v>
      </c>
      <c r="F121" t="inlineStr">
        <is>
          <t>VÄSTMANLANDS LÄN</t>
        </is>
      </c>
      <c r="G121" t="inlineStr">
        <is>
          <t>SURAHAMMAR</t>
        </is>
      </c>
      <c r="H121" t="inlineStr">
        <is>
          <t>Allmännings- och besparingsskogar</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10562-2026</t>
        </is>
      </c>
      <c r="B122" t="inlineStr">
        <is>
          <t>avverkningsanmälan</t>
        </is>
      </c>
      <c r="C122" t="inlineStr">
        <is>
          <t>Föryngringsavverkning</t>
        </is>
      </c>
      <c r="D122" s="1" t="n">
        <v>46077</v>
      </c>
      <c r="E122" s="1" t="n">
        <v>46224</v>
      </c>
      <c r="F122" t="inlineStr">
        <is>
          <t>VÄSTMANLANDS LÄN</t>
        </is>
      </c>
      <c r="G122" t="inlineStr">
        <is>
          <t>SURAHAMMAR</t>
        </is>
      </c>
      <c r="H122" t="inlineStr">
        <is>
          <t>Övriga Aktiebolag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10347-2026</t>
        </is>
      </c>
      <c r="B123" t="inlineStr">
        <is>
          <t>avverkningsanmälan</t>
        </is>
      </c>
      <c r="C123" t="inlineStr">
        <is>
          <t>Föryngringsavverkning</t>
        </is>
      </c>
      <c r="D123" s="1" t="n">
        <v>46076</v>
      </c>
      <c r="E123" s="1" t="n">
        <v>46224</v>
      </c>
      <c r="F123" t="inlineStr">
        <is>
          <t>VÄSTMANLANDS LÄN</t>
        </is>
      </c>
      <c r="G123" t="inlineStr">
        <is>
          <t>SURAHAMMAR</t>
        </is>
      </c>
      <c r="H123" t="inlineStr">
        <is>
          <t>Allmännings- och besparingsskogar</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12841-2026</t>
        </is>
      </c>
      <c r="B124" t="inlineStr">
        <is>
          <t>avverkningsanmälan</t>
        </is>
      </c>
      <c r="C124" t="inlineStr">
        <is>
          <t>Föryngringsavverkning</t>
        </is>
      </c>
      <c r="D124" s="1" t="n">
        <v>46091</v>
      </c>
      <c r="E124" s="1" t="n">
        <v>46224</v>
      </c>
      <c r="F124" t="inlineStr">
        <is>
          <t>VÄSTMANLANDS LÄN</t>
        </is>
      </c>
      <c r="G124" t="inlineStr">
        <is>
          <t>SURAHAMMAR</t>
        </is>
      </c>
      <c r="H124" t="inlineStr">
        <is>
          <t>Bergvik skog väst AB</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20904-2023</t>
        </is>
      </c>
      <c r="B125" t="inlineStr">
        <is>
          <t>avverkningsanmälan</t>
        </is>
      </c>
      <c r="C125" t="inlineStr">
        <is>
          <t>Avverkning för att bevara och utveckla /försöksver</t>
        </is>
      </c>
      <c r="D125" s="1" t="n">
        <v>45060</v>
      </c>
      <c r="E125" s="1" t="n">
        <v>46224</v>
      </c>
      <c r="F125" t="inlineStr">
        <is>
          <t>VÄSTMANLANDS LÄN</t>
        </is>
      </c>
      <c r="G125" t="inlineStr">
        <is>
          <t>SURAHAMMAR</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2660-2024</t>
        </is>
      </c>
      <c r="B126" t="inlineStr">
        <is>
          <t>avverkningsanmälan</t>
        </is>
      </c>
      <c r="C126" t="inlineStr">
        <is>
          <t>Föryngringsavverkning</t>
        </is>
      </c>
      <c r="D126" s="1" t="n">
        <v>45310</v>
      </c>
      <c r="E126" s="1" t="n">
        <v>46224</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19246-2026</t>
        </is>
      </c>
      <c r="B127" t="inlineStr">
        <is>
          <t>avverkningsanmälan</t>
        </is>
      </c>
      <c r="C127" t="inlineStr">
        <is>
          <t>Avverkning för annat ändamål</t>
        </is>
      </c>
      <c r="D127" s="1" t="n">
        <v>46132</v>
      </c>
      <c r="E127" s="1" t="n">
        <v>46224</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32808-2024</t>
        </is>
      </c>
      <c r="B128" t="inlineStr">
        <is>
          <t>avverkningsanmälan</t>
        </is>
      </c>
      <c r="C128" t="inlineStr">
        <is>
          <t>Föryngringsavverkning</t>
        </is>
      </c>
      <c r="D128" s="1" t="n">
        <v>45516</v>
      </c>
      <c r="E128" s="1" t="n">
        <v>46224</v>
      </c>
      <c r="F128" t="inlineStr">
        <is>
          <t>VÄSTMANLANDS LÄN</t>
        </is>
      </c>
      <c r="G128" t="inlineStr">
        <is>
          <t>SURAHAMMAR</t>
        </is>
      </c>
      <c r="H128" t="inlineStr">
        <is>
          <t>Övriga Aktiebolag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14626-2023</t>
        </is>
      </c>
      <c r="B129" t="inlineStr">
        <is>
          <t>avverkningsanmälan</t>
        </is>
      </c>
      <c r="C129" t="inlineStr">
        <is>
          <t>Föryngringsavverkning</t>
        </is>
      </c>
      <c r="D129" s="1" t="n">
        <v>45012</v>
      </c>
      <c r="E129" s="1" t="n">
        <v>46224</v>
      </c>
      <c r="F129" t="inlineStr">
        <is>
          <t>VÄSTMANLANDS LÄN</t>
        </is>
      </c>
      <c r="G129" t="inlineStr">
        <is>
          <t>SURAHAMMAR</t>
        </is>
      </c>
      <c r="H129" t="inlineStr">
        <is>
          <t>Bergvik skog väst AB</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37798-2021</t>
        </is>
      </c>
      <c r="B130" t="inlineStr">
        <is>
          <t>avverkningsanmälan</t>
        </is>
      </c>
      <c r="C130" t="inlineStr">
        <is>
          <t>Föryngringsavverkning</t>
        </is>
      </c>
      <c r="D130" s="1" t="n">
        <v>44402</v>
      </c>
      <c r="E130" s="1" t="n">
        <v>46224</v>
      </c>
      <c r="F130" t="inlineStr">
        <is>
          <t>VÄSTMANLANDS LÄN</t>
        </is>
      </c>
      <c r="G130" t="inlineStr">
        <is>
          <t>SURAHAMMAR</t>
        </is>
      </c>
      <c r="H130" t="inlineStr">
        <is>
          <t>Kommuner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25450-2024</t>
        </is>
      </c>
      <c r="B131" t="inlineStr">
        <is>
          <t>avverkningsanmälan</t>
        </is>
      </c>
      <c r="C131" t="inlineStr">
        <is>
          <t>Föryngringsavverkning</t>
        </is>
      </c>
      <c r="D131" s="1" t="n">
        <v>45463</v>
      </c>
      <c r="E131" s="1" t="n">
        <v>46224</v>
      </c>
      <c r="F131" t="inlineStr">
        <is>
          <t>VÄSTMANLANDS LÄN</t>
        </is>
      </c>
      <c r="G131" t="inlineStr">
        <is>
          <t>SURAHAMMAR</t>
        </is>
      </c>
      <c r="H131" t="inlineStr">
        <is>
          <t>Bergvik skog väst AB</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49058-2024</t>
        </is>
      </c>
      <c r="B132" t="inlineStr">
        <is>
          <t>avverkningsanmälan</t>
        </is>
      </c>
      <c r="C132" t="inlineStr">
        <is>
          <t>Föryngringsavverkning</t>
        </is>
      </c>
      <c r="D132" s="1" t="n">
        <v>45594</v>
      </c>
      <c r="E132" s="1" t="n">
        <v>46224</v>
      </c>
      <c r="F132" t="inlineStr">
        <is>
          <t>VÄSTMANLANDS LÄN</t>
        </is>
      </c>
      <c r="G132" t="inlineStr">
        <is>
          <t>SURAHAMMAR</t>
        </is>
      </c>
      <c r="H132" t="inlineStr">
        <is>
          <t>Sveaskog</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20535-2026</t>
        </is>
      </c>
      <c r="B133" t="inlineStr">
        <is>
          <t>avverkningsanmälan</t>
        </is>
      </c>
      <c r="C133" t="inlineStr">
        <is>
          <t>Avverkning för annat ändamål</t>
        </is>
      </c>
      <c r="D133" s="1" t="n">
        <v>46140</v>
      </c>
      <c r="E133" s="1" t="n">
        <v>46224</v>
      </c>
      <c r="F133" t="inlineStr">
        <is>
          <t>VÄSTMANLANDS LÄN</t>
        </is>
      </c>
      <c r="G133" t="inlineStr">
        <is>
          <t>SURAHAMMAR</t>
        </is>
      </c>
      <c r="H133" t="inlineStr">
        <is>
          <t>Bergvik skog väst AB</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19782-2023</t>
        </is>
      </c>
      <c r="B134" t="inlineStr">
        <is>
          <t>avverkningsanmälan</t>
        </is>
      </c>
      <c r="C134" t="inlineStr">
        <is>
          <t>Föryngringsavverkning</t>
        </is>
      </c>
      <c r="D134" s="1" t="n">
        <v>45050</v>
      </c>
      <c r="E134" s="1" t="n">
        <v>46224</v>
      </c>
      <c r="F134" t="inlineStr">
        <is>
          <t>VÄSTMANLANDS LÄN</t>
        </is>
      </c>
      <c r="G134" t="inlineStr">
        <is>
          <t>SURAHAMMAR</t>
        </is>
      </c>
      <c r="H134" t="inlineStr">
        <is>
          <t>Bergvik skog väst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7848-2022</t>
        </is>
      </c>
      <c r="B135" t="inlineStr">
        <is>
          <t>avverkningsanmälan</t>
        </is>
      </c>
      <c r="C135" t="inlineStr">
        <is>
          <t>Föryngringsavverkning</t>
        </is>
      </c>
      <c r="D135" s="1" t="n">
        <v>44608</v>
      </c>
      <c r="E135" s="1" t="n">
        <v>46224</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56378-2023</t>
        </is>
      </c>
      <c r="B136" t="inlineStr">
        <is>
          <t>avverkningsanmälan</t>
        </is>
      </c>
      <c r="C136" t="inlineStr">
        <is>
          <t>Föryngringsavverkning</t>
        </is>
      </c>
      <c r="D136" s="1" t="n">
        <v>45236</v>
      </c>
      <c r="E136" s="1" t="n">
        <v>46224</v>
      </c>
      <c r="F136" t="inlineStr">
        <is>
          <t>VÄSTMANLANDS LÄN</t>
        </is>
      </c>
      <c r="G136" t="inlineStr">
        <is>
          <t>SURAHAMMAR</t>
        </is>
      </c>
      <c r="H136" t="inlineStr">
        <is>
          <t>Bergvik skog väst AB</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19099-2022</t>
        </is>
      </c>
      <c r="B137" t="inlineStr">
        <is>
          <t>avverkningsanmälan</t>
        </is>
      </c>
      <c r="C137" t="inlineStr">
        <is>
          <t>Föryngringsavverkning</t>
        </is>
      </c>
      <c r="D137" s="1" t="n">
        <v>44691</v>
      </c>
      <c r="E137" s="1" t="n">
        <v>46224</v>
      </c>
      <c r="F137" t="inlineStr">
        <is>
          <t>VÄSTMANLANDS LÄN</t>
        </is>
      </c>
      <c r="G137" t="inlineStr">
        <is>
          <t>SURAHAMMAR</t>
        </is>
      </c>
      <c r="H137" t="inlineStr">
        <is>
          <t>Övriga Aktiebolag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3818-2022</t>
        </is>
      </c>
      <c r="B138" t="inlineStr">
        <is>
          <t>avverkningsanmälan</t>
        </is>
      </c>
      <c r="C138" t="inlineStr">
        <is>
          <t>Föryngringsavverkning</t>
        </is>
      </c>
      <c r="D138" s="1" t="n">
        <v>44587</v>
      </c>
      <c r="E138" s="1" t="n">
        <v>46224</v>
      </c>
      <c r="F138" t="inlineStr">
        <is>
          <t>VÄSTMANLANDS LÄN</t>
        </is>
      </c>
      <c r="G138" t="inlineStr">
        <is>
          <t>SURAHAMMAR</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22626-2026</t>
        </is>
      </c>
      <c r="B139" t="inlineStr">
        <is>
          <t>avverkningsanmälan</t>
        </is>
      </c>
      <c r="C139" t="inlineStr">
        <is>
          <t>Föryngringsavverkning</t>
        </is>
      </c>
      <c r="D139" s="1" t="n">
        <v>46155</v>
      </c>
      <c r="E139" s="1" t="n">
        <v>46224</v>
      </c>
      <c r="F139" t="inlineStr">
        <is>
          <t>VÄSTMANLANDS LÄN</t>
        </is>
      </c>
      <c r="G139" t="inlineStr">
        <is>
          <t>SURAHAMMAR</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22630-2026</t>
        </is>
      </c>
      <c r="B140" t="inlineStr">
        <is>
          <t>avverkningsanmälan</t>
        </is>
      </c>
      <c r="C140" t="inlineStr">
        <is>
          <t>Föryngringsavverkning</t>
        </is>
      </c>
      <c r="D140" s="1" t="n">
        <v>46155</v>
      </c>
      <c r="E140" s="1" t="n">
        <v>46224</v>
      </c>
      <c r="F140" t="inlineStr">
        <is>
          <t>VÄSTMANLANDS LÄN</t>
        </is>
      </c>
      <c r="G140" t="inlineStr">
        <is>
          <t>SURAHAMMAR</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22628-2026</t>
        </is>
      </c>
      <c r="B141" t="inlineStr">
        <is>
          <t>avverkningsanmälan</t>
        </is>
      </c>
      <c r="C141" t="inlineStr">
        <is>
          <t>Föryngringsavverkning</t>
        </is>
      </c>
      <c r="D141" s="1" t="n">
        <v>46155</v>
      </c>
      <c r="E141" s="1" t="n">
        <v>46224</v>
      </c>
      <c r="F141" t="inlineStr">
        <is>
          <t>VÄSTMANLANDS LÄN</t>
        </is>
      </c>
      <c r="G141" t="inlineStr">
        <is>
          <t>SURAHAMMAR</t>
        </is>
      </c>
      <c r="H141" t="inlineStr">
        <is>
          <t>Sveaskog</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24201-2026</t>
        </is>
      </c>
      <c r="B142" t="inlineStr">
        <is>
          <t>avverkningsanmälan</t>
        </is>
      </c>
      <c r="C142" t="inlineStr">
        <is>
          <t>Föryngringsavverkning</t>
        </is>
      </c>
      <c r="D142" s="1" t="n">
        <v>46168</v>
      </c>
      <c r="E142" s="1" t="n">
        <v>46224</v>
      </c>
      <c r="F142" t="inlineStr">
        <is>
          <t>VÄSTMANLANDS LÄN</t>
        </is>
      </c>
      <c r="G142" t="inlineStr">
        <is>
          <t>SURAHAMMAR</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21509-2024</t>
        </is>
      </c>
      <c r="B143" t="inlineStr">
        <is>
          <t>avverkningsanmälan</t>
        </is>
      </c>
      <c r="C143" t="inlineStr">
        <is>
          <t>Föryngringsavverkning</t>
        </is>
      </c>
      <c r="D143" s="1" t="n">
        <v>45441</v>
      </c>
      <c r="E143" s="1" t="n">
        <v>46224</v>
      </c>
      <c r="F143" t="inlineStr">
        <is>
          <t>VÄSTMANLANDS LÄN</t>
        </is>
      </c>
      <c r="G143" t="inlineStr">
        <is>
          <t>SURAHAMMAR</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22662-2023</t>
        </is>
      </c>
      <c r="B144" t="inlineStr">
        <is>
          <t>avverkningsanmälan</t>
        </is>
      </c>
      <c r="C144" t="inlineStr">
        <is>
          <t>Avverkning för att bevara och utveckla /försöksver</t>
        </is>
      </c>
      <c r="D144" s="1" t="n">
        <v>45071</v>
      </c>
      <c r="E144" s="1" t="n">
        <v>46224</v>
      </c>
      <c r="F144" t="inlineStr">
        <is>
          <t>VÄSTMANLANDS LÄN</t>
        </is>
      </c>
      <c r="G144" t="inlineStr">
        <is>
          <t>SURAHAMMAR</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31061-2026</t>
        </is>
      </c>
      <c r="B145" t="inlineStr">
        <is>
          <t>avverkningsanmälan</t>
        </is>
      </c>
      <c r="C145" t="inlineStr">
        <is>
          <t>Föryngringsavverkning</t>
        </is>
      </c>
      <c r="D145" s="1" t="n">
        <v>46215</v>
      </c>
      <c r="E145" s="1" t="n">
        <v>46224</v>
      </c>
      <c r="F145" t="inlineStr">
        <is>
          <t>VÄSTMANLANDS LÄN</t>
        </is>
      </c>
      <c r="G145" t="inlineStr">
        <is>
          <t>SURAHAMMAR</t>
        </is>
      </c>
      <c r="H145" t="inlineStr">
        <is>
          <t>Sveaskog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25780-2023</t>
        </is>
      </c>
      <c r="B146" t="inlineStr">
        <is>
          <t>avverkningsanmälan</t>
        </is>
      </c>
      <c r="C146" t="inlineStr">
        <is>
          <t>Föryngringsavverkning</t>
        </is>
      </c>
      <c r="D146" s="1" t="n">
        <v>45090</v>
      </c>
      <c r="E146" s="1" t="n">
        <v>46224</v>
      </c>
      <c r="F146" t="inlineStr">
        <is>
          <t>VÄSTMANLANDS LÄN</t>
        </is>
      </c>
      <c r="G146" t="inlineStr">
        <is>
          <t>SURAHAMMAR</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S 3543-2022</t>
        </is>
      </c>
      <c r="B147" t="inlineStr">
        <is>
          <t>samrådsanmälan</t>
        </is>
      </c>
      <c r="C147" t="inlineStr">
        <is>
          <t>Skogsbilväg</t>
        </is>
      </c>
      <c r="D147" s="1" t="n">
        <v>44734</v>
      </c>
      <c r="E147" s="1" t="n">
        <v>46224</v>
      </c>
      <c r="F147" t="inlineStr">
        <is>
          <t>VÄSTMANLANDS LÄN</t>
        </is>
      </c>
      <c r="G147" t="inlineStr">
        <is>
          <t>SURAHAMMAR</t>
        </is>
      </c>
      <c r="H147" t="inlineStr">
        <is>
          <t>Bergvik skog väst AB</t>
        </is>
      </c>
      <c r="I147" t="n">
        <v>1.1</v>
      </c>
      <c r="J147" t="n">
        <v>0</v>
      </c>
      <c r="K147" t="n">
        <v>0</v>
      </c>
      <c r="L147" t="n">
        <v>0</v>
      </c>
      <c r="M147" t="n">
        <v>0</v>
      </c>
      <c r="N147" t="n">
        <v>0</v>
      </c>
      <c r="O147" t="n">
        <v>0</v>
      </c>
      <c r="P147" t="n">
        <v>0</v>
      </c>
      <c r="Q147" t="n">
        <v>0</v>
      </c>
      <c r="R147" t="n">
        <v>0</v>
      </c>
      <c r="S147" t="n">
        <v>0</v>
      </c>
      <c r="T147" t="n">
        <v>0</v>
      </c>
      <c r="U147" t="n">
        <v>0</v>
      </c>
      <c r="V147" s="2" t="inlineStr"/>
    </row>
    <row r="148">
      <c r="A148" t="inlineStr">
        <is>
          <t>S 3542-2022</t>
        </is>
      </c>
      <c r="B148" t="inlineStr">
        <is>
          <t>samrådsanmälan</t>
        </is>
      </c>
      <c r="C148" t="inlineStr">
        <is>
          <t>Skogsbilväg</t>
        </is>
      </c>
      <c r="D148" s="1" t="n">
        <v>44734</v>
      </c>
      <c r="E148" s="1" t="n">
        <v>46224</v>
      </c>
      <c r="F148" t="inlineStr">
        <is>
          <t>VÄSTMANLANDS LÄN</t>
        </is>
      </c>
      <c r="G148" t="inlineStr">
        <is>
          <t>SURAHAMMAR</t>
        </is>
      </c>
      <c r="H148" t="inlineStr">
        <is>
          <t>Bergvik skog väst AB</t>
        </is>
      </c>
      <c r="I148" t="n">
        <v>1</v>
      </c>
      <c r="J148" t="n">
        <v>0</v>
      </c>
      <c r="K148" t="n">
        <v>0</v>
      </c>
      <c r="L148" t="n">
        <v>0</v>
      </c>
      <c r="M148" t="n">
        <v>0</v>
      </c>
      <c r="N148" t="n">
        <v>0</v>
      </c>
      <c r="O148" t="n">
        <v>0</v>
      </c>
      <c r="P148" t="n">
        <v>0</v>
      </c>
      <c r="Q148" t="n">
        <v>0</v>
      </c>
      <c r="R148" t="n">
        <v>0</v>
      </c>
      <c r="S148" t="n">
        <v>0</v>
      </c>
      <c r="T148" t="n">
        <v>0</v>
      </c>
      <c r="U148" t="n">
        <v>0</v>
      </c>
      <c r="V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2026-07-21T01:39:58Z</dcterms:created>
  <dcterms:modified xmlns:dcterms="http://purl.org/dc/terms/" xmlns:xsi="http://www.w3.org/2001/XMLSchema-instance" xsi:type="dcterms:W3CDTF">2026-07-21T01:39:58Z</dcterms:modified>
</cp:coreProperties>
</file>