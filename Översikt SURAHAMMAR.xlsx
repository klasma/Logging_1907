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46276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46276</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46276</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46276</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46276</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46276</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46276</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46276</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46276</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46276</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46276</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46276</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46276</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46276</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46276</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46276</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46276</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46276</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46276</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46276</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38172-2024</t>
        </is>
      </c>
      <c r="B30" t="inlineStr">
        <is>
          <t>avverkningsanmälan</t>
        </is>
      </c>
      <c r="C30" t="inlineStr">
        <is>
          <t>Avverkning för att bevara och utveckla /försöksver</t>
        </is>
      </c>
      <c r="D30" s="1" t="n">
        <v>45545</v>
      </c>
      <c r="E30" s="1" t="n">
        <v>46276</v>
      </c>
      <c r="F30" t="inlineStr">
        <is>
          <t>VÄSTMANLANDS LÄN</t>
        </is>
      </c>
      <c r="G30" t="inlineStr">
        <is>
          <t>SURAHAMMAR</t>
        </is>
      </c>
      <c r="H30" t="inlineStr">
        <is>
          <t>Sveaskog</t>
        </is>
      </c>
      <c r="I30" t="n">
        <v>5.2</v>
      </c>
      <c r="J30" t="n">
        <v>5</v>
      </c>
      <c r="K30" t="n">
        <v>0</v>
      </c>
      <c r="L30" t="n">
        <v>3</v>
      </c>
      <c r="M30" t="n">
        <v>1</v>
      </c>
      <c r="N30" t="n">
        <v>0</v>
      </c>
      <c r="O30" t="n">
        <v>0</v>
      </c>
      <c r="P30" t="n">
        <v>0</v>
      </c>
      <c r="Q30" t="n">
        <v>4</v>
      </c>
      <c r="R30" t="n">
        <v>1</v>
      </c>
      <c r="S30" t="n">
        <v>7</v>
      </c>
      <c r="T30" t="n">
        <v>8</v>
      </c>
      <c r="U30" t="n">
        <v>2</v>
      </c>
      <c r="V30" s="2" t="inlineStr">
        <is>
          <t>Knärot
Gropticka
Sädesärla
Vedtrappmossa
Stjärtmes
Lopplummer (aggregat)
Revlummer</t>
        </is>
      </c>
      <c r="W30">
        <f>HYPERLINK("https://klasma.github.io/Logging_1907/artfynd/A 38172-2024 artfynd.xlsx", "A 38172-2024")</f>
        <v/>
      </c>
      <c r="X30">
        <f>HYPERLINK("https://klasma.github.io/Logging_1907/kartor/A 38172-2024 karta.png", "A 38172-2024")</f>
        <v/>
      </c>
      <c r="Y30">
        <f>HYPERLINK("https://klasma.github.io/Logging_1907/kartor_geotiff/A 38172-2024 georefererad karta.tif", "A 38172-2024")</f>
        <v/>
      </c>
      <c r="Z30">
        <f>HYPERLINK("https://klasma.github.io/Logging_1907/knärot/A 38172-2024 karta knärot.png", "A 38172-2024")</f>
        <v/>
      </c>
      <c r="AA30">
        <f>HYPERLINK("https://klasma.github.io/Logging_1907/klagomål/A 38172-2024 FSC-klagomål.docx", "A 38172-2024")</f>
        <v/>
      </c>
      <c r="AB30">
        <f>HYPERLINK("https://klasma.github.io/Logging_1907/klagomålsmail/A 38172-2024 FSC-klagomål mail.docx", "A 38172-2024")</f>
        <v/>
      </c>
      <c r="AC30">
        <f>HYPERLINK("https://klasma.github.io/Logging_1907/tillsyn/A 38172-2024 tillsynsbegäran.docx", "A 38172-2024")</f>
        <v/>
      </c>
      <c r="AD30">
        <f>HYPERLINK("https://klasma.github.io/Logging_1907/tillsynsmail/A 38172-2024 tillsynsbegäran mail.docx", "A 38172-2024")</f>
        <v/>
      </c>
      <c r="AE30">
        <f>HYPERLINK("https://klasma.github.io/Logging_1907/fåglar/A 38172-2024 prioriterade fågelarter.docx", "A 38172-2024")</f>
        <v/>
      </c>
    </row>
    <row r="31" ht="15" customHeight="1">
      <c r="A31" t="inlineStr">
        <is>
          <t>A 36260-2026</t>
        </is>
      </c>
      <c r="B31" t="inlineStr">
        <is>
          <t>avverkningsanmälan</t>
        </is>
      </c>
      <c r="C31" t="inlineStr">
        <is>
          <t>Föryngringsavverkning</t>
        </is>
      </c>
      <c r="D31" s="1" t="n">
        <v>46268</v>
      </c>
      <c r="E31" s="1" t="n">
        <v>46276</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46276</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46276</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46276</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46276</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46276</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46276</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46276</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46276</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46276</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46276</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46276</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46276</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46276</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46276</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46276</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63146-2025</t>
        </is>
      </c>
      <c r="B47" t="inlineStr">
        <is>
          <t>avverkningsanmälan</t>
        </is>
      </c>
      <c r="C47" t="inlineStr">
        <is>
          <t>Föryngringsavverkning</t>
        </is>
      </c>
      <c r="D47" s="1" t="n">
        <v>46009</v>
      </c>
      <c r="E47" s="1" t="n">
        <v>46276</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46276</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46276</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46276</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46276</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46276</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46276</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46276</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46276</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46276</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46276</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56362-2023</t>
        </is>
      </c>
      <c r="B58" t="inlineStr">
        <is>
          <t>avverkningsanmälan</t>
        </is>
      </c>
      <c r="C58" t="inlineStr">
        <is>
          <t>Föryngringsavverkning</t>
        </is>
      </c>
      <c r="D58" s="1" t="n">
        <v>45236</v>
      </c>
      <c r="E58" s="1" t="n">
        <v>46276</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46276</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46276</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46276</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46276</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46276</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46276</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46276</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46276</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46276</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46276</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46276</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46276</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46276</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46276</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46276</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46276</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46276</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46276</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46276</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46276</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46276</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46276</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46276</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46276</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46276</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16013-2023</t>
        </is>
      </c>
      <c r="B84" t="inlineStr">
        <is>
          <t>avverkningsanmälan</t>
        </is>
      </c>
      <c r="C84" t="inlineStr">
        <is>
          <t>Föryngringsavverkning</t>
        </is>
      </c>
      <c r="D84" s="1" t="n">
        <v>45026</v>
      </c>
      <c r="E84" s="1" t="n">
        <v>46276</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31589-2026</t>
        </is>
      </c>
      <c r="B85" t="inlineStr">
        <is>
          <t>avverkningsanmälan</t>
        </is>
      </c>
      <c r="C85" t="inlineStr">
        <is>
          <t>Föryngringsavverkning</t>
        </is>
      </c>
      <c r="D85" s="1" t="n">
        <v>46224</v>
      </c>
      <c r="E85" s="1" t="n">
        <v>46276</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46276</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46276</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46276</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46276</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46276</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46276</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46276</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46276</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46276</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46276</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46276</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46276</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46276</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46276</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46276</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46276</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46276</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33931-2022</t>
        </is>
      </c>
      <c r="B103" t="inlineStr">
        <is>
          <t>avverkningsanmälan</t>
        </is>
      </c>
      <c r="C103" t="inlineStr">
        <is>
          <t>Föryngringsavverkning</t>
        </is>
      </c>
      <c r="D103" s="1" t="n">
        <v>44790</v>
      </c>
      <c r="E103" s="1" t="n">
        <v>46276</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37954-2025</t>
        </is>
      </c>
      <c r="B104" t="inlineStr">
        <is>
          <t>avverkningsanmälan</t>
        </is>
      </c>
      <c r="C104" t="inlineStr">
        <is>
          <t>Föryngringsavverkning</t>
        </is>
      </c>
      <c r="D104" s="1" t="n">
        <v>45881</v>
      </c>
      <c r="E104" s="1" t="n">
        <v>46276</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24158-2023</t>
        </is>
      </c>
      <c r="B105" t="inlineStr">
        <is>
          <t>avverkningsanmälan</t>
        </is>
      </c>
      <c r="C105" t="inlineStr">
        <is>
          <t>Föryngringsavverkning</t>
        </is>
      </c>
      <c r="D105" s="1" t="n">
        <v>45079</v>
      </c>
      <c r="E105" s="1" t="n">
        <v>46276</v>
      </c>
      <c r="F105" t="inlineStr">
        <is>
          <t>VÄSTMANLANDS LÄN</t>
        </is>
      </c>
      <c r="G105" t="inlineStr">
        <is>
          <t>SURAHAMMAR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42714-2022</t>
        </is>
      </c>
      <c r="B106" t="inlineStr">
        <is>
          <t>avverkningsanmälan</t>
        </is>
      </c>
      <c r="C106" t="inlineStr">
        <is>
          <t>Föryngringsavverkning</t>
        </is>
      </c>
      <c r="D106" s="1" t="n">
        <v>44832</v>
      </c>
      <c r="E106" s="1" t="n">
        <v>46276</v>
      </c>
      <c r="F106" t="inlineStr">
        <is>
          <t>VÄSTMANLANDS LÄN</t>
        </is>
      </c>
      <c r="G106" t="inlineStr">
        <is>
          <t>SURAHAMMAR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10249-2026</t>
        </is>
      </c>
      <c r="B107" t="inlineStr">
        <is>
          <t>avverkningsanmälan</t>
        </is>
      </c>
      <c r="C107" t="inlineStr">
        <is>
          <t>Föryngringsavverkning</t>
        </is>
      </c>
      <c r="D107" s="1" t="n">
        <v>46076</v>
      </c>
      <c r="E107" s="1" t="n">
        <v>46276</v>
      </c>
      <c r="F107" t="inlineStr">
        <is>
          <t>VÄSTMANLANDS LÄN</t>
        </is>
      </c>
      <c r="G107" t="inlineStr">
        <is>
          <t>SURAHAMMAR</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10244-2026</t>
        </is>
      </c>
      <c r="B108" t="inlineStr">
        <is>
          <t>avverkningsanmälan</t>
        </is>
      </c>
      <c r="C108" t="inlineStr">
        <is>
          <t>Föryngringsavverkning</t>
        </is>
      </c>
      <c r="D108" s="1" t="n">
        <v>46076</v>
      </c>
      <c r="E108" s="1" t="n">
        <v>46276</v>
      </c>
      <c r="F108" t="inlineStr">
        <is>
          <t>VÄSTMANLANDS LÄN</t>
        </is>
      </c>
      <c r="G108" t="inlineStr">
        <is>
          <t>SURAHAMMAR</t>
        </is>
      </c>
      <c r="H108" t="inlineStr">
        <is>
          <t>Allmännings- och besparingsskogar</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10562-2026</t>
        </is>
      </c>
      <c r="B109" t="inlineStr">
        <is>
          <t>avverkningsanmälan</t>
        </is>
      </c>
      <c r="C109" t="inlineStr">
        <is>
          <t>Föryngringsavverkning</t>
        </is>
      </c>
      <c r="D109" s="1" t="n">
        <v>46077</v>
      </c>
      <c r="E109" s="1" t="n">
        <v>46276</v>
      </c>
      <c r="F109" t="inlineStr">
        <is>
          <t>VÄSTMANLANDS LÄN</t>
        </is>
      </c>
      <c r="G109" t="inlineStr">
        <is>
          <t>SURAHAMMAR</t>
        </is>
      </c>
      <c r="H109" t="inlineStr">
        <is>
          <t>Övriga Aktiebolag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35682-2022</t>
        </is>
      </c>
      <c r="B110" t="inlineStr">
        <is>
          <t>avverkningsanmälan</t>
        </is>
      </c>
      <c r="C110" t="inlineStr">
        <is>
          <t>Föryngringsavverkning</t>
        </is>
      </c>
      <c r="D110" s="1" t="n">
        <v>44799</v>
      </c>
      <c r="E110" s="1" t="n">
        <v>46276</v>
      </c>
      <c r="F110" t="inlineStr">
        <is>
          <t>VÄSTMANLANDS LÄN</t>
        </is>
      </c>
      <c r="G110" t="inlineStr">
        <is>
          <t>SURAHAMMAR</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11728-2023</t>
        </is>
      </c>
      <c r="B111" t="inlineStr">
        <is>
          <t>avverkningsanmälan</t>
        </is>
      </c>
      <c r="C111" t="inlineStr">
        <is>
          <t>Avverkning för att bevara och utveckla /försöksver</t>
        </is>
      </c>
      <c r="D111" s="1" t="n">
        <v>44993</v>
      </c>
      <c r="E111" s="1" t="n">
        <v>46276</v>
      </c>
      <c r="F111" t="inlineStr">
        <is>
          <t>VÄSTMANLANDS LÄN</t>
        </is>
      </c>
      <c r="G111" t="inlineStr">
        <is>
          <t>SURAHAMMAR</t>
        </is>
      </c>
      <c r="H111" t="inlineStr">
        <is>
          <t>Bergvik skog väst AB</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5567-2022</t>
        </is>
      </c>
      <c r="B112" t="inlineStr">
        <is>
          <t>avverkningsanmälan</t>
        </is>
      </c>
      <c r="C112" t="inlineStr">
        <is>
          <t>Föryngringsavverkning</t>
        </is>
      </c>
      <c r="D112" s="1" t="n">
        <v>44595</v>
      </c>
      <c r="E112" s="1" t="n">
        <v>46276</v>
      </c>
      <c r="F112" t="inlineStr">
        <is>
          <t>VÄSTMANLANDS LÄN</t>
        </is>
      </c>
      <c r="G112" t="inlineStr">
        <is>
          <t>SURAHAMMAR</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42832-2022</t>
        </is>
      </c>
      <c r="B113" t="inlineStr">
        <is>
          <t>avverkningsanmälan</t>
        </is>
      </c>
      <c r="C113" t="inlineStr">
        <is>
          <t>Avverkning för annat ändamål</t>
        </is>
      </c>
      <c r="D113" s="1" t="n">
        <v>44832</v>
      </c>
      <c r="E113" s="1" t="n">
        <v>46276</v>
      </c>
      <c r="F113" t="inlineStr">
        <is>
          <t>VÄSTMANLANDS LÄN</t>
        </is>
      </c>
      <c r="G113" t="inlineStr">
        <is>
          <t>SURAHAMMAR</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24665-2023</t>
        </is>
      </c>
      <c r="B114" t="inlineStr">
        <is>
          <t>avverkningsanmälan</t>
        </is>
      </c>
      <c r="C114" t="inlineStr">
        <is>
          <t>Föryngringsavverkning</t>
        </is>
      </c>
      <c r="D114" s="1" t="n">
        <v>45084</v>
      </c>
      <c r="E114" s="1" t="n">
        <v>46276</v>
      </c>
      <c r="F114" t="inlineStr">
        <is>
          <t>VÄSTMANLANDS LÄN</t>
        </is>
      </c>
      <c r="G114" t="inlineStr">
        <is>
          <t>SURAHAMMAR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12841-2026</t>
        </is>
      </c>
      <c r="B115" t="inlineStr">
        <is>
          <t>avverkningsanmälan</t>
        </is>
      </c>
      <c r="C115" t="inlineStr">
        <is>
          <t>Föryngringsavverkning</t>
        </is>
      </c>
      <c r="D115" s="1" t="n">
        <v>46091</v>
      </c>
      <c r="E115" s="1" t="n">
        <v>46276</v>
      </c>
      <c r="F115" t="inlineStr">
        <is>
          <t>VÄSTMANLANDS LÄN</t>
        </is>
      </c>
      <c r="G115" t="inlineStr">
        <is>
          <t>SURAHAMMAR</t>
        </is>
      </c>
      <c r="H115" t="inlineStr">
        <is>
          <t>Bergvik skog väst AB</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42841-2022</t>
        </is>
      </c>
      <c r="B116" t="inlineStr">
        <is>
          <t>avverkningsanmälan</t>
        </is>
      </c>
      <c r="C116" t="inlineStr">
        <is>
          <t>Avverkning för annat ändamål</t>
        </is>
      </c>
      <c r="D116" s="1" t="n">
        <v>44832</v>
      </c>
      <c r="E116" s="1" t="n">
        <v>46276</v>
      </c>
      <c r="F116" t="inlineStr">
        <is>
          <t>VÄSTMANLANDS LÄN</t>
        </is>
      </c>
      <c r="G116" t="inlineStr">
        <is>
          <t>SURAHAMMAR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55873-2025</t>
        </is>
      </c>
      <c r="B117" t="inlineStr">
        <is>
          <t>avverkningsanmälan</t>
        </is>
      </c>
      <c r="C117" t="inlineStr">
        <is>
          <t>Föryngringsavverkning</t>
        </is>
      </c>
      <c r="D117" s="1" t="n">
        <v>45973</v>
      </c>
      <c r="E117" s="1" t="n">
        <v>46276</v>
      </c>
      <c r="F117" t="inlineStr">
        <is>
          <t>VÄSTMANLANDS LÄN</t>
        </is>
      </c>
      <c r="G117" t="inlineStr">
        <is>
          <t>SURAHAMMAR</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42829-2022</t>
        </is>
      </c>
      <c r="B118" t="inlineStr">
        <is>
          <t>avverkningsanmälan</t>
        </is>
      </c>
      <c r="C118" t="inlineStr">
        <is>
          <t>Avverkning för annat ändamål</t>
        </is>
      </c>
      <c r="D118" s="1" t="n">
        <v>44832</v>
      </c>
      <c r="E118" s="1" t="n">
        <v>46276</v>
      </c>
      <c r="F118" t="inlineStr">
        <is>
          <t>VÄSTMANLANDS LÄN</t>
        </is>
      </c>
      <c r="G118" t="inlineStr">
        <is>
          <t>SURAHAMMAR</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46276</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46276</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19246-2026</t>
        </is>
      </c>
      <c r="B121" t="inlineStr">
        <is>
          <t>avverkningsanmälan</t>
        </is>
      </c>
      <c r="C121" t="inlineStr">
        <is>
          <t>Avverkning för annat ändamål</t>
        </is>
      </c>
      <c r="D121" s="1" t="n">
        <v>46132</v>
      </c>
      <c r="E121" s="1" t="n">
        <v>46276</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20904-2023</t>
        </is>
      </c>
      <c r="B122" t="inlineStr">
        <is>
          <t>avverkningsanmälan</t>
        </is>
      </c>
      <c r="C122" t="inlineStr">
        <is>
          <t>Avverkning för att bevara och utveckla /försöksver</t>
        </is>
      </c>
      <c r="D122" s="1" t="n">
        <v>45060</v>
      </c>
      <c r="E122" s="1" t="n">
        <v>46276</v>
      </c>
      <c r="F122" t="inlineStr">
        <is>
          <t>VÄSTMANLANDS LÄN</t>
        </is>
      </c>
      <c r="G122" t="inlineStr">
        <is>
          <t>SURAHAMMAR</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2660-2024</t>
        </is>
      </c>
      <c r="B123" t="inlineStr">
        <is>
          <t>avverkningsanmälan</t>
        </is>
      </c>
      <c r="C123" t="inlineStr">
        <is>
          <t>Föryngringsavverkning</t>
        </is>
      </c>
      <c r="D123" s="1" t="n">
        <v>45310</v>
      </c>
      <c r="E123" s="1" t="n">
        <v>46276</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32808-2024</t>
        </is>
      </c>
      <c r="B124" t="inlineStr">
        <is>
          <t>avverkningsanmälan</t>
        </is>
      </c>
      <c r="C124" t="inlineStr">
        <is>
          <t>Föryngringsavverkning</t>
        </is>
      </c>
      <c r="D124" s="1" t="n">
        <v>45516</v>
      </c>
      <c r="E124" s="1" t="n">
        <v>46276</v>
      </c>
      <c r="F124" t="inlineStr">
        <is>
          <t>VÄSTMANLANDS LÄN</t>
        </is>
      </c>
      <c r="G124" t="inlineStr">
        <is>
          <t>SURAHAMMAR</t>
        </is>
      </c>
      <c r="H124" t="inlineStr">
        <is>
          <t>Övriga Aktiebolag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49058-2024</t>
        </is>
      </c>
      <c r="B125" t="inlineStr">
        <is>
          <t>avverkningsanmälan</t>
        </is>
      </c>
      <c r="C125" t="inlineStr">
        <is>
          <t>Föryngringsavverkning</t>
        </is>
      </c>
      <c r="D125" s="1" t="n">
        <v>45594</v>
      </c>
      <c r="E125" s="1" t="n">
        <v>46276</v>
      </c>
      <c r="F125" t="inlineStr">
        <is>
          <t>VÄSTMANLANDS LÄN</t>
        </is>
      </c>
      <c r="G125" t="inlineStr">
        <is>
          <t>SURAHAMMAR</t>
        </is>
      </c>
      <c r="H125" t="inlineStr">
        <is>
          <t>Sveaskog</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20535-2026</t>
        </is>
      </c>
      <c r="B126" t="inlineStr">
        <is>
          <t>avverkningsanmälan</t>
        </is>
      </c>
      <c r="C126" t="inlineStr">
        <is>
          <t>Avverkning för annat ändamål</t>
        </is>
      </c>
      <c r="D126" s="1" t="n">
        <v>46140</v>
      </c>
      <c r="E126" s="1" t="n">
        <v>46276</v>
      </c>
      <c r="F126" t="inlineStr">
        <is>
          <t>VÄSTMANLANDS LÄN</t>
        </is>
      </c>
      <c r="G126" t="inlineStr">
        <is>
          <t>SURAHAMMAR</t>
        </is>
      </c>
      <c r="H126" t="inlineStr">
        <is>
          <t>Bergvik skog väst AB</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14626-2023</t>
        </is>
      </c>
      <c r="B127" t="inlineStr">
        <is>
          <t>avverkningsanmälan</t>
        </is>
      </c>
      <c r="C127" t="inlineStr">
        <is>
          <t>Föryngringsavverkning</t>
        </is>
      </c>
      <c r="D127" s="1" t="n">
        <v>45012</v>
      </c>
      <c r="E127" s="1" t="n">
        <v>46276</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46276</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19782-2023</t>
        </is>
      </c>
      <c r="B129" t="inlineStr">
        <is>
          <t>avverkningsanmälan</t>
        </is>
      </c>
      <c r="C129" t="inlineStr">
        <is>
          <t>Föryngringsavverkning</t>
        </is>
      </c>
      <c r="D129" s="1" t="n">
        <v>45050</v>
      </c>
      <c r="E129" s="1" t="n">
        <v>46276</v>
      </c>
      <c r="F129" t="inlineStr">
        <is>
          <t>VÄSTMANLANDS LÄN</t>
        </is>
      </c>
      <c r="G129" t="inlineStr">
        <is>
          <t>SURAHAMMAR</t>
        </is>
      </c>
      <c r="H129" t="inlineStr">
        <is>
          <t>Bergvik skog väst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24201-2026</t>
        </is>
      </c>
      <c r="B130" t="inlineStr">
        <is>
          <t>avverkningsanmälan</t>
        </is>
      </c>
      <c r="C130" t="inlineStr">
        <is>
          <t>Föryngringsavverkning</t>
        </is>
      </c>
      <c r="D130" s="1" t="n">
        <v>46168</v>
      </c>
      <c r="E130" s="1" t="n">
        <v>46276</v>
      </c>
      <c r="F130" t="inlineStr">
        <is>
          <t>VÄSTMANLANDS LÄN</t>
        </is>
      </c>
      <c r="G130" t="inlineStr">
        <is>
          <t>SURAHAMMAR</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7848-2022</t>
        </is>
      </c>
      <c r="B131" t="inlineStr">
        <is>
          <t>avverkningsanmälan</t>
        </is>
      </c>
      <c r="C131" t="inlineStr">
        <is>
          <t>Föryngringsavverkning</t>
        </is>
      </c>
      <c r="D131" s="1" t="n">
        <v>44608</v>
      </c>
      <c r="E131" s="1" t="n">
        <v>46276</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46276</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46276</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3818-2022</t>
        </is>
      </c>
      <c r="B134" t="inlineStr">
        <is>
          <t>avverkningsanmälan</t>
        </is>
      </c>
      <c r="C134" t="inlineStr">
        <is>
          <t>Föryngringsavverkning</t>
        </is>
      </c>
      <c r="D134" s="1" t="n">
        <v>44587</v>
      </c>
      <c r="E134" s="1" t="n">
        <v>46276</v>
      </c>
      <c r="F134" t="inlineStr">
        <is>
          <t>VÄSTMANLANDS LÄN</t>
        </is>
      </c>
      <c r="G134" t="inlineStr">
        <is>
          <t>SURAHAMMAR</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32223-2026</t>
        </is>
      </c>
      <c r="B135" t="inlineStr">
        <is>
          <t>avverkningsanmälan</t>
        </is>
      </c>
      <c r="C135" t="inlineStr">
        <is>
          <t>Föryngringsavverkning</t>
        </is>
      </c>
      <c r="D135" s="1" t="n">
        <v>46237</v>
      </c>
      <c r="E135" s="1" t="n">
        <v>46276</v>
      </c>
      <c r="F135" t="inlineStr">
        <is>
          <t>VÄSTMANLANDS LÄN</t>
        </is>
      </c>
      <c r="G135" t="inlineStr">
        <is>
          <t>SURAHAMMAR</t>
        </is>
      </c>
      <c r="H135" t="inlineStr">
        <is>
          <t>Allmännings- och besparingsskogar</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32501-2026</t>
        </is>
      </c>
      <c r="B136" t="inlineStr">
        <is>
          <t>avverkningsanmälan</t>
        </is>
      </c>
      <c r="C136" t="inlineStr">
        <is>
          <t>Avverkning för annat ändamål</t>
        </is>
      </c>
      <c r="D136" s="1" t="n">
        <v>46239</v>
      </c>
      <c r="E136" s="1" t="n">
        <v>46276</v>
      </c>
      <c r="F136" t="inlineStr">
        <is>
          <t>VÄSTMANLANDS LÄN</t>
        </is>
      </c>
      <c r="G136" t="inlineStr">
        <is>
          <t>SURAHAMMAR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22628-2026</t>
        </is>
      </c>
      <c r="B137" t="inlineStr">
        <is>
          <t>avverkningsanmälan</t>
        </is>
      </c>
      <c r="C137" t="inlineStr">
        <is>
          <t>Föryngringsavverkning</t>
        </is>
      </c>
      <c r="D137" s="1" t="n">
        <v>46155</v>
      </c>
      <c r="E137" s="1" t="n">
        <v>46276</v>
      </c>
      <c r="F137" t="inlineStr">
        <is>
          <t>VÄSTMANLANDS LÄN</t>
        </is>
      </c>
      <c r="G137" t="inlineStr">
        <is>
          <t>SURAHAMMAR</t>
        </is>
      </c>
      <c r="H137" t="inlineStr">
        <is>
          <t>Sveaskog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46276</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22662-2023</t>
        </is>
      </c>
      <c r="B139" t="inlineStr">
        <is>
          <t>avverkningsanmälan</t>
        </is>
      </c>
      <c r="C139" t="inlineStr">
        <is>
          <t>Avverkning för att bevara och utveckla /försöksver</t>
        </is>
      </c>
      <c r="D139" s="1" t="n">
        <v>45071</v>
      </c>
      <c r="E139" s="1" t="n">
        <v>46276</v>
      </c>
      <c r="F139" t="inlineStr">
        <is>
          <t>VÄSTMANLANDS LÄN</t>
        </is>
      </c>
      <c r="G139" t="inlineStr">
        <is>
          <t>SURAHAMMAR</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33933-2026</t>
        </is>
      </c>
      <c r="B140" t="inlineStr">
        <is>
          <t>avverkningsanmälan</t>
        </is>
      </c>
      <c r="C140" t="inlineStr">
        <is>
          <t>Föryngringsavverkning</t>
        </is>
      </c>
      <c r="D140" s="1" t="n">
        <v>46248</v>
      </c>
      <c r="E140" s="1" t="n">
        <v>46276</v>
      </c>
      <c r="F140" t="inlineStr">
        <is>
          <t>VÄSTMANLANDS LÄN</t>
        </is>
      </c>
      <c r="G140" t="inlineStr">
        <is>
          <t>SURAHAMMAR</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31061-2026</t>
        </is>
      </c>
      <c r="B141" t="inlineStr">
        <is>
          <t>avverkningsanmälan</t>
        </is>
      </c>
      <c r="C141" t="inlineStr">
        <is>
          <t>Föryngringsavverkning</t>
        </is>
      </c>
      <c r="D141" s="1" t="n">
        <v>46215</v>
      </c>
      <c r="E141" s="1" t="n">
        <v>46276</v>
      </c>
      <c r="F141" t="inlineStr">
        <is>
          <t>VÄSTMANLANDS LÄN</t>
        </is>
      </c>
      <c r="G141" t="inlineStr">
        <is>
          <t>SURAHAMMAR</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46276</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46276</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46276</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46276</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46276</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2026-09-11T02:12:12Z</dcterms:created>
  <dcterms:modified xmlns:dcterms="http://purl.org/dc/terms/" xmlns:xsi="http://www.w3.org/2001/XMLSchema-instance" xsi:type="dcterms:W3CDTF">2026-09-11T02:12:12Z</dcterms:modified>
</cp:coreProperties>
</file>