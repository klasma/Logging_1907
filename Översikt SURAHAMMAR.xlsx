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45791</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45791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45791</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45791</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45791</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45791</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45791</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45791</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45791</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45791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45791</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45791</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45791</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21560-2025</t>
        </is>
      </c>
      <c r="B17" s="1" t="n">
        <v>45782</v>
      </c>
      <c r="C17" s="1" t="n">
        <v>45791</v>
      </c>
      <c r="D17" t="inlineStr">
        <is>
          <t>VÄSTMANLANDS LÄN</t>
        </is>
      </c>
      <c r="E17" t="inlineStr">
        <is>
          <t>SURAHAMMAR</t>
        </is>
      </c>
      <c r="F17" t="inlineStr">
        <is>
          <t>Bergvik skog väst AB</t>
        </is>
      </c>
      <c r="G17" t="n">
        <v>43.8</v>
      </c>
      <c r="H17" t="n">
        <v>6</v>
      </c>
      <c r="I17" t="n">
        <v>1</v>
      </c>
      <c r="J17" t="n">
        <v>6</v>
      </c>
      <c r="K17" t="n">
        <v>0</v>
      </c>
      <c r="L17" t="n">
        <v>0</v>
      </c>
      <c r="M17" t="n">
        <v>0</v>
      </c>
      <c r="N17" t="n">
        <v>0</v>
      </c>
      <c r="O17" t="n">
        <v>6</v>
      </c>
      <c r="P17" t="n">
        <v>0</v>
      </c>
      <c r="Q17" t="n">
        <v>11</v>
      </c>
      <c r="R17" s="2" t="inlineStr">
        <is>
          <t>Dofttaggsvamp
Järpe
Motaggsvamp
Skogsklocka
Svinrot
Talltita
Vedticka
Tjäder
Fläcknycklar
Nattviol
Mattlummer</t>
        </is>
      </c>
      <c r="S17">
        <f>HYPERLINK("https://klasma.github.io/Logging_191907/artfynd/A 21560-2025 artfynd.xlsx", "A 21560-2025")</f>
        <v/>
      </c>
      <c r="T17">
        <f>HYPERLINK("https://klasma.github.io/Logging_191907/kartor/A 21560-2025 karta.png", "A 21560-2025")</f>
        <v/>
      </c>
      <c r="V17">
        <f>HYPERLINK("https://klasma.github.io/Logging_191907/klagomål/A 21560-2025 FSC-klagomål.docx", "A 21560-2025")</f>
        <v/>
      </c>
      <c r="W17">
        <f>HYPERLINK("https://klasma.github.io/Logging_191907/klagomålsmail/A 21560-2025 FSC-klagomål mail.docx", "A 21560-2025")</f>
        <v/>
      </c>
      <c r="X17">
        <f>HYPERLINK("https://klasma.github.io/Logging_191907/tillsyn/A 21560-2025 tillsynsbegäran.docx", "A 21560-2025")</f>
        <v/>
      </c>
      <c r="Y17">
        <f>HYPERLINK("https://klasma.github.io/Logging_191907/tillsynsmail/A 21560-2025 tillsynsbegäran mail.docx", "A 21560-2025")</f>
        <v/>
      </c>
      <c r="Z17">
        <f>HYPERLINK("https://klasma.github.io/Logging_191907/fåglar/A 21560-2025 prioriterade fågelarter.docx", "A 21560-2025")</f>
        <v/>
      </c>
    </row>
    <row r="18" ht="15" customHeight="1">
      <c r="A18" t="inlineStr">
        <is>
          <t>A 21236-2021</t>
        </is>
      </c>
      <c r="B18" s="1" t="n">
        <v>44314</v>
      </c>
      <c r="C18" s="1" t="n">
        <v>45791</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45791</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45791</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45791</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45791</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45791</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45791</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45791</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45791</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45791</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45791</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45791</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45791</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45791</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45791</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45791</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45791</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45791</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45791</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45791</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45791</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45791</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45791</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45791</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45791</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45791</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45791</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45791</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45791</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45791</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45791</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45791</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45791</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45791</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45791</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45791</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45791</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45791</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45791</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45791</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45791</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45791</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45791</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45791</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45791</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45791</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45791</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45791</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45791</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45791</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45791</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45791</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45791</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45791</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45791</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45791</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45791</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45791</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45791</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45791</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45791</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45791</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45791</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45791</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45791</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45791</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45791</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45791</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45791</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45791</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45791</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45791</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45791</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45791</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45791</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45791</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45791</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45791</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45791</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45791</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45791</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45791</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45791</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10819-2024</t>
        </is>
      </c>
      <c r="B101" s="1" t="n">
        <v>45369</v>
      </c>
      <c r="C101" s="1" t="n">
        <v>45791</v>
      </c>
      <c r="D101" t="inlineStr">
        <is>
          <t>VÄSTMANLANDS LÄN</t>
        </is>
      </c>
      <c r="E101" t="inlineStr">
        <is>
          <t>SURAHAMMAR</t>
        </is>
      </c>
      <c r="G101" t="n">
        <v>2</v>
      </c>
      <c r="H101" t="n">
        <v>0</v>
      </c>
      <c r="I101" t="n">
        <v>1</v>
      </c>
      <c r="J101" t="n">
        <v>0</v>
      </c>
      <c r="K101" t="n">
        <v>0</v>
      </c>
      <c r="L101" t="n">
        <v>0</v>
      </c>
      <c r="M101" t="n">
        <v>0</v>
      </c>
      <c r="N101" t="n">
        <v>0</v>
      </c>
      <c r="O101" t="n">
        <v>0</v>
      </c>
      <c r="P101" t="n">
        <v>0</v>
      </c>
      <c r="Q101" t="n">
        <v>1</v>
      </c>
      <c r="R101" s="2" t="inlineStr">
        <is>
          <t>Tibast</t>
        </is>
      </c>
      <c r="S101">
        <f>HYPERLINK("https://klasma.github.io/Logging_1907/artfynd/A 10819-2024 artfynd.xlsx", "A 10819-2024")</f>
        <v/>
      </c>
      <c r="T101">
        <f>HYPERLINK("https://klasma.github.io/Logging_1907/kartor/A 10819-2024 karta.png", "A 10819-2024")</f>
        <v/>
      </c>
      <c r="V101">
        <f>HYPERLINK("https://klasma.github.io/Logging_1907/klagomål/A 10819-2024 FSC-klagomål.docx", "A 10819-2024")</f>
        <v/>
      </c>
      <c r="W101">
        <f>HYPERLINK("https://klasma.github.io/Logging_1907/klagomålsmail/A 10819-2024 FSC-klagomål mail.docx", "A 10819-2024")</f>
        <v/>
      </c>
      <c r="X101">
        <f>HYPERLINK("https://klasma.github.io/Logging_1907/tillsyn/A 10819-2024 tillsynsbegäran.docx", "A 10819-2024")</f>
        <v/>
      </c>
      <c r="Y101">
        <f>HYPERLINK("https://klasma.github.io/Logging_1907/tillsynsmail/A 10819-2024 tillsynsbegäran mail.docx", "A 10819-2024")</f>
        <v/>
      </c>
    </row>
    <row r="102" ht="15" customHeight="1">
      <c r="A102" t="inlineStr">
        <is>
          <t>A 25583-2024</t>
        </is>
      </c>
      <c r="B102" s="1" t="n">
        <v>45463</v>
      </c>
      <c r="C102" s="1" t="n">
        <v>45791</v>
      </c>
      <c r="D102" t="inlineStr">
        <is>
          <t>VÄSTMANLANDS LÄN</t>
        </is>
      </c>
      <c r="E102" t="inlineStr">
        <is>
          <t>SURAHAMMAR</t>
        </is>
      </c>
      <c r="F102" t="inlineStr">
        <is>
          <t>Bergvik skog väst AB</t>
        </is>
      </c>
      <c r="G102" t="n">
        <v>7.8</v>
      </c>
      <c r="H102" t="n">
        <v>1</v>
      </c>
      <c r="I102" t="n">
        <v>0</v>
      </c>
      <c r="J102" t="n">
        <v>0</v>
      </c>
      <c r="K102" t="n">
        <v>0</v>
      </c>
      <c r="L102" t="n">
        <v>0</v>
      </c>
      <c r="M102" t="n">
        <v>0</v>
      </c>
      <c r="N102" t="n">
        <v>0</v>
      </c>
      <c r="O102" t="n">
        <v>0</v>
      </c>
      <c r="P102" t="n">
        <v>0</v>
      </c>
      <c r="Q102" t="n">
        <v>1</v>
      </c>
      <c r="R102" s="2" t="inlineStr">
        <is>
          <t>Blåsippa</t>
        </is>
      </c>
      <c r="S102">
        <f>HYPERLINK("https://klasma.github.io/Logging_1907/artfynd/A 25583-2024 artfynd.xlsx", "A 25583-2024")</f>
        <v/>
      </c>
      <c r="T102">
        <f>HYPERLINK("https://klasma.github.io/Logging_1907/kartor/A 25583-2024 karta.png", "A 25583-2024")</f>
        <v/>
      </c>
      <c r="V102">
        <f>HYPERLINK("https://klasma.github.io/Logging_1907/klagomål/A 25583-2024 FSC-klagomål.docx", "A 25583-2024")</f>
        <v/>
      </c>
      <c r="W102">
        <f>HYPERLINK("https://klasma.github.io/Logging_1907/klagomålsmail/A 25583-2024 FSC-klagomål mail.docx", "A 25583-2024")</f>
        <v/>
      </c>
      <c r="X102">
        <f>HYPERLINK("https://klasma.github.io/Logging_1907/tillsyn/A 25583-2024 tillsynsbegäran.docx", "A 25583-2024")</f>
        <v/>
      </c>
      <c r="Y102">
        <f>HYPERLINK("https://klasma.github.io/Logging_1907/tillsynsmail/A 25583-2024 tillsynsbegäran mail.docx", "A 25583-2024")</f>
        <v/>
      </c>
    </row>
    <row r="103" ht="15" customHeight="1">
      <c r="A103" t="inlineStr">
        <is>
          <t>A 27957-2024</t>
        </is>
      </c>
      <c r="B103" s="1" t="n">
        <v>45476</v>
      </c>
      <c r="C103" s="1" t="n">
        <v>45791</v>
      </c>
      <c r="D103" t="inlineStr">
        <is>
          <t>VÄSTMANLANDS LÄN</t>
        </is>
      </c>
      <c r="E103" t="inlineStr">
        <is>
          <t>SURAHAMMAR</t>
        </is>
      </c>
      <c r="F103" t="inlineStr">
        <is>
          <t>Sveaskog</t>
        </is>
      </c>
      <c r="G103" t="n">
        <v>14.4</v>
      </c>
      <c r="H103" t="n">
        <v>1</v>
      </c>
      <c r="I103" t="n">
        <v>0</v>
      </c>
      <c r="J103" t="n">
        <v>0</v>
      </c>
      <c r="K103" t="n">
        <v>0</v>
      </c>
      <c r="L103" t="n">
        <v>0</v>
      </c>
      <c r="M103" t="n">
        <v>0</v>
      </c>
      <c r="N103" t="n">
        <v>0</v>
      </c>
      <c r="O103" t="n">
        <v>0</v>
      </c>
      <c r="P103" t="n">
        <v>0</v>
      </c>
      <c r="Q103" t="n">
        <v>1</v>
      </c>
      <c r="R103" s="2" t="inlineStr">
        <is>
          <t>Fläcknycklar</t>
        </is>
      </c>
      <c r="S103">
        <f>HYPERLINK("https://klasma.github.io/Logging_1907/artfynd/A 27957-2024 artfynd.xlsx", "A 27957-2024")</f>
        <v/>
      </c>
      <c r="T103">
        <f>HYPERLINK("https://klasma.github.io/Logging_1907/kartor/A 27957-2024 karta.png", "A 27957-2024")</f>
        <v/>
      </c>
      <c r="V103">
        <f>HYPERLINK("https://klasma.github.io/Logging_1907/klagomål/A 27957-2024 FSC-klagomål.docx", "A 27957-2024")</f>
        <v/>
      </c>
      <c r="W103">
        <f>HYPERLINK("https://klasma.github.io/Logging_1907/klagomålsmail/A 27957-2024 FSC-klagomål mail.docx", "A 27957-2024")</f>
        <v/>
      </c>
      <c r="X103">
        <f>HYPERLINK("https://klasma.github.io/Logging_1907/tillsyn/A 27957-2024 tillsynsbegäran.docx", "A 27957-2024")</f>
        <v/>
      </c>
      <c r="Y103">
        <f>HYPERLINK("https://klasma.github.io/Logging_1907/tillsynsmail/A 27957-2024 tillsynsbegäran mail.docx", "A 27957-2024")</f>
        <v/>
      </c>
    </row>
    <row r="104" ht="15" customHeight="1">
      <c r="A104" t="inlineStr">
        <is>
          <t>A 29156-2024</t>
        </is>
      </c>
      <c r="B104" s="1" t="n">
        <v>45482</v>
      </c>
      <c r="C104" s="1" t="n">
        <v>45791</v>
      </c>
      <c r="D104" t="inlineStr">
        <is>
          <t>VÄSTMANLANDS LÄN</t>
        </is>
      </c>
      <c r="E104" t="inlineStr">
        <is>
          <t>SURAHAMMAR</t>
        </is>
      </c>
      <c r="F104" t="inlineStr">
        <is>
          <t>Sveaskog</t>
        </is>
      </c>
      <c r="G104" t="n">
        <v>2.6</v>
      </c>
      <c r="H104" t="n">
        <v>0</v>
      </c>
      <c r="I104" t="n">
        <v>1</v>
      </c>
      <c r="J104" t="n">
        <v>0</v>
      </c>
      <c r="K104" t="n">
        <v>0</v>
      </c>
      <c r="L104" t="n">
        <v>0</v>
      </c>
      <c r="M104" t="n">
        <v>0</v>
      </c>
      <c r="N104" t="n">
        <v>0</v>
      </c>
      <c r="O104" t="n">
        <v>0</v>
      </c>
      <c r="P104" t="n">
        <v>0</v>
      </c>
      <c r="Q104" t="n">
        <v>1</v>
      </c>
      <c r="R104" s="2" t="inlineStr">
        <is>
          <t>Fjällig taggsvamp s.str.</t>
        </is>
      </c>
      <c r="S104">
        <f>HYPERLINK("https://klasma.github.io/Logging_1907/artfynd/A 29156-2024 artfynd.xlsx", "A 29156-2024")</f>
        <v/>
      </c>
      <c r="T104">
        <f>HYPERLINK("https://klasma.github.io/Logging_1907/kartor/A 29156-2024 karta.png", "A 29156-2024")</f>
        <v/>
      </c>
      <c r="V104">
        <f>HYPERLINK("https://klasma.github.io/Logging_1907/klagomål/A 29156-2024 FSC-klagomål.docx", "A 29156-2024")</f>
        <v/>
      </c>
      <c r="W104">
        <f>HYPERLINK("https://klasma.github.io/Logging_1907/klagomålsmail/A 29156-2024 FSC-klagomål mail.docx", "A 29156-2024")</f>
        <v/>
      </c>
      <c r="X104">
        <f>HYPERLINK("https://klasma.github.io/Logging_1907/tillsyn/A 29156-2024 tillsynsbegäran.docx", "A 29156-2024")</f>
        <v/>
      </c>
      <c r="Y104">
        <f>HYPERLINK("https://klasma.github.io/Logging_1907/tillsynsmail/A 29156-2024 tillsynsbegäran mail.docx", "A 29156-2024")</f>
        <v/>
      </c>
    </row>
    <row r="105" ht="15" customHeight="1">
      <c r="A105" t="inlineStr">
        <is>
          <t>A 31176-2024</t>
        </is>
      </c>
      <c r="B105" s="1" t="n">
        <v>45503</v>
      </c>
      <c r="C105" s="1" t="n">
        <v>45791</v>
      </c>
      <c r="D105" t="inlineStr">
        <is>
          <t>VÄSTMANLANDS LÄN</t>
        </is>
      </c>
      <c r="E105" t="inlineStr">
        <is>
          <t>SURAHAMMAR</t>
        </is>
      </c>
      <c r="F105" t="inlineStr">
        <is>
          <t>Allmännings- och besparingsskogar</t>
        </is>
      </c>
      <c r="G105" t="n">
        <v>10.7</v>
      </c>
      <c r="H105" t="n">
        <v>0</v>
      </c>
      <c r="I105" t="n">
        <v>0</v>
      </c>
      <c r="J105" t="n">
        <v>1</v>
      </c>
      <c r="K105" t="n">
        <v>0</v>
      </c>
      <c r="L105" t="n">
        <v>0</v>
      </c>
      <c r="M105" t="n">
        <v>0</v>
      </c>
      <c r="N105" t="n">
        <v>0</v>
      </c>
      <c r="O105" t="n">
        <v>1</v>
      </c>
      <c r="P105" t="n">
        <v>0</v>
      </c>
      <c r="Q105" t="n">
        <v>1</v>
      </c>
      <c r="R105" s="2" t="inlineStr">
        <is>
          <t>Doftskinn</t>
        </is>
      </c>
      <c r="S105">
        <f>HYPERLINK("https://klasma.github.io/Logging_1907/artfynd/A 31176-2024 artfynd.xlsx", "A 31176-2024")</f>
        <v/>
      </c>
      <c r="T105">
        <f>HYPERLINK("https://klasma.github.io/Logging_1907/kartor/A 31176-2024 karta.png", "A 31176-2024")</f>
        <v/>
      </c>
      <c r="V105">
        <f>HYPERLINK("https://klasma.github.io/Logging_1907/klagomål/A 31176-2024 FSC-klagomål.docx", "A 31176-2024")</f>
        <v/>
      </c>
      <c r="W105">
        <f>HYPERLINK("https://klasma.github.io/Logging_1907/klagomålsmail/A 31176-2024 FSC-klagomål mail.docx", "A 31176-2024")</f>
        <v/>
      </c>
      <c r="X105">
        <f>HYPERLINK("https://klasma.github.io/Logging_1907/tillsyn/A 31176-2024 tillsynsbegäran.docx", "A 31176-2024")</f>
        <v/>
      </c>
      <c r="Y105">
        <f>HYPERLINK("https://klasma.github.io/Logging_1907/tillsynsmail/A 31176-2024 tillsynsbegäran mail.docx", "A 31176-2024")</f>
        <v/>
      </c>
    </row>
    <row r="106" ht="15" customHeight="1">
      <c r="A106" t="inlineStr">
        <is>
          <t>A 33231-2024</t>
        </is>
      </c>
      <c r="B106" s="1" t="n">
        <v>45518</v>
      </c>
      <c r="C106" s="1" t="n">
        <v>45791</v>
      </c>
      <c r="D106" t="inlineStr">
        <is>
          <t>VÄSTMANLANDS LÄN</t>
        </is>
      </c>
      <c r="E106" t="inlineStr">
        <is>
          <t>SURAHAMMAR</t>
        </is>
      </c>
      <c r="F106" t="inlineStr">
        <is>
          <t>Bergvik skog väst AB</t>
        </is>
      </c>
      <c r="G106" t="n">
        <v>1.5</v>
      </c>
      <c r="H106" t="n">
        <v>1</v>
      </c>
      <c r="I106" t="n">
        <v>0</v>
      </c>
      <c r="J106" t="n">
        <v>0</v>
      </c>
      <c r="K106" t="n">
        <v>0</v>
      </c>
      <c r="L106" t="n">
        <v>0</v>
      </c>
      <c r="M106" t="n">
        <v>0</v>
      </c>
      <c r="N106" t="n">
        <v>0</v>
      </c>
      <c r="O106" t="n">
        <v>0</v>
      </c>
      <c r="P106" t="n">
        <v>0</v>
      </c>
      <c r="Q106" t="n">
        <v>1</v>
      </c>
      <c r="R106" s="2" t="inlineStr">
        <is>
          <t>Mindre vattensalamander</t>
        </is>
      </c>
      <c r="S106">
        <f>HYPERLINK("https://klasma.github.io/Logging_1907/artfynd/A 33231-2024 artfynd.xlsx", "A 33231-2024")</f>
        <v/>
      </c>
      <c r="T106">
        <f>HYPERLINK("https://klasma.github.io/Logging_1907/kartor/A 33231-2024 karta.png", "A 33231-2024")</f>
        <v/>
      </c>
      <c r="V106">
        <f>HYPERLINK("https://klasma.github.io/Logging_1907/klagomål/A 33231-2024 FSC-klagomål.docx", "A 33231-2024")</f>
        <v/>
      </c>
      <c r="W106">
        <f>HYPERLINK("https://klasma.github.io/Logging_1907/klagomålsmail/A 33231-2024 FSC-klagomål mail.docx", "A 33231-2024")</f>
        <v/>
      </c>
      <c r="X106">
        <f>HYPERLINK("https://klasma.github.io/Logging_1907/tillsyn/A 33231-2024 tillsynsbegäran.docx", "A 33231-2024")</f>
        <v/>
      </c>
      <c r="Y106">
        <f>HYPERLINK("https://klasma.github.io/Logging_1907/tillsynsmail/A 33231-2024 tillsynsbegäran mail.docx", "A 33231-2024")</f>
        <v/>
      </c>
    </row>
    <row r="107" ht="15" customHeight="1">
      <c r="A107" t="inlineStr">
        <is>
          <t>A 43451-2024</t>
        </is>
      </c>
      <c r="B107" s="1" t="n">
        <v>45568</v>
      </c>
      <c r="C107" s="1" t="n">
        <v>45791</v>
      </c>
      <c r="D107" t="inlineStr">
        <is>
          <t>VÄSTMANLANDS LÄN</t>
        </is>
      </c>
      <c r="E107" t="inlineStr">
        <is>
          <t>SURAHAMMAR</t>
        </is>
      </c>
      <c r="F107" t="inlineStr">
        <is>
          <t>Bergvik skog väst AB</t>
        </is>
      </c>
      <c r="G107" t="n">
        <v>2.9</v>
      </c>
      <c r="H107" t="n">
        <v>0</v>
      </c>
      <c r="I107" t="n">
        <v>0</v>
      </c>
      <c r="J107" t="n">
        <v>1</v>
      </c>
      <c r="K107" t="n">
        <v>0</v>
      </c>
      <c r="L107" t="n">
        <v>0</v>
      </c>
      <c r="M107" t="n">
        <v>0</v>
      </c>
      <c r="N107" t="n">
        <v>0</v>
      </c>
      <c r="O107" t="n">
        <v>1</v>
      </c>
      <c r="P107" t="n">
        <v>0</v>
      </c>
      <c r="Q107" t="n">
        <v>1</v>
      </c>
      <c r="R107" s="2" t="inlineStr">
        <is>
          <t>Ullticka</t>
        </is>
      </c>
      <c r="S107">
        <f>HYPERLINK("https://klasma.github.io/Logging_1907/artfynd/A 43451-2024 artfynd.xlsx", "A 43451-2024")</f>
        <v/>
      </c>
      <c r="T107">
        <f>HYPERLINK("https://klasma.github.io/Logging_1907/kartor/A 43451-2024 karta.png", "A 43451-2024")</f>
        <v/>
      </c>
      <c r="V107">
        <f>HYPERLINK("https://klasma.github.io/Logging_1907/klagomål/A 43451-2024 FSC-klagomål.docx", "A 43451-2024")</f>
        <v/>
      </c>
      <c r="W107">
        <f>HYPERLINK("https://klasma.github.io/Logging_1907/klagomålsmail/A 43451-2024 FSC-klagomål mail.docx", "A 43451-2024")</f>
        <v/>
      </c>
      <c r="X107">
        <f>HYPERLINK("https://klasma.github.io/Logging_1907/tillsyn/A 43451-2024 tillsynsbegäran.docx", "A 43451-2024")</f>
        <v/>
      </c>
      <c r="Y107">
        <f>HYPERLINK("https://klasma.github.io/Logging_1907/tillsynsmail/A 43451-2024 tillsynsbegäran mail.docx", "A 43451-2024")</f>
        <v/>
      </c>
    </row>
    <row r="108" ht="15" customHeight="1">
      <c r="A108" t="inlineStr">
        <is>
          <t>A 44356-2024</t>
        </is>
      </c>
      <c r="B108" s="1" t="n">
        <v>45573</v>
      </c>
      <c r="C108" s="1" t="n">
        <v>45791</v>
      </c>
      <c r="D108" t="inlineStr">
        <is>
          <t>VÄSTMANLANDS LÄN</t>
        </is>
      </c>
      <c r="E108" t="inlineStr">
        <is>
          <t>SURAHAMMAR</t>
        </is>
      </c>
      <c r="F108" t="inlineStr">
        <is>
          <t>Sveaskog</t>
        </is>
      </c>
      <c r="G108" t="n">
        <v>0.7</v>
      </c>
      <c r="H108" t="n">
        <v>1</v>
      </c>
      <c r="I108" t="n">
        <v>0</v>
      </c>
      <c r="J108" t="n">
        <v>0</v>
      </c>
      <c r="K108" t="n">
        <v>0</v>
      </c>
      <c r="L108" t="n">
        <v>0</v>
      </c>
      <c r="M108" t="n">
        <v>0</v>
      </c>
      <c r="N108" t="n">
        <v>0</v>
      </c>
      <c r="O108" t="n">
        <v>0</v>
      </c>
      <c r="P108" t="n">
        <v>0</v>
      </c>
      <c r="Q108" t="n">
        <v>1</v>
      </c>
      <c r="R108" s="2" t="inlineStr">
        <is>
          <t>Revlummer</t>
        </is>
      </c>
      <c r="S108">
        <f>HYPERLINK("https://klasma.github.io/Logging_1907/artfynd/A 44356-2024 artfynd.xlsx", "A 44356-2024")</f>
        <v/>
      </c>
      <c r="T108">
        <f>HYPERLINK("https://klasma.github.io/Logging_1907/kartor/A 44356-2024 karta.png", "A 44356-2024")</f>
        <v/>
      </c>
      <c r="V108">
        <f>HYPERLINK("https://klasma.github.io/Logging_1907/klagomål/A 44356-2024 FSC-klagomål.docx", "A 44356-2024")</f>
        <v/>
      </c>
      <c r="W108">
        <f>HYPERLINK("https://klasma.github.io/Logging_1907/klagomålsmail/A 44356-2024 FSC-klagomål mail.docx", "A 44356-2024")</f>
        <v/>
      </c>
      <c r="X108">
        <f>HYPERLINK("https://klasma.github.io/Logging_1907/tillsyn/A 44356-2024 tillsynsbegäran.docx", "A 44356-2024")</f>
        <v/>
      </c>
      <c r="Y108">
        <f>HYPERLINK("https://klasma.github.io/Logging_1907/tillsynsmail/A 44356-2024 tillsynsbegäran mail.docx", "A 44356-2024")</f>
        <v/>
      </c>
    </row>
    <row r="109" ht="15" customHeight="1">
      <c r="A109" t="inlineStr">
        <is>
          <t>A 44355-2024</t>
        </is>
      </c>
      <c r="B109" s="1" t="n">
        <v>45573</v>
      </c>
      <c r="C109" s="1" t="n">
        <v>45791</v>
      </c>
      <c r="D109" t="inlineStr">
        <is>
          <t>VÄSTMANLANDS LÄN</t>
        </is>
      </c>
      <c r="E109" t="inlineStr">
        <is>
          <t>SURAHAMMAR</t>
        </is>
      </c>
      <c r="F109" t="inlineStr">
        <is>
          <t>Sveaskog</t>
        </is>
      </c>
      <c r="G109" t="n">
        <v>3.5</v>
      </c>
      <c r="H109" t="n">
        <v>1</v>
      </c>
      <c r="I109" t="n">
        <v>0</v>
      </c>
      <c r="J109" t="n">
        <v>0</v>
      </c>
      <c r="K109" t="n">
        <v>0</v>
      </c>
      <c r="L109" t="n">
        <v>0</v>
      </c>
      <c r="M109" t="n">
        <v>0</v>
      </c>
      <c r="N109" t="n">
        <v>0</v>
      </c>
      <c r="O109" t="n">
        <v>0</v>
      </c>
      <c r="P109" t="n">
        <v>0</v>
      </c>
      <c r="Q109" t="n">
        <v>1</v>
      </c>
      <c r="R109" s="2" t="inlineStr">
        <is>
          <t>Revlummer</t>
        </is>
      </c>
      <c r="S109">
        <f>HYPERLINK("https://klasma.github.io/Logging_1907/artfynd/A 44355-2024 artfynd.xlsx", "A 44355-2024")</f>
        <v/>
      </c>
      <c r="T109">
        <f>HYPERLINK("https://klasma.github.io/Logging_1907/kartor/A 44355-2024 karta.png", "A 44355-2024")</f>
        <v/>
      </c>
      <c r="V109">
        <f>HYPERLINK("https://klasma.github.io/Logging_1907/klagomål/A 44355-2024 FSC-klagomål.docx", "A 44355-2024")</f>
        <v/>
      </c>
      <c r="W109">
        <f>HYPERLINK("https://klasma.github.io/Logging_1907/klagomålsmail/A 44355-2024 FSC-klagomål mail.docx", "A 44355-2024")</f>
        <v/>
      </c>
      <c r="X109">
        <f>HYPERLINK("https://klasma.github.io/Logging_1907/tillsyn/A 44355-2024 tillsynsbegäran.docx", "A 44355-2024")</f>
        <v/>
      </c>
      <c r="Y109">
        <f>HYPERLINK("https://klasma.github.io/Logging_1907/tillsynsmail/A 44355-2024 tillsynsbegäran mail.docx", "A 44355-2024")</f>
        <v/>
      </c>
    </row>
    <row r="110" ht="15" customHeight="1">
      <c r="A110" t="inlineStr">
        <is>
          <t>A 45735-2024</t>
        </is>
      </c>
      <c r="B110" s="1" t="n">
        <v>45579</v>
      </c>
      <c r="C110" s="1" t="n">
        <v>45791</v>
      </c>
      <c r="D110" t="inlineStr">
        <is>
          <t>VÄSTMANLANDS LÄN</t>
        </is>
      </c>
      <c r="E110" t="inlineStr">
        <is>
          <t>SURAHAMMAR</t>
        </is>
      </c>
      <c r="F110" t="inlineStr">
        <is>
          <t>Sveaskog</t>
        </is>
      </c>
      <c r="G110" t="n">
        <v>13.5</v>
      </c>
      <c r="H110" t="n">
        <v>1</v>
      </c>
      <c r="I110" t="n">
        <v>0</v>
      </c>
      <c r="J110" t="n">
        <v>0</v>
      </c>
      <c r="K110" t="n">
        <v>0</v>
      </c>
      <c r="L110" t="n">
        <v>0</v>
      </c>
      <c r="M110" t="n">
        <v>0</v>
      </c>
      <c r="N110" t="n">
        <v>0</v>
      </c>
      <c r="O110" t="n">
        <v>0</v>
      </c>
      <c r="P110" t="n">
        <v>0</v>
      </c>
      <c r="Q110" t="n">
        <v>1</v>
      </c>
      <c r="R110" s="2" t="inlineStr">
        <is>
          <t>Revlummer</t>
        </is>
      </c>
      <c r="S110">
        <f>HYPERLINK("https://klasma.github.io/Logging_1907/artfynd/A 45735-2024 artfynd.xlsx", "A 45735-2024")</f>
        <v/>
      </c>
      <c r="T110">
        <f>HYPERLINK("https://klasma.github.io/Logging_1907/kartor/A 45735-2024 karta.png", "A 45735-2024")</f>
        <v/>
      </c>
      <c r="V110">
        <f>HYPERLINK("https://klasma.github.io/Logging_1907/klagomål/A 45735-2024 FSC-klagomål.docx", "A 45735-2024")</f>
        <v/>
      </c>
      <c r="W110">
        <f>HYPERLINK("https://klasma.github.io/Logging_1907/klagomålsmail/A 45735-2024 FSC-klagomål mail.docx", "A 45735-2024")</f>
        <v/>
      </c>
      <c r="X110">
        <f>HYPERLINK("https://klasma.github.io/Logging_1907/tillsyn/A 45735-2024 tillsynsbegäran.docx", "A 45735-2024")</f>
        <v/>
      </c>
      <c r="Y110">
        <f>HYPERLINK("https://klasma.github.io/Logging_1907/tillsynsmail/A 45735-2024 tillsynsbegäran mail.docx", "A 45735-2024")</f>
        <v/>
      </c>
    </row>
    <row r="111" ht="15" customHeight="1">
      <c r="A111" t="inlineStr">
        <is>
          <t>A 47453-2024</t>
        </is>
      </c>
      <c r="B111" s="1" t="n">
        <v>45587</v>
      </c>
      <c r="C111" s="1" t="n">
        <v>45791</v>
      </c>
      <c r="D111" t="inlineStr">
        <is>
          <t>VÄSTMANLANDS LÄN</t>
        </is>
      </c>
      <c r="E111" t="inlineStr">
        <is>
          <t>SURAHAMMAR</t>
        </is>
      </c>
      <c r="G111" t="n">
        <v>5.1</v>
      </c>
      <c r="H111" t="n">
        <v>1</v>
      </c>
      <c r="I111" t="n">
        <v>0</v>
      </c>
      <c r="J111" t="n">
        <v>0</v>
      </c>
      <c r="K111" t="n">
        <v>0</v>
      </c>
      <c r="L111" t="n">
        <v>0</v>
      </c>
      <c r="M111" t="n">
        <v>0</v>
      </c>
      <c r="N111" t="n">
        <v>0</v>
      </c>
      <c r="O111" t="n">
        <v>0</v>
      </c>
      <c r="P111" t="n">
        <v>0</v>
      </c>
      <c r="Q111" t="n">
        <v>1</v>
      </c>
      <c r="R111" s="2" t="inlineStr">
        <is>
          <t>Göktyta</t>
        </is>
      </c>
      <c r="S111">
        <f>HYPERLINK("https://klasma.github.io/Logging_1907/artfynd/A 47453-2024 artfynd.xlsx", "A 47453-2024")</f>
        <v/>
      </c>
      <c r="T111">
        <f>HYPERLINK("https://klasma.github.io/Logging_1907/kartor/A 47453-2024 karta.png", "A 47453-2024")</f>
        <v/>
      </c>
      <c r="V111">
        <f>HYPERLINK("https://klasma.github.io/Logging_1907/klagomål/A 47453-2024 FSC-klagomål.docx", "A 47453-2024")</f>
        <v/>
      </c>
      <c r="W111">
        <f>HYPERLINK("https://klasma.github.io/Logging_1907/klagomålsmail/A 47453-2024 FSC-klagomål mail.docx", "A 47453-2024")</f>
        <v/>
      </c>
      <c r="X111">
        <f>HYPERLINK("https://klasma.github.io/Logging_1907/tillsyn/A 47453-2024 tillsynsbegäran.docx", "A 47453-2024")</f>
        <v/>
      </c>
      <c r="Y111">
        <f>HYPERLINK("https://klasma.github.io/Logging_1907/tillsynsmail/A 47453-2024 tillsynsbegäran mail.docx", "A 47453-2024")</f>
        <v/>
      </c>
      <c r="Z111">
        <f>HYPERLINK("https://klasma.github.io/Logging_1907/fåglar/A 47453-2024 prioriterade fågelarter.docx", "A 47453-2024")</f>
        <v/>
      </c>
    </row>
    <row r="112" ht="15" customHeight="1">
      <c r="A112" t="inlineStr">
        <is>
          <t>A 62097-2024</t>
        </is>
      </c>
      <c r="B112" s="1" t="n">
        <v>45646</v>
      </c>
      <c r="C112" s="1" t="n">
        <v>45791</v>
      </c>
      <c r="D112" t="inlineStr">
        <is>
          <t>VÄSTMANLANDS LÄN</t>
        </is>
      </c>
      <c r="E112" t="inlineStr">
        <is>
          <t>SURAHAMMAR</t>
        </is>
      </c>
      <c r="F112" t="inlineStr">
        <is>
          <t>Bergvik skog väst AB</t>
        </is>
      </c>
      <c r="G112" t="n">
        <v>21.7</v>
      </c>
      <c r="H112" t="n">
        <v>1</v>
      </c>
      <c r="I112" t="n">
        <v>0</v>
      </c>
      <c r="J112" t="n">
        <v>0</v>
      </c>
      <c r="K112" t="n">
        <v>0</v>
      </c>
      <c r="L112" t="n">
        <v>0</v>
      </c>
      <c r="M112" t="n">
        <v>0</v>
      </c>
      <c r="N112" t="n">
        <v>0</v>
      </c>
      <c r="O112" t="n">
        <v>0</v>
      </c>
      <c r="P112" t="n">
        <v>0</v>
      </c>
      <c r="Q112" t="n">
        <v>1</v>
      </c>
      <c r="R112" s="2" t="inlineStr">
        <is>
          <t>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13788-2025</t>
        </is>
      </c>
      <c r="B113" s="1" t="n">
        <v>45737</v>
      </c>
      <c r="C113" s="1" t="n">
        <v>45791</v>
      </c>
      <c r="D113" t="inlineStr">
        <is>
          <t>VÄSTMANLANDS LÄN</t>
        </is>
      </c>
      <c r="E113" t="inlineStr">
        <is>
          <t>SURAHAMMAR</t>
        </is>
      </c>
      <c r="G113" t="n">
        <v>9.699999999999999</v>
      </c>
      <c r="H113" t="n">
        <v>1</v>
      </c>
      <c r="I113" t="n">
        <v>0</v>
      </c>
      <c r="J113" t="n">
        <v>0</v>
      </c>
      <c r="K113" t="n">
        <v>0</v>
      </c>
      <c r="L113" t="n">
        <v>0</v>
      </c>
      <c r="M113" t="n">
        <v>0</v>
      </c>
      <c r="N113" t="n">
        <v>0</v>
      </c>
      <c r="O113" t="n">
        <v>0</v>
      </c>
      <c r="P113" t="n">
        <v>0</v>
      </c>
      <c r="Q113" t="n">
        <v>1</v>
      </c>
      <c r="R113" s="2" t="inlineStr">
        <is>
          <t>Sparvuggla</t>
        </is>
      </c>
      <c r="S113">
        <f>HYPERLINK("https://klasma.github.io/Logging_191907/artfynd/A 13788-2025 artfynd.xlsx", "A 13788-2025")</f>
        <v/>
      </c>
      <c r="T113">
        <f>HYPERLINK("https://klasma.github.io/Logging_191907/kartor/A 13788-2025 karta.png", "A 13788-2025")</f>
        <v/>
      </c>
      <c r="V113">
        <f>HYPERLINK("https://klasma.github.io/Logging_191907/klagomål/A 13788-2025 FSC-klagomål.docx", "A 13788-2025")</f>
        <v/>
      </c>
      <c r="W113">
        <f>HYPERLINK("https://klasma.github.io/Logging_191907/klagomålsmail/A 13788-2025 FSC-klagomål mail.docx", "A 13788-2025")</f>
        <v/>
      </c>
      <c r="X113">
        <f>HYPERLINK("https://klasma.github.io/Logging_191907/tillsyn/A 13788-2025 tillsynsbegäran.docx", "A 13788-2025")</f>
        <v/>
      </c>
      <c r="Y113">
        <f>HYPERLINK("https://klasma.github.io/Logging_191907/tillsynsmail/A 13788-2025 tillsynsbegäran mail.docx", "A 13788-2025")</f>
        <v/>
      </c>
      <c r="Z113">
        <f>HYPERLINK("https://klasma.github.io/Logging_191907/fåglar/A 13788-2025 prioriterade fågelarter.docx", "A 13788-2025")</f>
        <v/>
      </c>
    </row>
    <row r="114" ht="15" customHeight="1">
      <c r="A114" t="inlineStr">
        <is>
          <t>A 21716-2025</t>
        </is>
      </c>
      <c r="B114" s="1" t="n">
        <v>45783</v>
      </c>
      <c r="C114" s="1" t="n">
        <v>45791</v>
      </c>
      <c r="D114" t="inlineStr">
        <is>
          <t>VÄSTMANLANDS LÄN</t>
        </is>
      </c>
      <c r="E114" t="inlineStr">
        <is>
          <t>SURAHAMMAR</t>
        </is>
      </c>
      <c r="F114" t="inlineStr">
        <is>
          <t>Allmännings- och besparingsskogar</t>
        </is>
      </c>
      <c r="G114" t="n">
        <v>21.1</v>
      </c>
      <c r="H114" t="n">
        <v>1</v>
      </c>
      <c r="I114" t="n">
        <v>0</v>
      </c>
      <c r="J114" t="n">
        <v>1</v>
      </c>
      <c r="K114" t="n">
        <v>0</v>
      </c>
      <c r="L114" t="n">
        <v>0</v>
      </c>
      <c r="M114" t="n">
        <v>0</v>
      </c>
      <c r="N114" t="n">
        <v>0</v>
      </c>
      <c r="O114" t="n">
        <v>1</v>
      </c>
      <c r="P114" t="n">
        <v>0</v>
      </c>
      <c r="Q114" t="n">
        <v>1</v>
      </c>
      <c r="R114" s="2" t="inlineStr">
        <is>
          <t>Spillkråka</t>
        </is>
      </c>
      <c r="S114">
        <f>HYPERLINK("https://klasma.github.io/Logging_191907/artfynd/A 21716-2025 artfynd.xlsx", "A 21716-2025")</f>
        <v/>
      </c>
      <c r="T114">
        <f>HYPERLINK("https://klasma.github.io/Logging_191907/kartor/A 21716-2025 karta.png", "A 21716-2025")</f>
        <v/>
      </c>
      <c r="V114">
        <f>HYPERLINK("https://klasma.github.io/Logging_191907/klagomål/A 21716-2025 FSC-klagomål.docx", "A 21716-2025")</f>
        <v/>
      </c>
      <c r="W114">
        <f>HYPERLINK("https://klasma.github.io/Logging_191907/klagomålsmail/A 21716-2025 FSC-klagomål mail.docx", "A 21716-2025")</f>
        <v/>
      </c>
      <c r="X114">
        <f>HYPERLINK("https://klasma.github.io/Logging_191907/tillsyn/A 21716-2025 tillsynsbegäran.docx", "A 21716-2025")</f>
        <v/>
      </c>
      <c r="Y114">
        <f>HYPERLINK("https://klasma.github.io/Logging_191907/tillsynsmail/A 21716-2025 tillsynsbegäran mail.docx", "A 21716-2025")</f>
        <v/>
      </c>
      <c r="Z114">
        <f>HYPERLINK("https://klasma.github.io/Logging_191907/fåglar/A 21716-2025 prioriterade fågelarter.docx", "A 21716-2025")</f>
        <v/>
      </c>
    </row>
    <row r="115" ht="15" customHeight="1">
      <c r="A115" t="inlineStr">
        <is>
          <t>A 17946-2019</t>
        </is>
      </c>
      <c r="B115" s="1" t="n">
        <v>43557</v>
      </c>
      <c r="C115" s="1" t="n">
        <v>45791</v>
      </c>
      <c r="D115" t="inlineStr">
        <is>
          <t>VÄSTMANLANDS LÄN</t>
        </is>
      </c>
      <c r="E115" t="inlineStr">
        <is>
          <t>SURAHAMMAR</t>
        </is>
      </c>
      <c r="G115" t="n">
        <v>9.9</v>
      </c>
      <c r="H115" t="n">
        <v>0</v>
      </c>
      <c r="I115" t="n">
        <v>0</v>
      </c>
      <c r="J115" t="n">
        <v>0</v>
      </c>
      <c r="K115" t="n">
        <v>0</v>
      </c>
      <c r="L115" t="n">
        <v>0</v>
      </c>
      <c r="M115" t="n">
        <v>0</v>
      </c>
      <c r="N115" t="n">
        <v>0</v>
      </c>
      <c r="O115" t="n">
        <v>0</v>
      </c>
      <c r="P115" t="n">
        <v>0</v>
      </c>
      <c r="Q115" t="n">
        <v>0</v>
      </c>
      <c r="R115" s="2" t="inlineStr"/>
    </row>
    <row r="116" ht="15" customHeight="1">
      <c r="A116" t="inlineStr">
        <is>
          <t>A 18953-2019</t>
        </is>
      </c>
      <c r="B116" s="1" t="n">
        <v>43563</v>
      </c>
      <c r="C116" s="1" t="n">
        <v>45791</v>
      </c>
      <c r="D116" t="inlineStr">
        <is>
          <t>VÄSTMANLANDS LÄN</t>
        </is>
      </c>
      <c r="E116" t="inlineStr">
        <is>
          <t>SURAHAMMAR</t>
        </is>
      </c>
      <c r="F116" t="inlineStr">
        <is>
          <t>Övriga Aktiebolag</t>
        </is>
      </c>
      <c r="G116" t="n">
        <v>2.2</v>
      </c>
      <c r="H116" t="n">
        <v>0</v>
      </c>
      <c r="I116" t="n">
        <v>0</v>
      </c>
      <c r="J116" t="n">
        <v>0</v>
      </c>
      <c r="K116" t="n">
        <v>0</v>
      </c>
      <c r="L116" t="n">
        <v>0</v>
      </c>
      <c r="M116" t="n">
        <v>0</v>
      </c>
      <c r="N116" t="n">
        <v>0</v>
      </c>
      <c r="O116" t="n">
        <v>0</v>
      </c>
      <c r="P116" t="n">
        <v>0</v>
      </c>
      <c r="Q116" t="n">
        <v>0</v>
      </c>
      <c r="R116" s="2" t="inlineStr"/>
    </row>
    <row r="117" ht="15" customHeight="1">
      <c r="A117" t="inlineStr">
        <is>
          <t>A 18960-2019</t>
        </is>
      </c>
      <c r="B117" s="1" t="n">
        <v>43563</v>
      </c>
      <c r="C117" s="1" t="n">
        <v>45791</v>
      </c>
      <c r="D117" t="inlineStr">
        <is>
          <t>VÄSTMANLANDS LÄN</t>
        </is>
      </c>
      <c r="E117" t="inlineStr">
        <is>
          <t>SURAHAMMAR</t>
        </is>
      </c>
      <c r="F117" t="inlineStr">
        <is>
          <t>Övriga Aktiebolag</t>
        </is>
      </c>
      <c r="G117" t="n">
        <v>4.1</v>
      </c>
      <c r="H117" t="n">
        <v>0</v>
      </c>
      <c r="I117" t="n">
        <v>0</v>
      </c>
      <c r="J117" t="n">
        <v>0</v>
      </c>
      <c r="K117" t="n">
        <v>0</v>
      </c>
      <c r="L117" t="n">
        <v>0</v>
      </c>
      <c r="M117" t="n">
        <v>0</v>
      </c>
      <c r="N117" t="n">
        <v>0</v>
      </c>
      <c r="O117" t="n">
        <v>0</v>
      </c>
      <c r="P117" t="n">
        <v>0</v>
      </c>
      <c r="Q117" t="n">
        <v>0</v>
      </c>
      <c r="R117" s="2" t="inlineStr"/>
    </row>
    <row r="118" ht="15" customHeight="1">
      <c r="A118" t="inlineStr">
        <is>
          <t>A 19659-2019</t>
        </is>
      </c>
      <c r="B118" s="1" t="n">
        <v>43566</v>
      </c>
      <c r="C118" s="1" t="n">
        <v>45791</v>
      </c>
      <c r="D118" t="inlineStr">
        <is>
          <t>VÄSTMANLANDS LÄN</t>
        </is>
      </c>
      <c r="E118" t="inlineStr">
        <is>
          <t>SURAHAMMAR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20127-2019</t>
        </is>
      </c>
      <c r="B119" s="1" t="n">
        <v>43570</v>
      </c>
      <c r="C119" s="1" t="n">
        <v>45791</v>
      </c>
      <c r="D119" t="inlineStr">
        <is>
          <t>VÄSTMANLANDS LÄN</t>
        </is>
      </c>
      <c r="E119" t="inlineStr">
        <is>
          <t>SURAHAMMAR</t>
        </is>
      </c>
      <c r="G119" t="n">
        <v>2.6</v>
      </c>
      <c r="H119" t="n">
        <v>0</v>
      </c>
      <c r="I119" t="n">
        <v>0</v>
      </c>
      <c r="J119" t="n">
        <v>0</v>
      </c>
      <c r="K119" t="n">
        <v>0</v>
      </c>
      <c r="L119" t="n">
        <v>0</v>
      </c>
      <c r="M119" t="n">
        <v>0</v>
      </c>
      <c r="N119" t="n">
        <v>0</v>
      </c>
      <c r="O119" t="n">
        <v>0</v>
      </c>
      <c r="P119" t="n">
        <v>0</v>
      </c>
      <c r="Q119" t="n">
        <v>0</v>
      </c>
      <c r="R119" s="2" t="inlineStr"/>
    </row>
    <row r="120" ht="15" customHeight="1">
      <c r="A120" t="inlineStr">
        <is>
          <t>A 20904-2019</t>
        </is>
      </c>
      <c r="B120" s="1" t="n">
        <v>43578</v>
      </c>
      <c r="C120" s="1" t="n">
        <v>45791</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22834-2019</t>
        </is>
      </c>
      <c r="B121" s="1" t="n">
        <v>43591</v>
      </c>
      <c r="C121" s="1" t="n">
        <v>45791</v>
      </c>
      <c r="D121" t="inlineStr">
        <is>
          <t>VÄSTMANLANDS LÄN</t>
        </is>
      </c>
      <c r="E121" t="inlineStr">
        <is>
          <t>SURAHAMMAR</t>
        </is>
      </c>
      <c r="F121" t="inlineStr">
        <is>
          <t>Sveaskog</t>
        </is>
      </c>
      <c r="G121" t="n">
        <v>0.2</v>
      </c>
      <c r="H121" t="n">
        <v>0</v>
      </c>
      <c r="I121" t="n">
        <v>0</v>
      </c>
      <c r="J121" t="n">
        <v>0</v>
      </c>
      <c r="K121" t="n">
        <v>0</v>
      </c>
      <c r="L121" t="n">
        <v>0</v>
      </c>
      <c r="M121" t="n">
        <v>0</v>
      </c>
      <c r="N121" t="n">
        <v>0</v>
      </c>
      <c r="O121" t="n">
        <v>0</v>
      </c>
      <c r="P121" t="n">
        <v>0</v>
      </c>
      <c r="Q121" t="n">
        <v>0</v>
      </c>
      <c r="R121" s="2" t="inlineStr"/>
    </row>
    <row r="122" ht="15" customHeight="1">
      <c r="A122" t="inlineStr">
        <is>
          <t>A 28274-2019</t>
        </is>
      </c>
      <c r="B122" s="1" t="n">
        <v>43623</v>
      </c>
      <c r="C122" s="1" t="n">
        <v>45791</v>
      </c>
      <c r="D122" t="inlineStr">
        <is>
          <t>VÄSTMANLANDS LÄN</t>
        </is>
      </c>
      <c r="E122" t="inlineStr">
        <is>
          <t>SURAHAMMAR</t>
        </is>
      </c>
      <c r="F122" t="inlineStr">
        <is>
          <t>Allmännings- och besparingsskogar</t>
        </is>
      </c>
      <c r="G122" t="n">
        <v>0.7</v>
      </c>
      <c r="H122" t="n">
        <v>0</v>
      </c>
      <c r="I122" t="n">
        <v>0</v>
      </c>
      <c r="J122" t="n">
        <v>0</v>
      </c>
      <c r="K122" t="n">
        <v>0</v>
      </c>
      <c r="L122" t="n">
        <v>0</v>
      </c>
      <c r="M122" t="n">
        <v>0</v>
      </c>
      <c r="N122" t="n">
        <v>0</v>
      </c>
      <c r="O122" t="n">
        <v>0</v>
      </c>
      <c r="P122" t="n">
        <v>0</v>
      </c>
      <c r="Q122" t="n">
        <v>0</v>
      </c>
      <c r="R122" s="2" t="inlineStr"/>
    </row>
    <row r="123" ht="15" customHeight="1">
      <c r="A123" t="inlineStr">
        <is>
          <t>A 29523-2019</t>
        </is>
      </c>
      <c r="B123" s="1" t="n">
        <v>43630</v>
      </c>
      <c r="C123" s="1" t="n">
        <v>45791</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31008-2019</t>
        </is>
      </c>
      <c r="B124" s="1" t="n">
        <v>43640</v>
      </c>
      <c r="C124" s="1" t="n">
        <v>45791</v>
      </c>
      <c r="D124" t="inlineStr">
        <is>
          <t>VÄSTMANLANDS LÄN</t>
        </is>
      </c>
      <c r="E124" t="inlineStr">
        <is>
          <t>SURAHAMMAR</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39552-2019</t>
        </is>
      </c>
      <c r="B125" s="1" t="n">
        <v>43691</v>
      </c>
      <c r="C125" s="1" t="n">
        <v>45791</v>
      </c>
      <c r="D125" t="inlineStr">
        <is>
          <t>VÄSTMANLANDS LÄN</t>
        </is>
      </c>
      <c r="E125" t="inlineStr">
        <is>
          <t>SURAHAMMAR</t>
        </is>
      </c>
      <c r="F125" t="inlineStr">
        <is>
          <t>Övriga Aktiebolag</t>
        </is>
      </c>
      <c r="G125" t="n">
        <v>4.4</v>
      </c>
      <c r="H125" t="n">
        <v>0</v>
      </c>
      <c r="I125" t="n">
        <v>0</v>
      </c>
      <c r="J125" t="n">
        <v>0</v>
      </c>
      <c r="K125" t="n">
        <v>0</v>
      </c>
      <c r="L125" t="n">
        <v>0</v>
      </c>
      <c r="M125" t="n">
        <v>0</v>
      </c>
      <c r="N125" t="n">
        <v>0</v>
      </c>
      <c r="O125" t="n">
        <v>0</v>
      </c>
      <c r="P125" t="n">
        <v>0</v>
      </c>
      <c r="Q125" t="n">
        <v>0</v>
      </c>
      <c r="R125" s="2" t="inlineStr"/>
    </row>
    <row r="126" ht="15" customHeight="1">
      <c r="A126" t="inlineStr">
        <is>
          <t>A 39754-2019</t>
        </is>
      </c>
      <c r="B126" s="1" t="n">
        <v>43692</v>
      </c>
      <c r="C126" s="1" t="n">
        <v>45791</v>
      </c>
      <c r="D126" t="inlineStr">
        <is>
          <t>VÄSTMANLANDS LÄN</t>
        </is>
      </c>
      <c r="E126" t="inlineStr">
        <is>
          <t>SURAHAMMAR</t>
        </is>
      </c>
      <c r="F126" t="inlineStr">
        <is>
          <t>Övriga Aktiebolag</t>
        </is>
      </c>
      <c r="G126" t="n">
        <v>5.7</v>
      </c>
      <c r="H126" t="n">
        <v>0</v>
      </c>
      <c r="I126" t="n">
        <v>0</v>
      </c>
      <c r="J126" t="n">
        <v>0</v>
      </c>
      <c r="K126" t="n">
        <v>0</v>
      </c>
      <c r="L126" t="n">
        <v>0</v>
      </c>
      <c r="M126" t="n">
        <v>0</v>
      </c>
      <c r="N126" t="n">
        <v>0</v>
      </c>
      <c r="O126" t="n">
        <v>0</v>
      </c>
      <c r="P126" t="n">
        <v>0</v>
      </c>
      <c r="Q126" t="n">
        <v>0</v>
      </c>
      <c r="R126" s="2" t="inlineStr"/>
    </row>
    <row r="127" ht="15" customHeight="1">
      <c r="A127" t="inlineStr">
        <is>
          <t>A 40191-2019</t>
        </is>
      </c>
      <c r="B127" s="1" t="n">
        <v>43693</v>
      </c>
      <c r="C127" s="1" t="n">
        <v>45791</v>
      </c>
      <c r="D127" t="inlineStr">
        <is>
          <t>VÄSTMANLANDS LÄN</t>
        </is>
      </c>
      <c r="E127" t="inlineStr">
        <is>
          <t>SURAHAMMAR</t>
        </is>
      </c>
      <c r="F127" t="inlineStr">
        <is>
          <t>Bergvik skog väst AB</t>
        </is>
      </c>
      <c r="G127" t="n">
        <v>3.5</v>
      </c>
      <c r="H127" t="n">
        <v>0</v>
      </c>
      <c r="I127" t="n">
        <v>0</v>
      </c>
      <c r="J127" t="n">
        <v>0</v>
      </c>
      <c r="K127" t="n">
        <v>0</v>
      </c>
      <c r="L127" t="n">
        <v>0</v>
      </c>
      <c r="M127" t="n">
        <v>0</v>
      </c>
      <c r="N127" t="n">
        <v>0</v>
      </c>
      <c r="O127" t="n">
        <v>0</v>
      </c>
      <c r="P127" t="n">
        <v>0</v>
      </c>
      <c r="Q127" t="n">
        <v>0</v>
      </c>
      <c r="R127" s="2" t="inlineStr"/>
    </row>
    <row r="128" ht="15" customHeight="1">
      <c r="A128" t="inlineStr">
        <is>
          <t>A 60343-2019</t>
        </is>
      </c>
      <c r="B128" s="1" t="n">
        <v>43780</v>
      </c>
      <c r="C128" s="1" t="n">
        <v>45791</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64772-2019</t>
        </is>
      </c>
      <c r="B129" s="1" t="n">
        <v>43801</v>
      </c>
      <c r="C129" s="1" t="n">
        <v>45791</v>
      </c>
      <c r="D129" t="inlineStr">
        <is>
          <t>VÄSTMANLANDS LÄN</t>
        </is>
      </c>
      <c r="E129" t="inlineStr">
        <is>
          <t>SURAHAMMAR</t>
        </is>
      </c>
      <c r="F129" t="inlineStr">
        <is>
          <t>Övriga Aktiebolag</t>
        </is>
      </c>
      <c r="G129" t="n">
        <v>7</v>
      </c>
      <c r="H129" t="n">
        <v>0</v>
      </c>
      <c r="I129" t="n">
        <v>0</v>
      </c>
      <c r="J129" t="n">
        <v>0</v>
      </c>
      <c r="K129" t="n">
        <v>0</v>
      </c>
      <c r="L129" t="n">
        <v>0</v>
      </c>
      <c r="M129" t="n">
        <v>0</v>
      </c>
      <c r="N129" t="n">
        <v>0</v>
      </c>
      <c r="O129" t="n">
        <v>0</v>
      </c>
      <c r="P129" t="n">
        <v>0</v>
      </c>
      <c r="Q129" t="n">
        <v>0</v>
      </c>
      <c r="R129" s="2" t="inlineStr"/>
    </row>
    <row r="130" ht="15" customHeight="1">
      <c r="A130" t="inlineStr">
        <is>
          <t>A 66269-2019</t>
        </is>
      </c>
      <c r="B130" s="1" t="n">
        <v>43802</v>
      </c>
      <c r="C130" s="1" t="n">
        <v>45791</v>
      </c>
      <c r="D130" t="inlineStr">
        <is>
          <t>VÄSTMANLANDS LÄN</t>
        </is>
      </c>
      <c r="E130" t="inlineStr">
        <is>
          <t>SURAHAMMAR</t>
        </is>
      </c>
      <c r="G130" t="n">
        <v>0.9</v>
      </c>
      <c r="H130" t="n">
        <v>0</v>
      </c>
      <c r="I130" t="n">
        <v>0</v>
      </c>
      <c r="J130" t="n">
        <v>0</v>
      </c>
      <c r="K130" t="n">
        <v>0</v>
      </c>
      <c r="L130" t="n">
        <v>0</v>
      </c>
      <c r="M130" t="n">
        <v>0</v>
      </c>
      <c r="N130" t="n">
        <v>0</v>
      </c>
      <c r="O130" t="n">
        <v>0</v>
      </c>
      <c r="P130" t="n">
        <v>0</v>
      </c>
      <c r="Q130" t="n">
        <v>0</v>
      </c>
      <c r="R130" s="2" t="inlineStr"/>
    </row>
    <row r="131" ht="15" customHeight="1">
      <c r="A131" t="inlineStr">
        <is>
          <t>A 65619-2019</t>
        </is>
      </c>
      <c r="B131" s="1" t="n">
        <v>43804</v>
      </c>
      <c r="C131" s="1" t="n">
        <v>45791</v>
      </c>
      <c r="D131" t="inlineStr">
        <is>
          <t>VÄSTMANLANDS LÄN</t>
        </is>
      </c>
      <c r="E131" t="inlineStr">
        <is>
          <t>SURAHAMMAR</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2039-2020</t>
        </is>
      </c>
      <c r="B132" s="1" t="n">
        <v>43839</v>
      </c>
      <c r="C132" s="1" t="n">
        <v>45791</v>
      </c>
      <c r="D132" t="inlineStr">
        <is>
          <t>VÄSTMANLANDS LÄN</t>
        </is>
      </c>
      <c r="E132" t="inlineStr">
        <is>
          <t>SURAHAMMAR</t>
        </is>
      </c>
      <c r="G132" t="n">
        <v>1</v>
      </c>
      <c r="H132" t="n">
        <v>0</v>
      </c>
      <c r="I132" t="n">
        <v>0</v>
      </c>
      <c r="J132" t="n">
        <v>0</v>
      </c>
      <c r="K132" t="n">
        <v>0</v>
      </c>
      <c r="L132" t="n">
        <v>0</v>
      </c>
      <c r="M132" t="n">
        <v>0</v>
      </c>
      <c r="N132" t="n">
        <v>0</v>
      </c>
      <c r="O132" t="n">
        <v>0</v>
      </c>
      <c r="P132" t="n">
        <v>0</v>
      </c>
      <c r="Q132" t="n">
        <v>0</v>
      </c>
      <c r="R132" s="2" t="inlineStr"/>
    </row>
    <row r="133" ht="15" customHeight="1">
      <c r="A133" t="inlineStr">
        <is>
          <t>A 5804-2020</t>
        </is>
      </c>
      <c r="B133" s="1" t="n">
        <v>43864</v>
      </c>
      <c r="C133" s="1" t="n">
        <v>45791</v>
      </c>
      <c r="D133" t="inlineStr">
        <is>
          <t>VÄSTMANLANDS LÄN</t>
        </is>
      </c>
      <c r="E133" t="inlineStr">
        <is>
          <t>SURAHAMMAR</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8608-2020</t>
        </is>
      </c>
      <c r="B134" s="1" t="n">
        <v>43878</v>
      </c>
      <c r="C134" s="1" t="n">
        <v>45791</v>
      </c>
      <c r="D134" t="inlineStr">
        <is>
          <t>VÄSTMANLANDS LÄN</t>
        </is>
      </c>
      <c r="E134" t="inlineStr">
        <is>
          <t>SURAHAMMAR</t>
        </is>
      </c>
      <c r="F134" t="inlineStr">
        <is>
          <t>Övriga Aktiebolag</t>
        </is>
      </c>
      <c r="G134" t="n">
        <v>20.2</v>
      </c>
      <c r="H134" t="n">
        <v>0</v>
      </c>
      <c r="I134" t="n">
        <v>0</v>
      </c>
      <c r="J134" t="n">
        <v>0</v>
      </c>
      <c r="K134" t="n">
        <v>0</v>
      </c>
      <c r="L134" t="n">
        <v>0</v>
      </c>
      <c r="M134" t="n">
        <v>0</v>
      </c>
      <c r="N134" t="n">
        <v>0</v>
      </c>
      <c r="O134" t="n">
        <v>0</v>
      </c>
      <c r="P134" t="n">
        <v>0</v>
      </c>
      <c r="Q134" t="n">
        <v>0</v>
      </c>
      <c r="R134" s="2" t="inlineStr"/>
    </row>
    <row r="135" ht="15" customHeight="1">
      <c r="A135" t="inlineStr">
        <is>
          <t>A 40660-2020</t>
        </is>
      </c>
      <c r="B135" s="1" t="n">
        <v>44069</v>
      </c>
      <c r="C135" s="1" t="n">
        <v>45791</v>
      </c>
      <c r="D135" t="inlineStr">
        <is>
          <t>VÄSTMANLANDS LÄN</t>
        </is>
      </c>
      <c r="E135" t="inlineStr">
        <is>
          <t>SURAHAMMAR</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43171-2020</t>
        </is>
      </c>
      <c r="B136" s="1" t="n">
        <v>44081</v>
      </c>
      <c r="C136" s="1" t="n">
        <v>45791</v>
      </c>
      <c r="D136" t="inlineStr">
        <is>
          <t>VÄSTMANLANDS LÄN</t>
        </is>
      </c>
      <c r="E136" t="inlineStr">
        <is>
          <t>SURAHAMMAR</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43174-2020</t>
        </is>
      </c>
      <c r="B137" s="1" t="n">
        <v>44081</v>
      </c>
      <c r="C137" s="1" t="n">
        <v>45791</v>
      </c>
      <c r="D137" t="inlineStr">
        <is>
          <t>VÄSTMANLANDS LÄN</t>
        </is>
      </c>
      <c r="E137" t="inlineStr">
        <is>
          <t>SURAHAMMAR</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43177-2020</t>
        </is>
      </c>
      <c r="B138" s="1" t="n">
        <v>44081</v>
      </c>
      <c r="C138" s="1" t="n">
        <v>45791</v>
      </c>
      <c r="D138" t="inlineStr">
        <is>
          <t>VÄSTMANLANDS LÄN</t>
        </is>
      </c>
      <c r="E138" t="inlineStr">
        <is>
          <t>SURAHAMMAR</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43590-2020</t>
        </is>
      </c>
      <c r="B139" s="1" t="n">
        <v>44082</v>
      </c>
      <c r="C139" s="1" t="n">
        <v>45791</v>
      </c>
      <c r="D139" t="inlineStr">
        <is>
          <t>VÄSTMANLANDS LÄN</t>
        </is>
      </c>
      <c r="E139" t="inlineStr">
        <is>
          <t>SURAHAMMAR</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47997-2020</t>
        </is>
      </c>
      <c r="B140" s="1" t="n">
        <v>44099</v>
      </c>
      <c r="C140" s="1" t="n">
        <v>45791</v>
      </c>
      <c r="D140" t="inlineStr">
        <is>
          <t>VÄSTMANLANDS LÄN</t>
        </is>
      </c>
      <c r="E140" t="inlineStr">
        <is>
          <t>SURAHAMMAR</t>
        </is>
      </c>
      <c r="G140" t="n">
        <v>4.8</v>
      </c>
      <c r="H140" t="n">
        <v>0</v>
      </c>
      <c r="I140" t="n">
        <v>0</v>
      </c>
      <c r="J140" t="n">
        <v>0</v>
      </c>
      <c r="K140" t="n">
        <v>0</v>
      </c>
      <c r="L140" t="n">
        <v>0</v>
      </c>
      <c r="M140" t="n">
        <v>0</v>
      </c>
      <c r="N140" t="n">
        <v>0</v>
      </c>
      <c r="O140" t="n">
        <v>0</v>
      </c>
      <c r="P140" t="n">
        <v>0</v>
      </c>
      <c r="Q140" t="n">
        <v>0</v>
      </c>
      <c r="R140" s="2" t="inlineStr"/>
    </row>
    <row r="141" ht="15" customHeight="1">
      <c r="A141" t="inlineStr">
        <is>
          <t>A 52076-2020</t>
        </is>
      </c>
      <c r="B141" s="1" t="n">
        <v>44117</v>
      </c>
      <c r="C141" s="1" t="n">
        <v>45791</v>
      </c>
      <c r="D141" t="inlineStr">
        <is>
          <t>VÄSTMANLANDS LÄN</t>
        </is>
      </c>
      <c r="E141" t="inlineStr">
        <is>
          <t>SURAHAMMAR</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52074-2020</t>
        </is>
      </c>
      <c r="B142" s="1" t="n">
        <v>44117</v>
      </c>
      <c r="C142" s="1" t="n">
        <v>45791</v>
      </c>
      <c r="D142" t="inlineStr">
        <is>
          <t>VÄSTMANLANDS LÄN</t>
        </is>
      </c>
      <c r="E142" t="inlineStr">
        <is>
          <t>SURAHAMMAR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54962-2020</t>
        </is>
      </c>
      <c r="B143" s="1" t="n">
        <v>44130</v>
      </c>
      <c r="C143" s="1" t="n">
        <v>45791</v>
      </c>
      <c r="D143" t="inlineStr">
        <is>
          <t>VÄSTMANLANDS LÄN</t>
        </is>
      </c>
      <c r="E143" t="inlineStr">
        <is>
          <t>SURAHAMMAR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55397-2020</t>
        </is>
      </c>
      <c r="B144" s="1" t="n">
        <v>44131</v>
      </c>
      <c r="C144" s="1" t="n">
        <v>45791</v>
      </c>
      <c r="D144" t="inlineStr">
        <is>
          <t>VÄSTMANLANDS LÄN</t>
        </is>
      </c>
      <c r="E144" t="inlineStr">
        <is>
          <t>SURAHAMMAR</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59543-2020</t>
        </is>
      </c>
      <c r="B145" s="1" t="n">
        <v>44148</v>
      </c>
      <c r="C145" s="1" t="n">
        <v>45791</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59740-2020</t>
        </is>
      </c>
      <c r="B146" s="1" t="n">
        <v>44151</v>
      </c>
      <c r="C146" s="1" t="n">
        <v>45791</v>
      </c>
      <c r="D146" t="inlineStr">
        <is>
          <t>VÄSTMANLANDS LÄN</t>
        </is>
      </c>
      <c r="E146" t="inlineStr">
        <is>
          <t>SURAHAMMAR</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59727-2020</t>
        </is>
      </c>
      <c r="B147" s="1" t="n">
        <v>44151</v>
      </c>
      <c r="C147" s="1" t="n">
        <v>45791</v>
      </c>
      <c r="D147" t="inlineStr">
        <is>
          <t>VÄSTMANLANDS LÄN</t>
        </is>
      </c>
      <c r="E147" t="inlineStr">
        <is>
          <t>SURAHAMMAR</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1492-2021</t>
        </is>
      </c>
      <c r="B148" s="1" t="n">
        <v>44209</v>
      </c>
      <c r="C148" s="1" t="n">
        <v>45791</v>
      </c>
      <c r="D148" t="inlineStr">
        <is>
          <t>VÄSTMANLANDS LÄN</t>
        </is>
      </c>
      <c r="E148" t="inlineStr">
        <is>
          <t>SURAHAMMAR</t>
        </is>
      </c>
      <c r="G148" t="n">
        <v>1.2</v>
      </c>
      <c r="H148" t="n">
        <v>0</v>
      </c>
      <c r="I148" t="n">
        <v>0</v>
      </c>
      <c r="J148" t="n">
        <v>0</v>
      </c>
      <c r="K148" t="n">
        <v>0</v>
      </c>
      <c r="L148" t="n">
        <v>0</v>
      </c>
      <c r="M148" t="n">
        <v>0</v>
      </c>
      <c r="N148" t="n">
        <v>0</v>
      </c>
      <c r="O148" t="n">
        <v>0</v>
      </c>
      <c r="P148" t="n">
        <v>0</v>
      </c>
      <c r="Q148" t="n">
        <v>0</v>
      </c>
      <c r="R148" s="2" t="inlineStr"/>
    </row>
    <row r="149" ht="15" customHeight="1">
      <c r="A149" t="inlineStr">
        <is>
          <t>A 18723-2021</t>
        </is>
      </c>
      <c r="B149" s="1" t="n">
        <v>44306</v>
      </c>
      <c r="C149" s="1" t="n">
        <v>45791</v>
      </c>
      <c r="D149" t="inlineStr">
        <is>
          <t>VÄSTMANLANDS LÄN</t>
        </is>
      </c>
      <c r="E149" t="inlineStr">
        <is>
          <t>SURAHAMMAR</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20478-2021</t>
        </is>
      </c>
      <c r="B150" s="1" t="n">
        <v>44315</v>
      </c>
      <c r="C150" s="1" t="n">
        <v>45791</v>
      </c>
      <c r="D150" t="inlineStr">
        <is>
          <t>VÄSTMANLANDS LÄN</t>
        </is>
      </c>
      <c r="E150" t="inlineStr">
        <is>
          <t>SURAHAMMAR</t>
        </is>
      </c>
      <c r="F150" t="inlineStr">
        <is>
          <t>Sveaskog</t>
        </is>
      </c>
      <c r="G150" t="n">
        <v>6.2</v>
      </c>
      <c r="H150" t="n">
        <v>0</v>
      </c>
      <c r="I150" t="n">
        <v>0</v>
      </c>
      <c r="J150" t="n">
        <v>0</v>
      </c>
      <c r="K150" t="n">
        <v>0</v>
      </c>
      <c r="L150" t="n">
        <v>0</v>
      </c>
      <c r="M150" t="n">
        <v>0</v>
      </c>
      <c r="N150" t="n">
        <v>0</v>
      </c>
      <c r="O150" t="n">
        <v>0</v>
      </c>
      <c r="P150" t="n">
        <v>0</v>
      </c>
      <c r="Q150" t="n">
        <v>0</v>
      </c>
      <c r="R150" s="2" t="inlineStr"/>
    </row>
    <row r="151" ht="15" customHeight="1">
      <c r="A151" t="inlineStr">
        <is>
          <t>A 21839-2021</t>
        </is>
      </c>
      <c r="B151" s="1" t="n">
        <v>44322</v>
      </c>
      <c r="C151" s="1" t="n">
        <v>45791</v>
      </c>
      <c r="D151" t="inlineStr">
        <is>
          <t>VÄSTMANLANDS LÄN</t>
        </is>
      </c>
      <c r="E151" t="inlineStr">
        <is>
          <t>SURAHAMMAR</t>
        </is>
      </c>
      <c r="G151" t="n">
        <v>1.6</v>
      </c>
      <c r="H151" t="n">
        <v>0</v>
      </c>
      <c r="I151" t="n">
        <v>0</v>
      </c>
      <c r="J151" t="n">
        <v>0</v>
      </c>
      <c r="K151" t="n">
        <v>0</v>
      </c>
      <c r="L151" t="n">
        <v>0</v>
      </c>
      <c r="M151" t="n">
        <v>0</v>
      </c>
      <c r="N151" t="n">
        <v>0</v>
      </c>
      <c r="O151" t="n">
        <v>0</v>
      </c>
      <c r="P151" t="n">
        <v>0</v>
      </c>
      <c r="Q151" t="n">
        <v>0</v>
      </c>
      <c r="R151" s="2" t="inlineStr"/>
    </row>
    <row r="152" ht="15" customHeight="1">
      <c r="A152" t="inlineStr">
        <is>
          <t>A 24804-2021</t>
        </is>
      </c>
      <c r="B152" s="1" t="n">
        <v>44340</v>
      </c>
      <c r="C152" s="1" t="n">
        <v>45791</v>
      </c>
      <c r="D152" t="inlineStr">
        <is>
          <t>VÄSTMANLANDS LÄN</t>
        </is>
      </c>
      <c r="E152" t="inlineStr">
        <is>
          <t>SURAHAMMAR</t>
        </is>
      </c>
      <c r="F152" t="inlineStr">
        <is>
          <t>Bergvik skog väst AB</t>
        </is>
      </c>
      <c r="G152" t="n">
        <v>1.6</v>
      </c>
      <c r="H152" t="n">
        <v>0</v>
      </c>
      <c r="I152" t="n">
        <v>0</v>
      </c>
      <c r="J152" t="n">
        <v>0</v>
      </c>
      <c r="K152" t="n">
        <v>0</v>
      </c>
      <c r="L152" t="n">
        <v>0</v>
      </c>
      <c r="M152" t="n">
        <v>0</v>
      </c>
      <c r="N152" t="n">
        <v>0</v>
      </c>
      <c r="O152" t="n">
        <v>0</v>
      </c>
      <c r="P152" t="n">
        <v>0</v>
      </c>
      <c r="Q152" t="n">
        <v>0</v>
      </c>
      <c r="R152" s="2" t="inlineStr"/>
    </row>
    <row r="153" ht="15" customHeight="1">
      <c r="A153" t="inlineStr">
        <is>
          <t>A 31468-2021</t>
        </is>
      </c>
      <c r="B153" s="1" t="n">
        <v>44369</v>
      </c>
      <c r="C153" s="1" t="n">
        <v>45791</v>
      </c>
      <c r="D153" t="inlineStr">
        <is>
          <t>VÄSTMANLANDS LÄN</t>
        </is>
      </c>
      <c r="E153" t="inlineStr">
        <is>
          <t>SURAHAMMAR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33998-2021</t>
        </is>
      </c>
      <c r="B154" s="1" t="n">
        <v>44378</v>
      </c>
      <c r="C154" s="1" t="n">
        <v>45791</v>
      </c>
      <c r="D154" t="inlineStr">
        <is>
          <t>VÄSTMANLANDS LÄN</t>
        </is>
      </c>
      <c r="E154" t="inlineStr">
        <is>
          <t>SURAHAMMAR</t>
        </is>
      </c>
      <c r="F154" t="inlineStr">
        <is>
          <t>Bergvik skog väst AB</t>
        </is>
      </c>
      <c r="G154" t="n">
        <v>3.2</v>
      </c>
      <c r="H154" t="n">
        <v>0</v>
      </c>
      <c r="I154" t="n">
        <v>0</v>
      </c>
      <c r="J154" t="n">
        <v>0</v>
      </c>
      <c r="K154" t="n">
        <v>0</v>
      </c>
      <c r="L154" t="n">
        <v>0</v>
      </c>
      <c r="M154" t="n">
        <v>0</v>
      </c>
      <c r="N154" t="n">
        <v>0</v>
      </c>
      <c r="O154" t="n">
        <v>0</v>
      </c>
      <c r="P154" t="n">
        <v>0</v>
      </c>
      <c r="Q154" t="n">
        <v>0</v>
      </c>
      <c r="R154" s="2" t="inlineStr"/>
    </row>
    <row r="155" ht="15" customHeight="1">
      <c r="A155" t="inlineStr">
        <is>
          <t>A 34001-2021</t>
        </is>
      </c>
      <c r="B155" s="1" t="n">
        <v>44378</v>
      </c>
      <c r="C155" s="1" t="n">
        <v>45791</v>
      </c>
      <c r="D155" t="inlineStr">
        <is>
          <t>VÄSTMANLANDS LÄN</t>
        </is>
      </c>
      <c r="E155" t="inlineStr">
        <is>
          <t>SURAHAMMAR</t>
        </is>
      </c>
      <c r="F155" t="inlineStr">
        <is>
          <t>Bergvik skog väst AB</t>
        </is>
      </c>
      <c r="G155" t="n">
        <v>1.9</v>
      </c>
      <c r="H155" t="n">
        <v>0</v>
      </c>
      <c r="I155" t="n">
        <v>0</v>
      </c>
      <c r="J155" t="n">
        <v>0</v>
      </c>
      <c r="K155" t="n">
        <v>0</v>
      </c>
      <c r="L155" t="n">
        <v>0</v>
      </c>
      <c r="M155" t="n">
        <v>0</v>
      </c>
      <c r="N155" t="n">
        <v>0</v>
      </c>
      <c r="O155" t="n">
        <v>0</v>
      </c>
      <c r="P155" t="n">
        <v>0</v>
      </c>
      <c r="Q155" t="n">
        <v>0</v>
      </c>
      <c r="R155" s="2" t="inlineStr"/>
    </row>
    <row r="156" ht="15" customHeight="1">
      <c r="A156" t="inlineStr">
        <is>
          <t>A 37798-2021</t>
        </is>
      </c>
      <c r="B156" s="1" t="n">
        <v>44402</v>
      </c>
      <c r="C156" s="1" t="n">
        <v>45791</v>
      </c>
      <c r="D156" t="inlineStr">
        <is>
          <t>VÄSTMANLANDS LÄN</t>
        </is>
      </c>
      <c r="E156" t="inlineStr">
        <is>
          <t>SURAHAMMAR</t>
        </is>
      </c>
      <c r="F156" t="inlineStr">
        <is>
          <t>Kommuner</t>
        </is>
      </c>
      <c r="G156" t="n">
        <v>1.2</v>
      </c>
      <c r="H156" t="n">
        <v>0</v>
      </c>
      <c r="I156" t="n">
        <v>0</v>
      </c>
      <c r="J156" t="n">
        <v>0</v>
      </c>
      <c r="K156" t="n">
        <v>0</v>
      </c>
      <c r="L156" t="n">
        <v>0</v>
      </c>
      <c r="M156" t="n">
        <v>0</v>
      </c>
      <c r="N156" t="n">
        <v>0</v>
      </c>
      <c r="O156" t="n">
        <v>0</v>
      </c>
      <c r="P156" t="n">
        <v>0</v>
      </c>
      <c r="Q156" t="n">
        <v>0</v>
      </c>
      <c r="R156" s="2" t="inlineStr"/>
    </row>
    <row r="157" ht="15" customHeight="1">
      <c r="A157" t="inlineStr">
        <is>
          <t>A 37799-2021</t>
        </is>
      </c>
      <c r="B157" s="1" t="n">
        <v>44402</v>
      </c>
      <c r="C157" s="1" t="n">
        <v>45791</v>
      </c>
      <c r="D157" t="inlineStr">
        <is>
          <t>VÄSTMANLANDS LÄN</t>
        </is>
      </c>
      <c r="E157" t="inlineStr">
        <is>
          <t>SURAHAMMAR</t>
        </is>
      </c>
      <c r="F157" t="inlineStr">
        <is>
          <t>Kommuner</t>
        </is>
      </c>
      <c r="G157" t="n">
        <v>2.1</v>
      </c>
      <c r="H157" t="n">
        <v>0</v>
      </c>
      <c r="I157" t="n">
        <v>0</v>
      </c>
      <c r="J157" t="n">
        <v>0</v>
      </c>
      <c r="K157" t="n">
        <v>0</v>
      </c>
      <c r="L157" t="n">
        <v>0</v>
      </c>
      <c r="M157" t="n">
        <v>0</v>
      </c>
      <c r="N157" t="n">
        <v>0</v>
      </c>
      <c r="O157" t="n">
        <v>0</v>
      </c>
      <c r="P157" t="n">
        <v>0</v>
      </c>
      <c r="Q157" t="n">
        <v>0</v>
      </c>
      <c r="R157" s="2" t="inlineStr"/>
    </row>
    <row r="158" ht="15" customHeight="1">
      <c r="A158" t="inlineStr">
        <is>
          <t>A 38150-2021</t>
        </is>
      </c>
      <c r="B158" s="1" t="n">
        <v>44405</v>
      </c>
      <c r="C158" s="1" t="n">
        <v>45791</v>
      </c>
      <c r="D158" t="inlineStr">
        <is>
          <t>VÄSTMANLANDS LÄN</t>
        </is>
      </c>
      <c r="E158" t="inlineStr">
        <is>
          <t>SURAHAMMAR</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38178-2021</t>
        </is>
      </c>
      <c r="B159" s="1" t="n">
        <v>44405</v>
      </c>
      <c r="C159" s="1" t="n">
        <v>45791</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38149-2021</t>
        </is>
      </c>
      <c r="B160" s="1" t="n">
        <v>44405</v>
      </c>
      <c r="C160" s="1" t="n">
        <v>45791</v>
      </c>
      <c r="D160" t="inlineStr">
        <is>
          <t>VÄSTMANLANDS LÄN</t>
        </is>
      </c>
      <c r="E160" t="inlineStr">
        <is>
          <t>SURAHAMMAR</t>
        </is>
      </c>
      <c r="F160" t="inlineStr">
        <is>
          <t>Sveaskog</t>
        </is>
      </c>
      <c r="G160" t="n">
        <v>4.9</v>
      </c>
      <c r="H160" t="n">
        <v>0</v>
      </c>
      <c r="I160" t="n">
        <v>0</v>
      </c>
      <c r="J160" t="n">
        <v>0</v>
      </c>
      <c r="K160" t="n">
        <v>0</v>
      </c>
      <c r="L160" t="n">
        <v>0</v>
      </c>
      <c r="M160" t="n">
        <v>0</v>
      </c>
      <c r="N160" t="n">
        <v>0</v>
      </c>
      <c r="O160" t="n">
        <v>0</v>
      </c>
      <c r="P160" t="n">
        <v>0</v>
      </c>
      <c r="Q160" t="n">
        <v>0</v>
      </c>
      <c r="R160" s="2" t="inlineStr"/>
    </row>
    <row r="161" ht="15" customHeight="1">
      <c r="A161" t="inlineStr">
        <is>
          <t>A 38163-2021</t>
        </is>
      </c>
      <c r="B161" s="1" t="n">
        <v>44405</v>
      </c>
      <c r="C161" s="1" t="n">
        <v>45791</v>
      </c>
      <c r="D161" t="inlineStr">
        <is>
          <t>VÄSTMANLANDS LÄN</t>
        </is>
      </c>
      <c r="E161" t="inlineStr">
        <is>
          <t>SURAHAMMAR</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38154-2021</t>
        </is>
      </c>
      <c r="B162" s="1" t="n">
        <v>44405</v>
      </c>
      <c r="C162" s="1" t="n">
        <v>45791</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47852-2021</t>
        </is>
      </c>
      <c r="B163" s="1" t="n">
        <v>44448</v>
      </c>
      <c r="C163" s="1" t="n">
        <v>45791</v>
      </c>
      <c r="D163" t="inlineStr">
        <is>
          <t>VÄSTMANLANDS LÄN</t>
        </is>
      </c>
      <c r="E163" t="inlineStr">
        <is>
          <t>SURAHAMMAR</t>
        </is>
      </c>
      <c r="G163" t="n">
        <v>4.1</v>
      </c>
      <c r="H163" t="n">
        <v>0</v>
      </c>
      <c r="I163" t="n">
        <v>0</v>
      </c>
      <c r="J163" t="n">
        <v>0</v>
      </c>
      <c r="K163" t="n">
        <v>0</v>
      </c>
      <c r="L163" t="n">
        <v>0</v>
      </c>
      <c r="M163" t="n">
        <v>0</v>
      </c>
      <c r="N163" t="n">
        <v>0</v>
      </c>
      <c r="O163" t="n">
        <v>0</v>
      </c>
      <c r="P163" t="n">
        <v>0</v>
      </c>
      <c r="Q163" t="n">
        <v>0</v>
      </c>
      <c r="R163" s="2" t="inlineStr"/>
    </row>
    <row r="164" ht="15" customHeight="1">
      <c r="A164" t="inlineStr">
        <is>
          <t>A 47785-2021</t>
        </is>
      </c>
      <c r="B164" s="1" t="n">
        <v>44448</v>
      </c>
      <c r="C164" s="1" t="n">
        <v>45791</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64073-2021</t>
        </is>
      </c>
      <c r="B165" s="1" t="n">
        <v>44509</v>
      </c>
      <c r="C165" s="1" t="n">
        <v>45791</v>
      </c>
      <c r="D165" t="inlineStr">
        <is>
          <t>VÄSTMANLANDS LÄN</t>
        </is>
      </c>
      <c r="E165" t="inlineStr">
        <is>
          <t>SURAHAMMAR</t>
        </is>
      </c>
      <c r="G165" t="n">
        <v>0.4</v>
      </c>
      <c r="H165" t="n">
        <v>0</v>
      </c>
      <c r="I165" t="n">
        <v>0</v>
      </c>
      <c r="J165" t="n">
        <v>0</v>
      </c>
      <c r="K165" t="n">
        <v>0</v>
      </c>
      <c r="L165" t="n">
        <v>0</v>
      </c>
      <c r="M165" t="n">
        <v>0</v>
      </c>
      <c r="N165" t="n">
        <v>0</v>
      </c>
      <c r="O165" t="n">
        <v>0</v>
      </c>
      <c r="P165" t="n">
        <v>0</v>
      </c>
      <c r="Q165" t="n">
        <v>0</v>
      </c>
      <c r="R165" s="2" t="inlineStr"/>
    </row>
    <row r="166" ht="15" customHeight="1">
      <c r="A166" t="inlineStr">
        <is>
          <t>A 66342-2021</t>
        </is>
      </c>
      <c r="B166" s="1" t="n">
        <v>44518</v>
      </c>
      <c r="C166" s="1" t="n">
        <v>45791</v>
      </c>
      <c r="D166" t="inlineStr">
        <is>
          <t>VÄSTMANLANDS LÄN</t>
        </is>
      </c>
      <c r="E166" t="inlineStr">
        <is>
          <t>SURAHAMMAR</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66350-2021</t>
        </is>
      </c>
      <c r="B167" s="1" t="n">
        <v>44518</v>
      </c>
      <c r="C167" s="1" t="n">
        <v>45791</v>
      </c>
      <c r="D167" t="inlineStr">
        <is>
          <t>VÄSTMANLANDS LÄN</t>
        </is>
      </c>
      <c r="E167" t="inlineStr">
        <is>
          <t>SURAHAMMAR</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67611-2021</t>
        </is>
      </c>
      <c r="B168" s="1" t="n">
        <v>44524</v>
      </c>
      <c r="C168" s="1" t="n">
        <v>45791</v>
      </c>
      <c r="D168" t="inlineStr">
        <is>
          <t>VÄSTMANLANDS LÄN</t>
        </is>
      </c>
      <c r="E168" t="inlineStr">
        <is>
          <t>SURAHAMMAR</t>
        </is>
      </c>
      <c r="F168" t="inlineStr">
        <is>
          <t>Kommuner</t>
        </is>
      </c>
      <c r="G168" t="n">
        <v>3.8</v>
      </c>
      <c r="H168" t="n">
        <v>0</v>
      </c>
      <c r="I168" t="n">
        <v>0</v>
      </c>
      <c r="J168" t="n">
        <v>0</v>
      </c>
      <c r="K168" t="n">
        <v>0</v>
      </c>
      <c r="L168" t="n">
        <v>0</v>
      </c>
      <c r="M168" t="n">
        <v>0</v>
      </c>
      <c r="N168" t="n">
        <v>0</v>
      </c>
      <c r="O168" t="n">
        <v>0</v>
      </c>
      <c r="P168" t="n">
        <v>0</v>
      </c>
      <c r="Q168" t="n">
        <v>0</v>
      </c>
      <c r="R168" s="2" t="inlineStr"/>
    </row>
    <row r="169" ht="15" customHeight="1">
      <c r="A169" t="inlineStr">
        <is>
          <t>A 72367-2021</t>
        </is>
      </c>
      <c r="B169" s="1" t="n">
        <v>44545</v>
      </c>
      <c r="C169" s="1" t="n">
        <v>45791</v>
      </c>
      <c r="D169" t="inlineStr">
        <is>
          <t>VÄSTMANLANDS LÄN</t>
        </is>
      </c>
      <c r="E169" t="inlineStr">
        <is>
          <t>SURAHAMMAR</t>
        </is>
      </c>
      <c r="G169" t="n">
        <v>2.5</v>
      </c>
      <c r="H169" t="n">
        <v>0</v>
      </c>
      <c r="I169" t="n">
        <v>0</v>
      </c>
      <c r="J169" t="n">
        <v>0</v>
      </c>
      <c r="K169" t="n">
        <v>0</v>
      </c>
      <c r="L169" t="n">
        <v>0</v>
      </c>
      <c r="M169" t="n">
        <v>0</v>
      </c>
      <c r="N169" t="n">
        <v>0</v>
      </c>
      <c r="O169" t="n">
        <v>0</v>
      </c>
      <c r="P169" t="n">
        <v>0</v>
      </c>
      <c r="Q169" t="n">
        <v>0</v>
      </c>
      <c r="R169" s="2" t="inlineStr"/>
    </row>
    <row r="170" ht="15" customHeight="1">
      <c r="A170" t="inlineStr">
        <is>
          <t>A 73156-2021</t>
        </is>
      </c>
      <c r="B170" s="1" t="n">
        <v>44550</v>
      </c>
      <c r="C170" s="1" t="n">
        <v>45791</v>
      </c>
      <c r="D170" t="inlineStr">
        <is>
          <t>VÄSTMANLANDS LÄN</t>
        </is>
      </c>
      <c r="E170" t="inlineStr">
        <is>
          <t>SURAHAMMAR</t>
        </is>
      </c>
      <c r="F170" t="inlineStr">
        <is>
          <t>Övriga Aktiebolag</t>
        </is>
      </c>
      <c r="G170" t="n">
        <v>2.5</v>
      </c>
      <c r="H170" t="n">
        <v>0</v>
      </c>
      <c r="I170" t="n">
        <v>0</v>
      </c>
      <c r="J170" t="n">
        <v>0</v>
      </c>
      <c r="K170" t="n">
        <v>0</v>
      </c>
      <c r="L170" t="n">
        <v>0</v>
      </c>
      <c r="M170" t="n">
        <v>0</v>
      </c>
      <c r="N170" t="n">
        <v>0</v>
      </c>
      <c r="O170" t="n">
        <v>0</v>
      </c>
      <c r="P170" t="n">
        <v>0</v>
      </c>
      <c r="Q170" t="n">
        <v>0</v>
      </c>
      <c r="R170" s="2" t="inlineStr"/>
    </row>
    <row r="171" ht="15" customHeight="1">
      <c r="A171" t="inlineStr">
        <is>
          <t>A 3155-2022</t>
        </is>
      </c>
      <c r="B171" s="1" t="n">
        <v>44582</v>
      </c>
      <c r="C171" s="1" t="n">
        <v>45791</v>
      </c>
      <c r="D171" t="inlineStr">
        <is>
          <t>VÄSTMANLANDS LÄN</t>
        </is>
      </c>
      <c r="E171" t="inlineStr">
        <is>
          <t>SURAHAMMAR</t>
        </is>
      </c>
      <c r="G171" t="n">
        <v>5.5</v>
      </c>
      <c r="H171" t="n">
        <v>0</v>
      </c>
      <c r="I171" t="n">
        <v>0</v>
      </c>
      <c r="J171" t="n">
        <v>0</v>
      </c>
      <c r="K171" t="n">
        <v>0</v>
      </c>
      <c r="L171" t="n">
        <v>0</v>
      </c>
      <c r="M171" t="n">
        <v>0</v>
      </c>
      <c r="N171" t="n">
        <v>0</v>
      </c>
      <c r="O171" t="n">
        <v>0</v>
      </c>
      <c r="P171" t="n">
        <v>0</v>
      </c>
      <c r="Q171" t="n">
        <v>0</v>
      </c>
      <c r="R171" s="2" t="inlineStr"/>
    </row>
    <row r="172" ht="15" customHeight="1">
      <c r="A172" t="inlineStr">
        <is>
          <t>A 3595-2022</t>
        </is>
      </c>
      <c r="B172" s="1" t="n">
        <v>44586</v>
      </c>
      <c r="C172" s="1" t="n">
        <v>45791</v>
      </c>
      <c r="D172" t="inlineStr">
        <is>
          <t>VÄSTMANLANDS LÄN</t>
        </is>
      </c>
      <c r="E172" t="inlineStr">
        <is>
          <t>SURAHAMMAR</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3818-2022</t>
        </is>
      </c>
      <c r="B173" s="1" t="n">
        <v>44587</v>
      </c>
      <c r="C173" s="1" t="n">
        <v>45791</v>
      </c>
      <c r="D173" t="inlineStr">
        <is>
          <t>VÄSTMANLANDS LÄN</t>
        </is>
      </c>
      <c r="E173" t="inlineStr">
        <is>
          <t>SURAHAMMAR</t>
        </is>
      </c>
      <c r="G173" t="n">
        <v>2.6</v>
      </c>
      <c r="H173" t="n">
        <v>0</v>
      </c>
      <c r="I173" t="n">
        <v>0</v>
      </c>
      <c r="J173" t="n">
        <v>0</v>
      </c>
      <c r="K173" t="n">
        <v>0</v>
      </c>
      <c r="L173" t="n">
        <v>0</v>
      </c>
      <c r="M173" t="n">
        <v>0</v>
      </c>
      <c r="N173" t="n">
        <v>0</v>
      </c>
      <c r="O173" t="n">
        <v>0</v>
      </c>
      <c r="P173" t="n">
        <v>0</v>
      </c>
      <c r="Q173" t="n">
        <v>0</v>
      </c>
      <c r="R173" s="2" t="inlineStr"/>
    </row>
    <row r="174" ht="15" customHeight="1">
      <c r="A174" t="inlineStr">
        <is>
          <t>A 5567-2022</t>
        </is>
      </c>
      <c r="B174" s="1" t="n">
        <v>44595</v>
      </c>
      <c r="C174" s="1" t="n">
        <v>45791</v>
      </c>
      <c r="D174" t="inlineStr">
        <is>
          <t>VÄSTMANLANDS LÄN</t>
        </is>
      </c>
      <c r="E174" t="inlineStr">
        <is>
          <t>SURAHAMMAR</t>
        </is>
      </c>
      <c r="G174" t="n">
        <v>1.3</v>
      </c>
      <c r="H174" t="n">
        <v>0</v>
      </c>
      <c r="I174" t="n">
        <v>0</v>
      </c>
      <c r="J174" t="n">
        <v>0</v>
      </c>
      <c r="K174" t="n">
        <v>0</v>
      </c>
      <c r="L174" t="n">
        <v>0</v>
      </c>
      <c r="M174" t="n">
        <v>0</v>
      </c>
      <c r="N174" t="n">
        <v>0</v>
      </c>
      <c r="O174" t="n">
        <v>0</v>
      </c>
      <c r="P174" t="n">
        <v>0</v>
      </c>
      <c r="Q174" t="n">
        <v>0</v>
      </c>
      <c r="R174" s="2" t="inlineStr"/>
    </row>
    <row r="175" ht="15" customHeight="1">
      <c r="A175" t="inlineStr">
        <is>
          <t>A 7848-2022</t>
        </is>
      </c>
      <c r="B175" s="1" t="n">
        <v>44608</v>
      </c>
      <c r="C175" s="1" t="n">
        <v>45791</v>
      </c>
      <c r="D175" t="inlineStr">
        <is>
          <t>VÄSTMANLANDS LÄN</t>
        </is>
      </c>
      <c r="E175" t="inlineStr">
        <is>
          <t>SURAHAMMAR</t>
        </is>
      </c>
      <c r="G175" t="n">
        <v>2.1</v>
      </c>
      <c r="H175" t="n">
        <v>0</v>
      </c>
      <c r="I175" t="n">
        <v>0</v>
      </c>
      <c r="J175" t="n">
        <v>0</v>
      </c>
      <c r="K175" t="n">
        <v>0</v>
      </c>
      <c r="L175" t="n">
        <v>0</v>
      </c>
      <c r="M175" t="n">
        <v>0</v>
      </c>
      <c r="N175" t="n">
        <v>0</v>
      </c>
      <c r="O175" t="n">
        <v>0</v>
      </c>
      <c r="P175" t="n">
        <v>0</v>
      </c>
      <c r="Q175" t="n">
        <v>0</v>
      </c>
      <c r="R175" s="2" t="inlineStr"/>
    </row>
    <row r="176" ht="15" customHeight="1">
      <c r="A176" t="inlineStr">
        <is>
          <t>A 13119-2022</t>
        </is>
      </c>
      <c r="B176" s="1" t="n">
        <v>44643</v>
      </c>
      <c r="C176" s="1" t="n">
        <v>45791</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13070-2022</t>
        </is>
      </c>
      <c r="B177" s="1" t="n">
        <v>44643</v>
      </c>
      <c r="C177" s="1" t="n">
        <v>45791</v>
      </c>
      <c r="D177" t="inlineStr">
        <is>
          <t>VÄSTMANLANDS LÄN</t>
        </is>
      </c>
      <c r="E177" t="inlineStr">
        <is>
          <t>SURAHAMMAR</t>
        </is>
      </c>
      <c r="F177" t="inlineStr">
        <is>
          <t>Bergvik skog väst AB</t>
        </is>
      </c>
      <c r="G177" t="n">
        <v>4.3</v>
      </c>
      <c r="H177" t="n">
        <v>0</v>
      </c>
      <c r="I177" t="n">
        <v>0</v>
      </c>
      <c r="J177" t="n">
        <v>0</v>
      </c>
      <c r="K177" t="n">
        <v>0</v>
      </c>
      <c r="L177" t="n">
        <v>0</v>
      </c>
      <c r="M177" t="n">
        <v>0</v>
      </c>
      <c r="N177" t="n">
        <v>0</v>
      </c>
      <c r="O177" t="n">
        <v>0</v>
      </c>
      <c r="P177" t="n">
        <v>0</v>
      </c>
      <c r="Q177" t="n">
        <v>0</v>
      </c>
      <c r="R177" s="2" t="inlineStr"/>
    </row>
    <row r="178" ht="15" customHeight="1">
      <c r="A178" t="inlineStr">
        <is>
          <t>A 15637-2022</t>
        </is>
      </c>
      <c r="B178" s="1" t="n">
        <v>44662</v>
      </c>
      <c r="C178" s="1" t="n">
        <v>45791</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16608-2022</t>
        </is>
      </c>
      <c r="B179" s="1" t="n">
        <v>44672</v>
      </c>
      <c r="C179" s="1" t="n">
        <v>45791</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19099-2022</t>
        </is>
      </c>
      <c r="B180" s="1" t="n">
        <v>44691</v>
      </c>
      <c r="C180" s="1" t="n">
        <v>45791</v>
      </c>
      <c r="D180" t="inlineStr">
        <is>
          <t>VÄSTMANLANDS LÄN</t>
        </is>
      </c>
      <c r="E180" t="inlineStr">
        <is>
          <t>SURAHAMMAR</t>
        </is>
      </c>
      <c r="F180" t="inlineStr">
        <is>
          <t>Övriga Aktiebolag</t>
        </is>
      </c>
      <c r="G180" t="n">
        <v>3.4</v>
      </c>
      <c r="H180" t="n">
        <v>0</v>
      </c>
      <c r="I180" t="n">
        <v>0</v>
      </c>
      <c r="J180" t="n">
        <v>0</v>
      </c>
      <c r="K180" t="n">
        <v>0</v>
      </c>
      <c r="L180" t="n">
        <v>0</v>
      </c>
      <c r="M180" t="n">
        <v>0</v>
      </c>
      <c r="N180" t="n">
        <v>0</v>
      </c>
      <c r="O180" t="n">
        <v>0</v>
      </c>
      <c r="P180" t="n">
        <v>0</v>
      </c>
      <c r="Q180" t="n">
        <v>0</v>
      </c>
      <c r="R180" s="2" t="inlineStr"/>
    </row>
    <row r="181" ht="15" customHeight="1">
      <c r="A181" t="inlineStr">
        <is>
          <t>A 19637-2022</t>
        </is>
      </c>
      <c r="B181" s="1" t="n">
        <v>44694</v>
      </c>
      <c r="C181" s="1" t="n">
        <v>45791</v>
      </c>
      <c r="D181" t="inlineStr">
        <is>
          <t>VÄSTMANLANDS LÄN</t>
        </is>
      </c>
      <c r="E181" t="inlineStr">
        <is>
          <t>SURAHAMMAR</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19844-2022</t>
        </is>
      </c>
      <c r="B182" s="1" t="n">
        <v>44696</v>
      </c>
      <c r="C182" s="1" t="n">
        <v>45791</v>
      </c>
      <c r="D182" t="inlineStr">
        <is>
          <t>VÄSTMANLANDS LÄN</t>
        </is>
      </c>
      <c r="E182" t="inlineStr">
        <is>
          <t>SURAHAMMAR</t>
        </is>
      </c>
      <c r="F182" t="inlineStr">
        <is>
          <t>Kommuner</t>
        </is>
      </c>
      <c r="G182" t="n">
        <v>2.1</v>
      </c>
      <c r="H182" t="n">
        <v>0</v>
      </c>
      <c r="I182" t="n">
        <v>0</v>
      </c>
      <c r="J182" t="n">
        <v>0</v>
      </c>
      <c r="K182" t="n">
        <v>0</v>
      </c>
      <c r="L182" t="n">
        <v>0</v>
      </c>
      <c r="M182" t="n">
        <v>0</v>
      </c>
      <c r="N182" t="n">
        <v>0</v>
      </c>
      <c r="O182" t="n">
        <v>0</v>
      </c>
      <c r="P182" t="n">
        <v>0</v>
      </c>
      <c r="Q182" t="n">
        <v>0</v>
      </c>
      <c r="R182" s="2" t="inlineStr"/>
    </row>
    <row r="183" ht="15" customHeight="1">
      <c r="A183" t="inlineStr">
        <is>
          <t>A 19845-2022</t>
        </is>
      </c>
      <c r="B183" s="1" t="n">
        <v>44696</v>
      </c>
      <c r="C183" s="1" t="n">
        <v>45791</v>
      </c>
      <c r="D183" t="inlineStr">
        <is>
          <t>VÄSTMANLANDS LÄN</t>
        </is>
      </c>
      <c r="E183" t="inlineStr">
        <is>
          <t>SURAHAMMAR</t>
        </is>
      </c>
      <c r="F183" t="inlineStr">
        <is>
          <t>Kommuner</t>
        </is>
      </c>
      <c r="G183" t="n">
        <v>3.3</v>
      </c>
      <c r="H183" t="n">
        <v>0</v>
      </c>
      <c r="I183" t="n">
        <v>0</v>
      </c>
      <c r="J183" t="n">
        <v>0</v>
      </c>
      <c r="K183" t="n">
        <v>0</v>
      </c>
      <c r="L183" t="n">
        <v>0</v>
      </c>
      <c r="M183" t="n">
        <v>0</v>
      </c>
      <c r="N183" t="n">
        <v>0</v>
      </c>
      <c r="O183" t="n">
        <v>0</v>
      </c>
      <c r="P183" t="n">
        <v>0</v>
      </c>
      <c r="Q183" t="n">
        <v>0</v>
      </c>
      <c r="R183" s="2" t="inlineStr"/>
    </row>
    <row r="184" ht="15" customHeight="1">
      <c r="A184" t="inlineStr">
        <is>
          <t>A 19846-2022</t>
        </is>
      </c>
      <c r="B184" s="1" t="n">
        <v>44696</v>
      </c>
      <c r="C184" s="1" t="n">
        <v>45791</v>
      </c>
      <c r="D184" t="inlineStr">
        <is>
          <t>VÄSTMANLANDS LÄN</t>
        </is>
      </c>
      <c r="E184" t="inlineStr">
        <is>
          <t>SURAHAMMAR</t>
        </is>
      </c>
      <c r="F184" t="inlineStr">
        <is>
          <t>Kommuner</t>
        </is>
      </c>
      <c r="G184" t="n">
        <v>3.4</v>
      </c>
      <c r="H184" t="n">
        <v>0</v>
      </c>
      <c r="I184" t="n">
        <v>0</v>
      </c>
      <c r="J184" t="n">
        <v>0</v>
      </c>
      <c r="K184" t="n">
        <v>0</v>
      </c>
      <c r="L184" t="n">
        <v>0</v>
      </c>
      <c r="M184" t="n">
        <v>0</v>
      </c>
      <c r="N184" t="n">
        <v>0</v>
      </c>
      <c r="O184" t="n">
        <v>0</v>
      </c>
      <c r="P184" t="n">
        <v>0</v>
      </c>
      <c r="Q184" t="n">
        <v>0</v>
      </c>
      <c r="R184" s="2" t="inlineStr"/>
    </row>
    <row r="185" ht="15" customHeight="1">
      <c r="A185" t="inlineStr">
        <is>
          <t>A 26700-2022</t>
        </is>
      </c>
      <c r="B185" s="1" t="n">
        <v>44739</v>
      </c>
      <c r="C185" s="1" t="n">
        <v>45791</v>
      </c>
      <c r="D185" t="inlineStr">
        <is>
          <t>VÄSTMANLANDS LÄN</t>
        </is>
      </c>
      <c r="E185" t="inlineStr">
        <is>
          <t>SURAHAMMAR</t>
        </is>
      </c>
      <c r="F185" t="inlineStr">
        <is>
          <t>Kommuner</t>
        </is>
      </c>
      <c r="G185" t="n">
        <v>3.1</v>
      </c>
      <c r="H185" t="n">
        <v>0</v>
      </c>
      <c r="I185" t="n">
        <v>0</v>
      </c>
      <c r="J185" t="n">
        <v>0</v>
      </c>
      <c r="K185" t="n">
        <v>0</v>
      </c>
      <c r="L185" t="n">
        <v>0</v>
      </c>
      <c r="M185" t="n">
        <v>0</v>
      </c>
      <c r="N185" t="n">
        <v>0</v>
      </c>
      <c r="O185" t="n">
        <v>0</v>
      </c>
      <c r="P185" t="n">
        <v>0</v>
      </c>
      <c r="Q185" t="n">
        <v>0</v>
      </c>
      <c r="R185" s="2" t="inlineStr"/>
    </row>
    <row r="186" ht="15" customHeight="1">
      <c r="A186" t="inlineStr">
        <is>
          <t>A 32475-2022</t>
        </is>
      </c>
      <c r="B186" s="1" t="n">
        <v>44782</v>
      </c>
      <c r="C186" s="1" t="n">
        <v>45791</v>
      </c>
      <c r="D186" t="inlineStr">
        <is>
          <t>VÄSTMANLANDS LÄN</t>
        </is>
      </c>
      <c r="E186" t="inlineStr">
        <is>
          <t>SURAHAMMAR</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32491-2022</t>
        </is>
      </c>
      <c r="B187" s="1" t="n">
        <v>44782</v>
      </c>
      <c r="C187" s="1" t="n">
        <v>45791</v>
      </c>
      <c r="D187" t="inlineStr">
        <is>
          <t>VÄSTMANLANDS LÄN</t>
        </is>
      </c>
      <c r="E187" t="inlineStr">
        <is>
          <t>SURAHAMMAR</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32492-2022</t>
        </is>
      </c>
      <c r="B188" s="1" t="n">
        <v>44782</v>
      </c>
      <c r="C188" s="1" t="n">
        <v>45791</v>
      </c>
      <c r="D188" t="inlineStr">
        <is>
          <t>VÄSTMANLANDS LÄN</t>
        </is>
      </c>
      <c r="E188" t="inlineStr">
        <is>
          <t>SURAHAMMAR</t>
        </is>
      </c>
      <c r="F188" t="inlineStr">
        <is>
          <t>Bergvik skog väst AB</t>
        </is>
      </c>
      <c r="G188" t="n">
        <v>5.3</v>
      </c>
      <c r="H188" t="n">
        <v>0</v>
      </c>
      <c r="I188" t="n">
        <v>0</v>
      </c>
      <c r="J188" t="n">
        <v>0</v>
      </c>
      <c r="K188" t="n">
        <v>0</v>
      </c>
      <c r="L188" t="n">
        <v>0</v>
      </c>
      <c r="M188" t="n">
        <v>0</v>
      </c>
      <c r="N188" t="n">
        <v>0</v>
      </c>
      <c r="O188" t="n">
        <v>0</v>
      </c>
      <c r="P188" t="n">
        <v>0</v>
      </c>
      <c r="Q188" t="n">
        <v>0</v>
      </c>
      <c r="R188" s="2" t="inlineStr"/>
    </row>
    <row r="189" ht="15" customHeight="1">
      <c r="A189" t="inlineStr">
        <is>
          <t>A 33931-2022</t>
        </is>
      </c>
      <c r="B189" s="1" t="n">
        <v>44790</v>
      </c>
      <c r="C189" s="1" t="n">
        <v>45791</v>
      </c>
      <c r="D189" t="inlineStr">
        <is>
          <t>VÄSTMANLANDS LÄN</t>
        </is>
      </c>
      <c r="E189" t="inlineStr">
        <is>
          <t>SURAHAMMAR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33946-2022</t>
        </is>
      </c>
      <c r="B190" s="1" t="n">
        <v>44790</v>
      </c>
      <c r="C190" s="1" t="n">
        <v>45791</v>
      </c>
      <c r="D190" t="inlineStr">
        <is>
          <t>VÄSTMANLANDS LÄN</t>
        </is>
      </c>
      <c r="E190" t="inlineStr">
        <is>
          <t>SURAHAMMAR</t>
        </is>
      </c>
      <c r="G190" t="n">
        <v>2.3</v>
      </c>
      <c r="H190" t="n">
        <v>0</v>
      </c>
      <c r="I190" t="n">
        <v>0</v>
      </c>
      <c r="J190" t="n">
        <v>0</v>
      </c>
      <c r="K190" t="n">
        <v>0</v>
      </c>
      <c r="L190" t="n">
        <v>0</v>
      </c>
      <c r="M190" t="n">
        <v>0</v>
      </c>
      <c r="N190" t="n">
        <v>0</v>
      </c>
      <c r="O190" t="n">
        <v>0</v>
      </c>
      <c r="P190" t="n">
        <v>0</v>
      </c>
      <c r="Q190" t="n">
        <v>0</v>
      </c>
      <c r="R190" s="2" t="inlineStr"/>
    </row>
    <row r="191" ht="15" customHeight="1">
      <c r="A191" t="inlineStr">
        <is>
          <t>A 33953-2022</t>
        </is>
      </c>
      <c r="B191" s="1" t="n">
        <v>44790</v>
      </c>
      <c r="C191" s="1" t="n">
        <v>45791</v>
      </c>
      <c r="D191" t="inlineStr">
        <is>
          <t>VÄSTMANLANDS LÄN</t>
        </is>
      </c>
      <c r="E191" t="inlineStr">
        <is>
          <t>SURAHAMMAR</t>
        </is>
      </c>
      <c r="G191" t="n">
        <v>3</v>
      </c>
      <c r="H191" t="n">
        <v>0</v>
      </c>
      <c r="I191" t="n">
        <v>0</v>
      </c>
      <c r="J191" t="n">
        <v>0</v>
      </c>
      <c r="K191" t="n">
        <v>0</v>
      </c>
      <c r="L191" t="n">
        <v>0</v>
      </c>
      <c r="M191" t="n">
        <v>0</v>
      </c>
      <c r="N191" t="n">
        <v>0</v>
      </c>
      <c r="O191" t="n">
        <v>0</v>
      </c>
      <c r="P191" t="n">
        <v>0</v>
      </c>
      <c r="Q191" t="n">
        <v>0</v>
      </c>
      <c r="R191" s="2" t="inlineStr"/>
    </row>
    <row r="192" ht="15" customHeight="1">
      <c r="A192" t="inlineStr">
        <is>
          <t>A 34957-2022</t>
        </is>
      </c>
      <c r="B192" s="1" t="n">
        <v>44796</v>
      </c>
      <c r="C192" s="1" t="n">
        <v>45791</v>
      </c>
      <c r="D192" t="inlineStr">
        <is>
          <t>VÄSTMANLANDS LÄN</t>
        </is>
      </c>
      <c r="E192" t="inlineStr">
        <is>
          <t>SURAHAMMAR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34955-2022</t>
        </is>
      </c>
      <c r="B193" s="1" t="n">
        <v>44796</v>
      </c>
      <c r="C193" s="1" t="n">
        <v>45791</v>
      </c>
      <c r="D193" t="inlineStr">
        <is>
          <t>VÄSTMANLANDS LÄN</t>
        </is>
      </c>
      <c r="E193" t="inlineStr">
        <is>
          <t>SURAHAMMAR</t>
        </is>
      </c>
      <c r="F193" t="inlineStr">
        <is>
          <t>Sveaskog</t>
        </is>
      </c>
      <c r="G193" t="n">
        <v>4.6</v>
      </c>
      <c r="H193" t="n">
        <v>0</v>
      </c>
      <c r="I193" t="n">
        <v>0</v>
      </c>
      <c r="J193" t="n">
        <v>0</v>
      </c>
      <c r="K193" t="n">
        <v>0</v>
      </c>
      <c r="L193" t="n">
        <v>0</v>
      </c>
      <c r="M193" t="n">
        <v>0</v>
      </c>
      <c r="N193" t="n">
        <v>0</v>
      </c>
      <c r="O193" t="n">
        <v>0</v>
      </c>
      <c r="P193" t="n">
        <v>0</v>
      </c>
      <c r="Q193" t="n">
        <v>0</v>
      </c>
      <c r="R193" s="2" t="inlineStr"/>
    </row>
    <row r="194" ht="15" customHeight="1">
      <c r="A194" t="inlineStr">
        <is>
          <t>A 34956-2022</t>
        </is>
      </c>
      <c r="B194" s="1" t="n">
        <v>44796</v>
      </c>
      <c r="C194" s="1" t="n">
        <v>45791</v>
      </c>
      <c r="D194" t="inlineStr">
        <is>
          <t>VÄSTMANLANDS LÄN</t>
        </is>
      </c>
      <c r="E194" t="inlineStr">
        <is>
          <t>SURAHAMMAR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35677-2022</t>
        </is>
      </c>
      <c r="B195" s="1" t="n">
        <v>44799</v>
      </c>
      <c r="C195" s="1" t="n">
        <v>45791</v>
      </c>
      <c r="D195" t="inlineStr">
        <is>
          <t>VÄSTMANLANDS LÄN</t>
        </is>
      </c>
      <c r="E195" t="inlineStr">
        <is>
          <t>SURAHAMMAR</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35682-2022</t>
        </is>
      </c>
      <c r="B196" s="1" t="n">
        <v>44799</v>
      </c>
      <c r="C196" s="1" t="n">
        <v>45791</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35679-2022</t>
        </is>
      </c>
      <c r="B197" s="1" t="n">
        <v>44799</v>
      </c>
      <c r="C197" s="1" t="n">
        <v>45791</v>
      </c>
      <c r="D197" t="inlineStr">
        <is>
          <t>VÄSTMANLANDS LÄN</t>
        </is>
      </c>
      <c r="E197" t="inlineStr">
        <is>
          <t>SURAHAMMAR</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41576-2022</t>
        </is>
      </c>
      <c r="B198" s="1" t="n">
        <v>44826</v>
      </c>
      <c r="C198" s="1" t="n">
        <v>45791</v>
      </c>
      <c r="D198" t="inlineStr">
        <is>
          <t>VÄSTMANLANDS LÄN</t>
        </is>
      </c>
      <c r="E198" t="inlineStr">
        <is>
          <t>SURAHAMMAR</t>
        </is>
      </c>
      <c r="F198" t="inlineStr">
        <is>
          <t>Bergvik skog väst AB</t>
        </is>
      </c>
      <c r="G198" t="n">
        <v>6.4</v>
      </c>
      <c r="H198" t="n">
        <v>0</v>
      </c>
      <c r="I198" t="n">
        <v>0</v>
      </c>
      <c r="J198" t="n">
        <v>0</v>
      </c>
      <c r="K198" t="n">
        <v>0</v>
      </c>
      <c r="L198" t="n">
        <v>0</v>
      </c>
      <c r="M198" t="n">
        <v>0</v>
      </c>
      <c r="N198" t="n">
        <v>0</v>
      </c>
      <c r="O198" t="n">
        <v>0</v>
      </c>
      <c r="P198" t="n">
        <v>0</v>
      </c>
      <c r="Q198" t="n">
        <v>0</v>
      </c>
      <c r="R198" s="2" t="inlineStr"/>
    </row>
    <row r="199" ht="15" customHeight="1">
      <c r="A199" t="inlineStr">
        <is>
          <t>A 41555-2022</t>
        </is>
      </c>
      <c r="B199" s="1" t="n">
        <v>44826</v>
      </c>
      <c r="C199" s="1" t="n">
        <v>45791</v>
      </c>
      <c r="D199" t="inlineStr">
        <is>
          <t>VÄSTMANLANDS LÄN</t>
        </is>
      </c>
      <c r="E199" t="inlineStr">
        <is>
          <t>SURAHAMMAR</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42714-2022</t>
        </is>
      </c>
      <c r="B200" s="1" t="n">
        <v>44832</v>
      </c>
      <c r="C200" s="1" t="n">
        <v>45791</v>
      </c>
      <c r="D200" t="inlineStr">
        <is>
          <t>VÄSTMANLANDS LÄN</t>
        </is>
      </c>
      <c r="E200" t="inlineStr">
        <is>
          <t>SURAHAMMAR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42832-2022</t>
        </is>
      </c>
      <c r="B201" s="1" t="n">
        <v>44832</v>
      </c>
      <c r="C201" s="1" t="n">
        <v>45791</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42841-2022</t>
        </is>
      </c>
      <c r="B202" s="1" t="n">
        <v>44832</v>
      </c>
      <c r="C202" s="1" t="n">
        <v>45791</v>
      </c>
      <c r="D202" t="inlineStr">
        <is>
          <t>VÄSTMANLANDS LÄN</t>
        </is>
      </c>
      <c r="E202" t="inlineStr">
        <is>
          <t>SURAHAMMAR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42829-2022</t>
        </is>
      </c>
      <c r="B203" s="1" t="n">
        <v>44832</v>
      </c>
      <c r="C203" s="1" t="n">
        <v>45791</v>
      </c>
      <c r="D203" t="inlineStr">
        <is>
          <t>VÄSTMANLANDS LÄN</t>
        </is>
      </c>
      <c r="E203" t="inlineStr">
        <is>
          <t>SURAHAMMAR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48581-2022</t>
        </is>
      </c>
      <c r="B204" s="1" t="n">
        <v>44859</v>
      </c>
      <c r="C204" s="1" t="n">
        <v>45791</v>
      </c>
      <c r="D204" t="inlineStr">
        <is>
          <t>VÄSTMANLANDS LÄN</t>
        </is>
      </c>
      <c r="E204" t="inlineStr">
        <is>
          <t>SURAHAMMAR</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49686-2022</t>
        </is>
      </c>
      <c r="B205" s="1" t="n">
        <v>44862</v>
      </c>
      <c r="C205" s="1" t="n">
        <v>45791</v>
      </c>
      <c r="D205" t="inlineStr">
        <is>
          <t>VÄSTMANLANDS LÄN</t>
        </is>
      </c>
      <c r="E205" t="inlineStr">
        <is>
          <t>SURAHAMMAR</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3085-2023</t>
        </is>
      </c>
      <c r="B206" s="1" t="n">
        <v>44946</v>
      </c>
      <c r="C206" s="1" t="n">
        <v>45791</v>
      </c>
      <c r="D206" t="inlineStr">
        <is>
          <t>VÄSTMANLANDS LÄN</t>
        </is>
      </c>
      <c r="E206" t="inlineStr">
        <is>
          <t>SURAHAMMAR</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8553-2023</t>
        </is>
      </c>
      <c r="B207" s="1" t="n">
        <v>44977</v>
      </c>
      <c r="C207" s="1" t="n">
        <v>45791</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10877-2023</t>
        </is>
      </c>
      <c r="B208" s="1" t="n">
        <v>44991</v>
      </c>
      <c r="C208" s="1" t="n">
        <v>45791</v>
      </c>
      <c r="D208" t="inlineStr">
        <is>
          <t>VÄSTMANLANDS LÄN</t>
        </is>
      </c>
      <c r="E208" t="inlineStr">
        <is>
          <t>SURAHAMMAR</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10883-2023</t>
        </is>
      </c>
      <c r="B209" s="1" t="n">
        <v>44991</v>
      </c>
      <c r="C209" s="1" t="n">
        <v>45791</v>
      </c>
      <c r="D209" t="inlineStr">
        <is>
          <t>VÄSTMANLANDS LÄN</t>
        </is>
      </c>
      <c r="E209" t="inlineStr">
        <is>
          <t>SURAHAMMAR</t>
        </is>
      </c>
      <c r="F209" t="inlineStr">
        <is>
          <t>Övriga Aktiebolag</t>
        </is>
      </c>
      <c r="G209" t="n">
        <v>12.5</v>
      </c>
      <c r="H209" t="n">
        <v>0</v>
      </c>
      <c r="I209" t="n">
        <v>0</v>
      </c>
      <c r="J209" t="n">
        <v>0</v>
      </c>
      <c r="K209" t="n">
        <v>0</v>
      </c>
      <c r="L209" t="n">
        <v>0</v>
      </c>
      <c r="M209" t="n">
        <v>0</v>
      </c>
      <c r="N209" t="n">
        <v>0</v>
      </c>
      <c r="O209" t="n">
        <v>0</v>
      </c>
      <c r="P209" t="n">
        <v>0</v>
      </c>
      <c r="Q209" t="n">
        <v>0</v>
      </c>
      <c r="R209" s="2" t="inlineStr"/>
    </row>
    <row r="210" ht="15" customHeight="1">
      <c r="A210" t="inlineStr">
        <is>
          <t>A 11501-2023</t>
        </is>
      </c>
      <c r="B210" s="1" t="n">
        <v>44991</v>
      </c>
      <c r="C210" s="1" t="n">
        <v>45791</v>
      </c>
      <c r="D210" t="inlineStr">
        <is>
          <t>VÄSTMANLANDS LÄN</t>
        </is>
      </c>
      <c r="E210" t="inlineStr">
        <is>
          <t>SURAHAMMAR</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11728-2023</t>
        </is>
      </c>
      <c r="B211" s="1" t="n">
        <v>44993</v>
      </c>
      <c r="C211" s="1" t="n">
        <v>45791</v>
      </c>
      <c r="D211" t="inlineStr">
        <is>
          <t>VÄSTMANLANDS LÄN</t>
        </is>
      </c>
      <c r="E211" t="inlineStr">
        <is>
          <t>SURAHAMMAR</t>
        </is>
      </c>
      <c r="F211" t="inlineStr">
        <is>
          <t>Bergvik skog väst AB</t>
        </is>
      </c>
      <c r="G211" t="n">
        <v>0.4</v>
      </c>
      <c r="H211" t="n">
        <v>0</v>
      </c>
      <c r="I211" t="n">
        <v>0</v>
      </c>
      <c r="J211" t="n">
        <v>0</v>
      </c>
      <c r="K211" t="n">
        <v>0</v>
      </c>
      <c r="L211" t="n">
        <v>0</v>
      </c>
      <c r="M211" t="n">
        <v>0</v>
      </c>
      <c r="N211" t="n">
        <v>0</v>
      </c>
      <c r="O211" t="n">
        <v>0</v>
      </c>
      <c r="P211" t="n">
        <v>0</v>
      </c>
      <c r="Q211" t="n">
        <v>0</v>
      </c>
      <c r="R211" s="2" t="inlineStr"/>
    </row>
    <row r="212" ht="15" customHeight="1">
      <c r="A212" t="inlineStr">
        <is>
          <t>A 13479-2023</t>
        </is>
      </c>
      <c r="B212" s="1" t="n">
        <v>45005</v>
      </c>
      <c r="C212" s="1" t="n">
        <v>45791</v>
      </c>
      <c r="D212" t="inlineStr">
        <is>
          <t>VÄSTMANLANDS LÄN</t>
        </is>
      </c>
      <c r="E212" t="inlineStr">
        <is>
          <t>SURAHAMMAR</t>
        </is>
      </c>
      <c r="F212" t="inlineStr">
        <is>
          <t>Bergvik skog väst AB</t>
        </is>
      </c>
      <c r="G212" t="n">
        <v>2.8</v>
      </c>
      <c r="H212" t="n">
        <v>0</v>
      </c>
      <c r="I212" t="n">
        <v>0</v>
      </c>
      <c r="J212" t="n">
        <v>0</v>
      </c>
      <c r="K212" t="n">
        <v>0</v>
      </c>
      <c r="L212" t="n">
        <v>0</v>
      </c>
      <c r="M212" t="n">
        <v>0</v>
      </c>
      <c r="N212" t="n">
        <v>0</v>
      </c>
      <c r="O212" t="n">
        <v>0</v>
      </c>
      <c r="P212" t="n">
        <v>0</v>
      </c>
      <c r="Q212" t="n">
        <v>0</v>
      </c>
      <c r="R212" s="2" t="inlineStr"/>
    </row>
    <row r="213" ht="15" customHeight="1">
      <c r="A213" t="inlineStr">
        <is>
          <t>A 14626-2023</t>
        </is>
      </c>
      <c r="B213" s="1" t="n">
        <v>45012</v>
      </c>
      <c r="C213" s="1" t="n">
        <v>45791</v>
      </c>
      <c r="D213" t="inlineStr">
        <is>
          <t>VÄSTMANLANDS LÄN</t>
        </is>
      </c>
      <c r="E213" t="inlineStr">
        <is>
          <t>SURAHAMMAR</t>
        </is>
      </c>
      <c r="F213" t="inlineStr">
        <is>
          <t>Bergvik skog väst AB</t>
        </is>
      </c>
      <c r="G213" t="n">
        <v>5</v>
      </c>
      <c r="H213" t="n">
        <v>0</v>
      </c>
      <c r="I213" t="n">
        <v>0</v>
      </c>
      <c r="J213" t="n">
        <v>0</v>
      </c>
      <c r="K213" t="n">
        <v>0</v>
      </c>
      <c r="L213" t="n">
        <v>0</v>
      </c>
      <c r="M213" t="n">
        <v>0</v>
      </c>
      <c r="N213" t="n">
        <v>0</v>
      </c>
      <c r="O213" t="n">
        <v>0</v>
      </c>
      <c r="P213" t="n">
        <v>0</v>
      </c>
      <c r="Q213" t="n">
        <v>0</v>
      </c>
      <c r="R213" s="2" t="inlineStr"/>
    </row>
    <row r="214" ht="15" customHeight="1">
      <c r="A214" t="inlineStr">
        <is>
          <t>A 14583-2023</t>
        </is>
      </c>
      <c r="B214" s="1" t="n">
        <v>45013</v>
      </c>
      <c r="C214" s="1" t="n">
        <v>45791</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15743-2023</t>
        </is>
      </c>
      <c r="B215" s="1" t="n">
        <v>45021</v>
      </c>
      <c r="C215" s="1" t="n">
        <v>45791</v>
      </c>
      <c r="D215" t="inlineStr">
        <is>
          <t>VÄSTMANLANDS LÄN</t>
        </is>
      </c>
      <c r="E215" t="inlineStr">
        <is>
          <t>SURAHAMMAR</t>
        </is>
      </c>
      <c r="G215" t="n">
        <v>0.5</v>
      </c>
      <c r="H215" t="n">
        <v>0</v>
      </c>
      <c r="I215" t="n">
        <v>0</v>
      </c>
      <c r="J215" t="n">
        <v>0</v>
      </c>
      <c r="K215" t="n">
        <v>0</v>
      </c>
      <c r="L215" t="n">
        <v>0</v>
      </c>
      <c r="M215" t="n">
        <v>0</v>
      </c>
      <c r="N215" t="n">
        <v>0</v>
      </c>
      <c r="O215" t="n">
        <v>0</v>
      </c>
      <c r="P215" t="n">
        <v>0</v>
      </c>
      <c r="Q215" t="n">
        <v>0</v>
      </c>
      <c r="R215" s="2" t="inlineStr"/>
    </row>
    <row r="216" ht="15" customHeight="1">
      <c r="A216" t="inlineStr">
        <is>
          <t>A 15739-2023</t>
        </is>
      </c>
      <c r="B216" s="1" t="n">
        <v>45021</v>
      </c>
      <c r="C216" s="1" t="n">
        <v>45791</v>
      </c>
      <c r="D216" t="inlineStr">
        <is>
          <t>VÄSTMANLANDS LÄN</t>
        </is>
      </c>
      <c r="E216" t="inlineStr">
        <is>
          <t>SURAHAMMAR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16013-2023</t>
        </is>
      </c>
      <c r="B217" s="1" t="n">
        <v>45026</v>
      </c>
      <c r="C217" s="1" t="n">
        <v>45791</v>
      </c>
      <c r="D217" t="inlineStr">
        <is>
          <t>VÄSTMANLANDS LÄN</t>
        </is>
      </c>
      <c r="E217" t="inlineStr">
        <is>
          <t>SURAHAMMAR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18223-2023</t>
        </is>
      </c>
      <c r="B218" s="1" t="n">
        <v>45041</v>
      </c>
      <c r="C218" s="1" t="n">
        <v>45791</v>
      </c>
      <c r="D218" t="inlineStr">
        <is>
          <t>VÄSTMANLANDS LÄN</t>
        </is>
      </c>
      <c r="E218" t="inlineStr">
        <is>
          <t>SURAHAMMAR</t>
        </is>
      </c>
      <c r="F218" t="inlineStr">
        <is>
          <t>Övriga Aktiebolag</t>
        </is>
      </c>
      <c r="G218" t="n">
        <v>3.1</v>
      </c>
      <c r="H218" t="n">
        <v>0</v>
      </c>
      <c r="I218" t="n">
        <v>0</v>
      </c>
      <c r="J218" t="n">
        <v>0</v>
      </c>
      <c r="K218" t="n">
        <v>0</v>
      </c>
      <c r="L218" t="n">
        <v>0</v>
      </c>
      <c r="M218" t="n">
        <v>0</v>
      </c>
      <c r="N218" t="n">
        <v>0</v>
      </c>
      <c r="O218" t="n">
        <v>0</v>
      </c>
      <c r="P218" t="n">
        <v>0</v>
      </c>
      <c r="Q218" t="n">
        <v>0</v>
      </c>
      <c r="R218" s="2" t="inlineStr"/>
    </row>
    <row r="219" ht="15" customHeight="1">
      <c r="A219" t="inlineStr">
        <is>
          <t>A 19778-2023</t>
        </is>
      </c>
      <c r="B219" s="1" t="n">
        <v>45050</v>
      </c>
      <c r="C219" s="1" t="n">
        <v>45791</v>
      </c>
      <c r="D219" t="inlineStr">
        <is>
          <t>VÄSTMANLANDS LÄN</t>
        </is>
      </c>
      <c r="E219" t="inlineStr">
        <is>
          <t>SURAHAMMAR</t>
        </is>
      </c>
      <c r="F219" t="inlineStr">
        <is>
          <t>Bergvik skog väst AB</t>
        </is>
      </c>
      <c r="G219" t="n">
        <v>6</v>
      </c>
      <c r="H219" t="n">
        <v>0</v>
      </c>
      <c r="I219" t="n">
        <v>0</v>
      </c>
      <c r="J219" t="n">
        <v>0</v>
      </c>
      <c r="K219" t="n">
        <v>0</v>
      </c>
      <c r="L219" t="n">
        <v>0</v>
      </c>
      <c r="M219" t="n">
        <v>0</v>
      </c>
      <c r="N219" t="n">
        <v>0</v>
      </c>
      <c r="O219" t="n">
        <v>0</v>
      </c>
      <c r="P219" t="n">
        <v>0</v>
      </c>
      <c r="Q219" t="n">
        <v>0</v>
      </c>
      <c r="R219" s="2" t="inlineStr"/>
    </row>
    <row r="220" ht="15" customHeight="1">
      <c r="A220" t="inlineStr">
        <is>
          <t>A 19779-2023</t>
        </is>
      </c>
      <c r="B220" s="1" t="n">
        <v>45050</v>
      </c>
      <c r="C220" s="1" t="n">
        <v>45791</v>
      </c>
      <c r="D220" t="inlineStr">
        <is>
          <t>VÄSTMANLANDS LÄN</t>
        </is>
      </c>
      <c r="E220" t="inlineStr">
        <is>
          <t>SURAHAMMAR</t>
        </is>
      </c>
      <c r="F220" t="inlineStr">
        <is>
          <t>Bergvik skog väst AB</t>
        </is>
      </c>
      <c r="G220" t="n">
        <v>11.1</v>
      </c>
      <c r="H220" t="n">
        <v>0</v>
      </c>
      <c r="I220" t="n">
        <v>0</v>
      </c>
      <c r="J220" t="n">
        <v>0</v>
      </c>
      <c r="K220" t="n">
        <v>0</v>
      </c>
      <c r="L220" t="n">
        <v>0</v>
      </c>
      <c r="M220" t="n">
        <v>0</v>
      </c>
      <c r="N220" t="n">
        <v>0</v>
      </c>
      <c r="O220" t="n">
        <v>0</v>
      </c>
      <c r="P220" t="n">
        <v>0</v>
      </c>
      <c r="Q220" t="n">
        <v>0</v>
      </c>
      <c r="R220" s="2" t="inlineStr"/>
    </row>
    <row r="221" ht="15" customHeight="1">
      <c r="A221" t="inlineStr">
        <is>
          <t>A 19786-2023</t>
        </is>
      </c>
      <c r="B221" s="1" t="n">
        <v>45050</v>
      </c>
      <c r="C221" s="1" t="n">
        <v>45791</v>
      </c>
      <c r="D221" t="inlineStr">
        <is>
          <t>VÄSTMANLANDS LÄN</t>
        </is>
      </c>
      <c r="E221" t="inlineStr">
        <is>
          <t>SURAHAMMAR</t>
        </is>
      </c>
      <c r="F221" t="inlineStr">
        <is>
          <t>Bergvik skog väst AB</t>
        </is>
      </c>
      <c r="G221" t="n">
        <v>8.1</v>
      </c>
      <c r="H221" t="n">
        <v>0</v>
      </c>
      <c r="I221" t="n">
        <v>0</v>
      </c>
      <c r="J221" t="n">
        <v>0</v>
      </c>
      <c r="K221" t="n">
        <v>0</v>
      </c>
      <c r="L221" t="n">
        <v>0</v>
      </c>
      <c r="M221" t="n">
        <v>0</v>
      </c>
      <c r="N221" t="n">
        <v>0</v>
      </c>
      <c r="O221" t="n">
        <v>0</v>
      </c>
      <c r="P221" t="n">
        <v>0</v>
      </c>
      <c r="Q221" t="n">
        <v>0</v>
      </c>
      <c r="R221" s="2" t="inlineStr"/>
    </row>
    <row r="222" ht="15" customHeight="1">
      <c r="A222" t="inlineStr">
        <is>
          <t>A 19782-2023</t>
        </is>
      </c>
      <c r="B222" s="1" t="n">
        <v>45050</v>
      </c>
      <c r="C222" s="1" t="n">
        <v>45791</v>
      </c>
      <c r="D222" t="inlineStr">
        <is>
          <t>VÄSTMANLANDS LÄN</t>
        </is>
      </c>
      <c r="E222" t="inlineStr">
        <is>
          <t>SURAHAMMAR</t>
        </is>
      </c>
      <c r="F222" t="inlineStr">
        <is>
          <t>Bergvik skog väst AB</t>
        </is>
      </c>
      <c r="G222" t="n">
        <v>5.2</v>
      </c>
      <c r="H222" t="n">
        <v>0</v>
      </c>
      <c r="I222" t="n">
        <v>0</v>
      </c>
      <c r="J222" t="n">
        <v>0</v>
      </c>
      <c r="K222" t="n">
        <v>0</v>
      </c>
      <c r="L222" t="n">
        <v>0</v>
      </c>
      <c r="M222" t="n">
        <v>0</v>
      </c>
      <c r="N222" t="n">
        <v>0</v>
      </c>
      <c r="O222" t="n">
        <v>0</v>
      </c>
      <c r="P222" t="n">
        <v>0</v>
      </c>
      <c r="Q222" t="n">
        <v>0</v>
      </c>
      <c r="R222" s="2" t="inlineStr"/>
    </row>
    <row r="223" ht="15" customHeight="1">
      <c r="A223" t="inlineStr">
        <is>
          <t>A 20020-2023</t>
        </is>
      </c>
      <c r="B223" s="1" t="n">
        <v>45054</v>
      </c>
      <c r="C223" s="1" t="n">
        <v>45791</v>
      </c>
      <c r="D223" t="inlineStr">
        <is>
          <t>VÄSTMANLANDS LÄN</t>
        </is>
      </c>
      <c r="E223" t="inlineStr">
        <is>
          <t>SURAHAMMAR</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20018-2023</t>
        </is>
      </c>
      <c r="B224" s="1" t="n">
        <v>45054</v>
      </c>
      <c r="C224" s="1" t="n">
        <v>45791</v>
      </c>
      <c r="D224" t="inlineStr">
        <is>
          <t>VÄSTMANLANDS LÄN</t>
        </is>
      </c>
      <c r="E224" t="inlineStr">
        <is>
          <t>SURAHAMMAR</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20019-2023</t>
        </is>
      </c>
      <c r="B225" s="1" t="n">
        <v>45054</v>
      </c>
      <c r="C225" s="1" t="n">
        <v>45791</v>
      </c>
      <c r="D225" t="inlineStr">
        <is>
          <t>VÄSTMANLANDS LÄN</t>
        </is>
      </c>
      <c r="E225" t="inlineStr">
        <is>
          <t>SURAHAMMAR</t>
        </is>
      </c>
      <c r="F225" t="inlineStr">
        <is>
          <t>Sveaskog</t>
        </is>
      </c>
      <c r="G225" t="n">
        <v>18.5</v>
      </c>
      <c r="H225" t="n">
        <v>0</v>
      </c>
      <c r="I225" t="n">
        <v>0</v>
      </c>
      <c r="J225" t="n">
        <v>0</v>
      </c>
      <c r="K225" t="n">
        <v>0</v>
      </c>
      <c r="L225" t="n">
        <v>0</v>
      </c>
      <c r="M225" t="n">
        <v>0</v>
      </c>
      <c r="N225" t="n">
        <v>0</v>
      </c>
      <c r="O225" t="n">
        <v>0</v>
      </c>
      <c r="P225" t="n">
        <v>0</v>
      </c>
      <c r="Q225" t="n">
        <v>0</v>
      </c>
      <c r="R225" s="2" t="inlineStr"/>
    </row>
    <row r="226" ht="15" customHeight="1">
      <c r="A226" t="inlineStr">
        <is>
          <t>A 20023-2023</t>
        </is>
      </c>
      <c r="B226" s="1" t="n">
        <v>45054</v>
      </c>
      <c r="C226" s="1" t="n">
        <v>45791</v>
      </c>
      <c r="D226" t="inlineStr">
        <is>
          <t>VÄSTMANLANDS LÄN</t>
        </is>
      </c>
      <c r="E226" t="inlineStr">
        <is>
          <t>SURAHAMMAR</t>
        </is>
      </c>
      <c r="F226" t="inlineStr">
        <is>
          <t>Sveaskog</t>
        </is>
      </c>
      <c r="G226" t="n">
        <v>7.8</v>
      </c>
      <c r="H226" t="n">
        <v>0</v>
      </c>
      <c r="I226" t="n">
        <v>0</v>
      </c>
      <c r="J226" t="n">
        <v>0</v>
      </c>
      <c r="K226" t="n">
        <v>0</v>
      </c>
      <c r="L226" t="n">
        <v>0</v>
      </c>
      <c r="M226" t="n">
        <v>0</v>
      </c>
      <c r="N226" t="n">
        <v>0</v>
      </c>
      <c r="O226" t="n">
        <v>0</v>
      </c>
      <c r="P226" t="n">
        <v>0</v>
      </c>
      <c r="Q226" t="n">
        <v>0</v>
      </c>
      <c r="R226" s="2" t="inlineStr"/>
    </row>
    <row r="227" ht="15" customHeight="1">
      <c r="A227" t="inlineStr">
        <is>
          <t>A 20429-2023</t>
        </is>
      </c>
      <c r="B227" s="1" t="n">
        <v>45056</v>
      </c>
      <c r="C227" s="1" t="n">
        <v>45791</v>
      </c>
      <c r="D227" t="inlineStr">
        <is>
          <t>VÄSTMANLANDS LÄN</t>
        </is>
      </c>
      <c r="E227" t="inlineStr">
        <is>
          <t>SURAHAMMAR</t>
        </is>
      </c>
      <c r="G227" t="n">
        <v>5</v>
      </c>
      <c r="H227" t="n">
        <v>0</v>
      </c>
      <c r="I227" t="n">
        <v>0</v>
      </c>
      <c r="J227" t="n">
        <v>0</v>
      </c>
      <c r="K227" t="n">
        <v>0</v>
      </c>
      <c r="L227" t="n">
        <v>0</v>
      </c>
      <c r="M227" t="n">
        <v>0</v>
      </c>
      <c r="N227" t="n">
        <v>0</v>
      </c>
      <c r="O227" t="n">
        <v>0</v>
      </c>
      <c r="P227" t="n">
        <v>0</v>
      </c>
      <c r="Q227" t="n">
        <v>0</v>
      </c>
      <c r="R227" s="2" t="inlineStr"/>
    </row>
    <row r="228" ht="15" customHeight="1">
      <c r="A228" t="inlineStr">
        <is>
          <t>A 20904-2023</t>
        </is>
      </c>
      <c r="B228" s="1" t="n">
        <v>45060</v>
      </c>
      <c r="C228" s="1" t="n">
        <v>45791</v>
      </c>
      <c r="D228" t="inlineStr">
        <is>
          <t>VÄSTMANLANDS LÄN</t>
        </is>
      </c>
      <c r="E228" t="inlineStr">
        <is>
          <t>SURAHAMMAR</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21906-2023</t>
        </is>
      </c>
      <c r="B229" s="1" t="n">
        <v>45068</v>
      </c>
      <c r="C229" s="1" t="n">
        <v>45791</v>
      </c>
      <c r="D229" t="inlineStr">
        <is>
          <t>VÄSTMANLANDS LÄN</t>
        </is>
      </c>
      <c r="E229" t="inlineStr">
        <is>
          <t>SURAHAMMAR</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21905-2023</t>
        </is>
      </c>
      <c r="B230" s="1" t="n">
        <v>45068</v>
      </c>
      <c r="C230" s="1" t="n">
        <v>45791</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21904-2023</t>
        </is>
      </c>
      <c r="B231" s="1" t="n">
        <v>45068</v>
      </c>
      <c r="C231" s="1" t="n">
        <v>45791</v>
      </c>
      <c r="D231" t="inlineStr">
        <is>
          <t>VÄSTMANLANDS LÄN</t>
        </is>
      </c>
      <c r="E231" t="inlineStr">
        <is>
          <t>SURAHAMMAR</t>
        </is>
      </c>
      <c r="F231" t="inlineStr">
        <is>
          <t>Sveaskog</t>
        </is>
      </c>
      <c r="G231" t="n">
        <v>2.8</v>
      </c>
      <c r="H231" t="n">
        <v>0</v>
      </c>
      <c r="I231" t="n">
        <v>0</v>
      </c>
      <c r="J231" t="n">
        <v>0</v>
      </c>
      <c r="K231" t="n">
        <v>0</v>
      </c>
      <c r="L231" t="n">
        <v>0</v>
      </c>
      <c r="M231" t="n">
        <v>0</v>
      </c>
      <c r="N231" t="n">
        <v>0</v>
      </c>
      <c r="O231" t="n">
        <v>0</v>
      </c>
      <c r="P231" t="n">
        <v>0</v>
      </c>
      <c r="Q231" t="n">
        <v>0</v>
      </c>
      <c r="R231" s="2" t="inlineStr"/>
    </row>
    <row r="232" ht="15" customHeight="1">
      <c r="A232" t="inlineStr">
        <is>
          <t>A 22915-2023</t>
        </is>
      </c>
      <c r="B232" s="1" t="n">
        <v>45070</v>
      </c>
      <c r="C232" s="1" t="n">
        <v>45791</v>
      </c>
      <c r="D232" t="inlineStr">
        <is>
          <t>VÄSTMANLANDS LÄN</t>
        </is>
      </c>
      <c r="E232" t="inlineStr">
        <is>
          <t>SURAHAMMAR</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22660-2023</t>
        </is>
      </c>
      <c r="B233" s="1" t="n">
        <v>45071</v>
      </c>
      <c r="C233" s="1" t="n">
        <v>45791</v>
      </c>
      <c r="D233" t="inlineStr">
        <is>
          <t>VÄSTMANLANDS LÄN</t>
        </is>
      </c>
      <c r="E233" t="inlineStr">
        <is>
          <t>SURAHAMMAR</t>
        </is>
      </c>
      <c r="F233" t="inlineStr">
        <is>
          <t>Sveaskog</t>
        </is>
      </c>
      <c r="G233" t="n">
        <v>15.3</v>
      </c>
      <c r="H233" t="n">
        <v>0</v>
      </c>
      <c r="I233" t="n">
        <v>0</v>
      </c>
      <c r="J233" t="n">
        <v>0</v>
      </c>
      <c r="K233" t="n">
        <v>0</v>
      </c>
      <c r="L233" t="n">
        <v>0</v>
      </c>
      <c r="M233" t="n">
        <v>0</v>
      </c>
      <c r="N233" t="n">
        <v>0</v>
      </c>
      <c r="O233" t="n">
        <v>0</v>
      </c>
      <c r="P233" t="n">
        <v>0</v>
      </c>
      <c r="Q233" t="n">
        <v>0</v>
      </c>
      <c r="R233" s="2" t="inlineStr"/>
    </row>
    <row r="234" ht="15" customHeight="1">
      <c r="A234" t="inlineStr">
        <is>
          <t>A 22662-2023</t>
        </is>
      </c>
      <c r="B234" s="1" t="n">
        <v>45071</v>
      </c>
      <c r="C234" s="1" t="n">
        <v>45791</v>
      </c>
      <c r="D234" t="inlineStr">
        <is>
          <t>VÄSTMANLANDS LÄN</t>
        </is>
      </c>
      <c r="E234" t="inlineStr">
        <is>
          <t>SURAHAMMAR</t>
        </is>
      </c>
      <c r="F234" t="inlineStr">
        <is>
          <t>Sveaskog</t>
        </is>
      </c>
      <c r="G234" t="n">
        <v>0.6</v>
      </c>
      <c r="H234" t="n">
        <v>0</v>
      </c>
      <c r="I234" t="n">
        <v>0</v>
      </c>
      <c r="J234" t="n">
        <v>0</v>
      </c>
      <c r="K234" t="n">
        <v>0</v>
      </c>
      <c r="L234" t="n">
        <v>0</v>
      </c>
      <c r="M234" t="n">
        <v>0</v>
      </c>
      <c r="N234" t="n">
        <v>0</v>
      </c>
      <c r="O234" t="n">
        <v>0</v>
      </c>
      <c r="P234" t="n">
        <v>0</v>
      </c>
      <c r="Q234" t="n">
        <v>0</v>
      </c>
      <c r="R234" s="2" t="inlineStr"/>
    </row>
    <row r="235" ht="15" customHeight="1">
      <c r="A235" t="inlineStr">
        <is>
          <t>A 22661-2023</t>
        </is>
      </c>
      <c r="B235" s="1" t="n">
        <v>45071</v>
      </c>
      <c r="C235" s="1" t="n">
        <v>45791</v>
      </c>
      <c r="D235" t="inlineStr">
        <is>
          <t>VÄSTMANLANDS LÄN</t>
        </is>
      </c>
      <c r="E235" t="inlineStr">
        <is>
          <t>SURAHAMMAR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22659-2023</t>
        </is>
      </c>
      <c r="B236" s="1" t="n">
        <v>45071</v>
      </c>
      <c r="C236" s="1" t="n">
        <v>45791</v>
      </c>
      <c r="D236" t="inlineStr">
        <is>
          <t>VÄSTMANLANDS LÄN</t>
        </is>
      </c>
      <c r="E236" t="inlineStr">
        <is>
          <t>SURAHAMMAR</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23731-2023</t>
        </is>
      </c>
      <c r="B237" s="1" t="n">
        <v>45077</v>
      </c>
      <c r="C237" s="1" t="n">
        <v>45791</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24156-2023</t>
        </is>
      </c>
      <c r="B238" s="1" t="n">
        <v>45079</v>
      </c>
      <c r="C238" s="1" t="n">
        <v>45791</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24158-2023</t>
        </is>
      </c>
      <c r="B239" s="1" t="n">
        <v>45079</v>
      </c>
      <c r="C239" s="1" t="n">
        <v>45791</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24197-2023</t>
        </is>
      </c>
      <c r="B240" s="1" t="n">
        <v>45079</v>
      </c>
      <c r="C240" s="1" t="n">
        <v>45791</v>
      </c>
      <c r="D240" t="inlineStr">
        <is>
          <t>VÄSTMANLANDS LÄN</t>
        </is>
      </c>
      <c r="E240" t="inlineStr">
        <is>
          <t>SURAHAMMAR</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24180-2023</t>
        </is>
      </c>
      <c r="B241" s="1" t="n">
        <v>45079</v>
      </c>
      <c r="C241" s="1" t="n">
        <v>45791</v>
      </c>
      <c r="D241" t="inlineStr">
        <is>
          <t>VÄSTMANLANDS LÄN</t>
        </is>
      </c>
      <c r="E241" t="inlineStr">
        <is>
          <t>SURAHAMMAR</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24665-2023</t>
        </is>
      </c>
      <c r="B242" s="1" t="n">
        <v>45084</v>
      </c>
      <c r="C242" s="1" t="n">
        <v>45791</v>
      </c>
      <c r="D242" t="inlineStr">
        <is>
          <t>VÄSTMANLANDS LÄN</t>
        </is>
      </c>
      <c r="E242" t="inlineStr">
        <is>
          <t>SURAHAMMAR</t>
        </is>
      </c>
      <c r="G242" t="n">
        <v>0.9</v>
      </c>
      <c r="H242" t="n">
        <v>0</v>
      </c>
      <c r="I242" t="n">
        <v>0</v>
      </c>
      <c r="J242" t="n">
        <v>0</v>
      </c>
      <c r="K242" t="n">
        <v>0</v>
      </c>
      <c r="L242" t="n">
        <v>0</v>
      </c>
      <c r="M242" t="n">
        <v>0</v>
      </c>
      <c r="N242" t="n">
        <v>0</v>
      </c>
      <c r="O242" t="n">
        <v>0</v>
      </c>
      <c r="P242" t="n">
        <v>0</v>
      </c>
      <c r="Q242" t="n">
        <v>0</v>
      </c>
      <c r="R242" s="2" t="inlineStr"/>
    </row>
    <row r="243" ht="15" customHeight="1">
      <c r="A243" t="inlineStr">
        <is>
          <t>A 25775-2023</t>
        </is>
      </c>
      <c r="B243" s="1" t="n">
        <v>45090</v>
      </c>
      <c r="C243" s="1" t="n">
        <v>45791</v>
      </c>
      <c r="D243" t="inlineStr">
        <is>
          <t>VÄSTMANLANDS LÄN</t>
        </is>
      </c>
      <c r="E243" t="inlineStr">
        <is>
          <t>SURAHAMMAR</t>
        </is>
      </c>
      <c r="G243" t="n">
        <v>1.6</v>
      </c>
      <c r="H243" t="n">
        <v>0</v>
      </c>
      <c r="I243" t="n">
        <v>0</v>
      </c>
      <c r="J243" t="n">
        <v>0</v>
      </c>
      <c r="K243" t="n">
        <v>0</v>
      </c>
      <c r="L243" t="n">
        <v>0</v>
      </c>
      <c r="M243" t="n">
        <v>0</v>
      </c>
      <c r="N243" t="n">
        <v>0</v>
      </c>
      <c r="O243" t="n">
        <v>0</v>
      </c>
      <c r="P243" t="n">
        <v>0</v>
      </c>
      <c r="Q243" t="n">
        <v>0</v>
      </c>
      <c r="R243" s="2" t="inlineStr"/>
    </row>
    <row r="244" ht="15" customHeight="1">
      <c r="A244" t="inlineStr">
        <is>
          <t>A 25780-2023</t>
        </is>
      </c>
      <c r="B244" s="1" t="n">
        <v>45090</v>
      </c>
      <c r="C244" s="1" t="n">
        <v>45791</v>
      </c>
      <c r="D244" t="inlineStr">
        <is>
          <t>VÄSTMANLANDS LÄN</t>
        </is>
      </c>
      <c r="E244" t="inlineStr">
        <is>
          <t>SURAHAMMAR</t>
        </is>
      </c>
      <c r="G244" t="n">
        <v>2.8</v>
      </c>
      <c r="H244" t="n">
        <v>0</v>
      </c>
      <c r="I244" t="n">
        <v>0</v>
      </c>
      <c r="J244" t="n">
        <v>0</v>
      </c>
      <c r="K244" t="n">
        <v>0</v>
      </c>
      <c r="L244" t="n">
        <v>0</v>
      </c>
      <c r="M244" t="n">
        <v>0</v>
      </c>
      <c r="N244" t="n">
        <v>0</v>
      </c>
      <c r="O244" t="n">
        <v>0</v>
      </c>
      <c r="P244" t="n">
        <v>0</v>
      </c>
      <c r="Q244" t="n">
        <v>0</v>
      </c>
      <c r="R244" s="2" t="inlineStr"/>
    </row>
    <row r="245" ht="15" customHeight="1">
      <c r="A245" t="inlineStr">
        <is>
          <t>A 27140-2023</t>
        </is>
      </c>
      <c r="B245" s="1" t="n">
        <v>45096</v>
      </c>
      <c r="C245" s="1" t="n">
        <v>45791</v>
      </c>
      <c r="D245" t="inlineStr">
        <is>
          <t>VÄSTMANLANDS LÄN</t>
        </is>
      </c>
      <c r="E245" t="inlineStr">
        <is>
          <t>SURAHAMMAR</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27156-2023</t>
        </is>
      </c>
      <c r="B246" s="1" t="n">
        <v>45096</v>
      </c>
      <c r="C246" s="1" t="n">
        <v>45791</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27142-2023</t>
        </is>
      </c>
      <c r="B247" s="1" t="n">
        <v>45096</v>
      </c>
      <c r="C247" s="1" t="n">
        <v>45791</v>
      </c>
      <c r="D247" t="inlineStr">
        <is>
          <t>VÄSTMANLANDS LÄN</t>
        </is>
      </c>
      <c r="E247" t="inlineStr">
        <is>
          <t>SURAHAMMAR</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27171-2023</t>
        </is>
      </c>
      <c r="B248" s="1" t="n">
        <v>45096</v>
      </c>
      <c r="C248" s="1" t="n">
        <v>45791</v>
      </c>
      <c r="D248" t="inlineStr">
        <is>
          <t>VÄSTMANLANDS LÄN</t>
        </is>
      </c>
      <c r="E248" t="inlineStr">
        <is>
          <t>SURAHAMMAR</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28051-2023</t>
        </is>
      </c>
      <c r="B249" s="1" t="n">
        <v>45099</v>
      </c>
      <c r="C249" s="1" t="n">
        <v>45791</v>
      </c>
      <c r="D249" t="inlineStr">
        <is>
          <t>VÄSTMANLANDS LÄN</t>
        </is>
      </c>
      <c r="E249" t="inlineStr">
        <is>
          <t>SURAHAMMAR</t>
        </is>
      </c>
      <c r="F249" t="inlineStr">
        <is>
          <t>Allmännings- och besparingsskogar</t>
        </is>
      </c>
      <c r="G249" t="n">
        <v>23.3</v>
      </c>
      <c r="H249" t="n">
        <v>0</v>
      </c>
      <c r="I249" t="n">
        <v>0</v>
      </c>
      <c r="J249" t="n">
        <v>0</v>
      </c>
      <c r="K249" t="n">
        <v>0</v>
      </c>
      <c r="L249" t="n">
        <v>0</v>
      </c>
      <c r="M249" t="n">
        <v>0</v>
      </c>
      <c r="N249" t="n">
        <v>0</v>
      </c>
      <c r="O249" t="n">
        <v>0</v>
      </c>
      <c r="P249" t="n">
        <v>0</v>
      </c>
      <c r="Q249" t="n">
        <v>0</v>
      </c>
      <c r="R249" s="2" t="inlineStr"/>
    </row>
    <row r="250" ht="15" customHeight="1">
      <c r="A250" t="inlineStr">
        <is>
          <t>A 30076-2023</t>
        </is>
      </c>
      <c r="B250" s="1" t="n">
        <v>45110</v>
      </c>
      <c r="C250" s="1" t="n">
        <v>45791</v>
      </c>
      <c r="D250" t="inlineStr">
        <is>
          <t>VÄSTMANLANDS LÄN</t>
        </is>
      </c>
      <c r="E250" t="inlineStr">
        <is>
          <t>SURAHAMMAR</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37138-2023</t>
        </is>
      </c>
      <c r="B251" s="1" t="n">
        <v>45155</v>
      </c>
      <c r="C251" s="1" t="n">
        <v>45791</v>
      </c>
      <c r="D251" t="inlineStr">
        <is>
          <t>VÄSTMANLANDS LÄN</t>
        </is>
      </c>
      <c r="E251" t="inlineStr">
        <is>
          <t>SURAHAMMAR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37287-2023</t>
        </is>
      </c>
      <c r="B252" s="1" t="n">
        <v>45156</v>
      </c>
      <c r="C252" s="1" t="n">
        <v>45791</v>
      </c>
      <c r="D252" t="inlineStr">
        <is>
          <t>VÄSTMANLANDS LÄN</t>
        </is>
      </c>
      <c r="E252" t="inlineStr">
        <is>
          <t>SURAHAMMAR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37635-2023</t>
        </is>
      </c>
      <c r="B253" s="1" t="n">
        <v>45159</v>
      </c>
      <c r="C253" s="1" t="n">
        <v>45791</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37639-2023</t>
        </is>
      </c>
      <c r="B254" s="1" t="n">
        <v>45159</v>
      </c>
      <c r="C254" s="1" t="n">
        <v>45791</v>
      </c>
      <c r="D254" t="inlineStr">
        <is>
          <t>VÄSTMANLANDS LÄN</t>
        </is>
      </c>
      <c r="E254" t="inlineStr">
        <is>
          <t>SURAHAMMAR</t>
        </is>
      </c>
      <c r="G254" t="n">
        <v>4.9</v>
      </c>
      <c r="H254" t="n">
        <v>0</v>
      </c>
      <c r="I254" t="n">
        <v>0</v>
      </c>
      <c r="J254" t="n">
        <v>0</v>
      </c>
      <c r="K254" t="n">
        <v>0</v>
      </c>
      <c r="L254" t="n">
        <v>0</v>
      </c>
      <c r="M254" t="n">
        <v>0</v>
      </c>
      <c r="N254" t="n">
        <v>0</v>
      </c>
      <c r="O254" t="n">
        <v>0</v>
      </c>
      <c r="P254" t="n">
        <v>0</v>
      </c>
      <c r="Q254" t="n">
        <v>0</v>
      </c>
      <c r="R254" s="2" t="inlineStr"/>
    </row>
    <row r="255" ht="15" customHeight="1">
      <c r="A255" t="inlineStr">
        <is>
          <t>A 40956-2023</t>
        </is>
      </c>
      <c r="B255" s="1" t="n">
        <v>45169</v>
      </c>
      <c r="C255" s="1" t="n">
        <v>45791</v>
      </c>
      <c r="D255" t="inlineStr">
        <is>
          <t>VÄSTMANLANDS LÄN</t>
        </is>
      </c>
      <c r="E255" t="inlineStr">
        <is>
          <t>SURAHAMMAR</t>
        </is>
      </c>
      <c r="F255" t="inlineStr">
        <is>
          <t>Bergvik skog väst AB</t>
        </is>
      </c>
      <c r="G255" t="n">
        <v>7.6</v>
      </c>
      <c r="H255" t="n">
        <v>0</v>
      </c>
      <c r="I255" t="n">
        <v>0</v>
      </c>
      <c r="J255" t="n">
        <v>0</v>
      </c>
      <c r="K255" t="n">
        <v>0</v>
      </c>
      <c r="L255" t="n">
        <v>0</v>
      </c>
      <c r="M255" t="n">
        <v>0</v>
      </c>
      <c r="N255" t="n">
        <v>0</v>
      </c>
      <c r="O255" t="n">
        <v>0</v>
      </c>
      <c r="P255" t="n">
        <v>0</v>
      </c>
      <c r="Q255" t="n">
        <v>0</v>
      </c>
      <c r="R255" s="2" t="inlineStr"/>
    </row>
    <row r="256" ht="15" customHeight="1">
      <c r="A256" t="inlineStr">
        <is>
          <t>A 40445-2023</t>
        </is>
      </c>
      <c r="B256" s="1" t="n">
        <v>45170</v>
      </c>
      <c r="C256" s="1" t="n">
        <v>45791</v>
      </c>
      <c r="D256" t="inlineStr">
        <is>
          <t>VÄSTMANLANDS LÄN</t>
        </is>
      </c>
      <c r="E256" t="inlineStr">
        <is>
          <t>SURAHAMMAR</t>
        </is>
      </c>
      <c r="G256" t="n">
        <v>15.6</v>
      </c>
      <c r="H256" t="n">
        <v>0</v>
      </c>
      <c r="I256" t="n">
        <v>0</v>
      </c>
      <c r="J256" t="n">
        <v>0</v>
      </c>
      <c r="K256" t="n">
        <v>0</v>
      </c>
      <c r="L256" t="n">
        <v>0</v>
      </c>
      <c r="M256" t="n">
        <v>0</v>
      </c>
      <c r="N256" t="n">
        <v>0</v>
      </c>
      <c r="O256" t="n">
        <v>0</v>
      </c>
      <c r="P256" t="n">
        <v>0</v>
      </c>
      <c r="Q256" t="n">
        <v>0</v>
      </c>
      <c r="R256" s="2" t="inlineStr"/>
    </row>
    <row r="257" ht="15" customHeight="1">
      <c r="A257" t="inlineStr">
        <is>
          <t>A 48906-2023</t>
        </is>
      </c>
      <c r="B257" s="1" t="n">
        <v>45203</v>
      </c>
      <c r="C257" s="1" t="n">
        <v>45791</v>
      </c>
      <c r="D257" t="inlineStr">
        <is>
          <t>VÄSTMANLANDS LÄN</t>
        </is>
      </c>
      <c r="E257" t="inlineStr">
        <is>
          <t>SURAHAMMAR</t>
        </is>
      </c>
      <c r="F257" t="inlineStr">
        <is>
          <t>Bergvik skog väst AB</t>
        </is>
      </c>
      <c r="G257" t="n">
        <v>2.5</v>
      </c>
      <c r="H257" t="n">
        <v>0</v>
      </c>
      <c r="I257" t="n">
        <v>0</v>
      </c>
      <c r="J257" t="n">
        <v>0</v>
      </c>
      <c r="K257" t="n">
        <v>0</v>
      </c>
      <c r="L257" t="n">
        <v>0</v>
      </c>
      <c r="M257" t="n">
        <v>0</v>
      </c>
      <c r="N257" t="n">
        <v>0</v>
      </c>
      <c r="O257" t="n">
        <v>0</v>
      </c>
      <c r="P257" t="n">
        <v>0</v>
      </c>
      <c r="Q257" t="n">
        <v>0</v>
      </c>
      <c r="R257" s="2" t="inlineStr"/>
      <c r="U257">
        <f>HYPERLINK("https://klasma.github.io/Logging_1907/knärot/A 48906-2023 karta knärot.png", "A 48906-2023")</f>
        <v/>
      </c>
      <c r="V257">
        <f>HYPERLINK("https://klasma.github.io/Logging_1907/klagomål/A 48906-2023 FSC-klagomål.docx", "A 48906-2023")</f>
        <v/>
      </c>
      <c r="W257">
        <f>HYPERLINK("https://klasma.github.io/Logging_1907/klagomålsmail/A 48906-2023 FSC-klagomål mail.docx", "A 48906-2023")</f>
        <v/>
      </c>
      <c r="X257">
        <f>HYPERLINK("https://klasma.github.io/Logging_1907/tillsyn/A 48906-2023 tillsynsbegäran.docx", "A 48906-2023")</f>
        <v/>
      </c>
      <c r="Y257">
        <f>HYPERLINK("https://klasma.github.io/Logging_1907/tillsynsmail/A 48906-2023 tillsynsbegäran mail.docx", "A 48906-2023")</f>
        <v/>
      </c>
    </row>
    <row r="258" ht="15" customHeight="1">
      <c r="A258" t="inlineStr">
        <is>
          <t>A 48205-2023</t>
        </is>
      </c>
      <c r="B258" s="1" t="n">
        <v>45205</v>
      </c>
      <c r="C258" s="1" t="n">
        <v>45791</v>
      </c>
      <c r="D258" t="inlineStr">
        <is>
          <t>VÄSTMANLANDS LÄN</t>
        </is>
      </c>
      <c r="E258" t="inlineStr">
        <is>
          <t>SURAHAMMAR</t>
        </is>
      </c>
      <c r="F258" t="inlineStr">
        <is>
          <t>Allmännings- och besparingsskogar</t>
        </is>
      </c>
      <c r="G258" t="n">
        <v>7.6</v>
      </c>
      <c r="H258" t="n">
        <v>0</v>
      </c>
      <c r="I258" t="n">
        <v>0</v>
      </c>
      <c r="J258" t="n">
        <v>0</v>
      </c>
      <c r="K258" t="n">
        <v>0</v>
      </c>
      <c r="L258" t="n">
        <v>0</v>
      </c>
      <c r="M258" t="n">
        <v>0</v>
      </c>
      <c r="N258" t="n">
        <v>0</v>
      </c>
      <c r="O258" t="n">
        <v>0</v>
      </c>
      <c r="P258" t="n">
        <v>0</v>
      </c>
      <c r="Q258" t="n">
        <v>0</v>
      </c>
      <c r="R258" s="2" t="inlineStr"/>
    </row>
    <row r="259" ht="15" customHeight="1">
      <c r="A259" t="inlineStr">
        <is>
          <t>A 56378-2023</t>
        </is>
      </c>
      <c r="B259" s="1" t="n">
        <v>45236</v>
      </c>
      <c r="C259" s="1" t="n">
        <v>45791</v>
      </c>
      <c r="D259" t="inlineStr">
        <is>
          <t>VÄSTMANLANDS LÄN</t>
        </is>
      </c>
      <c r="E259" t="inlineStr">
        <is>
          <t>SURAHAMMAR</t>
        </is>
      </c>
      <c r="F259" t="inlineStr">
        <is>
          <t>Bergvik skog väst AB</t>
        </is>
      </c>
      <c r="G259" t="n">
        <v>3.6</v>
      </c>
      <c r="H259" t="n">
        <v>0</v>
      </c>
      <c r="I259" t="n">
        <v>0</v>
      </c>
      <c r="J259" t="n">
        <v>0</v>
      </c>
      <c r="K259" t="n">
        <v>0</v>
      </c>
      <c r="L259" t="n">
        <v>0</v>
      </c>
      <c r="M259" t="n">
        <v>0</v>
      </c>
      <c r="N259" t="n">
        <v>0</v>
      </c>
      <c r="O259" t="n">
        <v>0</v>
      </c>
      <c r="P259" t="n">
        <v>0</v>
      </c>
      <c r="Q259" t="n">
        <v>0</v>
      </c>
      <c r="R259" s="2" t="inlineStr"/>
    </row>
    <row r="260" ht="15" customHeight="1">
      <c r="A260" t="inlineStr">
        <is>
          <t>A 56183-2023</t>
        </is>
      </c>
      <c r="B260" s="1" t="n">
        <v>45240</v>
      </c>
      <c r="C260" s="1" t="n">
        <v>45791</v>
      </c>
      <c r="D260" t="inlineStr">
        <is>
          <t>VÄSTMANLANDS LÄN</t>
        </is>
      </c>
      <c r="E260" t="inlineStr">
        <is>
          <t>SURAHAMMAR</t>
        </is>
      </c>
      <c r="F260" t="inlineStr">
        <is>
          <t>Allmännings- och besparingsskogar</t>
        </is>
      </c>
      <c r="G260" t="n">
        <v>2</v>
      </c>
      <c r="H260" t="n">
        <v>0</v>
      </c>
      <c r="I260" t="n">
        <v>0</v>
      </c>
      <c r="J260" t="n">
        <v>0</v>
      </c>
      <c r="K260" t="n">
        <v>0</v>
      </c>
      <c r="L260" t="n">
        <v>0</v>
      </c>
      <c r="M260" t="n">
        <v>0</v>
      </c>
      <c r="N260" t="n">
        <v>0</v>
      </c>
      <c r="O260" t="n">
        <v>0</v>
      </c>
      <c r="P260" t="n">
        <v>0</v>
      </c>
      <c r="Q260" t="n">
        <v>0</v>
      </c>
      <c r="R260" s="2" t="inlineStr"/>
    </row>
    <row r="261" ht="15" customHeight="1">
      <c r="A261" t="inlineStr">
        <is>
          <t>A 58338-2023</t>
        </is>
      </c>
      <c r="B261" s="1" t="n">
        <v>45250</v>
      </c>
      <c r="C261" s="1" t="n">
        <v>45791</v>
      </c>
      <c r="D261" t="inlineStr">
        <is>
          <t>VÄSTMANLANDS LÄN</t>
        </is>
      </c>
      <c r="E261" t="inlineStr">
        <is>
          <t>SURAHAMMAR</t>
        </is>
      </c>
      <c r="F261" t="inlineStr">
        <is>
          <t>Allmännings- och besparingsskogar</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58356-2023</t>
        </is>
      </c>
      <c r="B262" s="1" t="n">
        <v>45250</v>
      </c>
      <c r="C262" s="1" t="n">
        <v>45791</v>
      </c>
      <c r="D262" t="inlineStr">
        <is>
          <t>VÄSTMANLANDS LÄN</t>
        </is>
      </c>
      <c r="E262" t="inlineStr">
        <is>
          <t>SURAHAMMAR</t>
        </is>
      </c>
      <c r="F262" t="inlineStr">
        <is>
          <t>Allmännings- och besparingsskogar</t>
        </is>
      </c>
      <c r="G262" t="n">
        <v>2.2</v>
      </c>
      <c r="H262" t="n">
        <v>0</v>
      </c>
      <c r="I262" t="n">
        <v>0</v>
      </c>
      <c r="J262" t="n">
        <v>0</v>
      </c>
      <c r="K262" t="n">
        <v>0</v>
      </c>
      <c r="L262" t="n">
        <v>0</v>
      </c>
      <c r="M262" t="n">
        <v>0</v>
      </c>
      <c r="N262" t="n">
        <v>0</v>
      </c>
      <c r="O262" t="n">
        <v>0</v>
      </c>
      <c r="P262" t="n">
        <v>0</v>
      </c>
      <c r="Q262" t="n">
        <v>0</v>
      </c>
      <c r="R262" s="2" t="inlineStr"/>
    </row>
    <row r="263" ht="15" customHeight="1">
      <c r="A263" t="inlineStr">
        <is>
          <t>A 59317-2023</t>
        </is>
      </c>
      <c r="B263" s="1" t="n">
        <v>45253</v>
      </c>
      <c r="C263" s="1" t="n">
        <v>45791</v>
      </c>
      <c r="D263" t="inlineStr">
        <is>
          <t>VÄSTMANLANDS LÄN</t>
        </is>
      </c>
      <c r="E263" t="inlineStr">
        <is>
          <t>SURAHAMMAR</t>
        </is>
      </c>
      <c r="G263" t="n">
        <v>7.1</v>
      </c>
      <c r="H263" t="n">
        <v>0</v>
      </c>
      <c r="I263" t="n">
        <v>0</v>
      </c>
      <c r="J263" t="n">
        <v>0</v>
      </c>
      <c r="K263" t="n">
        <v>0</v>
      </c>
      <c r="L263" t="n">
        <v>0</v>
      </c>
      <c r="M263" t="n">
        <v>0</v>
      </c>
      <c r="N263" t="n">
        <v>0</v>
      </c>
      <c r="O263" t="n">
        <v>0</v>
      </c>
      <c r="P263" t="n">
        <v>0</v>
      </c>
      <c r="Q263" t="n">
        <v>0</v>
      </c>
      <c r="R263" s="2" t="inlineStr"/>
    </row>
    <row r="264" ht="15" customHeight="1">
      <c r="A264" t="inlineStr">
        <is>
          <t>A 64343-2023</t>
        </is>
      </c>
      <c r="B264" s="1" t="n">
        <v>45280</v>
      </c>
      <c r="C264" s="1" t="n">
        <v>45791</v>
      </c>
      <c r="D264" t="inlineStr">
        <is>
          <t>VÄSTMANLANDS LÄN</t>
        </is>
      </c>
      <c r="E264" t="inlineStr">
        <is>
          <t>SURAHAMMAR</t>
        </is>
      </c>
      <c r="G264" t="n">
        <v>2.9</v>
      </c>
      <c r="H264" t="n">
        <v>0</v>
      </c>
      <c r="I264" t="n">
        <v>0</v>
      </c>
      <c r="J264" t="n">
        <v>0</v>
      </c>
      <c r="K264" t="n">
        <v>0</v>
      </c>
      <c r="L264" t="n">
        <v>0</v>
      </c>
      <c r="M264" t="n">
        <v>0</v>
      </c>
      <c r="N264" t="n">
        <v>0</v>
      </c>
      <c r="O264" t="n">
        <v>0</v>
      </c>
      <c r="P264" t="n">
        <v>0</v>
      </c>
      <c r="Q264" t="n">
        <v>0</v>
      </c>
      <c r="R264" s="2" t="inlineStr"/>
    </row>
    <row r="265" ht="15" customHeight="1">
      <c r="A265" t="inlineStr">
        <is>
          <t>A 1316-2024</t>
        </is>
      </c>
      <c r="B265" s="1" t="n">
        <v>45303</v>
      </c>
      <c r="C265" s="1" t="n">
        <v>45791</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2680-2024</t>
        </is>
      </c>
      <c r="B266" s="1" t="n">
        <v>45310</v>
      </c>
      <c r="C266" s="1" t="n">
        <v>45791</v>
      </c>
      <c r="D266" t="inlineStr">
        <is>
          <t>VÄSTMANLANDS LÄN</t>
        </is>
      </c>
      <c r="E266" t="inlineStr">
        <is>
          <t>SURAHAMMAR</t>
        </is>
      </c>
      <c r="G266" t="n">
        <v>1.8</v>
      </c>
      <c r="H266" t="n">
        <v>0</v>
      </c>
      <c r="I266" t="n">
        <v>0</v>
      </c>
      <c r="J266" t="n">
        <v>0</v>
      </c>
      <c r="K266" t="n">
        <v>0</v>
      </c>
      <c r="L266" t="n">
        <v>0</v>
      </c>
      <c r="M266" t="n">
        <v>0</v>
      </c>
      <c r="N266" t="n">
        <v>0</v>
      </c>
      <c r="O266" t="n">
        <v>0</v>
      </c>
      <c r="P266" t="n">
        <v>0</v>
      </c>
      <c r="Q266" t="n">
        <v>0</v>
      </c>
      <c r="R266" s="2" t="inlineStr"/>
    </row>
    <row r="267" ht="15" customHeight="1">
      <c r="A267" t="inlineStr">
        <is>
          <t>A 2660-2024</t>
        </is>
      </c>
      <c r="B267" s="1" t="n">
        <v>45310</v>
      </c>
      <c r="C267" s="1" t="n">
        <v>45791</v>
      </c>
      <c r="D267" t="inlineStr">
        <is>
          <t>VÄSTMANLANDS LÄN</t>
        </is>
      </c>
      <c r="E267" t="inlineStr">
        <is>
          <t>SURAHAMMAR</t>
        </is>
      </c>
      <c r="G267" t="n">
        <v>2.1</v>
      </c>
      <c r="H267" t="n">
        <v>0</v>
      </c>
      <c r="I267" t="n">
        <v>0</v>
      </c>
      <c r="J267" t="n">
        <v>0</v>
      </c>
      <c r="K267" t="n">
        <v>0</v>
      </c>
      <c r="L267" t="n">
        <v>0</v>
      </c>
      <c r="M267" t="n">
        <v>0</v>
      </c>
      <c r="N267" t="n">
        <v>0</v>
      </c>
      <c r="O267" t="n">
        <v>0</v>
      </c>
      <c r="P267" t="n">
        <v>0</v>
      </c>
      <c r="Q267" t="n">
        <v>0</v>
      </c>
      <c r="R267" s="2" t="inlineStr"/>
    </row>
    <row r="268" ht="15" customHeight="1">
      <c r="A268" t="inlineStr">
        <is>
          <t>A 2866-2024</t>
        </is>
      </c>
      <c r="B268" s="1" t="n">
        <v>45315</v>
      </c>
      <c r="C268" s="1" t="n">
        <v>45791</v>
      </c>
      <c r="D268" t="inlineStr">
        <is>
          <t>VÄSTMANLANDS LÄN</t>
        </is>
      </c>
      <c r="E268" t="inlineStr">
        <is>
          <t>SURAHAMMAR</t>
        </is>
      </c>
      <c r="F268" t="inlineStr">
        <is>
          <t>Bergvik skog väst AB</t>
        </is>
      </c>
      <c r="G268" t="n">
        <v>5.1</v>
      </c>
      <c r="H268" t="n">
        <v>0</v>
      </c>
      <c r="I268" t="n">
        <v>0</v>
      </c>
      <c r="J268" t="n">
        <v>0</v>
      </c>
      <c r="K268" t="n">
        <v>0</v>
      </c>
      <c r="L268" t="n">
        <v>0</v>
      </c>
      <c r="M268" t="n">
        <v>0</v>
      </c>
      <c r="N268" t="n">
        <v>0</v>
      </c>
      <c r="O268" t="n">
        <v>0</v>
      </c>
      <c r="P268" t="n">
        <v>0</v>
      </c>
      <c r="Q268" t="n">
        <v>0</v>
      </c>
      <c r="R268" s="2" t="inlineStr"/>
    </row>
    <row r="269" ht="15" customHeight="1">
      <c r="A269" t="inlineStr">
        <is>
          <t>A 2867-2024</t>
        </is>
      </c>
      <c r="B269" s="1" t="n">
        <v>45315</v>
      </c>
      <c r="C269" s="1" t="n">
        <v>45791</v>
      </c>
      <c r="D269" t="inlineStr">
        <is>
          <t>VÄSTMANLANDS LÄN</t>
        </is>
      </c>
      <c r="E269" t="inlineStr">
        <is>
          <t>SURAHAMMAR</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4759-2024</t>
        </is>
      </c>
      <c r="B270" s="1" t="n">
        <v>45328</v>
      </c>
      <c r="C270" s="1" t="n">
        <v>45791</v>
      </c>
      <c r="D270" t="inlineStr">
        <is>
          <t>VÄSTMANLANDS LÄN</t>
        </is>
      </c>
      <c r="E270" t="inlineStr">
        <is>
          <t>SURAHAMMAR</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5168-2024</t>
        </is>
      </c>
      <c r="B271" s="1" t="n">
        <v>45330</v>
      </c>
      <c r="C271" s="1" t="n">
        <v>45791</v>
      </c>
      <c r="D271" t="inlineStr">
        <is>
          <t>VÄSTMANLANDS LÄN</t>
        </is>
      </c>
      <c r="E271" t="inlineStr">
        <is>
          <t>SURAHAMMAR</t>
        </is>
      </c>
      <c r="F271" t="inlineStr">
        <is>
          <t>Övriga Aktiebolag</t>
        </is>
      </c>
      <c r="G271" t="n">
        <v>3.4</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45791</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45791</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45791</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45791</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45791</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45791</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45791</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45791</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45791</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45791</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45791</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45791</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45791</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45791</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45791</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45791</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45791</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45791</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45791</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45791</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45791</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45791</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45791</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45791</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45791</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45791</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45791</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45791</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45791</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45791</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45791</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45791</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45791</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2025-05-14T17:25:37Z</dcterms:created>
  <dcterms:modified xmlns:dcterms="http://purl.org/dc/terms/" xmlns:xsi="http://www.w3.org/2001/XMLSchema-instance" xsi:type="dcterms:W3CDTF">2025-05-14T17:25:37Z</dcterms:modified>
</cp:coreProperties>
</file>