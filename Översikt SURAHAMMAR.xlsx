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46272</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240</v>
      </c>
      <c r="U4" t="n">
        <v>104</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46272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46272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46272</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46272</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46272</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46272</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46272</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46272</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46272</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46272</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46272</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46272</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46272</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46272</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46272</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46272</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44798-2024</t>
        </is>
      </c>
      <c r="B23" t="inlineStr">
        <is>
          <t>avverkningsanmälan</t>
        </is>
      </c>
      <c r="C23" t="inlineStr">
        <is>
          <t>Föryngringsavverkning</t>
        </is>
      </c>
      <c r="D23" s="1" t="n">
        <v>45574</v>
      </c>
      <c r="E23" s="1" t="n">
        <v>46272</v>
      </c>
      <c r="F23" t="inlineStr">
        <is>
          <t>VÄSTMANLANDS LÄN</t>
        </is>
      </c>
      <c r="G23" t="inlineStr">
        <is>
          <t>SURAHAMMAR</t>
        </is>
      </c>
      <c r="H23" t="inlineStr">
        <is>
          <t>Bergvik skog väst AB</t>
        </is>
      </c>
      <c r="I23" t="n">
        <v>4.4</v>
      </c>
      <c r="J23" t="n">
        <v>0</v>
      </c>
      <c r="K23" t="n">
        <v>1</v>
      </c>
      <c r="L23" t="n">
        <v>7</v>
      </c>
      <c r="M23" t="n">
        <v>1</v>
      </c>
      <c r="N23" t="n">
        <v>0</v>
      </c>
      <c r="O23" t="n">
        <v>0</v>
      </c>
      <c r="P23" t="n">
        <v>0</v>
      </c>
      <c r="Q23" t="n">
        <v>8</v>
      </c>
      <c r="R23" t="n">
        <v>1</v>
      </c>
      <c r="S23" t="n">
        <v>9</v>
      </c>
      <c r="T23" t="n">
        <v>26</v>
      </c>
      <c r="U23" t="n">
        <v>10</v>
      </c>
      <c r="V23" s="2" t="inlineStr">
        <is>
          <t>Rosetticka
Brunklöver
Gropticka
Persiljespindling
Scharlakansvaxing
Svinrot
Ullticka
Vågticka
Brandticka</t>
        </is>
      </c>
      <c r="W23">
        <f>HYPERLINK("https://klasma.github.io/Logging_1907/artfynd/A 44798-2024 artfynd.xlsx", "A 44798-2024")</f>
        <v/>
      </c>
      <c r="X23">
        <f>HYPERLINK("https://klasma.github.io/Logging_1907/kartor/A 44798-2024 karta.png", "A 44798-2024")</f>
        <v/>
      </c>
      <c r="Y23">
        <f>HYPERLINK("https://klasma.github.io/Logging_1907/kartor_geotiff/A 44798-2024 georefererad karta.tif", "A 44798-2024")</f>
        <v/>
      </c>
      <c r="AA23">
        <f>HYPERLINK("https://klasma.github.io/Logging_1907/klagomål/A 44798-2024 FSC-klagomål.docx", "A 44798-2024")</f>
        <v/>
      </c>
      <c r="AB23">
        <f>HYPERLINK("https://klasma.github.io/Logging_1907/klagomålsmail/A 44798-2024 FSC-klagomål mail.docx", "A 44798-2024")</f>
        <v/>
      </c>
      <c r="AC23">
        <f>HYPERLINK("https://klasma.github.io/Logging_1907/tillsyn/A 44798-2024 tillsynsbegäran.docx", "A 44798-2024")</f>
        <v/>
      </c>
      <c r="AD23">
        <f>HYPERLINK("https://klasma.github.io/Logging_1907/tillsynsmail/A 44798-2024 tillsynsbegäran mail.docx", "A 44798-2024")</f>
        <v/>
      </c>
    </row>
    <row r="24" ht="15" customHeight="1">
      <c r="A24" t="inlineStr">
        <is>
          <t>A 31060-2026</t>
        </is>
      </c>
      <c r="B24" t="inlineStr">
        <is>
          <t>avverkningsanmälan</t>
        </is>
      </c>
      <c r="C24" t="inlineStr">
        <is>
          <t>Föryngringsavverkning</t>
        </is>
      </c>
      <c r="D24" s="1" t="n">
        <v>46215</v>
      </c>
      <c r="E24" s="1" t="n">
        <v>46272</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20391-2024</t>
        </is>
      </c>
      <c r="B25" t="inlineStr">
        <is>
          <t>avverkningsanmälan</t>
        </is>
      </c>
      <c r="C25" t="inlineStr">
        <is>
          <t>Föryngringsavverkning</t>
        </is>
      </c>
      <c r="D25" s="1" t="n">
        <v>45435</v>
      </c>
      <c r="E25" s="1" t="n">
        <v>46272</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46272</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46272</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46272</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46272</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A 38172-2024</t>
        </is>
      </c>
      <c r="B30" t="inlineStr">
        <is>
          <t>avverkningsanmälan</t>
        </is>
      </c>
      <c r="C30" t="inlineStr">
        <is>
          <t>Avverkning för att bevara och utveckla /försöksver</t>
        </is>
      </c>
      <c r="D30" s="1" t="n">
        <v>45545</v>
      </c>
      <c r="E30" s="1" t="n">
        <v>46272</v>
      </c>
      <c r="F30" t="inlineStr">
        <is>
          <t>VÄSTMANLANDS LÄN</t>
        </is>
      </c>
      <c r="G30" t="inlineStr">
        <is>
          <t>SURAHAMMAR</t>
        </is>
      </c>
      <c r="H30" t="inlineStr">
        <is>
          <t>Sveaskog</t>
        </is>
      </c>
      <c r="I30" t="n">
        <v>5.2</v>
      </c>
      <c r="J30" t="n">
        <v>5</v>
      </c>
      <c r="K30" t="n">
        <v>0</v>
      </c>
      <c r="L30" t="n">
        <v>3</v>
      </c>
      <c r="M30" t="n">
        <v>1</v>
      </c>
      <c r="N30" t="n">
        <v>0</v>
      </c>
      <c r="O30" t="n">
        <v>0</v>
      </c>
      <c r="P30" t="n">
        <v>0</v>
      </c>
      <c r="Q30" t="n">
        <v>4</v>
      </c>
      <c r="R30" t="n">
        <v>1</v>
      </c>
      <c r="S30" t="n">
        <v>7</v>
      </c>
      <c r="T30" t="n">
        <v>8</v>
      </c>
      <c r="U30" t="n">
        <v>2</v>
      </c>
      <c r="V30" s="2" t="inlineStr">
        <is>
          <t>Knärot
Gropticka
Sädesärla
Vedtrappmossa
Stjärtmes
Lopplummer (aggregat)
Revlummer</t>
        </is>
      </c>
      <c r="W30">
        <f>HYPERLINK("https://klasma.github.io/Logging_1907/artfynd/A 38172-2024 artfynd.xlsx", "A 38172-2024")</f>
        <v/>
      </c>
      <c r="X30">
        <f>HYPERLINK("https://klasma.github.io/Logging_1907/kartor/A 38172-2024 karta.png", "A 38172-2024")</f>
        <v/>
      </c>
      <c r="Y30">
        <f>HYPERLINK("https://klasma.github.io/Logging_1907/kartor_geotiff/A 38172-2024 georefererad karta.tif", "A 38172-2024")</f>
        <v/>
      </c>
      <c r="Z30">
        <f>HYPERLINK("https://klasma.github.io/Logging_1907/knärot/A 38172-2024 karta knärot.png", "A 38172-2024")</f>
        <v/>
      </c>
      <c r="AA30">
        <f>HYPERLINK("https://klasma.github.io/Logging_1907/klagomål/A 38172-2024 FSC-klagomål.docx", "A 38172-2024")</f>
        <v/>
      </c>
      <c r="AB30">
        <f>HYPERLINK("https://klasma.github.io/Logging_1907/klagomålsmail/A 38172-2024 FSC-klagomål mail.docx", "A 38172-2024")</f>
        <v/>
      </c>
      <c r="AC30">
        <f>HYPERLINK("https://klasma.github.io/Logging_1907/tillsyn/A 38172-2024 tillsynsbegäran.docx", "A 38172-2024")</f>
        <v/>
      </c>
      <c r="AD30">
        <f>HYPERLINK("https://klasma.github.io/Logging_1907/tillsynsmail/A 38172-2024 tillsynsbegäran mail.docx", "A 38172-2024")</f>
        <v/>
      </c>
      <c r="AE30">
        <f>HYPERLINK("https://klasma.github.io/Logging_1907/fåglar/A 38172-2024 prioriterade fågelarter.docx", "A 38172-2024")</f>
        <v/>
      </c>
    </row>
    <row r="31" ht="15" customHeight="1">
      <c r="A31" t="inlineStr">
        <is>
          <t>A 36260-2026</t>
        </is>
      </c>
      <c r="B31" t="inlineStr">
        <is>
          <t>avverkningsanmälan</t>
        </is>
      </c>
      <c r="C31" t="inlineStr">
        <is>
          <t>Föryngringsavverkning</t>
        </is>
      </c>
      <c r="D31" s="1" t="n">
        <v>46268</v>
      </c>
      <c r="E31" s="1" t="n">
        <v>46272</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46272</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46272</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10236-2026</t>
        </is>
      </c>
      <c r="B34" t="inlineStr">
        <is>
          <t>avverkningsanmälan</t>
        </is>
      </c>
      <c r="C34" t="inlineStr">
        <is>
          <t>Föryngringsavverkning</t>
        </is>
      </c>
      <c r="D34" s="1" t="n">
        <v>46076</v>
      </c>
      <c r="E34" s="1" t="n">
        <v>46272</v>
      </c>
      <c r="F34" t="inlineStr">
        <is>
          <t>VÄSTMANLANDS LÄN</t>
        </is>
      </c>
      <c r="G34" t="inlineStr">
        <is>
          <t>SURAHAMMAR</t>
        </is>
      </c>
      <c r="H34" t="inlineStr">
        <is>
          <t>Allmännings- och besparingsskogar</t>
        </is>
      </c>
      <c r="I34" t="n">
        <v>2.8</v>
      </c>
      <c r="J34" t="n">
        <v>2</v>
      </c>
      <c r="K34" t="n">
        <v>2</v>
      </c>
      <c r="L34" t="n">
        <v>2</v>
      </c>
      <c r="M34" t="n">
        <v>0</v>
      </c>
      <c r="N34" t="n">
        <v>0</v>
      </c>
      <c r="O34" t="n">
        <v>0</v>
      </c>
      <c r="P34" t="n">
        <v>0</v>
      </c>
      <c r="Q34" t="n">
        <v>2</v>
      </c>
      <c r="R34" t="n">
        <v>0</v>
      </c>
      <c r="S34" t="n">
        <v>6</v>
      </c>
      <c r="T34" t="n">
        <v>13</v>
      </c>
      <c r="U34" t="n">
        <v>0</v>
      </c>
      <c r="V34" s="2" t="inlineStr">
        <is>
          <t>Gullpudra
Vågticka
Brandticka
Strutbräken
Lopplummer (aggregat)
Revlummer</t>
        </is>
      </c>
      <c r="W34">
        <f>HYPERLINK("https://klasma.github.io/Logging_1907/artfynd/A 10236-2026 artfynd.xlsx", "A 10236-2026")</f>
        <v/>
      </c>
      <c r="X34">
        <f>HYPERLINK("https://klasma.github.io/Logging_1907/kartor/A 10236-2026 karta.png", "A 10236-2026")</f>
        <v/>
      </c>
      <c r="Y34">
        <f>HYPERLINK("https://klasma.github.io/Logging_1907/kartor_geotiff/A 10236-2026 georefererad karta.tif", "A 10236-2026")</f>
        <v/>
      </c>
      <c r="AA34">
        <f>HYPERLINK("https://klasma.github.io/Logging_1907/klagomål/A 10236-2026 FSC-klagomål.docx", "A 10236-2026")</f>
        <v/>
      </c>
      <c r="AB34">
        <f>HYPERLINK("https://klasma.github.io/Logging_1907/klagomålsmail/A 10236-2026 FSC-klagomål mail.docx", "A 10236-2026")</f>
        <v/>
      </c>
      <c r="AC34">
        <f>HYPERLINK("https://klasma.github.io/Logging_1907/tillsyn/A 10236-2026 tillsynsbegäran.docx", "A 10236-2026")</f>
        <v/>
      </c>
      <c r="AD34">
        <f>HYPERLINK("https://klasma.github.io/Logging_1907/tillsynsmail/A 10236-2026 tillsynsbegäran mail.docx", "A 10236-2026")</f>
        <v/>
      </c>
    </row>
    <row r="35" ht="15" customHeight="1">
      <c r="A35" t="inlineStr">
        <is>
          <t>A 63145-2025</t>
        </is>
      </c>
      <c r="B35" t="inlineStr">
        <is>
          <t>avverkningsanmälan</t>
        </is>
      </c>
      <c r="C35" t="inlineStr">
        <is>
          <t>Föryngringsavverkning</t>
        </is>
      </c>
      <c r="D35" s="1" t="n">
        <v>46009</v>
      </c>
      <c r="E35" s="1" t="n">
        <v>46272</v>
      </c>
      <c r="F35" t="inlineStr">
        <is>
          <t>VÄSTMANLANDS LÄN</t>
        </is>
      </c>
      <c r="G35" t="inlineStr">
        <is>
          <t>SURAHAMMAR</t>
        </is>
      </c>
      <c r="H35" t="inlineStr">
        <is>
          <t>Bergvik skog väst AB</t>
        </is>
      </c>
      <c r="I35" t="n">
        <v>40.5</v>
      </c>
      <c r="J35" t="n">
        <v>5</v>
      </c>
      <c r="K35" t="n">
        <v>1</v>
      </c>
      <c r="L35" t="n">
        <v>2</v>
      </c>
      <c r="M35" t="n">
        <v>1</v>
      </c>
      <c r="N35" t="n">
        <v>0</v>
      </c>
      <c r="O35" t="n">
        <v>0</v>
      </c>
      <c r="P35" t="n">
        <v>0</v>
      </c>
      <c r="Q35" t="n">
        <v>3</v>
      </c>
      <c r="R35" t="n">
        <v>1</v>
      </c>
      <c r="S35" t="n">
        <v>6</v>
      </c>
      <c r="T35" t="n">
        <v>13</v>
      </c>
      <c r="U35" t="n">
        <v>0</v>
      </c>
      <c r="V35" s="2" t="inlineStr">
        <is>
          <t>Väddnätfjäril
Mindre hackspett
Talltita
Svart trolldruva
Kungsfågel
Nattviol</t>
        </is>
      </c>
      <c r="W35">
        <f>HYPERLINK("https://klasma.github.io/Logging_1907/artfynd/A 63145-2025 artfynd.xlsx", "A 63145-2025")</f>
        <v/>
      </c>
      <c r="X35">
        <f>HYPERLINK("https://klasma.github.io/Logging_1907/kartor/A 63145-2025 karta.png", "A 63145-2025")</f>
        <v/>
      </c>
      <c r="Y35">
        <f>HYPERLINK("https://klasma.github.io/Logging_1907/kartor_geotiff/A 63145-2025 georefererad karta.tif", "A 63145-2025")</f>
        <v/>
      </c>
      <c r="AA35">
        <f>HYPERLINK("https://klasma.github.io/Logging_1907/klagomål/A 63145-2025 FSC-klagomål.docx", "A 63145-2025")</f>
        <v/>
      </c>
      <c r="AB35">
        <f>HYPERLINK("https://klasma.github.io/Logging_1907/klagomålsmail/A 63145-2025 FSC-klagomål mail.docx", "A 63145-2025")</f>
        <v/>
      </c>
      <c r="AC35">
        <f>HYPERLINK("https://klasma.github.io/Logging_1907/tillsyn/A 63145-2025 tillsynsbegäran.docx", "A 63145-2025")</f>
        <v/>
      </c>
      <c r="AD35">
        <f>HYPERLINK("https://klasma.github.io/Logging_1907/tillsynsmail/A 63145-2025 tillsynsbegäran mail.docx", "A 63145-2025")</f>
        <v/>
      </c>
      <c r="AE35">
        <f>HYPERLINK("https://klasma.github.io/Logging_1907/fåglar/A 63145-2025 prioriterade fågelarter.docx", "A 63145-2025")</f>
        <v/>
      </c>
    </row>
    <row r="36" ht="15" customHeight="1">
      <c r="A36" t="inlineStr">
        <is>
          <t>A 42860-2022</t>
        </is>
      </c>
      <c r="B36" t="inlineStr">
        <is>
          <t>avverkningsanmälan</t>
        </is>
      </c>
      <c r="C36" t="inlineStr">
        <is>
          <t>Avverkning för annat ändamål</t>
        </is>
      </c>
      <c r="D36" s="1" t="n">
        <v>44832</v>
      </c>
      <c r="E36" s="1" t="n">
        <v>46272</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46272</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46272</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46272</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46272</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46272</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46272</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46272</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46272</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46272</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69777-2021</t>
        </is>
      </c>
      <c r="B46" t="inlineStr">
        <is>
          <t>avverkningsanmälan</t>
        </is>
      </c>
      <c r="C46" t="inlineStr">
        <is>
          <t>Föryngringsavverkning</t>
        </is>
      </c>
      <c r="D46" s="1" t="n">
        <v>44532</v>
      </c>
      <c r="E46" s="1" t="n">
        <v>46272</v>
      </c>
      <c r="F46" t="inlineStr">
        <is>
          <t>VÄSTMANLANDS LÄN</t>
        </is>
      </c>
      <c r="G46" t="inlineStr">
        <is>
          <t>SURAHAMMAR</t>
        </is>
      </c>
      <c r="I46" t="n">
        <v>2.3</v>
      </c>
      <c r="J46" t="n">
        <v>1</v>
      </c>
      <c r="K46" t="n">
        <v>2</v>
      </c>
      <c r="L46" t="n">
        <v>0</v>
      </c>
      <c r="M46" t="n">
        <v>0</v>
      </c>
      <c r="N46" t="n">
        <v>1</v>
      </c>
      <c r="O46" t="n">
        <v>0</v>
      </c>
      <c r="P46" t="n">
        <v>0</v>
      </c>
      <c r="Q46" t="n">
        <v>1</v>
      </c>
      <c r="R46" t="n">
        <v>1</v>
      </c>
      <c r="S46" t="n">
        <v>3</v>
      </c>
      <c r="T46" t="n">
        <v>5</v>
      </c>
      <c r="U46" t="n">
        <v>0</v>
      </c>
      <c r="V46" s="2" t="inlineStr">
        <is>
          <t>Bombmurkla
Rävticka
Vedticka</t>
        </is>
      </c>
      <c r="W46">
        <f>HYPERLINK("https://klasma.github.io/Logging_1907/artfynd/A 69777-2021 artfynd.xlsx", "A 69777-2021")</f>
        <v/>
      </c>
      <c r="X46">
        <f>HYPERLINK("https://klasma.github.io/Logging_1907/kartor/A 69777-2021 karta.png", "A 69777-2021")</f>
        <v/>
      </c>
      <c r="Y46">
        <f>HYPERLINK("https://klasma.github.io/Logging_1907/kartor_geotiff/A 69777-2021 georefererad karta.tif", "A 69777-2021")</f>
        <v/>
      </c>
      <c r="AA46">
        <f>HYPERLINK("https://klasma.github.io/Logging_1907/klagomål/A 69777-2021 FSC-klagomål.docx", "A 69777-2021")</f>
        <v/>
      </c>
      <c r="AB46">
        <f>HYPERLINK("https://klasma.github.io/Logging_1907/klagomålsmail/A 69777-2021 FSC-klagomål mail.docx", "A 69777-2021")</f>
        <v/>
      </c>
      <c r="AC46">
        <f>HYPERLINK("https://klasma.github.io/Logging_1907/tillsyn/A 69777-2021 tillsynsbegäran.docx", "A 69777-2021")</f>
        <v/>
      </c>
      <c r="AD46">
        <f>HYPERLINK("https://klasma.github.io/Logging_1907/tillsynsmail/A 69777-2021 tillsynsbegäran mail.docx", "A 69777-2021")</f>
        <v/>
      </c>
    </row>
    <row r="47" ht="15" customHeight="1">
      <c r="A47" t="inlineStr">
        <is>
          <t>A 63146-2025</t>
        </is>
      </c>
      <c r="B47" t="inlineStr">
        <is>
          <t>avverkningsanmälan</t>
        </is>
      </c>
      <c r="C47" t="inlineStr">
        <is>
          <t>Föryngringsavverkning</t>
        </is>
      </c>
      <c r="D47" s="1" t="n">
        <v>46009</v>
      </c>
      <c r="E47" s="1" t="n">
        <v>46272</v>
      </c>
      <c r="F47" t="inlineStr">
        <is>
          <t>VÄSTMANLANDS LÄN</t>
        </is>
      </c>
      <c r="G47" t="inlineStr">
        <is>
          <t>SURAHAMMAR</t>
        </is>
      </c>
      <c r="H47" t="inlineStr">
        <is>
          <t>Bergvik skog väst AB</t>
        </is>
      </c>
      <c r="I47" t="n">
        <v>10.2</v>
      </c>
      <c r="J47" t="n">
        <v>1</v>
      </c>
      <c r="K47" t="n">
        <v>2</v>
      </c>
      <c r="L47" t="n">
        <v>0</v>
      </c>
      <c r="M47" t="n">
        <v>0</v>
      </c>
      <c r="N47" t="n">
        <v>0</v>
      </c>
      <c r="O47" t="n">
        <v>0</v>
      </c>
      <c r="P47" t="n">
        <v>0</v>
      </c>
      <c r="Q47" t="n">
        <v>0</v>
      </c>
      <c r="R47" t="n">
        <v>0</v>
      </c>
      <c r="S47" t="n">
        <v>3</v>
      </c>
      <c r="T47" t="n">
        <v>12</v>
      </c>
      <c r="U47" t="n">
        <v>0</v>
      </c>
      <c r="V47" s="2" t="inlineStr">
        <is>
          <t>Stor aspticka
Svart trolldruva
Blåsippa</t>
        </is>
      </c>
      <c r="W47">
        <f>HYPERLINK("https://klasma.github.io/Logging_1907/artfynd/A 63146-2025 artfynd.xlsx", "A 63146-2025")</f>
        <v/>
      </c>
      <c r="X47">
        <f>HYPERLINK("https://klasma.github.io/Logging_1907/kartor/A 63146-2025 karta.png", "A 63146-2025")</f>
        <v/>
      </c>
      <c r="Y47">
        <f>HYPERLINK("https://klasma.github.io/Logging_1907/kartor_geotiff/A 63146-2025 georefererad karta.tif", "A 63146-2025")</f>
        <v/>
      </c>
      <c r="AA47">
        <f>HYPERLINK("https://klasma.github.io/Logging_1907/klagomål/A 63146-2025 FSC-klagomål.docx", "A 63146-2025")</f>
        <v/>
      </c>
      <c r="AB47">
        <f>HYPERLINK("https://klasma.github.io/Logging_1907/klagomålsmail/A 63146-2025 FSC-klagomål mail.docx", "A 63146-2025")</f>
        <v/>
      </c>
      <c r="AC47">
        <f>HYPERLINK("https://klasma.github.io/Logging_1907/tillsyn/A 63146-2025 tillsynsbegäran.docx", "A 63146-2025")</f>
        <v/>
      </c>
      <c r="AD47">
        <f>HYPERLINK("https://klasma.github.io/Logging_1907/tillsynsmail/A 63146-2025 tillsynsbegäran mail.docx", "A 63146-2025")</f>
        <v/>
      </c>
    </row>
    <row r="48" ht="15" customHeight="1">
      <c r="A48" t="inlineStr">
        <is>
          <t>A 4082-2025</t>
        </is>
      </c>
      <c r="B48" t="inlineStr">
        <is>
          <t>avverkningsanmälan</t>
        </is>
      </c>
      <c r="C48" t="inlineStr">
        <is>
          <t>Föryngringsavverkning</t>
        </is>
      </c>
      <c r="D48" s="1" t="n">
        <v>45684</v>
      </c>
      <c r="E48" s="1" t="n">
        <v>46272</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46272</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32443-2026</t>
        </is>
      </c>
      <c r="B50" t="inlineStr">
        <is>
          <t>avverkningsanmälan</t>
        </is>
      </c>
      <c r="C50" t="inlineStr">
        <is>
          <t>Föryngringsavverkning</t>
        </is>
      </c>
      <c r="D50" s="1" t="n">
        <v>46239</v>
      </c>
      <c r="E50" s="1" t="n">
        <v>46272</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46272</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46272</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46272</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46272</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46272</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46272</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13788-2025</t>
        </is>
      </c>
      <c r="B57" t="inlineStr">
        <is>
          <t>avverkningsanmälan</t>
        </is>
      </c>
      <c r="C57" t="inlineStr">
        <is>
          <t>Föryngringsavverkning</t>
        </is>
      </c>
      <c r="D57" s="1" t="n">
        <v>45737</v>
      </c>
      <c r="E57" s="1" t="n">
        <v>46272</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t="n">
        <v>2</v>
      </c>
      <c r="V57" s="2" t="inlineStr">
        <is>
          <t>Sparvuggla
Nattskärra</t>
        </is>
      </c>
      <c r="W57">
        <f>HYPERLINK("https://klasma.github.io/Logging_1907/artfynd/A 13788-2025 artfynd.xlsx", "A 13788-2025")</f>
        <v/>
      </c>
      <c r="X57">
        <f>HYPERLINK("https://klasma.github.io/Logging_1907/kartor/A 13788-2025 karta.png", "A 13788-2025")</f>
        <v/>
      </c>
      <c r="Y57">
        <f>HYPERLINK("https://klasma.github.io/Logging_1907/kartor_geotiff/A 13788-2025 georefererad karta.tif", "A 13788-2025")</f>
        <v/>
      </c>
      <c r="AA57">
        <f>HYPERLINK("https://klasma.github.io/Logging_1907/klagomål/A 13788-2025 FSC-klagomål.docx", "A 13788-2025")</f>
        <v/>
      </c>
      <c r="AB57">
        <f>HYPERLINK("https://klasma.github.io/Logging_1907/klagomålsmail/A 13788-2025 FSC-klagomål mail.docx", "A 13788-2025")</f>
        <v/>
      </c>
      <c r="AC57">
        <f>HYPERLINK("https://klasma.github.io/Logging_1907/tillsyn/A 13788-2025 tillsynsbegäran.docx", "A 13788-2025")</f>
        <v/>
      </c>
      <c r="AD57">
        <f>HYPERLINK("https://klasma.github.io/Logging_1907/tillsynsmail/A 13788-2025 tillsynsbegäran mail.docx", "A 13788-2025")</f>
        <v/>
      </c>
      <c r="AE57">
        <f>HYPERLINK("https://klasma.github.io/Logging_1907/fåglar/A 13788-2025 prioriterade fågelarter.docx", "A 13788-2025")</f>
        <v/>
      </c>
    </row>
    <row r="58" ht="15" customHeight="1">
      <c r="A58" t="inlineStr">
        <is>
          <t>A 56362-2023</t>
        </is>
      </c>
      <c r="B58" t="inlineStr">
        <is>
          <t>avverkningsanmälan</t>
        </is>
      </c>
      <c r="C58" t="inlineStr">
        <is>
          <t>Föryngringsavverkning</t>
        </is>
      </c>
      <c r="D58" s="1" t="n">
        <v>45236</v>
      </c>
      <c r="E58" s="1" t="n">
        <v>46272</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46272</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40403-2025</t>
        </is>
      </c>
      <c r="B60" t="inlineStr">
        <is>
          <t>avverkningsanmälan</t>
        </is>
      </c>
      <c r="C60" t="inlineStr">
        <is>
          <t>Föryngringsavverkning</t>
        </is>
      </c>
      <c r="D60" s="1" t="n">
        <v>45895</v>
      </c>
      <c r="E60" s="1" t="n">
        <v>46272</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37013-2025</t>
        </is>
      </c>
      <c r="B61" t="inlineStr">
        <is>
          <t>avverkningsanmälan</t>
        </is>
      </c>
      <c r="C61" t="inlineStr">
        <is>
          <t>Föryngringsavverkning</t>
        </is>
      </c>
      <c r="D61" s="1" t="n">
        <v>45874</v>
      </c>
      <c r="E61" s="1" t="n">
        <v>46272</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63138-2025</t>
        </is>
      </c>
      <c r="B62" t="inlineStr">
        <is>
          <t>avverkningsanmälan</t>
        </is>
      </c>
      <c r="C62" t="inlineStr">
        <is>
          <t>Föryngringsavverkning</t>
        </is>
      </c>
      <c r="D62" s="1" t="n">
        <v>46009</v>
      </c>
      <c r="E62" s="1" t="n">
        <v>46272</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46272</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46272</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46272</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46272</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46272</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46272</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46272</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46272</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46272</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46272</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46272</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46272</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46272</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46272</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39099-2022</t>
        </is>
      </c>
      <c r="B77" t="inlineStr">
        <is>
          <t>avverkningsanmälan</t>
        </is>
      </c>
      <c r="C77" t="inlineStr">
        <is>
          <t>Föryngringsavverkning</t>
        </is>
      </c>
      <c r="D77" s="1" t="n">
        <v>44817</v>
      </c>
      <c r="E77" s="1" t="n">
        <v>46272</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46272</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46272</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46272</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46272</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46272</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46272</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16013-2023</t>
        </is>
      </c>
      <c r="B84" t="inlineStr">
        <is>
          <t>avverkningsanmälan</t>
        </is>
      </c>
      <c r="C84" t="inlineStr">
        <is>
          <t>Föryngringsavverkning</t>
        </is>
      </c>
      <c r="D84" s="1" t="n">
        <v>45026</v>
      </c>
      <c r="E84" s="1" t="n">
        <v>46272</v>
      </c>
      <c r="F84" t="inlineStr">
        <is>
          <t>VÄSTMANLANDS LÄN</t>
        </is>
      </c>
      <c r="G84" t="inlineStr">
        <is>
          <t>SURAHAMMAR</t>
        </is>
      </c>
      <c r="I84" t="n">
        <v>3.9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HYPERLINK("https://klasma.github.io/Logging_1907/artfynd/A 16013-2023 artfynd.xlsx", "A 16013-2023")</f>
        <v/>
      </c>
      <c r="X84">
        <f>HYPERLINK("https://klasma.github.io/Logging_1907/kartor/A 16013-2023 karta.png", "A 16013-2023")</f>
        <v/>
      </c>
      <c r="Y84">
        <f>HYPERLINK("https://klasma.github.io/Logging_1907/kartor_geotiff/A 16013-2023 georefererad karta.tif", "A 16013-2023")</f>
        <v/>
      </c>
      <c r="AA84">
        <f>HYPERLINK("https://klasma.github.io/Logging_1907/klagomål/A 16013-2023 FSC-klagomål.docx", "A 16013-2023")</f>
        <v/>
      </c>
      <c r="AB84">
        <f>HYPERLINK("https://klasma.github.io/Logging_1907/klagomålsmail/A 16013-2023 FSC-klagomål mail.docx", "A 16013-2023")</f>
        <v/>
      </c>
      <c r="AC84">
        <f>HYPERLINK("https://klasma.github.io/Logging_1907/tillsyn/A 16013-2023 tillsynsbegäran.docx", "A 16013-2023")</f>
        <v/>
      </c>
      <c r="AD84">
        <f>HYPERLINK("https://klasma.github.io/Logging_1907/tillsynsmail/A 16013-2023 tillsynsbegäran mail.docx", "A 16013-2023")</f>
        <v/>
      </c>
    </row>
    <row r="85" ht="15" customHeight="1">
      <c r="A85" t="inlineStr">
        <is>
          <t>A 47785-2021</t>
        </is>
      </c>
      <c r="B85" t="inlineStr">
        <is>
          <t>avverkningsanmälan</t>
        </is>
      </c>
      <c r="C85" t="inlineStr">
        <is>
          <t>Föryngringsavverkning</t>
        </is>
      </c>
      <c r="D85" s="1" t="n">
        <v>44448</v>
      </c>
      <c r="E85" s="1" t="n">
        <v>46272</v>
      </c>
      <c r="F85" t="inlineStr">
        <is>
          <t>VÄSTMANLANDS LÄN</t>
        </is>
      </c>
      <c r="G85" t="inlineStr">
        <is>
          <t>SURAHAMMAR</t>
        </is>
      </c>
      <c r="H85" t="inlineStr">
        <is>
          <t>Kommuner</t>
        </is>
      </c>
      <c r="I85" t="n">
        <v>3.3</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HYPERLINK("https://klasma.github.io/Logging_1907/artfynd/A 47785-2021 artfynd.xlsx", "A 47785-2021")</f>
        <v/>
      </c>
      <c r="X85">
        <f>HYPERLINK("https://klasma.github.io/Logging_1907/kartor/A 47785-2021 karta.png", "A 47785-2021")</f>
        <v/>
      </c>
      <c r="Y85">
        <f>HYPERLINK("https://klasma.github.io/Logging_1907/kartor_geotiff/A 47785-2021 georefererad karta.tif", "A 47785-2021")</f>
        <v/>
      </c>
      <c r="AA85">
        <f>HYPERLINK("https://klasma.github.io/Logging_1907/klagomål/A 47785-2021 FSC-klagomål.docx", "A 47785-2021")</f>
        <v/>
      </c>
      <c r="AB85">
        <f>HYPERLINK("https://klasma.github.io/Logging_1907/klagomålsmail/A 47785-2021 FSC-klagomål mail.docx", "A 47785-2021")</f>
        <v/>
      </c>
      <c r="AC85">
        <f>HYPERLINK("https://klasma.github.io/Logging_1907/tillsyn/A 47785-2021 tillsynsbegäran.docx", "A 47785-2021")</f>
        <v/>
      </c>
      <c r="AD85">
        <f>HYPERLINK("https://klasma.github.io/Logging_1907/tillsynsmail/A 47785-2021 tillsynsbegäran mail.docx", "A 47785-2021")</f>
        <v/>
      </c>
    </row>
    <row r="86" ht="15" customHeight="1">
      <c r="A86" t="inlineStr">
        <is>
          <t>A 31589-2026</t>
        </is>
      </c>
      <c r="B86" t="inlineStr">
        <is>
          <t>avverkningsanmälan</t>
        </is>
      </c>
      <c r="C86" t="inlineStr">
        <is>
          <t>Föryngringsavverkning</t>
        </is>
      </c>
      <c r="D86" s="1" t="n">
        <v>46224</v>
      </c>
      <c r="E86" s="1" t="n">
        <v>46272</v>
      </c>
      <c r="F86" t="inlineStr">
        <is>
          <t>VÄSTMANLANDS LÄN</t>
        </is>
      </c>
      <c r="G86" t="inlineStr">
        <is>
          <t>SURAHAMMAR</t>
        </is>
      </c>
      <c r="H86" t="inlineStr">
        <is>
          <t>Allmännings- och besparingsskogar</t>
        </is>
      </c>
      <c r="I86" t="n">
        <v>7</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HYPERLINK("https://klasma.github.io/Logging_1907/artfynd/A 31589-2026 artfynd.xlsx", "A 31589-2026")</f>
        <v/>
      </c>
      <c r="X86">
        <f>HYPERLINK("https://klasma.github.io/Logging_1907/kartor/A 31589-2026 karta.png", "A 31589-2026")</f>
        <v/>
      </c>
      <c r="Y86">
        <f>HYPERLINK("https://klasma.github.io/Logging_1907/kartor_geotiff/A 31589-2026 georefererad karta.tif", "A 31589-2026")</f>
        <v/>
      </c>
      <c r="AA86">
        <f>HYPERLINK("https://klasma.github.io/Logging_1907/klagomål/A 31589-2026 FSC-klagomål.docx", "A 31589-2026")</f>
        <v/>
      </c>
      <c r="AB86">
        <f>HYPERLINK("https://klasma.github.io/Logging_1907/klagomålsmail/A 31589-2026 FSC-klagomål mail.docx", "A 31589-2026")</f>
        <v/>
      </c>
      <c r="AC86">
        <f>HYPERLINK("https://klasma.github.io/Logging_1907/tillsyn/A 31589-2026 tillsynsbegäran.docx", "A 31589-2026")</f>
        <v/>
      </c>
      <c r="AD86">
        <f>HYPERLINK("https://klasma.github.io/Logging_1907/tillsynsmail/A 31589-2026 tillsynsbegäran mail.docx", "A 31589-2026")</f>
        <v/>
      </c>
    </row>
    <row r="87" ht="15" customHeight="1">
      <c r="A87" t="inlineStr">
        <is>
          <t>A 64073-2021</t>
        </is>
      </c>
      <c r="B87" t="inlineStr">
        <is>
          <t>avverkningsanmälan</t>
        </is>
      </c>
      <c r="C87" t="inlineStr">
        <is>
          <t>Avverkning för annat ändamål</t>
        </is>
      </c>
      <c r="D87" s="1" t="n">
        <v>44509</v>
      </c>
      <c r="E87" s="1" t="n">
        <v>46272</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46272</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46272</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46272</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46272</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46272</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46272</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46272</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46272</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48205-2023</t>
        </is>
      </c>
      <c r="B96" t="inlineStr">
        <is>
          <t>avverkningsanmälan</t>
        </is>
      </c>
      <c r="C96" t="inlineStr">
        <is>
          <t>Föryngringsavverkning</t>
        </is>
      </c>
      <c r="D96" s="1" t="n">
        <v>45205</v>
      </c>
      <c r="E96" s="1" t="n">
        <v>46272</v>
      </c>
      <c r="F96" t="inlineStr">
        <is>
          <t>VÄSTMANLANDS LÄN</t>
        </is>
      </c>
      <c r="G96" t="inlineStr">
        <is>
          <t>SURAHAMMAR</t>
        </is>
      </c>
      <c r="H96" t="inlineStr">
        <is>
          <t>Allmännings- och besparingsskogar</t>
        </is>
      </c>
      <c r="I96" t="n">
        <v>7.6</v>
      </c>
      <c r="J96" t="n">
        <v>0</v>
      </c>
      <c r="K96" t="n">
        <v>0</v>
      </c>
      <c r="L96" t="n">
        <v>0</v>
      </c>
      <c r="M96" t="n">
        <v>0</v>
      </c>
      <c r="N96" t="n">
        <v>0</v>
      </c>
      <c r="O96" t="n">
        <v>0</v>
      </c>
      <c r="P96" t="n">
        <v>0</v>
      </c>
      <c r="Q96" t="n">
        <v>0</v>
      </c>
      <c r="R96" t="n">
        <v>0</v>
      </c>
      <c r="S96" t="n">
        <v>0</v>
      </c>
      <c r="T96" t="n">
        <v>0</v>
      </c>
      <c r="U96" t="n">
        <v>0</v>
      </c>
      <c r="V96" s="2" t="inlineStr"/>
    </row>
    <row r="97" ht="15" customHeight="1">
      <c r="A97" t="inlineStr">
        <is>
          <t>A 15743-2023</t>
        </is>
      </c>
      <c r="B97" t="inlineStr">
        <is>
          <t>avverkningsanmälan</t>
        </is>
      </c>
      <c r="C97" t="inlineStr">
        <is>
          <t>Föryngringsavverkning</t>
        </is>
      </c>
      <c r="D97" s="1" t="n">
        <v>45021</v>
      </c>
      <c r="E97" s="1" t="n">
        <v>46272</v>
      </c>
      <c r="F97" t="inlineStr">
        <is>
          <t>VÄSTMANLANDS LÄN</t>
        </is>
      </c>
      <c r="G97" t="inlineStr">
        <is>
          <t>SURAHAMMAR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15637-2022</t>
        </is>
      </c>
      <c r="B98" t="inlineStr">
        <is>
          <t>avverkningsanmälan</t>
        </is>
      </c>
      <c r="C98" t="inlineStr">
        <is>
          <t>Föryngringsavverkning</t>
        </is>
      </c>
      <c r="D98" s="1" t="n">
        <v>44662</v>
      </c>
      <c r="E98" s="1" t="n">
        <v>46272</v>
      </c>
      <c r="F98" t="inlineStr">
        <is>
          <t>VÄSTMANLANDS LÄN</t>
        </is>
      </c>
      <c r="G98" t="inlineStr">
        <is>
          <t>SURAHAMMAR</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19786-2023</t>
        </is>
      </c>
      <c r="B99" t="inlineStr">
        <is>
          <t>avverkningsanmälan</t>
        </is>
      </c>
      <c r="C99" t="inlineStr">
        <is>
          <t>Föryngringsavverkning</t>
        </is>
      </c>
      <c r="D99" s="1" t="n">
        <v>45050</v>
      </c>
      <c r="E99" s="1" t="n">
        <v>46272</v>
      </c>
      <c r="F99" t="inlineStr">
        <is>
          <t>VÄSTMANLANDS LÄN</t>
        </is>
      </c>
      <c r="G99" t="inlineStr">
        <is>
          <t>SURAHAMMAR</t>
        </is>
      </c>
      <c r="H99" t="inlineStr">
        <is>
          <t>Bergvik skog väst AB</t>
        </is>
      </c>
      <c r="I99" t="n">
        <v>8.1</v>
      </c>
      <c r="J99" t="n">
        <v>0</v>
      </c>
      <c r="K99" t="n">
        <v>0</v>
      </c>
      <c r="L99" t="n">
        <v>0</v>
      </c>
      <c r="M99" t="n">
        <v>0</v>
      </c>
      <c r="N99" t="n">
        <v>0</v>
      </c>
      <c r="O99" t="n">
        <v>0</v>
      </c>
      <c r="P99" t="n">
        <v>0</v>
      </c>
      <c r="Q99" t="n">
        <v>0</v>
      </c>
      <c r="R99" t="n">
        <v>0</v>
      </c>
      <c r="S99" t="n">
        <v>0</v>
      </c>
      <c r="T99" t="n">
        <v>0</v>
      </c>
      <c r="U99" t="n">
        <v>0</v>
      </c>
      <c r="V99" s="2" t="inlineStr"/>
    </row>
    <row r="100" ht="15" customHeight="1">
      <c r="A100" t="inlineStr">
        <is>
          <t>A 7787-2024</t>
        </is>
      </c>
      <c r="B100" t="inlineStr">
        <is>
          <t>avverkningsanmälan</t>
        </is>
      </c>
      <c r="C100" t="inlineStr">
        <is>
          <t>Föryngringsavverkning</t>
        </is>
      </c>
      <c r="D100" s="1" t="n">
        <v>45348</v>
      </c>
      <c r="E100" s="1" t="n">
        <v>46272</v>
      </c>
      <c r="F100" t="inlineStr">
        <is>
          <t>VÄSTMANLANDS LÄN</t>
        </is>
      </c>
      <c r="G100" t="inlineStr">
        <is>
          <t>SURAHAMMAR</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72367-2021</t>
        </is>
      </c>
      <c r="B101" t="inlineStr">
        <is>
          <t>avverkningsanmälan</t>
        </is>
      </c>
      <c r="C101" t="inlineStr">
        <is>
          <t>Föryngringsavverkning</t>
        </is>
      </c>
      <c r="D101" s="1" t="n">
        <v>44545</v>
      </c>
      <c r="E101" s="1" t="n">
        <v>46272</v>
      </c>
      <c r="F101" t="inlineStr">
        <is>
          <t>VÄSTMANLANDS LÄN</t>
        </is>
      </c>
      <c r="G101" t="inlineStr">
        <is>
          <t>SURAHAMMAR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33931-2022</t>
        </is>
      </c>
      <c r="B102" t="inlineStr">
        <is>
          <t>avverkningsanmälan</t>
        </is>
      </c>
      <c r="C102" t="inlineStr">
        <is>
          <t>Föryngringsavverkning</t>
        </is>
      </c>
      <c r="D102" s="1" t="n">
        <v>44790</v>
      </c>
      <c r="E102" s="1" t="n">
        <v>46272</v>
      </c>
      <c r="F102" t="inlineStr">
        <is>
          <t>VÄSTMANLANDS LÄN</t>
        </is>
      </c>
      <c r="G102" t="inlineStr">
        <is>
          <t>SURAHAMMAR</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24158-2023</t>
        </is>
      </c>
      <c r="B103" t="inlineStr">
        <is>
          <t>avverkningsanmälan</t>
        </is>
      </c>
      <c r="C103" t="inlineStr">
        <is>
          <t>Föryngringsavverkning</t>
        </is>
      </c>
      <c r="D103" s="1" t="n">
        <v>45079</v>
      </c>
      <c r="E103" s="1" t="n">
        <v>46272</v>
      </c>
      <c r="F103" t="inlineStr">
        <is>
          <t>VÄSTMANLANDS LÄN</t>
        </is>
      </c>
      <c r="G103" t="inlineStr">
        <is>
          <t>SURAHAMMAR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42714-2022</t>
        </is>
      </c>
      <c r="B104" t="inlineStr">
        <is>
          <t>avverkningsanmälan</t>
        </is>
      </c>
      <c r="C104" t="inlineStr">
        <is>
          <t>Föryngringsavverkning</t>
        </is>
      </c>
      <c r="D104" s="1" t="n">
        <v>44832</v>
      </c>
      <c r="E104" s="1" t="n">
        <v>46272</v>
      </c>
      <c r="F104" t="inlineStr">
        <is>
          <t>VÄSTMANLANDS LÄN</t>
        </is>
      </c>
      <c r="G104" t="inlineStr">
        <is>
          <t>SURAHAMMAR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37954-2025</t>
        </is>
      </c>
      <c r="B105" t="inlineStr">
        <is>
          <t>avverkningsanmälan</t>
        </is>
      </c>
      <c r="C105" t="inlineStr">
        <is>
          <t>Föryngringsavverkning</t>
        </is>
      </c>
      <c r="D105" s="1" t="n">
        <v>45881</v>
      </c>
      <c r="E105" s="1" t="n">
        <v>46272</v>
      </c>
      <c r="F105" t="inlineStr">
        <is>
          <t>VÄSTMANLANDS LÄN</t>
        </is>
      </c>
      <c r="G105" t="inlineStr">
        <is>
          <t>SURAHAMMAR</t>
        </is>
      </c>
      <c r="I105" t="n">
        <v>9.5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35682-2022</t>
        </is>
      </c>
      <c r="B106" t="inlineStr">
        <is>
          <t>avverkningsanmälan</t>
        </is>
      </c>
      <c r="C106" t="inlineStr">
        <is>
          <t>Föryngringsavverkning</t>
        </is>
      </c>
      <c r="D106" s="1" t="n">
        <v>44799</v>
      </c>
      <c r="E106" s="1" t="n">
        <v>46272</v>
      </c>
      <c r="F106" t="inlineStr">
        <is>
          <t>VÄSTMANLANDS LÄN</t>
        </is>
      </c>
      <c r="G106" t="inlineStr">
        <is>
          <t>SURAHAMMAR</t>
        </is>
      </c>
      <c r="H106" t="inlineStr">
        <is>
          <t>Sveaskog</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4724-2026</t>
        </is>
      </c>
      <c r="B107" t="inlineStr">
        <is>
          <t>avverkningsanmälan</t>
        </is>
      </c>
      <c r="C107" t="inlineStr">
        <is>
          <t>Föryngringsavverkning</t>
        </is>
      </c>
      <c r="D107" s="1" t="n">
        <v>46048</v>
      </c>
      <c r="E107" s="1" t="n">
        <v>46272</v>
      </c>
      <c r="F107" t="inlineStr">
        <is>
          <t>VÄSTMANLANDS LÄN</t>
        </is>
      </c>
      <c r="G107" t="inlineStr">
        <is>
          <t>SURAHAMMAR</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4734-2026</t>
        </is>
      </c>
      <c r="B108" t="inlineStr">
        <is>
          <t>avverkningsanmälan</t>
        </is>
      </c>
      <c r="C108" t="inlineStr">
        <is>
          <t>Föryngringsavverkning</t>
        </is>
      </c>
      <c r="D108" s="1" t="n">
        <v>46048</v>
      </c>
      <c r="E108" s="1" t="n">
        <v>46272</v>
      </c>
      <c r="F108" t="inlineStr">
        <is>
          <t>VÄSTMANLANDS LÄN</t>
        </is>
      </c>
      <c r="G108" t="inlineStr">
        <is>
          <t>SURAHAMMAR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46272</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5567-2022</t>
        </is>
      </c>
      <c r="B110" t="inlineStr">
        <is>
          <t>avverkningsanmälan</t>
        </is>
      </c>
      <c r="C110" t="inlineStr">
        <is>
          <t>Föryngringsavverkning</t>
        </is>
      </c>
      <c r="D110" s="1" t="n">
        <v>44595</v>
      </c>
      <c r="E110" s="1" t="n">
        <v>46272</v>
      </c>
      <c r="F110" t="inlineStr">
        <is>
          <t>VÄSTMANLANDS LÄN</t>
        </is>
      </c>
      <c r="G110" t="inlineStr">
        <is>
          <t>SURAHAMMAR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42832-2022</t>
        </is>
      </c>
      <c r="B111" t="inlineStr">
        <is>
          <t>avverkningsanmälan</t>
        </is>
      </c>
      <c r="C111" t="inlineStr">
        <is>
          <t>Avverkning för annat ändamål</t>
        </is>
      </c>
      <c r="D111" s="1" t="n">
        <v>44832</v>
      </c>
      <c r="E111" s="1" t="n">
        <v>46272</v>
      </c>
      <c r="F111" t="inlineStr">
        <is>
          <t>VÄSTMANLANDS LÄN</t>
        </is>
      </c>
      <c r="G111" t="inlineStr">
        <is>
          <t>SURAHAMMAR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46272</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55873-2025</t>
        </is>
      </c>
      <c r="B113" t="inlineStr">
        <is>
          <t>avverkningsanmälan</t>
        </is>
      </c>
      <c r="C113" t="inlineStr">
        <is>
          <t>Föryngringsavverkning</t>
        </is>
      </c>
      <c r="D113" s="1" t="n">
        <v>45973</v>
      </c>
      <c r="E113" s="1" t="n">
        <v>46272</v>
      </c>
      <c r="F113" t="inlineStr">
        <is>
          <t>VÄSTMANLANDS LÄN</t>
        </is>
      </c>
      <c r="G113" t="inlineStr">
        <is>
          <t>SURAHAMMAR</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42841-2022</t>
        </is>
      </c>
      <c r="B114" t="inlineStr">
        <is>
          <t>avverkningsanmälan</t>
        </is>
      </c>
      <c r="C114" t="inlineStr">
        <is>
          <t>Avverkning för annat ändamål</t>
        </is>
      </c>
      <c r="D114" s="1" t="n">
        <v>44832</v>
      </c>
      <c r="E114" s="1" t="n">
        <v>46272</v>
      </c>
      <c r="F114" t="inlineStr">
        <is>
          <t>VÄSTMANLANDS LÄN</t>
        </is>
      </c>
      <c r="G114" t="inlineStr">
        <is>
          <t>SURAHAMMAR</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42829-2022</t>
        </is>
      </c>
      <c r="B115" t="inlineStr">
        <is>
          <t>avverkningsanmälan</t>
        </is>
      </c>
      <c r="C115" t="inlineStr">
        <is>
          <t>Avverkning för annat ändamål</t>
        </is>
      </c>
      <c r="D115" s="1" t="n">
        <v>44832</v>
      </c>
      <c r="E115" s="1" t="n">
        <v>46272</v>
      </c>
      <c r="F115" t="inlineStr">
        <is>
          <t>VÄSTMANLANDS LÄN</t>
        </is>
      </c>
      <c r="G115" t="inlineStr">
        <is>
          <t>SURAHAMMAR</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10249-2026</t>
        </is>
      </c>
      <c r="B116" t="inlineStr">
        <is>
          <t>avverkningsanmälan</t>
        </is>
      </c>
      <c r="C116" t="inlineStr">
        <is>
          <t>Föryngringsavverkning</t>
        </is>
      </c>
      <c r="D116" s="1" t="n">
        <v>46076</v>
      </c>
      <c r="E116" s="1" t="n">
        <v>46272</v>
      </c>
      <c r="F116" t="inlineStr">
        <is>
          <t>VÄSTMANLANDS LÄN</t>
        </is>
      </c>
      <c r="G116" t="inlineStr">
        <is>
          <t>SURAHAMMAR</t>
        </is>
      </c>
      <c r="H116" t="inlineStr">
        <is>
          <t>Allmännings- och besparingsskogar</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10244-2026</t>
        </is>
      </c>
      <c r="B117" t="inlineStr">
        <is>
          <t>avverkningsanmälan</t>
        </is>
      </c>
      <c r="C117" t="inlineStr">
        <is>
          <t>Föryngringsavverkning</t>
        </is>
      </c>
      <c r="D117" s="1" t="n">
        <v>46076</v>
      </c>
      <c r="E117" s="1" t="n">
        <v>46272</v>
      </c>
      <c r="F117" t="inlineStr">
        <is>
          <t>VÄSTMANLANDS LÄN</t>
        </is>
      </c>
      <c r="G117" t="inlineStr">
        <is>
          <t>SURAHAMMAR</t>
        </is>
      </c>
      <c r="H117" t="inlineStr">
        <is>
          <t>Allmännings- och besparingsskogar</t>
        </is>
      </c>
      <c r="I117" t="n">
        <v>8.699999999999999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10562-2026</t>
        </is>
      </c>
      <c r="B118" t="inlineStr">
        <is>
          <t>avverkningsanmälan</t>
        </is>
      </c>
      <c r="C118" t="inlineStr">
        <is>
          <t>Föryngringsavverkning</t>
        </is>
      </c>
      <c r="D118" s="1" t="n">
        <v>46077</v>
      </c>
      <c r="E118" s="1" t="n">
        <v>46272</v>
      </c>
      <c r="F118" t="inlineStr">
        <is>
          <t>VÄSTMANLANDS LÄN</t>
        </is>
      </c>
      <c r="G118" t="inlineStr">
        <is>
          <t>SURAHAMMAR</t>
        </is>
      </c>
      <c r="H118" t="inlineStr">
        <is>
          <t>Övriga Aktiebolag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2867-2024</t>
        </is>
      </c>
      <c r="B119" t="inlineStr">
        <is>
          <t>avverkningsanmälan</t>
        </is>
      </c>
      <c r="C119" t="inlineStr">
        <is>
          <t>Föryngringsavverkning</t>
        </is>
      </c>
      <c r="D119" s="1" t="n">
        <v>45315</v>
      </c>
      <c r="E119" s="1" t="n">
        <v>46272</v>
      </c>
      <c r="F119" t="inlineStr">
        <is>
          <t>VÄSTMANLANDS LÄN</t>
        </is>
      </c>
      <c r="G119" t="inlineStr">
        <is>
          <t>SURAHAMMAR</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3085-2023</t>
        </is>
      </c>
      <c r="B120" t="inlineStr">
        <is>
          <t>avverkningsanmälan</t>
        </is>
      </c>
      <c r="C120" t="inlineStr">
        <is>
          <t>Föryngringsavverkning</t>
        </is>
      </c>
      <c r="D120" s="1" t="n">
        <v>44946</v>
      </c>
      <c r="E120" s="1" t="n">
        <v>46272</v>
      </c>
      <c r="F120" t="inlineStr">
        <is>
          <t>VÄSTMANLANDS LÄN</t>
        </is>
      </c>
      <c r="G120" t="inlineStr">
        <is>
          <t>SURAHAMMAR</t>
        </is>
      </c>
      <c r="H120" t="inlineStr">
        <is>
          <t>Kyrkan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12841-2026</t>
        </is>
      </c>
      <c r="B121" t="inlineStr">
        <is>
          <t>avverkningsanmälan</t>
        </is>
      </c>
      <c r="C121" t="inlineStr">
        <is>
          <t>Föryngringsavverkning</t>
        </is>
      </c>
      <c r="D121" s="1" t="n">
        <v>46091</v>
      </c>
      <c r="E121" s="1" t="n">
        <v>46272</v>
      </c>
      <c r="F121" t="inlineStr">
        <is>
          <t>VÄSTMANLANDS LÄN</t>
        </is>
      </c>
      <c r="G121" t="inlineStr">
        <is>
          <t>SURAHAMMAR</t>
        </is>
      </c>
      <c r="H121" t="inlineStr">
        <is>
          <t>Bergvik skog väst AB</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20904-2023</t>
        </is>
      </c>
      <c r="B122" t="inlineStr">
        <is>
          <t>avverkningsanmälan</t>
        </is>
      </c>
      <c r="C122" t="inlineStr">
        <is>
          <t>Avverkning för att bevara och utveckla /försöksver</t>
        </is>
      </c>
      <c r="D122" s="1" t="n">
        <v>45060</v>
      </c>
      <c r="E122" s="1" t="n">
        <v>46272</v>
      </c>
      <c r="F122" t="inlineStr">
        <is>
          <t>VÄSTMANLANDS LÄN</t>
        </is>
      </c>
      <c r="G122" t="inlineStr">
        <is>
          <t>SURAHAMMAR</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2660-2024</t>
        </is>
      </c>
      <c r="B123" t="inlineStr">
        <is>
          <t>avverkningsanmälan</t>
        </is>
      </c>
      <c r="C123" t="inlineStr">
        <is>
          <t>Föryngringsavverkning</t>
        </is>
      </c>
      <c r="D123" s="1" t="n">
        <v>45310</v>
      </c>
      <c r="E123" s="1" t="n">
        <v>46272</v>
      </c>
      <c r="F123" t="inlineStr">
        <is>
          <t>VÄSTMANLANDS LÄN</t>
        </is>
      </c>
      <c r="G123" t="inlineStr">
        <is>
          <t>SURAHAMMAR</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19246-2026</t>
        </is>
      </c>
      <c r="B124" t="inlineStr">
        <is>
          <t>avverkningsanmälan</t>
        </is>
      </c>
      <c r="C124" t="inlineStr">
        <is>
          <t>Avverkning för annat ändamål</t>
        </is>
      </c>
      <c r="D124" s="1" t="n">
        <v>46132</v>
      </c>
      <c r="E124" s="1" t="n">
        <v>46272</v>
      </c>
      <c r="F124" t="inlineStr">
        <is>
          <t>VÄSTMANLANDS LÄN</t>
        </is>
      </c>
      <c r="G124" t="inlineStr">
        <is>
          <t>SURAHAMMAR</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32808-2024</t>
        </is>
      </c>
      <c r="B125" t="inlineStr">
        <is>
          <t>avverkningsanmälan</t>
        </is>
      </c>
      <c r="C125" t="inlineStr">
        <is>
          <t>Föryngringsavverkning</t>
        </is>
      </c>
      <c r="D125" s="1" t="n">
        <v>45516</v>
      </c>
      <c r="E125" s="1" t="n">
        <v>46272</v>
      </c>
      <c r="F125" t="inlineStr">
        <is>
          <t>VÄSTMANLANDS LÄN</t>
        </is>
      </c>
      <c r="G125" t="inlineStr">
        <is>
          <t>SURAHAMMAR</t>
        </is>
      </c>
      <c r="H125" t="inlineStr">
        <is>
          <t>Övriga Aktiebolag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14626-2023</t>
        </is>
      </c>
      <c r="B126" t="inlineStr">
        <is>
          <t>avverkningsanmälan</t>
        </is>
      </c>
      <c r="C126" t="inlineStr">
        <is>
          <t>Föryngringsavverkning</t>
        </is>
      </c>
      <c r="D126" s="1" t="n">
        <v>45012</v>
      </c>
      <c r="E126" s="1" t="n">
        <v>46272</v>
      </c>
      <c r="F126" t="inlineStr">
        <is>
          <t>VÄSTMANLANDS LÄN</t>
        </is>
      </c>
      <c r="G126" t="inlineStr">
        <is>
          <t>SURAHAMMAR</t>
        </is>
      </c>
      <c r="H126" t="inlineStr">
        <is>
          <t>Bergvik skog väst AB</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49058-2024</t>
        </is>
      </c>
      <c r="B127" t="inlineStr">
        <is>
          <t>avverkningsanmälan</t>
        </is>
      </c>
      <c r="C127" t="inlineStr">
        <is>
          <t>Föryngringsavverkning</t>
        </is>
      </c>
      <c r="D127" s="1" t="n">
        <v>45594</v>
      </c>
      <c r="E127" s="1" t="n">
        <v>46272</v>
      </c>
      <c r="F127" t="inlineStr">
        <is>
          <t>VÄSTMANLANDS LÄN</t>
        </is>
      </c>
      <c r="G127" t="inlineStr">
        <is>
          <t>SURAHAMMAR</t>
        </is>
      </c>
      <c r="H127" t="inlineStr">
        <is>
          <t>Sveaskog</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20535-2026</t>
        </is>
      </c>
      <c r="B128" t="inlineStr">
        <is>
          <t>avverkningsanmälan</t>
        </is>
      </c>
      <c r="C128" t="inlineStr">
        <is>
          <t>Avverkning för annat ändamål</t>
        </is>
      </c>
      <c r="D128" s="1" t="n">
        <v>46140</v>
      </c>
      <c r="E128" s="1" t="n">
        <v>46272</v>
      </c>
      <c r="F128" t="inlineStr">
        <is>
          <t>VÄSTMANLANDS LÄN</t>
        </is>
      </c>
      <c r="G128" t="inlineStr">
        <is>
          <t>SURAHAMMAR</t>
        </is>
      </c>
      <c r="H128" t="inlineStr">
        <is>
          <t>Bergvik skog väst AB</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25450-2024</t>
        </is>
      </c>
      <c r="B129" t="inlineStr">
        <is>
          <t>avverkningsanmälan</t>
        </is>
      </c>
      <c r="C129" t="inlineStr">
        <is>
          <t>Föryngringsavverkning</t>
        </is>
      </c>
      <c r="D129" s="1" t="n">
        <v>45463</v>
      </c>
      <c r="E129" s="1" t="n">
        <v>46272</v>
      </c>
      <c r="F129" t="inlineStr">
        <is>
          <t>VÄSTMANLANDS LÄN</t>
        </is>
      </c>
      <c r="G129" t="inlineStr">
        <is>
          <t>SURAHAMMAR</t>
        </is>
      </c>
      <c r="H129" t="inlineStr">
        <is>
          <t>Bergvik skog väst AB</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19782-2023</t>
        </is>
      </c>
      <c r="B130" t="inlineStr">
        <is>
          <t>avverkningsanmälan</t>
        </is>
      </c>
      <c r="C130" t="inlineStr">
        <is>
          <t>Föryngringsavverkning</t>
        </is>
      </c>
      <c r="D130" s="1" t="n">
        <v>45050</v>
      </c>
      <c r="E130" s="1" t="n">
        <v>46272</v>
      </c>
      <c r="F130" t="inlineStr">
        <is>
          <t>VÄSTMANLANDS LÄN</t>
        </is>
      </c>
      <c r="G130" t="inlineStr">
        <is>
          <t>SURAHAMMAR</t>
        </is>
      </c>
      <c r="H130" t="inlineStr">
        <is>
          <t>Bergvik skog väst AB</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7848-2022</t>
        </is>
      </c>
      <c r="B131" t="inlineStr">
        <is>
          <t>avverkningsanmälan</t>
        </is>
      </c>
      <c r="C131" t="inlineStr">
        <is>
          <t>Föryngringsavverkning</t>
        </is>
      </c>
      <c r="D131" s="1" t="n">
        <v>44608</v>
      </c>
      <c r="E131" s="1" t="n">
        <v>46272</v>
      </c>
      <c r="F131" t="inlineStr">
        <is>
          <t>VÄSTMANLANDS LÄN</t>
        </is>
      </c>
      <c r="G131" t="inlineStr">
        <is>
          <t>SURAHAMMAR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56378-2023</t>
        </is>
      </c>
      <c r="B132" t="inlineStr">
        <is>
          <t>avverkningsanmälan</t>
        </is>
      </c>
      <c r="C132" t="inlineStr">
        <is>
          <t>Föryngringsavverkning</t>
        </is>
      </c>
      <c r="D132" s="1" t="n">
        <v>45236</v>
      </c>
      <c r="E132" s="1" t="n">
        <v>46272</v>
      </c>
      <c r="F132" t="inlineStr">
        <is>
          <t>VÄSTMANLANDS LÄN</t>
        </is>
      </c>
      <c r="G132" t="inlineStr">
        <is>
          <t>SURAHAMMAR</t>
        </is>
      </c>
      <c r="H132" t="inlineStr">
        <is>
          <t>Bergvik skog väst AB</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19099-2022</t>
        </is>
      </c>
      <c r="B133" t="inlineStr">
        <is>
          <t>avverkningsanmälan</t>
        </is>
      </c>
      <c r="C133" t="inlineStr">
        <is>
          <t>Föryngringsavverkning</t>
        </is>
      </c>
      <c r="D133" s="1" t="n">
        <v>44691</v>
      </c>
      <c r="E133" s="1" t="n">
        <v>46272</v>
      </c>
      <c r="F133" t="inlineStr">
        <is>
          <t>VÄSTMANLANDS LÄN</t>
        </is>
      </c>
      <c r="G133" t="inlineStr">
        <is>
          <t>SURAHAMMAR</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24201-2026</t>
        </is>
      </c>
      <c r="B134" t="inlineStr">
        <is>
          <t>avverkningsanmälan</t>
        </is>
      </c>
      <c r="C134" t="inlineStr">
        <is>
          <t>Föryngringsavverkning</t>
        </is>
      </c>
      <c r="D134" s="1" t="n">
        <v>46168</v>
      </c>
      <c r="E134" s="1" t="n">
        <v>46272</v>
      </c>
      <c r="F134" t="inlineStr">
        <is>
          <t>VÄSTMANLANDS LÄN</t>
        </is>
      </c>
      <c r="G134" t="inlineStr">
        <is>
          <t>SURAHAMMAR</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3818-2022</t>
        </is>
      </c>
      <c r="B135" t="inlineStr">
        <is>
          <t>avverkningsanmälan</t>
        </is>
      </c>
      <c r="C135" t="inlineStr">
        <is>
          <t>Föryngringsavverkning</t>
        </is>
      </c>
      <c r="D135" s="1" t="n">
        <v>44587</v>
      </c>
      <c r="E135" s="1" t="n">
        <v>46272</v>
      </c>
      <c r="F135" t="inlineStr">
        <is>
          <t>VÄSTMANLANDS LÄN</t>
        </is>
      </c>
      <c r="G135" t="inlineStr">
        <is>
          <t>SURAHAMMAR</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46272</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46272</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46272</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21509-2024</t>
        </is>
      </c>
      <c r="B139" t="inlineStr">
        <is>
          <t>avverkningsanmälan</t>
        </is>
      </c>
      <c r="C139" t="inlineStr">
        <is>
          <t>Föryngringsavverkning</t>
        </is>
      </c>
      <c r="D139" s="1" t="n">
        <v>45441</v>
      </c>
      <c r="E139" s="1" t="n">
        <v>46272</v>
      </c>
      <c r="F139" t="inlineStr">
        <is>
          <t>VÄSTMANLANDS LÄN</t>
        </is>
      </c>
      <c r="G139" t="inlineStr">
        <is>
          <t>SURAHAMMAR</t>
        </is>
      </c>
      <c r="H139" t="inlineStr">
        <is>
          <t>Bergvik skog väst AB</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22662-2023</t>
        </is>
      </c>
      <c r="B140" t="inlineStr">
        <is>
          <t>avverkningsanmälan</t>
        </is>
      </c>
      <c r="C140" t="inlineStr">
        <is>
          <t>Avverkning för att bevara och utveckla /försöksver</t>
        </is>
      </c>
      <c r="D140" s="1" t="n">
        <v>45071</v>
      </c>
      <c r="E140" s="1" t="n">
        <v>46272</v>
      </c>
      <c r="F140" t="inlineStr">
        <is>
          <t>VÄSTMANLANDS LÄN</t>
        </is>
      </c>
      <c r="G140" t="inlineStr">
        <is>
          <t>SURAHAMMAR</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25780-2023</t>
        </is>
      </c>
      <c r="B141" t="inlineStr">
        <is>
          <t>avverkningsanmälan</t>
        </is>
      </c>
      <c r="C141" t="inlineStr">
        <is>
          <t>Föryngringsavverkning</t>
        </is>
      </c>
      <c r="D141" s="1" t="n">
        <v>45090</v>
      </c>
      <c r="E141" s="1" t="n">
        <v>46272</v>
      </c>
      <c r="F141" t="inlineStr">
        <is>
          <t>VÄSTMANLANDS LÄN</t>
        </is>
      </c>
      <c r="G141" t="inlineStr">
        <is>
          <t>SURAHAMMAR</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33933-2026</t>
        </is>
      </c>
      <c r="B142" t="inlineStr">
        <is>
          <t>avverkningsanmälan</t>
        </is>
      </c>
      <c r="C142" t="inlineStr">
        <is>
          <t>Föryngringsavverkning</t>
        </is>
      </c>
      <c r="D142" s="1" t="n">
        <v>46248</v>
      </c>
      <c r="E142" s="1" t="n">
        <v>46272</v>
      </c>
      <c r="F142" t="inlineStr">
        <is>
          <t>VÄSTMANLANDS LÄN</t>
        </is>
      </c>
      <c r="G142" t="inlineStr">
        <is>
          <t>SURAHAMMAR</t>
        </is>
      </c>
      <c r="H142" t="inlineStr">
        <is>
          <t>Bergvik skog väst AB</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31061-2026</t>
        </is>
      </c>
      <c r="B143" t="inlineStr">
        <is>
          <t>avverkningsanmälan</t>
        </is>
      </c>
      <c r="C143" t="inlineStr">
        <is>
          <t>Föryngringsavverkning</t>
        </is>
      </c>
      <c r="D143" s="1" t="n">
        <v>46215</v>
      </c>
      <c r="E143" s="1" t="n">
        <v>46272</v>
      </c>
      <c r="F143" t="inlineStr">
        <is>
          <t>VÄSTMANLANDS LÄN</t>
        </is>
      </c>
      <c r="G143" t="inlineStr">
        <is>
          <t>SURAHAMMAR</t>
        </is>
      </c>
      <c r="H143" t="inlineStr">
        <is>
          <t>Sveaskog</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15739-2023</t>
        </is>
      </c>
      <c r="B144" t="inlineStr">
        <is>
          <t>avverkningsanmälan</t>
        </is>
      </c>
      <c r="C144" t="inlineStr">
        <is>
          <t>Föryngringsavverkning</t>
        </is>
      </c>
      <c r="D144" s="1" t="n">
        <v>45021</v>
      </c>
      <c r="E144" s="1" t="n">
        <v>46272</v>
      </c>
      <c r="F144" t="inlineStr">
        <is>
          <t>VÄSTMANLANDS LÄN</t>
        </is>
      </c>
      <c r="G144" t="inlineStr">
        <is>
          <t>SURAHAMMAR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3543-2022</t>
        </is>
      </c>
      <c r="B145" t="inlineStr">
        <is>
          <t>samrådsanmälan</t>
        </is>
      </c>
      <c r="C145" t="inlineStr">
        <is>
          <t>Skogsbilväg</t>
        </is>
      </c>
      <c r="D145" s="1" t="n">
        <v>44734</v>
      </c>
      <c r="E145" s="1" t="n">
        <v>46272</v>
      </c>
      <c r="F145" t="inlineStr">
        <is>
          <t>VÄSTMANLANDS LÄN</t>
        </is>
      </c>
      <c r="G145" t="inlineStr">
        <is>
          <t>SURAHAMMAR</t>
        </is>
      </c>
      <c r="H145" t="inlineStr">
        <is>
          <t>Bergvik skog väst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S 3542-2022</t>
        </is>
      </c>
      <c r="B146" t="inlineStr">
        <is>
          <t>samrådsanmälan</t>
        </is>
      </c>
      <c r="C146" t="inlineStr">
        <is>
          <t>Skogsbilväg</t>
        </is>
      </c>
      <c r="D146" s="1" t="n">
        <v>44734</v>
      </c>
      <c r="E146" s="1" t="n">
        <v>46272</v>
      </c>
      <c r="F146" t="inlineStr">
        <is>
          <t>VÄSTMANLANDS LÄN</t>
        </is>
      </c>
      <c r="G146" t="inlineStr">
        <is>
          <t>SURAHAMMAR</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c r="A147" t="inlineStr">
        <is>
          <t>S 2172-2026</t>
        </is>
      </c>
      <c r="B147" t="inlineStr">
        <is>
          <t>samrådsanmälan</t>
        </is>
      </c>
      <c r="C147" t="inlineStr">
        <is>
          <t>Annan skogsbruksåtgärd</t>
        </is>
      </c>
      <c r="D147" s="1" t="n">
        <v>46251</v>
      </c>
      <c r="E147" s="1" t="n">
        <v>46272</v>
      </c>
      <c r="F147" t="inlineStr">
        <is>
          <t>VÄSTMANLANDS LÄN</t>
        </is>
      </c>
      <c r="G147" t="inlineStr">
        <is>
          <t>SURAHAMMAR</t>
        </is>
      </c>
      <c r="I147" t="n">
        <v>0.4</v>
      </c>
      <c r="J147" t="n">
        <v>0</v>
      </c>
      <c r="K147" t="n">
        <v>0</v>
      </c>
      <c r="L147" t="n">
        <v>0</v>
      </c>
      <c r="M147" t="n">
        <v>0</v>
      </c>
      <c r="N147" t="n">
        <v>0</v>
      </c>
      <c r="O147" t="n">
        <v>0</v>
      </c>
      <c r="P147" t="n">
        <v>0</v>
      </c>
      <c r="Q147" t="n">
        <v>0</v>
      </c>
      <c r="R147" t="n">
        <v>0</v>
      </c>
      <c r="S147" t="n">
        <v>0</v>
      </c>
      <c r="T147" t="n">
        <v>0</v>
      </c>
      <c r="U147" t="n">
        <v>0</v>
      </c>
      <c r="V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2026-09-07T02:10:11Z</dcterms:created>
  <dcterms:modified xmlns:dcterms="http://purl.org/dc/terms/" xmlns:xsi="http://www.w3.org/2001/XMLSchema-instance" xsi:type="dcterms:W3CDTF">2026-09-07T02:10:11Z</dcterms:modified>
</cp:coreProperties>
</file>