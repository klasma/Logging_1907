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45990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45990</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45990</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45990</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45990</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45990</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45990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45990</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45990</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45990</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45990</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45990</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45990</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45990</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45990</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45990</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45990</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45990</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45990</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45990</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45990</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48891-2023</t>
        </is>
      </c>
      <c r="B24" s="1" t="n">
        <v>45203</v>
      </c>
      <c r="C24" s="1" t="n">
        <v>45990</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45990</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45990</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45990</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45990</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48128-2023</t>
        </is>
      </c>
      <c r="B29" s="1" t="n">
        <v>45205</v>
      </c>
      <c r="C29" s="1" t="n">
        <v>45990</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45990</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42708-2022</t>
        </is>
      </c>
      <c r="B31" s="1" t="n">
        <v>44832</v>
      </c>
      <c r="C31" s="1" t="n">
        <v>45990</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39694-2025</t>
        </is>
      </c>
      <c r="B32" s="1" t="n">
        <v>45890</v>
      </c>
      <c r="C32" s="1" t="n">
        <v>45990</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29707-2025</t>
        </is>
      </c>
      <c r="B33" s="1" t="n">
        <v>45825.56100694444</v>
      </c>
      <c r="C33" s="1" t="n">
        <v>45990</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45990</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45990</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45990</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45990</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38200-2021</t>
        </is>
      </c>
      <c r="B38" s="1" t="n">
        <v>44405</v>
      </c>
      <c r="C38" s="1" t="n">
        <v>45990</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37801-2021</t>
        </is>
      </c>
      <c r="B39" s="1" t="n">
        <v>44402</v>
      </c>
      <c r="C39" s="1" t="n">
        <v>45990</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45990</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45990</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37800-2021</t>
        </is>
      </c>
      <c r="B42" s="1" t="n">
        <v>44402</v>
      </c>
      <c r="C42" s="1" t="n">
        <v>45990</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45990</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45990</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45990</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45990</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45990</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45990</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45990</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45990</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45990</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13788-2025</t>
        </is>
      </c>
      <c r="B52" s="1" t="n">
        <v>45737.45327546296</v>
      </c>
      <c r="C52" s="1" t="n">
        <v>45990</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56362-2023</t>
        </is>
      </c>
      <c r="B53" s="1" t="n">
        <v>45236</v>
      </c>
      <c r="C53" s="1" t="n">
        <v>45990</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47453-2024</t>
        </is>
      </c>
      <c r="B54" s="1" t="n">
        <v>45587.55017361111</v>
      </c>
      <c r="C54" s="1" t="n">
        <v>45990</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25583-2024</t>
        </is>
      </c>
      <c r="B55" s="1" t="n">
        <v>45463</v>
      </c>
      <c r="C55" s="1" t="n">
        <v>45990</v>
      </c>
      <c r="D55" t="inlineStr">
        <is>
          <t>VÄSTMANLANDS LÄN</t>
        </is>
      </c>
      <c r="E55" t="inlineStr">
        <is>
          <t>SURAHAMMAR</t>
        </is>
      </c>
      <c r="F55" t="inlineStr">
        <is>
          <t>Bergvik skog väst AB</t>
        </is>
      </c>
      <c r="G55" t="n">
        <v>7.8</v>
      </c>
      <c r="H55" t="n">
        <v>1</v>
      </c>
      <c r="I55" t="n">
        <v>0</v>
      </c>
      <c r="J55" t="n">
        <v>0</v>
      </c>
      <c r="K55" t="n">
        <v>0</v>
      </c>
      <c r="L55" t="n">
        <v>0</v>
      </c>
      <c r="M55" t="n">
        <v>0</v>
      </c>
      <c r="N55" t="n">
        <v>0</v>
      </c>
      <c r="O55" t="n">
        <v>0</v>
      </c>
      <c r="P55" t="n">
        <v>0</v>
      </c>
      <c r="Q55" t="n">
        <v>1</v>
      </c>
      <c r="R55" s="2" t="inlineStr">
        <is>
          <t>Blåsippa</t>
        </is>
      </c>
      <c r="S55">
        <f>HYPERLINK("https://klasma.github.io/Logging_1907/artfynd/A 25583-2024 artfynd.xlsx", "A 25583-2024")</f>
        <v/>
      </c>
      <c r="T55">
        <f>HYPERLINK("https://klasma.github.io/Logging_1907/kartor/A 25583-2024 karta.png", "A 25583-2024")</f>
        <v/>
      </c>
      <c r="V55">
        <f>HYPERLINK("https://klasma.github.io/Logging_1907/klagomål/A 25583-2024 FSC-klagomål.docx", "A 25583-2024")</f>
        <v/>
      </c>
      <c r="W55">
        <f>HYPERLINK("https://klasma.github.io/Logging_1907/klagomålsmail/A 25583-2024 FSC-klagomål mail.docx", "A 25583-2024")</f>
        <v/>
      </c>
      <c r="X55">
        <f>HYPERLINK("https://klasma.github.io/Logging_1907/tillsyn/A 25583-2024 tillsynsbegäran.docx", "A 25583-2024")</f>
        <v/>
      </c>
      <c r="Y55">
        <f>HYPERLINK("https://klasma.github.io/Logging_1907/tillsynsmail/A 25583-2024 tillsynsbegäran mail.docx", "A 25583-2024")</f>
        <v/>
      </c>
    </row>
    <row r="56" ht="15" customHeight="1">
      <c r="A56" t="inlineStr">
        <is>
          <t>A 42089-2025</t>
        </is>
      </c>
      <c r="B56" s="1" t="n">
        <v>45902</v>
      </c>
      <c r="C56" s="1" t="n">
        <v>45990</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39099-2022</t>
        </is>
      </c>
      <c r="B57" s="1" t="n">
        <v>44817</v>
      </c>
      <c r="C57" s="1" t="n">
        <v>45990</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42765-2022</t>
        </is>
      </c>
      <c r="B58" s="1" t="n">
        <v>44832</v>
      </c>
      <c r="C58" s="1" t="n">
        <v>45990</v>
      </c>
      <c r="D58" t="inlineStr">
        <is>
          <t>VÄSTMANLANDS LÄN</t>
        </is>
      </c>
      <c r="E58" t="inlineStr">
        <is>
          <t>SURAHAMMAR</t>
        </is>
      </c>
      <c r="G58" t="n">
        <v>1.8</v>
      </c>
      <c r="H58" t="n">
        <v>1</v>
      </c>
      <c r="I58" t="n">
        <v>0</v>
      </c>
      <c r="J58" t="n">
        <v>0</v>
      </c>
      <c r="K58" t="n">
        <v>0</v>
      </c>
      <c r="L58" t="n">
        <v>0</v>
      </c>
      <c r="M58" t="n">
        <v>0</v>
      </c>
      <c r="N58" t="n">
        <v>0</v>
      </c>
      <c r="O58" t="n">
        <v>0</v>
      </c>
      <c r="P58" t="n">
        <v>0</v>
      </c>
      <c r="Q58" t="n">
        <v>1</v>
      </c>
      <c r="R58" s="2" t="inlineStr">
        <is>
          <t>Blåsippa</t>
        </is>
      </c>
      <c r="S58">
        <f>HYPERLINK("https://klasma.github.io/Logging_1907/artfynd/A 42765-2022 artfynd.xlsx", "A 42765-2022")</f>
        <v/>
      </c>
      <c r="T58">
        <f>HYPERLINK("https://klasma.github.io/Logging_1907/kartor/A 42765-2022 karta.png", "A 42765-2022")</f>
        <v/>
      </c>
      <c r="V58">
        <f>HYPERLINK("https://klasma.github.io/Logging_1907/klagomål/A 42765-2022 FSC-klagomål.docx", "A 42765-2022")</f>
        <v/>
      </c>
      <c r="W58">
        <f>HYPERLINK("https://klasma.github.io/Logging_1907/klagomålsmail/A 42765-2022 FSC-klagomål mail.docx", "A 42765-2022")</f>
        <v/>
      </c>
      <c r="X58">
        <f>HYPERLINK("https://klasma.github.io/Logging_1907/tillsyn/A 42765-2022 tillsynsbegäran.docx", "A 42765-2022")</f>
        <v/>
      </c>
      <c r="Y58">
        <f>HYPERLINK("https://klasma.github.io/Logging_1907/tillsynsmail/A 42765-2022 tillsynsbegäran mail.docx", "A 42765-2022")</f>
        <v/>
      </c>
    </row>
    <row r="59" ht="15" customHeight="1">
      <c r="A59" t="inlineStr">
        <is>
          <t>A 10819-2024</t>
        </is>
      </c>
      <c r="B59" s="1" t="n">
        <v>45369.66049768519</v>
      </c>
      <c r="C59" s="1" t="n">
        <v>45990</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55042-2025</t>
        </is>
      </c>
      <c r="B60" s="1" t="n">
        <v>45967.65858796296</v>
      </c>
      <c r="C60" s="1" t="n">
        <v>45990</v>
      </c>
      <c r="D60" t="inlineStr">
        <is>
          <t>VÄSTMANLANDS LÄN</t>
        </is>
      </c>
      <c r="E60" t="inlineStr">
        <is>
          <t>SURAHAMMAR</t>
        </is>
      </c>
      <c r="F60" t="inlineStr">
        <is>
          <t>Sveaskog</t>
        </is>
      </c>
      <c r="G60" t="n">
        <v>7.2</v>
      </c>
      <c r="H60" t="n">
        <v>0</v>
      </c>
      <c r="I60" t="n">
        <v>0</v>
      </c>
      <c r="J60" t="n">
        <v>1</v>
      </c>
      <c r="K60" t="n">
        <v>0</v>
      </c>
      <c r="L60" t="n">
        <v>0</v>
      </c>
      <c r="M60" t="n">
        <v>0</v>
      </c>
      <c r="N60" t="n">
        <v>0</v>
      </c>
      <c r="O60" t="n">
        <v>1</v>
      </c>
      <c r="P60" t="n">
        <v>0</v>
      </c>
      <c r="Q60" t="n">
        <v>1</v>
      </c>
      <c r="R60" s="2" t="inlineStr">
        <is>
          <t>Motaggsvamp</t>
        </is>
      </c>
      <c r="S60">
        <f>HYPERLINK("https://klasma.github.io/Logging_1907/artfynd/A 55042-2025 artfynd.xlsx", "A 55042-2025")</f>
        <v/>
      </c>
      <c r="T60">
        <f>HYPERLINK("https://klasma.github.io/Logging_1907/kartor/A 55042-2025 karta.png", "A 55042-2025")</f>
        <v/>
      </c>
      <c r="V60">
        <f>HYPERLINK("https://klasma.github.io/Logging_1907/klagomål/A 55042-2025 FSC-klagomål.docx", "A 55042-2025")</f>
        <v/>
      </c>
      <c r="W60">
        <f>HYPERLINK("https://klasma.github.io/Logging_1907/klagomålsmail/A 55042-2025 FSC-klagomål mail.docx", "A 55042-2025")</f>
        <v/>
      </c>
      <c r="X60">
        <f>HYPERLINK("https://klasma.github.io/Logging_1907/tillsyn/A 55042-2025 tillsynsbegäran.docx", "A 55042-2025")</f>
        <v/>
      </c>
      <c r="Y60">
        <f>HYPERLINK("https://klasma.github.io/Logging_1907/tillsynsmail/A 55042-2025 tillsynsbegäran mail.docx", "A 55042-2025")</f>
        <v/>
      </c>
    </row>
    <row r="61" ht="15" customHeight="1">
      <c r="A61" t="inlineStr">
        <is>
          <t>A 69777-2021</t>
        </is>
      </c>
      <c r="B61" s="1" t="n">
        <v>44532</v>
      </c>
      <c r="C61" s="1" t="n">
        <v>45990</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17632-2022</t>
        </is>
      </c>
      <c r="B62" s="1" t="n">
        <v>44680</v>
      </c>
      <c r="C62" s="1" t="n">
        <v>45990</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44356-2024</t>
        </is>
      </c>
      <c r="B63" s="1" t="n">
        <v>45573</v>
      </c>
      <c r="C63" s="1" t="n">
        <v>45990</v>
      </c>
      <c r="D63" t="inlineStr">
        <is>
          <t>VÄSTMANLANDS LÄN</t>
        </is>
      </c>
      <c r="E63" t="inlineStr">
        <is>
          <t>SURAHAMMAR</t>
        </is>
      </c>
      <c r="F63" t="inlineStr">
        <is>
          <t>Sveaskog</t>
        </is>
      </c>
      <c r="G63" t="n">
        <v>0.7</v>
      </c>
      <c r="H63" t="n">
        <v>1</v>
      </c>
      <c r="I63" t="n">
        <v>0</v>
      </c>
      <c r="J63" t="n">
        <v>0</v>
      </c>
      <c r="K63" t="n">
        <v>0</v>
      </c>
      <c r="L63" t="n">
        <v>0</v>
      </c>
      <c r="M63" t="n">
        <v>0</v>
      </c>
      <c r="N63" t="n">
        <v>0</v>
      </c>
      <c r="O63" t="n">
        <v>0</v>
      </c>
      <c r="P63" t="n">
        <v>0</v>
      </c>
      <c r="Q63" t="n">
        <v>1</v>
      </c>
      <c r="R63" s="2" t="inlineStr">
        <is>
          <t>Revlummer</t>
        </is>
      </c>
      <c r="S63">
        <f>HYPERLINK("https://klasma.github.io/Logging_1907/artfynd/A 44356-2024 artfynd.xlsx", "A 44356-2024")</f>
        <v/>
      </c>
      <c r="T63">
        <f>HYPERLINK("https://klasma.github.io/Logging_1907/kartor/A 44356-2024 karta.png", "A 44356-2024")</f>
        <v/>
      </c>
      <c r="V63">
        <f>HYPERLINK("https://klasma.github.io/Logging_1907/klagomål/A 44356-2024 FSC-klagomål.docx", "A 44356-2024")</f>
        <v/>
      </c>
      <c r="W63">
        <f>HYPERLINK("https://klasma.github.io/Logging_1907/klagomålsmail/A 44356-2024 FSC-klagomål mail.docx", "A 44356-2024")</f>
        <v/>
      </c>
      <c r="X63">
        <f>HYPERLINK("https://klasma.github.io/Logging_1907/tillsyn/A 44356-2024 tillsynsbegäran.docx", "A 44356-2024")</f>
        <v/>
      </c>
      <c r="Y63">
        <f>HYPERLINK("https://klasma.github.io/Logging_1907/tillsynsmail/A 44356-2024 tillsynsbegäran mail.docx", "A 44356-2024")</f>
        <v/>
      </c>
    </row>
    <row r="64" ht="15" customHeight="1">
      <c r="A64" t="inlineStr">
        <is>
          <t>A 22840-2023</t>
        </is>
      </c>
      <c r="B64" s="1" t="n">
        <v>45072</v>
      </c>
      <c r="C64" s="1" t="n">
        <v>45990</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33231-2024</t>
        </is>
      </c>
      <c r="B65" s="1" t="n">
        <v>45518</v>
      </c>
      <c r="C65" s="1" t="n">
        <v>45990</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14001-2023</t>
        </is>
      </c>
      <c r="B66" s="1" t="n">
        <v>45007</v>
      </c>
      <c r="C66" s="1" t="n">
        <v>45990</v>
      </c>
      <c r="D66" t="inlineStr">
        <is>
          <t>VÄSTMANLANDS LÄN</t>
        </is>
      </c>
      <c r="E66" t="inlineStr">
        <is>
          <t>SURAHAMMAR</t>
        </is>
      </c>
      <c r="F66" t="inlineStr">
        <is>
          <t>Bergvik skog väst AB</t>
        </is>
      </c>
      <c r="G66" t="n">
        <v>1</v>
      </c>
      <c r="H66" t="n">
        <v>0</v>
      </c>
      <c r="I66" t="n">
        <v>0</v>
      </c>
      <c r="J66" t="n">
        <v>1</v>
      </c>
      <c r="K66" t="n">
        <v>0</v>
      </c>
      <c r="L66" t="n">
        <v>0</v>
      </c>
      <c r="M66" t="n">
        <v>0</v>
      </c>
      <c r="N66" t="n">
        <v>0</v>
      </c>
      <c r="O66" t="n">
        <v>1</v>
      </c>
      <c r="P66" t="n">
        <v>0</v>
      </c>
      <c r="Q66" t="n">
        <v>1</v>
      </c>
      <c r="R66" s="2" t="inlineStr">
        <is>
          <t>Motaggsvamp</t>
        </is>
      </c>
      <c r="S66">
        <f>HYPERLINK("https://klasma.github.io/Logging_1907/artfynd/A 14001-2023 artfynd.xlsx", "A 14001-2023")</f>
        <v/>
      </c>
      <c r="T66">
        <f>HYPERLINK("https://klasma.github.io/Logging_1907/kartor/A 14001-2023 karta.png", "A 14001-2023")</f>
        <v/>
      </c>
      <c r="V66">
        <f>HYPERLINK("https://klasma.github.io/Logging_1907/klagomål/A 14001-2023 FSC-klagomål.docx", "A 14001-2023")</f>
        <v/>
      </c>
      <c r="W66">
        <f>HYPERLINK("https://klasma.github.io/Logging_1907/klagomålsmail/A 14001-2023 FSC-klagomål mail.docx", "A 14001-2023")</f>
        <v/>
      </c>
      <c r="X66">
        <f>HYPERLINK("https://klasma.github.io/Logging_1907/tillsyn/A 14001-2023 tillsynsbegäran.docx", "A 14001-2023")</f>
        <v/>
      </c>
      <c r="Y66">
        <f>HYPERLINK("https://klasma.github.io/Logging_1907/tillsynsmail/A 14001-2023 tillsynsbegäran mail.docx", "A 14001-2023")</f>
        <v/>
      </c>
    </row>
    <row r="67" ht="15" customHeight="1">
      <c r="A67" t="inlineStr">
        <is>
          <t>A 13971-2023</t>
        </is>
      </c>
      <c r="B67" s="1" t="n">
        <v>45007</v>
      </c>
      <c r="C67" s="1" t="n">
        <v>45990</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31176-2024</t>
        </is>
      </c>
      <c r="B68" s="1" t="n">
        <v>45503</v>
      </c>
      <c r="C68" s="1" t="n">
        <v>45990</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43451-2024</t>
        </is>
      </c>
      <c r="B69" s="1" t="n">
        <v>45568</v>
      </c>
      <c r="C69" s="1" t="n">
        <v>45990</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1492-2021</t>
        </is>
      </c>
      <c r="B70" s="1" t="n">
        <v>44209</v>
      </c>
      <c r="C70" s="1" t="n">
        <v>45990</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45990</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45990</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45990</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45990</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45990</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45990</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45990</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45990</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45990</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45990</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45990</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45990</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45990</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45990</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45990</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45990</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45990</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45990</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48205-2023</t>
        </is>
      </c>
      <c r="B89" s="1" t="n">
        <v>45205</v>
      </c>
      <c r="C89" s="1" t="n">
        <v>45990</v>
      </c>
      <c r="D89" t="inlineStr">
        <is>
          <t>VÄSTMANLANDS LÄN</t>
        </is>
      </c>
      <c r="E89" t="inlineStr">
        <is>
          <t>SURAHAMMAR</t>
        </is>
      </c>
      <c r="F89" t="inlineStr">
        <is>
          <t>Allmännings- och besparingsskogar</t>
        </is>
      </c>
      <c r="G89" t="n">
        <v>7.6</v>
      </c>
      <c r="H89" t="n">
        <v>0</v>
      </c>
      <c r="I89" t="n">
        <v>0</v>
      </c>
      <c r="J89" t="n">
        <v>0</v>
      </c>
      <c r="K89" t="n">
        <v>0</v>
      </c>
      <c r="L89" t="n">
        <v>0</v>
      </c>
      <c r="M89" t="n">
        <v>0</v>
      </c>
      <c r="N89" t="n">
        <v>0</v>
      </c>
      <c r="O89" t="n">
        <v>0</v>
      </c>
      <c r="P89" t="n">
        <v>0</v>
      </c>
      <c r="Q89" t="n">
        <v>0</v>
      </c>
      <c r="R89" s="2" t="inlineStr"/>
    </row>
    <row r="90" ht="15" customHeight="1">
      <c r="A90" t="inlineStr">
        <is>
          <t>A 15743-2023</t>
        </is>
      </c>
      <c r="B90" s="1" t="n">
        <v>45021</v>
      </c>
      <c r="C90" s="1" t="n">
        <v>45990</v>
      </c>
      <c r="D90" t="inlineStr">
        <is>
          <t>VÄSTMANLANDS LÄN</t>
        </is>
      </c>
      <c r="E90" t="inlineStr">
        <is>
          <t>SURAHAMMAR</t>
        </is>
      </c>
      <c r="G90" t="n">
        <v>0.5</v>
      </c>
      <c r="H90" t="n">
        <v>0</v>
      </c>
      <c r="I90" t="n">
        <v>0</v>
      </c>
      <c r="J90" t="n">
        <v>0</v>
      </c>
      <c r="K90" t="n">
        <v>0</v>
      </c>
      <c r="L90" t="n">
        <v>0</v>
      </c>
      <c r="M90" t="n">
        <v>0</v>
      </c>
      <c r="N90" t="n">
        <v>0</v>
      </c>
      <c r="O90" t="n">
        <v>0</v>
      </c>
      <c r="P90" t="n">
        <v>0</v>
      </c>
      <c r="Q90" t="n">
        <v>0</v>
      </c>
      <c r="R90" s="2" t="inlineStr"/>
    </row>
    <row r="91" ht="15" customHeight="1">
      <c r="A91" t="inlineStr">
        <is>
          <t>A 16608-2022</t>
        </is>
      </c>
      <c r="B91" s="1" t="n">
        <v>44672</v>
      </c>
      <c r="C91" s="1" t="n">
        <v>45990</v>
      </c>
      <c r="D91" t="inlineStr">
        <is>
          <t>VÄSTMANLANDS LÄN</t>
        </is>
      </c>
      <c r="E91" t="inlineStr">
        <is>
          <t>SURAHAMMAR</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30076-2023</t>
        </is>
      </c>
      <c r="B92" s="1" t="n">
        <v>45110</v>
      </c>
      <c r="C92" s="1" t="n">
        <v>45990</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15637-2022</t>
        </is>
      </c>
      <c r="B93" s="1" t="n">
        <v>44662.89638888889</v>
      </c>
      <c r="C93" s="1" t="n">
        <v>45990</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13119-2022</t>
        </is>
      </c>
      <c r="B94" s="1" t="n">
        <v>44643</v>
      </c>
      <c r="C94" s="1" t="n">
        <v>45990</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8553-2023</t>
        </is>
      </c>
      <c r="B95" s="1" t="n">
        <v>44977</v>
      </c>
      <c r="C95" s="1" t="n">
        <v>45990</v>
      </c>
      <c r="D95" t="inlineStr">
        <is>
          <t>VÄSTMANLANDS LÄN</t>
        </is>
      </c>
      <c r="E95" t="inlineStr">
        <is>
          <t>SURAHAMMAR</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19786-2023</t>
        </is>
      </c>
      <c r="B96" s="1" t="n">
        <v>45050</v>
      </c>
      <c r="C96" s="1" t="n">
        <v>45990</v>
      </c>
      <c r="D96" t="inlineStr">
        <is>
          <t>VÄSTMANLANDS LÄN</t>
        </is>
      </c>
      <c r="E96" t="inlineStr">
        <is>
          <t>SURAHAMMAR</t>
        </is>
      </c>
      <c r="F96" t="inlineStr">
        <is>
          <t>Bergvik skog väst AB</t>
        </is>
      </c>
      <c r="G96" t="n">
        <v>8.1</v>
      </c>
      <c r="H96" t="n">
        <v>0</v>
      </c>
      <c r="I96" t="n">
        <v>0</v>
      </c>
      <c r="J96" t="n">
        <v>0</v>
      </c>
      <c r="K96" t="n">
        <v>0</v>
      </c>
      <c r="L96" t="n">
        <v>0</v>
      </c>
      <c r="M96" t="n">
        <v>0</v>
      </c>
      <c r="N96" t="n">
        <v>0</v>
      </c>
      <c r="O96" t="n">
        <v>0</v>
      </c>
      <c r="P96" t="n">
        <v>0</v>
      </c>
      <c r="Q96" t="n">
        <v>0</v>
      </c>
      <c r="R96" s="2" t="inlineStr"/>
    </row>
    <row r="97" ht="15" customHeight="1">
      <c r="A97" t="inlineStr">
        <is>
          <t>A 7787-2024</t>
        </is>
      </c>
      <c r="B97" s="1" t="n">
        <v>45348</v>
      </c>
      <c r="C97" s="1" t="n">
        <v>45990</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34582-2025</t>
        </is>
      </c>
      <c r="B98" s="1" t="n">
        <v>45846</v>
      </c>
      <c r="C98" s="1" t="n">
        <v>45990</v>
      </c>
      <c r="D98" t="inlineStr">
        <is>
          <t>VÄSTMANLANDS LÄN</t>
        </is>
      </c>
      <c r="E98" t="inlineStr">
        <is>
          <t>SURAHAMMAR</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37287-2023</t>
        </is>
      </c>
      <c r="B99" s="1" t="n">
        <v>45156</v>
      </c>
      <c r="C99" s="1" t="n">
        <v>45990</v>
      </c>
      <c r="D99" t="inlineStr">
        <is>
          <t>VÄSTMANLANDS LÄN</t>
        </is>
      </c>
      <c r="E99" t="inlineStr">
        <is>
          <t>SURAHAMMAR</t>
        </is>
      </c>
      <c r="G99" t="n">
        <v>0.6</v>
      </c>
      <c r="H99" t="n">
        <v>0</v>
      </c>
      <c r="I99" t="n">
        <v>0</v>
      </c>
      <c r="J99" t="n">
        <v>0</v>
      </c>
      <c r="K99" t="n">
        <v>0</v>
      </c>
      <c r="L99" t="n">
        <v>0</v>
      </c>
      <c r="M99" t="n">
        <v>0</v>
      </c>
      <c r="N99" t="n">
        <v>0</v>
      </c>
      <c r="O99" t="n">
        <v>0</v>
      </c>
      <c r="P99" t="n">
        <v>0</v>
      </c>
      <c r="Q99" t="n">
        <v>0</v>
      </c>
      <c r="R99" s="2" t="inlineStr"/>
    </row>
    <row r="100" ht="15" customHeight="1">
      <c r="A100" t="inlineStr">
        <is>
          <t>A 41576-2022</t>
        </is>
      </c>
      <c r="B100" s="1" t="n">
        <v>44826</v>
      </c>
      <c r="C100" s="1" t="n">
        <v>45990</v>
      </c>
      <c r="D100" t="inlineStr">
        <is>
          <t>VÄSTMANLANDS LÄN</t>
        </is>
      </c>
      <c r="E100" t="inlineStr">
        <is>
          <t>SURAHAMMAR</t>
        </is>
      </c>
      <c r="F100" t="inlineStr">
        <is>
          <t>Bergvik skog väst AB</t>
        </is>
      </c>
      <c r="G100" t="n">
        <v>6.4</v>
      </c>
      <c r="H100" t="n">
        <v>0</v>
      </c>
      <c r="I100" t="n">
        <v>0</v>
      </c>
      <c r="J100" t="n">
        <v>0</v>
      </c>
      <c r="K100" t="n">
        <v>0</v>
      </c>
      <c r="L100" t="n">
        <v>0</v>
      </c>
      <c r="M100" t="n">
        <v>0</v>
      </c>
      <c r="N100" t="n">
        <v>0</v>
      </c>
      <c r="O100" t="n">
        <v>0</v>
      </c>
      <c r="P100" t="n">
        <v>0</v>
      </c>
      <c r="Q100" t="n">
        <v>0</v>
      </c>
      <c r="R100" s="2" t="inlineStr"/>
    </row>
    <row r="101" ht="15" customHeight="1">
      <c r="A101" t="inlineStr">
        <is>
          <t>A 42088-2025</t>
        </is>
      </c>
      <c r="B101" s="1" t="n">
        <v>45902</v>
      </c>
      <c r="C101" s="1" t="n">
        <v>45990</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31107-2025</t>
        </is>
      </c>
      <c r="B102" s="1" t="n">
        <v>45831</v>
      </c>
      <c r="C102" s="1" t="n">
        <v>45990</v>
      </c>
      <c r="D102" t="inlineStr">
        <is>
          <t>VÄSTMANLANDS LÄN</t>
        </is>
      </c>
      <c r="E102" t="inlineStr">
        <is>
          <t>SURAHAMMAR</t>
        </is>
      </c>
      <c r="F102" t="inlineStr">
        <is>
          <t>Kommuner</t>
        </is>
      </c>
      <c r="G102" t="n">
        <v>1.7</v>
      </c>
      <c r="H102" t="n">
        <v>0</v>
      </c>
      <c r="I102" t="n">
        <v>0</v>
      </c>
      <c r="J102" t="n">
        <v>0</v>
      </c>
      <c r="K102" t="n">
        <v>0</v>
      </c>
      <c r="L102" t="n">
        <v>0</v>
      </c>
      <c r="M102" t="n">
        <v>0</v>
      </c>
      <c r="N102" t="n">
        <v>0</v>
      </c>
      <c r="O102" t="n">
        <v>0</v>
      </c>
      <c r="P102" t="n">
        <v>0</v>
      </c>
      <c r="Q102" t="n">
        <v>0</v>
      </c>
      <c r="R102" s="2" t="inlineStr"/>
    </row>
    <row r="103" ht="15" customHeight="1">
      <c r="A103" t="inlineStr">
        <is>
          <t>A 72367-2021</t>
        </is>
      </c>
      <c r="B103" s="1" t="n">
        <v>44545</v>
      </c>
      <c r="C103" s="1" t="n">
        <v>45990</v>
      </c>
      <c r="D103" t="inlineStr">
        <is>
          <t>VÄSTMANLANDS LÄN</t>
        </is>
      </c>
      <c r="E103" t="inlineStr">
        <is>
          <t>SURAHAMMAR</t>
        </is>
      </c>
      <c r="G103" t="n">
        <v>2.5</v>
      </c>
      <c r="H103" t="n">
        <v>0</v>
      </c>
      <c r="I103" t="n">
        <v>0</v>
      </c>
      <c r="J103" t="n">
        <v>0</v>
      </c>
      <c r="K103" t="n">
        <v>0</v>
      </c>
      <c r="L103" t="n">
        <v>0</v>
      </c>
      <c r="M103" t="n">
        <v>0</v>
      </c>
      <c r="N103" t="n">
        <v>0</v>
      </c>
      <c r="O103" t="n">
        <v>0</v>
      </c>
      <c r="P103" t="n">
        <v>0</v>
      </c>
      <c r="Q103" t="n">
        <v>0</v>
      </c>
      <c r="R103" s="2" t="inlineStr"/>
    </row>
    <row r="104" ht="15" customHeight="1">
      <c r="A104" t="inlineStr">
        <is>
          <t>A 43249-2025</t>
        </is>
      </c>
      <c r="B104" s="1" t="n">
        <v>45910.55059027778</v>
      </c>
      <c r="C104" s="1" t="n">
        <v>45990</v>
      </c>
      <c r="D104" t="inlineStr">
        <is>
          <t>VÄSTMANLANDS LÄN</t>
        </is>
      </c>
      <c r="E104" t="inlineStr">
        <is>
          <t>SURAHAMMAR</t>
        </is>
      </c>
      <c r="G104" t="n">
        <v>1.9</v>
      </c>
      <c r="H104" t="n">
        <v>0</v>
      </c>
      <c r="I104" t="n">
        <v>0</v>
      </c>
      <c r="J104" t="n">
        <v>0</v>
      </c>
      <c r="K104" t="n">
        <v>0</v>
      </c>
      <c r="L104" t="n">
        <v>0</v>
      </c>
      <c r="M104" t="n">
        <v>0</v>
      </c>
      <c r="N104" t="n">
        <v>0</v>
      </c>
      <c r="O104" t="n">
        <v>0</v>
      </c>
      <c r="P104" t="n">
        <v>0</v>
      </c>
      <c r="Q104" t="n">
        <v>0</v>
      </c>
      <c r="R104" s="2" t="inlineStr"/>
    </row>
    <row r="105" ht="15" customHeight="1">
      <c r="A105" t="inlineStr">
        <is>
          <t>A 43255-2025</t>
        </is>
      </c>
      <c r="B105" s="1" t="n">
        <v>45910.55325231481</v>
      </c>
      <c r="C105" s="1" t="n">
        <v>45990</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33931-2022</t>
        </is>
      </c>
      <c r="B106" s="1" t="n">
        <v>44790.65153935185</v>
      </c>
      <c r="C106" s="1" t="n">
        <v>45990</v>
      </c>
      <c r="D106" t="inlineStr">
        <is>
          <t>VÄSTMANLANDS LÄN</t>
        </is>
      </c>
      <c r="E106" t="inlineStr">
        <is>
          <t>SURAHAMMAR</t>
        </is>
      </c>
      <c r="G106" t="n">
        <v>2.2</v>
      </c>
      <c r="H106" t="n">
        <v>0</v>
      </c>
      <c r="I106" t="n">
        <v>0</v>
      </c>
      <c r="J106" t="n">
        <v>0</v>
      </c>
      <c r="K106" t="n">
        <v>0</v>
      </c>
      <c r="L106" t="n">
        <v>0</v>
      </c>
      <c r="M106" t="n">
        <v>0</v>
      </c>
      <c r="N106" t="n">
        <v>0</v>
      </c>
      <c r="O106" t="n">
        <v>0</v>
      </c>
      <c r="P106" t="n">
        <v>0</v>
      </c>
      <c r="Q106" t="n">
        <v>0</v>
      </c>
      <c r="R106" s="2" t="inlineStr"/>
    </row>
    <row r="107" ht="15" customHeight="1">
      <c r="A107" t="inlineStr">
        <is>
          <t>A 24158-2023</t>
        </is>
      </c>
      <c r="B107" s="1" t="n">
        <v>45079</v>
      </c>
      <c r="C107" s="1" t="n">
        <v>45990</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34584-2025</t>
        </is>
      </c>
      <c r="B108" s="1" t="n">
        <v>45846</v>
      </c>
      <c r="C108" s="1" t="n">
        <v>45990</v>
      </c>
      <c r="D108" t="inlineStr">
        <is>
          <t>VÄSTMANLANDS LÄN</t>
        </is>
      </c>
      <c r="E108" t="inlineStr">
        <is>
          <t>SURAHAMMAR</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32916-2025</t>
        </is>
      </c>
      <c r="B109" s="1" t="n">
        <v>45839</v>
      </c>
      <c r="C109" s="1" t="n">
        <v>45990</v>
      </c>
      <c r="D109" t="inlineStr">
        <is>
          <t>VÄSTMANLANDS LÄN</t>
        </is>
      </c>
      <c r="E109" t="inlineStr">
        <is>
          <t>SURAHAMMAR</t>
        </is>
      </c>
      <c r="F109" t="inlineStr">
        <is>
          <t>Kommuner</t>
        </is>
      </c>
      <c r="G109" t="n">
        <v>4.9</v>
      </c>
      <c r="H109" t="n">
        <v>0</v>
      </c>
      <c r="I109" t="n">
        <v>0</v>
      </c>
      <c r="J109" t="n">
        <v>0</v>
      </c>
      <c r="K109" t="n">
        <v>0</v>
      </c>
      <c r="L109" t="n">
        <v>0</v>
      </c>
      <c r="M109" t="n">
        <v>0</v>
      </c>
      <c r="N109" t="n">
        <v>0</v>
      </c>
      <c r="O109" t="n">
        <v>0</v>
      </c>
      <c r="P109" t="n">
        <v>0</v>
      </c>
      <c r="Q109" t="n">
        <v>0</v>
      </c>
      <c r="R109" s="2" t="inlineStr"/>
    </row>
    <row r="110" ht="15" customHeight="1">
      <c r="A110" t="inlineStr">
        <is>
          <t>A 32910-2025</t>
        </is>
      </c>
      <c r="B110" s="1" t="n">
        <v>45839</v>
      </c>
      <c r="C110" s="1" t="n">
        <v>45990</v>
      </c>
      <c r="D110" t="inlineStr">
        <is>
          <t>VÄSTMANLANDS LÄN</t>
        </is>
      </c>
      <c r="E110" t="inlineStr">
        <is>
          <t>SURAHAMMAR</t>
        </is>
      </c>
      <c r="F110" t="inlineStr">
        <is>
          <t>Kommuner</t>
        </is>
      </c>
      <c r="G110" t="n">
        <v>1.1</v>
      </c>
      <c r="H110" t="n">
        <v>0</v>
      </c>
      <c r="I110" t="n">
        <v>0</v>
      </c>
      <c r="J110" t="n">
        <v>0</v>
      </c>
      <c r="K110" t="n">
        <v>0</v>
      </c>
      <c r="L110" t="n">
        <v>0</v>
      </c>
      <c r="M110" t="n">
        <v>0</v>
      </c>
      <c r="N110" t="n">
        <v>0</v>
      </c>
      <c r="O110" t="n">
        <v>0</v>
      </c>
      <c r="P110" t="n">
        <v>0</v>
      </c>
      <c r="Q110" t="n">
        <v>0</v>
      </c>
      <c r="R110" s="2" t="inlineStr"/>
    </row>
    <row r="111" ht="15" customHeight="1">
      <c r="A111" t="inlineStr">
        <is>
          <t>A 42714-2022</t>
        </is>
      </c>
      <c r="B111" s="1" t="n">
        <v>44832</v>
      </c>
      <c r="C111" s="1" t="n">
        <v>45990</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35682-2022</t>
        </is>
      </c>
      <c r="B112" s="1" t="n">
        <v>44799.60422453703</v>
      </c>
      <c r="C112" s="1" t="n">
        <v>45990</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11728-2023</t>
        </is>
      </c>
      <c r="B113" s="1" t="n">
        <v>44993</v>
      </c>
      <c r="C113" s="1" t="n">
        <v>45990</v>
      </c>
      <c r="D113" t="inlineStr">
        <is>
          <t>VÄSTMANLANDS LÄN</t>
        </is>
      </c>
      <c r="E113" t="inlineStr">
        <is>
          <t>SURAHAMMAR</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5567-2022</t>
        </is>
      </c>
      <c r="B114" s="1" t="n">
        <v>44595</v>
      </c>
      <c r="C114" s="1" t="n">
        <v>45990</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42832-2022</t>
        </is>
      </c>
      <c r="B115" s="1" t="n">
        <v>44832</v>
      </c>
      <c r="C115" s="1" t="n">
        <v>45990</v>
      </c>
      <c r="D115" t="inlineStr">
        <is>
          <t>VÄSTMANLANDS LÄN</t>
        </is>
      </c>
      <c r="E115" t="inlineStr">
        <is>
          <t>SURAHAMMAR</t>
        </is>
      </c>
      <c r="G115" t="n">
        <v>1.1</v>
      </c>
      <c r="H115" t="n">
        <v>0</v>
      </c>
      <c r="I115" t="n">
        <v>0</v>
      </c>
      <c r="J115" t="n">
        <v>0</v>
      </c>
      <c r="K115" t="n">
        <v>0</v>
      </c>
      <c r="L115" t="n">
        <v>0</v>
      </c>
      <c r="M115" t="n">
        <v>0</v>
      </c>
      <c r="N115" t="n">
        <v>0</v>
      </c>
      <c r="O115" t="n">
        <v>0</v>
      </c>
      <c r="P115" t="n">
        <v>0</v>
      </c>
      <c r="Q115" t="n">
        <v>0</v>
      </c>
      <c r="R115" s="2" t="inlineStr"/>
    </row>
    <row r="116" ht="15" customHeight="1">
      <c r="A116" t="inlineStr">
        <is>
          <t>A 37013-2025</t>
        </is>
      </c>
      <c r="B116" s="1" t="n">
        <v>45874</v>
      </c>
      <c r="C116" s="1" t="n">
        <v>45990</v>
      </c>
      <c r="D116" t="inlineStr">
        <is>
          <t>VÄSTMANLANDS LÄN</t>
        </is>
      </c>
      <c r="E116" t="inlineStr">
        <is>
          <t>SURAHAMMAR</t>
        </is>
      </c>
      <c r="F116" t="inlineStr">
        <is>
          <t>Bergvik skog väst AB</t>
        </is>
      </c>
      <c r="G116" t="n">
        <v>10.7</v>
      </c>
      <c r="H116" t="n">
        <v>0</v>
      </c>
      <c r="I116" t="n">
        <v>0</v>
      </c>
      <c r="J116" t="n">
        <v>0</v>
      </c>
      <c r="K116" t="n">
        <v>0</v>
      </c>
      <c r="L116" t="n">
        <v>0</v>
      </c>
      <c r="M116" t="n">
        <v>0</v>
      </c>
      <c r="N116" t="n">
        <v>0</v>
      </c>
      <c r="O116" t="n">
        <v>0</v>
      </c>
      <c r="P116" t="n">
        <v>0</v>
      </c>
      <c r="Q116" t="n">
        <v>0</v>
      </c>
      <c r="R116" s="2" t="inlineStr"/>
    </row>
    <row r="117" ht="15" customHeight="1">
      <c r="A117" t="inlineStr">
        <is>
          <t>A 24665-2023</t>
        </is>
      </c>
      <c r="B117" s="1" t="n">
        <v>45084.48592592592</v>
      </c>
      <c r="C117" s="1" t="n">
        <v>45990</v>
      </c>
      <c r="D117" t="inlineStr">
        <is>
          <t>VÄSTMANLANDS LÄN</t>
        </is>
      </c>
      <c r="E117" t="inlineStr">
        <is>
          <t>SURAHAMMAR</t>
        </is>
      </c>
      <c r="G117" t="n">
        <v>0.9</v>
      </c>
      <c r="H117" t="n">
        <v>0</v>
      </c>
      <c r="I117" t="n">
        <v>0</v>
      </c>
      <c r="J117" t="n">
        <v>0</v>
      </c>
      <c r="K117" t="n">
        <v>0</v>
      </c>
      <c r="L117" t="n">
        <v>0</v>
      </c>
      <c r="M117" t="n">
        <v>0</v>
      </c>
      <c r="N117" t="n">
        <v>0</v>
      </c>
      <c r="O117" t="n">
        <v>0</v>
      </c>
      <c r="P117" t="n">
        <v>0</v>
      </c>
      <c r="Q117" t="n">
        <v>0</v>
      </c>
      <c r="R117" s="2" t="inlineStr"/>
    </row>
    <row r="118" ht="15" customHeight="1">
      <c r="A118" t="inlineStr">
        <is>
          <t>A 32808-2024</t>
        </is>
      </c>
      <c r="B118" s="1" t="n">
        <v>45516</v>
      </c>
      <c r="C118" s="1" t="n">
        <v>45990</v>
      </c>
      <c r="D118" t="inlineStr">
        <is>
          <t>VÄSTMANLANDS LÄN</t>
        </is>
      </c>
      <c r="E118" t="inlineStr">
        <is>
          <t>SURAHAMMAR</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45990</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42841-2022</t>
        </is>
      </c>
      <c r="B120" s="1" t="n">
        <v>44832</v>
      </c>
      <c r="C120" s="1" t="n">
        <v>45990</v>
      </c>
      <c r="D120" t="inlineStr">
        <is>
          <t>VÄSTMANLANDS LÄN</t>
        </is>
      </c>
      <c r="E120" t="inlineStr">
        <is>
          <t>SURAHAMMAR</t>
        </is>
      </c>
      <c r="G120" t="n">
        <v>1.8</v>
      </c>
      <c r="H120" t="n">
        <v>0</v>
      </c>
      <c r="I120" t="n">
        <v>0</v>
      </c>
      <c r="J120" t="n">
        <v>0</v>
      </c>
      <c r="K120" t="n">
        <v>0</v>
      </c>
      <c r="L120" t="n">
        <v>0</v>
      </c>
      <c r="M120" t="n">
        <v>0</v>
      </c>
      <c r="N120" t="n">
        <v>0</v>
      </c>
      <c r="O120" t="n">
        <v>0</v>
      </c>
      <c r="P120" t="n">
        <v>0</v>
      </c>
      <c r="Q120" t="n">
        <v>0</v>
      </c>
      <c r="R120" s="2" t="inlineStr"/>
    </row>
    <row r="121" ht="15" customHeight="1">
      <c r="A121" t="inlineStr">
        <is>
          <t>A 42829-2022</t>
        </is>
      </c>
      <c r="B121" s="1" t="n">
        <v>44832</v>
      </c>
      <c r="C121" s="1" t="n">
        <v>45990</v>
      </c>
      <c r="D121" t="inlineStr">
        <is>
          <t>VÄSTMANLANDS LÄN</t>
        </is>
      </c>
      <c r="E121" t="inlineStr">
        <is>
          <t>SURAHAMMAR</t>
        </is>
      </c>
      <c r="G121" t="n">
        <v>1.6</v>
      </c>
      <c r="H121" t="n">
        <v>0</v>
      </c>
      <c r="I121" t="n">
        <v>0</v>
      </c>
      <c r="J121" t="n">
        <v>0</v>
      </c>
      <c r="K121" t="n">
        <v>0</v>
      </c>
      <c r="L121" t="n">
        <v>0</v>
      </c>
      <c r="M121" t="n">
        <v>0</v>
      </c>
      <c r="N121" t="n">
        <v>0</v>
      </c>
      <c r="O121" t="n">
        <v>0</v>
      </c>
      <c r="P121" t="n">
        <v>0</v>
      </c>
      <c r="Q121" t="n">
        <v>0</v>
      </c>
      <c r="R121" s="2" t="inlineStr"/>
    </row>
    <row r="122" ht="15" customHeight="1">
      <c r="A122" t="inlineStr">
        <is>
          <t>A 55871-2025</t>
        </is>
      </c>
      <c r="B122" s="1" t="n">
        <v>45973.35452546296</v>
      </c>
      <c r="C122" s="1" t="n">
        <v>45990</v>
      </c>
      <c r="D122" t="inlineStr">
        <is>
          <t>VÄSTMANLANDS LÄN</t>
        </is>
      </c>
      <c r="E122" t="inlineStr">
        <is>
          <t>SURAHAMMAR</t>
        </is>
      </c>
      <c r="F122" t="inlineStr">
        <is>
          <t>Sveaskog</t>
        </is>
      </c>
      <c r="G122" t="n">
        <v>1.4</v>
      </c>
      <c r="H122" t="n">
        <v>0</v>
      </c>
      <c r="I122" t="n">
        <v>0</v>
      </c>
      <c r="J122" t="n">
        <v>0</v>
      </c>
      <c r="K122" t="n">
        <v>0</v>
      </c>
      <c r="L122" t="n">
        <v>0</v>
      </c>
      <c r="M122" t="n">
        <v>0</v>
      </c>
      <c r="N122" t="n">
        <v>0</v>
      </c>
      <c r="O122" t="n">
        <v>0</v>
      </c>
      <c r="P122" t="n">
        <v>0</v>
      </c>
      <c r="Q122" t="n">
        <v>0</v>
      </c>
      <c r="R122" s="2" t="inlineStr"/>
    </row>
    <row r="123" ht="15" customHeight="1">
      <c r="A123" t="inlineStr">
        <is>
          <t>A 55868-2025</t>
        </is>
      </c>
      <c r="B123" s="1" t="n">
        <v>45973.35263888889</v>
      </c>
      <c r="C123" s="1" t="n">
        <v>45990</v>
      </c>
      <c r="D123" t="inlineStr">
        <is>
          <t>VÄSTMANLANDS LÄN</t>
        </is>
      </c>
      <c r="E123" t="inlineStr">
        <is>
          <t>SURAHAMMAR</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55873-2025</t>
        </is>
      </c>
      <c r="B124" s="1" t="n">
        <v>45973.35608796297</v>
      </c>
      <c r="C124" s="1" t="n">
        <v>45990</v>
      </c>
      <c r="D124" t="inlineStr">
        <is>
          <t>VÄSTMANLANDS LÄN</t>
        </is>
      </c>
      <c r="E124" t="inlineStr">
        <is>
          <t>SURAHAMMAR</t>
        </is>
      </c>
      <c r="F124" t="inlineStr">
        <is>
          <t>Sveaskog</t>
        </is>
      </c>
      <c r="G124" t="n">
        <v>0.5</v>
      </c>
      <c r="H124" t="n">
        <v>0</v>
      </c>
      <c r="I124" t="n">
        <v>0</v>
      </c>
      <c r="J124" t="n">
        <v>0</v>
      </c>
      <c r="K124" t="n">
        <v>0</v>
      </c>
      <c r="L124" t="n">
        <v>0</v>
      </c>
      <c r="M124" t="n">
        <v>0</v>
      </c>
      <c r="N124" t="n">
        <v>0</v>
      </c>
      <c r="O124" t="n">
        <v>0</v>
      </c>
      <c r="P124" t="n">
        <v>0</v>
      </c>
      <c r="Q124" t="n">
        <v>0</v>
      </c>
      <c r="R124" s="2" t="inlineStr"/>
    </row>
    <row r="125" ht="15" customHeight="1">
      <c r="A125" t="inlineStr">
        <is>
          <t>A 55874-2025</t>
        </is>
      </c>
      <c r="B125" s="1" t="n">
        <v>45973.3569212963</v>
      </c>
      <c r="C125" s="1" t="n">
        <v>45990</v>
      </c>
      <c r="D125" t="inlineStr">
        <is>
          <t>VÄSTMANLANDS LÄN</t>
        </is>
      </c>
      <c r="E125" t="inlineStr">
        <is>
          <t>SURAHAMMAR</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2867-2024</t>
        </is>
      </c>
      <c r="B126" s="1" t="n">
        <v>45315</v>
      </c>
      <c r="C126" s="1" t="n">
        <v>45990</v>
      </c>
      <c r="D126" t="inlineStr">
        <is>
          <t>VÄSTMANLANDS LÄN</t>
        </is>
      </c>
      <c r="E126" t="inlineStr">
        <is>
          <t>SURAHAMMAR</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56543-2025</t>
        </is>
      </c>
      <c r="B127" s="1" t="n">
        <v>45975</v>
      </c>
      <c r="C127" s="1" t="n">
        <v>45990</v>
      </c>
      <c r="D127" t="inlineStr">
        <is>
          <t>VÄSTMANLANDS LÄN</t>
        </is>
      </c>
      <c r="E127" t="inlineStr">
        <is>
          <t>SURAHAMMAR</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3085-2023</t>
        </is>
      </c>
      <c r="B128" s="1" t="n">
        <v>44946</v>
      </c>
      <c r="C128" s="1" t="n">
        <v>45990</v>
      </c>
      <c r="D128" t="inlineStr">
        <is>
          <t>VÄSTMANLANDS LÄN</t>
        </is>
      </c>
      <c r="E128" t="inlineStr">
        <is>
          <t>SURAHAMMAR</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56541-2025</t>
        </is>
      </c>
      <c r="B129" s="1" t="n">
        <v>45975</v>
      </c>
      <c r="C129" s="1" t="n">
        <v>45990</v>
      </c>
      <c r="D129" t="inlineStr">
        <is>
          <t>VÄSTMANLANDS LÄN</t>
        </is>
      </c>
      <c r="E129" t="inlineStr">
        <is>
          <t>SURAHAMMAR</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56768-2025</t>
        </is>
      </c>
      <c r="B130" s="1" t="n">
        <v>45978</v>
      </c>
      <c r="C130" s="1" t="n">
        <v>45990</v>
      </c>
      <c r="D130" t="inlineStr">
        <is>
          <t>VÄSTMANLANDS LÄN</t>
        </is>
      </c>
      <c r="E130" t="inlineStr">
        <is>
          <t>SURAHAMMAR</t>
        </is>
      </c>
      <c r="F130" t="inlineStr">
        <is>
          <t>Sveaskog</t>
        </is>
      </c>
      <c r="G130" t="n">
        <v>3.8</v>
      </c>
      <c r="H130" t="n">
        <v>0</v>
      </c>
      <c r="I130" t="n">
        <v>0</v>
      </c>
      <c r="J130" t="n">
        <v>0</v>
      </c>
      <c r="K130" t="n">
        <v>0</v>
      </c>
      <c r="L130" t="n">
        <v>0</v>
      </c>
      <c r="M130" t="n">
        <v>0</v>
      </c>
      <c r="N130" t="n">
        <v>0</v>
      </c>
      <c r="O130" t="n">
        <v>0</v>
      </c>
      <c r="P130" t="n">
        <v>0</v>
      </c>
      <c r="Q130" t="n">
        <v>0</v>
      </c>
      <c r="R130" s="2" t="inlineStr"/>
    </row>
    <row r="131" ht="15" customHeight="1">
      <c r="A131" t="inlineStr">
        <is>
          <t>A 49058-2024</t>
        </is>
      </c>
      <c r="B131" s="1" t="n">
        <v>45594</v>
      </c>
      <c r="C131" s="1" t="n">
        <v>45990</v>
      </c>
      <c r="D131" t="inlineStr">
        <is>
          <t>VÄSTMANLANDS LÄN</t>
        </is>
      </c>
      <c r="E131" t="inlineStr">
        <is>
          <t>SURAHAMMAR</t>
        </is>
      </c>
      <c r="F131" t="inlineStr">
        <is>
          <t>Sveaskog</t>
        </is>
      </c>
      <c r="G131" t="n">
        <v>11.4</v>
      </c>
      <c r="H131" t="n">
        <v>0</v>
      </c>
      <c r="I131" t="n">
        <v>0</v>
      </c>
      <c r="J131" t="n">
        <v>0</v>
      </c>
      <c r="K131" t="n">
        <v>0</v>
      </c>
      <c r="L131" t="n">
        <v>0</v>
      </c>
      <c r="M131" t="n">
        <v>0</v>
      </c>
      <c r="N131" t="n">
        <v>0</v>
      </c>
      <c r="O131" t="n">
        <v>0</v>
      </c>
      <c r="P131" t="n">
        <v>0</v>
      </c>
      <c r="Q131" t="n">
        <v>0</v>
      </c>
      <c r="R131" s="2" t="inlineStr"/>
    </row>
    <row r="132" ht="15" customHeight="1">
      <c r="A132" t="inlineStr">
        <is>
          <t>A 49060-2024</t>
        </is>
      </c>
      <c r="B132" s="1" t="n">
        <v>45594</v>
      </c>
      <c r="C132" s="1" t="n">
        <v>45990</v>
      </c>
      <c r="D132" t="inlineStr">
        <is>
          <t>VÄSTMANLANDS LÄN</t>
        </is>
      </c>
      <c r="E132" t="inlineStr">
        <is>
          <t>SURAHAMMAR</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34955-2022</t>
        </is>
      </c>
      <c r="B133" s="1" t="n">
        <v>44796</v>
      </c>
      <c r="C133" s="1" t="n">
        <v>45990</v>
      </c>
      <c r="D133" t="inlineStr">
        <is>
          <t>VÄSTMANLANDS LÄN</t>
        </is>
      </c>
      <c r="E133" t="inlineStr">
        <is>
          <t>SURAHAMMAR</t>
        </is>
      </c>
      <c r="F133" t="inlineStr">
        <is>
          <t>Sveaskog</t>
        </is>
      </c>
      <c r="G133" t="n">
        <v>4.6</v>
      </c>
      <c r="H133" t="n">
        <v>0</v>
      </c>
      <c r="I133" t="n">
        <v>0</v>
      </c>
      <c r="J133" t="n">
        <v>0</v>
      </c>
      <c r="K133" t="n">
        <v>0</v>
      </c>
      <c r="L133" t="n">
        <v>0</v>
      </c>
      <c r="M133" t="n">
        <v>0</v>
      </c>
      <c r="N133" t="n">
        <v>0</v>
      </c>
      <c r="O133" t="n">
        <v>0</v>
      </c>
      <c r="P133" t="n">
        <v>0</v>
      </c>
      <c r="Q133" t="n">
        <v>0</v>
      </c>
      <c r="R133" s="2" t="inlineStr"/>
    </row>
    <row r="134" ht="15" customHeight="1">
      <c r="A134" t="inlineStr">
        <is>
          <t>A 20904-2023</t>
        </is>
      </c>
      <c r="B134" s="1" t="n">
        <v>45060</v>
      </c>
      <c r="C134" s="1" t="n">
        <v>45990</v>
      </c>
      <c r="D134" t="inlineStr">
        <is>
          <t>VÄSTMANLANDS LÄN</t>
        </is>
      </c>
      <c r="E134" t="inlineStr">
        <is>
          <t>SURAHAMMAR</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10883-2023</t>
        </is>
      </c>
      <c r="B135" s="1" t="n">
        <v>44991</v>
      </c>
      <c r="C135" s="1" t="n">
        <v>45990</v>
      </c>
      <c r="D135" t="inlineStr">
        <is>
          <t>VÄSTMANLANDS LÄN</t>
        </is>
      </c>
      <c r="E135" t="inlineStr">
        <is>
          <t>SURAHAMMAR</t>
        </is>
      </c>
      <c r="F135" t="inlineStr">
        <is>
          <t>Övriga Aktiebolag</t>
        </is>
      </c>
      <c r="G135" t="n">
        <v>12.5</v>
      </c>
      <c r="H135" t="n">
        <v>0</v>
      </c>
      <c r="I135" t="n">
        <v>0</v>
      </c>
      <c r="J135" t="n">
        <v>0</v>
      </c>
      <c r="K135" t="n">
        <v>0</v>
      </c>
      <c r="L135" t="n">
        <v>0</v>
      </c>
      <c r="M135" t="n">
        <v>0</v>
      </c>
      <c r="N135" t="n">
        <v>0</v>
      </c>
      <c r="O135" t="n">
        <v>0</v>
      </c>
      <c r="P135" t="n">
        <v>0</v>
      </c>
      <c r="Q135" t="n">
        <v>0</v>
      </c>
      <c r="R135" s="2" t="inlineStr"/>
    </row>
    <row r="136" ht="15" customHeight="1">
      <c r="A136" t="inlineStr">
        <is>
          <t>A 2660-2024</t>
        </is>
      </c>
      <c r="B136" s="1" t="n">
        <v>45310</v>
      </c>
      <c r="C136" s="1" t="n">
        <v>45990</v>
      </c>
      <c r="D136" t="inlineStr">
        <is>
          <t>VÄSTMANLANDS LÄN</t>
        </is>
      </c>
      <c r="E136" t="inlineStr">
        <is>
          <t>SURAHAMMAR</t>
        </is>
      </c>
      <c r="G136" t="n">
        <v>2.1</v>
      </c>
      <c r="H136" t="n">
        <v>0</v>
      </c>
      <c r="I136" t="n">
        <v>0</v>
      </c>
      <c r="J136" t="n">
        <v>0</v>
      </c>
      <c r="K136" t="n">
        <v>0</v>
      </c>
      <c r="L136" t="n">
        <v>0</v>
      </c>
      <c r="M136" t="n">
        <v>0</v>
      </c>
      <c r="N136" t="n">
        <v>0</v>
      </c>
      <c r="O136" t="n">
        <v>0</v>
      </c>
      <c r="P136" t="n">
        <v>0</v>
      </c>
      <c r="Q136" t="n">
        <v>0</v>
      </c>
      <c r="R136" s="2" t="inlineStr"/>
    </row>
    <row r="137" ht="15" customHeight="1">
      <c r="A137" t="inlineStr">
        <is>
          <t>A 14626-2023</t>
        </is>
      </c>
      <c r="B137" s="1" t="n">
        <v>45012</v>
      </c>
      <c r="C137" s="1" t="n">
        <v>45990</v>
      </c>
      <c r="D137" t="inlineStr">
        <is>
          <t>VÄSTMANLANDS LÄN</t>
        </is>
      </c>
      <c r="E137" t="inlineStr">
        <is>
          <t>SURAHAMMAR</t>
        </is>
      </c>
      <c r="F137" t="inlineStr">
        <is>
          <t>Bergvik skog väst AB</t>
        </is>
      </c>
      <c r="G137" t="n">
        <v>5</v>
      </c>
      <c r="H137" t="n">
        <v>0</v>
      </c>
      <c r="I137" t="n">
        <v>0</v>
      </c>
      <c r="J137" t="n">
        <v>0</v>
      </c>
      <c r="K137" t="n">
        <v>0</v>
      </c>
      <c r="L137" t="n">
        <v>0</v>
      </c>
      <c r="M137" t="n">
        <v>0</v>
      </c>
      <c r="N137" t="n">
        <v>0</v>
      </c>
      <c r="O137" t="n">
        <v>0</v>
      </c>
      <c r="P137" t="n">
        <v>0</v>
      </c>
      <c r="Q137" t="n">
        <v>0</v>
      </c>
      <c r="R137" s="2" t="inlineStr"/>
    </row>
    <row r="138" ht="15" customHeight="1">
      <c r="A138" t="inlineStr">
        <is>
          <t>A 37798-2021</t>
        </is>
      </c>
      <c r="B138" s="1" t="n">
        <v>44402</v>
      </c>
      <c r="C138" s="1" t="n">
        <v>45990</v>
      </c>
      <c r="D138" t="inlineStr">
        <is>
          <t>VÄSTMANLANDS LÄN</t>
        </is>
      </c>
      <c r="E138" t="inlineStr">
        <is>
          <t>SURAHAMMAR</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25450-2024</t>
        </is>
      </c>
      <c r="B139" s="1" t="n">
        <v>45463</v>
      </c>
      <c r="C139" s="1" t="n">
        <v>45990</v>
      </c>
      <c r="D139" t="inlineStr">
        <is>
          <t>VÄSTMANLANDS LÄN</t>
        </is>
      </c>
      <c r="E139" t="inlineStr">
        <is>
          <t>SURAHAMMAR</t>
        </is>
      </c>
      <c r="F139" t="inlineStr">
        <is>
          <t>Bergvik skog väst AB</t>
        </is>
      </c>
      <c r="G139" t="n">
        <v>2.4</v>
      </c>
      <c r="H139" t="n">
        <v>0</v>
      </c>
      <c r="I139" t="n">
        <v>0</v>
      </c>
      <c r="J139" t="n">
        <v>0</v>
      </c>
      <c r="K139" t="n">
        <v>0</v>
      </c>
      <c r="L139" t="n">
        <v>0</v>
      </c>
      <c r="M139" t="n">
        <v>0</v>
      </c>
      <c r="N139" t="n">
        <v>0</v>
      </c>
      <c r="O139" t="n">
        <v>0</v>
      </c>
      <c r="P139" t="n">
        <v>0</v>
      </c>
      <c r="Q139" t="n">
        <v>0</v>
      </c>
      <c r="R139" s="2" t="inlineStr"/>
    </row>
    <row r="140" ht="15" customHeight="1">
      <c r="A140" t="inlineStr">
        <is>
          <t>A 19782-2023</t>
        </is>
      </c>
      <c r="B140" s="1" t="n">
        <v>45050</v>
      </c>
      <c r="C140" s="1" t="n">
        <v>45990</v>
      </c>
      <c r="D140" t="inlineStr">
        <is>
          <t>VÄSTMANLANDS LÄN</t>
        </is>
      </c>
      <c r="E140" t="inlineStr">
        <is>
          <t>SURAHAMMAR</t>
        </is>
      </c>
      <c r="F140" t="inlineStr">
        <is>
          <t>Bergvik skog väst AB</t>
        </is>
      </c>
      <c r="G140" t="n">
        <v>5.2</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44608.58400462963</v>
      </c>
      <c r="C141" s="1" t="n">
        <v>45990</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24167-2024</t>
        </is>
      </c>
      <c r="B142" s="1" t="n">
        <v>45456</v>
      </c>
      <c r="C142" s="1" t="n">
        <v>45990</v>
      </c>
      <c r="D142" t="inlineStr">
        <is>
          <t>VÄSTMANLANDS LÄN</t>
        </is>
      </c>
      <c r="E142" t="inlineStr">
        <is>
          <t>SURAHAMMAR</t>
        </is>
      </c>
      <c r="G142" t="n">
        <v>0.6</v>
      </c>
      <c r="H142" t="n">
        <v>0</v>
      </c>
      <c r="I142" t="n">
        <v>0</v>
      </c>
      <c r="J142" t="n">
        <v>0</v>
      </c>
      <c r="K142" t="n">
        <v>0</v>
      </c>
      <c r="L142" t="n">
        <v>0</v>
      </c>
      <c r="M142" t="n">
        <v>0</v>
      </c>
      <c r="N142" t="n">
        <v>0</v>
      </c>
      <c r="O142" t="n">
        <v>0</v>
      </c>
      <c r="P142" t="n">
        <v>0</v>
      </c>
      <c r="Q142" t="n">
        <v>0</v>
      </c>
      <c r="R142" s="2" t="inlineStr"/>
    </row>
    <row r="143" ht="15" customHeight="1">
      <c r="A143" t="inlineStr">
        <is>
          <t>A 56378-2023</t>
        </is>
      </c>
      <c r="B143" s="1" t="n">
        <v>45236</v>
      </c>
      <c r="C143" s="1" t="n">
        <v>45990</v>
      </c>
      <c r="D143" t="inlineStr">
        <is>
          <t>VÄSTMANLANDS LÄN</t>
        </is>
      </c>
      <c r="E143" t="inlineStr">
        <is>
          <t>SURAHAMMAR</t>
        </is>
      </c>
      <c r="F143" t="inlineStr">
        <is>
          <t>Bergvik skog väst AB</t>
        </is>
      </c>
      <c r="G143" t="n">
        <v>4.6</v>
      </c>
      <c r="H143" t="n">
        <v>0</v>
      </c>
      <c r="I143" t="n">
        <v>0</v>
      </c>
      <c r="J143" t="n">
        <v>0</v>
      </c>
      <c r="K143" t="n">
        <v>0</v>
      </c>
      <c r="L143" t="n">
        <v>0</v>
      </c>
      <c r="M143" t="n">
        <v>0</v>
      </c>
      <c r="N143" t="n">
        <v>0</v>
      </c>
      <c r="O143" t="n">
        <v>0</v>
      </c>
      <c r="P143" t="n">
        <v>0</v>
      </c>
      <c r="Q143" t="n">
        <v>0</v>
      </c>
      <c r="R143" s="2" t="inlineStr"/>
    </row>
    <row r="144" ht="15" customHeight="1">
      <c r="A144" t="inlineStr">
        <is>
          <t>A 19099-2022</t>
        </is>
      </c>
      <c r="B144" s="1" t="n">
        <v>44691</v>
      </c>
      <c r="C144" s="1" t="n">
        <v>45990</v>
      </c>
      <c r="D144" t="inlineStr">
        <is>
          <t>VÄSTMANLANDS LÄN</t>
        </is>
      </c>
      <c r="E144" t="inlineStr">
        <is>
          <t>SURAHAMMAR</t>
        </is>
      </c>
      <c r="F144" t="inlineStr">
        <is>
          <t>Övriga Aktiebolag</t>
        </is>
      </c>
      <c r="G144" t="n">
        <v>3.4</v>
      </c>
      <c r="H144" t="n">
        <v>0</v>
      </c>
      <c r="I144" t="n">
        <v>0</v>
      </c>
      <c r="J144" t="n">
        <v>0</v>
      </c>
      <c r="K144" t="n">
        <v>0</v>
      </c>
      <c r="L144" t="n">
        <v>0</v>
      </c>
      <c r="M144" t="n">
        <v>0</v>
      </c>
      <c r="N144" t="n">
        <v>0</v>
      </c>
      <c r="O144" t="n">
        <v>0</v>
      </c>
      <c r="P144" t="n">
        <v>0</v>
      </c>
      <c r="Q144" t="n">
        <v>0</v>
      </c>
      <c r="R144" s="2" t="inlineStr"/>
    </row>
    <row r="145" ht="15" customHeight="1">
      <c r="A145" t="inlineStr">
        <is>
          <t>A 11501-2023</t>
        </is>
      </c>
      <c r="B145" s="1" t="n">
        <v>44991</v>
      </c>
      <c r="C145" s="1" t="n">
        <v>45990</v>
      </c>
      <c r="D145" t="inlineStr">
        <is>
          <t>VÄSTMANLANDS LÄN</t>
        </is>
      </c>
      <c r="E145" t="inlineStr">
        <is>
          <t>SURAHAMMAR</t>
        </is>
      </c>
      <c r="F145" t="inlineStr">
        <is>
          <t>Bergvik skog väst AB</t>
        </is>
      </c>
      <c r="G145" t="n">
        <v>1.1</v>
      </c>
      <c r="H145" t="n">
        <v>0</v>
      </c>
      <c r="I145" t="n">
        <v>0</v>
      </c>
      <c r="J145" t="n">
        <v>0</v>
      </c>
      <c r="K145" t="n">
        <v>0</v>
      </c>
      <c r="L145" t="n">
        <v>0</v>
      </c>
      <c r="M145" t="n">
        <v>0</v>
      </c>
      <c r="N145" t="n">
        <v>0</v>
      </c>
      <c r="O145" t="n">
        <v>0</v>
      </c>
      <c r="P145" t="n">
        <v>0</v>
      </c>
      <c r="Q145" t="n">
        <v>0</v>
      </c>
      <c r="R145" s="2" t="inlineStr"/>
    </row>
    <row r="146" ht="15" customHeight="1">
      <c r="A146" t="inlineStr">
        <is>
          <t>A 3818-2022</t>
        </is>
      </c>
      <c r="B146" s="1" t="n">
        <v>44587</v>
      </c>
      <c r="C146" s="1" t="n">
        <v>45990</v>
      </c>
      <c r="D146" t="inlineStr">
        <is>
          <t>VÄSTMANLANDS LÄN</t>
        </is>
      </c>
      <c r="E146" t="inlineStr">
        <is>
          <t>SURAHAMMAR</t>
        </is>
      </c>
      <c r="G146" t="n">
        <v>2.6</v>
      </c>
      <c r="H146" t="n">
        <v>0</v>
      </c>
      <c r="I146" t="n">
        <v>0</v>
      </c>
      <c r="J146" t="n">
        <v>0</v>
      </c>
      <c r="K146" t="n">
        <v>0</v>
      </c>
      <c r="L146" t="n">
        <v>0</v>
      </c>
      <c r="M146" t="n">
        <v>0</v>
      </c>
      <c r="N146" t="n">
        <v>0</v>
      </c>
      <c r="O146" t="n">
        <v>0</v>
      </c>
      <c r="P146" t="n">
        <v>0</v>
      </c>
      <c r="Q146" t="n">
        <v>0</v>
      </c>
      <c r="R146" s="2" t="inlineStr"/>
    </row>
    <row r="147" ht="15" customHeight="1">
      <c r="A147" t="inlineStr">
        <is>
          <t>A 21509-2024</t>
        </is>
      </c>
      <c r="B147" s="1" t="n">
        <v>45441</v>
      </c>
      <c r="C147" s="1" t="n">
        <v>45990</v>
      </c>
      <c r="D147" t="inlineStr">
        <is>
          <t>VÄSTMANLANDS LÄN</t>
        </is>
      </c>
      <c r="E147" t="inlineStr">
        <is>
          <t>SURAHAMMAR</t>
        </is>
      </c>
      <c r="F147" t="inlineStr">
        <is>
          <t>Bergvik skog väst AB</t>
        </is>
      </c>
      <c r="G147" t="n">
        <v>3.9</v>
      </c>
      <c r="H147" t="n">
        <v>0</v>
      </c>
      <c r="I147" t="n">
        <v>0</v>
      </c>
      <c r="J147" t="n">
        <v>0</v>
      </c>
      <c r="K147" t="n">
        <v>0</v>
      </c>
      <c r="L147" t="n">
        <v>0</v>
      </c>
      <c r="M147" t="n">
        <v>0</v>
      </c>
      <c r="N147" t="n">
        <v>0</v>
      </c>
      <c r="O147" t="n">
        <v>0</v>
      </c>
      <c r="P147" t="n">
        <v>0</v>
      </c>
      <c r="Q147" t="n">
        <v>0</v>
      </c>
      <c r="R147" s="2" t="inlineStr"/>
    </row>
    <row r="148" ht="15" customHeight="1">
      <c r="A148" t="inlineStr">
        <is>
          <t>A 22662-2023</t>
        </is>
      </c>
      <c r="B148" s="1" t="n">
        <v>45071</v>
      </c>
      <c r="C148" s="1" t="n">
        <v>45990</v>
      </c>
      <c r="D148" t="inlineStr">
        <is>
          <t>VÄSTMANLANDS LÄN</t>
        </is>
      </c>
      <c r="E148" t="inlineStr">
        <is>
          <t>SURAHAMMAR</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16013-2023</t>
        </is>
      </c>
      <c r="B149" s="1" t="n">
        <v>45026</v>
      </c>
      <c r="C149" s="1" t="n">
        <v>45990</v>
      </c>
      <c r="D149" t="inlineStr">
        <is>
          <t>VÄSTMANLANDS LÄN</t>
        </is>
      </c>
      <c r="E149" t="inlineStr">
        <is>
          <t>SURAHAMMAR</t>
        </is>
      </c>
      <c r="G149" t="n">
        <v>3.9</v>
      </c>
      <c r="H149" t="n">
        <v>0</v>
      </c>
      <c r="I149" t="n">
        <v>0</v>
      </c>
      <c r="J149" t="n">
        <v>0</v>
      </c>
      <c r="K149" t="n">
        <v>0</v>
      </c>
      <c r="L149" t="n">
        <v>0</v>
      </c>
      <c r="M149" t="n">
        <v>0</v>
      </c>
      <c r="N149" t="n">
        <v>0</v>
      </c>
      <c r="O149" t="n">
        <v>0</v>
      </c>
      <c r="P149" t="n">
        <v>0</v>
      </c>
      <c r="Q149" t="n">
        <v>0</v>
      </c>
      <c r="R149" s="2" t="inlineStr"/>
    </row>
    <row r="150" ht="15" customHeight="1">
      <c r="A150" t="inlineStr">
        <is>
          <t>A 41555-2022</t>
        </is>
      </c>
      <c r="B150" s="1" t="n">
        <v>44826</v>
      </c>
      <c r="C150" s="1" t="n">
        <v>45990</v>
      </c>
      <c r="D150" t="inlineStr">
        <is>
          <t>VÄSTMANLANDS LÄN</t>
        </is>
      </c>
      <c r="E150" t="inlineStr">
        <is>
          <t>SURAHAMMAR</t>
        </is>
      </c>
      <c r="F150" t="inlineStr">
        <is>
          <t>Bergvik skog väst AB</t>
        </is>
      </c>
      <c r="G150" t="n">
        <v>1.7</v>
      </c>
      <c r="H150" t="n">
        <v>0</v>
      </c>
      <c r="I150" t="n">
        <v>0</v>
      </c>
      <c r="J150" t="n">
        <v>0</v>
      </c>
      <c r="K150" t="n">
        <v>0</v>
      </c>
      <c r="L150" t="n">
        <v>0</v>
      </c>
      <c r="M150" t="n">
        <v>0</v>
      </c>
      <c r="N150" t="n">
        <v>0</v>
      </c>
      <c r="O150" t="n">
        <v>0</v>
      </c>
      <c r="P150" t="n">
        <v>0</v>
      </c>
      <c r="Q150" t="n">
        <v>0</v>
      </c>
      <c r="R150" s="2" t="inlineStr"/>
    </row>
    <row r="151" ht="15" customHeight="1">
      <c r="A151" t="inlineStr">
        <is>
          <t>A 25780-2023</t>
        </is>
      </c>
      <c r="B151" s="1" t="n">
        <v>45090.47523148148</v>
      </c>
      <c r="C151" s="1" t="n">
        <v>45990</v>
      </c>
      <c r="D151" t="inlineStr">
        <is>
          <t>VÄSTMANLANDS LÄN</t>
        </is>
      </c>
      <c r="E151" t="inlineStr">
        <is>
          <t>SURAHAMMAR</t>
        </is>
      </c>
      <c r="G151" t="n">
        <v>2.8</v>
      </c>
      <c r="H151" t="n">
        <v>0</v>
      </c>
      <c r="I151" t="n">
        <v>0</v>
      </c>
      <c r="J151" t="n">
        <v>0</v>
      </c>
      <c r="K151" t="n">
        <v>0</v>
      </c>
      <c r="L151" t="n">
        <v>0</v>
      </c>
      <c r="M151" t="n">
        <v>0</v>
      </c>
      <c r="N151" t="n">
        <v>0</v>
      </c>
      <c r="O151" t="n">
        <v>0</v>
      </c>
      <c r="P151" t="n">
        <v>0</v>
      </c>
      <c r="Q151" t="n">
        <v>0</v>
      </c>
      <c r="R151" s="2" t="inlineStr"/>
    </row>
    <row r="152" ht="15" customHeight="1">
      <c r="A152" t="inlineStr">
        <is>
          <t>A 13386-2025</t>
        </is>
      </c>
      <c r="B152" s="1" t="n">
        <v>45735</v>
      </c>
      <c r="C152" s="1" t="n">
        <v>45990</v>
      </c>
      <c r="D152" t="inlineStr">
        <is>
          <t>VÄSTMANLANDS LÄN</t>
        </is>
      </c>
      <c r="E152" t="inlineStr">
        <is>
          <t>SURAHAMMAR</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45990</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15739-2023</t>
        </is>
      </c>
      <c r="B154" s="1" t="n">
        <v>45021</v>
      </c>
      <c r="C154" s="1" t="n">
        <v>45990</v>
      </c>
      <c r="D154" t="inlineStr">
        <is>
          <t>VÄSTMANLANDS LÄN</t>
        </is>
      </c>
      <c r="E154" t="inlineStr">
        <is>
          <t>SURAHAMMAR</t>
        </is>
      </c>
      <c r="G154" t="n">
        <v>1.3</v>
      </c>
      <c r="H154" t="n">
        <v>0</v>
      </c>
      <c r="I154" t="n">
        <v>0</v>
      </c>
      <c r="J154" t="n">
        <v>0</v>
      </c>
      <c r="K154" t="n">
        <v>0</v>
      </c>
      <c r="L154" t="n">
        <v>0</v>
      </c>
      <c r="M154" t="n">
        <v>0</v>
      </c>
      <c r="N154" t="n">
        <v>0</v>
      </c>
      <c r="O154" t="n">
        <v>0</v>
      </c>
      <c r="P154" t="n">
        <v>0</v>
      </c>
      <c r="Q154" t="n">
        <v>0</v>
      </c>
      <c r="R154" s="2" t="inlineStr"/>
    </row>
    <row r="155">
      <c r="A155" t="inlineStr">
        <is>
          <t>A 38154-2021</t>
        </is>
      </c>
      <c r="B155" s="1" t="n">
        <v>44405.42373842592</v>
      </c>
      <c r="C155" s="1" t="n">
        <v>45990</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2025-11-29T10:26:44Z</dcterms:created>
  <dcterms:modified xmlns:dcterms="http://purl.org/dc/terms/" xmlns:xsi="http://www.w3.org/2001/XMLSchema-instance" xsi:type="dcterms:W3CDTF">2025-11-29T10:26:44Z</dcterms:modified>
</cp:coreProperties>
</file>