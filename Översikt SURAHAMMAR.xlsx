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45889</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45889</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45889</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45889</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40942-2023</t>
        </is>
      </c>
      <c r="B8" s="1" t="n">
        <v>45169</v>
      </c>
      <c r="C8" s="1" t="n">
        <v>45889</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c r="Z8">
        <f>HYPERLINK("https://klasma.github.io/Logging_1907/fåglar/A 40942-2023 prioriterade fågelarter.docx", "A 40942-2023")</f>
        <v/>
      </c>
    </row>
    <row r="9" ht="15" customHeight="1">
      <c r="A9" t="inlineStr">
        <is>
          <t>A 25573-2024</t>
        </is>
      </c>
      <c r="B9" s="1" t="n">
        <v>45463</v>
      </c>
      <c r="C9" s="1" t="n">
        <v>45889</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21560-2025</t>
        </is>
      </c>
      <c r="B10" s="1" t="n">
        <v>45782</v>
      </c>
      <c r="C10" s="1" t="n">
        <v>45889</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45889</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45889</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7791-2024</t>
        </is>
      </c>
      <c r="B16" s="1" t="n">
        <v>45348</v>
      </c>
      <c r="C16" s="1" t="n">
        <v>45889</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14815-2025</t>
        </is>
      </c>
      <c r="B17" s="1" t="n">
        <v>45743.34931712963</v>
      </c>
      <c r="C17" s="1" t="n">
        <v>45889</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44798-2024</t>
        </is>
      </c>
      <c r="B18" s="1" t="n">
        <v>45574</v>
      </c>
      <c r="C18" s="1" t="n">
        <v>45889</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45889</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45889</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45889</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45889</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45889</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45889</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45889</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45889</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45889</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45889</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45889</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48128-2023</t>
        </is>
      </c>
      <c r="B30" s="1" t="n">
        <v>45205</v>
      </c>
      <c r="C30" s="1" t="n">
        <v>45889</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42708-2022</t>
        </is>
      </c>
      <c r="B31" s="1" t="n">
        <v>44832</v>
      </c>
      <c r="C31" s="1" t="n">
        <v>45889</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8552-2022</t>
        </is>
      </c>
      <c r="B32" s="1" t="n">
        <v>44613</v>
      </c>
      <c r="C32" s="1" t="n">
        <v>45889</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29707-2025</t>
        </is>
      </c>
      <c r="B33" s="1" t="n">
        <v>45825.56100694444</v>
      </c>
      <c r="C33" s="1" t="n">
        <v>45889</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42853-2022</t>
        </is>
      </c>
      <c r="B34" s="1" t="n">
        <v>44832</v>
      </c>
      <c r="C34" s="1" t="n">
        <v>45889</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45889</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45889</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45889</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45889</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45889</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45889</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45889</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45889</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45889</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40411-2021</t>
        </is>
      </c>
      <c r="B44" s="1" t="n">
        <v>44419</v>
      </c>
      <c r="C44" s="1" t="n">
        <v>45889</v>
      </c>
      <c r="D44" t="inlineStr">
        <is>
          <t>VÄSTMANLANDS LÄN</t>
        </is>
      </c>
      <c r="E44" t="inlineStr">
        <is>
          <t>SURAHAMMAR</t>
        </is>
      </c>
      <c r="F44" t="inlineStr">
        <is>
          <t>Sveaskog</t>
        </is>
      </c>
      <c r="G44" t="n">
        <v>2.4</v>
      </c>
      <c r="H44" t="n">
        <v>1</v>
      </c>
      <c r="I44" t="n">
        <v>0</v>
      </c>
      <c r="J44" t="n">
        <v>0</v>
      </c>
      <c r="K44" t="n">
        <v>0</v>
      </c>
      <c r="L44" t="n">
        <v>0</v>
      </c>
      <c r="M44" t="n">
        <v>0</v>
      </c>
      <c r="N44" t="n">
        <v>0</v>
      </c>
      <c r="O44" t="n">
        <v>0</v>
      </c>
      <c r="P44" t="n">
        <v>0</v>
      </c>
      <c r="Q44" t="n">
        <v>1</v>
      </c>
      <c r="R44" s="2" t="inlineStr">
        <is>
          <t>Kopparödla</t>
        </is>
      </c>
      <c r="S44">
        <f>HYPERLINK("https://klasma.github.io/Logging_1907/artfynd/A 40411-2021 artfynd.xlsx", "A 40411-2021")</f>
        <v/>
      </c>
      <c r="T44">
        <f>HYPERLINK("https://klasma.github.io/Logging_1907/kartor/A 40411-2021 karta.png", "A 40411-2021")</f>
        <v/>
      </c>
      <c r="V44">
        <f>HYPERLINK("https://klasma.github.io/Logging_1907/klagomål/A 40411-2021 FSC-klagomål.docx", "A 40411-2021")</f>
        <v/>
      </c>
      <c r="W44">
        <f>HYPERLINK("https://klasma.github.io/Logging_1907/klagomålsmail/A 40411-2021 FSC-klagomål mail.docx", "A 40411-2021")</f>
        <v/>
      </c>
      <c r="X44">
        <f>HYPERLINK("https://klasma.github.io/Logging_1907/tillsyn/A 40411-2021 tillsynsbegäran.docx", "A 40411-2021")</f>
        <v/>
      </c>
      <c r="Y44">
        <f>HYPERLINK("https://klasma.github.io/Logging_1907/tillsynsmail/A 40411-2021 tillsynsbegäran mail.docx", "A 40411-2021")</f>
        <v/>
      </c>
    </row>
    <row r="45" ht="15" customHeight="1">
      <c r="A45" t="inlineStr">
        <is>
          <t>A 33231-2024</t>
        </is>
      </c>
      <c r="B45" s="1" t="n">
        <v>45518</v>
      </c>
      <c r="C45" s="1" t="n">
        <v>45889</v>
      </c>
      <c r="D45" t="inlineStr">
        <is>
          <t>VÄSTMANLANDS LÄN</t>
        </is>
      </c>
      <c r="E45" t="inlineStr">
        <is>
          <t>SURAHAMMAR</t>
        </is>
      </c>
      <c r="F45" t="inlineStr">
        <is>
          <t>Bergvik skog väst AB</t>
        </is>
      </c>
      <c r="G45" t="n">
        <v>1.5</v>
      </c>
      <c r="H45" t="n">
        <v>1</v>
      </c>
      <c r="I45" t="n">
        <v>0</v>
      </c>
      <c r="J45" t="n">
        <v>0</v>
      </c>
      <c r="K45" t="n">
        <v>0</v>
      </c>
      <c r="L45" t="n">
        <v>0</v>
      </c>
      <c r="M45" t="n">
        <v>0</v>
      </c>
      <c r="N45" t="n">
        <v>0</v>
      </c>
      <c r="O45" t="n">
        <v>0</v>
      </c>
      <c r="P45" t="n">
        <v>0</v>
      </c>
      <c r="Q45" t="n">
        <v>1</v>
      </c>
      <c r="R45" s="2" t="inlineStr">
        <is>
          <t>Mindre vattensalamander</t>
        </is>
      </c>
      <c r="S45">
        <f>HYPERLINK("https://klasma.github.io/Logging_1907/artfynd/A 33231-2024 artfynd.xlsx", "A 33231-2024")</f>
        <v/>
      </c>
      <c r="T45">
        <f>HYPERLINK("https://klasma.github.io/Logging_1907/kartor/A 33231-2024 karta.png", "A 33231-2024")</f>
        <v/>
      </c>
      <c r="V45">
        <f>HYPERLINK("https://klasma.github.io/Logging_1907/klagomål/A 33231-2024 FSC-klagomål.docx", "A 33231-2024")</f>
        <v/>
      </c>
      <c r="W45">
        <f>HYPERLINK("https://klasma.github.io/Logging_1907/klagomålsmail/A 33231-2024 FSC-klagomål mail.docx", "A 33231-2024")</f>
        <v/>
      </c>
      <c r="X45">
        <f>HYPERLINK("https://klasma.github.io/Logging_1907/tillsyn/A 33231-2024 tillsynsbegäran.docx", "A 33231-2024")</f>
        <v/>
      </c>
      <c r="Y45">
        <f>HYPERLINK("https://klasma.github.io/Logging_1907/tillsynsmail/A 33231-2024 tillsynsbegäran mail.docx", "A 33231-2024")</f>
        <v/>
      </c>
    </row>
    <row r="46" ht="15" customHeight="1">
      <c r="A46" t="inlineStr">
        <is>
          <t>A 30074-2023</t>
        </is>
      </c>
      <c r="B46" s="1" t="n">
        <v>45110</v>
      </c>
      <c r="C46" s="1" t="n">
        <v>45889</v>
      </c>
      <c r="D46" t="inlineStr">
        <is>
          <t>VÄSTMANLANDS LÄN</t>
        </is>
      </c>
      <c r="E46" t="inlineStr">
        <is>
          <t>SURAHAMMAR</t>
        </is>
      </c>
      <c r="F46" t="inlineStr">
        <is>
          <t>Sveaskog</t>
        </is>
      </c>
      <c r="G46" t="n">
        <v>1.1</v>
      </c>
      <c r="H46" t="n">
        <v>1</v>
      </c>
      <c r="I46" t="n">
        <v>0</v>
      </c>
      <c r="J46" t="n">
        <v>0</v>
      </c>
      <c r="K46" t="n">
        <v>0</v>
      </c>
      <c r="L46" t="n">
        <v>0</v>
      </c>
      <c r="M46" t="n">
        <v>0</v>
      </c>
      <c r="N46" t="n">
        <v>0</v>
      </c>
      <c r="O46" t="n">
        <v>0</v>
      </c>
      <c r="P46" t="n">
        <v>0</v>
      </c>
      <c r="Q46" t="n">
        <v>1</v>
      </c>
      <c r="R46" s="2" t="inlineStr">
        <is>
          <t>Revlummer</t>
        </is>
      </c>
      <c r="S46">
        <f>HYPERLINK("https://klasma.github.io/Logging_1907/artfynd/A 30074-2023 artfynd.xlsx", "A 30074-2023")</f>
        <v/>
      </c>
      <c r="T46">
        <f>HYPERLINK("https://klasma.github.io/Logging_1907/kartor/A 30074-2023 karta.png", "A 30074-2023")</f>
        <v/>
      </c>
      <c r="V46">
        <f>HYPERLINK("https://klasma.github.io/Logging_1907/klagomål/A 30074-2023 FSC-klagomål.docx", "A 30074-2023")</f>
        <v/>
      </c>
      <c r="W46">
        <f>HYPERLINK("https://klasma.github.io/Logging_1907/klagomålsmail/A 30074-2023 FSC-klagomål mail.docx", "A 30074-2023")</f>
        <v/>
      </c>
      <c r="X46">
        <f>HYPERLINK("https://klasma.github.io/Logging_1907/tillsyn/A 30074-2023 tillsynsbegäran.docx", "A 30074-2023")</f>
        <v/>
      </c>
      <c r="Y46">
        <f>HYPERLINK("https://klasma.github.io/Logging_1907/tillsynsmail/A 30074-2023 tillsynsbegäran mail.docx", "A 30074-2023")</f>
        <v/>
      </c>
    </row>
    <row r="47" ht="15" customHeight="1">
      <c r="A47" t="inlineStr">
        <is>
          <t>A 56362-2023</t>
        </is>
      </c>
      <c r="B47" s="1" t="n">
        <v>45236</v>
      </c>
      <c r="C47" s="1" t="n">
        <v>45889</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31176-2024</t>
        </is>
      </c>
      <c r="B48" s="1" t="n">
        <v>45503</v>
      </c>
      <c r="C48" s="1" t="n">
        <v>45889</v>
      </c>
      <c r="D48" t="inlineStr">
        <is>
          <t>VÄSTMANLANDS LÄN</t>
        </is>
      </c>
      <c r="E48" t="inlineStr">
        <is>
          <t>SURAHAMMAR</t>
        </is>
      </c>
      <c r="F48" t="inlineStr">
        <is>
          <t>Allmännings- och besparingsskogar</t>
        </is>
      </c>
      <c r="G48" t="n">
        <v>10.7</v>
      </c>
      <c r="H48" t="n">
        <v>0</v>
      </c>
      <c r="I48" t="n">
        <v>0</v>
      </c>
      <c r="J48" t="n">
        <v>1</v>
      </c>
      <c r="K48" t="n">
        <v>0</v>
      </c>
      <c r="L48" t="n">
        <v>0</v>
      </c>
      <c r="M48" t="n">
        <v>0</v>
      </c>
      <c r="N48" t="n">
        <v>0</v>
      </c>
      <c r="O48" t="n">
        <v>1</v>
      </c>
      <c r="P48" t="n">
        <v>0</v>
      </c>
      <c r="Q48" t="n">
        <v>1</v>
      </c>
      <c r="R48" s="2" t="inlineStr">
        <is>
          <t>Doftskinn</t>
        </is>
      </c>
      <c r="S48">
        <f>HYPERLINK("https://klasma.github.io/Logging_1907/artfynd/A 31176-2024 artfynd.xlsx", "A 31176-2024")</f>
        <v/>
      </c>
      <c r="T48">
        <f>HYPERLINK("https://klasma.github.io/Logging_1907/kartor/A 31176-2024 karta.png", "A 31176-2024")</f>
        <v/>
      </c>
      <c r="V48">
        <f>HYPERLINK("https://klasma.github.io/Logging_1907/klagomål/A 31176-2024 FSC-klagomål.docx", "A 31176-2024")</f>
        <v/>
      </c>
      <c r="W48">
        <f>HYPERLINK("https://klasma.github.io/Logging_1907/klagomålsmail/A 31176-2024 FSC-klagomål mail.docx", "A 31176-2024")</f>
        <v/>
      </c>
      <c r="X48">
        <f>HYPERLINK("https://klasma.github.io/Logging_1907/tillsyn/A 31176-2024 tillsynsbegäran.docx", "A 31176-2024")</f>
        <v/>
      </c>
      <c r="Y48">
        <f>HYPERLINK("https://klasma.github.io/Logging_1907/tillsynsmail/A 31176-2024 tillsynsbegäran mail.docx", "A 31176-2024")</f>
        <v/>
      </c>
    </row>
    <row r="49" ht="15" customHeight="1">
      <c r="A49" t="inlineStr">
        <is>
          <t>A 39099-2022</t>
        </is>
      </c>
      <c r="B49" s="1" t="n">
        <v>44817</v>
      </c>
      <c r="C49" s="1" t="n">
        <v>45889</v>
      </c>
      <c r="D49" t="inlineStr">
        <is>
          <t>VÄSTMANLANDS LÄN</t>
        </is>
      </c>
      <c r="E49" t="inlineStr">
        <is>
          <t>SURAHAMMAR</t>
        </is>
      </c>
      <c r="F49" t="inlineStr">
        <is>
          <t>Bergvik skog väst AB</t>
        </is>
      </c>
      <c r="G49" t="n">
        <v>7.4</v>
      </c>
      <c r="H49" t="n">
        <v>0</v>
      </c>
      <c r="I49" t="n">
        <v>1</v>
      </c>
      <c r="J49" t="n">
        <v>0</v>
      </c>
      <c r="K49" t="n">
        <v>0</v>
      </c>
      <c r="L49" t="n">
        <v>0</v>
      </c>
      <c r="M49" t="n">
        <v>0</v>
      </c>
      <c r="N49" t="n">
        <v>0</v>
      </c>
      <c r="O49" t="n">
        <v>0</v>
      </c>
      <c r="P49" t="n">
        <v>0</v>
      </c>
      <c r="Q49" t="n">
        <v>1</v>
      </c>
      <c r="R49" s="2" t="inlineStr">
        <is>
          <t>Stekelbock</t>
        </is>
      </c>
      <c r="S49">
        <f>HYPERLINK("https://klasma.github.io/Logging_1907/artfynd/A 39099-2022 artfynd.xlsx", "A 39099-2022")</f>
        <v/>
      </c>
      <c r="T49">
        <f>HYPERLINK("https://klasma.github.io/Logging_1907/kartor/A 39099-2022 karta.png", "A 39099-2022")</f>
        <v/>
      </c>
      <c r="V49">
        <f>HYPERLINK("https://klasma.github.io/Logging_1907/klagomål/A 39099-2022 FSC-klagomål.docx", "A 39099-2022")</f>
        <v/>
      </c>
      <c r="W49">
        <f>HYPERLINK("https://klasma.github.io/Logging_1907/klagomålsmail/A 39099-2022 FSC-klagomål mail.docx", "A 39099-2022")</f>
        <v/>
      </c>
      <c r="X49">
        <f>HYPERLINK("https://klasma.github.io/Logging_1907/tillsyn/A 39099-2022 tillsynsbegäran.docx", "A 39099-2022")</f>
        <v/>
      </c>
      <c r="Y49">
        <f>HYPERLINK("https://klasma.github.io/Logging_1907/tillsynsmail/A 39099-2022 tillsynsbegäran mail.docx", "A 39099-2022")</f>
        <v/>
      </c>
    </row>
    <row r="50" ht="15" customHeight="1">
      <c r="A50" t="inlineStr">
        <is>
          <t>A 43451-2024</t>
        </is>
      </c>
      <c r="B50" s="1" t="n">
        <v>45568</v>
      </c>
      <c r="C50" s="1" t="n">
        <v>45889</v>
      </c>
      <c r="D50" t="inlineStr">
        <is>
          <t>VÄSTMANLANDS LÄN</t>
        </is>
      </c>
      <c r="E50" t="inlineStr">
        <is>
          <t>SURAHAMMAR</t>
        </is>
      </c>
      <c r="F50" t="inlineStr">
        <is>
          <t>Bergvik skog väst AB</t>
        </is>
      </c>
      <c r="G50" t="n">
        <v>2.9</v>
      </c>
      <c r="H50" t="n">
        <v>0</v>
      </c>
      <c r="I50" t="n">
        <v>0</v>
      </c>
      <c r="J50" t="n">
        <v>1</v>
      </c>
      <c r="K50" t="n">
        <v>0</v>
      </c>
      <c r="L50" t="n">
        <v>0</v>
      </c>
      <c r="M50" t="n">
        <v>0</v>
      </c>
      <c r="N50" t="n">
        <v>0</v>
      </c>
      <c r="O50" t="n">
        <v>1</v>
      </c>
      <c r="P50" t="n">
        <v>0</v>
      </c>
      <c r="Q50" t="n">
        <v>1</v>
      </c>
      <c r="R50" s="2" t="inlineStr">
        <is>
          <t>Ullticka</t>
        </is>
      </c>
      <c r="S50">
        <f>HYPERLINK("https://klasma.github.io/Logging_1907/artfynd/A 43451-2024 artfynd.xlsx", "A 43451-2024")</f>
        <v/>
      </c>
      <c r="T50">
        <f>HYPERLINK("https://klasma.github.io/Logging_1907/kartor/A 43451-2024 karta.png", "A 43451-2024")</f>
        <v/>
      </c>
      <c r="V50">
        <f>HYPERLINK("https://klasma.github.io/Logging_1907/klagomål/A 43451-2024 FSC-klagomål.docx", "A 43451-2024")</f>
        <v/>
      </c>
      <c r="W50">
        <f>HYPERLINK("https://klasma.github.io/Logging_1907/klagomålsmail/A 43451-2024 FSC-klagomål mail.docx", "A 43451-2024")</f>
        <v/>
      </c>
      <c r="X50">
        <f>HYPERLINK("https://klasma.github.io/Logging_1907/tillsyn/A 43451-2024 tillsynsbegäran.docx", "A 43451-2024")</f>
        <v/>
      </c>
      <c r="Y50">
        <f>HYPERLINK("https://klasma.github.io/Logging_1907/tillsynsmail/A 43451-2024 tillsynsbegäran mail.docx", "A 43451-2024")</f>
        <v/>
      </c>
    </row>
    <row r="51" ht="15" customHeight="1">
      <c r="A51" t="inlineStr">
        <is>
          <t>A 25583-2024</t>
        </is>
      </c>
      <c r="B51" s="1" t="n">
        <v>45463</v>
      </c>
      <c r="C51" s="1" t="n">
        <v>45889</v>
      </c>
      <c r="D51" t="inlineStr">
        <is>
          <t>VÄSTMANLANDS LÄN</t>
        </is>
      </c>
      <c r="E51" t="inlineStr">
        <is>
          <t>SURAHAMMAR</t>
        </is>
      </c>
      <c r="F51" t="inlineStr">
        <is>
          <t>Bergvik skog väst AB</t>
        </is>
      </c>
      <c r="G51" t="n">
        <v>7.8</v>
      </c>
      <c r="H51" t="n">
        <v>1</v>
      </c>
      <c r="I51" t="n">
        <v>0</v>
      </c>
      <c r="J51" t="n">
        <v>0</v>
      </c>
      <c r="K51" t="n">
        <v>0</v>
      </c>
      <c r="L51" t="n">
        <v>0</v>
      </c>
      <c r="M51" t="n">
        <v>0</v>
      </c>
      <c r="N51" t="n">
        <v>0</v>
      </c>
      <c r="O51" t="n">
        <v>0</v>
      </c>
      <c r="P51" t="n">
        <v>0</v>
      </c>
      <c r="Q51" t="n">
        <v>1</v>
      </c>
      <c r="R51" s="2" t="inlineStr">
        <is>
          <t>Blåsippa</t>
        </is>
      </c>
      <c r="S51">
        <f>HYPERLINK("https://klasma.github.io/Logging_1907/artfynd/A 25583-2024 artfynd.xlsx", "A 25583-2024")</f>
        <v/>
      </c>
      <c r="T51">
        <f>HYPERLINK("https://klasma.github.io/Logging_1907/kartor/A 25583-2024 karta.png", "A 25583-2024")</f>
        <v/>
      </c>
      <c r="V51">
        <f>HYPERLINK("https://klasma.github.io/Logging_1907/klagomål/A 25583-2024 FSC-klagomål.docx", "A 25583-2024")</f>
        <v/>
      </c>
      <c r="W51">
        <f>HYPERLINK("https://klasma.github.io/Logging_1907/klagomålsmail/A 25583-2024 FSC-klagomål mail.docx", "A 25583-2024")</f>
        <v/>
      </c>
      <c r="X51">
        <f>HYPERLINK("https://klasma.github.io/Logging_1907/tillsyn/A 25583-2024 tillsynsbegäran.docx", "A 25583-2024")</f>
        <v/>
      </c>
      <c r="Y51">
        <f>HYPERLINK("https://klasma.github.io/Logging_1907/tillsynsmail/A 25583-2024 tillsynsbegäran mail.docx", "A 25583-2024")</f>
        <v/>
      </c>
    </row>
    <row r="52" ht="15" customHeight="1">
      <c r="A52" t="inlineStr">
        <is>
          <t>A 21716-2025</t>
        </is>
      </c>
      <c r="B52" s="1" t="n">
        <v>45783.54804398148</v>
      </c>
      <c r="C52" s="1" t="n">
        <v>45889</v>
      </c>
      <c r="D52" t="inlineStr">
        <is>
          <t>VÄSTMANLANDS LÄN</t>
        </is>
      </c>
      <c r="E52" t="inlineStr">
        <is>
          <t>SURAHAMMAR</t>
        </is>
      </c>
      <c r="F52" t="inlineStr">
        <is>
          <t>Allmännings- och besparingsskogar</t>
        </is>
      </c>
      <c r="G52" t="n">
        <v>21.1</v>
      </c>
      <c r="H52" t="n">
        <v>1</v>
      </c>
      <c r="I52" t="n">
        <v>0</v>
      </c>
      <c r="J52" t="n">
        <v>1</v>
      </c>
      <c r="K52" t="n">
        <v>0</v>
      </c>
      <c r="L52" t="n">
        <v>0</v>
      </c>
      <c r="M52" t="n">
        <v>0</v>
      </c>
      <c r="N52" t="n">
        <v>0</v>
      </c>
      <c r="O52" t="n">
        <v>1</v>
      </c>
      <c r="P52" t="n">
        <v>0</v>
      </c>
      <c r="Q52" t="n">
        <v>1</v>
      </c>
      <c r="R52" s="2" t="inlineStr">
        <is>
          <t>Spillkråka</t>
        </is>
      </c>
      <c r="S52">
        <f>HYPERLINK("https://klasma.github.io/Logging_1907/artfynd/A 21716-2025 artfynd.xlsx", "A 21716-2025")</f>
        <v/>
      </c>
      <c r="T52">
        <f>HYPERLINK("https://klasma.github.io/Logging_1907/kartor/A 21716-2025 karta.png", "A 21716-2025")</f>
        <v/>
      </c>
      <c r="V52">
        <f>HYPERLINK("https://klasma.github.io/Logging_1907/klagomål/A 21716-2025 FSC-klagomål.docx", "A 21716-2025")</f>
        <v/>
      </c>
      <c r="W52">
        <f>HYPERLINK("https://klasma.github.io/Logging_1907/klagomålsmail/A 21716-2025 FSC-klagomål mail.docx", "A 21716-2025")</f>
        <v/>
      </c>
      <c r="X52">
        <f>HYPERLINK("https://klasma.github.io/Logging_1907/tillsyn/A 21716-2025 tillsynsbegäran.docx", "A 21716-2025")</f>
        <v/>
      </c>
      <c r="Y52">
        <f>HYPERLINK("https://klasma.github.io/Logging_1907/tillsynsmail/A 21716-2025 tillsynsbegäran mail.docx", "A 21716-2025")</f>
        <v/>
      </c>
      <c r="Z52">
        <f>HYPERLINK("https://klasma.github.io/Logging_1907/fåglar/A 21716-2025 prioriterade fågelarter.docx", "A 21716-2025")</f>
        <v/>
      </c>
    </row>
    <row r="53" ht="15" customHeight="1">
      <c r="A53" t="inlineStr">
        <is>
          <t>A 13971-2023</t>
        </is>
      </c>
      <c r="B53" s="1" t="n">
        <v>45007</v>
      </c>
      <c r="C53" s="1" t="n">
        <v>45889</v>
      </c>
      <c r="D53" t="inlineStr">
        <is>
          <t>VÄSTMANLANDS LÄN</t>
        </is>
      </c>
      <c r="E53" t="inlineStr">
        <is>
          <t>SURAHAMMAR</t>
        </is>
      </c>
      <c r="F53" t="inlineStr">
        <is>
          <t>Bergvik skog väst AB</t>
        </is>
      </c>
      <c r="G53" t="n">
        <v>2.9</v>
      </c>
      <c r="H53" t="n">
        <v>1</v>
      </c>
      <c r="I53" t="n">
        <v>0</v>
      </c>
      <c r="J53" t="n">
        <v>0</v>
      </c>
      <c r="K53" t="n">
        <v>0</v>
      </c>
      <c r="L53" t="n">
        <v>0</v>
      </c>
      <c r="M53" t="n">
        <v>0</v>
      </c>
      <c r="N53" t="n">
        <v>0</v>
      </c>
      <c r="O53" t="n">
        <v>0</v>
      </c>
      <c r="P53" t="n">
        <v>0</v>
      </c>
      <c r="Q53" t="n">
        <v>1</v>
      </c>
      <c r="R53" s="2" t="inlineStr">
        <is>
          <t>Fläcknycklar</t>
        </is>
      </c>
      <c r="S53">
        <f>HYPERLINK("https://klasma.github.io/Logging_1907/artfynd/A 13971-2023 artfynd.xlsx", "A 13971-2023")</f>
        <v/>
      </c>
      <c r="T53">
        <f>HYPERLINK("https://klasma.github.io/Logging_1907/kartor/A 13971-2023 karta.png", "A 13971-2023")</f>
        <v/>
      </c>
      <c r="V53">
        <f>HYPERLINK("https://klasma.github.io/Logging_1907/klagomål/A 13971-2023 FSC-klagomål.docx", "A 13971-2023")</f>
        <v/>
      </c>
      <c r="W53">
        <f>HYPERLINK("https://klasma.github.io/Logging_1907/klagomålsmail/A 13971-2023 FSC-klagomål mail.docx", "A 13971-2023")</f>
        <v/>
      </c>
      <c r="X53">
        <f>HYPERLINK("https://klasma.github.io/Logging_1907/tillsyn/A 13971-2023 tillsynsbegäran.docx", "A 13971-2023")</f>
        <v/>
      </c>
      <c r="Y53">
        <f>HYPERLINK("https://klasma.github.io/Logging_1907/tillsynsmail/A 13971-2023 tillsynsbegäran mail.docx", "A 13971-2023")</f>
        <v/>
      </c>
    </row>
    <row r="54" ht="15" customHeight="1">
      <c r="A54" t="inlineStr">
        <is>
          <t>A 42765-2022</t>
        </is>
      </c>
      <c r="B54" s="1" t="n">
        <v>44832</v>
      </c>
      <c r="C54" s="1" t="n">
        <v>45889</v>
      </c>
      <c r="D54" t="inlineStr">
        <is>
          <t>VÄSTMANLANDS LÄN</t>
        </is>
      </c>
      <c r="E54" t="inlineStr">
        <is>
          <t>SURAHAMMAR</t>
        </is>
      </c>
      <c r="G54" t="n">
        <v>1.8</v>
      </c>
      <c r="H54" t="n">
        <v>1</v>
      </c>
      <c r="I54" t="n">
        <v>0</v>
      </c>
      <c r="J54" t="n">
        <v>0</v>
      </c>
      <c r="K54" t="n">
        <v>0</v>
      </c>
      <c r="L54" t="n">
        <v>0</v>
      </c>
      <c r="M54" t="n">
        <v>0</v>
      </c>
      <c r="N54" t="n">
        <v>0</v>
      </c>
      <c r="O54" t="n">
        <v>0</v>
      </c>
      <c r="P54" t="n">
        <v>0</v>
      </c>
      <c r="Q54" t="n">
        <v>1</v>
      </c>
      <c r="R54" s="2" t="inlineStr">
        <is>
          <t>Blåsippa</t>
        </is>
      </c>
      <c r="S54">
        <f>HYPERLINK("https://klasma.github.io/Logging_1907/artfynd/A 42765-2022 artfynd.xlsx", "A 42765-2022")</f>
        <v/>
      </c>
      <c r="T54">
        <f>HYPERLINK("https://klasma.github.io/Logging_1907/kartor/A 42765-2022 karta.png", "A 42765-2022")</f>
        <v/>
      </c>
      <c r="V54">
        <f>HYPERLINK("https://klasma.github.io/Logging_1907/klagomål/A 42765-2022 FSC-klagomål.docx", "A 42765-2022")</f>
        <v/>
      </c>
      <c r="W54">
        <f>HYPERLINK("https://klasma.github.io/Logging_1907/klagomålsmail/A 42765-2022 FSC-klagomål mail.docx", "A 42765-2022")</f>
        <v/>
      </c>
      <c r="X54">
        <f>HYPERLINK("https://klasma.github.io/Logging_1907/tillsyn/A 42765-2022 tillsynsbegäran.docx", "A 42765-2022")</f>
        <v/>
      </c>
      <c r="Y54">
        <f>HYPERLINK("https://klasma.github.io/Logging_1907/tillsynsmail/A 42765-2022 tillsynsbegäran mail.docx", "A 42765-2022")</f>
        <v/>
      </c>
    </row>
    <row r="55" ht="15" customHeight="1">
      <c r="A55" t="inlineStr">
        <is>
          <t>A 69777-2021</t>
        </is>
      </c>
      <c r="B55" s="1" t="n">
        <v>44532</v>
      </c>
      <c r="C55" s="1" t="n">
        <v>45889</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45889</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44356-2024</t>
        </is>
      </c>
      <c r="B57" s="1" t="n">
        <v>45573</v>
      </c>
      <c r="C57" s="1" t="n">
        <v>45889</v>
      </c>
      <c r="D57" t="inlineStr">
        <is>
          <t>VÄSTMANLANDS LÄN</t>
        </is>
      </c>
      <c r="E57" t="inlineStr">
        <is>
          <t>SURAHAMMAR</t>
        </is>
      </c>
      <c r="F57" t="inlineStr">
        <is>
          <t>Sveaskog</t>
        </is>
      </c>
      <c r="G57" t="n">
        <v>0.7</v>
      </c>
      <c r="H57" t="n">
        <v>1</v>
      </c>
      <c r="I57" t="n">
        <v>0</v>
      </c>
      <c r="J57" t="n">
        <v>0</v>
      </c>
      <c r="K57" t="n">
        <v>0</v>
      </c>
      <c r="L57" t="n">
        <v>0</v>
      </c>
      <c r="M57" t="n">
        <v>0</v>
      </c>
      <c r="N57" t="n">
        <v>0</v>
      </c>
      <c r="O57" t="n">
        <v>0</v>
      </c>
      <c r="P57" t="n">
        <v>0</v>
      </c>
      <c r="Q57" t="n">
        <v>1</v>
      </c>
      <c r="R57" s="2" t="inlineStr">
        <is>
          <t>Revlummer</t>
        </is>
      </c>
      <c r="S57">
        <f>HYPERLINK("https://klasma.github.io/Logging_1907/artfynd/A 44356-2024 artfynd.xlsx", "A 44356-2024")</f>
        <v/>
      </c>
      <c r="T57">
        <f>HYPERLINK("https://klasma.github.io/Logging_1907/kartor/A 44356-2024 karta.png", "A 44356-2024")</f>
        <v/>
      </c>
      <c r="V57">
        <f>HYPERLINK("https://klasma.github.io/Logging_1907/klagomål/A 44356-2024 FSC-klagomål.docx", "A 44356-2024")</f>
        <v/>
      </c>
      <c r="W57">
        <f>HYPERLINK("https://klasma.github.io/Logging_1907/klagomålsmail/A 44356-2024 FSC-klagomål mail.docx", "A 44356-2024")</f>
        <v/>
      </c>
      <c r="X57">
        <f>HYPERLINK("https://klasma.github.io/Logging_1907/tillsyn/A 44356-2024 tillsynsbegäran.docx", "A 44356-2024")</f>
        <v/>
      </c>
      <c r="Y57">
        <f>HYPERLINK("https://klasma.github.io/Logging_1907/tillsynsmail/A 44356-2024 tillsynsbegäran mail.docx", "A 44356-2024")</f>
        <v/>
      </c>
    </row>
    <row r="58" ht="15" customHeight="1">
      <c r="A58" t="inlineStr">
        <is>
          <t>A 47453-2024</t>
        </is>
      </c>
      <c r="B58" s="1" t="n">
        <v>45587.55017361111</v>
      </c>
      <c r="C58" s="1" t="n">
        <v>45889</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13788-2025</t>
        </is>
      </c>
      <c r="B59" s="1" t="n">
        <v>45737.45327546296</v>
      </c>
      <c r="C59" s="1" t="n">
        <v>45889</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10819-2024</t>
        </is>
      </c>
      <c r="B60" s="1" t="n">
        <v>45369.66049768519</v>
      </c>
      <c r="C60" s="1" t="n">
        <v>45889</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62097-2024</t>
        </is>
      </c>
      <c r="B61" s="1" t="n">
        <v>45646</v>
      </c>
      <c r="C61" s="1" t="n">
        <v>45889</v>
      </c>
      <c r="D61" t="inlineStr">
        <is>
          <t>VÄSTMANLANDS LÄN</t>
        </is>
      </c>
      <c r="E61" t="inlineStr">
        <is>
          <t>SURAHAMMAR</t>
        </is>
      </c>
      <c r="F61" t="inlineStr">
        <is>
          <t>Bergvik skog väst AB</t>
        </is>
      </c>
      <c r="G61" t="n">
        <v>21.7</v>
      </c>
      <c r="H61" t="n">
        <v>1</v>
      </c>
      <c r="I61" t="n">
        <v>0</v>
      </c>
      <c r="J61" t="n">
        <v>0</v>
      </c>
      <c r="K61" t="n">
        <v>0</v>
      </c>
      <c r="L61" t="n">
        <v>0</v>
      </c>
      <c r="M61" t="n">
        <v>0</v>
      </c>
      <c r="N61" t="n">
        <v>0</v>
      </c>
      <c r="O61" t="n">
        <v>0</v>
      </c>
      <c r="P61" t="n">
        <v>0</v>
      </c>
      <c r="Q61" t="n">
        <v>1</v>
      </c>
      <c r="R61" s="2" t="inlineStr">
        <is>
          <t>Revlummer</t>
        </is>
      </c>
      <c r="S61">
        <f>HYPERLINK("https://klasma.github.io/Logging_1907/artfynd/A 62097-2024 artfynd.xlsx", "A 62097-2024")</f>
        <v/>
      </c>
      <c r="T61">
        <f>HYPERLINK("https://klasma.github.io/Logging_1907/kartor/A 62097-2024 karta.png", "A 62097-2024")</f>
        <v/>
      </c>
      <c r="V61">
        <f>HYPERLINK("https://klasma.github.io/Logging_1907/klagomål/A 62097-2024 FSC-klagomål.docx", "A 62097-2024")</f>
        <v/>
      </c>
      <c r="W61">
        <f>HYPERLINK("https://klasma.github.io/Logging_1907/klagomålsmail/A 62097-2024 FSC-klagomål mail.docx", "A 62097-2024")</f>
        <v/>
      </c>
      <c r="X61">
        <f>HYPERLINK("https://klasma.github.io/Logging_1907/tillsyn/A 62097-2024 tillsynsbegäran.docx", "A 62097-2024")</f>
        <v/>
      </c>
      <c r="Y61">
        <f>HYPERLINK("https://klasma.github.io/Logging_1907/tillsynsmail/A 62097-2024 tillsynsbegäran mail.docx", "A 62097-2024")</f>
        <v/>
      </c>
    </row>
    <row r="62" ht="15" customHeight="1">
      <c r="A62" t="inlineStr">
        <is>
          <t>A 17632-2022</t>
        </is>
      </c>
      <c r="B62" s="1" t="n">
        <v>44680</v>
      </c>
      <c r="C62" s="1" t="n">
        <v>45889</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22840-2023</t>
        </is>
      </c>
      <c r="B63" s="1" t="n">
        <v>45072</v>
      </c>
      <c r="C63" s="1" t="n">
        <v>45889</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43177-2020</t>
        </is>
      </c>
      <c r="B64" s="1" t="n">
        <v>44081</v>
      </c>
      <c r="C64" s="1" t="n">
        <v>45889</v>
      </c>
      <c r="D64" t="inlineStr">
        <is>
          <t>VÄSTMANLANDS LÄN</t>
        </is>
      </c>
      <c r="E64" t="inlineStr">
        <is>
          <t>SURAHAMMAR</t>
        </is>
      </c>
      <c r="F64" t="inlineStr">
        <is>
          <t>Sveaskog</t>
        </is>
      </c>
      <c r="G64" t="n">
        <v>2.3</v>
      </c>
      <c r="H64" t="n">
        <v>0</v>
      </c>
      <c r="I64" t="n">
        <v>0</v>
      </c>
      <c r="J64" t="n">
        <v>0</v>
      </c>
      <c r="K64" t="n">
        <v>0</v>
      </c>
      <c r="L64" t="n">
        <v>0</v>
      </c>
      <c r="M64" t="n">
        <v>0</v>
      </c>
      <c r="N64" t="n">
        <v>0</v>
      </c>
      <c r="O64" t="n">
        <v>0</v>
      </c>
      <c r="P64" t="n">
        <v>0</v>
      </c>
      <c r="Q64" t="n">
        <v>0</v>
      </c>
      <c r="R64" s="2" t="inlineStr"/>
    </row>
    <row r="65" ht="15" customHeight="1">
      <c r="A65" t="inlineStr">
        <is>
          <t>A 1492-2021</t>
        </is>
      </c>
      <c r="B65" s="1" t="n">
        <v>44209</v>
      </c>
      <c r="C65" s="1" t="n">
        <v>45889</v>
      </c>
      <c r="D65" t="inlineStr">
        <is>
          <t>VÄSTMANLANDS LÄN</t>
        </is>
      </c>
      <c r="E65" t="inlineStr">
        <is>
          <t>SURAHAMMAR</t>
        </is>
      </c>
      <c r="G65" t="n">
        <v>1.2</v>
      </c>
      <c r="H65" t="n">
        <v>0</v>
      </c>
      <c r="I65" t="n">
        <v>0</v>
      </c>
      <c r="J65" t="n">
        <v>0</v>
      </c>
      <c r="K65" t="n">
        <v>0</v>
      </c>
      <c r="L65" t="n">
        <v>0</v>
      </c>
      <c r="M65" t="n">
        <v>0</v>
      </c>
      <c r="N65" t="n">
        <v>0</v>
      </c>
      <c r="O65" t="n">
        <v>0</v>
      </c>
      <c r="P65" t="n">
        <v>0</v>
      </c>
      <c r="Q65" t="n">
        <v>0</v>
      </c>
      <c r="R65" s="2" t="inlineStr"/>
    </row>
    <row r="66" ht="15" customHeight="1">
      <c r="A66" t="inlineStr">
        <is>
          <t>A 64073-2021</t>
        </is>
      </c>
      <c r="B66" s="1" t="n">
        <v>44509</v>
      </c>
      <c r="C66" s="1" t="n">
        <v>45889</v>
      </c>
      <c r="D66" t="inlineStr">
        <is>
          <t>VÄSTMANLANDS LÄN</t>
        </is>
      </c>
      <c r="E66" t="inlineStr">
        <is>
          <t>SURAHAMMAR</t>
        </is>
      </c>
      <c r="G66" t="n">
        <v>0.4</v>
      </c>
      <c r="H66" t="n">
        <v>0</v>
      </c>
      <c r="I66" t="n">
        <v>0</v>
      </c>
      <c r="J66" t="n">
        <v>0</v>
      </c>
      <c r="K66" t="n">
        <v>0</v>
      </c>
      <c r="L66" t="n">
        <v>0</v>
      </c>
      <c r="M66" t="n">
        <v>0</v>
      </c>
      <c r="N66" t="n">
        <v>0</v>
      </c>
      <c r="O66" t="n">
        <v>0</v>
      </c>
      <c r="P66" t="n">
        <v>0</v>
      </c>
      <c r="Q66" t="n">
        <v>0</v>
      </c>
      <c r="R66" s="2" t="inlineStr"/>
    </row>
    <row r="67" ht="15" customHeight="1">
      <c r="A67" t="inlineStr">
        <is>
          <t>A 24804-2021</t>
        </is>
      </c>
      <c r="B67" s="1" t="n">
        <v>44340</v>
      </c>
      <c r="C67" s="1" t="n">
        <v>45889</v>
      </c>
      <c r="D67" t="inlineStr">
        <is>
          <t>VÄSTMANLANDS LÄN</t>
        </is>
      </c>
      <c r="E67" t="inlineStr">
        <is>
          <t>SURAHAMMAR</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19845-2022</t>
        </is>
      </c>
      <c r="B68" s="1" t="n">
        <v>44696.88850694444</v>
      </c>
      <c r="C68" s="1" t="n">
        <v>45889</v>
      </c>
      <c r="D68" t="inlineStr">
        <is>
          <t>VÄSTMANLANDS LÄN</t>
        </is>
      </c>
      <c r="E68" t="inlineStr">
        <is>
          <t>SURAHAMMAR</t>
        </is>
      </c>
      <c r="F68" t="inlineStr">
        <is>
          <t>Kommuner</t>
        </is>
      </c>
      <c r="G68" t="n">
        <v>3.3</v>
      </c>
      <c r="H68" t="n">
        <v>0</v>
      </c>
      <c r="I68" t="n">
        <v>0</v>
      </c>
      <c r="J68" t="n">
        <v>0</v>
      </c>
      <c r="K68" t="n">
        <v>0</v>
      </c>
      <c r="L68" t="n">
        <v>0</v>
      </c>
      <c r="M68" t="n">
        <v>0</v>
      </c>
      <c r="N68" t="n">
        <v>0</v>
      </c>
      <c r="O68" t="n">
        <v>0</v>
      </c>
      <c r="P68" t="n">
        <v>0</v>
      </c>
      <c r="Q68" t="n">
        <v>0</v>
      </c>
      <c r="R68" s="2" t="inlineStr"/>
    </row>
    <row r="69" ht="15" customHeight="1">
      <c r="A69" t="inlineStr">
        <is>
          <t>A 19844-2022</t>
        </is>
      </c>
      <c r="B69" s="1" t="n">
        <v>44696.88001157407</v>
      </c>
      <c r="C69" s="1" t="n">
        <v>45889</v>
      </c>
      <c r="D69" t="inlineStr">
        <is>
          <t>VÄSTMANLANDS LÄN</t>
        </is>
      </c>
      <c r="E69" t="inlineStr">
        <is>
          <t>SURAHAMMAR</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40660-2020</t>
        </is>
      </c>
      <c r="B70" s="1" t="n">
        <v>44069</v>
      </c>
      <c r="C70" s="1" t="n">
        <v>45889</v>
      </c>
      <c r="D70" t="inlineStr">
        <is>
          <t>VÄSTMANLANDS LÄN</t>
        </is>
      </c>
      <c r="E70" t="inlineStr">
        <is>
          <t>SURAHAMMAR</t>
        </is>
      </c>
      <c r="F70" t="inlineStr">
        <is>
          <t>Övriga Aktiebolag</t>
        </is>
      </c>
      <c r="G70" t="n">
        <v>1.9</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45889</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45889</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45889</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45889</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45889</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45889</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21839-2021</t>
        </is>
      </c>
      <c r="B77" s="1" t="n">
        <v>44322</v>
      </c>
      <c r="C77" s="1" t="n">
        <v>45889</v>
      </c>
      <c r="D77" t="inlineStr">
        <is>
          <t>VÄSTMANLANDS LÄN</t>
        </is>
      </c>
      <c r="E77" t="inlineStr">
        <is>
          <t>SURAHAMMAR</t>
        </is>
      </c>
      <c r="G77" t="n">
        <v>1.6</v>
      </c>
      <c r="H77" t="n">
        <v>0</v>
      </c>
      <c r="I77" t="n">
        <v>0</v>
      </c>
      <c r="J77" t="n">
        <v>0</v>
      </c>
      <c r="K77" t="n">
        <v>0</v>
      </c>
      <c r="L77" t="n">
        <v>0</v>
      </c>
      <c r="M77" t="n">
        <v>0</v>
      </c>
      <c r="N77" t="n">
        <v>0</v>
      </c>
      <c r="O77" t="n">
        <v>0</v>
      </c>
      <c r="P77" t="n">
        <v>0</v>
      </c>
      <c r="Q77" t="n">
        <v>0</v>
      </c>
      <c r="R77" s="2" t="inlineStr"/>
    </row>
    <row r="78" ht="15" customHeight="1">
      <c r="A78" t="inlineStr">
        <is>
          <t>A 19846-2022</t>
        </is>
      </c>
      <c r="B78" s="1" t="n">
        <v>44696.89327546296</v>
      </c>
      <c r="C78" s="1" t="n">
        <v>45889</v>
      </c>
      <c r="D78" t="inlineStr">
        <is>
          <t>VÄSTMANLANDS LÄN</t>
        </is>
      </c>
      <c r="E78" t="inlineStr">
        <is>
          <t>SURAHAMMAR</t>
        </is>
      </c>
      <c r="F78" t="inlineStr">
        <is>
          <t>Kommuner</t>
        </is>
      </c>
      <c r="G78" t="n">
        <v>3.4</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45889</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45889</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45889</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45889</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45889</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34957-2022</t>
        </is>
      </c>
      <c r="B84" s="1" t="n">
        <v>44796.64672453704</v>
      </c>
      <c r="C84" s="1" t="n">
        <v>45889</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45889</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45889</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45889</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59543-2020</t>
        </is>
      </c>
      <c r="B88" s="1" t="n">
        <v>44148</v>
      </c>
      <c r="C88" s="1" t="n">
        <v>45889</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43590-2020</t>
        </is>
      </c>
      <c r="B89" s="1" t="n">
        <v>44082</v>
      </c>
      <c r="C89" s="1" t="n">
        <v>45889</v>
      </c>
      <c r="D89" t="inlineStr">
        <is>
          <t>VÄSTMANLANDS LÄN</t>
        </is>
      </c>
      <c r="E89" t="inlineStr">
        <is>
          <t>SURAHAMMAR</t>
        </is>
      </c>
      <c r="F89" t="inlineStr">
        <is>
          <t>Sveaskog</t>
        </is>
      </c>
      <c r="G89" t="n">
        <v>2.1</v>
      </c>
      <c r="H89" t="n">
        <v>0</v>
      </c>
      <c r="I89" t="n">
        <v>0</v>
      </c>
      <c r="J89" t="n">
        <v>0</v>
      </c>
      <c r="K89" t="n">
        <v>0</v>
      </c>
      <c r="L89" t="n">
        <v>0</v>
      </c>
      <c r="M89" t="n">
        <v>0</v>
      </c>
      <c r="N89" t="n">
        <v>0</v>
      </c>
      <c r="O89" t="n">
        <v>0</v>
      </c>
      <c r="P89" t="n">
        <v>0</v>
      </c>
      <c r="Q89" t="n">
        <v>0</v>
      </c>
      <c r="R89" s="2" t="inlineStr"/>
    </row>
    <row r="90" ht="15" customHeight="1">
      <c r="A90" t="inlineStr">
        <is>
          <t>A 33931-2022</t>
        </is>
      </c>
      <c r="B90" s="1" t="n">
        <v>44790.65153935185</v>
      </c>
      <c r="C90" s="1" t="n">
        <v>45889</v>
      </c>
      <c r="D90" t="inlineStr">
        <is>
          <t>VÄSTMANLANDS LÄN</t>
        </is>
      </c>
      <c r="E90" t="inlineStr">
        <is>
          <t>SURAHAMMAR</t>
        </is>
      </c>
      <c r="G90" t="n">
        <v>2.2</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45889</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22662-2023</t>
        </is>
      </c>
      <c r="B92" s="1" t="n">
        <v>45071</v>
      </c>
      <c r="C92" s="1" t="n">
        <v>45889</v>
      </c>
      <c r="D92" t="inlineStr">
        <is>
          <t>VÄSTMANLANDS LÄN</t>
        </is>
      </c>
      <c r="E92" t="inlineStr">
        <is>
          <t>SURAHAMMAR</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45889</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15637-2022</t>
        </is>
      </c>
      <c r="B94" s="1" t="n">
        <v>44662.89638888889</v>
      </c>
      <c r="C94" s="1" t="n">
        <v>45889</v>
      </c>
      <c r="D94" t="inlineStr">
        <is>
          <t>VÄSTMANLANDS LÄN</t>
        </is>
      </c>
      <c r="E94" t="inlineStr">
        <is>
          <t>SURAHAMMAR</t>
        </is>
      </c>
      <c r="G94" t="n">
        <v>2.2</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45889</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45889</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45889</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45889</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30076-2023</t>
        </is>
      </c>
      <c r="B99" s="1" t="n">
        <v>45110</v>
      </c>
      <c r="C99" s="1" t="n">
        <v>45889</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44358-2024</t>
        </is>
      </c>
      <c r="B100" s="1" t="n">
        <v>45573</v>
      </c>
      <c r="C100" s="1" t="n">
        <v>45889</v>
      </c>
      <c r="D100" t="inlineStr">
        <is>
          <t>VÄSTMANLANDS LÄN</t>
        </is>
      </c>
      <c r="E100" t="inlineStr">
        <is>
          <t>SURAHAMMAR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44359-2024</t>
        </is>
      </c>
      <c r="B101" s="1" t="n">
        <v>45573</v>
      </c>
      <c r="C101" s="1" t="n">
        <v>45889</v>
      </c>
      <c r="D101" t="inlineStr">
        <is>
          <t>VÄSTMANLANDS LÄN</t>
        </is>
      </c>
      <c r="E101" t="inlineStr">
        <is>
          <t>SURAHAMMAR</t>
        </is>
      </c>
      <c r="F101" t="inlineStr">
        <is>
          <t>Sveaskog</t>
        </is>
      </c>
      <c r="G101" t="n">
        <v>2.7</v>
      </c>
      <c r="H101" t="n">
        <v>0</v>
      </c>
      <c r="I101" t="n">
        <v>0</v>
      </c>
      <c r="J101" t="n">
        <v>0</v>
      </c>
      <c r="K101" t="n">
        <v>0</v>
      </c>
      <c r="L101" t="n">
        <v>0</v>
      </c>
      <c r="M101" t="n">
        <v>0</v>
      </c>
      <c r="N101" t="n">
        <v>0</v>
      </c>
      <c r="O101" t="n">
        <v>0</v>
      </c>
      <c r="P101" t="n">
        <v>0</v>
      </c>
      <c r="Q101" t="n">
        <v>0</v>
      </c>
      <c r="R101" s="2" t="inlineStr"/>
    </row>
    <row r="102" ht="15" customHeight="1">
      <c r="A102" t="inlineStr">
        <is>
          <t>A 47785-2021</t>
        </is>
      </c>
      <c r="B102" s="1" t="n">
        <v>44448</v>
      </c>
      <c r="C102" s="1" t="n">
        <v>45889</v>
      </c>
      <c r="D102" t="inlineStr">
        <is>
          <t>VÄSTMANLANDS LÄN</t>
        </is>
      </c>
      <c r="E102" t="inlineStr">
        <is>
          <t>SURAHAMMAR</t>
        </is>
      </c>
      <c r="F102" t="inlineStr">
        <is>
          <t>Kommuner</t>
        </is>
      </c>
      <c r="G102" t="n">
        <v>3.3</v>
      </c>
      <c r="H102" t="n">
        <v>0</v>
      </c>
      <c r="I102" t="n">
        <v>0</v>
      </c>
      <c r="J102" t="n">
        <v>0</v>
      </c>
      <c r="K102" t="n">
        <v>0</v>
      </c>
      <c r="L102" t="n">
        <v>0</v>
      </c>
      <c r="M102" t="n">
        <v>0</v>
      </c>
      <c r="N102" t="n">
        <v>0</v>
      </c>
      <c r="O102" t="n">
        <v>0</v>
      </c>
      <c r="P102" t="n">
        <v>0</v>
      </c>
      <c r="Q102" t="n">
        <v>0</v>
      </c>
      <c r="R102" s="2" t="inlineStr"/>
    </row>
    <row r="103" ht="15" customHeight="1">
      <c r="A103" t="inlineStr">
        <is>
          <t>A 25417-2024</t>
        </is>
      </c>
      <c r="B103" s="1" t="n">
        <v>45463</v>
      </c>
      <c r="C103" s="1" t="n">
        <v>45889</v>
      </c>
      <c r="D103" t="inlineStr">
        <is>
          <t>VÄSTMANLANDS LÄN</t>
        </is>
      </c>
      <c r="E103" t="inlineStr">
        <is>
          <t>SURAHAMMAR</t>
        </is>
      </c>
      <c r="F103" t="inlineStr">
        <is>
          <t>Sveaskog</t>
        </is>
      </c>
      <c r="G103" t="n">
        <v>3.4</v>
      </c>
      <c r="H103" t="n">
        <v>0</v>
      </c>
      <c r="I103" t="n">
        <v>0</v>
      </c>
      <c r="J103" t="n">
        <v>0</v>
      </c>
      <c r="K103" t="n">
        <v>0</v>
      </c>
      <c r="L103" t="n">
        <v>0</v>
      </c>
      <c r="M103" t="n">
        <v>0</v>
      </c>
      <c r="N103" t="n">
        <v>0</v>
      </c>
      <c r="O103" t="n">
        <v>0</v>
      </c>
      <c r="P103" t="n">
        <v>0</v>
      </c>
      <c r="Q103" t="n">
        <v>0</v>
      </c>
      <c r="R103" s="2" t="inlineStr"/>
    </row>
    <row r="104" ht="15" customHeight="1">
      <c r="A104" t="inlineStr">
        <is>
          <t>A 25450-2024</t>
        </is>
      </c>
      <c r="B104" s="1" t="n">
        <v>45463</v>
      </c>
      <c r="C104" s="1" t="n">
        <v>45889</v>
      </c>
      <c r="D104" t="inlineStr">
        <is>
          <t>VÄSTMANLANDS LÄN</t>
        </is>
      </c>
      <c r="E104" t="inlineStr">
        <is>
          <t>SURAHAMMAR</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10396-2025</t>
        </is>
      </c>
      <c r="B105" s="1" t="n">
        <v>45720.60721064815</v>
      </c>
      <c r="C105" s="1" t="n">
        <v>45889</v>
      </c>
      <c r="D105" t="inlineStr">
        <is>
          <t>VÄSTMANLANDS LÄN</t>
        </is>
      </c>
      <c r="E105" t="inlineStr">
        <is>
          <t>SURAHAMMAR</t>
        </is>
      </c>
      <c r="F105" t="inlineStr">
        <is>
          <t>Allmännings- och besparingsskogar</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7787-2024</t>
        </is>
      </c>
      <c r="B106" s="1" t="n">
        <v>45348</v>
      </c>
      <c r="C106" s="1" t="n">
        <v>45889</v>
      </c>
      <c r="D106" t="inlineStr">
        <is>
          <t>VÄSTMANLANDS LÄN</t>
        </is>
      </c>
      <c r="E106" t="inlineStr">
        <is>
          <t>SURAHAMMAR</t>
        </is>
      </c>
      <c r="G106" t="n">
        <v>1</v>
      </c>
      <c r="H106" t="n">
        <v>0</v>
      </c>
      <c r="I106" t="n">
        <v>0</v>
      </c>
      <c r="J106" t="n">
        <v>0</v>
      </c>
      <c r="K106" t="n">
        <v>0</v>
      </c>
      <c r="L106" t="n">
        <v>0</v>
      </c>
      <c r="M106" t="n">
        <v>0</v>
      </c>
      <c r="N106" t="n">
        <v>0</v>
      </c>
      <c r="O106" t="n">
        <v>0</v>
      </c>
      <c r="P106" t="n">
        <v>0</v>
      </c>
      <c r="Q106" t="n">
        <v>0</v>
      </c>
      <c r="R106" s="2" t="inlineStr"/>
    </row>
    <row r="107" ht="15" customHeight="1">
      <c r="A107" t="inlineStr">
        <is>
          <t>A 10883-2023</t>
        </is>
      </c>
      <c r="B107" s="1" t="n">
        <v>44991</v>
      </c>
      <c r="C107" s="1" t="n">
        <v>45889</v>
      </c>
      <c r="D107" t="inlineStr">
        <is>
          <t>VÄSTMANLANDS LÄN</t>
        </is>
      </c>
      <c r="E107" t="inlineStr">
        <is>
          <t>SURAHAMMAR</t>
        </is>
      </c>
      <c r="F107" t="inlineStr">
        <is>
          <t>Övriga Aktiebolag</t>
        </is>
      </c>
      <c r="G107" t="n">
        <v>12.5</v>
      </c>
      <c r="H107" t="n">
        <v>0</v>
      </c>
      <c r="I107" t="n">
        <v>0</v>
      </c>
      <c r="J107" t="n">
        <v>0</v>
      </c>
      <c r="K107" t="n">
        <v>0</v>
      </c>
      <c r="L107" t="n">
        <v>0</v>
      </c>
      <c r="M107" t="n">
        <v>0</v>
      </c>
      <c r="N107" t="n">
        <v>0</v>
      </c>
      <c r="O107" t="n">
        <v>0</v>
      </c>
      <c r="P107" t="n">
        <v>0</v>
      </c>
      <c r="Q107" t="n">
        <v>0</v>
      </c>
      <c r="R107" s="2" t="inlineStr"/>
    </row>
    <row r="108" ht="15" customHeight="1">
      <c r="A108" t="inlineStr">
        <is>
          <t>A 24665-2023</t>
        </is>
      </c>
      <c r="B108" s="1" t="n">
        <v>45084.48592592592</v>
      </c>
      <c r="C108" s="1" t="n">
        <v>45889</v>
      </c>
      <c r="D108" t="inlineStr">
        <is>
          <t>VÄSTMANLANDS LÄN</t>
        </is>
      </c>
      <c r="E108" t="inlineStr">
        <is>
          <t>SURAHAMMAR</t>
        </is>
      </c>
      <c r="G108" t="n">
        <v>0.9</v>
      </c>
      <c r="H108" t="n">
        <v>0</v>
      </c>
      <c r="I108" t="n">
        <v>0</v>
      </c>
      <c r="J108" t="n">
        <v>0</v>
      </c>
      <c r="K108" t="n">
        <v>0</v>
      </c>
      <c r="L108" t="n">
        <v>0</v>
      </c>
      <c r="M108" t="n">
        <v>0</v>
      </c>
      <c r="N108" t="n">
        <v>0</v>
      </c>
      <c r="O108" t="n">
        <v>0</v>
      </c>
      <c r="P108" t="n">
        <v>0</v>
      </c>
      <c r="Q108" t="n">
        <v>0</v>
      </c>
      <c r="R108" s="2" t="inlineStr"/>
    </row>
    <row r="109" ht="15" customHeight="1">
      <c r="A109" t="inlineStr">
        <is>
          <t>A 32808-2024</t>
        </is>
      </c>
      <c r="B109" s="1" t="n">
        <v>45516</v>
      </c>
      <c r="C109" s="1" t="n">
        <v>45889</v>
      </c>
      <c r="D109" t="inlineStr">
        <is>
          <t>VÄSTMANLANDS LÄN</t>
        </is>
      </c>
      <c r="E109" t="inlineStr">
        <is>
          <t>SURAHAMMAR</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24167-2024</t>
        </is>
      </c>
      <c r="B110" s="1" t="n">
        <v>45456</v>
      </c>
      <c r="C110" s="1" t="n">
        <v>45889</v>
      </c>
      <c r="D110" t="inlineStr">
        <is>
          <t>VÄSTMANLANDS LÄN</t>
        </is>
      </c>
      <c r="E110" t="inlineStr">
        <is>
          <t>SURAHAMMAR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72367-2021</t>
        </is>
      </c>
      <c r="B111" s="1" t="n">
        <v>44545</v>
      </c>
      <c r="C111" s="1" t="n">
        <v>45889</v>
      </c>
      <c r="D111" t="inlineStr">
        <is>
          <t>VÄSTMANLANDS LÄN</t>
        </is>
      </c>
      <c r="E111" t="inlineStr">
        <is>
          <t>SURAHAMMAR</t>
        </is>
      </c>
      <c r="G111" t="n">
        <v>2.5</v>
      </c>
      <c r="H111" t="n">
        <v>0</v>
      </c>
      <c r="I111" t="n">
        <v>0</v>
      </c>
      <c r="J111" t="n">
        <v>0</v>
      </c>
      <c r="K111" t="n">
        <v>0</v>
      </c>
      <c r="L111" t="n">
        <v>0</v>
      </c>
      <c r="M111" t="n">
        <v>0</v>
      </c>
      <c r="N111" t="n">
        <v>0</v>
      </c>
      <c r="O111" t="n">
        <v>0</v>
      </c>
      <c r="P111" t="n">
        <v>0</v>
      </c>
      <c r="Q111" t="n">
        <v>0</v>
      </c>
      <c r="R111" s="2" t="inlineStr"/>
    </row>
    <row r="112" ht="15" customHeight="1">
      <c r="A112" t="inlineStr">
        <is>
          <t>A 44357-2024</t>
        </is>
      </c>
      <c r="B112" s="1" t="n">
        <v>45573</v>
      </c>
      <c r="C112" s="1" t="n">
        <v>45889</v>
      </c>
      <c r="D112" t="inlineStr">
        <is>
          <t>VÄSTMANLANDS LÄN</t>
        </is>
      </c>
      <c r="E112" t="inlineStr">
        <is>
          <t>SURAHAMMAR</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3818-2022</t>
        </is>
      </c>
      <c r="B113" s="1" t="n">
        <v>44587</v>
      </c>
      <c r="C113" s="1" t="n">
        <v>45889</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45889</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45889</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49058-2024</t>
        </is>
      </c>
      <c r="B116" s="1" t="n">
        <v>45594</v>
      </c>
      <c r="C116" s="1" t="n">
        <v>45889</v>
      </c>
      <c r="D116" t="inlineStr">
        <is>
          <t>VÄSTMANLANDS LÄN</t>
        </is>
      </c>
      <c r="E116" t="inlineStr">
        <is>
          <t>SURAHAMMAR</t>
        </is>
      </c>
      <c r="F116" t="inlineStr">
        <is>
          <t>Sveaskog</t>
        </is>
      </c>
      <c r="G116" t="n">
        <v>11.4</v>
      </c>
      <c r="H116" t="n">
        <v>0</v>
      </c>
      <c r="I116" t="n">
        <v>0</v>
      </c>
      <c r="J116" t="n">
        <v>0</v>
      </c>
      <c r="K116" t="n">
        <v>0</v>
      </c>
      <c r="L116" t="n">
        <v>0</v>
      </c>
      <c r="M116" t="n">
        <v>0</v>
      </c>
      <c r="N116" t="n">
        <v>0</v>
      </c>
      <c r="O116" t="n">
        <v>0</v>
      </c>
      <c r="P116" t="n">
        <v>0</v>
      </c>
      <c r="Q116" t="n">
        <v>0</v>
      </c>
      <c r="R116" s="2" t="inlineStr"/>
    </row>
    <row r="117" ht="15" customHeight="1">
      <c r="A117" t="inlineStr">
        <is>
          <t>A 49060-2024</t>
        </is>
      </c>
      <c r="B117" s="1" t="n">
        <v>45594</v>
      </c>
      <c r="C117" s="1" t="n">
        <v>45889</v>
      </c>
      <c r="D117" t="inlineStr">
        <is>
          <t>VÄSTMANLANDS LÄN</t>
        </is>
      </c>
      <c r="E117" t="inlineStr">
        <is>
          <t>SURAHAMMAR</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15739-2023</t>
        </is>
      </c>
      <c r="B118" s="1" t="n">
        <v>45021</v>
      </c>
      <c r="C118" s="1" t="n">
        <v>45889</v>
      </c>
      <c r="D118" t="inlineStr">
        <is>
          <t>VÄSTMANLANDS LÄN</t>
        </is>
      </c>
      <c r="E118" t="inlineStr">
        <is>
          <t>SURAHAMMAR</t>
        </is>
      </c>
      <c r="G118" t="n">
        <v>1.3</v>
      </c>
      <c r="H118" t="n">
        <v>0</v>
      </c>
      <c r="I118" t="n">
        <v>0</v>
      </c>
      <c r="J118" t="n">
        <v>0</v>
      </c>
      <c r="K118" t="n">
        <v>0</v>
      </c>
      <c r="L118" t="n">
        <v>0</v>
      </c>
      <c r="M118" t="n">
        <v>0</v>
      </c>
      <c r="N118" t="n">
        <v>0</v>
      </c>
      <c r="O118" t="n">
        <v>0</v>
      </c>
      <c r="P118" t="n">
        <v>0</v>
      </c>
      <c r="Q118" t="n">
        <v>0</v>
      </c>
      <c r="R118" s="2" t="inlineStr"/>
    </row>
    <row r="119" ht="15" customHeight="1">
      <c r="A119" t="inlineStr">
        <is>
          <t>A 38154-2021</t>
        </is>
      </c>
      <c r="B119" s="1" t="n">
        <v>44405.42373842592</v>
      </c>
      <c r="C119" s="1" t="n">
        <v>45889</v>
      </c>
      <c r="D119" t="inlineStr">
        <is>
          <t>VÄSTMANLANDS LÄN</t>
        </is>
      </c>
      <c r="E119" t="inlineStr">
        <is>
          <t>SURAHAMMAR</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13119-2022</t>
        </is>
      </c>
      <c r="B120" s="1" t="n">
        <v>44643</v>
      </c>
      <c r="C120" s="1" t="n">
        <v>45889</v>
      </c>
      <c r="D120" t="inlineStr">
        <is>
          <t>VÄSTMANLANDS LÄN</t>
        </is>
      </c>
      <c r="E120" t="inlineStr">
        <is>
          <t>SURAHAMMAR</t>
        </is>
      </c>
      <c r="F120" t="inlineStr">
        <is>
          <t>Bergvik skog väst AB</t>
        </is>
      </c>
      <c r="G120" t="n">
        <v>2</v>
      </c>
      <c r="H120" t="n">
        <v>0</v>
      </c>
      <c r="I120" t="n">
        <v>0</v>
      </c>
      <c r="J120" t="n">
        <v>0</v>
      </c>
      <c r="K120" t="n">
        <v>0</v>
      </c>
      <c r="L120" t="n">
        <v>0</v>
      </c>
      <c r="M120" t="n">
        <v>0</v>
      </c>
      <c r="N120" t="n">
        <v>0</v>
      </c>
      <c r="O120" t="n">
        <v>0</v>
      </c>
      <c r="P120" t="n">
        <v>0</v>
      </c>
      <c r="Q120" t="n">
        <v>0</v>
      </c>
      <c r="R120" s="2" t="inlineStr"/>
    </row>
    <row r="121" ht="15" customHeight="1">
      <c r="A121" t="inlineStr">
        <is>
          <t>A 19099-2022</t>
        </is>
      </c>
      <c r="B121" s="1" t="n">
        <v>44691</v>
      </c>
      <c r="C121" s="1" t="n">
        <v>45889</v>
      </c>
      <c r="D121" t="inlineStr">
        <is>
          <t>VÄSTMANLANDS LÄN</t>
        </is>
      </c>
      <c r="E121" t="inlineStr">
        <is>
          <t>SURAHAMMAR</t>
        </is>
      </c>
      <c r="F121" t="inlineStr">
        <is>
          <t>Övriga Aktiebolag</t>
        </is>
      </c>
      <c r="G121" t="n">
        <v>3.4</v>
      </c>
      <c r="H121" t="n">
        <v>0</v>
      </c>
      <c r="I121" t="n">
        <v>0</v>
      </c>
      <c r="J121" t="n">
        <v>0</v>
      </c>
      <c r="K121" t="n">
        <v>0</v>
      </c>
      <c r="L121" t="n">
        <v>0</v>
      </c>
      <c r="M121" t="n">
        <v>0</v>
      </c>
      <c r="N121" t="n">
        <v>0</v>
      </c>
      <c r="O121" t="n">
        <v>0</v>
      </c>
      <c r="P121" t="n">
        <v>0</v>
      </c>
      <c r="Q121" t="n">
        <v>0</v>
      </c>
      <c r="R121" s="2" t="inlineStr"/>
    </row>
    <row r="122" ht="15" customHeight="1">
      <c r="A122" t="inlineStr">
        <is>
          <t>A 19782-2023</t>
        </is>
      </c>
      <c r="B122" s="1" t="n">
        <v>45050</v>
      </c>
      <c r="C122" s="1" t="n">
        <v>45889</v>
      </c>
      <c r="D122" t="inlineStr">
        <is>
          <t>VÄSTMANLANDS LÄN</t>
        </is>
      </c>
      <c r="E122" t="inlineStr">
        <is>
          <t>SURAHAMMAR</t>
        </is>
      </c>
      <c r="F122" t="inlineStr">
        <is>
          <t>Bergvik skog väst AB</t>
        </is>
      </c>
      <c r="G122" t="n">
        <v>5.2</v>
      </c>
      <c r="H122" t="n">
        <v>0</v>
      </c>
      <c r="I122" t="n">
        <v>0</v>
      </c>
      <c r="J122" t="n">
        <v>0</v>
      </c>
      <c r="K122" t="n">
        <v>0</v>
      </c>
      <c r="L122" t="n">
        <v>0</v>
      </c>
      <c r="M122" t="n">
        <v>0</v>
      </c>
      <c r="N122" t="n">
        <v>0</v>
      </c>
      <c r="O122" t="n">
        <v>0</v>
      </c>
      <c r="P122" t="n">
        <v>0</v>
      </c>
      <c r="Q122" t="n">
        <v>0</v>
      </c>
      <c r="R122" s="2" t="inlineStr"/>
    </row>
    <row r="123" ht="15" customHeight="1">
      <c r="A123" t="inlineStr">
        <is>
          <t>A 14626-2023</t>
        </is>
      </c>
      <c r="B123" s="1" t="n">
        <v>45012</v>
      </c>
      <c r="C123" s="1" t="n">
        <v>45889</v>
      </c>
      <c r="D123" t="inlineStr">
        <is>
          <t>VÄSTMANLANDS LÄN</t>
        </is>
      </c>
      <c r="E123" t="inlineStr">
        <is>
          <t>SURAHAMMAR</t>
        </is>
      </c>
      <c r="F123" t="inlineStr">
        <is>
          <t>Bergvik skog väst AB</t>
        </is>
      </c>
      <c r="G123" t="n">
        <v>5</v>
      </c>
      <c r="H123" t="n">
        <v>0</v>
      </c>
      <c r="I123" t="n">
        <v>0</v>
      </c>
      <c r="J123" t="n">
        <v>0</v>
      </c>
      <c r="K123" t="n">
        <v>0</v>
      </c>
      <c r="L123" t="n">
        <v>0</v>
      </c>
      <c r="M123" t="n">
        <v>0</v>
      </c>
      <c r="N123" t="n">
        <v>0</v>
      </c>
      <c r="O123" t="n">
        <v>0</v>
      </c>
      <c r="P123" t="n">
        <v>0</v>
      </c>
      <c r="Q123" t="n">
        <v>0</v>
      </c>
      <c r="R123" s="2" t="inlineStr"/>
    </row>
    <row r="124" ht="15" customHeight="1">
      <c r="A124" t="inlineStr">
        <is>
          <t>A 25780-2023</t>
        </is>
      </c>
      <c r="B124" s="1" t="n">
        <v>45090.47523148148</v>
      </c>
      <c r="C124" s="1" t="n">
        <v>45889</v>
      </c>
      <c r="D124" t="inlineStr">
        <is>
          <t>VÄSTMANLANDS LÄN</t>
        </is>
      </c>
      <c r="E124" t="inlineStr">
        <is>
          <t>SURAHAMMAR</t>
        </is>
      </c>
      <c r="G124" t="n">
        <v>2.8</v>
      </c>
      <c r="H124" t="n">
        <v>0</v>
      </c>
      <c r="I124" t="n">
        <v>0</v>
      </c>
      <c r="J124" t="n">
        <v>0</v>
      </c>
      <c r="K124" t="n">
        <v>0</v>
      </c>
      <c r="L124" t="n">
        <v>0</v>
      </c>
      <c r="M124" t="n">
        <v>0</v>
      </c>
      <c r="N124" t="n">
        <v>0</v>
      </c>
      <c r="O124" t="n">
        <v>0</v>
      </c>
      <c r="P124" t="n">
        <v>0</v>
      </c>
      <c r="Q124" t="n">
        <v>0</v>
      </c>
      <c r="R124" s="2" t="inlineStr"/>
    </row>
    <row r="125" ht="15" customHeight="1">
      <c r="A125" t="inlineStr">
        <is>
          <t>A 8553-2023</t>
        </is>
      </c>
      <c r="B125" s="1" t="n">
        <v>44977</v>
      </c>
      <c r="C125" s="1" t="n">
        <v>45889</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13386-2025</t>
        </is>
      </c>
      <c r="B126" s="1" t="n">
        <v>45735</v>
      </c>
      <c r="C126" s="1" t="n">
        <v>45889</v>
      </c>
      <c r="D126" t="inlineStr">
        <is>
          <t>VÄSTMANLANDS LÄN</t>
        </is>
      </c>
      <c r="E126" t="inlineStr">
        <is>
          <t>SURAHAMMAR</t>
        </is>
      </c>
      <c r="F126" t="inlineStr">
        <is>
          <t>Bergvik skog väst AB</t>
        </is>
      </c>
      <c r="G126" t="n">
        <v>4</v>
      </c>
      <c r="H126" t="n">
        <v>0</v>
      </c>
      <c r="I126" t="n">
        <v>0</v>
      </c>
      <c r="J126" t="n">
        <v>0</v>
      </c>
      <c r="K126" t="n">
        <v>0</v>
      </c>
      <c r="L126" t="n">
        <v>0</v>
      </c>
      <c r="M126" t="n">
        <v>0</v>
      </c>
      <c r="N126" t="n">
        <v>0</v>
      </c>
      <c r="O126" t="n">
        <v>0</v>
      </c>
      <c r="P126" t="n">
        <v>0</v>
      </c>
      <c r="Q126" t="n">
        <v>0</v>
      </c>
      <c r="R126" s="2" t="inlineStr"/>
    </row>
    <row r="127" ht="15" customHeight="1">
      <c r="A127" t="inlineStr">
        <is>
          <t>A 56378-2023</t>
        </is>
      </c>
      <c r="B127" s="1" t="n">
        <v>45236</v>
      </c>
      <c r="C127" s="1" t="n">
        <v>45889</v>
      </c>
      <c r="D127" t="inlineStr">
        <is>
          <t>VÄSTMANLANDS LÄN</t>
        </is>
      </c>
      <c r="E127" t="inlineStr">
        <is>
          <t>SURAHAMMAR</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11728-2023</t>
        </is>
      </c>
      <c r="B128" s="1" t="n">
        <v>44993</v>
      </c>
      <c r="C128" s="1" t="n">
        <v>45889</v>
      </c>
      <c r="D128" t="inlineStr">
        <is>
          <t>VÄSTMANLANDS LÄN</t>
        </is>
      </c>
      <c r="E128" t="inlineStr">
        <is>
          <t>SURAHAMMAR</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35682-2022</t>
        </is>
      </c>
      <c r="B129" s="1" t="n">
        <v>44799.60422453703</v>
      </c>
      <c r="C129" s="1" t="n">
        <v>45889</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11501-2023</t>
        </is>
      </c>
      <c r="B130" s="1" t="n">
        <v>44991</v>
      </c>
      <c r="C130" s="1" t="n">
        <v>45889</v>
      </c>
      <c r="D130" t="inlineStr">
        <is>
          <t>VÄSTMANLANDS LÄN</t>
        </is>
      </c>
      <c r="E130" t="inlineStr">
        <is>
          <t>SURAHAMMAR</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2867-2024</t>
        </is>
      </c>
      <c r="B131" s="1" t="n">
        <v>45315</v>
      </c>
      <c r="C131" s="1" t="n">
        <v>45889</v>
      </c>
      <c r="D131" t="inlineStr">
        <is>
          <t>VÄSTMANLANDS LÄN</t>
        </is>
      </c>
      <c r="E131" t="inlineStr">
        <is>
          <t>SURAHAMMAR</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16013-2023</t>
        </is>
      </c>
      <c r="B132" s="1" t="n">
        <v>45026</v>
      </c>
      <c r="C132" s="1" t="n">
        <v>45889</v>
      </c>
      <c r="D132" t="inlineStr">
        <is>
          <t>VÄSTMANLANDS LÄN</t>
        </is>
      </c>
      <c r="E132" t="inlineStr">
        <is>
          <t>SURAHAMMAR</t>
        </is>
      </c>
      <c r="G132" t="n">
        <v>3.9</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45889</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2660-2024</t>
        </is>
      </c>
      <c r="B134" s="1" t="n">
        <v>45310</v>
      </c>
      <c r="C134" s="1" t="n">
        <v>45889</v>
      </c>
      <c r="D134" t="inlineStr">
        <is>
          <t>VÄSTMANLANDS LÄN</t>
        </is>
      </c>
      <c r="E134" t="inlineStr">
        <is>
          <t>SURAHAMMAR</t>
        </is>
      </c>
      <c r="G134" t="n">
        <v>2.1</v>
      </c>
      <c r="H134" t="n">
        <v>0</v>
      </c>
      <c r="I134" t="n">
        <v>0</v>
      </c>
      <c r="J134" t="n">
        <v>0</v>
      </c>
      <c r="K134" t="n">
        <v>0</v>
      </c>
      <c r="L134" t="n">
        <v>0</v>
      </c>
      <c r="M134" t="n">
        <v>0</v>
      </c>
      <c r="N134" t="n">
        <v>0</v>
      </c>
      <c r="O134" t="n">
        <v>0</v>
      </c>
      <c r="P134" t="n">
        <v>0</v>
      </c>
      <c r="Q134" t="n">
        <v>0</v>
      </c>
      <c r="R134" s="2" t="inlineStr"/>
    </row>
    <row r="135" ht="15" customHeight="1">
      <c r="A135" t="inlineStr">
        <is>
          <t>A 41555-2022</t>
        </is>
      </c>
      <c r="B135" s="1" t="n">
        <v>44826</v>
      </c>
      <c r="C135" s="1" t="n">
        <v>45889</v>
      </c>
      <c r="D135" t="inlineStr">
        <is>
          <t>VÄSTMANLANDS LÄN</t>
        </is>
      </c>
      <c r="E135" t="inlineStr">
        <is>
          <t>SURAHAMMAR</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42829-2022</t>
        </is>
      </c>
      <c r="B136" s="1" t="n">
        <v>44832</v>
      </c>
      <c r="C136" s="1" t="n">
        <v>45889</v>
      </c>
      <c r="D136" t="inlineStr">
        <is>
          <t>VÄSTMANLANDS LÄN</t>
        </is>
      </c>
      <c r="E136" t="inlineStr">
        <is>
          <t>SURAHAMMAR</t>
        </is>
      </c>
      <c r="G136" t="n">
        <v>1.6</v>
      </c>
      <c r="H136" t="n">
        <v>0</v>
      </c>
      <c r="I136" t="n">
        <v>0</v>
      </c>
      <c r="J136" t="n">
        <v>0</v>
      </c>
      <c r="K136" t="n">
        <v>0</v>
      </c>
      <c r="L136" t="n">
        <v>0</v>
      </c>
      <c r="M136" t="n">
        <v>0</v>
      </c>
      <c r="N136" t="n">
        <v>0</v>
      </c>
      <c r="O136" t="n">
        <v>0</v>
      </c>
      <c r="P136" t="n">
        <v>0</v>
      </c>
      <c r="Q136" t="n">
        <v>0</v>
      </c>
      <c r="R136" s="2" t="inlineStr"/>
    </row>
    <row r="137" ht="15" customHeight="1">
      <c r="A137" t="inlineStr">
        <is>
          <t>A 5567-2022</t>
        </is>
      </c>
      <c r="B137" s="1" t="n">
        <v>44595</v>
      </c>
      <c r="C137" s="1" t="n">
        <v>45889</v>
      </c>
      <c r="D137" t="inlineStr">
        <is>
          <t>VÄSTMANLANDS LÄN</t>
        </is>
      </c>
      <c r="E137" t="inlineStr">
        <is>
          <t>SURAHAMMAR</t>
        </is>
      </c>
      <c r="G137" t="n">
        <v>1.3</v>
      </c>
      <c r="H137" t="n">
        <v>0</v>
      </c>
      <c r="I137" t="n">
        <v>0</v>
      </c>
      <c r="J137" t="n">
        <v>0</v>
      </c>
      <c r="K137" t="n">
        <v>0</v>
      </c>
      <c r="L137" t="n">
        <v>0</v>
      </c>
      <c r="M137" t="n">
        <v>0</v>
      </c>
      <c r="N137" t="n">
        <v>0</v>
      </c>
      <c r="O137" t="n">
        <v>0</v>
      </c>
      <c r="P137" t="n">
        <v>0</v>
      </c>
      <c r="Q137" t="n">
        <v>0</v>
      </c>
      <c r="R137" s="2" t="inlineStr"/>
    </row>
    <row r="138" ht="15" customHeight="1">
      <c r="A138" t="inlineStr">
        <is>
          <t>A 34955-2022</t>
        </is>
      </c>
      <c r="B138" s="1" t="n">
        <v>44796</v>
      </c>
      <c r="C138" s="1" t="n">
        <v>45889</v>
      </c>
      <c r="D138" t="inlineStr">
        <is>
          <t>VÄSTMANLANDS LÄN</t>
        </is>
      </c>
      <c r="E138" t="inlineStr">
        <is>
          <t>SURAHAMMAR</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41576-2022</t>
        </is>
      </c>
      <c r="B139" s="1" t="n">
        <v>44826</v>
      </c>
      <c r="C139" s="1" t="n">
        <v>45889</v>
      </c>
      <c r="D139" t="inlineStr">
        <is>
          <t>VÄSTMANLANDS LÄN</t>
        </is>
      </c>
      <c r="E139" t="inlineStr">
        <is>
          <t>SURAHAMMAR</t>
        </is>
      </c>
      <c r="F139" t="inlineStr">
        <is>
          <t>Bergvik skog väst AB</t>
        </is>
      </c>
      <c r="G139" t="n">
        <v>6.4</v>
      </c>
      <c r="H139" t="n">
        <v>0</v>
      </c>
      <c r="I139" t="n">
        <v>0</v>
      </c>
      <c r="J139" t="n">
        <v>0</v>
      </c>
      <c r="K139" t="n">
        <v>0</v>
      </c>
      <c r="L139" t="n">
        <v>0</v>
      </c>
      <c r="M139" t="n">
        <v>0</v>
      </c>
      <c r="N139" t="n">
        <v>0</v>
      </c>
      <c r="O139" t="n">
        <v>0</v>
      </c>
      <c r="P139" t="n">
        <v>0</v>
      </c>
      <c r="Q139" t="n">
        <v>0</v>
      </c>
      <c r="R139" s="2" t="inlineStr"/>
    </row>
    <row r="140" ht="15" customHeight="1">
      <c r="A140" t="inlineStr">
        <is>
          <t>A 52074-2020</t>
        </is>
      </c>
      <c r="B140" s="1" t="n">
        <v>44117</v>
      </c>
      <c r="C140" s="1" t="n">
        <v>45889</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37798-2021</t>
        </is>
      </c>
      <c r="B141" s="1" t="n">
        <v>44402</v>
      </c>
      <c r="C141" s="1" t="n">
        <v>45889</v>
      </c>
      <c r="D141" t="inlineStr">
        <is>
          <t>VÄSTMANLANDS LÄN</t>
        </is>
      </c>
      <c r="E141" t="inlineStr">
        <is>
          <t>SURAHAMMAR</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37013-2025</t>
        </is>
      </c>
      <c r="B142" s="1" t="n">
        <v>45874</v>
      </c>
      <c r="C142" s="1" t="n">
        <v>45889</v>
      </c>
      <c r="D142" t="inlineStr">
        <is>
          <t>VÄSTMANLANDS LÄN</t>
        </is>
      </c>
      <c r="E142" t="inlineStr">
        <is>
          <t>SURAHAMMAR</t>
        </is>
      </c>
      <c r="F142" t="inlineStr">
        <is>
          <t>Bergvik skog väst AB</t>
        </is>
      </c>
      <c r="G142" t="n">
        <v>10.7</v>
      </c>
      <c r="H142" t="n">
        <v>0</v>
      </c>
      <c r="I142" t="n">
        <v>0</v>
      </c>
      <c r="J142" t="n">
        <v>0</v>
      </c>
      <c r="K142" t="n">
        <v>0</v>
      </c>
      <c r="L142" t="n">
        <v>0</v>
      </c>
      <c r="M142" t="n">
        <v>0</v>
      </c>
      <c r="N142" t="n">
        <v>0</v>
      </c>
      <c r="O142" t="n">
        <v>0</v>
      </c>
      <c r="P142" t="n">
        <v>0</v>
      </c>
      <c r="Q142" t="n">
        <v>0</v>
      </c>
      <c r="R142" s="2" t="inlineStr"/>
    </row>
    <row r="143" ht="15" customHeight="1">
      <c r="A143" t="inlineStr">
        <is>
          <t>A 3085-2023</t>
        </is>
      </c>
      <c r="B143" s="1" t="n">
        <v>44946</v>
      </c>
      <c r="C143" s="1" t="n">
        <v>45889</v>
      </c>
      <c r="D143" t="inlineStr">
        <is>
          <t>VÄSTMANLANDS LÄN</t>
        </is>
      </c>
      <c r="E143" t="inlineStr">
        <is>
          <t>SURAHAMMAR</t>
        </is>
      </c>
      <c r="F143" t="inlineStr">
        <is>
          <t>Kyrkan</t>
        </is>
      </c>
      <c r="G143" t="n">
        <v>13</v>
      </c>
      <c r="H143" t="n">
        <v>0</v>
      </c>
      <c r="I143" t="n">
        <v>0</v>
      </c>
      <c r="J143" t="n">
        <v>0</v>
      </c>
      <c r="K143" t="n">
        <v>0</v>
      </c>
      <c r="L143" t="n">
        <v>0</v>
      </c>
      <c r="M143" t="n">
        <v>0</v>
      </c>
      <c r="N143" t="n">
        <v>0</v>
      </c>
      <c r="O143" t="n">
        <v>0</v>
      </c>
      <c r="P143" t="n">
        <v>0</v>
      </c>
      <c r="Q143" t="n">
        <v>0</v>
      </c>
      <c r="R143" s="2" t="inlineStr"/>
    </row>
    <row r="144" ht="15" customHeight="1">
      <c r="A144" t="inlineStr">
        <is>
          <t>A 48205-2023</t>
        </is>
      </c>
      <c r="B144" s="1" t="n">
        <v>45205</v>
      </c>
      <c r="C144" s="1" t="n">
        <v>45889</v>
      </c>
      <c r="D144" t="inlineStr">
        <is>
          <t>VÄSTMANLANDS LÄN</t>
        </is>
      </c>
      <c r="E144" t="inlineStr">
        <is>
          <t>SURAHAMMAR</t>
        </is>
      </c>
      <c r="F144" t="inlineStr">
        <is>
          <t>Allmännings- och besparingsskogar</t>
        </is>
      </c>
      <c r="G144" t="n">
        <v>7.6</v>
      </c>
      <c r="H144" t="n">
        <v>0</v>
      </c>
      <c r="I144" t="n">
        <v>0</v>
      </c>
      <c r="J144" t="n">
        <v>0</v>
      </c>
      <c r="K144" t="n">
        <v>0</v>
      </c>
      <c r="L144" t="n">
        <v>0</v>
      </c>
      <c r="M144" t="n">
        <v>0</v>
      </c>
      <c r="N144" t="n">
        <v>0</v>
      </c>
      <c r="O144" t="n">
        <v>0</v>
      </c>
      <c r="P144" t="n">
        <v>0</v>
      </c>
      <c r="Q144" t="n">
        <v>0</v>
      </c>
      <c r="R144" s="2" t="inlineStr"/>
    </row>
    <row r="145" ht="15" customHeight="1">
      <c r="A145" t="inlineStr">
        <is>
          <t>A 13796-2025</t>
        </is>
      </c>
      <c r="B145" s="1" t="n">
        <v>45737.47846064815</v>
      </c>
      <c r="C145" s="1" t="n">
        <v>45889</v>
      </c>
      <c r="D145" t="inlineStr">
        <is>
          <t>VÄSTMANLANDS LÄN</t>
        </is>
      </c>
      <c r="E145" t="inlineStr">
        <is>
          <t>SURAHAMMAR</t>
        </is>
      </c>
      <c r="G145" t="n">
        <v>3.3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45889</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37954-2025</t>
        </is>
      </c>
      <c r="B147" s="1" t="n">
        <v>45881</v>
      </c>
      <c r="C147" s="1" t="n">
        <v>45889</v>
      </c>
      <c r="D147" t="inlineStr">
        <is>
          <t>VÄSTMANLANDS LÄN</t>
        </is>
      </c>
      <c r="E147" t="inlineStr">
        <is>
          <t>SURAHAMMAR</t>
        </is>
      </c>
      <c r="G147" t="n">
        <v>9.5</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45889</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34584-2025</t>
        </is>
      </c>
      <c r="B149" s="1" t="n">
        <v>45846</v>
      </c>
      <c r="C149" s="1" t="n">
        <v>45889</v>
      </c>
      <c r="D149" t="inlineStr">
        <is>
          <t>VÄSTMANLANDS LÄN</t>
        </is>
      </c>
      <c r="E149" t="inlineStr">
        <is>
          <t>SURAHAMMAR</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32910-2025</t>
        </is>
      </c>
      <c r="B150" s="1" t="n">
        <v>45839</v>
      </c>
      <c r="C150" s="1" t="n">
        <v>45889</v>
      </c>
      <c r="D150" t="inlineStr">
        <is>
          <t>VÄSTMANLANDS LÄN</t>
        </is>
      </c>
      <c r="E150" t="inlineStr">
        <is>
          <t>SURAHAMMAR</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34582-2025</t>
        </is>
      </c>
      <c r="B151" s="1" t="n">
        <v>45846</v>
      </c>
      <c r="C151" s="1" t="n">
        <v>45889</v>
      </c>
      <c r="D151" t="inlineStr">
        <is>
          <t>VÄSTMANLANDS LÄN</t>
        </is>
      </c>
      <c r="E151" t="inlineStr">
        <is>
          <t>SURAHAMMAR</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32916-2025</t>
        </is>
      </c>
      <c r="B152" s="1" t="n">
        <v>45839</v>
      </c>
      <c r="C152" s="1" t="n">
        <v>45889</v>
      </c>
      <c r="D152" t="inlineStr">
        <is>
          <t>VÄSTMANLANDS LÄN</t>
        </is>
      </c>
      <c r="E152" t="inlineStr">
        <is>
          <t>SURAHAMMAR</t>
        </is>
      </c>
      <c r="F152" t="inlineStr">
        <is>
          <t>Kommuner</t>
        </is>
      </c>
      <c r="G152" t="n">
        <v>4.9</v>
      </c>
      <c r="H152" t="n">
        <v>0</v>
      </c>
      <c r="I152" t="n">
        <v>0</v>
      </c>
      <c r="J152" t="n">
        <v>0</v>
      </c>
      <c r="K152" t="n">
        <v>0</v>
      </c>
      <c r="L152" t="n">
        <v>0</v>
      </c>
      <c r="M152" t="n">
        <v>0</v>
      </c>
      <c r="N152" t="n">
        <v>0</v>
      </c>
      <c r="O152" t="n">
        <v>0</v>
      </c>
      <c r="P152" t="n">
        <v>0</v>
      </c>
      <c r="Q152" t="n">
        <v>0</v>
      </c>
      <c r="R152" s="2" t="inlineStr"/>
    </row>
    <row r="153">
      <c r="A153" t="inlineStr">
        <is>
          <t>A 15743-2023</t>
        </is>
      </c>
      <c r="B153" s="1" t="n">
        <v>45021</v>
      </c>
      <c r="C153" s="1" t="n">
        <v>45889</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2025-08-20T08:26:27Z</dcterms:created>
  <dcterms:modified xmlns:dcterms="http://purl.org/dc/terms/" xmlns:xsi="http://www.w3.org/2001/XMLSchema-instance" xsi:type="dcterms:W3CDTF">2025-08-20T08:26:27Z</dcterms:modified>
</cp:coreProperties>
</file>