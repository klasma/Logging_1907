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46066</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46066</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46066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46066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46066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46066</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46066</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65024-2023</t>
        </is>
      </c>
      <c r="B23" s="1" t="n">
        <v>45282</v>
      </c>
      <c r="C23" s="1" t="n">
        <v>46066</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46066</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46066</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46066</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46066</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48128-2023</t>
        </is>
      </c>
      <c r="B28" s="1" t="n">
        <v>45205</v>
      </c>
      <c r="C28" s="1" t="n">
        <v>46066</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46066</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46066</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46066</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46066</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46066</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46066</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46066</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46066</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46066</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46066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46066</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62097-2024</t>
        </is>
      </c>
      <c r="B40" s="1" t="n">
        <v>45646</v>
      </c>
      <c r="C40" s="1" t="n">
        <v>46066</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40403-2025</t>
        </is>
      </c>
      <c r="B41" s="1" t="n">
        <v>45895</v>
      </c>
      <c r="C41" s="1" t="n">
        <v>46066</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37800-2021</t>
        </is>
      </c>
      <c r="B42" s="1" t="n">
        <v>44402</v>
      </c>
      <c r="C42" s="1" t="n">
        <v>46066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46066</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46066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46066</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21618-2025</t>
        </is>
      </c>
      <c r="B46" s="1" t="n">
        <v>45783</v>
      </c>
      <c r="C46" s="1" t="n">
        <v>46066</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46066</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46066</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46066</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46066</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46066</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46066</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13788-2025</t>
        </is>
      </c>
      <c r="B53" s="1" t="n">
        <v>45737.45327546296</v>
      </c>
      <c r="C53" s="1" t="n">
        <v>46066</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56362-2023</t>
        </is>
      </c>
      <c r="B54" s="1" t="n">
        <v>45236</v>
      </c>
      <c r="C54" s="1" t="n">
        <v>46066</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46066</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46066</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34582-2025</t>
        </is>
      </c>
      <c r="B57" s="1" t="n">
        <v>45846</v>
      </c>
      <c r="C57" s="1" t="n">
        <v>46066</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39099-2022</t>
        </is>
      </c>
      <c r="B58" s="1" t="n">
        <v>44817</v>
      </c>
      <c r="C58" s="1" t="n">
        <v>46066</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42089-2025</t>
        </is>
      </c>
      <c r="B59" s="1" t="n">
        <v>45902</v>
      </c>
      <c r="C59" s="1" t="n">
        <v>46066</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42765-2022</t>
        </is>
      </c>
      <c r="B60" s="1" t="n">
        <v>44832</v>
      </c>
      <c r="C60" s="1" t="n">
        <v>46066</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46066</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46066</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46066</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55042-2025</t>
        </is>
      </c>
      <c r="B64" s="1" t="n">
        <v>45967.65858796296</v>
      </c>
      <c r="C64" s="1" t="n">
        <v>46066</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44356-2024</t>
        </is>
      </c>
      <c r="B65" s="1" t="n">
        <v>45573</v>
      </c>
      <c r="C65" s="1" t="n">
        <v>46066</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56768-2025</t>
        </is>
      </c>
      <c r="B66" s="1" t="n">
        <v>45978</v>
      </c>
      <c r="C66" s="1" t="n">
        <v>46066</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22840-2023</t>
        </is>
      </c>
      <c r="B67" s="1" t="n">
        <v>45072</v>
      </c>
      <c r="C67" s="1" t="n">
        <v>46066</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33231-2024</t>
        </is>
      </c>
      <c r="B68" s="1" t="n">
        <v>45518</v>
      </c>
      <c r="C68" s="1" t="n">
        <v>46066</v>
      </c>
      <c r="D68" t="inlineStr">
        <is>
          <t>VÄSTMANLANDS LÄN</t>
        </is>
      </c>
      <c r="E68" t="inlineStr">
        <is>
          <t>SURAHAMMAR</t>
        </is>
      </c>
      <c r="F68" t="inlineStr">
        <is>
          <t>Bergvik skog väst AB</t>
        </is>
      </c>
      <c r="G68" t="n">
        <v>1.5</v>
      </c>
      <c r="H68" t="n">
        <v>1</v>
      </c>
      <c r="I68" t="n">
        <v>0</v>
      </c>
      <c r="J68" t="n">
        <v>0</v>
      </c>
      <c r="K68" t="n">
        <v>0</v>
      </c>
      <c r="L68" t="n">
        <v>0</v>
      </c>
      <c r="M68" t="n">
        <v>0</v>
      </c>
      <c r="N68" t="n">
        <v>0</v>
      </c>
      <c r="O68" t="n">
        <v>0</v>
      </c>
      <c r="P68" t="n">
        <v>0</v>
      </c>
      <c r="Q68" t="n">
        <v>1</v>
      </c>
      <c r="R68" s="2" t="inlineStr">
        <is>
          <t>Mindre vattensalamander</t>
        </is>
      </c>
      <c r="S68">
        <f>HYPERLINK("https://klasma.github.io/Logging_1907/artfynd/A 33231-2024 artfynd.xlsx", "A 33231-2024")</f>
        <v/>
      </c>
      <c r="T68">
        <f>HYPERLINK("https://klasma.github.io/Logging_1907/kartor/A 33231-2024 karta.png", "A 33231-2024")</f>
        <v/>
      </c>
      <c r="V68">
        <f>HYPERLINK("https://klasma.github.io/Logging_1907/klagomål/A 33231-2024 FSC-klagomål.docx", "A 33231-2024")</f>
        <v/>
      </c>
      <c r="W68">
        <f>HYPERLINK("https://klasma.github.io/Logging_1907/klagomålsmail/A 33231-2024 FSC-klagomål mail.docx", "A 33231-2024")</f>
        <v/>
      </c>
      <c r="X68">
        <f>HYPERLINK("https://klasma.github.io/Logging_1907/tillsyn/A 33231-2024 tillsynsbegäran.docx", "A 33231-2024")</f>
        <v/>
      </c>
      <c r="Y68">
        <f>HYPERLINK("https://klasma.github.io/Logging_1907/tillsynsmail/A 33231-2024 tillsynsbegäran mail.docx", "A 33231-2024")</f>
        <v/>
      </c>
    </row>
    <row r="69" ht="15" customHeight="1">
      <c r="A69" t="inlineStr">
        <is>
          <t>A 63145-2025</t>
        </is>
      </c>
      <c r="B69" s="1" t="n">
        <v>46009</v>
      </c>
      <c r="C69" s="1" t="n">
        <v>46066</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14001-2023</t>
        </is>
      </c>
      <c r="B70" s="1" t="n">
        <v>45007</v>
      </c>
      <c r="C70" s="1" t="n">
        <v>46066</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46066</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46066</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46066</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46066</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46066</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46066</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46066</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46066</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46066</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46066</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46066</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46066</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46066</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46066</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46066</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46066</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46066</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46066</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46066</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15637-2022</t>
        </is>
      </c>
      <c r="B92" s="1" t="n">
        <v>44662.89638888889</v>
      </c>
      <c r="C92" s="1" t="n">
        <v>46066</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46066</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46066</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46066</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46066</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46066</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46066</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46066</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46066</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46066</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46066</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46066</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33931-2022</t>
        </is>
      </c>
      <c r="B104" s="1" t="n">
        <v>44790.65153935185</v>
      </c>
      <c r="C104" s="1" t="n">
        <v>46066</v>
      </c>
      <c r="D104" t="inlineStr">
        <is>
          <t>VÄSTMANLANDS LÄN</t>
        </is>
      </c>
      <c r="E104" t="inlineStr">
        <is>
          <t>SURAHAMMAR</t>
        </is>
      </c>
      <c r="G104" t="n">
        <v>2.2</v>
      </c>
      <c r="H104" t="n">
        <v>0</v>
      </c>
      <c r="I104" t="n">
        <v>0</v>
      </c>
      <c r="J104" t="n">
        <v>0</v>
      </c>
      <c r="K104" t="n">
        <v>0</v>
      </c>
      <c r="L104" t="n">
        <v>0</v>
      </c>
      <c r="M104" t="n">
        <v>0</v>
      </c>
      <c r="N104" t="n">
        <v>0</v>
      </c>
      <c r="O104" t="n">
        <v>0</v>
      </c>
      <c r="P104" t="n">
        <v>0</v>
      </c>
      <c r="Q104" t="n">
        <v>0</v>
      </c>
      <c r="R104" s="2" t="inlineStr"/>
    </row>
    <row r="105" ht="15" customHeight="1">
      <c r="A105" t="inlineStr">
        <is>
          <t>A 34584-2025</t>
        </is>
      </c>
      <c r="B105" s="1" t="n">
        <v>45846</v>
      </c>
      <c r="C105" s="1" t="n">
        <v>46066</v>
      </c>
      <c r="D105" t="inlineStr">
        <is>
          <t>VÄSTMANLANDS LÄN</t>
        </is>
      </c>
      <c r="E105" t="inlineStr">
        <is>
          <t>SURAHAMMAR</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24158-2023</t>
        </is>
      </c>
      <c r="B106" s="1" t="n">
        <v>45079</v>
      </c>
      <c r="C106" s="1" t="n">
        <v>46066</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42088-2025</t>
        </is>
      </c>
      <c r="B107" s="1" t="n">
        <v>45902</v>
      </c>
      <c r="C107" s="1" t="n">
        <v>46066</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32916-2025</t>
        </is>
      </c>
      <c r="B108" s="1" t="n">
        <v>45839</v>
      </c>
      <c r="C108" s="1" t="n">
        <v>46066</v>
      </c>
      <c r="D108" t="inlineStr">
        <is>
          <t>VÄSTMANLANDS LÄN</t>
        </is>
      </c>
      <c r="E108" t="inlineStr">
        <is>
          <t>SURAHAMMAR</t>
        </is>
      </c>
      <c r="F108" t="inlineStr">
        <is>
          <t>Kommuner</t>
        </is>
      </c>
      <c r="G108" t="n">
        <v>4.9</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46066</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46066</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46066</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46066</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46066</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46066</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43249-2025</t>
        </is>
      </c>
      <c r="B115" s="1" t="n">
        <v>45910.55059027778</v>
      </c>
      <c r="C115" s="1" t="n">
        <v>46066</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43255-2025</t>
        </is>
      </c>
      <c r="B116" s="1" t="n">
        <v>45910.55325231481</v>
      </c>
      <c r="C116" s="1" t="n">
        <v>46066</v>
      </c>
      <c r="D116" t="inlineStr">
        <is>
          <t>VÄSTMANLANDS LÄN</t>
        </is>
      </c>
      <c r="E116" t="inlineStr">
        <is>
          <t>SURAHAMMAR</t>
        </is>
      </c>
      <c r="G116" t="n">
        <v>1.9</v>
      </c>
      <c r="H116" t="n">
        <v>0</v>
      </c>
      <c r="I116" t="n">
        <v>0</v>
      </c>
      <c r="J116" t="n">
        <v>0</v>
      </c>
      <c r="K116" t="n">
        <v>0</v>
      </c>
      <c r="L116" t="n">
        <v>0</v>
      </c>
      <c r="M116" t="n">
        <v>0</v>
      </c>
      <c r="N116" t="n">
        <v>0</v>
      </c>
      <c r="O116" t="n">
        <v>0</v>
      </c>
      <c r="P116" t="n">
        <v>0</v>
      </c>
      <c r="Q116" t="n">
        <v>0</v>
      </c>
      <c r="R116" s="2" t="inlineStr"/>
    </row>
    <row r="117" ht="15" customHeight="1">
      <c r="A117" t="inlineStr">
        <is>
          <t>A 5567-2022</t>
        </is>
      </c>
      <c r="B117" s="1" t="n">
        <v>44595</v>
      </c>
      <c r="C117" s="1" t="n">
        <v>46066</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42832-2022</t>
        </is>
      </c>
      <c r="B118" s="1" t="n">
        <v>44832</v>
      </c>
      <c r="C118" s="1" t="n">
        <v>46066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46066</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24665-2023</t>
        </is>
      </c>
      <c r="B120" s="1" t="n">
        <v>45084.48592592592</v>
      </c>
      <c r="C120" s="1" t="n">
        <v>46066</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32808-2024</t>
        </is>
      </c>
      <c r="B121" s="1" t="n">
        <v>45516</v>
      </c>
      <c r="C121" s="1" t="n">
        <v>46066</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42841-2022</t>
        </is>
      </c>
      <c r="B122" s="1" t="n">
        <v>44832</v>
      </c>
      <c r="C122" s="1" t="n">
        <v>46066</v>
      </c>
      <c r="D122" t="inlineStr">
        <is>
          <t>VÄSTMANLANDS LÄN</t>
        </is>
      </c>
      <c r="E122" t="inlineStr">
        <is>
          <t>SURAHAMMAR</t>
        </is>
      </c>
      <c r="G122" t="n">
        <v>1.8</v>
      </c>
      <c r="H122" t="n">
        <v>0</v>
      </c>
      <c r="I122" t="n">
        <v>0</v>
      </c>
      <c r="J122" t="n">
        <v>0</v>
      </c>
      <c r="K122" t="n">
        <v>0</v>
      </c>
      <c r="L122" t="n">
        <v>0</v>
      </c>
      <c r="M122" t="n">
        <v>0</v>
      </c>
      <c r="N122" t="n">
        <v>0</v>
      </c>
      <c r="O122" t="n">
        <v>0</v>
      </c>
      <c r="P122" t="n">
        <v>0</v>
      </c>
      <c r="Q122" t="n">
        <v>0</v>
      </c>
      <c r="R122" s="2" t="inlineStr"/>
    </row>
    <row r="123" ht="15" customHeight="1">
      <c r="A123" t="inlineStr">
        <is>
          <t>A 42829-2022</t>
        </is>
      </c>
      <c r="B123" s="1" t="n">
        <v>44832</v>
      </c>
      <c r="C123" s="1" t="n">
        <v>46066</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46066</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3085-2023</t>
        </is>
      </c>
      <c r="B125" s="1" t="n">
        <v>44946</v>
      </c>
      <c r="C125" s="1" t="n">
        <v>46066</v>
      </c>
      <c r="D125" t="inlineStr">
        <is>
          <t>VÄSTMANLANDS LÄN</t>
        </is>
      </c>
      <c r="E125" t="inlineStr">
        <is>
          <t>SURAHAMMAR</t>
        </is>
      </c>
      <c r="F125" t="inlineStr">
        <is>
          <t>Kyrkan</t>
        </is>
      </c>
      <c r="G125" t="n">
        <v>13</v>
      </c>
      <c r="H125" t="n">
        <v>0</v>
      </c>
      <c r="I125" t="n">
        <v>0</v>
      </c>
      <c r="J125" t="n">
        <v>0</v>
      </c>
      <c r="K125" t="n">
        <v>0</v>
      </c>
      <c r="L125" t="n">
        <v>0</v>
      </c>
      <c r="M125" t="n">
        <v>0</v>
      </c>
      <c r="N125" t="n">
        <v>0</v>
      </c>
      <c r="O125" t="n">
        <v>0</v>
      </c>
      <c r="P125" t="n">
        <v>0</v>
      </c>
      <c r="Q125" t="n">
        <v>0</v>
      </c>
      <c r="R125" s="2" t="inlineStr"/>
    </row>
    <row r="126" ht="15" customHeight="1">
      <c r="A126" t="inlineStr">
        <is>
          <t>A 49058-2024</t>
        </is>
      </c>
      <c r="B126" s="1" t="n">
        <v>45594</v>
      </c>
      <c r="C126" s="1" t="n">
        <v>46066</v>
      </c>
      <c r="D126" t="inlineStr">
        <is>
          <t>VÄSTMANLANDS LÄN</t>
        </is>
      </c>
      <c r="E126" t="inlineStr">
        <is>
          <t>SURAHAMMAR</t>
        </is>
      </c>
      <c r="F126" t="inlineStr">
        <is>
          <t>Sveaskog</t>
        </is>
      </c>
      <c r="G126" t="n">
        <v>11.4</v>
      </c>
      <c r="H126" t="n">
        <v>0</v>
      </c>
      <c r="I126" t="n">
        <v>0</v>
      </c>
      <c r="J126" t="n">
        <v>0</v>
      </c>
      <c r="K126" t="n">
        <v>0</v>
      </c>
      <c r="L126" t="n">
        <v>0</v>
      </c>
      <c r="M126" t="n">
        <v>0</v>
      </c>
      <c r="N126" t="n">
        <v>0</v>
      </c>
      <c r="O126" t="n">
        <v>0</v>
      </c>
      <c r="P126" t="n">
        <v>0</v>
      </c>
      <c r="Q126" t="n">
        <v>0</v>
      </c>
      <c r="R126" s="2" t="inlineStr"/>
    </row>
    <row r="127" ht="15" customHeight="1">
      <c r="A127" t="inlineStr">
        <is>
          <t>A 49060-2024</t>
        </is>
      </c>
      <c r="B127" s="1" t="n">
        <v>45594</v>
      </c>
      <c r="C127" s="1" t="n">
        <v>46066</v>
      </c>
      <c r="D127" t="inlineStr">
        <is>
          <t>VÄSTMANLANDS LÄN</t>
        </is>
      </c>
      <c r="E127" t="inlineStr">
        <is>
          <t>SURAHAMMAR</t>
        </is>
      </c>
      <c r="F127" t="inlineStr">
        <is>
          <t>Sveaskog</t>
        </is>
      </c>
      <c r="G127" t="n">
        <v>4.4</v>
      </c>
      <c r="H127" t="n">
        <v>0</v>
      </c>
      <c r="I127" t="n">
        <v>0</v>
      </c>
      <c r="J127" t="n">
        <v>0</v>
      </c>
      <c r="K127" t="n">
        <v>0</v>
      </c>
      <c r="L127" t="n">
        <v>0</v>
      </c>
      <c r="M127" t="n">
        <v>0</v>
      </c>
      <c r="N127" t="n">
        <v>0</v>
      </c>
      <c r="O127" t="n">
        <v>0</v>
      </c>
      <c r="P127" t="n">
        <v>0</v>
      </c>
      <c r="Q127" t="n">
        <v>0</v>
      </c>
      <c r="R127" s="2" t="inlineStr"/>
    </row>
    <row r="128" ht="15" customHeight="1">
      <c r="A128" t="inlineStr">
        <is>
          <t>A 34955-2022</t>
        </is>
      </c>
      <c r="B128" s="1" t="n">
        <v>44796</v>
      </c>
      <c r="C128" s="1" t="n">
        <v>46066</v>
      </c>
      <c r="D128" t="inlineStr">
        <is>
          <t>VÄSTMANLANDS LÄN</t>
        </is>
      </c>
      <c r="E128" t="inlineStr">
        <is>
          <t>SURAHAMMAR</t>
        </is>
      </c>
      <c r="F128" t="inlineStr">
        <is>
          <t>Sveaskog</t>
        </is>
      </c>
      <c r="G128" t="n">
        <v>4.6</v>
      </c>
      <c r="H128" t="n">
        <v>0</v>
      </c>
      <c r="I128" t="n">
        <v>0</v>
      </c>
      <c r="J128" t="n">
        <v>0</v>
      </c>
      <c r="K128" t="n">
        <v>0</v>
      </c>
      <c r="L128" t="n">
        <v>0</v>
      </c>
      <c r="M128" t="n">
        <v>0</v>
      </c>
      <c r="N128" t="n">
        <v>0</v>
      </c>
      <c r="O128" t="n">
        <v>0</v>
      </c>
      <c r="P128" t="n">
        <v>0</v>
      </c>
      <c r="Q128" t="n">
        <v>0</v>
      </c>
      <c r="R128" s="2" t="inlineStr"/>
    </row>
    <row r="129" ht="15" customHeight="1">
      <c r="A129" t="inlineStr">
        <is>
          <t>A 20904-2023</t>
        </is>
      </c>
      <c r="B129" s="1" t="n">
        <v>45060</v>
      </c>
      <c r="C129" s="1" t="n">
        <v>46066</v>
      </c>
      <c r="D129" t="inlineStr">
        <is>
          <t>VÄSTMANLANDS LÄN</t>
        </is>
      </c>
      <c r="E129" t="inlineStr">
        <is>
          <t>SURAHAMMAR</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10883-2023</t>
        </is>
      </c>
      <c r="B130" s="1" t="n">
        <v>44991</v>
      </c>
      <c r="C130" s="1" t="n">
        <v>46066</v>
      </c>
      <c r="D130" t="inlineStr">
        <is>
          <t>VÄSTMANLANDS LÄN</t>
        </is>
      </c>
      <c r="E130" t="inlineStr">
        <is>
          <t>SURAHAMMAR</t>
        </is>
      </c>
      <c r="F130" t="inlineStr">
        <is>
          <t>Övriga Aktiebolag</t>
        </is>
      </c>
      <c r="G130" t="n">
        <v>12.5</v>
      </c>
      <c r="H130" t="n">
        <v>0</v>
      </c>
      <c r="I130" t="n">
        <v>0</v>
      </c>
      <c r="J130" t="n">
        <v>0</v>
      </c>
      <c r="K130" t="n">
        <v>0</v>
      </c>
      <c r="L130" t="n">
        <v>0</v>
      </c>
      <c r="M130" t="n">
        <v>0</v>
      </c>
      <c r="N130" t="n">
        <v>0</v>
      </c>
      <c r="O130" t="n">
        <v>0</v>
      </c>
      <c r="P130" t="n">
        <v>0</v>
      </c>
      <c r="Q130" t="n">
        <v>0</v>
      </c>
      <c r="R130" s="2" t="inlineStr"/>
    </row>
    <row r="131" ht="15" customHeight="1">
      <c r="A131" t="inlineStr">
        <is>
          <t>A 2660-2024</t>
        </is>
      </c>
      <c r="B131" s="1" t="n">
        <v>45310</v>
      </c>
      <c r="C131" s="1" t="n">
        <v>46066</v>
      </c>
      <c r="D131" t="inlineStr">
        <is>
          <t>VÄSTMANLANDS LÄN</t>
        </is>
      </c>
      <c r="E131" t="inlineStr">
        <is>
          <t>SURAHAMMAR</t>
        </is>
      </c>
      <c r="G131" t="n">
        <v>2.1</v>
      </c>
      <c r="H131" t="n">
        <v>0</v>
      </c>
      <c r="I131" t="n">
        <v>0</v>
      </c>
      <c r="J131" t="n">
        <v>0</v>
      </c>
      <c r="K131" t="n">
        <v>0</v>
      </c>
      <c r="L131" t="n">
        <v>0</v>
      </c>
      <c r="M131" t="n">
        <v>0</v>
      </c>
      <c r="N131" t="n">
        <v>0</v>
      </c>
      <c r="O131" t="n">
        <v>0</v>
      </c>
      <c r="P131" t="n">
        <v>0</v>
      </c>
      <c r="Q131" t="n">
        <v>0</v>
      </c>
      <c r="R131" s="2" t="inlineStr"/>
    </row>
    <row r="132" ht="15" customHeight="1">
      <c r="A132" t="inlineStr">
        <is>
          <t>A 55868-2025</t>
        </is>
      </c>
      <c r="B132" s="1" t="n">
        <v>45973.35263888889</v>
      </c>
      <c r="C132" s="1" t="n">
        <v>46066</v>
      </c>
      <c r="D132" t="inlineStr">
        <is>
          <t>VÄSTMANLANDS LÄN</t>
        </is>
      </c>
      <c r="E132" t="inlineStr">
        <is>
          <t>SURAHAMMAR</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55874-2025</t>
        </is>
      </c>
      <c r="B133" s="1" t="n">
        <v>45973.3569212963</v>
      </c>
      <c r="C133" s="1" t="n">
        <v>46066</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55873-2025</t>
        </is>
      </c>
      <c r="B134" s="1" t="n">
        <v>45973.35608796297</v>
      </c>
      <c r="C134" s="1" t="n">
        <v>46066</v>
      </c>
      <c r="D134" t="inlineStr">
        <is>
          <t>VÄSTMANLANDS LÄN</t>
        </is>
      </c>
      <c r="E134" t="inlineStr">
        <is>
          <t>SURAHAMMAR</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55871-2025</t>
        </is>
      </c>
      <c r="B135" s="1" t="n">
        <v>45973.35452546296</v>
      </c>
      <c r="C135" s="1" t="n">
        <v>46066</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56543-2025</t>
        </is>
      </c>
      <c r="B136" s="1" t="n">
        <v>45975</v>
      </c>
      <c r="C136" s="1" t="n">
        <v>46066</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46066</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46066</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46066</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25450-2024</t>
        </is>
      </c>
      <c r="B140" s="1" t="n">
        <v>45463</v>
      </c>
      <c r="C140" s="1" t="n">
        <v>46066</v>
      </c>
      <c r="D140" t="inlineStr">
        <is>
          <t>VÄSTMANLANDS LÄN</t>
        </is>
      </c>
      <c r="E140" t="inlineStr">
        <is>
          <t>SURAHAMMAR</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56541-2025</t>
        </is>
      </c>
      <c r="B141" s="1" t="n">
        <v>45975</v>
      </c>
      <c r="C141" s="1" t="n">
        <v>46066</v>
      </c>
      <c r="D141" t="inlineStr">
        <is>
          <t>VÄSTMANLANDS LÄN</t>
        </is>
      </c>
      <c r="E141" t="inlineStr">
        <is>
          <t>SURAHAMMAR</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46066</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46066</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4724-2026</t>
        </is>
      </c>
      <c r="B144" s="1" t="n">
        <v>46048</v>
      </c>
      <c r="C144" s="1" t="n">
        <v>46066</v>
      </c>
      <c r="D144" t="inlineStr">
        <is>
          <t>VÄSTMANLANDS LÄN</t>
        </is>
      </c>
      <c r="E144" t="inlineStr">
        <is>
          <t>SURAHAMMAR</t>
        </is>
      </c>
      <c r="G144" t="n">
        <v>1.7</v>
      </c>
      <c r="H144" t="n">
        <v>0</v>
      </c>
      <c r="I144" t="n">
        <v>0</v>
      </c>
      <c r="J144" t="n">
        <v>0</v>
      </c>
      <c r="K144" t="n">
        <v>0</v>
      </c>
      <c r="L144" t="n">
        <v>0</v>
      </c>
      <c r="M144" t="n">
        <v>0</v>
      </c>
      <c r="N144" t="n">
        <v>0</v>
      </c>
      <c r="O144" t="n">
        <v>0</v>
      </c>
      <c r="P144" t="n">
        <v>0</v>
      </c>
      <c r="Q144" t="n">
        <v>0</v>
      </c>
      <c r="R144" s="2" t="inlineStr"/>
    </row>
    <row r="145" ht="15" customHeight="1">
      <c r="A145" t="inlineStr">
        <is>
          <t>A 4734-2026</t>
        </is>
      </c>
      <c r="B145" s="1" t="n">
        <v>46048</v>
      </c>
      <c r="C145" s="1" t="n">
        <v>46066</v>
      </c>
      <c r="D145" t="inlineStr">
        <is>
          <t>VÄSTMANLANDS LÄN</t>
        </is>
      </c>
      <c r="E145" t="inlineStr">
        <is>
          <t>SURAHAMMAR</t>
        </is>
      </c>
      <c r="G145" t="n">
        <v>0.7</v>
      </c>
      <c r="H145" t="n">
        <v>0</v>
      </c>
      <c r="I145" t="n">
        <v>0</v>
      </c>
      <c r="J145" t="n">
        <v>0</v>
      </c>
      <c r="K145" t="n">
        <v>0</v>
      </c>
      <c r="L145" t="n">
        <v>0</v>
      </c>
      <c r="M145" t="n">
        <v>0</v>
      </c>
      <c r="N145" t="n">
        <v>0</v>
      </c>
      <c r="O145" t="n">
        <v>0</v>
      </c>
      <c r="P145" t="n">
        <v>0</v>
      </c>
      <c r="Q145" t="n">
        <v>0</v>
      </c>
      <c r="R145" s="2" t="inlineStr"/>
    </row>
    <row r="146" ht="15" customHeight="1">
      <c r="A146" t="inlineStr">
        <is>
          <t>A 5697-2026</t>
        </is>
      </c>
      <c r="B146" s="1" t="n">
        <v>46051.50020833333</v>
      </c>
      <c r="C146" s="1" t="n">
        <v>46066</v>
      </c>
      <c r="D146" t="inlineStr">
        <is>
          <t>VÄSTMANLANDS LÄN</t>
        </is>
      </c>
      <c r="E146" t="inlineStr">
        <is>
          <t>SURAHAMMAR</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5698-2026</t>
        </is>
      </c>
      <c r="B147" s="1" t="n">
        <v>46051.50196759259</v>
      </c>
      <c r="C147" s="1" t="n">
        <v>46066</v>
      </c>
      <c r="D147" t="inlineStr">
        <is>
          <t>VÄSTMANLANDS LÄN</t>
        </is>
      </c>
      <c r="E147" t="inlineStr">
        <is>
          <t>SURAHAMMAR</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5696-2026</t>
        </is>
      </c>
      <c r="B148" s="1" t="n">
        <v>46051.4975</v>
      </c>
      <c r="C148" s="1" t="n">
        <v>46066</v>
      </c>
      <c r="D148" t="inlineStr">
        <is>
          <t>VÄSTMANLANDS LÄN</t>
        </is>
      </c>
      <c r="E148" t="inlineStr">
        <is>
          <t>SURAHAMMAR</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24167-2024</t>
        </is>
      </c>
      <c r="B149" s="1" t="n">
        <v>45456</v>
      </c>
      <c r="C149" s="1" t="n">
        <v>46066</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46066</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56378-2023</t>
        </is>
      </c>
      <c r="B151" s="1" t="n">
        <v>45236</v>
      </c>
      <c r="C151" s="1" t="n">
        <v>46066</v>
      </c>
      <c r="D151" t="inlineStr">
        <is>
          <t>VÄSTMANLANDS LÄN</t>
        </is>
      </c>
      <c r="E151" t="inlineStr">
        <is>
          <t>SURAHAMMAR</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46066</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11501-2023</t>
        </is>
      </c>
      <c r="B153" s="1" t="n">
        <v>44991</v>
      </c>
      <c r="C153" s="1" t="n">
        <v>46066</v>
      </c>
      <c r="D153" t="inlineStr">
        <is>
          <t>VÄSTMANLANDS LÄN</t>
        </is>
      </c>
      <c r="E153" t="inlineStr">
        <is>
          <t>SURAHAMMAR</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46066</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21509-2024</t>
        </is>
      </c>
      <c r="B155" s="1" t="n">
        <v>45441</v>
      </c>
      <c r="C155" s="1" t="n">
        <v>46066</v>
      </c>
      <c r="D155" t="inlineStr">
        <is>
          <t>VÄSTMANLANDS LÄN</t>
        </is>
      </c>
      <c r="E155" t="inlineStr">
        <is>
          <t>SURAHAMMAR</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22662-2023</t>
        </is>
      </c>
      <c r="B156" s="1" t="n">
        <v>45071</v>
      </c>
      <c r="C156" s="1" t="n">
        <v>46066</v>
      </c>
      <c r="D156" t="inlineStr">
        <is>
          <t>VÄSTMANLANDS LÄN</t>
        </is>
      </c>
      <c r="E156" t="inlineStr">
        <is>
          <t>SURAHAMMAR</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16013-2023</t>
        </is>
      </c>
      <c r="B157" s="1" t="n">
        <v>45026</v>
      </c>
      <c r="C157" s="1" t="n">
        <v>46066</v>
      </c>
      <c r="D157" t="inlineStr">
        <is>
          <t>VÄSTMANLANDS LÄN</t>
        </is>
      </c>
      <c r="E157" t="inlineStr">
        <is>
          <t>SURAHAMMAR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41555-2022</t>
        </is>
      </c>
      <c r="B158" s="1" t="n">
        <v>44826</v>
      </c>
      <c r="C158" s="1" t="n">
        <v>46066</v>
      </c>
      <c r="D158" t="inlineStr">
        <is>
          <t>VÄSTMANLANDS LÄN</t>
        </is>
      </c>
      <c r="E158" t="inlineStr">
        <is>
          <t>SURAHAMMAR</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25780-2023</t>
        </is>
      </c>
      <c r="B159" s="1" t="n">
        <v>45090.47523148148</v>
      </c>
      <c r="C159" s="1" t="n">
        <v>46066</v>
      </c>
      <c r="D159" t="inlineStr">
        <is>
          <t>VÄSTMANLANDS LÄN</t>
        </is>
      </c>
      <c r="E159" t="inlineStr">
        <is>
          <t>SURAHAMMAR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13386-2025</t>
        </is>
      </c>
      <c r="B160" s="1" t="n">
        <v>45735</v>
      </c>
      <c r="C160" s="1" t="n">
        <v>46066</v>
      </c>
      <c r="D160" t="inlineStr">
        <is>
          <t>VÄSTMANLANDS LÄN</t>
        </is>
      </c>
      <c r="E160" t="inlineStr">
        <is>
          <t>SURAHAMMAR</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46066</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c r="A162" t="inlineStr">
        <is>
          <t>A 15739-2023</t>
        </is>
      </c>
      <c r="B162" s="1" t="n">
        <v>45021</v>
      </c>
      <c r="C162" s="1" t="n">
        <v>46066</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2026-02-13T11:01:47Z</dcterms:created>
  <dcterms:modified xmlns:dcterms="http://purl.org/dc/terms/" xmlns:xsi="http://www.w3.org/2001/XMLSchema-instance" xsi:type="dcterms:W3CDTF">2026-02-13T11:01:47Z</dcterms:modified>
</cp:coreProperties>
</file>