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46010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46010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46010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46010</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46010</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46010</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46010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46010</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46010</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46010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46010</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46010</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46010</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46010</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46010</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46010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46010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46010</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46010</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46010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46010</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46010</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46010</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21716-2025</t>
        </is>
      </c>
      <c r="B26" s="1" t="n">
        <v>45783.54804398148</v>
      </c>
      <c r="C26" s="1" t="n">
        <v>46010</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46010</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46010</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48128-2023</t>
        </is>
      </c>
      <c r="B29" s="1" t="n">
        <v>45205</v>
      </c>
      <c r="C29" s="1" t="n">
        <v>46010</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46010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46010</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46010</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46010</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46010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46010</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46010</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46010</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46010</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46010</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46010</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46010</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46010</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46010</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46010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46010</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46010</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46010</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46010</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46010</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46010</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46010</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46010</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46010</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46010</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42089-2025</t>
        </is>
      </c>
      <c r="B55" s="1" t="n">
        <v>45902</v>
      </c>
      <c r="C55" s="1" t="n">
        <v>46010</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25583-2024</t>
        </is>
      </c>
      <c r="B56" s="1" t="n">
        <v>45463</v>
      </c>
      <c r="C56" s="1" t="n">
        <v>46010</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39099-2022</t>
        </is>
      </c>
      <c r="B57" s="1" t="n">
        <v>44817</v>
      </c>
      <c r="C57" s="1" t="n">
        <v>46010</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42765-2022</t>
        </is>
      </c>
      <c r="B58" s="1" t="n">
        <v>44832</v>
      </c>
      <c r="C58" s="1" t="n">
        <v>46010</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10819-2024</t>
        </is>
      </c>
      <c r="B59" s="1" t="n">
        <v>45369.66049768519</v>
      </c>
      <c r="C59" s="1" t="n">
        <v>46010</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69777-2021</t>
        </is>
      </c>
      <c r="B60" s="1" t="n">
        <v>44532</v>
      </c>
      <c r="C60" s="1" t="n">
        <v>46010</v>
      </c>
      <c r="D60" t="inlineStr">
        <is>
          <t>VÄSTMANLANDS LÄN</t>
        </is>
      </c>
      <c r="E60" t="inlineStr">
        <is>
          <t>SURAHAMMAR</t>
        </is>
      </c>
      <c r="G60" t="n">
        <v>2.3</v>
      </c>
      <c r="H60" t="n">
        <v>1</v>
      </c>
      <c r="I60" t="n">
        <v>0</v>
      </c>
      <c r="J60" t="n">
        <v>0</v>
      </c>
      <c r="K60" t="n">
        <v>1</v>
      </c>
      <c r="L60" t="n">
        <v>0</v>
      </c>
      <c r="M60" t="n">
        <v>0</v>
      </c>
      <c r="N60" t="n">
        <v>0</v>
      </c>
      <c r="O60" t="n">
        <v>1</v>
      </c>
      <c r="P60" t="n">
        <v>1</v>
      </c>
      <c r="Q60" t="n">
        <v>1</v>
      </c>
      <c r="R60" s="2" t="inlineStr">
        <is>
          <t>Bombmurkla</t>
        </is>
      </c>
      <c r="S60">
        <f>HYPERLINK("https://klasma.github.io/Logging_1907/artfynd/A 69777-2021 artfynd.xlsx", "A 69777-2021")</f>
        <v/>
      </c>
      <c r="T60">
        <f>HYPERLINK("https://klasma.github.io/Logging_1907/kartor/A 69777-2021 karta.png", "A 69777-2021")</f>
        <v/>
      </c>
      <c r="V60">
        <f>HYPERLINK("https://klasma.github.io/Logging_1907/klagomål/A 69777-2021 FSC-klagomål.docx", "A 69777-2021")</f>
        <v/>
      </c>
      <c r="W60">
        <f>HYPERLINK("https://klasma.github.io/Logging_1907/klagomålsmail/A 69777-2021 FSC-klagomål mail.docx", "A 69777-2021")</f>
        <v/>
      </c>
      <c r="X60">
        <f>HYPERLINK("https://klasma.github.io/Logging_1907/tillsyn/A 69777-2021 tillsynsbegäran.docx", "A 69777-2021")</f>
        <v/>
      </c>
      <c r="Y60">
        <f>HYPERLINK("https://klasma.github.io/Logging_1907/tillsynsmail/A 69777-2021 tillsynsbegäran mail.docx", "A 69777-2021")</f>
        <v/>
      </c>
    </row>
    <row r="61" ht="15" customHeight="1">
      <c r="A61" t="inlineStr">
        <is>
          <t>A 17632-2022</t>
        </is>
      </c>
      <c r="B61" s="1" t="n">
        <v>44680</v>
      </c>
      <c r="C61" s="1" t="n">
        <v>46010</v>
      </c>
      <c r="D61" t="inlineStr">
        <is>
          <t>VÄSTMANLANDS LÄN</t>
        </is>
      </c>
      <c r="E61" t="inlineStr">
        <is>
          <t>SURAHAMMAR</t>
        </is>
      </c>
      <c r="G61" t="n">
        <v>5.2</v>
      </c>
      <c r="H61" t="n">
        <v>0</v>
      </c>
      <c r="I61" t="n">
        <v>1</v>
      </c>
      <c r="J61" t="n">
        <v>0</v>
      </c>
      <c r="K61" t="n">
        <v>0</v>
      </c>
      <c r="L61" t="n">
        <v>0</v>
      </c>
      <c r="M61" t="n">
        <v>0</v>
      </c>
      <c r="N61" t="n">
        <v>0</v>
      </c>
      <c r="O61" t="n">
        <v>0</v>
      </c>
      <c r="P61" t="n">
        <v>0</v>
      </c>
      <c r="Q61" t="n">
        <v>1</v>
      </c>
      <c r="R61" s="2" t="inlineStr">
        <is>
          <t>Blodticka</t>
        </is>
      </c>
      <c r="S61">
        <f>HYPERLINK("https://klasma.github.io/Logging_1907/artfynd/A 17632-2022 artfynd.xlsx", "A 17632-2022")</f>
        <v/>
      </c>
      <c r="T61">
        <f>HYPERLINK("https://klasma.github.io/Logging_1907/kartor/A 17632-2022 karta.png", "A 17632-2022")</f>
        <v/>
      </c>
      <c r="V61">
        <f>HYPERLINK("https://klasma.github.io/Logging_1907/klagomål/A 17632-2022 FSC-klagomål.docx", "A 17632-2022")</f>
        <v/>
      </c>
      <c r="W61">
        <f>HYPERLINK("https://klasma.github.io/Logging_1907/klagomålsmail/A 17632-2022 FSC-klagomål mail.docx", "A 17632-2022")</f>
        <v/>
      </c>
      <c r="X61">
        <f>HYPERLINK("https://klasma.github.io/Logging_1907/tillsyn/A 17632-2022 tillsynsbegäran.docx", "A 17632-2022")</f>
        <v/>
      </c>
      <c r="Y61">
        <f>HYPERLINK("https://klasma.github.io/Logging_1907/tillsynsmail/A 17632-2022 tillsynsbegäran mail.docx", "A 17632-2022")</f>
        <v/>
      </c>
    </row>
    <row r="62" ht="15" customHeight="1">
      <c r="A62" t="inlineStr">
        <is>
          <t>A 56768-2025</t>
        </is>
      </c>
      <c r="B62" s="1" t="n">
        <v>45978</v>
      </c>
      <c r="C62" s="1" t="n">
        <v>46010</v>
      </c>
      <c r="D62" t="inlineStr">
        <is>
          <t>VÄSTMANLANDS LÄN</t>
        </is>
      </c>
      <c r="E62" t="inlineStr">
        <is>
          <t>SURAHAMMAR</t>
        </is>
      </c>
      <c r="F62" t="inlineStr">
        <is>
          <t>Sveaskog</t>
        </is>
      </c>
      <c r="G62" t="n">
        <v>3.8</v>
      </c>
      <c r="H62" t="n">
        <v>0</v>
      </c>
      <c r="I62" t="n">
        <v>0</v>
      </c>
      <c r="J62" t="n">
        <v>1</v>
      </c>
      <c r="K62" t="n">
        <v>0</v>
      </c>
      <c r="L62" t="n">
        <v>0</v>
      </c>
      <c r="M62" t="n">
        <v>0</v>
      </c>
      <c r="N62" t="n">
        <v>0</v>
      </c>
      <c r="O62" t="n">
        <v>1</v>
      </c>
      <c r="P62" t="n">
        <v>0</v>
      </c>
      <c r="Q62" t="n">
        <v>1</v>
      </c>
      <c r="R62" s="2" t="inlineStr">
        <is>
          <t>Motaggsvamp</t>
        </is>
      </c>
      <c r="S62">
        <f>HYPERLINK("https://klasma.github.io/Logging_1907/artfynd/A 56768-2025 artfynd.xlsx", "A 56768-2025")</f>
        <v/>
      </c>
      <c r="T62">
        <f>HYPERLINK("https://klasma.github.io/Logging_1907/kartor/A 56768-2025 karta.png", "A 56768-2025")</f>
        <v/>
      </c>
      <c r="V62">
        <f>HYPERLINK("https://klasma.github.io/Logging_1907/klagomål/A 56768-2025 FSC-klagomål.docx", "A 56768-2025")</f>
        <v/>
      </c>
      <c r="W62">
        <f>HYPERLINK("https://klasma.github.io/Logging_1907/klagomålsmail/A 56768-2025 FSC-klagomål mail.docx", "A 56768-2025")</f>
        <v/>
      </c>
      <c r="X62">
        <f>HYPERLINK("https://klasma.github.io/Logging_1907/tillsyn/A 56768-2025 tillsynsbegäran.docx", "A 56768-2025")</f>
        <v/>
      </c>
      <c r="Y62">
        <f>HYPERLINK("https://klasma.github.io/Logging_1907/tillsynsmail/A 56768-2025 tillsynsbegäran mail.docx", "A 56768-2025")</f>
        <v/>
      </c>
    </row>
    <row r="63" ht="15" customHeight="1">
      <c r="A63" t="inlineStr">
        <is>
          <t>A 44356-2024</t>
        </is>
      </c>
      <c r="B63" s="1" t="n">
        <v>45573</v>
      </c>
      <c r="C63" s="1" t="n">
        <v>46010</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46010</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46010</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55042-2025</t>
        </is>
      </c>
      <c r="B66" s="1" t="n">
        <v>45967.65858796296</v>
      </c>
      <c r="C66" s="1" t="n">
        <v>46010</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14001-2023</t>
        </is>
      </c>
      <c r="B67" s="1" t="n">
        <v>45007</v>
      </c>
      <c r="C67" s="1" t="n">
        <v>46010</v>
      </c>
      <c r="D67" t="inlineStr">
        <is>
          <t>VÄSTMANLANDS LÄN</t>
        </is>
      </c>
      <c r="E67" t="inlineStr">
        <is>
          <t>SURAHAMMAR</t>
        </is>
      </c>
      <c r="F67" t="inlineStr">
        <is>
          <t>Bergvik skog väst AB</t>
        </is>
      </c>
      <c r="G67" t="n">
        <v>1</v>
      </c>
      <c r="H67" t="n">
        <v>0</v>
      </c>
      <c r="I67" t="n">
        <v>0</v>
      </c>
      <c r="J67" t="n">
        <v>1</v>
      </c>
      <c r="K67" t="n">
        <v>0</v>
      </c>
      <c r="L67" t="n">
        <v>0</v>
      </c>
      <c r="M67" t="n">
        <v>0</v>
      </c>
      <c r="N67" t="n">
        <v>0</v>
      </c>
      <c r="O67" t="n">
        <v>1</v>
      </c>
      <c r="P67" t="n">
        <v>0</v>
      </c>
      <c r="Q67" t="n">
        <v>1</v>
      </c>
      <c r="R67" s="2" t="inlineStr">
        <is>
          <t>Motaggsvamp</t>
        </is>
      </c>
      <c r="S67">
        <f>HYPERLINK("https://klasma.github.io/Logging_1907/artfynd/A 14001-2023 artfynd.xlsx", "A 14001-2023")</f>
        <v/>
      </c>
      <c r="T67">
        <f>HYPERLINK("https://klasma.github.io/Logging_1907/kartor/A 14001-2023 karta.png", "A 14001-2023")</f>
        <v/>
      </c>
      <c r="V67">
        <f>HYPERLINK("https://klasma.github.io/Logging_1907/klagomål/A 14001-2023 FSC-klagomål.docx", "A 14001-2023")</f>
        <v/>
      </c>
      <c r="W67">
        <f>HYPERLINK("https://klasma.github.io/Logging_1907/klagomålsmail/A 14001-2023 FSC-klagomål mail.docx", "A 14001-2023")</f>
        <v/>
      </c>
      <c r="X67">
        <f>HYPERLINK("https://klasma.github.io/Logging_1907/tillsyn/A 14001-2023 tillsynsbegäran.docx", "A 14001-2023")</f>
        <v/>
      </c>
      <c r="Y67">
        <f>HYPERLINK("https://klasma.github.io/Logging_1907/tillsynsmail/A 14001-2023 tillsynsbegäran mail.docx", "A 14001-2023")</f>
        <v/>
      </c>
    </row>
    <row r="68" ht="15" customHeight="1">
      <c r="A68" t="inlineStr">
        <is>
          <t>A 13971-2023</t>
        </is>
      </c>
      <c r="B68" s="1" t="n">
        <v>45007</v>
      </c>
      <c r="C68" s="1" t="n">
        <v>46010</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31176-2024</t>
        </is>
      </c>
      <c r="B69" s="1" t="n">
        <v>45503</v>
      </c>
      <c r="C69" s="1" t="n">
        <v>46010</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43451-2024</t>
        </is>
      </c>
      <c r="B70" s="1" t="n">
        <v>45568</v>
      </c>
      <c r="C70" s="1" t="n">
        <v>46010</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1492-2021</t>
        </is>
      </c>
      <c r="B71" s="1" t="n">
        <v>44209</v>
      </c>
      <c r="C71" s="1" t="n">
        <v>46010</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46010</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46010</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46010</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46010</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46010</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46010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46010</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46010</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46010</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46010</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46010</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46010</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66350-2021</t>
        </is>
      </c>
      <c r="B84" s="1" t="n">
        <v>44518</v>
      </c>
      <c r="C84" s="1" t="n">
        <v>46010</v>
      </c>
      <c r="D84" t="inlineStr">
        <is>
          <t>VÄSTMANLANDS LÄN</t>
        </is>
      </c>
      <c r="E84" t="inlineStr">
        <is>
          <t>SURAHAMMAR</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19846-2022</t>
        </is>
      </c>
      <c r="B85" s="1" t="n">
        <v>44696.89327546296</v>
      </c>
      <c r="C85" s="1" t="n">
        <v>46010</v>
      </c>
      <c r="D85" t="inlineStr">
        <is>
          <t>VÄSTMANLANDS LÄN</t>
        </is>
      </c>
      <c r="E85" t="inlineStr">
        <is>
          <t>SURAHAMMAR</t>
        </is>
      </c>
      <c r="F85" t="inlineStr">
        <is>
          <t>Kommuner</t>
        </is>
      </c>
      <c r="G85" t="n">
        <v>3.4</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46010</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46010</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46010</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46010</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48205-2023</t>
        </is>
      </c>
      <c r="B90" s="1" t="n">
        <v>45205</v>
      </c>
      <c r="C90" s="1" t="n">
        <v>46010</v>
      </c>
      <c r="D90" t="inlineStr">
        <is>
          <t>VÄSTMANLANDS LÄN</t>
        </is>
      </c>
      <c r="E90" t="inlineStr">
        <is>
          <t>SURAHAMMAR</t>
        </is>
      </c>
      <c r="F90" t="inlineStr">
        <is>
          <t>Allmännings- och besparingsskogar</t>
        </is>
      </c>
      <c r="G90" t="n">
        <v>7.6</v>
      </c>
      <c r="H90" t="n">
        <v>0</v>
      </c>
      <c r="I90" t="n">
        <v>0</v>
      </c>
      <c r="J90" t="n">
        <v>0</v>
      </c>
      <c r="K90" t="n">
        <v>0</v>
      </c>
      <c r="L90" t="n">
        <v>0</v>
      </c>
      <c r="M90" t="n">
        <v>0</v>
      </c>
      <c r="N90" t="n">
        <v>0</v>
      </c>
      <c r="O90" t="n">
        <v>0</v>
      </c>
      <c r="P90" t="n">
        <v>0</v>
      </c>
      <c r="Q90" t="n">
        <v>0</v>
      </c>
      <c r="R90" s="2" t="inlineStr"/>
    </row>
    <row r="91" ht="15" customHeight="1">
      <c r="A91" t="inlineStr">
        <is>
          <t>A 15743-2023</t>
        </is>
      </c>
      <c r="B91" s="1" t="n">
        <v>45021</v>
      </c>
      <c r="C91" s="1" t="n">
        <v>46010</v>
      </c>
      <c r="D91" t="inlineStr">
        <is>
          <t>VÄSTMANLANDS LÄN</t>
        </is>
      </c>
      <c r="E91" t="inlineStr">
        <is>
          <t>SURAHAMMAR</t>
        </is>
      </c>
      <c r="G91" t="n">
        <v>0.5</v>
      </c>
      <c r="H91" t="n">
        <v>0</v>
      </c>
      <c r="I91" t="n">
        <v>0</v>
      </c>
      <c r="J91" t="n">
        <v>0</v>
      </c>
      <c r="K91" t="n">
        <v>0</v>
      </c>
      <c r="L91" t="n">
        <v>0</v>
      </c>
      <c r="M91" t="n">
        <v>0</v>
      </c>
      <c r="N91" t="n">
        <v>0</v>
      </c>
      <c r="O91" t="n">
        <v>0</v>
      </c>
      <c r="P91" t="n">
        <v>0</v>
      </c>
      <c r="Q91" t="n">
        <v>0</v>
      </c>
      <c r="R91" s="2" t="inlineStr"/>
    </row>
    <row r="92" ht="15" customHeight="1">
      <c r="A92" t="inlineStr">
        <is>
          <t>A 30076-2023</t>
        </is>
      </c>
      <c r="B92" s="1" t="n">
        <v>45110</v>
      </c>
      <c r="C92" s="1" t="n">
        <v>46010</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46010</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46010</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46010</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13119-2022</t>
        </is>
      </c>
      <c r="B96" s="1" t="n">
        <v>44643</v>
      </c>
      <c r="C96" s="1" t="n">
        <v>46010</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19786-2023</t>
        </is>
      </c>
      <c r="B97" s="1" t="n">
        <v>45050</v>
      </c>
      <c r="C97" s="1" t="n">
        <v>46010</v>
      </c>
      <c r="D97" t="inlineStr">
        <is>
          <t>VÄSTMANLANDS LÄN</t>
        </is>
      </c>
      <c r="E97" t="inlineStr">
        <is>
          <t>SURAHAMMAR</t>
        </is>
      </c>
      <c r="F97" t="inlineStr">
        <is>
          <t>Bergvik skog väst AB</t>
        </is>
      </c>
      <c r="G97" t="n">
        <v>8.1</v>
      </c>
      <c r="H97" t="n">
        <v>0</v>
      </c>
      <c r="I97" t="n">
        <v>0</v>
      </c>
      <c r="J97" t="n">
        <v>0</v>
      </c>
      <c r="K97" t="n">
        <v>0</v>
      </c>
      <c r="L97" t="n">
        <v>0</v>
      </c>
      <c r="M97" t="n">
        <v>0</v>
      </c>
      <c r="N97" t="n">
        <v>0</v>
      </c>
      <c r="O97" t="n">
        <v>0</v>
      </c>
      <c r="P97" t="n">
        <v>0</v>
      </c>
      <c r="Q97" t="n">
        <v>0</v>
      </c>
      <c r="R97" s="2" t="inlineStr"/>
    </row>
    <row r="98" ht="15" customHeight="1">
      <c r="A98" t="inlineStr">
        <is>
          <t>A 15739-2023</t>
        </is>
      </c>
      <c r="B98" s="1" t="n">
        <v>45021</v>
      </c>
      <c r="C98" s="1" t="n">
        <v>46010</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7787-2024</t>
        </is>
      </c>
      <c r="B99" s="1" t="n">
        <v>45348</v>
      </c>
      <c r="C99" s="1" t="n">
        <v>46010</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38154-2021</t>
        </is>
      </c>
      <c r="B100" s="1" t="n">
        <v>44405.42373842592</v>
      </c>
      <c r="C100" s="1" t="n">
        <v>46010</v>
      </c>
      <c r="D100" t="inlineStr">
        <is>
          <t>VÄSTMANLANDS LÄN</t>
        </is>
      </c>
      <c r="E100" t="inlineStr">
        <is>
          <t>SURAHAMMAR</t>
        </is>
      </c>
      <c r="F100" t="inlineStr">
        <is>
          <t>Sveaskog</t>
        </is>
      </c>
      <c r="G100" t="n">
        <v>1.3</v>
      </c>
      <c r="H100" t="n">
        <v>0</v>
      </c>
      <c r="I100" t="n">
        <v>0</v>
      </c>
      <c r="J100" t="n">
        <v>0</v>
      </c>
      <c r="K100" t="n">
        <v>0</v>
      </c>
      <c r="L100" t="n">
        <v>0</v>
      </c>
      <c r="M100" t="n">
        <v>0</v>
      </c>
      <c r="N100" t="n">
        <v>0</v>
      </c>
      <c r="O100" t="n">
        <v>0</v>
      </c>
      <c r="P100" t="n">
        <v>0</v>
      </c>
      <c r="Q100" t="n">
        <v>0</v>
      </c>
      <c r="R100" s="2" t="inlineStr"/>
    </row>
    <row r="101" ht="15" customHeight="1">
      <c r="A101" t="inlineStr">
        <is>
          <t>A 34582-2025</t>
        </is>
      </c>
      <c r="B101" s="1" t="n">
        <v>45846</v>
      </c>
      <c r="C101" s="1" t="n">
        <v>46010</v>
      </c>
      <c r="D101" t="inlineStr">
        <is>
          <t>VÄSTMANLANDS LÄN</t>
        </is>
      </c>
      <c r="E101" t="inlineStr">
        <is>
          <t>SURAHAMMAR</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46010</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41576-2022</t>
        </is>
      </c>
      <c r="B103" s="1" t="n">
        <v>44826</v>
      </c>
      <c r="C103" s="1" t="n">
        <v>46010</v>
      </c>
      <c r="D103" t="inlineStr">
        <is>
          <t>VÄSTMANLANDS LÄN</t>
        </is>
      </c>
      <c r="E103" t="inlineStr">
        <is>
          <t>SURAHAMMAR</t>
        </is>
      </c>
      <c r="F103" t="inlineStr">
        <is>
          <t>Bergvik skog väst AB</t>
        </is>
      </c>
      <c r="G103" t="n">
        <v>6.4</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46010</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31107-2025</t>
        </is>
      </c>
      <c r="B105" s="1" t="n">
        <v>45831</v>
      </c>
      <c r="C105" s="1" t="n">
        <v>46010</v>
      </c>
      <c r="D105" t="inlineStr">
        <is>
          <t>VÄSTMANLANDS LÄN</t>
        </is>
      </c>
      <c r="E105" t="inlineStr">
        <is>
          <t>SURAHAMMAR</t>
        </is>
      </c>
      <c r="F105" t="inlineStr">
        <is>
          <t>Kommuner</t>
        </is>
      </c>
      <c r="G105" t="n">
        <v>1.7</v>
      </c>
      <c r="H105" t="n">
        <v>0</v>
      </c>
      <c r="I105" t="n">
        <v>0</v>
      </c>
      <c r="J105" t="n">
        <v>0</v>
      </c>
      <c r="K105" t="n">
        <v>0</v>
      </c>
      <c r="L105" t="n">
        <v>0</v>
      </c>
      <c r="M105" t="n">
        <v>0</v>
      </c>
      <c r="N105" t="n">
        <v>0</v>
      </c>
      <c r="O105" t="n">
        <v>0</v>
      </c>
      <c r="P105" t="n">
        <v>0</v>
      </c>
      <c r="Q105" t="n">
        <v>0</v>
      </c>
      <c r="R105" s="2" t="inlineStr"/>
    </row>
    <row r="106" ht="15" customHeight="1">
      <c r="A106" t="inlineStr">
        <is>
          <t>A 43249-2025</t>
        </is>
      </c>
      <c r="B106" s="1" t="n">
        <v>45910.55059027778</v>
      </c>
      <c r="C106" s="1" t="n">
        <v>46010</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43255-2025</t>
        </is>
      </c>
      <c r="B107" s="1" t="n">
        <v>45910.55325231481</v>
      </c>
      <c r="C107" s="1" t="n">
        <v>46010</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46010</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33931-2022</t>
        </is>
      </c>
      <c r="B109" s="1" t="n">
        <v>44790.65153935185</v>
      </c>
      <c r="C109" s="1" t="n">
        <v>46010</v>
      </c>
      <c r="D109" t="inlineStr">
        <is>
          <t>VÄSTMANLANDS LÄN</t>
        </is>
      </c>
      <c r="E109" t="inlineStr">
        <is>
          <t>SURAHAMMAR</t>
        </is>
      </c>
      <c r="G109" t="n">
        <v>2.2</v>
      </c>
      <c r="H109" t="n">
        <v>0</v>
      </c>
      <c r="I109" t="n">
        <v>0</v>
      </c>
      <c r="J109" t="n">
        <v>0</v>
      </c>
      <c r="K109" t="n">
        <v>0</v>
      </c>
      <c r="L109" t="n">
        <v>0</v>
      </c>
      <c r="M109" t="n">
        <v>0</v>
      </c>
      <c r="N109" t="n">
        <v>0</v>
      </c>
      <c r="O109" t="n">
        <v>0</v>
      </c>
      <c r="P109" t="n">
        <v>0</v>
      </c>
      <c r="Q109" t="n">
        <v>0</v>
      </c>
      <c r="R109" s="2" t="inlineStr"/>
    </row>
    <row r="110" ht="15" customHeight="1">
      <c r="A110" t="inlineStr">
        <is>
          <t>A 24158-2023</t>
        </is>
      </c>
      <c r="B110" s="1" t="n">
        <v>45079</v>
      </c>
      <c r="C110" s="1" t="n">
        <v>46010</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46010</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32916-2025</t>
        </is>
      </c>
      <c r="B112" s="1" t="n">
        <v>45839</v>
      </c>
      <c r="C112" s="1" t="n">
        <v>46010</v>
      </c>
      <c r="D112" t="inlineStr">
        <is>
          <t>VÄSTMANLANDS LÄN</t>
        </is>
      </c>
      <c r="E112" t="inlineStr">
        <is>
          <t>SURAHAMMAR</t>
        </is>
      </c>
      <c r="F112" t="inlineStr">
        <is>
          <t>Kommuner</t>
        </is>
      </c>
      <c r="G112" t="n">
        <v>4.9</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46010</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46010</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35682-2022</t>
        </is>
      </c>
      <c r="B115" s="1" t="n">
        <v>44799.60422453703</v>
      </c>
      <c r="C115" s="1" t="n">
        <v>46010</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11728-2023</t>
        </is>
      </c>
      <c r="B116" s="1" t="n">
        <v>44993</v>
      </c>
      <c r="C116" s="1" t="n">
        <v>46010</v>
      </c>
      <c r="D116" t="inlineStr">
        <is>
          <t>VÄSTMANLANDS LÄN</t>
        </is>
      </c>
      <c r="E116" t="inlineStr">
        <is>
          <t>SURAHAMMAR</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46010</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5567-2022</t>
        </is>
      </c>
      <c r="B118" s="1" t="n">
        <v>44595</v>
      </c>
      <c r="C118" s="1" t="n">
        <v>46010</v>
      </c>
      <c r="D118" t="inlineStr">
        <is>
          <t>VÄSTMANLANDS LÄN</t>
        </is>
      </c>
      <c r="E118" t="inlineStr">
        <is>
          <t>SURAHAMMAR</t>
        </is>
      </c>
      <c r="G118" t="n">
        <v>1.3</v>
      </c>
      <c r="H118" t="n">
        <v>0</v>
      </c>
      <c r="I118" t="n">
        <v>0</v>
      </c>
      <c r="J118" t="n">
        <v>0</v>
      </c>
      <c r="K118" t="n">
        <v>0</v>
      </c>
      <c r="L118" t="n">
        <v>0</v>
      </c>
      <c r="M118" t="n">
        <v>0</v>
      </c>
      <c r="N118" t="n">
        <v>0</v>
      </c>
      <c r="O118" t="n">
        <v>0</v>
      </c>
      <c r="P118" t="n">
        <v>0</v>
      </c>
      <c r="Q118" t="n">
        <v>0</v>
      </c>
      <c r="R118" s="2" t="inlineStr"/>
    </row>
    <row r="119" ht="15" customHeight="1">
      <c r="A119" t="inlineStr">
        <is>
          <t>A 42832-2022</t>
        </is>
      </c>
      <c r="B119" s="1" t="n">
        <v>44832</v>
      </c>
      <c r="C119" s="1" t="n">
        <v>46010</v>
      </c>
      <c r="D119" t="inlineStr">
        <is>
          <t>VÄSTMANLANDS LÄN</t>
        </is>
      </c>
      <c r="E119" t="inlineStr">
        <is>
          <t>SURAHAMMAR</t>
        </is>
      </c>
      <c r="G119" t="n">
        <v>1.1</v>
      </c>
      <c r="H119" t="n">
        <v>0</v>
      </c>
      <c r="I119" t="n">
        <v>0</v>
      </c>
      <c r="J119" t="n">
        <v>0</v>
      </c>
      <c r="K119" t="n">
        <v>0</v>
      </c>
      <c r="L119" t="n">
        <v>0</v>
      </c>
      <c r="M119" t="n">
        <v>0</v>
      </c>
      <c r="N119" t="n">
        <v>0</v>
      </c>
      <c r="O119" t="n">
        <v>0</v>
      </c>
      <c r="P119" t="n">
        <v>0</v>
      </c>
      <c r="Q119" t="n">
        <v>0</v>
      </c>
      <c r="R119" s="2" t="inlineStr"/>
    </row>
    <row r="120" ht="15" customHeight="1">
      <c r="A120" t="inlineStr">
        <is>
          <t>A 24665-2023</t>
        </is>
      </c>
      <c r="B120" s="1" t="n">
        <v>45084.48592592592</v>
      </c>
      <c r="C120" s="1" t="n">
        <v>46010</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32808-2024</t>
        </is>
      </c>
      <c r="B121" s="1" t="n">
        <v>45516</v>
      </c>
      <c r="C121" s="1" t="n">
        <v>46010</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37954-2025</t>
        </is>
      </c>
      <c r="B122" s="1" t="n">
        <v>45881</v>
      </c>
      <c r="C122" s="1" t="n">
        <v>46010</v>
      </c>
      <c r="D122" t="inlineStr">
        <is>
          <t>VÄSTMANLANDS LÄN</t>
        </is>
      </c>
      <c r="E122" t="inlineStr">
        <is>
          <t>SURAHAMMAR</t>
        </is>
      </c>
      <c r="G122" t="n">
        <v>9.5</v>
      </c>
      <c r="H122" t="n">
        <v>0</v>
      </c>
      <c r="I122" t="n">
        <v>0</v>
      </c>
      <c r="J122" t="n">
        <v>0</v>
      </c>
      <c r="K122" t="n">
        <v>0</v>
      </c>
      <c r="L122" t="n">
        <v>0</v>
      </c>
      <c r="M122" t="n">
        <v>0</v>
      </c>
      <c r="N122" t="n">
        <v>0</v>
      </c>
      <c r="O122" t="n">
        <v>0</v>
      </c>
      <c r="P122" t="n">
        <v>0</v>
      </c>
      <c r="Q122" t="n">
        <v>0</v>
      </c>
      <c r="R122" s="2" t="inlineStr"/>
    </row>
    <row r="123" ht="15" customHeight="1">
      <c r="A123" t="inlineStr">
        <is>
          <t>A 42841-2022</t>
        </is>
      </c>
      <c r="B123" s="1" t="n">
        <v>44832</v>
      </c>
      <c r="C123" s="1" t="n">
        <v>46010</v>
      </c>
      <c r="D123" t="inlineStr">
        <is>
          <t>VÄSTMANLANDS LÄN</t>
        </is>
      </c>
      <c r="E123" t="inlineStr">
        <is>
          <t>SURAHAMMAR</t>
        </is>
      </c>
      <c r="G123" t="n">
        <v>1.8</v>
      </c>
      <c r="H123" t="n">
        <v>0</v>
      </c>
      <c r="I123" t="n">
        <v>0</v>
      </c>
      <c r="J123" t="n">
        <v>0</v>
      </c>
      <c r="K123" t="n">
        <v>0</v>
      </c>
      <c r="L123" t="n">
        <v>0</v>
      </c>
      <c r="M123" t="n">
        <v>0</v>
      </c>
      <c r="N123" t="n">
        <v>0</v>
      </c>
      <c r="O123" t="n">
        <v>0</v>
      </c>
      <c r="P123" t="n">
        <v>0</v>
      </c>
      <c r="Q123" t="n">
        <v>0</v>
      </c>
      <c r="R123" s="2" t="inlineStr"/>
    </row>
    <row r="124" ht="15" customHeight="1">
      <c r="A124" t="inlineStr">
        <is>
          <t>A 42829-2022</t>
        </is>
      </c>
      <c r="B124" s="1" t="n">
        <v>44832</v>
      </c>
      <c r="C124" s="1" t="n">
        <v>46010</v>
      </c>
      <c r="D124" t="inlineStr">
        <is>
          <t>VÄSTMANLANDS LÄN</t>
        </is>
      </c>
      <c r="E124" t="inlineStr">
        <is>
          <t>SURAHAMMAR</t>
        </is>
      </c>
      <c r="G124" t="n">
        <v>1.6</v>
      </c>
      <c r="H124" t="n">
        <v>0</v>
      </c>
      <c r="I124" t="n">
        <v>0</v>
      </c>
      <c r="J124" t="n">
        <v>0</v>
      </c>
      <c r="K124" t="n">
        <v>0</v>
      </c>
      <c r="L124" t="n">
        <v>0</v>
      </c>
      <c r="M124" t="n">
        <v>0</v>
      </c>
      <c r="N124" t="n">
        <v>0</v>
      </c>
      <c r="O124" t="n">
        <v>0</v>
      </c>
      <c r="P124" t="n">
        <v>0</v>
      </c>
      <c r="Q124" t="n">
        <v>0</v>
      </c>
      <c r="R124" s="2" t="inlineStr"/>
    </row>
    <row r="125" ht="15" customHeight="1">
      <c r="A125" t="inlineStr">
        <is>
          <t>A 55871-2025</t>
        </is>
      </c>
      <c r="B125" s="1" t="n">
        <v>45973.35452546296</v>
      </c>
      <c r="C125" s="1" t="n">
        <v>46010</v>
      </c>
      <c r="D125" t="inlineStr">
        <is>
          <t>VÄSTMANLANDS LÄN</t>
        </is>
      </c>
      <c r="E125" t="inlineStr">
        <is>
          <t>SURAHAMMAR</t>
        </is>
      </c>
      <c r="F125" t="inlineStr">
        <is>
          <t>Sveaskog</t>
        </is>
      </c>
      <c r="G125" t="n">
        <v>1.4</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46010</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46010</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46010</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2867-2024</t>
        </is>
      </c>
      <c r="B129" s="1" t="n">
        <v>45315</v>
      </c>
      <c r="C129" s="1" t="n">
        <v>46010</v>
      </c>
      <c r="D129" t="inlineStr">
        <is>
          <t>VÄSTMANLANDS LÄN</t>
        </is>
      </c>
      <c r="E129" t="inlineStr">
        <is>
          <t>SURAHAMMAR</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56543-2025</t>
        </is>
      </c>
      <c r="B130" s="1" t="n">
        <v>45975</v>
      </c>
      <c r="C130" s="1" t="n">
        <v>46010</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3085-2023</t>
        </is>
      </c>
      <c r="B131" s="1" t="n">
        <v>44946</v>
      </c>
      <c r="C131" s="1" t="n">
        <v>46010</v>
      </c>
      <c r="D131" t="inlineStr">
        <is>
          <t>VÄSTMANLANDS LÄN</t>
        </is>
      </c>
      <c r="E131" t="inlineStr">
        <is>
          <t>SURAHAMMAR</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49058-2024</t>
        </is>
      </c>
      <c r="B132" s="1" t="n">
        <v>45594</v>
      </c>
      <c r="C132" s="1" t="n">
        <v>46010</v>
      </c>
      <c r="D132" t="inlineStr">
        <is>
          <t>VÄSTMANLANDS LÄN</t>
        </is>
      </c>
      <c r="E132" t="inlineStr">
        <is>
          <t>SURAHAMMAR</t>
        </is>
      </c>
      <c r="F132" t="inlineStr">
        <is>
          <t>Sveaskog</t>
        </is>
      </c>
      <c r="G132" t="n">
        <v>11.4</v>
      </c>
      <c r="H132" t="n">
        <v>0</v>
      </c>
      <c r="I132" t="n">
        <v>0</v>
      </c>
      <c r="J132" t="n">
        <v>0</v>
      </c>
      <c r="K132" t="n">
        <v>0</v>
      </c>
      <c r="L132" t="n">
        <v>0</v>
      </c>
      <c r="M132" t="n">
        <v>0</v>
      </c>
      <c r="N132" t="n">
        <v>0</v>
      </c>
      <c r="O132" t="n">
        <v>0</v>
      </c>
      <c r="P132" t="n">
        <v>0</v>
      </c>
      <c r="Q132" t="n">
        <v>0</v>
      </c>
      <c r="R132" s="2" t="inlineStr"/>
    </row>
    <row r="133" ht="15" customHeight="1">
      <c r="A133" t="inlineStr">
        <is>
          <t>A 49060-2024</t>
        </is>
      </c>
      <c r="B133" s="1" t="n">
        <v>45594</v>
      </c>
      <c r="C133" s="1" t="n">
        <v>46010</v>
      </c>
      <c r="D133" t="inlineStr">
        <is>
          <t>VÄSTMANLANDS LÄN</t>
        </is>
      </c>
      <c r="E133" t="inlineStr">
        <is>
          <t>SURAHAMMAR</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34955-2022</t>
        </is>
      </c>
      <c r="B134" s="1" t="n">
        <v>44796</v>
      </c>
      <c r="C134" s="1" t="n">
        <v>46010</v>
      </c>
      <c r="D134" t="inlineStr">
        <is>
          <t>VÄSTMANLANDS LÄN</t>
        </is>
      </c>
      <c r="E134" t="inlineStr">
        <is>
          <t>SURAHAMMAR</t>
        </is>
      </c>
      <c r="F134" t="inlineStr">
        <is>
          <t>Sveaskog</t>
        </is>
      </c>
      <c r="G134" t="n">
        <v>4.6</v>
      </c>
      <c r="H134" t="n">
        <v>0</v>
      </c>
      <c r="I134" t="n">
        <v>0</v>
      </c>
      <c r="J134" t="n">
        <v>0</v>
      </c>
      <c r="K134" t="n">
        <v>0</v>
      </c>
      <c r="L134" t="n">
        <v>0</v>
      </c>
      <c r="M134" t="n">
        <v>0</v>
      </c>
      <c r="N134" t="n">
        <v>0</v>
      </c>
      <c r="O134" t="n">
        <v>0</v>
      </c>
      <c r="P134" t="n">
        <v>0</v>
      </c>
      <c r="Q134" t="n">
        <v>0</v>
      </c>
      <c r="R134" s="2" t="inlineStr"/>
    </row>
    <row r="135" ht="15" customHeight="1">
      <c r="A135" t="inlineStr">
        <is>
          <t>A 20904-2023</t>
        </is>
      </c>
      <c r="B135" s="1" t="n">
        <v>45060</v>
      </c>
      <c r="C135" s="1" t="n">
        <v>46010</v>
      </c>
      <c r="D135" t="inlineStr">
        <is>
          <t>VÄSTMANLANDS LÄN</t>
        </is>
      </c>
      <c r="E135" t="inlineStr">
        <is>
          <t>SURAHAMMAR</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10883-2023</t>
        </is>
      </c>
      <c r="B136" s="1" t="n">
        <v>44991</v>
      </c>
      <c r="C136" s="1" t="n">
        <v>46010</v>
      </c>
      <c r="D136" t="inlineStr">
        <is>
          <t>VÄSTMANLANDS LÄN</t>
        </is>
      </c>
      <c r="E136" t="inlineStr">
        <is>
          <t>SURAHAMMAR</t>
        </is>
      </c>
      <c r="F136" t="inlineStr">
        <is>
          <t>Övriga Aktiebolag</t>
        </is>
      </c>
      <c r="G136" t="n">
        <v>12.5</v>
      </c>
      <c r="H136" t="n">
        <v>0</v>
      </c>
      <c r="I136" t="n">
        <v>0</v>
      </c>
      <c r="J136" t="n">
        <v>0</v>
      </c>
      <c r="K136" t="n">
        <v>0</v>
      </c>
      <c r="L136" t="n">
        <v>0</v>
      </c>
      <c r="M136" t="n">
        <v>0</v>
      </c>
      <c r="N136" t="n">
        <v>0</v>
      </c>
      <c r="O136" t="n">
        <v>0</v>
      </c>
      <c r="P136" t="n">
        <v>0</v>
      </c>
      <c r="Q136" t="n">
        <v>0</v>
      </c>
      <c r="R136" s="2" t="inlineStr"/>
    </row>
    <row r="137" ht="15" customHeight="1">
      <c r="A137" t="inlineStr">
        <is>
          <t>A 2660-2024</t>
        </is>
      </c>
      <c r="B137" s="1" t="n">
        <v>45310</v>
      </c>
      <c r="C137" s="1" t="n">
        <v>46010</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46010</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59399-2025</t>
        </is>
      </c>
      <c r="B139" s="1" t="n">
        <v>45989</v>
      </c>
      <c r="C139" s="1" t="n">
        <v>46010</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14626-2023</t>
        </is>
      </c>
      <c r="B140" s="1" t="n">
        <v>45012</v>
      </c>
      <c r="C140" s="1" t="n">
        <v>46010</v>
      </c>
      <c r="D140" t="inlineStr">
        <is>
          <t>VÄSTMANLANDS LÄN</t>
        </is>
      </c>
      <c r="E140" t="inlineStr">
        <is>
          <t>SURAHAMMAR</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37798-2021</t>
        </is>
      </c>
      <c r="B141" s="1" t="n">
        <v>44402</v>
      </c>
      <c r="C141" s="1" t="n">
        <v>46010</v>
      </c>
      <c r="D141" t="inlineStr">
        <is>
          <t>VÄSTMANLANDS LÄN</t>
        </is>
      </c>
      <c r="E141" t="inlineStr">
        <is>
          <t>SURAHAMMAR</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25450-2024</t>
        </is>
      </c>
      <c r="B142" s="1" t="n">
        <v>45463</v>
      </c>
      <c r="C142" s="1" t="n">
        <v>46010</v>
      </c>
      <c r="D142" t="inlineStr">
        <is>
          <t>VÄSTMANLANDS LÄN</t>
        </is>
      </c>
      <c r="E142" t="inlineStr">
        <is>
          <t>SURAHAMMAR</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19782-2023</t>
        </is>
      </c>
      <c r="B143" s="1" t="n">
        <v>45050</v>
      </c>
      <c r="C143" s="1" t="n">
        <v>46010</v>
      </c>
      <c r="D143" t="inlineStr">
        <is>
          <t>VÄSTMANLANDS LÄN</t>
        </is>
      </c>
      <c r="E143" t="inlineStr">
        <is>
          <t>SURAHAMMAR</t>
        </is>
      </c>
      <c r="F143" t="inlineStr">
        <is>
          <t>Bergvik skog väst AB</t>
        </is>
      </c>
      <c r="G143" t="n">
        <v>5.2</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46010</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24167-2024</t>
        </is>
      </c>
      <c r="B145" s="1" t="n">
        <v>45456</v>
      </c>
      <c r="C145" s="1" t="n">
        <v>46010</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56378-2023</t>
        </is>
      </c>
      <c r="B146" s="1" t="n">
        <v>45236</v>
      </c>
      <c r="C146" s="1" t="n">
        <v>46010</v>
      </c>
      <c r="D146" t="inlineStr">
        <is>
          <t>VÄSTMANLANDS LÄN</t>
        </is>
      </c>
      <c r="E146" t="inlineStr">
        <is>
          <t>SURAHAMMAR</t>
        </is>
      </c>
      <c r="F146" t="inlineStr">
        <is>
          <t>Bergvik skog väst AB</t>
        </is>
      </c>
      <c r="G146" t="n">
        <v>4.6</v>
      </c>
      <c r="H146" t="n">
        <v>0</v>
      </c>
      <c r="I146" t="n">
        <v>0</v>
      </c>
      <c r="J146" t="n">
        <v>0</v>
      </c>
      <c r="K146" t="n">
        <v>0</v>
      </c>
      <c r="L146" t="n">
        <v>0</v>
      </c>
      <c r="M146" t="n">
        <v>0</v>
      </c>
      <c r="N146" t="n">
        <v>0</v>
      </c>
      <c r="O146" t="n">
        <v>0</v>
      </c>
      <c r="P146" t="n">
        <v>0</v>
      </c>
      <c r="Q146" t="n">
        <v>0</v>
      </c>
      <c r="R146" s="2" t="inlineStr"/>
    </row>
    <row r="147" ht="15" customHeight="1">
      <c r="A147" t="inlineStr">
        <is>
          <t>A 19099-2022</t>
        </is>
      </c>
      <c r="B147" s="1" t="n">
        <v>44691</v>
      </c>
      <c r="C147" s="1" t="n">
        <v>46010</v>
      </c>
      <c r="D147" t="inlineStr">
        <is>
          <t>VÄSTMANLANDS LÄN</t>
        </is>
      </c>
      <c r="E147" t="inlineStr">
        <is>
          <t>SURAHAMMAR</t>
        </is>
      </c>
      <c r="F147" t="inlineStr">
        <is>
          <t>Övriga Aktiebolag</t>
        </is>
      </c>
      <c r="G147" t="n">
        <v>3.4</v>
      </c>
      <c r="H147" t="n">
        <v>0</v>
      </c>
      <c r="I147" t="n">
        <v>0</v>
      </c>
      <c r="J147" t="n">
        <v>0</v>
      </c>
      <c r="K147" t="n">
        <v>0</v>
      </c>
      <c r="L147" t="n">
        <v>0</v>
      </c>
      <c r="M147" t="n">
        <v>0</v>
      </c>
      <c r="N147" t="n">
        <v>0</v>
      </c>
      <c r="O147" t="n">
        <v>0</v>
      </c>
      <c r="P147" t="n">
        <v>0</v>
      </c>
      <c r="Q147" t="n">
        <v>0</v>
      </c>
      <c r="R147" s="2" t="inlineStr"/>
    </row>
    <row r="148" ht="15" customHeight="1">
      <c r="A148" t="inlineStr">
        <is>
          <t>A 11501-2023</t>
        </is>
      </c>
      <c r="B148" s="1" t="n">
        <v>44991</v>
      </c>
      <c r="C148" s="1" t="n">
        <v>46010</v>
      </c>
      <c r="D148" t="inlineStr">
        <is>
          <t>VÄSTMANLANDS LÄN</t>
        </is>
      </c>
      <c r="E148" t="inlineStr">
        <is>
          <t>SURAHAMMAR</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3818-2022</t>
        </is>
      </c>
      <c r="B149" s="1" t="n">
        <v>44587</v>
      </c>
      <c r="C149" s="1" t="n">
        <v>46010</v>
      </c>
      <c r="D149" t="inlineStr">
        <is>
          <t>VÄSTMANLANDS LÄN</t>
        </is>
      </c>
      <c r="E149" t="inlineStr">
        <is>
          <t>SURAHAMMAR</t>
        </is>
      </c>
      <c r="G149" t="n">
        <v>2.6</v>
      </c>
      <c r="H149" t="n">
        <v>0</v>
      </c>
      <c r="I149" t="n">
        <v>0</v>
      </c>
      <c r="J149" t="n">
        <v>0</v>
      </c>
      <c r="K149" t="n">
        <v>0</v>
      </c>
      <c r="L149" t="n">
        <v>0</v>
      </c>
      <c r="M149" t="n">
        <v>0</v>
      </c>
      <c r="N149" t="n">
        <v>0</v>
      </c>
      <c r="O149" t="n">
        <v>0</v>
      </c>
      <c r="P149" t="n">
        <v>0</v>
      </c>
      <c r="Q149" t="n">
        <v>0</v>
      </c>
      <c r="R149" s="2" t="inlineStr"/>
    </row>
    <row r="150" ht="15" customHeight="1">
      <c r="A150" t="inlineStr">
        <is>
          <t>A 21509-2024</t>
        </is>
      </c>
      <c r="B150" s="1" t="n">
        <v>45441</v>
      </c>
      <c r="C150" s="1" t="n">
        <v>46010</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22662-2023</t>
        </is>
      </c>
      <c r="B151" s="1" t="n">
        <v>45071</v>
      </c>
      <c r="C151" s="1" t="n">
        <v>46010</v>
      </c>
      <c r="D151" t="inlineStr">
        <is>
          <t>VÄSTMANLANDS LÄN</t>
        </is>
      </c>
      <c r="E151" t="inlineStr">
        <is>
          <t>SURAHAMMAR</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16013-2023</t>
        </is>
      </c>
      <c r="B152" s="1" t="n">
        <v>45026</v>
      </c>
      <c r="C152" s="1" t="n">
        <v>46010</v>
      </c>
      <c r="D152" t="inlineStr">
        <is>
          <t>VÄSTMANLANDS LÄN</t>
        </is>
      </c>
      <c r="E152" t="inlineStr">
        <is>
          <t>SURAHAMMAR</t>
        </is>
      </c>
      <c r="G152" t="n">
        <v>3.9</v>
      </c>
      <c r="H152" t="n">
        <v>0</v>
      </c>
      <c r="I152" t="n">
        <v>0</v>
      </c>
      <c r="J152" t="n">
        <v>0</v>
      </c>
      <c r="K152" t="n">
        <v>0</v>
      </c>
      <c r="L152" t="n">
        <v>0</v>
      </c>
      <c r="M152" t="n">
        <v>0</v>
      </c>
      <c r="N152" t="n">
        <v>0</v>
      </c>
      <c r="O152" t="n">
        <v>0</v>
      </c>
      <c r="P152" t="n">
        <v>0</v>
      </c>
      <c r="Q152" t="n">
        <v>0</v>
      </c>
      <c r="R152" s="2" t="inlineStr"/>
    </row>
    <row r="153" ht="15" customHeight="1">
      <c r="A153" t="inlineStr">
        <is>
          <t>A 41555-2022</t>
        </is>
      </c>
      <c r="B153" s="1" t="n">
        <v>44826</v>
      </c>
      <c r="C153" s="1" t="n">
        <v>46010</v>
      </c>
      <c r="D153" t="inlineStr">
        <is>
          <t>VÄSTMANLANDS LÄN</t>
        </is>
      </c>
      <c r="E153" t="inlineStr">
        <is>
          <t>SURAHAMMAR</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46010</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46010</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c r="A156" t="inlineStr">
        <is>
          <t>A 47785-2021</t>
        </is>
      </c>
      <c r="B156" s="1" t="n">
        <v>44448</v>
      </c>
      <c r="C156" s="1" t="n">
        <v>46010</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2025-12-19T10:35:42Z</dcterms:created>
  <dcterms:modified xmlns:dcterms="http://purl.org/dc/terms/" xmlns:xsi="http://www.w3.org/2001/XMLSchema-instance" xsi:type="dcterms:W3CDTF">2025-12-19T10:35:42Z</dcterms:modified>
</cp:coreProperties>
</file>