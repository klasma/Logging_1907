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45895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45895</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45895</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45895</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45895</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45895</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45895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45895</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45895</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45895</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45895</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45895</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45895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45895</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45895</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45895</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45895</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45895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45895</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45895</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45895</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45895</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45895</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45895</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42708-2022</t>
        </is>
      </c>
      <c r="B30" s="1" t="n">
        <v>44832</v>
      </c>
      <c r="C30" s="1" t="n">
        <v>45895</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48128-2023</t>
        </is>
      </c>
      <c r="B31" s="1" t="n">
        <v>45205</v>
      </c>
      <c r="C31" s="1" t="n">
        <v>45895</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29707-2025</t>
        </is>
      </c>
      <c r="B32" s="1" t="n">
        <v>45825.56100694444</v>
      </c>
      <c r="C32" s="1" t="n">
        <v>45895</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45895</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45895</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45895</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45895</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45895</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45895</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45895</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45895</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45895</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45895</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45895</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45895</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25583-2024</t>
        </is>
      </c>
      <c r="B45" s="1" t="n">
        <v>45463</v>
      </c>
      <c r="C45" s="1" t="n">
        <v>45895</v>
      </c>
      <c r="D45" t="inlineStr">
        <is>
          <t>VÄSTMANLANDS LÄN</t>
        </is>
      </c>
      <c r="E45" t="inlineStr">
        <is>
          <t>SURAHAMMAR</t>
        </is>
      </c>
      <c r="F45" t="inlineStr">
        <is>
          <t>Bergvik skog väst AB</t>
        </is>
      </c>
      <c r="G45" t="n">
        <v>7.8</v>
      </c>
      <c r="H45" t="n">
        <v>1</v>
      </c>
      <c r="I45" t="n">
        <v>0</v>
      </c>
      <c r="J45" t="n">
        <v>0</v>
      </c>
      <c r="K45" t="n">
        <v>0</v>
      </c>
      <c r="L45" t="n">
        <v>0</v>
      </c>
      <c r="M45" t="n">
        <v>0</v>
      </c>
      <c r="N45" t="n">
        <v>0</v>
      </c>
      <c r="O45" t="n">
        <v>0</v>
      </c>
      <c r="P45" t="n">
        <v>0</v>
      </c>
      <c r="Q45" t="n">
        <v>1</v>
      </c>
      <c r="R45" s="2" t="inlineStr">
        <is>
          <t>Blåsippa</t>
        </is>
      </c>
      <c r="S45">
        <f>HYPERLINK("https://klasma.github.io/Logging_1907/artfynd/A 25583-2024 artfynd.xlsx", "A 25583-2024")</f>
        <v/>
      </c>
      <c r="T45">
        <f>HYPERLINK("https://klasma.github.io/Logging_1907/kartor/A 25583-2024 karta.png", "A 25583-2024")</f>
        <v/>
      </c>
      <c r="V45">
        <f>HYPERLINK("https://klasma.github.io/Logging_1907/klagomål/A 25583-2024 FSC-klagomål.docx", "A 25583-2024")</f>
        <v/>
      </c>
      <c r="W45">
        <f>HYPERLINK("https://klasma.github.io/Logging_1907/klagomålsmail/A 25583-2024 FSC-klagomål mail.docx", "A 25583-2024")</f>
        <v/>
      </c>
      <c r="X45">
        <f>HYPERLINK("https://klasma.github.io/Logging_1907/tillsyn/A 25583-2024 tillsynsbegäran.docx", "A 25583-2024")</f>
        <v/>
      </c>
      <c r="Y45">
        <f>HYPERLINK("https://klasma.github.io/Logging_1907/tillsynsmail/A 25583-2024 tillsynsbegäran mail.docx", "A 25583-2024")</f>
        <v/>
      </c>
    </row>
    <row r="46" ht="15" customHeight="1">
      <c r="A46" t="inlineStr">
        <is>
          <t>A 21716-2025</t>
        </is>
      </c>
      <c r="B46" s="1" t="n">
        <v>45783.54804398148</v>
      </c>
      <c r="C46" s="1" t="n">
        <v>45895</v>
      </c>
      <c r="D46" t="inlineStr">
        <is>
          <t>VÄSTMANLANDS LÄN</t>
        </is>
      </c>
      <c r="E46" t="inlineStr">
        <is>
          <t>SURAHAMMAR</t>
        </is>
      </c>
      <c r="F46" t="inlineStr">
        <is>
          <t>Allmännings- och besparingsskogar</t>
        </is>
      </c>
      <c r="G46" t="n">
        <v>21.1</v>
      </c>
      <c r="H46" t="n">
        <v>1</v>
      </c>
      <c r="I46" t="n">
        <v>0</v>
      </c>
      <c r="J46" t="n">
        <v>1</v>
      </c>
      <c r="K46" t="n">
        <v>0</v>
      </c>
      <c r="L46" t="n">
        <v>0</v>
      </c>
      <c r="M46" t="n">
        <v>0</v>
      </c>
      <c r="N46" t="n">
        <v>0</v>
      </c>
      <c r="O46" t="n">
        <v>1</v>
      </c>
      <c r="P46" t="n">
        <v>0</v>
      </c>
      <c r="Q46" t="n">
        <v>1</v>
      </c>
      <c r="R46" s="2" t="inlineStr">
        <is>
          <t>Spillkråka</t>
        </is>
      </c>
      <c r="S46">
        <f>HYPERLINK("https://klasma.github.io/Logging_1907/artfynd/A 21716-2025 artfynd.xlsx", "A 21716-2025")</f>
        <v/>
      </c>
      <c r="T46">
        <f>HYPERLINK("https://klasma.github.io/Logging_1907/kartor/A 21716-2025 karta.png", "A 21716-2025")</f>
        <v/>
      </c>
      <c r="V46">
        <f>HYPERLINK("https://klasma.github.io/Logging_1907/klagomål/A 21716-2025 FSC-klagomål.docx", "A 21716-2025")</f>
        <v/>
      </c>
      <c r="W46">
        <f>HYPERLINK("https://klasma.github.io/Logging_1907/klagomålsmail/A 21716-2025 FSC-klagomål mail.docx", "A 21716-2025")</f>
        <v/>
      </c>
      <c r="X46">
        <f>HYPERLINK("https://klasma.github.io/Logging_1907/tillsyn/A 21716-2025 tillsynsbegäran.docx", "A 21716-2025")</f>
        <v/>
      </c>
      <c r="Y46">
        <f>HYPERLINK("https://klasma.github.io/Logging_1907/tillsynsmail/A 21716-2025 tillsynsbegäran mail.docx", "A 21716-2025")</f>
        <v/>
      </c>
      <c r="Z46">
        <f>HYPERLINK("https://klasma.github.io/Logging_1907/fåglar/A 21716-2025 prioriterade fågelarter.docx", "A 21716-2025")</f>
        <v/>
      </c>
    </row>
    <row r="47" ht="15" customHeight="1">
      <c r="A47" t="inlineStr">
        <is>
          <t>A 39099-2022</t>
        </is>
      </c>
      <c r="B47" s="1" t="n">
        <v>44817</v>
      </c>
      <c r="C47" s="1" t="n">
        <v>45895</v>
      </c>
      <c r="D47" t="inlineStr">
        <is>
          <t>VÄSTMANLANDS LÄN</t>
        </is>
      </c>
      <c r="E47" t="inlineStr">
        <is>
          <t>SURAHAMMAR</t>
        </is>
      </c>
      <c r="F47" t="inlineStr">
        <is>
          <t>Bergvik skog väst AB</t>
        </is>
      </c>
      <c r="G47" t="n">
        <v>7.4</v>
      </c>
      <c r="H47" t="n">
        <v>0</v>
      </c>
      <c r="I47" t="n">
        <v>1</v>
      </c>
      <c r="J47" t="n">
        <v>0</v>
      </c>
      <c r="K47" t="n">
        <v>0</v>
      </c>
      <c r="L47" t="n">
        <v>0</v>
      </c>
      <c r="M47" t="n">
        <v>0</v>
      </c>
      <c r="N47" t="n">
        <v>0</v>
      </c>
      <c r="O47" t="n">
        <v>0</v>
      </c>
      <c r="P47" t="n">
        <v>0</v>
      </c>
      <c r="Q47" t="n">
        <v>1</v>
      </c>
      <c r="R47" s="2" t="inlineStr">
        <is>
          <t>Stekelbock</t>
        </is>
      </c>
      <c r="S47">
        <f>HYPERLINK("https://klasma.github.io/Logging_1907/artfynd/A 39099-2022 artfynd.xlsx", "A 39099-2022")</f>
        <v/>
      </c>
      <c r="T47">
        <f>HYPERLINK("https://klasma.github.io/Logging_1907/kartor/A 39099-2022 karta.png", "A 39099-2022")</f>
        <v/>
      </c>
      <c r="V47">
        <f>HYPERLINK("https://klasma.github.io/Logging_1907/klagomål/A 39099-2022 FSC-klagomål.docx", "A 39099-2022")</f>
        <v/>
      </c>
      <c r="W47">
        <f>HYPERLINK("https://klasma.github.io/Logging_1907/klagomålsmail/A 39099-2022 FSC-klagomål mail.docx", "A 39099-2022")</f>
        <v/>
      </c>
      <c r="X47">
        <f>HYPERLINK("https://klasma.github.io/Logging_1907/tillsyn/A 39099-2022 tillsynsbegäran.docx", "A 39099-2022")</f>
        <v/>
      </c>
      <c r="Y47">
        <f>HYPERLINK("https://klasma.github.io/Logging_1907/tillsynsmail/A 39099-2022 tillsynsbegäran mail.docx", "A 39099-2022")</f>
        <v/>
      </c>
    </row>
    <row r="48" ht="15" customHeight="1">
      <c r="A48" t="inlineStr">
        <is>
          <t>A 13971-2023</t>
        </is>
      </c>
      <c r="B48" s="1" t="n">
        <v>45007</v>
      </c>
      <c r="C48" s="1" t="n">
        <v>45895</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45895</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45895</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69777-2021</t>
        </is>
      </c>
      <c r="B51" s="1" t="n">
        <v>44532</v>
      </c>
      <c r="C51" s="1" t="n">
        <v>45895</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14001-2023</t>
        </is>
      </c>
      <c r="B52" s="1" t="n">
        <v>45007</v>
      </c>
      <c r="C52" s="1" t="n">
        <v>45895</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13788-2025</t>
        </is>
      </c>
      <c r="B53" s="1" t="n">
        <v>45737.45327546296</v>
      </c>
      <c r="C53" s="1" t="n">
        <v>45895</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47453-2024</t>
        </is>
      </c>
      <c r="B54" s="1" t="n">
        <v>45587.55017361111</v>
      </c>
      <c r="C54" s="1" t="n">
        <v>45895</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45895</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45895</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45895</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22840-2023</t>
        </is>
      </c>
      <c r="B58" s="1" t="n">
        <v>45072</v>
      </c>
      <c r="C58" s="1" t="n">
        <v>45895</v>
      </c>
      <c r="D58" t="inlineStr">
        <is>
          <t>VÄSTMANLANDS LÄN</t>
        </is>
      </c>
      <c r="E58" t="inlineStr">
        <is>
          <t>SURAHAMMAR</t>
        </is>
      </c>
      <c r="G58" t="n">
        <v>4.3</v>
      </c>
      <c r="H58" t="n">
        <v>1</v>
      </c>
      <c r="I58" t="n">
        <v>0</v>
      </c>
      <c r="J58" t="n">
        <v>0</v>
      </c>
      <c r="K58" t="n">
        <v>0</v>
      </c>
      <c r="L58" t="n">
        <v>0</v>
      </c>
      <c r="M58" t="n">
        <v>0</v>
      </c>
      <c r="N58" t="n">
        <v>0</v>
      </c>
      <c r="O58" t="n">
        <v>0</v>
      </c>
      <c r="P58" t="n">
        <v>0</v>
      </c>
      <c r="Q58" t="n">
        <v>1</v>
      </c>
      <c r="R58" s="2" t="inlineStr">
        <is>
          <t>Fläcknycklar</t>
        </is>
      </c>
      <c r="S58">
        <f>HYPERLINK("https://klasma.github.io/Logging_1907/artfynd/A 22840-2023 artfynd.xlsx", "A 22840-2023")</f>
        <v/>
      </c>
      <c r="T58">
        <f>HYPERLINK("https://klasma.github.io/Logging_1907/kartor/A 22840-2023 karta.png", "A 22840-2023")</f>
        <v/>
      </c>
      <c r="V58">
        <f>HYPERLINK("https://klasma.github.io/Logging_1907/klagomål/A 22840-2023 FSC-klagomål.docx", "A 22840-2023")</f>
        <v/>
      </c>
      <c r="W58">
        <f>HYPERLINK("https://klasma.github.io/Logging_1907/klagomålsmail/A 22840-2023 FSC-klagomål mail.docx", "A 22840-2023")</f>
        <v/>
      </c>
      <c r="X58">
        <f>HYPERLINK("https://klasma.github.io/Logging_1907/tillsyn/A 22840-2023 tillsynsbegäran.docx", "A 22840-2023")</f>
        <v/>
      </c>
      <c r="Y58">
        <f>HYPERLINK("https://klasma.github.io/Logging_1907/tillsynsmail/A 22840-2023 tillsynsbegäran mail.docx", "A 22840-2023")</f>
        <v/>
      </c>
    </row>
    <row r="59" ht="15" customHeight="1">
      <c r="A59" t="inlineStr">
        <is>
          <t>A 40411-2021</t>
        </is>
      </c>
      <c r="B59" s="1" t="n">
        <v>44419</v>
      </c>
      <c r="C59" s="1" t="n">
        <v>45895</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45895</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45895</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45895</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43451-2024</t>
        </is>
      </c>
      <c r="B63" s="1" t="n">
        <v>45568</v>
      </c>
      <c r="C63" s="1" t="n">
        <v>45895</v>
      </c>
      <c r="D63" t="inlineStr">
        <is>
          <t>VÄSTMANLANDS LÄN</t>
        </is>
      </c>
      <c r="E63" t="inlineStr">
        <is>
          <t>SURAHAMMAR</t>
        </is>
      </c>
      <c r="F63" t="inlineStr">
        <is>
          <t>Bergvik skog väst AB</t>
        </is>
      </c>
      <c r="G63" t="n">
        <v>2.9</v>
      </c>
      <c r="H63" t="n">
        <v>0</v>
      </c>
      <c r="I63" t="n">
        <v>0</v>
      </c>
      <c r="J63" t="n">
        <v>1</v>
      </c>
      <c r="K63" t="n">
        <v>0</v>
      </c>
      <c r="L63" t="n">
        <v>0</v>
      </c>
      <c r="M63" t="n">
        <v>0</v>
      </c>
      <c r="N63" t="n">
        <v>0</v>
      </c>
      <c r="O63" t="n">
        <v>1</v>
      </c>
      <c r="P63" t="n">
        <v>0</v>
      </c>
      <c r="Q63" t="n">
        <v>1</v>
      </c>
      <c r="R63" s="2" t="inlineStr">
        <is>
          <t>Ullticka</t>
        </is>
      </c>
      <c r="S63">
        <f>HYPERLINK("https://klasma.github.io/Logging_1907/artfynd/A 43451-2024 artfynd.xlsx", "A 43451-2024")</f>
        <v/>
      </c>
      <c r="T63">
        <f>HYPERLINK("https://klasma.github.io/Logging_1907/kartor/A 43451-2024 karta.png", "A 43451-2024")</f>
        <v/>
      </c>
      <c r="V63">
        <f>HYPERLINK("https://klasma.github.io/Logging_1907/klagomål/A 43451-2024 FSC-klagomål.docx", "A 43451-2024")</f>
        <v/>
      </c>
      <c r="W63">
        <f>HYPERLINK("https://klasma.github.io/Logging_1907/klagomålsmail/A 43451-2024 FSC-klagomål mail.docx", "A 43451-2024")</f>
        <v/>
      </c>
      <c r="X63">
        <f>HYPERLINK("https://klasma.github.io/Logging_1907/tillsyn/A 43451-2024 tillsynsbegäran.docx", "A 43451-2024")</f>
        <v/>
      </c>
      <c r="Y63">
        <f>HYPERLINK("https://klasma.github.io/Logging_1907/tillsynsmail/A 43451-2024 tillsynsbegäran mail.docx", "A 43451-2024")</f>
        <v/>
      </c>
    </row>
    <row r="64" ht="15" customHeight="1">
      <c r="A64" t="inlineStr">
        <is>
          <t>A 43177-2020</t>
        </is>
      </c>
      <c r="B64" s="1" t="n">
        <v>44081</v>
      </c>
      <c r="C64" s="1" t="n">
        <v>45895</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1492-2021</t>
        </is>
      </c>
      <c r="B65" s="1" t="n">
        <v>44209</v>
      </c>
      <c r="C65" s="1" t="n">
        <v>45895</v>
      </c>
      <c r="D65" t="inlineStr">
        <is>
          <t>VÄSTMANLANDS LÄN</t>
        </is>
      </c>
      <c r="E65" t="inlineStr">
        <is>
          <t>SURAHAMMAR</t>
        </is>
      </c>
      <c r="G65" t="n">
        <v>1.2</v>
      </c>
      <c r="H65" t="n">
        <v>0</v>
      </c>
      <c r="I65" t="n">
        <v>0</v>
      </c>
      <c r="J65" t="n">
        <v>0</v>
      </c>
      <c r="K65" t="n">
        <v>0</v>
      </c>
      <c r="L65" t="n">
        <v>0</v>
      </c>
      <c r="M65" t="n">
        <v>0</v>
      </c>
      <c r="N65" t="n">
        <v>0</v>
      </c>
      <c r="O65" t="n">
        <v>0</v>
      </c>
      <c r="P65" t="n">
        <v>0</v>
      </c>
      <c r="Q65" t="n">
        <v>0</v>
      </c>
      <c r="R65" s="2" t="inlineStr"/>
    </row>
    <row r="66" ht="15" customHeight="1">
      <c r="A66" t="inlineStr">
        <is>
          <t>A 64073-2021</t>
        </is>
      </c>
      <c r="B66" s="1" t="n">
        <v>44509</v>
      </c>
      <c r="C66" s="1" t="n">
        <v>45895</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45895</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19844-2022</t>
        </is>
      </c>
      <c r="B68" s="1" t="n">
        <v>44696.88001157407</v>
      </c>
      <c r="C68" s="1" t="n">
        <v>45895</v>
      </c>
      <c r="D68" t="inlineStr">
        <is>
          <t>VÄSTMANLANDS LÄN</t>
        </is>
      </c>
      <c r="E68" t="inlineStr">
        <is>
          <t>SURAHAMMAR</t>
        </is>
      </c>
      <c r="F68" t="inlineStr">
        <is>
          <t>Kommuner</t>
        </is>
      </c>
      <c r="G68" t="n">
        <v>2.1</v>
      </c>
      <c r="H68" t="n">
        <v>0</v>
      </c>
      <c r="I68" t="n">
        <v>0</v>
      </c>
      <c r="J68" t="n">
        <v>0</v>
      </c>
      <c r="K68" t="n">
        <v>0</v>
      </c>
      <c r="L68" t="n">
        <v>0</v>
      </c>
      <c r="M68" t="n">
        <v>0</v>
      </c>
      <c r="N68" t="n">
        <v>0</v>
      </c>
      <c r="O68" t="n">
        <v>0</v>
      </c>
      <c r="P68" t="n">
        <v>0</v>
      </c>
      <c r="Q68" t="n">
        <v>0</v>
      </c>
      <c r="R68" s="2" t="inlineStr"/>
    </row>
    <row r="69" ht="15" customHeight="1">
      <c r="A69" t="inlineStr">
        <is>
          <t>A 40660-2020</t>
        </is>
      </c>
      <c r="B69" s="1" t="n">
        <v>44069</v>
      </c>
      <c r="C69" s="1" t="n">
        <v>45895</v>
      </c>
      <c r="D69" t="inlineStr">
        <is>
          <t>VÄSTMANLANDS LÄN</t>
        </is>
      </c>
      <c r="E69" t="inlineStr">
        <is>
          <t>SURAHAMMAR</t>
        </is>
      </c>
      <c r="F69" t="inlineStr">
        <is>
          <t>Övriga Aktiebolag</t>
        </is>
      </c>
      <c r="G69" t="n">
        <v>1.9</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45895</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45895</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45895</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45895</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45895</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45895</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45895</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45895</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45895</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45895</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45895</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45895</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45895</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45895</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45895</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43590-2020</t>
        </is>
      </c>
      <c r="B85" s="1" t="n">
        <v>44082</v>
      </c>
      <c r="C85" s="1" t="n">
        <v>45895</v>
      </c>
      <c r="D85" t="inlineStr">
        <is>
          <t>VÄSTMANLANDS LÄN</t>
        </is>
      </c>
      <c r="E85" t="inlineStr">
        <is>
          <t>SURAHAMMAR</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45895</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45895</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45895</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45895</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45895</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7787-2024</t>
        </is>
      </c>
      <c r="B91" s="1" t="n">
        <v>45348</v>
      </c>
      <c r="C91" s="1" t="n">
        <v>45895</v>
      </c>
      <c r="D91" t="inlineStr">
        <is>
          <t>VÄSTMANLANDS LÄN</t>
        </is>
      </c>
      <c r="E91" t="inlineStr">
        <is>
          <t>SURAHAMMAR</t>
        </is>
      </c>
      <c r="G91" t="n">
        <v>1</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45895</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45895</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45895</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45895</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47785-2021</t>
        </is>
      </c>
      <c r="B96" s="1" t="n">
        <v>44448</v>
      </c>
      <c r="C96" s="1" t="n">
        <v>45895</v>
      </c>
      <c r="D96" t="inlineStr">
        <is>
          <t>VÄSTMANLANDS LÄN</t>
        </is>
      </c>
      <c r="E96" t="inlineStr">
        <is>
          <t>SURAHAMMAR</t>
        </is>
      </c>
      <c r="F96" t="inlineStr">
        <is>
          <t>Kommuner</t>
        </is>
      </c>
      <c r="G96" t="n">
        <v>3.3</v>
      </c>
      <c r="H96" t="n">
        <v>0</v>
      </c>
      <c r="I96" t="n">
        <v>0</v>
      </c>
      <c r="J96" t="n">
        <v>0</v>
      </c>
      <c r="K96" t="n">
        <v>0</v>
      </c>
      <c r="L96" t="n">
        <v>0</v>
      </c>
      <c r="M96" t="n">
        <v>0</v>
      </c>
      <c r="N96" t="n">
        <v>0</v>
      </c>
      <c r="O96" t="n">
        <v>0</v>
      </c>
      <c r="P96" t="n">
        <v>0</v>
      </c>
      <c r="Q96" t="n">
        <v>0</v>
      </c>
      <c r="R96" s="2" t="inlineStr"/>
    </row>
    <row r="97" ht="15" customHeight="1">
      <c r="A97" t="inlineStr">
        <is>
          <t>A 25417-2024</t>
        </is>
      </c>
      <c r="B97" s="1" t="n">
        <v>45463</v>
      </c>
      <c r="C97" s="1" t="n">
        <v>45895</v>
      </c>
      <c r="D97" t="inlineStr">
        <is>
          <t>VÄSTMANLANDS LÄN</t>
        </is>
      </c>
      <c r="E97" t="inlineStr">
        <is>
          <t>SURAHAMMAR</t>
        </is>
      </c>
      <c r="F97" t="inlineStr">
        <is>
          <t>Sveaskog</t>
        </is>
      </c>
      <c r="G97" t="n">
        <v>3.4</v>
      </c>
      <c r="H97" t="n">
        <v>0</v>
      </c>
      <c r="I97" t="n">
        <v>0</v>
      </c>
      <c r="J97" t="n">
        <v>0</v>
      </c>
      <c r="K97" t="n">
        <v>0</v>
      </c>
      <c r="L97" t="n">
        <v>0</v>
      </c>
      <c r="M97" t="n">
        <v>0</v>
      </c>
      <c r="N97" t="n">
        <v>0</v>
      </c>
      <c r="O97" t="n">
        <v>0</v>
      </c>
      <c r="P97" t="n">
        <v>0</v>
      </c>
      <c r="Q97" t="n">
        <v>0</v>
      </c>
      <c r="R97" s="2" t="inlineStr"/>
    </row>
    <row r="98" ht="15" customHeight="1">
      <c r="A98" t="inlineStr">
        <is>
          <t>A 25450-2024</t>
        </is>
      </c>
      <c r="B98" s="1" t="n">
        <v>45463</v>
      </c>
      <c r="C98" s="1" t="n">
        <v>45895</v>
      </c>
      <c r="D98" t="inlineStr">
        <is>
          <t>VÄSTMANLANDS LÄN</t>
        </is>
      </c>
      <c r="E98" t="inlineStr">
        <is>
          <t>SURAHAMMAR</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10883-2023</t>
        </is>
      </c>
      <c r="B99" s="1" t="n">
        <v>44991</v>
      </c>
      <c r="C99" s="1" t="n">
        <v>45895</v>
      </c>
      <c r="D99" t="inlineStr">
        <is>
          <t>VÄSTMANLANDS LÄN</t>
        </is>
      </c>
      <c r="E99" t="inlineStr">
        <is>
          <t>SURAHAMMAR</t>
        </is>
      </c>
      <c r="F99" t="inlineStr">
        <is>
          <t>Övriga Aktiebolag</t>
        </is>
      </c>
      <c r="G99" t="n">
        <v>12.5</v>
      </c>
      <c r="H99" t="n">
        <v>0</v>
      </c>
      <c r="I99" t="n">
        <v>0</v>
      </c>
      <c r="J99" t="n">
        <v>0</v>
      </c>
      <c r="K99" t="n">
        <v>0</v>
      </c>
      <c r="L99" t="n">
        <v>0</v>
      </c>
      <c r="M99" t="n">
        <v>0</v>
      </c>
      <c r="N99" t="n">
        <v>0</v>
      </c>
      <c r="O99" t="n">
        <v>0</v>
      </c>
      <c r="P99" t="n">
        <v>0</v>
      </c>
      <c r="Q99" t="n">
        <v>0</v>
      </c>
      <c r="R99" s="2" t="inlineStr"/>
    </row>
    <row r="100" ht="15" customHeight="1">
      <c r="A100" t="inlineStr">
        <is>
          <t>A 24665-2023</t>
        </is>
      </c>
      <c r="B100" s="1" t="n">
        <v>45084.48592592592</v>
      </c>
      <c r="C100" s="1" t="n">
        <v>45895</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24167-2024</t>
        </is>
      </c>
      <c r="B101" s="1" t="n">
        <v>45456</v>
      </c>
      <c r="C101" s="1" t="n">
        <v>45895</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44358-2024</t>
        </is>
      </c>
      <c r="B102" s="1" t="n">
        <v>45573</v>
      </c>
      <c r="C102" s="1" t="n">
        <v>45895</v>
      </c>
      <c r="D102" t="inlineStr">
        <is>
          <t>VÄSTMANLANDS LÄN</t>
        </is>
      </c>
      <c r="E102" t="inlineStr">
        <is>
          <t>SURAHAMMAR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44359-2024</t>
        </is>
      </c>
      <c r="B103" s="1" t="n">
        <v>45573</v>
      </c>
      <c r="C103" s="1" t="n">
        <v>45895</v>
      </c>
      <c r="D103" t="inlineStr">
        <is>
          <t>VÄSTMANLANDS LÄN</t>
        </is>
      </c>
      <c r="E103" t="inlineStr">
        <is>
          <t>SURAHAMMAR</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72367-2021</t>
        </is>
      </c>
      <c r="B104" s="1" t="n">
        <v>44545</v>
      </c>
      <c r="C104" s="1" t="n">
        <v>45895</v>
      </c>
      <c r="D104" t="inlineStr">
        <is>
          <t>VÄSTMANLANDS LÄN</t>
        </is>
      </c>
      <c r="E104" t="inlineStr">
        <is>
          <t>SURAHAMMAR</t>
        </is>
      </c>
      <c r="G104" t="n">
        <v>2.5</v>
      </c>
      <c r="H104" t="n">
        <v>0</v>
      </c>
      <c r="I104" t="n">
        <v>0</v>
      </c>
      <c r="J104" t="n">
        <v>0</v>
      </c>
      <c r="K104" t="n">
        <v>0</v>
      </c>
      <c r="L104" t="n">
        <v>0</v>
      </c>
      <c r="M104" t="n">
        <v>0</v>
      </c>
      <c r="N104" t="n">
        <v>0</v>
      </c>
      <c r="O104" t="n">
        <v>0</v>
      </c>
      <c r="P104" t="n">
        <v>0</v>
      </c>
      <c r="Q104" t="n">
        <v>0</v>
      </c>
      <c r="R104" s="2" t="inlineStr"/>
    </row>
    <row r="105" ht="15" customHeight="1">
      <c r="A105" t="inlineStr">
        <is>
          <t>A 42714-2022</t>
        </is>
      </c>
      <c r="B105" s="1" t="n">
        <v>44832</v>
      </c>
      <c r="C105" s="1" t="n">
        <v>45895</v>
      </c>
      <c r="D105" t="inlineStr">
        <is>
          <t>VÄSTMANLANDS LÄN</t>
        </is>
      </c>
      <c r="E105" t="inlineStr">
        <is>
          <t>SURAHAMMAR</t>
        </is>
      </c>
      <c r="G105" t="n">
        <v>1.1</v>
      </c>
      <c r="H105" t="n">
        <v>0</v>
      </c>
      <c r="I105" t="n">
        <v>0</v>
      </c>
      <c r="J105" t="n">
        <v>0</v>
      </c>
      <c r="K105" t="n">
        <v>0</v>
      </c>
      <c r="L105" t="n">
        <v>0</v>
      </c>
      <c r="M105" t="n">
        <v>0</v>
      </c>
      <c r="N105" t="n">
        <v>0</v>
      </c>
      <c r="O105" t="n">
        <v>0</v>
      </c>
      <c r="P105" t="n">
        <v>0</v>
      </c>
      <c r="Q105" t="n">
        <v>0</v>
      </c>
      <c r="R105" s="2" t="inlineStr"/>
    </row>
    <row r="106" ht="15" customHeight="1">
      <c r="A106" t="inlineStr">
        <is>
          <t>A 15739-2023</t>
        </is>
      </c>
      <c r="B106" s="1" t="n">
        <v>45021</v>
      </c>
      <c r="C106" s="1" t="n">
        <v>45895</v>
      </c>
      <c r="D106" t="inlineStr">
        <is>
          <t>VÄSTMANLANDS LÄN</t>
        </is>
      </c>
      <c r="E106" t="inlineStr">
        <is>
          <t>SURAHAMMAR</t>
        </is>
      </c>
      <c r="G106" t="n">
        <v>1.3</v>
      </c>
      <c r="H106" t="n">
        <v>0</v>
      </c>
      <c r="I106" t="n">
        <v>0</v>
      </c>
      <c r="J106" t="n">
        <v>0</v>
      </c>
      <c r="K106" t="n">
        <v>0</v>
      </c>
      <c r="L106" t="n">
        <v>0</v>
      </c>
      <c r="M106" t="n">
        <v>0</v>
      </c>
      <c r="N106" t="n">
        <v>0</v>
      </c>
      <c r="O106" t="n">
        <v>0</v>
      </c>
      <c r="P106" t="n">
        <v>0</v>
      </c>
      <c r="Q106" t="n">
        <v>0</v>
      </c>
      <c r="R106" s="2" t="inlineStr"/>
    </row>
    <row r="107" ht="15" customHeight="1">
      <c r="A107" t="inlineStr">
        <is>
          <t>A 37287-2023</t>
        </is>
      </c>
      <c r="B107" s="1" t="n">
        <v>45156</v>
      </c>
      <c r="C107" s="1" t="n">
        <v>45895</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49058-2024</t>
        </is>
      </c>
      <c r="B108" s="1" t="n">
        <v>45594</v>
      </c>
      <c r="C108" s="1" t="n">
        <v>45895</v>
      </c>
      <c r="D108" t="inlineStr">
        <is>
          <t>VÄSTMANLANDS LÄN</t>
        </is>
      </c>
      <c r="E108" t="inlineStr">
        <is>
          <t>SURAHAMMAR</t>
        </is>
      </c>
      <c r="F108" t="inlineStr">
        <is>
          <t>Sveaskog</t>
        </is>
      </c>
      <c r="G108" t="n">
        <v>11.4</v>
      </c>
      <c r="H108" t="n">
        <v>0</v>
      </c>
      <c r="I108" t="n">
        <v>0</v>
      </c>
      <c r="J108" t="n">
        <v>0</v>
      </c>
      <c r="K108" t="n">
        <v>0</v>
      </c>
      <c r="L108" t="n">
        <v>0</v>
      </c>
      <c r="M108" t="n">
        <v>0</v>
      </c>
      <c r="N108" t="n">
        <v>0</v>
      </c>
      <c r="O108" t="n">
        <v>0</v>
      </c>
      <c r="P108" t="n">
        <v>0</v>
      </c>
      <c r="Q108" t="n">
        <v>0</v>
      </c>
      <c r="R108" s="2" t="inlineStr"/>
    </row>
    <row r="109" ht="15" customHeight="1">
      <c r="A109" t="inlineStr">
        <is>
          <t>A 49060-2024</t>
        </is>
      </c>
      <c r="B109" s="1" t="n">
        <v>45594</v>
      </c>
      <c r="C109" s="1" t="n">
        <v>45895</v>
      </c>
      <c r="D109" t="inlineStr">
        <is>
          <t>VÄSTMANLANDS LÄN</t>
        </is>
      </c>
      <c r="E109" t="inlineStr">
        <is>
          <t>SURAHAMMAR</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38154-2021</t>
        </is>
      </c>
      <c r="B110" s="1" t="n">
        <v>44405.42373842592</v>
      </c>
      <c r="C110" s="1" t="n">
        <v>45895</v>
      </c>
      <c r="D110" t="inlineStr">
        <is>
          <t>VÄSTMANLANDS LÄN</t>
        </is>
      </c>
      <c r="E110" t="inlineStr">
        <is>
          <t>SURAHAMMAR</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32808-2024</t>
        </is>
      </c>
      <c r="B111" s="1" t="n">
        <v>45516</v>
      </c>
      <c r="C111" s="1" t="n">
        <v>45895</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19099-2022</t>
        </is>
      </c>
      <c r="B112" s="1" t="n">
        <v>44691</v>
      </c>
      <c r="C112" s="1" t="n">
        <v>45895</v>
      </c>
      <c r="D112" t="inlineStr">
        <is>
          <t>VÄSTMANLANDS LÄN</t>
        </is>
      </c>
      <c r="E112" t="inlineStr">
        <is>
          <t>SURAHAMMAR</t>
        </is>
      </c>
      <c r="F112" t="inlineStr">
        <is>
          <t>Övriga Aktiebolag</t>
        </is>
      </c>
      <c r="G112" t="n">
        <v>3.4</v>
      </c>
      <c r="H112" t="n">
        <v>0</v>
      </c>
      <c r="I112" t="n">
        <v>0</v>
      </c>
      <c r="J112" t="n">
        <v>0</v>
      </c>
      <c r="K112" t="n">
        <v>0</v>
      </c>
      <c r="L112" t="n">
        <v>0</v>
      </c>
      <c r="M112" t="n">
        <v>0</v>
      </c>
      <c r="N112" t="n">
        <v>0</v>
      </c>
      <c r="O112" t="n">
        <v>0</v>
      </c>
      <c r="P112" t="n">
        <v>0</v>
      </c>
      <c r="Q112" t="n">
        <v>0</v>
      </c>
      <c r="R112" s="2" t="inlineStr"/>
    </row>
    <row r="113" ht="15" customHeight="1">
      <c r="A113" t="inlineStr">
        <is>
          <t>A 3818-2022</t>
        </is>
      </c>
      <c r="B113" s="1" t="n">
        <v>44587</v>
      </c>
      <c r="C113" s="1" t="n">
        <v>45895</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25780-2023</t>
        </is>
      </c>
      <c r="B114" s="1" t="n">
        <v>45090.47523148148</v>
      </c>
      <c r="C114" s="1" t="n">
        <v>45895</v>
      </c>
      <c r="D114" t="inlineStr">
        <is>
          <t>VÄSTMANLANDS LÄN</t>
        </is>
      </c>
      <c r="E114" t="inlineStr">
        <is>
          <t>SURAHAMMAR</t>
        </is>
      </c>
      <c r="G114" t="n">
        <v>2.8</v>
      </c>
      <c r="H114" t="n">
        <v>0</v>
      </c>
      <c r="I114" t="n">
        <v>0</v>
      </c>
      <c r="J114" t="n">
        <v>0</v>
      </c>
      <c r="K114" t="n">
        <v>0</v>
      </c>
      <c r="L114" t="n">
        <v>0</v>
      </c>
      <c r="M114" t="n">
        <v>0</v>
      </c>
      <c r="N114" t="n">
        <v>0</v>
      </c>
      <c r="O114" t="n">
        <v>0</v>
      </c>
      <c r="P114" t="n">
        <v>0</v>
      </c>
      <c r="Q114" t="n">
        <v>0</v>
      </c>
      <c r="R114" s="2" t="inlineStr"/>
    </row>
    <row r="115" ht="15" customHeight="1">
      <c r="A115" t="inlineStr">
        <is>
          <t>A 13386-2025</t>
        </is>
      </c>
      <c r="B115" s="1" t="n">
        <v>45735</v>
      </c>
      <c r="C115" s="1" t="n">
        <v>45895</v>
      </c>
      <c r="D115" t="inlineStr">
        <is>
          <t>VÄSTMANLANDS LÄN</t>
        </is>
      </c>
      <c r="E115" t="inlineStr">
        <is>
          <t>SURAHAMMAR</t>
        </is>
      </c>
      <c r="F115" t="inlineStr">
        <is>
          <t>Bergvik skog väst AB</t>
        </is>
      </c>
      <c r="G115" t="n">
        <v>4</v>
      </c>
      <c r="H115" t="n">
        <v>0</v>
      </c>
      <c r="I115" t="n">
        <v>0</v>
      </c>
      <c r="J115" t="n">
        <v>0</v>
      </c>
      <c r="K115" t="n">
        <v>0</v>
      </c>
      <c r="L115" t="n">
        <v>0</v>
      </c>
      <c r="M115" t="n">
        <v>0</v>
      </c>
      <c r="N115" t="n">
        <v>0</v>
      </c>
      <c r="O115" t="n">
        <v>0</v>
      </c>
      <c r="P115" t="n">
        <v>0</v>
      </c>
      <c r="Q115" t="n">
        <v>0</v>
      </c>
      <c r="R115" s="2" t="inlineStr"/>
    </row>
    <row r="116" ht="15" customHeight="1">
      <c r="A116" t="inlineStr">
        <is>
          <t>A 13119-2022</t>
        </is>
      </c>
      <c r="B116" s="1" t="n">
        <v>44643</v>
      </c>
      <c r="C116" s="1" t="n">
        <v>45895</v>
      </c>
      <c r="D116" t="inlineStr">
        <is>
          <t>VÄSTMANLANDS LÄN</t>
        </is>
      </c>
      <c r="E116" t="inlineStr">
        <is>
          <t>SURAHAMMAR</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19782-2023</t>
        </is>
      </c>
      <c r="B117" s="1" t="n">
        <v>45050</v>
      </c>
      <c r="C117" s="1" t="n">
        <v>45895</v>
      </c>
      <c r="D117" t="inlineStr">
        <is>
          <t>VÄSTMANLANDS LÄN</t>
        </is>
      </c>
      <c r="E117" t="inlineStr">
        <is>
          <t>SURAHAMMAR</t>
        </is>
      </c>
      <c r="F117" t="inlineStr">
        <is>
          <t>Bergvik skog väst AB</t>
        </is>
      </c>
      <c r="G117" t="n">
        <v>5.2</v>
      </c>
      <c r="H117" t="n">
        <v>0</v>
      </c>
      <c r="I117" t="n">
        <v>0</v>
      </c>
      <c r="J117" t="n">
        <v>0</v>
      </c>
      <c r="K117" t="n">
        <v>0</v>
      </c>
      <c r="L117" t="n">
        <v>0</v>
      </c>
      <c r="M117" t="n">
        <v>0</v>
      </c>
      <c r="N117" t="n">
        <v>0</v>
      </c>
      <c r="O117" t="n">
        <v>0</v>
      </c>
      <c r="P117" t="n">
        <v>0</v>
      </c>
      <c r="Q117" t="n">
        <v>0</v>
      </c>
      <c r="R117" s="2" t="inlineStr"/>
    </row>
    <row r="118" ht="15" customHeight="1">
      <c r="A118" t="inlineStr">
        <is>
          <t>A 14626-2023</t>
        </is>
      </c>
      <c r="B118" s="1" t="n">
        <v>45012</v>
      </c>
      <c r="C118" s="1" t="n">
        <v>45895</v>
      </c>
      <c r="D118" t="inlineStr">
        <is>
          <t>VÄSTMANLANDS LÄN</t>
        </is>
      </c>
      <c r="E118" t="inlineStr">
        <is>
          <t>SURAHAMMAR</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45895</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8553-2023</t>
        </is>
      </c>
      <c r="B120" s="1" t="n">
        <v>44977</v>
      </c>
      <c r="C120" s="1" t="n">
        <v>45895</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56378-2023</t>
        </is>
      </c>
      <c r="B121" s="1" t="n">
        <v>45236</v>
      </c>
      <c r="C121" s="1" t="n">
        <v>45895</v>
      </c>
      <c r="D121" t="inlineStr">
        <is>
          <t>VÄSTMANLANDS LÄN</t>
        </is>
      </c>
      <c r="E121" t="inlineStr">
        <is>
          <t>SURAHAMMAR</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45895</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45895</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2660-2024</t>
        </is>
      </c>
      <c r="B124" s="1" t="n">
        <v>45310</v>
      </c>
      <c r="C124" s="1" t="n">
        <v>45895</v>
      </c>
      <c r="D124" t="inlineStr">
        <is>
          <t>VÄSTMANLANDS LÄN</t>
        </is>
      </c>
      <c r="E124" t="inlineStr">
        <is>
          <t>SURAHAMMAR</t>
        </is>
      </c>
      <c r="G124" t="n">
        <v>2.1</v>
      </c>
      <c r="H124" t="n">
        <v>0</v>
      </c>
      <c r="I124" t="n">
        <v>0</v>
      </c>
      <c r="J124" t="n">
        <v>0</v>
      </c>
      <c r="K124" t="n">
        <v>0</v>
      </c>
      <c r="L124" t="n">
        <v>0</v>
      </c>
      <c r="M124" t="n">
        <v>0</v>
      </c>
      <c r="N124" t="n">
        <v>0</v>
      </c>
      <c r="O124" t="n">
        <v>0</v>
      </c>
      <c r="P124" t="n">
        <v>0</v>
      </c>
      <c r="Q124" t="n">
        <v>0</v>
      </c>
      <c r="R124" s="2" t="inlineStr"/>
    </row>
    <row r="125" ht="15" customHeight="1">
      <c r="A125" t="inlineStr">
        <is>
          <t>A 41555-2022</t>
        </is>
      </c>
      <c r="B125" s="1" t="n">
        <v>44826</v>
      </c>
      <c r="C125" s="1" t="n">
        <v>45895</v>
      </c>
      <c r="D125" t="inlineStr">
        <is>
          <t>VÄSTMANLANDS LÄN</t>
        </is>
      </c>
      <c r="E125" t="inlineStr">
        <is>
          <t>SURAHAMMAR</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45895</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11501-2023</t>
        </is>
      </c>
      <c r="B127" s="1" t="n">
        <v>44991</v>
      </c>
      <c r="C127" s="1" t="n">
        <v>45895</v>
      </c>
      <c r="D127" t="inlineStr">
        <is>
          <t>VÄSTMANLANDS LÄN</t>
        </is>
      </c>
      <c r="E127" t="inlineStr">
        <is>
          <t>SURAHAMMAR</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16013-2023</t>
        </is>
      </c>
      <c r="B128" s="1" t="n">
        <v>45026</v>
      </c>
      <c r="C128" s="1" t="n">
        <v>45895</v>
      </c>
      <c r="D128" t="inlineStr">
        <is>
          <t>VÄSTMANLANDS LÄN</t>
        </is>
      </c>
      <c r="E128" t="inlineStr">
        <is>
          <t>SURAHAMMAR</t>
        </is>
      </c>
      <c r="G128" t="n">
        <v>3.9</v>
      </c>
      <c r="H128" t="n">
        <v>0</v>
      </c>
      <c r="I128" t="n">
        <v>0</v>
      </c>
      <c r="J128" t="n">
        <v>0</v>
      </c>
      <c r="K128" t="n">
        <v>0</v>
      </c>
      <c r="L128" t="n">
        <v>0</v>
      </c>
      <c r="M128" t="n">
        <v>0</v>
      </c>
      <c r="N128" t="n">
        <v>0</v>
      </c>
      <c r="O128" t="n">
        <v>0</v>
      </c>
      <c r="P128" t="n">
        <v>0</v>
      </c>
      <c r="Q128" t="n">
        <v>0</v>
      </c>
      <c r="R128" s="2" t="inlineStr"/>
    </row>
    <row r="129" ht="15" customHeight="1">
      <c r="A129" t="inlineStr">
        <is>
          <t>A 41576-2022</t>
        </is>
      </c>
      <c r="B129" s="1" t="n">
        <v>44826</v>
      </c>
      <c r="C129" s="1" t="n">
        <v>45895</v>
      </c>
      <c r="D129" t="inlineStr">
        <is>
          <t>VÄSTMANLANDS LÄN</t>
        </is>
      </c>
      <c r="E129" t="inlineStr">
        <is>
          <t>SURAHAMMAR</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20904-2023</t>
        </is>
      </c>
      <c r="B130" s="1" t="n">
        <v>45060</v>
      </c>
      <c r="C130" s="1" t="n">
        <v>45895</v>
      </c>
      <c r="D130" t="inlineStr">
        <is>
          <t>VÄSTMANLANDS LÄN</t>
        </is>
      </c>
      <c r="E130" t="inlineStr">
        <is>
          <t>SURAHAMMAR</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42829-2022</t>
        </is>
      </c>
      <c r="B131" s="1" t="n">
        <v>44832</v>
      </c>
      <c r="C131" s="1" t="n">
        <v>45895</v>
      </c>
      <c r="D131" t="inlineStr">
        <is>
          <t>VÄSTMANLANDS LÄN</t>
        </is>
      </c>
      <c r="E131" t="inlineStr">
        <is>
          <t>SURAHAMMAR</t>
        </is>
      </c>
      <c r="G131" t="n">
        <v>1.6</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45895</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52074-2020</t>
        </is>
      </c>
      <c r="B133" s="1" t="n">
        <v>44117</v>
      </c>
      <c r="C133" s="1" t="n">
        <v>45895</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37013-2025</t>
        </is>
      </c>
      <c r="B134" s="1" t="n">
        <v>45874</v>
      </c>
      <c r="C134" s="1" t="n">
        <v>45895</v>
      </c>
      <c r="D134" t="inlineStr">
        <is>
          <t>VÄSTMANLANDS LÄN</t>
        </is>
      </c>
      <c r="E134" t="inlineStr">
        <is>
          <t>SURAHAMMAR</t>
        </is>
      </c>
      <c r="F134" t="inlineStr">
        <is>
          <t>Bergvik skog väst AB</t>
        </is>
      </c>
      <c r="G134" t="n">
        <v>10.7</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45895</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37798-2021</t>
        </is>
      </c>
      <c r="B136" s="1" t="n">
        <v>44402</v>
      </c>
      <c r="C136" s="1" t="n">
        <v>45895</v>
      </c>
      <c r="D136" t="inlineStr">
        <is>
          <t>VÄSTMANLANDS LÄN</t>
        </is>
      </c>
      <c r="E136" t="inlineStr">
        <is>
          <t>SURAHAMMAR</t>
        </is>
      </c>
      <c r="F136" t="inlineStr">
        <is>
          <t>Kommuner</t>
        </is>
      </c>
      <c r="G136" t="n">
        <v>1.2</v>
      </c>
      <c r="H136" t="n">
        <v>0</v>
      </c>
      <c r="I136" t="n">
        <v>0</v>
      </c>
      <c r="J136" t="n">
        <v>0</v>
      </c>
      <c r="K136" t="n">
        <v>0</v>
      </c>
      <c r="L136" t="n">
        <v>0</v>
      </c>
      <c r="M136" t="n">
        <v>0</v>
      </c>
      <c r="N136" t="n">
        <v>0</v>
      </c>
      <c r="O136" t="n">
        <v>0</v>
      </c>
      <c r="P136" t="n">
        <v>0</v>
      </c>
      <c r="Q136" t="n">
        <v>0</v>
      </c>
      <c r="R136" s="2" t="inlineStr"/>
    </row>
    <row r="137" ht="15" customHeight="1">
      <c r="A137" t="inlineStr">
        <is>
          <t>A 37954-2025</t>
        </is>
      </c>
      <c r="B137" s="1" t="n">
        <v>45881</v>
      </c>
      <c r="C137" s="1" t="n">
        <v>45895</v>
      </c>
      <c r="D137" t="inlineStr">
        <is>
          <t>VÄSTMANLANDS LÄN</t>
        </is>
      </c>
      <c r="E137" t="inlineStr">
        <is>
          <t>SURAHAMMAR</t>
        </is>
      </c>
      <c r="G137" t="n">
        <v>9.5</v>
      </c>
      <c r="H137" t="n">
        <v>0</v>
      </c>
      <c r="I137" t="n">
        <v>0</v>
      </c>
      <c r="J137" t="n">
        <v>0</v>
      </c>
      <c r="K137" t="n">
        <v>0</v>
      </c>
      <c r="L137" t="n">
        <v>0</v>
      </c>
      <c r="M137" t="n">
        <v>0</v>
      </c>
      <c r="N137" t="n">
        <v>0</v>
      </c>
      <c r="O137" t="n">
        <v>0</v>
      </c>
      <c r="P137" t="n">
        <v>0</v>
      </c>
      <c r="Q137" t="n">
        <v>0</v>
      </c>
      <c r="R137" s="2" t="inlineStr"/>
    </row>
    <row r="138" ht="15" customHeight="1">
      <c r="A138" t="inlineStr">
        <is>
          <t>A 7848-2022</t>
        </is>
      </c>
      <c r="B138" s="1" t="n">
        <v>44608.58400462963</v>
      </c>
      <c r="C138" s="1" t="n">
        <v>45895</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48205-2023</t>
        </is>
      </c>
      <c r="B139" s="1" t="n">
        <v>45205</v>
      </c>
      <c r="C139" s="1" t="n">
        <v>45895</v>
      </c>
      <c r="D139" t="inlineStr">
        <is>
          <t>VÄSTMANLANDS LÄN</t>
        </is>
      </c>
      <c r="E139" t="inlineStr">
        <is>
          <t>SURAHAMMAR</t>
        </is>
      </c>
      <c r="F139" t="inlineStr">
        <is>
          <t>Allmännings- och besparingsskogar</t>
        </is>
      </c>
      <c r="G139" t="n">
        <v>7.6</v>
      </c>
      <c r="H139" t="n">
        <v>0</v>
      </c>
      <c r="I139" t="n">
        <v>0</v>
      </c>
      <c r="J139" t="n">
        <v>0</v>
      </c>
      <c r="K139" t="n">
        <v>0</v>
      </c>
      <c r="L139" t="n">
        <v>0</v>
      </c>
      <c r="M139" t="n">
        <v>0</v>
      </c>
      <c r="N139" t="n">
        <v>0</v>
      </c>
      <c r="O139" t="n">
        <v>0</v>
      </c>
      <c r="P139" t="n">
        <v>0</v>
      </c>
      <c r="Q139" t="n">
        <v>0</v>
      </c>
      <c r="R139" s="2" t="inlineStr"/>
    </row>
    <row r="140" ht="15" customHeight="1">
      <c r="A140" t="inlineStr">
        <is>
          <t>A 16608-2022</t>
        </is>
      </c>
      <c r="B140" s="1" t="n">
        <v>44672</v>
      </c>
      <c r="C140" s="1" t="n">
        <v>45895</v>
      </c>
      <c r="D140" t="inlineStr">
        <is>
          <t>VÄSTMANLANDS LÄN</t>
        </is>
      </c>
      <c r="E140" t="inlineStr">
        <is>
          <t>SURAHAMMAR</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33931-2022</t>
        </is>
      </c>
      <c r="B141" s="1" t="n">
        <v>44790.65153935185</v>
      </c>
      <c r="C141" s="1" t="n">
        <v>45895</v>
      </c>
      <c r="D141" t="inlineStr">
        <is>
          <t>VÄSTMANLANDS LÄN</t>
        </is>
      </c>
      <c r="E141" t="inlineStr">
        <is>
          <t>SURAHAMMAR</t>
        </is>
      </c>
      <c r="G141" t="n">
        <v>2.2</v>
      </c>
      <c r="H141" t="n">
        <v>0</v>
      </c>
      <c r="I141" t="n">
        <v>0</v>
      </c>
      <c r="J141" t="n">
        <v>0</v>
      </c>
      <c r="K141" t="n">
        <v>0</v>
      </c>
      <c r="L141" t="n">
        <v>0</v>
      </c>
      <c r="M141" t="n">
        <v>0</v>
      </c>
      <c r="N141" t="n">
        <v>0</v>
      </c>
      <c r="O141" t="n">
        <v>0</v>
      </c>
      <c r="P141" t="n">
        <v>0</v>
      </c>
      <c r="Q141" t="n">
        <v>0</v>
      </c>
      <c r="R141" s="2" t="inlineStr"/>
    </row>
    <row r="142" ht="15" customHeight="1">
      <c r="A142" t="inlineStr">
        <is>
          <t>A 34584-2025</t>
        </is>
      </c>
      <c r="B142" s="1" t="n">
        <v>45846</v>
      </c>
      <c r="C142" s="1" t="n">
        <v>45895</v>
      </c>
      <c r="D142" t="inlineStr">
        <is>
          <t>VÄSTMANLANDS LÄN</t>
        </is>
      </c>
      <c r="E142" t="inlineStr">
        <is>
          <t>SURAHAMMAR</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32910-2025</t>
        </is>
      </c>
      <c r="B143" s="1" t="n">
        <v>45839</v>
      </c>
      <c r="C143" s="1" t="n">
        <v>45895</v>
      </c>
      <c r="D143" t="inlineStr">
        <is>
          <t>VÄSTMANLANDS LÄN</t>
        </is>
      </c>
      <c r="E143" t="inlineStr">
        <is>
          <t>SURAHAMMAR</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22662-2023</t>
        </is>
      </c>
      <c r="B144" s="1" t="n">
        <v>45071</v>
      </c>
      <c r="C144" s="1" t="n">
        <v>45895</v>
      </c>
      <c r="D144" t="inlineStr">
        <is>
          <t>VÄSTMANLANDS LÄN</t>
        </is>
      </c>
      <c r="E144" t="inlineStr">
        <is>
          <t>SURAHAMMAR</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45895</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15743-2023</t>
        </is>
      </c>
      <c r="B146" s="1" t="n">
        <v>45021</v>
      </c>
      <c r="C146" s="1" t="n">
        <v>45895</v>
      </c>
      <c r="D146" t="inlineStr">
        <is>
          <t>VÄSTMANLANDS LÄN</t>
        </is>
      </c>
      <c r="E146" t="inlineStr">
        <is>
          <t>SURAHAMMAR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32916-2025</t>
        </is>
      </c>
      <c r="B147" s="1" t="n">
        <v>45839</v>
      </c>
      <c r="C147" s="1" t="n">
        <v>45895</v>
      </c>
      <c r="D147" t="inlineStr">
        <is>
          <t>VÄSTMANLANDS LÄN</t>
        </is>
      </c>
      <c r="E147" t="inlineStr">
        <is>
          <t>SURAHAMMAR</t>
        </is>
      </c>
      <c r="F147" t="inlineStr">
        <is>
          <t>Kommuner</t>
        </is>
      </c>
      <c r="G147" t="n">
        <v>4.9</v>
      </c>
      <c r="H147" t="n">
        <v>0</v>
      </c>
      <c r="I147" t="n">
        <v>0</v>
      </c>
      <c r="J147" t="n">
        <v>0</v>
      </c>
      <c r="K147" t="n">
        <v>0</v>
      </c>
      <c r="L147" t="n">
        <v>0</v>
      </c>
      <c r="M147" t="n">
        <v>0</v>
      </c>
      <c r="N147" t="n">
        <v>0</v>
      </c>
      <c r="O147" t="n">
        <v>0</v>
      </c>
      <c r="P147" t="n">
        <v>0</v>
      </c>
      <c r="Q147" t="n">
        <v>0</v>
      </c>
      <c r="R147" s="2" t="inlineStr"/>
    </row>
    <row r="148" ht="15" customHeight="1">
      <c r="A148" t="inlineStr">
        <is>
          <t>A 30076-2023</t>
        </is>
      </c>
      <c r="B148" s="1" t="n">
        <v>45110</v>
      </c>
      <c r="C148" s="1" t="n">
        <v>45895</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45895</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45895</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c r="A151" t="inlineStr">
        <is>
          <t>A 10396-2025</t>
        </is>
      </c>
      <c r="B151" s="1" t="n">
        <v>45720.60721064815</v>
      </c>
      <c r="C151" s="1" t="n">
        <v>45895</v>
      </c>
      <c r="D151" t="inlineStr">
        <is>
          <t>VÄSTMANLANDS LÄN</t>
        </is>
      </c>
      <c r="E151" t="inlineStr">
        <is>
          <t>SURAHAMMAR</t>
        </is>
      </c>
      <c r="F151" t="inlineStr">
        <is>
          <t>Allmännings- och besparingsskogar</t>
        </is>
      </c>
      <c r="G151" t="n">
        <v>9.300000000000001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2025-08-26T08:36:37Z</dcterms:created>
  <dcterms:modified xmlns:dcterms="http://purl.org/dc/terms/" xmlns:xsi="http://www.w3.org/2001/XMLSchema-instance" xsi:type="dcterms:W3CDTF">2025-08-26T08:36:37Z</dcterms:modified>
</cp:coreProperties>
</file>