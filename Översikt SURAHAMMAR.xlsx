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45758</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45758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45758</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45758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45758</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45758</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45758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45758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45758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45758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45758</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45758</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45758</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45758</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45758</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45758</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45758</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45758</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45758</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45758</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45758</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45758</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45758</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45758</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45758</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45758</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45758</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45758</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45758</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45758</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45758</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45758</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45758</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45758</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45758</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45758</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45758</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45758</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45758</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45758</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45758</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45758</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45758</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45758</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45758</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45758</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45758</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45758</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45758</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45758</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45758</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45758</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45758</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45758</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45758</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45758</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45758</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45758</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45758</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45758</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45758</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45758</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45758</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45758</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45758</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45758</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45758</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45758</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45758</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45758</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45758</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45758</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45758</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45758</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45758</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45758</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45758</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45758</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45758</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45758</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45758</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45758</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45758</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45758</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45758</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45758</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45758</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45758</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45758</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45758</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45758</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45758</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45758</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45758</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45758</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45758</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45758</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45758</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45758</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45758</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45758</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45758</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45758</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45758</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47453-2024</t>
        </is>
      </c>
      <c r="B108" s="1" t="n">
        <v>45587</v>
      </c>
      <c r="C108" s="1" t="n">
        <v>45758</v>
      </c>
      <c r="D108" t="inlineStr">
        <is>
          <t>VÄSTMANLANDS LÄN</t>
        </is>
      </c>
      <c r="E108" t="inlineStr">
        <is>
          <t>SURAHAMMAR</t>
        </is>
      </c>
      <c r="G108" t="n">
        <v>5.1</v>
      </c>
      <c r="H108" t="n">
        <v>1</v>
      </c>
      <c r="I108" t="n">
        <v>0</v>
      </c>
      <c r="J108" t="n">
        <v>0</v>
      </c>
      <c r="K108" t="n">
        <v>0</v>
      </c>
      <c r="L108" t="n">
        <v>0</v>
      </c>
      <c r="M108" t="n">
        <v>0</v>
      </c>
      <c r="N108" t="n">
        <v>0</v>
      </c>
      <c r="O108" t="n">
        <v>0</v>
      </c>
      <c r="P108" t="n">
        <v>0</v>
      </c>
      <c r="Q108" t="n">
        <v>1</v>
      </c>
      <c r="R108" s="2" t="inlineStr">
        <is>
          <t>Göktyta</t>
        </is>
      </c>
      <c r="S108">
        <f>HYPERLINK("https://klasma.github.io/Logging_1907/artfynd/A 47453-2024 artfynd.xlsx", "A 47453-2024")</f>
        <v/>
      </c>
      <c r="T108">
        <f>HYPERLINK("https://klasma.github.io/Logging_1907/kartor/A 47453-2024 karta.png", "A 47453-2024")</f>
        <v/>
      </c>
      <c r="V108">
        <f>HYPERLINK("https://klasma.github.io/Logging_1907/klagomål/A 47453-2024 FSC-klagomål.docx", "A 47453-2024")</f>
        <v/>
      </c>
      <c r="W108">
        <f>HYPERLINK("https://klasma.github.io/Logging_1907/klagomålsmail/A 47453-2024 FSC-klagomål mail.docx", "A 47453-2024")</f>
        <v/>
      </c>
      <c r="X108">
        <f>HYPERLINK("https://klasma.github.io/Logging_1907/tillsyn/A 47453-2024 tillsynsbegäran.docx", "A 47453-2024")</f>
        <v/>
      </c>
      <c r="Y108">
        <f>HYPERLINK("https://klasma.github.io/Logging_1907/tillsynsmail/A 47453-2024 tillsynsbegäran mail.docx", "A 47453-2024")</f>
        <v/>
      </c>
      <c r="Z108">
        <f>HYPERLINK("https://klasma.github.io/Logging_1907/fåglar/A 47453-2024 prioriterade fågelarter.docx", "A 47453-2024")</f>
        <v/>
      </c>
    </row>
    <row r="109" ht="15" customHeight="1">
      <c r="A109" t="inlineStr">
        <is>
          <t>A 62097-2024</t>
        </is>
      </c>
      <c r="B109" s="1" t="n">
        <v>45646</v>
      </c>
      <c r="C109" s="1" t="n">
        <v>45758</v>
      </c>
      <c r="D109" t="inlineStr">
        <is>
          <t>VÄSTMANLANDS LÄN</t>
        </is>
      </c>
      <c r="E109" t="inlineStr">
        <is>
          <t>SURAHAMMAR</t>
        </is>
      </c>
      <c r="F109" t="inlineStr">
        <is>
          <t>Bergvik skog väst AB</t>
        </is>
      </c>
      <c r="G109" t="n">
        <v>21.7</v>
      </c>
      <c r="H109" t="n">
        <v>1</v>
      </c>
      <c r="I109" t="n">
        <v>0</v>
      </c>
      <c r="J109" t="n">
        <v>0</v>
      </c>
      <c r="K109" t="n">
        <v>0</v>
      </c>
      <c r="L109" t="n">
        <v>0</v>
      </c>
      <c r="M109" t="n">
        <v>0</v>
      </c>
      <c r="N109" t="n">
        <v>0</v>
      </c>
      <c r="O109" t="n">
        <v>0</v>
      </c>
      <c r="P109" t="n">
        <v>0</v>
      </c>
      <c r="Q109" t="n">
        <v>1</v>
      </c>
      <c r="R109" s="2" t="inlineStr">
        <is>
          <t>Revlummer</t>
        </is>
      </c>
      <c r="S109">
        <f>HYPERLINK("https://klasma.github.io/Logging_1907/artfynd/A 62097-2024 artfynd.xlsx", "A 62097-2024")</f>
        <v/>
      </c>
      <c r="T109">
        <f>HYPERLINK("https://klasma.github.io/Logging_1907/kartor/A 62097-2024 karta.png", "A 62097-2024")</f>
        <v/>
      </c>
      <c r="V109">
        <f>HYPERLINK("https://klasma.github.io/Logging_1907/klagomål/A 62097-2024 FSC-klagomål.docx", "A 62097-2024")</f>
        <v/>
      </c>
      <c r="W109">
        <f>HYPERLINK("https://klasma.github.io/Logging_1907/klagomålsmail/A 62097-2024 FSC-klagomål mail.docx", "A 62097-2024")</f>
        <v/>
      </c>
      <c r="X109">
        <f>HYPERLINK("https://klasma.github.io/Logging_1907/tillsyn/A 62097-2024 tillsynsbegäran.docx", "A 62097-2024")</f>
        <v/>
      </c>
      <c r="Y109">
        <f>HYPERLINK("https://klasma.github.io/Logging_1907/tillsynsmail/A 62097-2024 tillsynsbegäran mail.docx", "A 62097-2024")</f>
        <v/>
      </c>
    </row>
    <row r="110" ht="15" customHeight="1">
      <c r="A110" t="inlineStr">
        <is>
          <t>A 13788-2025</t>
        </is>
      </c>
      <c r="B110" s="1" t="n">
        <v>45737</v>
      </c>
      <c r="C110" s="1" t="n">
        <v>45758</v>
      </c>
      <c r="D110" t="inlineStr">
        <is>
          <t>VÄSTMANLANDS LÄN</t>
        </is>
      </c>
      <c r="E110" t="inlineStr">
        <is>
          <t>SURAHAMMAR</t>
        </is>
      </c>
      <c r="G110" t="n">
        <v>9.699999999999999</v>
      </c>
      <c r="H110" t="n">
        <v>1</v>
      </c>
      <c r="I110" t="n">
        <v>0</v>
      </c>
      <c r="J110" t="n">
        <v>0</v>
      </c>
      <c r="K110" t="n">
        <v>0</v>
      </c>
      <c r="L110" t="n">
        <v>0</v>
      </c>
      <c r="M110" t="n">
        <v>0</v>
      </c>
      <c r="N110" t="n">
        <v>0</v>
      </c>
      <c r="O110" t="n">
        <v>0</v>
      </c>
      <c r="P110" t="n">
        <v>0</v>
      </c>
      <c r="Q110" t="n">
        <v>1</v>
      </c>
      <c r="R110" s="2" t="inlineStr">
        <is>
          <t>Sparvuggla</t>
        </is>
      </c>
      <c r="S110">
        <f>HYPERLINK("https://klasma.github.io/Logging_191907/artfynd/A 13788-2025 artfynd.xlsx", "A 13788-2025")</f>
        <v/>
      </c>
      <c r="T110">
        <f>HYPERLINK("https://klasma.github.io/Logging_191907/kartor/A 13788-2025 karta.png", "A 13788-2025")</f>
        <v/>
      </c>
      <c r="V110">
        <f>HYPERLINK("https://klasma.github.io/Logging_191907/klagomål/A 13788-2025 FSC-klagomål.docx", "A 13788-2025")</f>
        <v/>
      </c>
      <c r="W110">
        <f>HYPERLINK("https://klasma.github.io/Logging_191907/klagomålsmail/A 13788-2025 FSC-klagomål mail.docx", "A 13788-2025")</f>
        <v/>
      </c>
      <c r="X110">
        <f>HYPERLINK("https://klasma.github.io/Logging_191907/tillsyn/A 13788-2025 tillsynsbegäran.docx", "A 13788-2025")</f>
        <v/>
      </c>
      <c r="Y110">
        <f>HYPERLINK("https://klasma.github.io/Logging_191907/tillsynsmail/A 13788-2025 tillsynsbegäran mail.docx", "A 13788-2025")</f>
        <v/>
      </c>
      <c r="Z110">
        <f>HYPERLINK("https://klasma.github.io/Logging_191907/fåglar/A 13788-2025 prioriterade fågelarter.docx", "A 13788-2025")</f>
        <v/>
      </c>
    </row>
    <row r="111" ht="15" customHeight="1">
      <c r="A111" t="inlineStr">
        <is>
          <t>A 17946-2019</t>
        </is>
      </c>
      <c r="B111" s="1" t="n">
        <v>43557</v>
      </c>
      <c r="C111" s="1" t="n">
        <v>45758</v>
      </c>
      <c r="D111" t="inlineStr">
        <is>
          <t>VÄSTMANLANDS LÄN</t>
        </is>
      </c>
      <c r="E111" t="inlineStr">
        <is>
          <t>SURAHAMMAR</t>
        </is>
      </c>
      <c r="G111" t="n">
        <v>9.9</v>
      </c>
      <c r="H111" t="n">
        <v>0</v>
      </c>
      <c r="I111" t="n">
        <v>0</v>
      </c>
      <c r="J111" t="n">
        <v>0</v>
      </c>
      <c r="K111" t="n">
        <v>0</v>
      </c>
      <c r="L111" t="n">
        <v>0</v>
      </c>
      <c r="M111" t="n">
        <v>0</v>
      </c>
      <c r="N111" t="n">
        <v>0</v>
      </c>
      <c r="O111" t="n">
        <v>0</v>
      </c>
      <c r="P111" t="n">
        <v>0</v>
      </c>
      <c r="Q111" t="n">
        <v>0</v>
      </c>
      <c r="R111" s="2" t="inlineStr"/>
    </row>
    <row r="112" ht="15" customHeight="1">
      <c r="A112" t="inlineStr">
        <is>
          <t>A 18953-2019</t>
        </is>
      </c>
      <c r="B112" s="1" t="n">
        <v>43563</v>
      </c>
      <c r="C112" s="1" t="n">
        <v>45758</v>
      </c>
      <c r="D112" t="inlineStr">
        <is>
          <t>VÄSTMANLANDS LÄN</t>
        </is>
      </c>
      <c r="E112" t="inlineStr">
        <is>
          <t>SURAHAMMAR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18960-2019</t>
        </is>
      </c>
      <c r="B113" s="1" t="n">
        <v>43563</v>
      </c>
      <c r="C113" s="1" t="n">
        <v>45758</v>
      </c>
      <c r="D113" t="inlineStr">
        <is>
          <t>VÄSTMANLANDS LÄN</t>
        </is>
      </c>
      <c r="E113" t="inlineStr">
        <is>
          <t>SURAHAMMAR</t>
        </is>
      </c>
      <c r="F113" t="inlineStr">
        <is>
          <t>Övriga Aktiebolag</t>
        </is>
      </c>
      <c r="G113" t="n">
        <v>4.1</v>
      </c>
      <c r="H113" t="n">
        <v>0</v>
      </c>
      <c r="I113" t="n">
        <v>0</v>
      </c>
      <c r="J113" t="n">
        <v>0</v>
      </c>
      <c r="K113" t="n">
        <v>0</v>
      </c>
      <c r="L113" t="n">
        <v>0</v>
      </c>
      <c r="M113" t="n">
        <v>0</v>
      </c>
      <c r="N113" t="n">
        <v>0</v>
      </c>
      <c r="O113" t="n">
        <v>0</v>
      </c>
      <c r="P113" t="n">
        <v>0</v>
      </c>
      <c r="Q113" t="n">
        <v>0</v>
      </c>
      <c r="R113" s="2" t="inlineStr"/>
    </row>
    <row r="114" ht="15" customHeight="1">
      <c r="A114" t="inlineStr">
        <is>
          <t>A 19659-2019</t>
        </is>
      </c>
      <c r="B114" s="1" t="n">
        <v>43566</v>
      </c>
      <c r="C114" s="1" t="n">
        <v>45758</v>
      </c>
      <c r="D114" t="inlineStr">
        <is>
          <t>VÄSTMANLANDS LÄN</t>
        </is>
      </c>
      <c r="E114" t="inlineStr">
        <is>
          <t>SURAHAMMAR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20127-2019</t>
        </is>
      </c>
      <c r="B115" s="1" t="n">
        <v>43570</v>
      </c>
      <c r="C115" s="1" t="n">
        <v>45758</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20904-2019</t>
        </is>
      </c>
      <c r="B116" s="1" t="n">
        <v>43578</v>
      </c>
      <c r="C116" s="1" t="n">
        <v>45758</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22834-2019</t>
        </is>
      </c>
      <c r="B117" s="1" t="n">
        <v>43591</v>
      </c>
      <c r="C117" s="1" t="n">
        <v>45758</v>
      </c>
      <c r="D117" t="inlineStr">
        <is>
          <t>VÄSTMANLANDS LÄN</t>
        </is>
      </c>
      <c r="E117" t="inlineStr">
        <is>
          <t>SURAHAMMAR</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28274-2019</t>
        </is>
      </c>
      <c r="B118" s="1" t="n">
        <v>43623</v>
      </c>
      <c r="C118" s="1" t="n">
        <v>45758</v>
      </c>
      <c r="D118" t="inlineStr">
        <is>
          <t>VÄSTMANLANDS LÄN</t>
        </is>
      </c>
      <c r="E118" t="inlineStr">
        <is>
          <t>SURAHAMMAR</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29523-2019</t>
        </is>
      </c>
      <c r="B119" s="1" t="n">
        <v>43630</v>
      </c>
      <c r="C119" s="1" t="n">
        <v>45758</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31008-2019</t>
        </is>
      </c>
      <c r="B120" s="1" t="n">
        <v>43640</v>
      </c>
      <c r="C120" s="1" t="n">
        <v>45758</v>
      </c>
      <c r="D120" t="inlineStr">
        <is>
          <t>VÄSTMANLANDS LÄN</t>
        </is>
      </c>
      <c r="E120" t="inlineStr">
        <is>
          <t>SURAHAMMAR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39552-2019</t>
        </is>
      </c>
      <c r="B121" s="1" t="n">
        <v>43691</v>
      </c>
      <c r="C121" s="1" t="n">
        <v>45758</v>
      </c>
      <c r="D121" t="inlineStr">
        <is>
          <t>VÄSTMANLANDS LÄN</t>
        </is>
      </c>
      <c r="E121" t="inlineStr">
        <is>
          <t>SURAHAMMAR</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39754-2019</t>
        </is>
      </c>
      <c r="B122" s="1" t="n">
        <v>43692</v>
      </c>
      <c r="C122" s="1" t="n">
        <v>45758</v>
      </c>
      <c r="D122" t="inlineStr">
        <is>
          <t>VÄSTMANLANDS LÄN</t>
        </is>
      </c>
      <c r="E122" t="inlineStr">
        <is>
          <t>SURAHAMMAR</t>
        </is>
      </c>
      <c r="F122" t="inlineStr">
        <is>
          <t>Övriga Aktiebolag</t>
        </is>
      </c>
      <c r="G122" t="n">
        <v>5.7</v>
      </c>
      <c r="H122" t="n">
        <v>0</v>
      </c>
      <c r="I122" t="n">
        <v>0</v>
      </c>
      <c r="J122" t="n">
        <v>0</v>
      </c>
      <c r="K122" t="n">
        <v>0</v>
      </c>
      <c r="L122" t="n">
        <v>0</v>
      </c>
      <c r="M122" t="n">
        <v>0</v>
      </c>
      <c r="N122" t="n">
        <v>0</v>
      </c>
      <c r="O122" t="n">
        <v>0</v>
      </c>
      <c r="P122" t="n">
        <v>0</v>
      </c>
      <c r="Q122" t="n">
        <v>0</v>
      </c>
      <c r="R122" s="2" t="inlineStr"/>
    </row>
    <row r="123" ht="15" customHeight="1">
      <c r="A123" t="inlineStr">
        <is>
          <t>A 40191-2019</t>
        </is>
      </c>
      <c r="B123" s="1" t="n">
        <v>43693</v>
      </c>
      <c r="C123" s="1" t="n">
        <v>45758</v>
      </c>
      <c r="D123" t="inlineStr">
        <is>
          <t>VÄSTMANLANDS LÄN</t>
        </is>
      </c>
      <c r="E123" t="inlineStr">
        <is>
          <t>SURAHAMMAR</t>
        </is>
      </c>
      <c r="F123" t="inlineStr">
        <is>
          <t>Bergvik skog väst AB</t>
        </is>
      </c>
      <c r="G123" t="n">
        <v>3.5</v>
      </c>
      <c r="H123" t="n">
        <v>0</v>
      </c>
      <c r="I123" t="n">
        <v>0</v>
      </c>
      <c r="J123" t="n">
        <v>0</v>
      </c>
      <c r="K123" t="n">
        <v>0</v>
      </c>
      <c r="L123" t="n">
        <v>0</v>
      </c>
      <c r="M123" t="n">
        <v>0</v>
      </c>
      <c r="N123" t="n">
        <v>0</v>
      </c>
      <c r="O123" t="n">
        <v>0</v>
      </c>
      <c r="P123" t="n">
        <v>0</v>
      </c>
      <c r="Q123" t="n">
        <v>0</v>
      </c>
      <c r="R123" s="2" t="inlineStr"/>
    </row>
    <row r="124" ht="15" customHeight="1">
      <c r="A124" t="inlineStr">
        <is>
          <t>A 60343-2019</t>
        </is>
      </c>
      <c r="B124" s="1" t="n">
        <v>43780</v>
      </c>
      <c r="C124" s="1" t="n">
        <v>45758</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64772-2019</t>
        </is>
      </c>
      <c r="B125" s="1" t="n">
        <v>43801</v>
      </c>
      <c r="C125" s="1" t="n">
        <v>45758</v>
      </c>
      <c r="D125" t="inlineStr">
        <is>
          <t>VÄSTMANLANDS LÄN</t>
        </is>
      </c>
      <c r="E125" t="inlineStr">
        <is>
          <t>SURAHAMMAR</t>
        </is>
      </c>
      <c r="F125" t="inlineStr">
        <is>
          <t>Övriga Aktiebolag</t>
        </is>
      </c>
      <c r="G125" t="n">
        <v>7</v>
      </c>
      <c r="H125" t="n">
        <v>0</v>
      </c>
      <c r="I125" t="n">
        <v>0</v>
      </c>
      <c r="J125" t="n">
        <v>0</v>
      </c>
      <c r="K125" t="n">
        <v>0</v>
      </c>
      <c r="L125" t="n">
        <v>0</v>
      </c>
      <c r="M125" t="n">
        <v>0</v>
      </c>
      <c r="N125" t="n">
        <v>0</v>
      </c>
      <c r="O125" t="n">
        <v>0</v>
      </c>
      <c r="P125" t="n">
        <v>0</v>
      </c>
      <c r="Q125" t="n">
        <v>0</v>
      </c>
      <c r="R125" s="2" t="inlineStr"/>
    </row>
    <row r="126" ht="15" customHeight="1">
      <c r="A126" t="inlineStr">
        <is>
          <t>A 66269-2019</t>
        </is>
      </c>
      <c r="B126" s="1" t="n">
        <v>43802</v>
      </c>
      <c r="C126" s="1" t="n">
        <v>45758</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65619-2019</t>
        </is>
      </c>
      <c r="B127" s="1" t="n">
        <v>43804</v>
      </c>
      <c r="C127" s="1" t="n">
        <v>45758</v>
      </c>
      <c r="D127" t="inlineStr">
        <is>
          <t>VÄSTMANLANDS LÄN</t>
        </is>
      </c>
      <c r="E127" t="inlineStr">
        <is>
          <t>SURAHAMMAR</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2039-2020</t>
        </is>
      </c>
      <c r="B128" s="1" t="n">
        <v>43839</v>
      </c>
      <c r="C128" s="1" t="n">
        <v>45758</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5804-2020</t>
        </is>
      </c>
      <c r="B129" s="1" t="n">
        <v>43864</v>
      </c>
      <c r="C129" s="1" t="n">
        <v>45758</v>
      </c>
      <c r="D129" t="inlineStr">
        <is>
          <t>VÄSTMANLANDS LÄN</t>
        </is>
      </c>
      <c r="E129" t="inlineStr">
        <is>
          <t>SURAHAMMAR</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8608-2020</t>
        </is>
      </c>
      <c r="B130" s="1" t="n">
        <v>43878</v>
      </c>
      <c r="C130" s="1" t="n">
        <v>45758</v>
      </c>
      <c r="D130" t="inlineStr">
        <is>
          <t>VÄSTMANLANDS LÄN</t>
        </is>
      </c>
      <c r="E130" t="inlineStr">
        <is>
          <t>SURAHAMMAR</t>
        </is>
      </c>
      <c r="F130" t="inlineStr">
        <is>
          <t>Övriga Aktiebolag</t>
        </is>
      </c>
      <c r="G130" t="n">
        <v>20.2</v>
      </c>
      <c r="H130" t="n">
        <v>0</v>
      </c>
      <c r="I130" t="n">
        <v>0</v>
      </c>
      <c r="J130" t="n">
        <v>0</v>
      </c>
      <c r="K130" t="n">
        <v>0</v>
      </c>
      <c r="L130" t="n">
        <v>0</v>
      </c>
      <c r="M130" t="n">
        <v>0</v>
      </c>
      <c r="N130" t="n">
        <v>0</v>
      </c>
      <c r="O130" t="n">
        <v>0</v>
      </c>
      <c r="P130" t="n">
        <v>0</v>
      </c>
      <c r="Q130" t="n">
        <v>0</v>
      </c>
      <c r="R130" s="2" t="inlineStr"/>
    </row>
    <row r="131" ht="15" customHeight="1">
      <c r="A131" t="inlineStr">
        <is>
          <t>A 40660-2020</t>
        </is>
      </c>
      <c r="B131" s="1" t="n">
        <v>44069</v>
      </c>
      <c r="C131" s="1" t="n">
        <v>45758</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43171-2020</t>
        </is>
      </c>
      <c r="B132" s="1" t="n">
        <v>44081</v>
      </c>
      <c r="C132" s="1" t="n">
        <v>45758</v>
      </c>
      <c r="D132" t="inlineStr">
        <is>
          <t>VÄSTMANLANDS LÄN</t>
        </is>
      </c>
      <c r="E132" t="inlineStr">
        <is>
          <t>SURAHAMMAR</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43174-2020</t>
        </is>
      </c>
      <c r="B133" s="1" t="n">
        <v>44081</v>
      </c>
      <c r="C133" s="1" t="n">
        <v>45758</v>
      </c>
      <c r="D133" t="inlineStr">
        <is>
          <t>VÄSTMANLANDS LÄN</t>
        </is>
      </c>
      <c r="E133" t="inlineStr">
        <is>
          <t>SURAHAMMAR</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43177-2020</t>
        </is>
      </c>
      <c r="B134" s="1" t="n">
        <v>44081</v>
      </c>
      <c r="C134" s="1" t="n">
        <v>45758</v>
      </c>
      <c r="D134" t="inlineStr">
        <is>
          <t>VÄSTMANLANDS LÄN</t>
        </is>
      </c>
      <c r="E134" t="inlineStr">
        <is>
          <t>SURAHAMMAR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43590-2020</t>
        </is>
      </c>
      <c r="B135" s="1" t="n">
        <v>44082</v>
      </c>
      <c r="C135" s="1" t="n">
        <v>45758</v>
      </c>
      <c r="D135" t="inlineStr">
        <is>
          <t>VÄSTMANLANDS LÄN</t>
        </is>
      </c>
      <c r="E135" t="inlineStr">
        <is>
          <t>SURAHAMMAR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47997-2020</t>
        </is>
      </c>
      <c r="B136" s="1" t="n">
        <v>44099</v>
      </c>
      <c r="C136" s="1" t="n">
        <v>45758</v>
      </c>
      <c r="D136" t="inlineStr">
        <is>
          <t>VÄSTMANLANDS LÄN</t>
        </is>
      </c>
      <c r="E136" t="inlineStr">
        <is>
          <t>SURAHAMMAR</t>
        </is>
      </c>
      <c r="G136" t="n">
        <v>4.8</v>
      </c>
      <c r="H136" t="n">
        <v>0</v>
      </c>
      <c r="I136" t="n">
        <v>0</v>
      </c>
      <c r="J136" t="n">
        <v>0</v>
      </c>
      <c r="K136" t="n">
        <v>0</v>
      </c>
      <c r="L136" t="n">
        <v>0</v>
      </c>
      <c r="M136" t="n">
        <v>0</v>
      </c>
      <c r="N136" t="n">
        <v>0</v>
      </c>
      <c r="O136" t="n">
        <v>0</v>
      </c>
      <c r="P136" t="n">
        <v>0</v>
      </c>
      <c r="Q136" t="n">
        <v>0</v>
      </c>
      <c r="R136" s="2" t="inlineStr"/>
    </row>
    <row r="137" ht="15" customHeight="1">
      <c r="A137" t="inlineStr">
        <is>
          <t>A 52076-2020</t>
        </is>
      </c>
      <c r="B137" s="1" t="n">
        <v>44117</v>
      </c>
      <c r="C137" s="1" t="n">
        <v>45758</v>
      </c>
      <c r="D137" t="inlineStr">
        <is>
          <t>VÄSTMANLANDS LÄN</t>
        </is>
      </c>
      <c r="E137" t="inlineStr">
        <is>
          <t>SURAHAMMAR</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52074-2020</t>
        </is>
      </c>
      <c r="B138" s="1" t="n">
        <v>44117</v>
      </c>
      <c r="C138" s="1" t="n">
        <v>45758</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54962-2020</t>
        </is>
      </c>
      <c r="B139" s="1" t="n">
        <v>44130</v>
      </c>
      <c r="C139" s="1" t="n">
        <v>45758</v>
      </c>
      <c r="D139" t="inlineStr">
        <is>
          <t>VÄSTMANLANDS LÄN</t>
        </is>
      </c>
      <c r="E139" t="inlineStr">
        <is>
          <t>SURAHAMMAR</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55397-2020</t>
        </is>
      </c>
      <c r="B140" s="1" t="n">
        <v>44131</v>
      </c>
      <c r="C140" s="1" t="n">
        <v>45758</v>
      </c>
      <c r="D140" t="inlineStr">
        <is>
          <t>VÄSTMANLANDS LÄN</t>
        </is>
      </c>
      <c r="E140" t="inlineStr">
        <is>
          <t>SURAHAMMAR</t>
        </is>
      </c>
      <c r="F140" t="inlineStr">
        <is>
          <t>Sveaskog</t>
        </is>
      </c>
      <c r="G140" t="n">
        <v>5</v>
      </c>
      <c r="H140" t="n">
        <v>0</v>
      </c>
      <c r="I140" t="n">
        <v>0</v>
      </c>
      <c r="J140" t="n">
        <v>0</v>
      </c>
      <c r="K140" t="n">
        <v>0</v>
      </c>
      <c r="L140" t="n">
        <v>0</v>
      </c>
      <c r="M140" t="n">
        <v>0</v>
      </c>
      <c r="N140" t="n">
        <v>0</v>
      </c>
      <c r="O140" t="n">
        <v>0</v>
      </c>
      <c r="P140" t="n">
        <v>0</v>
      </c>
      <c r="Q140" t="n">
        <v>0</v>
      </c>
      <c r="R140" s="2" t="inlineStr"/>
    </row>
    <row r="141" ht="15" customHeight="1">
      <c r="A141" t="inlineStr">
        <is>
          <t>A 59543-2020</t>
        </is>
      </c>
      <c r="B141" s="1" t="n">
        <v>44148</v>
      </c>
      <c r="C141" s="1" t="n">
        <v>45758</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59740-2020</t>
        </is>
      </c>
      <c r="B142" s="1" t="n">
        <v>44151</v>
      </c>
      <c r="C142" s="1" t="n">
        <v>45758</v>
      </c>
      <c r="D142" t="inlineStr">
        <is>
          <t>VÄSTMANLANDS LÄN</t>
        </is>
      </c>
      <c r="E142" t="inlineStr">
        <is>
          <t>SURAHAMMAR</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59727-2020</t>
        </is>
      </c>
      <c r="B143" s="1" t="n">
        <v>44151</v>
      </c>
      <c r="C143" s="1" t="n">
        <v>45758</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1492-2021</t>
        </is>
      </c>
      <c r="B144" s="1" t="n">
        <v>44209</v>
      </c>
      <c r="C144" s="1" t="n">
        <v>45758</v>
      </c>
      <c r="D144" t="inlineStr">
        <is>
          <t>VÄSTMANLANDS LÄN</t>
        </is>
      </c>
      <c r="E144" t="inlineStr">
        <is>
          <t>SURAHAMMAR</t>
        </is>
      </c>
      <c r="G144" t="n">
        <v>1.2</v>
      </c>
      <c r="H144" t="n">
        <v>0</v>
      </c>
      <c r="I144" t="n">
        <v>0</v>
      </c>
      <c r="J144" t="n">
        <v>0</v>
      </c>
      <c r="K144" t="n">
        <v>0</v>
      </c>
      <c r="L144" t="n">
        <v>0</v>
      </c>
      <c r="M144" t="n">
        <v>0</v>
      </c>
      <c r="N144" t="n">
        <v>0</v>
      </c>
      <c r="O144" t="n">
        <v>0</v>
      </c>
      <c r="P144" t="n">
        <v>0</v>
      </c>
      <c r="Q144" t="n">
        <v>0</v>
      </c>
      <c r="R144" s="2" t="inlineStr"/>
    </row>
    <row r="145" ht="15" customHeight="1">
      <c r="A145" t="inlineStr">
        <is>
          <t>A 18723-2021</t>
        </is>
      </c>
      <c r="B145" s="1" t="n">
        <v>44306</v>
      </c>
      <c r="C145" s="1" t="n">
        <v>45758</v>
      </c>
      <c r="D145" t="inlineStr">
        <is>
          <t>VÄSTMANLANDS LÄN</t>
        </is>
      </c>
      <c r="E145" t="inlineStr">
        <is>
          <t>SURAHAMMAR</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20478-2021</t>
        </is>
      </c>
      <c r="B146" s="1" t="n">
        <v>44315</v>
      </c>
      <c r="C146" s="1" t="n">
        <v>45758</v>
      </c>
      <c r="D146" t="inlineStr">
        <is>
          <t>VÄSTMANLANDS LÄN</t>
        </is>
      </c>
      <c r="E146" t="inlineStr">
        <is>
          <t>SURAHAMMAR</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21839-2021</t>
        </is>
      </c>
      <c r="B147" s="1" t="n">
        <v>44322</v>
      </c>
      <c r="C147" s="1" t="n">
        <v>45758</v>
      </c>
      <c r="D147" t="inlineStr">
        <is>
          <t>VÄSTMANLANDS LÄN</t>
        </is>
      </c>
      <c r="E147" t="inlineStr">
        <is>
          <t>SURAHAMMAR</t>
        </is>
      </c>
      <c r="G147" t="n">
        <v>1.6</v>
      </c>
      <c r="H147" t="n">
        <v>0</v>
      </c>
      <c r="I147" t="n">
        <v>0</v>
      </c>
      <c r="J147" t="n">
        <v>0</v>
      </c>
      <c r="K147" t="n">
        <v>0</v>
      </c>
      <c r="L147" t="n">
        <v>0</v>
      </c>
      <c r="M147" t="n">
        <v>0</v>
      </c>
      <c r="N147" t="n">
        <v>0</v>
      </c>
      <c r="O147" t="n">
        <v>0</v>
      </c>
      <c r="P147" t="n">
        <v>0</v>
      </c>
      <c r="Q147" t="n">
        <v>0</v>
      </c>
      <c r="R147" s="2" t="inlineStr"/>
    </row>
    <row r="148" ht="15" customHeight="1">
      <c r="A148" t="inlineStr">
        <is>
          <t>A 24804-2021</t>
        </is>
      </c>
      <c r="B148" s="1" t="n">
        <v>44340</v>
      </c>
      <c r="C148" s="1" t="n">
        <v>45758</v>
      </c>
      <c r="D148" t="inlineStr">
        <is>
          <t>VÄSTMANLANDS LÄN</t>
        </is>
      </c>
      <c r="E148" t="inlineStr">
        <is>
          <t>SURAHAMMAR</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31468-2021</t>
        </is>
      </c>
      <c r="B149" s="1" t="n">
        <v>44369</v>
      </c>
      <c r="C149" s="1" t="n">
        <v>45758</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33998-2021</t>
        </is>
      </c>
      <c r="B150" s="1" t="n">
        <v>44378</v>
      </c>
      <c r="C150" s="1" t="n">
        <v>45758</v>
      </c>
      <c r="D150" t="inlineStr">
        <is>
          <t>VÄSTMANLANDS LÄN</t>
        </is>
      </c>
      <c r="E150" t="inlineStr">
        <is>
          <t>SURAHAMMAR</t>
        </is>
      </c>
      <c r="F150" t="inlineStr">
        <is>
          <t>Bergvik skog väst AB</t>
        </is>
      </c>
      <c r="G150" t="n">
        <v>3.2</v>
      </c>
      <c r="H150" t="n">
        <v>0</v>
      </c>
      <c r="I150" t="n">
        <v>0</v>
      </c>
      <c r="J150" t="n">
        <v>0</v>
      </c>
      <c r="K150" t="n">
        <v>0</v>
      </c>
      <c r="L150" t="n">
        <v>0</v>
      </c>
      <c r="M150" t="n">
        <v>0</v>
      </c>
      <c r="N150" t="n">
        <v>0</v>
      </c>
      <c r="O150" t="n">
        <v>0</v>
      </c>
      <c r="P150" t="n">
        <v>0</v>
      </c>
      <c r="Q150" t="n">
        <v>0</v>
      </c>
      <c r="R150" s="2" t="inlineStr"/>
    </row>
    <row r="151" ht="15" customHeight="1">
      <c r="A151" t="inlineStr">
        <is>
          <t>A 34001-2021</t>
        </is>
      </c>
      <c r="B151" s="1" t="n">
        <v>44378</v>
      </c>
      <c r="C151" s="1" t="n">
        <v>45758</v>
      </c>
      <c r="D151" t="inlineStr">
        <is>
          <t>VÄSTMANLANDS LÄN</t>
        </is>
      </c>
      <c r="E151" t="inlineStr">
        <is>
          <t>SURAHAMMAR</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45758</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37799-2021</t>
        </is>
      </c>
      <c r="B153" s="1" t="n">
        <v>44402</v>
      </c>
      <c r="C153" s="1" t="n">
        <v>45758</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38150-2021</t>
        </is>
      </c>
      <c r="B154" s="1" t="n">
        <v>44405</v>
      </c>
      <c r="C154" s="1" t="n">
        <v>45758</v>
      </c>
      <c r="D154" t="inlineStr">
        <is>
          <t>VÄSTMANLANDS LÄN</t>
        </is>
      </c>
      <c r="E154" t="inlineStr">
        <is>
          <t>SURAHAMMAR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38178-2021</t>
        </is>
      </c>
      <c r="B155" s="1" t="n">
        <v>44405</v>
      </c>
      <c r="C155" s="1" t="n">
        <v>45758</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38149-2021</t>
        </is>
      </c>
      <c r="B156" s="1" t="n">
        <v>44405</v>
      </c>
      <c r="C156" s="1" t="n">
        <v>45758</v>
      </c>
      <c r="D156" t="inlineStr">
        <is>
          <t>VÄSTMANLANDS LÄN</t>
        </is>
      </c>
      <c r="E156" t="inlineStr">
        <is>
          <t>SURAHAMMAR</t>
        </is>
      </c>
      <c r="F156" t="inlineStr">
        <is>
          <t>Sveaskog</t>
        </is>
      </c>
      <c r="G156" t="n">
        <v>4.9</v>
      </c>
      <c r="H156" t="n">
        <v>0</v>
      </c>
      <c r="I156" t="n">
        <v>0</v>
      </c>
      <c r="J156" t="n">
        <v>0</v>
      </c>
      <c r="K156" t="n">
        <v>0</v>
      </c>
      <c r="L156" t="n">
        <v>0</v>
      </c>
      <c r="M156" t="n">
        <v>0</v>
      </c>
      <c r="N156" t="n">
        <v>0</v>
      </c>
      <c r="O156" t="n">
        <v>0</v>
      </c>
      <c r="P156" t="n">
        <v>0</v>
      </c>
      <c r="Q156" t="n">
        <v>0</v>
      </c>
      <c r="R156" s="2" t="inlineStr"/>
    </row>
    <row r="157" ht="15" customHeight="1">
      <c r="A157" t="inlineStr">
        <is>
          <t>A 38163-2021</t>
        </is>
      </c>
      <c r="B157" s="1" t="n">
        <v>44405</v>
      </c>
      <c r="C157" s="1" t="n">
        <v>45758</v>
      </c>
      <c r="D157" t="inlineStr">
        <is>
          <t>VÄSTMANLANDS LÄN</t>
        </is>
      </c>
      <c r="E157" t="inlineStr">
        <is>
          <t>SURAHAMMAR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38154-2021</t>
        </is>
      </c>
      <c r="B158" s="1" t="n">
        <v>44405</v>
      </c>
      <c r="C158" s="1" t="n">
        <v>45758</v>
      </c>
      <c r="D158" t="inlineStr">
        <is>
          <t>VÄSTMANLANDS LÄN</t>
        </is>
      </c>
      <c r="E158" t="inlineStr">
        <is>
          <t>SURAHAMMAR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47852-2021</t>
        </is>
      </c>
      <c r="B159" s="1" t="n">
        <v>44448</v>
      </c>
      <c r="C159" s="1" t="n">
        <v>45758</v>
      </c>
      <c r="D159" t="inlineStr">
        <is>
          <t>VÄSTMANLANDS LÄN</t>
        </is>
      </c>
      <c r="E159" t="inlineStr">
        <is>
          <t>SURAHAMMAR</t>
        </is>
      </c>
      <c r="G159" t="n">
        <v>4.1</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45758</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64073-2021</t>
        </is>
      </c>
      <c r="B161" s="1" t="n">
        <v>44509</v>
      </c>
      <c r="C161" s="1" t="n">
        <v>45758</v>
      </c>
      <c r="D161" t="inlineStr">
        <is>
          <t>VÄSTMANLANDS LÄN</t>
        </is>
      </c>
      <c r="E161" t="inlineStr">
        <is>
          <t>SURAHAMMAR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66342-2021</t>
        </is>
      </c>
      <c r="B162" s="1" t="n">
        <v>44518</v>
      </c>
      <c r="C162" s="1" t="n">
        <v>45758</v>
      </c>
      <c r="D162" t="inlineStr">
        <is>
          <t>VÄSTMANLANDS LÄN</t>
        </is>
      </c>
      <c r="E162" t="inlineStr">
        <is>
          <t>SURAHAMMAR</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66350-2021</t>
        </is>
      </c>
      <c r="B163" s="1" t="n">
        <v>44518</v>
      </c>
      <c r="C163" s="1" t="n">
        <v>45758</v>
      </c>
      <c r="D163" t="inlineStr">
        <is>
          <t>VÄSTMANLANDS LÄN</t>
        </is>
      </c>
      <c r="E163" t="inlineStr">
        <is>
          <t>SURAHAMMAR</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67611-2021</t>
        </is>
      </c>
      <c r="B164" s="1" t="n">
        <v>44524</v>
      </c>
      <c r="C164" s="1" t="n">
        <v>45758</v>
      </c>
      <c r="D164" t="inlineStr">
        <is>
          <t>VÄSTMANLANDS LÄN</t>
        </is>
      </c>
      <c r="E164" t="inlineStr">
        <is>
          <t>SURAHAMMAR</t>
        </is>
      </c>
      <c r="F164" t="inlineStr">
        <is>
          <t>Kommuner</t>
        </is>
      </c>
      <c r="G164" t="n">
        <v>3.8</v>
      </c>
      <c r="H164" t="n">
        <v>0</v>
      </c>
      <c r="I164" t="n">
        <v>0</v>
      </c>
      <c r="J164" t="n">
        <v>0</v>
      </c>
      <c r="K164" t="n">
        <v>0</v>
      </c>
      <c r="L164" t="n">
        <v>0</v>
      </c>
      <c r="M164" t="n">
        <v>0</v>
      </c>
      <c r="N164" t="n">
        <v>0</v>
      </c>
      <c r="O164" t="n">
        <v>0</v>
      </c>
      <c r="P164" t="n">
        <v>0</v>
      </c>
      <c r="Q164" t="n">
        <v>0</v>
      </c>
      <c r="R164" s="2" t="inlineStr"/>
    </row>
    <row r="165" ht="15" customHeight="1">
      <c r="A165" t="inlineStr">
        <is>
          <t>A 72367-2021</t>
        </is>
      </c>
      <c r="B165" s="1" t="n">
        <v>44545</v>
      </c>
      <c r="C165" s="1" t="n">
        <v>45758</v>
      </c>
      <c r="D165" t="inlineStr">
        <is>
          <t>VÄSTMANLANDS LÄN</t>
        </is>
      </c>
      <c r="E165" t="inlineStr">
        <is>
          <t>SURAHAMMAR</t>
        </is>
      </c>
      <c r="G165" t="n">
        <v>2.5</v>
      </c>
      <c r="H165" t="n">
        <v>0</v>
      </c>
      <c r="I165" t="n">
        <v>0</v>
      </c>
      <c r="J165" t="n">
        <v>0</v>
      </c>
      <c r="K165" t="n">
        <v>0</v>
      </c>
      <c r="L165" t="n">
        <v>0</v>
      </c>
      <c r="M165" t="n">
        <v>0</v>
      </c>
      <c r="N165" t="n">
        <v>0</v>
      </c>
      <c r="O165" t="n">
        <v>0</v>
      </c>
      <c r="P165" t="n">
        <v>0</v>
      </c>
      <c r="Q165" t="n">
        <v>0</v>
      </c>
      <c r="R165" s="2" t="inlineStr"/>
    </row>
    <row r="166" ht="15" customHeight="1">
      <c r="A166" t="inlineStr">
        <is>
          <t>A 73156-2021</t>
        </is>
      </c>
      <c r="B166" s="1" t="n">
        <v>44550</v>
      </c>
      <c r="C166" s="1" t="n">
        <v>45758</v>
      </c>
      <c r="D166" t="inlineStr">
        <is>
          <t>VÄSTMANLANDS LÄN</t>
        </is>
      </c>
      <c r="E166" t="inlineStr">
        <is>
          <t>SURAHAMMAR</t>
        </is>
      </c>
      <c r="F166" t="inlineStr">
        <is>
          <t>Övriga Aktiebolag</t>
        </is>
      </c>
      <c r="G166" t="n">
        <v>2.5</v>
      </c>
      <c r="H166" t="n">
        <v>0</v>
      </c>
      <c r="I166" t="n">
        <v>0</v>
      </c>
      <c r="J166" t="n">
        <v>0</v>
      </c>
      <c r="K166" t="n">
        <v>0</v>
      </c>
      <c r="L166" t="n">
        <v>0</v>
      </c>
      <c r="M166" t="n">
        <v>0</v>
      </c>
      <c r="N166" t="n">
        <v>0</v>
      </c>
      <c r="O166" t="n">
        <v>0</v>
      </c>
      <c r="P166" t="n">
        <v>0</v>
      </c>
      <c r="Q166" t="n">
        <v>0</v>
      </c>
      <c r="R166" s="2" t="inlineStr"/>
    </row>
    <row r="167" ht="15" customHeight="1">
      <c r="A167" t="inlineStr">
        <is>
          <t>A 3155-2022</t>
        </is>
      </c>
      <c r="B167" s="1" t="n">
        <v>44582</v>
      </c>
      <c r="C167" s="1" t="n">
        <v>45758</v>
      </c>
      <c r="D167" t="inlineStr">
        <is>
          <t>VÄSTMANLANDS LÄN</t>
        </is>
      </c>
      <c r="E167" t="inlineStr">
        <is>
          <t>SURAHAMMAR</t>
        </is>
      </c>
      <c r="G167" t="n">
        <v>5.5</v>
      </c>
      <c r="H167" t="n">
        <v>0</v>
      </c>
      <c r="I167" t="n">
        <v>0</v>
      </c>
      <c r="J167" t="n">
        <v>0</v>
      </c>
      <c r="K167" t="n">
        <v>0</v>
      </c>
      <c r="L167" t="n">
        <v>0</v>
      </c>
      <c r="M167" t="n">
        <v>0</v>
      </c>
      <c r="N167" t="n">
        <v>0</v>
      </c>
      <c r="O167" t="n">
        <v>0</v>
      </c>
      <c r="P167" t="n">
        <v>0</v>
      </c>
      <c r="Q167" t="n">
        <v>0</v>
      </c>
      <c r="R167" s="2" t="inlineStr"/>
    </row>
    <row r="168" ht="15" customHeight="1">
      <c r="A168" t="inlineStr">
        <is>
          <t>A 3595-2022</t>
        </is>
      </c>
      <c r="B168" s="1" t="n">
        <v>44586</v>
      </c>
      <c r="C168" s="1" t="n">
        <v>45758</v>
      </c>
      <c r="D168" t="inlineStr">
        <is>
          <t>VÄSTMANLANDS LÄN</t>
        </is>
      </c>
      <c r="E168" t="inlineStr">
        <is>
          <t>SURAHAMMAR</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3818-2022</t>
        </is>
      </c>
      <c r="B169" s="1" t="n">
        <v>44587</v>
      </c>
      <c r="C169" s="1" t="n">
        <v>45758</v>
      </c>
      <c r="D169" t="inlineStr">
        <is>
          <t>VÄSTMANLANDS LÄN</t>
        </is>
      </c>
      <c r="E169" t="inlineStr">
        <is>
          <t>SURAHAMMAR</t>
        </is>
      </c>
      <c r="G169" t="n">
        <v>2.6</v>
      </c>
      <c r="H169" t="n">
        <v>0</v>
      </c>
      <c r="I169" t="n">
        <v>0</v>
      </c>
      <c r="J169" t="n">
        <v>0</v>
      </c>
      <c r="K169" t="n">
        <v>0</v>
      </c>
      <c r="L169" t="n">
        <v>0</v>
      </c>
      <c r="M169" t="n">
        <v>0</v>
      </c>
      <c r="N169" t="n">
        <v>0</v>
      </c>
      <c r="O169" t="n">
        <v>0</v>
      </c>
      <c r="P169" t="n">
        <v>0</v>
      </c>
      <c r="Q169" t="n">
        <v>0</v>
      </c>
      <c r="R169" s="2" t="inlineStr"/>
    </row>
    <row r="170" ht="15" customHeight="1">
      <c r="A170" t="inlineStr">
        <is>
          <t>A 5567-2022</t>
        </is>
      </c>
      <c r="B170" s="1" t="n">
        <v>44595</v>
      </c>
      <c r="C170" s="1" t="n">
        <v>45758</v>
      </c>
      <c r="D170" t="inlineStr">
        <is>
          <t>VÄSTMANLANDS LÄN</t>
        </is>
      </c>
      <c r="E170" t="inlineStr">
        <is>
          <t>SURAHAMMAR</t>
        </is>
      </c>
      <c r="G170" t="n">
        <v>1.3</v>
      </c>
      <c r="H170" t="n">
        <v>0</v>
      </c>
      <c r="I170" t="n">
        <v>0</v>
      </c>
      <c r="J170" t="n">
        <v>0</v>
      </c>
      <c r="K170" t="n">
        <v>0</v>
      </c>
      <c r="L170" t="n">
        <v>0</v>
      </c>
      <c r="M170" t="n">
        <v>0</v>
      </c>
      <c r="N170" t="n">
        <v>0</v>
      </c>
      <c r="O170" t="n">
        <v>0</v>
      </c>
      <c r="P170" t="n">
        <v>0</v>
      </c>
      <c r="Q170" t="n">
        <v>0</v>
      </c>
      <c r="R170" s="2" t="inlineStr"/>
    </row>
    <row r="171" ht="15" customHeight="1">
      <c r="A171" t="inlineStr">
        <is>
          <t>A 7848-2022</t>
        </is>
      </c>
      <c r="B171" s="1" t="n">
        <v>44608</v>
      </c>
      <c r="C171" s="1" t="n">
        <v>45758</v>
      </c>
      <c r="D171" t="inlineStr">
        <is>
          <t>VÄSTMANLANDS LÄN</t>
        </is>
      </c>
      <c r="E171" t="inlineStr">
        <is>
          <t>SURAHAMMAR</t>
        </is>
      </c>
      <c r="G171" t="n">
        <v>2.1</v>
      </c>
      <c r="H171" t="n">
        <v>0</v>
      </c>
      <c r="I171" t="n">
        <v>0</v>
      </c>
      <c r="J171" t="n">
        <v>0</v>
      </c>
      <c r="K171" t="n">
        <v>0</v>
      </c>
      <c r="L171" t="n">
        <v>0</v>
      </c>
      <c r="M171" t="n">
        <v>0</v>
      </c>
      <c r="N171" t="n">
        <v>0</v>
      </c>
      <c r="O171" t="n">
        <v>0</v>
      </c>
      <c r="P171" t="n">
        <v>0</v>
      </c>
      <c r="Q171" t="n">
        <v>0</v>
      </c>
      <c r="R171" s="2" t="inlineStr"/>
    </row>
    <row r="172" ht="15" customHeight="1">
      <c r="A172" t="inlineStr">
        <is>
          <t>A 13119-2022</t>
        </is>
      </c>
      <c r="B172" s="1" t="n">
        <v>44643</v>
      </c>
      <c r="C172" s="1" t="n">
        <v>45758</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13070-2022</t>
        </is>
      </c>
      <c r="B173" s="1" t="n">
        <v>44643</v>
      </c>
      <c r="C173" s="1" t="n">
        <v>45758</v>
      </c>
      <c r="D173" t="inlineStr">
        <is>
          <t>VÄSTMANLANDS LÄN</t>
        </is>
      </c>
      <c r="E173" t="inlineStr">
        <is>
          <t>SURAHAMMAR</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15637-2022</t>
        </is>
      </c>
      <c r="B174" s="1" t="n">
        <v>44662</v>
      </c>
      <c r="C174" s="1" t="n">
        <v>45758</v>
      </c>
      <c r="D174" t="inlineStr">
        <is>
          <t>VÄSTMANLANDS LÄN</t>
        </is>
      </c>
      <c r="E174" t="inlineStr">
        <is>
          <t>SURAHAMMAR</t>
        </is>
      </c>
      <c r="G174" t="n">
        <v>2.2</v>
      </c>
      <c r="H174" t="n">
        <v>0</v>
      </c>
      <c r="I174" t="n">
        <v>0</v>
      </c>
      <c r="J174" t="n">
        <v>0</v>
      </c>
      <c r="K174" t="n">
        <v>0</v>
      </c>
      <c r="L174" t="n">
        <v>0</v>
      </c>
      <c r="M174" t="n">
        <v>0</v>
      </c>
      <c r="N174" t="n">
        <v>0</v>
      </c>
      <c r="O174" t="n">
        <v>0</v>
      </c>
      <c r="P174" t="n">
        <v>0</v>
      </c>
      <c r="Q174" t="n">
        <v>0</v>
      </c>
      <c r="R174" s="2" t="inlineStr"/>
    </row>
    <row r="175" ht="15" customHeight="1">
      <c r="A175" t="inlineStr">
        <is>
          <t>A 16608-2022</t>
        </is>
      </c>
      <c r="B175" s="1" t="n">
        <v>44672</v>
      </c>
      <c r="C175" s="1" t="n">
        <v>45758</v>
      </c>
      <c r="D175" t="inlineStr">
        <is>
          <t>VÄSTMANLANDS LÄN</t>
        </is>
      </c>
      <c r="E175" t="inlineStr">
        <is>
          <t>SURAHAMMAR</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19099-2022</t>
        </is>
      </c>
      <c r="B176" s="1" t="n">
        <v>44691</v>
      </c>
      <c r="C176" s="1" t="n">
        <v>45758</v>
      </c>
      <c r="D176" t="inlineStr">
        <is>
          <t>VÄSTMANLANDS LÄN</t>
        </is>
      </c>
      <c r="E176" t="inlineStr">
        <is>
          <t>SURAHAMMAR</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19637-2022</t>
        </is>
      </c>
      <c r="B177" s="1" t="n">
        <v>44694</v>
      </c>
      <c r="C177" s="1" t="n">
        <v>45758</v>
      </c>
      <c r="D177" t="inlineStr">
        <is>
          <t>VÄSTMANLANDS LÄN</t>
        </is>
      </c>
      <c r="E177" t="inlineStr">
        <is>
          <t>SURAHAMMAR</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19844-2022</t>
        </is>
      </c>
      <c r="B178" s="1" t="n">
        <v>44696</v>
      </c>
      <c r="C178" s="1" t="n">
        <v>45758</v>
      </c>
      <c r="D178" t="inlineStr">
        <is>
          <t>VÄSTMANLANDS LÄN</t>
        </is>
      </c>
      <c r="E178" t="inlineStr">
        <is>
          <t>SURAHAMMAR</t>
        </is>
      </c>
      <c r="F178" t="inlineStr">
        <is>
          <t>Kommuner</t>
        </is>
      </c>
      <c r="G178" t="n">
        <v>2.1</v>
      </c>
      <c r="H178" t="n">
        <v>0</v>
      </c>
      <c r="I178" t="n">
        <v>0</v>
      </c>
      <c r="J178" t="n">
        <v>0</v>
      </c>
      <c r="K178" t="n">
        <v>0</v>
      </c>
      <c r="L178" t="n">
        <v>0</v>
      </c>
      <c r="M178" t="n">
        <v>0</v>
      </c>
      <c r="N178" t="n">
        <v>0</v>
      </c>
      <c r="O178" t="n">
        <v>0</v>
      </c>
      <c r="P178" t="n">
        <v>0</v>
      </c>
      <c r="Q178" t="n">
        <v>0</v>
      </c>
      <c r="R178" s="2" t="inlineStr"/>
    </row>
    <row r="179" ht="15" customHeight="1">
      <c r="A179" t="inlineStr">
        <is>
          <t>A 19845-2022</t>
        </is>
      </c>
      <c r="B179" s="1" t="n">
        <v>44696</v>
      </c>
      <c r="C179" s="1" t="n">
        <v>45758</v>
      </c>
      <c r="D179" t="inlineStr">
        <is>
          <t>VÄSTMANLANDS LÄN</t>
        </is>
      </c>
      <c r="E179" t="inlineStr">
        <is>
          <t>SURAHAMMAR</t>
        </is>
      </c>
      <c r="F179" t="inlineStr">
        <is>
          <t>Kommuner</t>
        </is>
      </c>
      <c r="G179" t="n">
        <v>3.3</v>
      </c>
      <c r="H179" t="n">
        <v>0</v>
      </c>
      <c r="I179" t="n">
        <v>0</v>
      </c>
      <c r="J179" t="n">
        <v>0</v>
      </c>
      <c r="K179" t="n">
        <v>0</v>
      </c>
      <c r="L179" t="n">
        <v>0</v>
      </c>
      <c r="M179" t="n">
        <v>0</v>
      </c>
      <c r="N179" t="n">
        <v>0</v>
      </c>
      <c r="O179" t="n">
        <v>0</v>
      </c>
      <c r="P179" t="n">
        <v>0</v>
      </c>
      <c r="Q179" t="n">
        <v>0</v>
      </c>
      <c r="R179" s="2" t="inlineStr"/>
    </row>
    <row r="180" ht="15" customHeight="1">
      <c r="A180" t="inlineStr">
        <is>
          <t>A 19846-2022</t>
        </is>
      </c>
      <c r="B180" s="1" t="n">
        <v>44696</v>
      </c>
      <c r="C180" s="1" t="n">
        <v>45758</v>
      </c>
      <c r="D180" t="inlineStr">
        <is>
          <t>VÄSTMANLANDS LÄN</t>
        </is>
      </c>
      <c r="E180" t="inlineStr">
        <is>
          <t>SURAHAMMAR</t>
        </is>
      </c>
      <c r="F180" t="inlineStr">
        <is>
          <t>Kommuner</t>
        </is>
      </c>
      <c r="G180" t="n">
        <v>3.4</v>
      </c>
      <c r="H180" t="n">
        <v>0</v>
      </c>
      <c r="I180" t="n">
        <v>0</v>
      </c>
      <c r="J180" t="n">
        <v>0</v>
      </c>
      <c r="K180" t="n">
        <v>0</v>
      </c>
      <c r="L180" t="n">
        <v>0</v>
      </c>
      <c r="M180" t="n">
        <v>0</v>
      </c>
      <c r="N180" t="n">
        <v>0</v>
      </c>
      <c r="O180" t="n">
        <v>0</v>
      </c>
      <c r="P180" t="n">
        <v>0</v>
      </c>
      <c r="Q180" t="n">
        <v>0</v>
      </c>
      <c r="R180" s="2" t="inlineStr"/>
    </row>
    <row r="181" ht="15" customHeight="1">
      <c r="A181" t="inlineStr">
        <is>
          <t>A 26700-2022</t>
        </is>
      </c>
      <c r="B181" s="1" t="n">
        <v>44739</v>
      </c>
      <c r="C181" s="1" t="n">
        <v>45758</v>
      </c>
      <c r="D181" t="inlineStr">
        <is>
          <t>VÄSTMANLANDS LÄN</t>
        </is>
      </c>
      <c r="E181" t="inlineStr">
        <is>
          <t>SURAHAMMAR</t>
        </is>
      </c>
      <c r="F181" t="inlineStr">
        <is>
          <t>Kommuner</t>
        </is>
      </c>
      <c r="G181" t="n">
        <v>3.1</v>
      </c>
      <c r="H181" t="n">
        <v>0</v>
      </c>
      <c r="I181" t="n">
        <v>0</v>
      </c>
      <c r="J181" t="n">
        <v>0</v>
      </c>
      <c r="K181" t="n">
        <v>0</v>
      </c>
      <c r="L181" t="n">
        <v>0</v>
      </c>
      <c r="M181" t="n">
        <v>0</v>
      </c>
      <c r="N181" t="n">
        <v>0</v>
      </c>
      <c r="O181" t="n">
        <v>0</v>
      </c>
      <c r="P181" t="n">
        <v>0</v>
      </c>
      <c r="Q181" t="n">
        <v>0</v>
      </c>
      <c r="R181" s="2" t="inlineStr"/>
    </row>
    <row r="182" ht="15" customHeight="1">
      <c r="A182" t="inlineStr">
        <is>
          <t>A 32475-2022</t>
        </is>
      </c>
      <c r="B182" s="1" t="n">
        <v>44782</v>
      </c>
      <c r="C182" s="1" t="n">
        <v>45758</v>
      </c>
      <c r="D182" t="inlineStr">
        <is>
          <t>VÄSTMANLANDS LÄN</t>
        </is>
      </c>
      <c r="E182" t="inlineStr">
        <is>
          <t>SURAHAMMAR</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32491-2022</t>
        </is>
      </c>
      <c r="B183" s="1" t="n">
        <v>44782</v>
      </c>
      <c r="C183" s="1" t="n">
        <v>45758</v>
      </c>
      <c r="D183" t="inlineStr">
        <is>
          <t>VÄSTMANLANDS LÄN</t>
        </is>
      </c>
      <c r="E183" t="inlineStr">
        <is>
          <t>SURAHAMMAR</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32492-2022</t>
        </is>
      </c>
      <c r="B184" s="1" t="n">
        <v>44782</v>
      </c>
      <c r="C184" s="1" t="n">
        <v>45758</v>
      </c>
      <c r="D184" t="inlineStr">
        <is>
          <t>VÄSTMANLANDS LÄN</t>
        </is>
      </c>
      <c r="E184" t="inlineStr">
        <is>
          <t>SURAHAMMAR</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33931-2022</t>
        </is>
      </c>
      <c r="B185" s="1" t="n">
        <v>44790</v>
      </c>
      <c r="C185" s="1" t="n">
        <v>45758</v>
      </c>
      <c r="D185" t="inlineStr">
        <is>
          <t>VÄSTMANLANDS LÄN</t>
        </is>
      </c>
      <c r="E185" t="inlineStr">
        <is>
          <t>SURAHAMMAR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33946-2022</t>
        </is>
      </c>
      <c r="B186" s="1" t="n">
        <v>44790</v>
      </c>
      <c r="C186" s="1" t="n">
        <v>45758</v>
      </c>
      <c r="D186" t="inlineStr">
        <is>
          <t>VÄSTMANLANDS LÄN</t>
        </is>
      </c>
      <c r="E186" t="inlineStr">
        <is>
          <t>SURAHAMMAR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33953-2022</t>
        </is>
      </c>
      <c r="B187" s="1" t="n">
        <v>44790</v>
      </c>
      <c r="C187" s="1" t="n">
        <v>45758</v>
      </c>
      <c r="D187" t="inlineStr">
        <is>
          <t>VÄSTMANLANDS LÄN</t>
        </is>
      </c>
      <c r="E187" t="inlineStr">
        <is>
          <t>SURAHAMMAR</t>
        </is>
      </c>
      <c r="G187" t="n">
        <v>3</v>
      </c>
      <c r="H187" t="n">
        <v>0</v>
      </c>
      <c r="I187" t="n">
        <v>0</v>
      </c>
      <c r="J187" t="n">
        <v>0</v>
      </c>
      <c r="K187" t="n">
        <v>0</v>
      </c>
      <c r="L187" t="n">
        <v>0</v>
      </c>
      <c r="M187" t="n">
        <v>0</v>
      </c>
      <c r="N187" t="n">
        <v>0</v>
      </c>
      <c r="O187" t="n">
        <v>0</v>
      </c>
      <c r="P187" t="n">
        <v>0</v>
      </c>
      <c r="Q187" t="n">
        <v>0</v>
      </c>
      <c r="R187" s="2" t="inlineStr"/>
    </row>
    <row r="188" ht="15" customHeight="1">
      <c r="A188" t="inlineStr">
        <is>
          <t>A 34957-2022</t>
        </is>
      </c>
      <c r="B188" s="1" t="n">
        <v>44796</v>
      </c>
      <c r="C188" s="1" t="n">
        <v>45758</v>
      </c>
      <c r="D188" t="inlineStr">
        <is>
          <t>VÄSTMANLANDS LÄN</t>
        </is>
      </c>
      <c r="E188" t="inlineStr">
        <is>
          <t>SURAHAMMAR</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34955-2022</t>
        </is>
      </c>
      <c r="B189" s="1" t="n">
        <v>44796</v>
      </c>
      <c r="C189" s="1" t="n">
        <v>45758</v>
      </c>
      <c r="D189" t="inlineStr">
        <is>
          <t>VÄSTMANLANDS LÄN</t>
        </is>
      </c>
      <c r="E189" t="inlineStr">
        <is>
          <t>SURAHAMMAR</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34956-2022</t>
        </is>
      </c>
      <c r="B190" s="1" t="n">
        <v>44796</v>
      </c>
      <c r="C190" s="1" t="n">
        <v>45758</v>
      </c>
      <c r="D190" t="inlineStr">
        <is>
          <t>VÄSTMANLANDS LÄN</t>
        </is>
      </c>
      <c r="E190" t="inlineStr">
        <is>
          <t>SURAHAMMAR</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35677-2022</t>
        </is>
      </c>
      <c r="B191" s="1" t="n">
        <v>44799</v>
      </c>
      <c r="C191" s="1" t="n">
        <v>45758</v>
      </c>
      <c r="D191" t="inlineStr">
        <is>
          <t>VÄSTMANLANDS LÄN</t>
        </is>
      </c>
      <c r="E191" t="inlineStr">
        <is>
          <t>SURAHAMMAR</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35682-2022</t>
        </is>
      </c>
      <c r="B192" s="1" t="n">
        <v>44799</v>
      </c>
      <c r="C192" s="1" t="n">
        <v>45758</v>
      </c>
      <c r="D192" t="inlineStr">
        <is>
          <t>VÄSTMANLANDS LÄN</t>
        </is>
      </c>
      <c r="E192" t="inlineStr">
        <is>
          <t>SURAHAMMAR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35679-2022</t>
        </is>
      </c>
      <c r="B193" s="1" t="n">
        <v>44799</v>
      </c>
      <c r="C193" s="1" t="n">
        <v>45758</v>
      </c>
      <c r="D193" t="inlineStr">
        <is>
          <t>VÄSTMANLANDS LÄN</t>
        </is>
      </c>
      <c r="E193" t="inlineStr">
        <is>
          <t>SURAHAMMAR</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41576-2022</t>
        </is>
      </c>
      <c r="B194" s="1" t="n">
        <v>44826</v>
      </c>
      <c r="C194" s="1" t="n">
        <v>45758</v>
      </c>
      <c r="D194" t="inlineStr">
        <is>
          <t>VÄSTMANLANDS LÄN</t>
        </is>
      </c>
      <c r="E194" t="inlineStr">
        <is>
          <t>SURAHAMMAR</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41555-2022</t>
        </is>
      </c>
      <c r="B195" s="1" t="n">
        <v>44826</v>
      </c>
      <c r="C195" s="1" t="n">
        <v>45758</v>
      </c>
      <c r="D195" t="inlineStr">
        <is>
          <t>VÄSTMANLANDS LÄN</t>
        </is>
      </c>
      <c r="E195" t="inlineStr">
        <is>
          <t>SURAHAMMAR</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42714-2022</t>
        </is>
      </c>
      <c r="B196" s="1" t="n">
        <v>44832</v>
      </c>
      <c r="C196" s="1" t="n">
        <v>45758</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42832-2022</t>
        </is>
      </c>
      <c r="B197" s="1" t="n">
        <v>44832</v>
      </c>
      <c r="C197" s="1" t="n">
        <v>45758</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42841-2022</t>
        </is>
      </c>
      <c r="B198" s="1" t="n">
        <v>44832</v>
      </c>
      <c r="C198" s="1" t="n">
        <v>45758</v>
      </c>
      <c r="D198" t="inlineStr">
        <is>
          <t>VÄSTMANLANDS LÄN</t>
        </is>
      </c>
      <c r="E198" t="inlineStr">
        <is>
          <t>SURAHAMMAR</t>
        </is>
      </c>
      <c r="G198" t="n">
        <v>1.8</v>
      </c>
      <c r="H198" t="n">
        <v>0</v>
      </c>
      <c r="I198" t="n">
        <v>0</v>
      </c>
      <c r="J198" t="n">
        <v>0</v>
      </c>
      <c r="K198" t="n">
        <v>0</v>
      </c>
      <c r="L198" t="n">
        <v>0</v>
      </c>
      <c r="M198" t="n">
        <v>0</v>
      </c>
      <c r="N198" t="n">
        <v>0</v>
      </c>
      <c r="O198" t="n">
        <v>0</v>
      </c>
      <c r="P198" t="n">
        <v>0</v>
      </c>
      <c r="Q198" t="n">
        <v>0</v>
      </c>
      <c r="R198" s="2" t="inlineStr"/>
    </row>
    <row r="199" ht="15" customHeight="1">
      <c r="A199" t="inlineStr">
        <is>
          <t>A 42829-2022</t>
        </is>
      </c>
      <c r="B199" s="1" t="n">
        <v>44832</v>
      </c>
      <c r="C199" s="1" t="n">
        <v>45758</v>
      </c>
      <c r="D199" t="inlineStr">
        <is>
          <t>VÄSTMANLANDS LÄN</t>
        </is>
      </c>
      <c r="E199" t="inlineStr">
        <is>
          <t>SURAHAMMAR</t>
        </is>
      </c>
      <c r="G199" t="n">
        <v>1.6</v>
      </c>
      <c r="H199" t="n">
        <v>0</v>
      </c>
      <c r="I199" t="n">
        <v>0</v>
      </c>
      <c r="J199" t="n">
        <v>0</v>
      </c>
      <c r="K199" t="n">
        <v>0</v>
      </c>
      <c r="L199" t="n">
        <v>0</v>
      </c>
      <c r="M199" t="n">
        <v>0</v>
      </c>
      <c r="N199" t="n">
        <v>0</v>
      </c>
      <c r="O199" t="n">
        <v>0</v>
      </c>
      <c r="P199" t="n">
        <v>0</v>
      </c>
      <c r="Q199" t="n">
        <v>0</v>
      </c>
      <c r="R199" s="2" t="inlineStr"/>
    </row>
    <row r="200" ht="15" customHeight="1">
      <c r="A200" t="inlineStr">
        <is>
          <t>A 48581-2022</t>
        </is>
      </c>
      <c r="B200" s="1" t="n">
        <v>44859</v>
      </c>
      <c r="C200" s="1" t="n">
        <v>45758</v>
      </c>
      <c r="D200" t="inlineStr">
        <is>
          <t>VÄSTMANLANDS LÄN</t>
        </is>
      </c>
      <c r="E200" t="inlineStr">
        <is>
          <t>SURAHAMMAR</t>
        </is>
      </c>
      <c r="F200" t="inlineStr">
        <is>
          <t>Bergvik skog väst AB</t>
        </is>
      </c>
      <c r="G200" t="n">
        <v>2.3</v>
      </c>
      <c r="H200" t="n">
        <v>0</v>
      </c>
      <c r="I200" t="n">
        <v>0</v>
      </c>
      <c r="J200" t="n">
        <v>0</v>
      </c>
      <c r="K200" t="n">
        <v>0</v>
      </c>
      <c r="L200" t="n">
        <v>0</v>
      </c>
      <c r="M200" t="n">
        <v>0</v>
      </c>
      <c r="N200" t="n">
        <v>0</v>
      </c>
      <c r="O200" t="n">
        <v>0</v>
      </c>
      <c r="P200" t="n">
        <v>0</v>
      </c>
      <c r="Q200" t="n">
        <v>0</v>
      </c>
      <c r="R200" s="2" t="inlineStr"/>
    </row>
    <row r="201" ht="15" customHeight="1">
      <c r="A201" t="inlineStr">
        <is>
          <t>A 49686-2022</t>
        </is>
      </c>
      <c r="B201" s="1" t="n">
        <v>44862</v>
      </c>
      <c r="C201" s="1" t="n">
        <v>45758</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3085-2023</t>
        </is>
      </c>
      <c r="B202" s="1" t="n">
        <v>44946</v>
      </c>
      <c r="C202" s="1" t="n">
        <v>45758</v>
      </c>
      <c r="D202" t="inlineStr">
        <is>
          <t>VÄSTMANLANDS LÄN</t>
        </is>
      </c>
      <c r="E202" t="inlineStr">
        <is>
          <t>SURAHAMMAR</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8553-2023</t>
        </is>
      </c>
      <c r="B203" s="1" t="n">
        <v>44977</v>
      </c>
      <c r="C203" s="1" t="n">
        <v>45758</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10877-2023</t>
        </is>
      </c>
      <c r="B204" s="1" t="n">
        <v>44991</v>
      </c>
      <c r="C204" s="1" t="n">
        <v>45758</v>
      </c>
      <c r="D204" t="inlineStr">
        <is>
          <t>VÄSTMANLANDS LÄN</t>
        </is>
      </c>
      <c r="E204" t="inlineStr">
        <is>
          <t>SURAHAMMAR</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10883-2023</t>
        </is>
      </c>
      <c r="B205" s="1" t="n">
        <v>44991</v>
      </c>
      <c r="C205" s="1" t="n">
        <v>45758</v>
      </c>
      <c r="D205" t="inlineStr">
        <is>
          <t>VÄSTMANLANDS LÄN</t>
        </is>
      </c>
      <c r="E205" t="inlineStr">
        <is>
          <t>SURAHAMMAR</t>
        </is>
      </c>
      <c r="F205" t="inlineStr">
        <is>
          <t>Övriga Aktiebolag</t>
        </is>
      </c>
      <c r="G205" t="n">
        <v>12.5</v>
      </c>
      <c r="H205" t="n">
        <v>0</v>
      </c>
      <c r="I205" t="n">
        <v>0</v>
      </c>
      <c r="J205" t="n">
        <v>0</v>
      </c>
      <c r="K205" t="n">
        <v>0</v>
      </c>
      <c r="L205" t="n">
        <v>0</v>
      </c>
      <c r="M205" t="n">
        <v>0</v>
      </c>
      <c r="N205" t="n">
        <v>0</v>
      </c>
      <c r="O205" t="n">
        <v>0</v>
      </c>
      <c r="P205" t="n">
        <v>0</v>
      </c>
      <c r="Q205" t="n">
        <v>0</v>
      </c>
      <c r="R205" s="2" t="inlineStr"/>
    </row>
    <row r="206" ht="15" customHeight="1">
      <c r="A206" t="inlineStr">
        <is>
          <t>A 11501-2023</t>
        </is>
      </c>
      <c r="B206" s="1" t="n">
        <v>44991</v>
      </c>
      <c r="C206" s="1" t="n">
        <v>45758</v>
      </c>
      <c r="D206" t="inlineStr">
        <is>
          <t>VÄSTMANLANDS LÄN</t>
        </is>
      </c>
      <c r="E206" t="inlineStr">
        <is>
          <t>SURAHAMMAR</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11728-2023</t>
        </is>
      </c>
      <c r="B207" s="1" t="n">
        <v>44993</v>
      </c>
      <c r="C207" s="1" t="n">
        <v>45758</v>
      </c>
      <c r="D207" t="inlineStr">
        <is>
          <t>VÄSTMANLANDS LÄN</t>
        </is>
      </c>
      <c r="E207" t="inlineStr">
        <is>
          <t>SURAHAMMAR</t>
        </is>
      </c>
      <c r="F207" t="inlineStr">
        <is>
          <t>Bergvik skog väst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13479-2023</t>
        </is>
      </c>
      <c r="B208" s="1" t="n">
        <v>45005</v>
      </c>
      <c r="C208" s="1" t="n">
        <v>45758</v>
      </c>
      <c r="D208" t="inlineStr">
        <is>
          <t>VÄSTMANLANDS LÄN</t>
        </is>
      </c>
      <c r="E208" t="inlineStr">
        <is>
          <t>SURAHAMMAR</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14626-2023</t>
        </is>
      </c>
      <c r="B209" s="1" t="n">
        <v>45012</v>
      </c>
      <c r="C209" s="1" t="n">
        <v>45758</v>
      </c>
      <c r="D209" t="inlineStr">
        <is>
          <t>VÄSTMANLANDS LÄN</t>
        </is>
      </c>
      <c r="E209" t="inlineStr">
        <is>
          <t>SURAHAMMAR</t>
        </is>
      </c>
      <c r="F209" t="inlineStr">
        <is>
          <t>Bergvik skog väst AB</t>
        </is>
      </c>
      <c r="G209" t="n">
        <v>5</v>
      </c>
      <c r="H209" t="n">
        <v>0</v>
      </c>
      <c r="I209" t="n">
        <v>0</v>
      </c>
      <c r="J209" t="n">
        <v>0</v>
      </c>
      <c r="K209" t="n">
        <v>0</v>
      </c>
      <c r="L209" t="n">
        <v>0</v>
      </c>
      <c r="M209" t="n">
        <v>0</v>
      </c>
      <c r="N209" t="n">
        <v>0</v>
      </c>
      <c r="O209" t="n">
        <v>0</v>
      </c>
      <c r="P209" t="n">
        <v>0</v>
      </c>
      <c r="Q209" t="n">
        <v>0</v>
      </c>
      <c r="R209" s="2" t="inlineStr"/>
    </row>
    <row r="210" ht="15" customHeight="1">
      <c r="A210" t="inlineStr">
        <is>
          <t>A 14583-2023</t>
        </is>
      </c>
      <c r="B210" s="1" t="n">
        <v>45013</v>
      </c>
      <c r="C210" s="1" t="n">
        <v>45758</v>
      </c>
      <c r="D210" t="inlineStr">
        <is>
          <t>VÄSTMANLANDS LÄN</t>
        </is>
      </c>
      <c r="E210" t="inlineStr">
        <is>
          <t>SURAHAMMAR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15743-2023</t>
        </is>
      </c>
      <c r="B211" s="1" t="n">
        <v>45021</v>
      </c>
      <c r="C211" s="1" t="n">
        <v>45758</v>
      </c>
      <c r="D211" t="inlineStr">
        <is>
          <t>VÄSTMANLANDS LÄN</t>
        </is>
      </c>
      <c r="E211" t="inlineStr">
        <is>
          <t>SURAHAMMAR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15739-2023</t>
        </is>
      </c>
      <c r="B212" s="1" t="n">
        <v>45021</v>
      </c>
      <c r="C212" s="1" t="n">
        <v>45758</v>
      </c>
      <c r="D212" t="inlineStr">
        <is>
          <t>VÄSTMANLANDS LÄN</t>
        </is>
      </c>
      <c r="E212" t="inlineStr">
        <is>
          <t>SURAHAMMAR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16013-2023</t>
        </is>
      </c>
      <c r="B213" s="1" t="n">
        <v>45026</v>
      </c>
      <c r="C213" s="1" t="n">
        <v>45758</v>
      </c>
      <c r="D213" t="inlineStr">
        <is>
          <t>VÄSTMANLANDS LÄN</t>
        </is>
      </c>
      <c r="E213" t="inlineStr">
        <is>
          <t>SURAHAMMAR</t>
        </is>
      </c>
      <c r="G213" t="n">
        <v>3.9</v>
      </c>
      <c r="H213" t="n">
        <v>0</v>
      </c>
      <c r="I213" t="n">
        <v>0</v>
      </c>
      <c r="J213" t="n">
        <v>0</v>
      </c>
      <c r="K213" t="n">
        <v>0</v>
      </c>
      <c r="L213" t="n">
        <v>0</v>
      </c>
      <c r="M213" t="n">
        <v>0</v>
      </c>
      <c r="N213" t="n">
        <v>0</v>
      </c>
      <c r="O213" t="n">
        <v>0</v>
      </c>
      <c r="P213" t="n">
        <v>0</v>
      </c>
      <c r="Q213" t="n">
        <v>0</v>
      </c>
      <c r="R213" s="2" t="inlineStr"/>
    </row>
    <row r="214" ht="15" customHeight="1">
      <c r="A214" t="inlineStr">
        <is>
          <t>A 18223-2023</t>
        </is>
      </c>
      <c r="B214" s="1" t="n">
        <v>45041</v>
      </c>
      <c r="C214" s="1" t="n">
        <v>45758</v>
      </c>
      <c r="D214" t="inlineStr">
        <is>
          <t>VÄSTMANLANDS LÄN</t>
        </is>
      </c>
      <c r="E214" t="inlineStr">
        <is>
          <t>SURAHAMMAR</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19778-2023</t>
        </is>
      </c>
      <c r="B215" s="1" t="n">
        <v>45050</v>
      </c>
      <c r="C215" s="1" t="n">
        <v>45758</v>
      </c>
      <c r="D215" t="inlineStr">
        <is>
          <t>VÄSTMANLANDS LÄN</t>
        </is>
      </c>
      <c r="E215" t="inlineStr">
        <is>
          <t>SURAHAMMAR</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19779-2023</t>
        </is>
      </c>
      <c r="B216" s="1" t="n">
        <v>45050</v>
      </c>
      <c r="C216" s="1" t="n">
        <v>45758</v>
      </c>
      <c r="D216" t="inlineStr">
        <is>
          <t>VÄSTMANLANDS LÄN</t>
        </is>
      </c>
      <c r="E216" t="inlineStr">
        <is>
          <t>SURAHAMMAR</t>
        </is>
      </c>
      <c r="F216" t="inlineStr">
        <is>
          <t>Bergvik skog väst AB</t>
        </is>
      </c>
      <c r="G216" t="n">
        <v>11.1</v>
      </c>
      <c r="H216" t="n">
        <v>0</v>
      </c>
      <c r="I216" t="n">
        <v>0</v>
      </c>
      <c r="J216" t="n">
        <v>0</v>
      </c>
      <c r="K216" t="n">
        <v>0</v>
      </c>
      <c r="L216" t="n">
        <v>0</v>
      </c>
      <c r="M216" t="n">
        <v>0</v>
      </c>
      <c r="N216" t="n">
        <v>0</v>
      </c>
      <c r="O216" t="n">
        <v>0</v>
      </c>
      <c r="P216" t="n">
        <v>0</v>
      </c>
      <c r="Q216" t="n">
        <v>0</v>
      </c>
      <c r="R216" s="2" t="inlineStr"/>
    </row>
    <row r="217" ht="15" customHeight="1">
      <c r="A217" t="inlineStr">
        <is>
          <t>A 19786-2023</t>
        </is>
      </c>
      <c r="B217" s="1" t="n">
        <v>45050</v>
      </c>
      <c r="C217" s="1" t="n">
        <v>45758</v>
      </c>
      <c r="D217" t="inlineStr">
        <is>
          <t>VÄSTMANLANDS LÄN</t>
        </is>
      </c>
      <c r="E217" t="inlineStr">
        <is>
          <t>SURAHAMMAR</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19782-2023</t>
        </is>
      </c>
      <c r="B218" s="1" t="n">
        <v>45050</v>
      </c>
      <c r="C218" s="1" t="n">
        <v>45758</v>
      </c>
      <c r="D218" t="inlineStr">
        <is>
          <t>VÄSTMANLANDS LÄN</t>
        </is>
      </c>
      <c r="E218" t="inlineStr">
        <is>
          <t>SURAHAMMAR</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20020-2023</t>
        </is>
      </c>
      <c r="B219" s="1" t="n">
        <v>45054</v>
      </c>
      <c r="C219" s="1" t="n">
        <v>45758</v>
      </c>
      <c r="D219" t="inlineStr">
        <is>
          <t>VÄSTMANLANDS LÄN</t>
        </is>
      </c>
      <c r="E219" t="inlineStr">
        <is>
          <t>SURAHAMMAR</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20018-2023</t>
        </is>
      </c>
      <c r="B220" s="1" t="n">
        <v>45054</v>
      </c>
      <c r="C220" s="1" t="n">
        <v>45758</v>
      </c>
      <c r="D220" t="inlineStr">
        <is>
          <t>VÄSTMANLANDS LÄN</t>
        </is>
      </c>
      <c r="E220" t="inlineStr">
        <is>
          <t>SURAHAMMAR</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20019-2023</t>
        </is>
      </c>
      <c r="B221" s="1" t="n">
        <v>45054</v>
      </c>
      <c r="C221" s="1" t="n">
        <v>45758</v>
      </c>
      <c r="D221" t="inlineStr">
        <is>
          <t>VÄSTMANLANDS LÄN</t>
        </is>
      </c>
      <c r="E221" t="inlineStr">
        <is>
          <t>SURAHAMMAR</t>
        </is>
      </c>
      <c r="F221" t="inlineStr">
        <is>
          <t>Sveaskog</t>
        </is>
      </c>
      <c r="G221" t="n">
        <v>18.5</v>
      </c>
      <c r="H221" t="n">
        <v>0</v>
      </c>
      <c r="I221" t="n">
        <v>0</v>
      </c>
      <c r="J221" t="n">
        <v>0</v>
      </c>
      <c r="K221" t="n">
        <v>0</v>
      </c>
      <c r="L221" t="n">
        <v>0</v>
      </c>
      <c r="M221" t="n">
        <v>0</v>
      </c>
      <c r="N221" t="n">
        <v>0</v>
      </c>
      <c r="O221" t="n">
        <v>0</v>
      </c>
      <c r="P221" t="n">
        <v>0</v>
      </c>
      <c r="Q221" t="n">
        <v>0</v>
      </c>
      <c r="R221" s="2" t="inlineStr"/>
    </row>
    <row r="222" ht="15" customHeight="1">
      <c r="A222" t="inlineStr">
        <is>
          <t>A 20023-2023</t>
        </is>
      </c>
      <c r="B222" s="1" t="n">
        <v>45054</v>
      </c>
      <c r="C222" s="1" t="n">
        <v>45758</v>
      </c>
      <c r="D222" t="inlineStr">
        <is>
          <t>VÄSTMANLANDS LÄN</t>
        </is>
      </c>
      <c r="E222" t="inlineStr">
        <is>
          <t>SURAHAMMAR</t>
        </is>
      </c>
      <c r="F222" t="inlineStr">
        <is>
          <t>Sveaskog</t>
        </is>
      </c>
      <c r="G222" t="n">
        <v>7.8</v>
      </c>
      <c r="H222" t="n">
        <v>0</v>
      </c>
      <c r="I222" t="n">
        <v>0</v>
      </c>
      <c r="J222" t="n">
        <v>0</v>
      </c>
      <c r="K222" t="n">
        <v>0</v>
      </c>
      <c r="L222" t="n">
        <v>0</v>
      </c>
      <c r="M222" t="n">
        <v>0</v>
      </c>
      <c r="N222" t="n">
        <v>0</v>
      </c>
      <c r="O222" t="n">
        <v>0</v>
      </c>
      <c r="P222" t="n">
        <v>0</v>
      </c>
      <c r="Q222" t="n">
        <v>0</v>
      </c>
      <c r="R222" s="2" t="inlineStr"/>
    </row>
    <row r="223" ht="15" customHeight="1">
      <c r="A223" t="inlineStr">
        <is>
          <t>A 20429-2023</t>
        </is>
      </c>
      <c r="B223" s="1" t="n">
        <v>45056</v>
      </c>
      <c r="C223" s="1" t="n">
        <v>45758</v>
      </c>
      <c r="D223" t="inlineStr">
        <is>
          <t>VÄSTMANLANDS LÄN</t>
        </is>
      </c>
      <c r="E223" t="inlineStr">
        <is>
          <t>SURAHAMMAR</t>
        </is>
      </c>
      <c r="G223" t="n">
        <v>5</v>
      </c>
      <c r="H223" t="n">
        <v>0</v>
      </c>
      <c r="I223" t="n">
        <v>0</v>
      </c>
      <c r="J223" t="n">
        <v>0</v>
      </c>
      <c r="K223" t="n">
        <v>0</v>
      </c>
      <c r="L223" t="n">
        <v>0</v>
      </c>
      <c r="M223" t="n">
        <v>0</v>
      </c>
      <c r="N223" t="n">
        <v>0</v>
      </c>
      <c r="O223" t="n">
        <v>0</v>
      </c>
      <c r="P223" t="n">
        <v>0</v>
      </c>
      <c r="Q223" t="n">
        <v>0</v>
      </c>
      <c r="R223" s="2" t="inlineStr"/>
    </row>
    <row r="224" ht="15" customHeight="1">
      <c r="A224" t="inlineStr">
        <is>
          <t>A 20904-2023</t>
        </is>
      </c>
      <c r="B224" s="1" t="n">
        <v>45060</v>
      </c>
      <c r="C224" s="1" t="n">
        <v>45758</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21906-2023</t>
        </is>
      </c>
      <c r="B225" s="1" t="n">
        <v>45068</v>
      </c>
      <c r="C225" s="1" t="n">
        <v>45758</v>
      </c>
      <c r="D225" t="inlineStr">
        <is>
          <t>VÄSTMANLANDS LÄN</t>
        </is>
      </c>
      <c r="E225" t="inlineStr">
        <is>
          <t>SURAHAMMAR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21905-2023</t>
        </is>
      </c>
      <c r="B226" s="1" t="n">
        <v>45068</v>
      </c>
      <c r="C226" s="1" t="n">
        <v>45758</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21904-2023</t>
        </is>
      </c>
      <c r="B227" s="1" t="n">
        <v>45068</v>
      </c>
      <c r="C227" s="1" t="n">
        <v>45758</v>
      </c>
      <c r="D227" t="inlineStr">
        <is>
          <t>VÄSTMANLANDS LÄN</t>
        </is>
      </c>
      <c r="E227" t="inlineStr">
        <is>
          <t>SURAHAMMAR</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22915-2023</t>
        </is>
      </c>
      <c r="B228" s="1" t="n">
        <v>45070</v>
      </c>
      <c r="C228" s="1" t="n">
        <v>45758</v>
      </c>
      <c r="D228" t="inlineStr">
        <is>
          <t>VÄSTMANLANDS LÄN</t>
        </is>
      </c>
      <c r="E228" t="inlineStr">
        <is>
          <t>SURAHAMMAR</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22660-2023</t>
        </is>
      </c>
      <c r="B229" s="1" t="n">
        <v>45071</v>
      </c>
      <c r="C229" s="1" t="n">
        <v>45758</v>
      </c>
      <c r="D229" t="inlineStr">
        <is>
          <t>VÄSTMANLANDS LÄN</t>
        </is>
      </c>
      <c r="E229" t="inlineStr">
        <is>
          <t>SURAHAMMAR</t>
        </is>
      </c>
      <c r="F229" t="inlineStr">
        <is>
          <t>Sveaskog</t>
        </is>
      </c>
      <c r="G229" t="n">
        <v>15.3</v>
      </c>
      <c r="H229" t="n">
        <v>0</v>
      </c>
      <c r="I229" t="n">
        <v>0</v>
      </c>
      <c r="J229" t="n">
        <v>0</v>
      </c>
      <c r="K229" t="n">
        <v>0</v>
      </c>
      <c r="L229" t="n">
        <v>0</v>
      </c>
      <c r="M229" t="n">
        <v>0</v>
      </c>
      <c r="N229" t="n">
        <v>0</v>
      </c>
      <c r="O229" t="n">
        <v>0</v>
      </c>
      <c r="P229" t="n">
        <v>0</v>
      </c>
      <c r="Q229" t="n">
        <v>0</v>
      </c>
      <c r="R229" s="2" t="inlineStr"/>
    </row>
    <row r="230" ht="15" customHeight="1">
      <c r="A230" t="inlineStr">
        <is>
          <t>A 22662-2023</t>
        </is>
      </c>
      <c r="B230" s="1" t="n">
        <v>45071</v>
      </c>
      <c r="C230" s="1" t="n">
        <v>45758</v>
      </c>
      <c r="D230" t="inlineStr">
        <is>
          <t>VÄSTMANLANDS LÄN</t>
        </is>
      </c>
      <c r="E230" t="inlineStr">
        <is>
          <t>SURAHAMMAR</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22661-2023</t>
        </is>
      </c>
      <c r="B231" s="1" t="n">
        <v>45071</v>
      </c>
      <c r="C231" s="1" t="n">
        <v>45758</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22659-2023</t>
        </is>
      </c>
      <c r="B232" s="1" t="n">
        <v>45071</v>
      </c>
      <c r="C232" s="1" t="n">
        <v>45758</v>
      </c>
      <c r="D232" t="inlineStr">
        <is>
          <t>VÄSTMANLANDS LÄN</t>
        </is>
      </c>
      <c r="E232" t="inlineStr">
        <is>
          <t>SURAHAMMAR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23731-2023</t>
        </is>
      </c>
      <c r="B233" s="1" t="n">
        <v>45077</v>
      </c>
      <c r="C233" s="1" t="n">
        <v>45758</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24156-2023</t>
        </is>
      </c>
      <c r="B234" s="1" t="n">
        <v>45079</v>
      </c>
      <c r="C234" s="1" t="n">
        <v>45758</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24158-2023</t>
        </is>
      </c>
      <c r="B235" s="1" t="n">
        <v>45079</v>
      </c>
      <c r="C235" s="1" t="n">
        <v>45758</v>
      </c>
      <c r="D235" t="inlineStr">
        <is>
          <t>VÄSTMANLANDS LÄN</t>
        </is>
      </c>
      <c r="E235" t="inlineStr">
        <is>
          <t>SURAHAMMAR</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24197-2023</t>
        </is>
      </c>
      <c r="B236" s="1" t="n">
        <v>45079</v>
      </c>
      <c r="C236" s="1" t="n">
        <v>45758</v>
      </c>
      <c r="D236" t="inlineStr">
        <is>
          <t>VÄSTMANLANDS LÄN</t>
        </is>
      </c>
      <c r="E236" t="inlineStr">
        <is>
          <t>SURAHAMMAR</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24180-2023</t>
        </is>
      </c>
      <c r="B237" s="1" t="n">
        <v>45079</v>
      </c>
      <c r="C237" s="1" t="n">
        <v>45758</v>
      </c>
      <c r="D237" t="inlineStr">
        <is>
          <t>VÄSTMANLANDS LÄN</t>
        </is>
      </c>
      <c r="E237" t="inlineStr">
        <is>
          <t>SURAHAMMAR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24665-2023</t>
        </is>
      </c>
      <c r="B238" s="1" t="n">
        <v>45084</v>
      </c>
      <c r="C238" s="1" t="n">
        <v>45758</v>
      </c>
      <c r="D238" t="inlineStr">
        <is>
          <t>VÄSTMANLANDS LÄN</t>
        </is>
      </c>
      <c r="E238" t="inlineStr">
        <is>
          <t>SURAHAMMAR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25775-2023</t>
        </is>
      </c>
      <c r="B239" s="1" t="n">
        <v>45090</v>
      </c>
      <c r="C239" s="1" t="n">
        <v>45758</v>
      </c>
      <c r="D239" t="inlineStr">
        <is>
          <t>VÄSTMANLANDS LÄN</t>
        </is>
      </c>
      <c r="E239" t="inlineStr">
        <is>
          <t>SURAHAMMAR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25780-2023</t>
        </is>
      </c>
      <c r="B240" s="1" t="n">
        <v>45090</v>
      </c>
      <c r="C240" s="1" t="n">
        <v>45758</v>
      </c>
      <c r="D240" t="inlineStr">
        <is>
          <t>VÄSTMANLANDS LÄN</t>
        </is>
      </c>
      <c r="E240" t="inlineStr">
        <is>
          <t>SURAHAMMAR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27140-2023</t>
        </is>
      </c>
      <c r="B241" s="1" t="n">
        <v>45096</v>
      </c>
      <c r="C241" s="1" t="n">
        <v>45758</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27156-2023</t>
        </is>
      </c>
      <c r="B242" s="1" t="n">
        <v>45096</v>
      </c>
      <c r="C242" s="1" t="n">
        <v>45758</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27142-2023</t>
        </is>
      </c>
      <c r="B243" s="1" t="n">
        <v>45096</v>
      </c>
      <c r="C243" s="1" t="n">
        <v>45758</v>
      </c>
      <c r="D243" t="inlineStr">
        <is>
          <t>VÄSTMANLANDS LÄN</t>
        </is>
      </c>
      <c r="E243" t="inlineStr">
        <is>
          <t>SURAHAMMAR</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27171-2023</t>
        </is>
      </c>
      <c r="B244" s="1" t="n">
        <v>45096</v>
      </c>
      <c r="C244" s="1" t="n">
        <v>45758</v>
      </c>
      <c r="D244" t="inlineStr">
        <is>
          <t>VÄSTMANLANDS LÄN</t>
        </is>
      </c>
      <c r="E244" t="inlineStr">
        <is>
          <t>SURAHAMMAR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28051-2023</t>
        </is>
      </c>
      <c r="B245" s="1" t="n">
        <v>45099</v>
      </c>
      <c r="C245" s="1" t="n">
        <v>45758</v>
      </c>
      <c r="D245" t="inlineStr">
        <is>
          <t>VÄSTMANLANDS LÄN</t>
        </is>
      </c>
      <c r="E245" t="inlineStr">
        <is>
          <t>SURAHAMMAR</t>
        </is>
      </c>
      <c r="F245" t="inlineStr">
        <is>
          <t>Allmännings- och besparingsskogar</t>
        </is>
      </c>
      <c r="G245" t="n">
        <v>23.3</v>
      </c>
      <c r="H245" t="n">
        <v>0</v>
      </c>
      <c r="I245" t="n">
        <v>0</v>
      </c>
      <c r="J245" t="n">
        <v>0</v>
      </c>
      <c r="K245" t="n">
        <v>0</v>
      </c>
      <c r="L245" t="n">
        <v>0</v>
      </c>
      <c r="M245" t="n">
        <v>0</v>
      </c>
      <c r="N245" t="n">
        <v>0</v>
      </c>
      <c r="O245" t="n">
        <v>0</v>
      </c>
      <c r="P245" t="n">
        <v>0</v>
      </c>
      <c r="Q245" t="n">
        <v>0</v>
      </c>
      <c r="R245" s="2" t="inlineStr"/>
    </row>
    <row r="246" ht="15" customHeight="1">
      <c r="A246" t="inlineStr">
        <is>
          <t>A 30076-2023</t>
        </is>
      </c>
      <c r="B246" s="1" t="n">
        <v>45110</v>
      </c>
      <c r="C246" s="1" t="n">
        <v>45758</v>
      </c>
      <c r="D246" t="inlineStr">
        <is>
          <t>VÄSTMANLANDS LÄN</t>
        </is>
      </c>
      <c r="E246" t="inlineStr">
        <is>
          <t>SURAHAMMAR</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37138-2023</t>
        </is>
      </c>
      <c r="B247" s="1" t="n">
        <v>45155</v>
      </c>
      <c r="C247" s="1" t="n">
        <v>45758</v>
      </c>
      <c r="D247" t="inlineStr">
        <is>
          <t>VÄSTMANLANDS LÄN</t>
        </is>
      </c>
      <c r="E247" t="inlineStr">
        <is>
          <t>SURAHAMMAR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37287-2023</t>
        </is>
      </c>
      <c r="B248" s="1" t="n">
        <v>45156</v>
      </c>
      <c r="C248" s="1" t="n">
        <v>45758</v>
      </c>
      <c r="D248" t="inlineStr">
        <is>
          <t>VÄSTMANLANDS LÄN</t>
        </is>
      </c>
      <c r="E248" t="inlineStr">
        <is>
          <t>SURAHAMMAR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37635-2023</t>
        </is>
      </c>
      <c r="B249" s="1" t="n">
        <v>45159</v>
      </c>
      <c r="C249" s="1" t="n">
        <v>45758</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37639-2023</t>
        </is>
      </c>
      <c r="B250" s="1" t="n">
        <v>45159</v>
      </c>
      <c r="C250" s="1" t="n">
        <v>45758</v>
      </c>
      <c r="D250" t="inlineStr">
        <is>
          <t>VÄSTMANLANDS LÄN</t>
        </is>
      </c>
      <c r="E250" t="inlineStr">
        <is>
          <t>SURAHAMMAR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40956-2023</t>
        </is>
      </c>
      <c r="B251" s="1" t="n">
        <v>45169</v>
      </c>
      <c r="C251" s="1" t="n">
        <v>45758</v>
      </c>
      <c r="D251" t="inlineStr">
        <is>
          <t>VÄSTMANLANDS LÄN</t>
        </is>
      </c>
      <c r="E251" t="inlineStr">
        <is>
          <t>SURAHAMMAR</t>
        </is>
      </c>
      <c r="F251" t="inlineStr">
        <is>
          <t>Bergvik skog väst AB</t>
        </is>
      </c>
      <c r="G251" t="n">
        <v>7.6</v>
      </c>
      <c r="H251" t="n">
        <v>0</v>
      </c>
      <c r="I251" t="n">
        <v>0</v>
      </c>
      <c r="J251" t="n">
        <v>0</v>
      </c>
      <c r="K251" t="n">
        <v>0</v>
      </c>
      <c r="L251" t="n">
        <v>0</v>
      </c>
      <c r="M251" t="n">
        <v>0</v>
      </c>
      <c r="N251" t="n">
        <v>0</v>
      </c>
      <c r="O251" t="n">
        <v>0</v>
      </c>
      <c r="P251" t="n">
        <v>0</v>
      </c>
      <c r="Q251" t="n">
        <v>0</v>
      </c>
      <c r="R251" s="2" t="inlineStr"/>
    </row>
    <row r="252" ht="15" customHeight="1">
      <c r="A252" t="inlineStr">
        <is>
          <t>A 40445-2023</t>
        </is>
      </c>
      <c r="B252" s="1" t="n">
        <v>45170</v>
      </c>
      <c r="C252" s="1" t="n">
        <v>45758</v>
      </c>
      <c r="D252" t="inlineStr">
        <is>
          <t>VÄSTMANLANDS LÄN</t>
        </is>
      </c>
      <c r="E252" t="inlineStr">
        <is>
          <t>SURAHAMMAR</t>
        </is>
      </c>
      <c r="G252" t="n">
        <v>15.6</v>
      </c>
      <c r="H252" t="n">
        <v>0</v>
      </c>
      <c r="I252" t="n">
        <v>0</v>
      </c>
      <c r="J252" t="n">
        <v>0</v>
      </c>
      <c r="K252" t="n">
        <v>0</v>
      </c>
      <c r="L252" t="n">
        <v>0</v>
      </c>
      <c r="M252" t="n">
        <v>0</v>
      </c>
      <c r="N252" t="n">
        <v>0</v>
      </c>
      <c r="O252" t="n">
        <v>0</v>
      </c>
      <c r="P252" t="n">
        <v>0</v>
      </c>
      <c r="Q252" t="n">
        <v>0</v>
      </c>
      <c r="R252" s="2" t="inlineStr"/>
    </row>
    <row r="253" ht="15" customHeight="1">
      <c r="A253" t="inlineStr">
        <is>
          <t>A 48906-2023</t>
        </is>
      </c>
      <c r="B253" s="1" t="n">
        <v>45203</v>
      </c>
      <c r="C253" s="1" t="n">
        <v>45758</v>
      </c>
      <c r="D253" t="inlineStr">
        <is>
          <t>VÄSTMANLANDS LÄN</t>
        </is>
      </c>
      <c r="E253" t="inlineStr">
        <is>
          <t>SURAHAMMAR</t>
        </is>
      </c>
      <c r="F253" t="inlineStr">
        <is>
          <t>Bergvik skog väst AB</t>
        </is>
      </c>
      <c r="G253" t="n">
        <v>2.5</v>
      </c>
      <c r="H253" t="n">
        <v>0</v>
      </c>
      <c r="I253" t="n">
        <v>0</v>
      </c>
      <c r="J253" t="n">
        <v>0</v>
      </c>
      <c r="K253" t="n">
        <v>0</v>
      </c>
      <c r="L253" t="n">
        <v>0</v>
      </c>
      <c r="M253" t="n">
        <v>0</v>
      </c>
      <c r="N253" t="n">
        <v>0</v>
      </c>
      <c r="O253" t="n">
        <v>0</v>
      </c>
      <c r="P253" t="n">
        <v>0</v>
      </c>
      <c r="Q253" t="n">
        <v>0</v>
      </c>
      <c r="R253" s="2" t="inlineStr"/>
      <c r="U253">
        <f>HYPERLINK("https://klasma.github.io/Logging_1907/knärot/A 48906-2023 karta knärot.png", "A 48906-2023")</f>
        <v/>
      </c>
      <c r="V253">
        <f>HYPERLINK("https://klasma.github.io/Logging_1907/klagomål/A 48906-2023 FSC-klagomål.docx", "A 48906-2023")</f>
        <v/>
      </c>
      <c r="W253">
        <f>HYPERLINK("https://klasma.github.io/Logging_1907/klagomålsmail/A 48906-2023 FSC-klagomål mail.docx", "A 48906-2023")</f>
        <v/>
      </c>
      <c r="X253">
        <f>HYPERLINK("https://klasma.github.io/Logging_1907/tillsyn/A 48906-2023 tillsynsbegäran.docx", "A 48906-2023")</f>
        <v/>
      </c>
      <c r="Y253">
        <f>HYPERLINK("https://klasma.github.io/Logging_1907/tillsynsmail/A 48906-2023 tillsynsbegäran mail.docx", "A 48906-2023")</f>
        <v/>
      </c>
    </row>
    <row r="254" ht="15" customHeight="1">
      <c r="A254" t="inlineStr">
        <is>
          <t>A 48205-2023</t>
        </is>
      </c>
      <c r="B254" s="1" t="n">
        <v>45205</v>
      </c>
      <c r="C254" s="1" t="n">
        <v>45758</v>
      </c>
      <c r="D254" t="inlineStr">
        <is>
          <t>VÄSTMANLANDS LÄN</t>
        </is>
      </c>
      <c r="E254" t="inlineStr">
        <is>
          <t>SURAHAMMAR</t>
        </is>
      </c>
      <c r="F254" t="inlineStr">
        <is>
          <t>Allmännings- och besparingsskogar</t>
        </is>
      </c>
      <c r="G254" t="n">
        <v>7.6</v>
      </c>
      <c r="H254" t="n">
        <v>0</v>
      </c>
      <c r="I254" t="n">
        <v>0</v>
      </c>
      <c r="J254" t="n">
        <v>0</v>
      </c>
      <c r="K254" t="n">
        <v>0</v>
      </c>
      <c r="L254" t="n">
        <v>0</v>
      </c>
      <c r="M254" t="n">
        <v>0</v>
      </c>
      <c r="N254" t="n">
        <v>0</v>
      </c>
      <c r="O254" t="n">
        <v>0</v>
      </c>
      <c r="P254" t="n">
        <v>0</v>
      </c>
      <c r="Q254" t="n">
        <v>0</v>
      </c>
      <c r="R254" s="2" t="inlineStr"/>
    </row>
    <row r="255" ht="15" customHeight="1">
      <c r="A255" t="inlineStr">
        <is>
          <t>A 56378-2023</t>
        </is>
      </c>
      <c r="B255" s="1" t="n">
        <v>45236</v>
      </c>
      <c r="C255" s="1" t="n">
        <v>45758</v>
      </c>
      <c r="D255" t="inlineStr">
        <is>
          <t>VÄSTMANLANDS LÄN</t>
        </is>
      </c>
      <c r="E255" t="inlineStr">
        <is>
          <t>SURAHAMMAR</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56183-2023</t>
        </is>
      </c>
      <c r="B256" s="1" t="n">
        <v>45240</v>
      </c>
      <c r="C256" s="1" t="n">
        <v>45758</v>
      </c>
      <c r="D256" t="inlineStr">
        <is>
          <t>VÄSTMANLANDS LÄN</t>
        </is>
      </c>
      <c r="E256" t="inlineStr">
        <is>
          <t>SURAHAMMAR</t>
        </is>
      </c>
      <c r="F256" t="inlineStr">
        <is>
          <t>Allmännings- och besparingsskogar</t>
        </is>
      </c>
      <c r="G256" t="n">
        <v>2</v>
      </c>
      <c r="H256" t="n">
        <v>0</v>
      </c>
      <c r="I256" t="n">
        <v>0</v>
      </c>
      <c r="J256" t="n">
        <v>0</v>
      </c>
      <c r="K256" t="n">
        <v>0</v>
      </c>
      <c r="L256" t="n">
        <v>0</v>
      </c>
      <c r="M256" t="n">
        <v>0</v>
      </c>
      <c r="N256" t="n">
        <v>0</v>
      </c>
      <c r="O256" t="n">
        <v>0</v>
      </c>
      <c r="P256" t="n">
        <v>0</v>
      </c>
      <c r="Q256" t="n">
        <v>0</v>
      </c>
      <c r="R256" s="2" t="inlineStr"/>
    </row>
    <row r="257" ht="15" customHeight="1">
      <c r="A257" t="inlineStr">
        <is>
          <t>A 58338-2023</t>
        </is>
      </c>
      <c r="B257" s="1" t="n">
        <v>45250</v>
      </c>
      <c r="C257" s="1" t="n">
        <v>45758</v>
      </c>
      <c r="D257" t="inlineStr">
        <is>
          <t>VÄSTMANLANDS LÄN</t>
        </is>
      </c>
      <c r="E257" t="inlineStr">
        <is>
          <t>SURAHAMMAR</t>
        </is>
      </c>
      <c r="F257" t="inlineStr">
        <is>
          <t>Allmännings- och besparingsskogar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58356-2023</t>
        </is>
      </c>
      <c r="B258" s="1" t="n">
        <v>45250</v>
      </c>
      <c r="C258" s="1" t="n">
        <v>45758</v>
      </c>
      <c r="D258" t="inlineStr">
        <is>
          <t>VÄSTMANLANDS LÄN</t>
        </is>
      </c>
      <c r="E258" t="inlineStr">
        <is>
          <t>SURAHAMMAR</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59317-2023</t>
        </is>
      </c>
      <c r="B259" s="1" t="n">
        <v>45253</v>
      </c>
      <c r="C259" s="1" t="n">
        <v>45758</v>
      </c>
      <c r="D259" t="inlineStr">
        <is>
          <t>VÄSTMANLANDS LÄN</t>
        </is>
      </c>
      <c r="E259" t="inlineStr">
        <is>
          <t>SURAHAMMAR</t>
        </is>
      </c>
      <c r="G259" t="n">
        <v>7.1</v>
      </c>
      <c r="H259" t="n">
        <v>0</v>
      </c>
      <c r="I259" t="n">
        <v>0</v>
      </c>
      <c r="J259" t="n">
        <v>0</v>
      </c>
      <c r="K259" t="n">
        <v>0</v>
      </c>
      <c r="L259" t="n">
        <v>0</v>
      </c>
      <c r="M259" t="n">
        <v>0</v>
      </c>
      <c r="N259" t="n">
        <v>0</v>
      </c>
      <c r="O259" t="n">
        <v>0</v>
      </c>
      <c r="P259" t="n">
        <v>0</v>
      </c>
      <c r="Q259" t="n">
        <v>0</v>
      </c>
      <c r="R259" s="2" t="inlineStr"/>
    </row>
    <row r="260" ht="15" customHeight="1">
      <c r="A260" t="inlineStr">
        <is>
          <t>A 64343-2023</t>
        </is>
      </c>
      <c r="B260" s="1" t="n">
        <v>45280</v>
      </c>
      <c r="C260" s="1" t="n">
        <v>45758</v>
      </c>
      <c r="D260" t="inlineStr">
        <is>
          <t>VÄSTMANLANDS LÄN</t>
        </is>
      </c>
      <c r="E260" t="inlineStr">
        <is>
          <t>SURAHAMMAR</t>
        </is>
      </c>
      <c r="G260" t="n">
        <v>2.9</v>
      </c>
      <c r="H260" t="n">
        <v>0</v>
      </c>
      <c r="I260" t="n">
        <v>0</v>
      </c>
      <c r="J260" t="n">
        <v>0</v>
      </c>
      <c r="K260" t="n">
        <v>0</v>
      </c>
      <c r="L260" t="n">
        <v>0</v>
      </c>
      <c r="M260" t="n">
        <v>0</v>
      </c>
      <c r="N260" t="n">
        <v>0</v>
      </c>
      <c r="O260" t="n">
        <v>0</v>
      </c>
      <c r="P260" t="n">
        <v>0</v>
      </c>
      <c r="Q260" t="n">
        <v>0</v>
      </c>
      <c r="R260" s="2" t="inlineStr"/>
    </row>
    <row r="261" ht="15" customHeight="1">
      <c r="A261" t="inlineStr">
        <is>
          <t>A 1316-2024</t>
        </is>
      </c>
      <c r="B261" s="1" t="n">
        <v>45303</v>
      </c>
      <c r="C261" s="1" t="n">
        <v>45758</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2680-2024</t>
        </is>
      </c>
      <c r="B262" s="1" t="n">
        <v>45310</v>
      </c>
      <c r="C262" s="1" t="n">
        <v>45758</v>
      </c>
      <c r="D262" t="inlineStr">
        <is>
          <t>VÄSTMANLANDS LÄN</t>
        </is>
      </c>
      <c r="E262" t="inlineStr">
        <is>
          <t>SURAHAMMAR</t>
        </is>
      </c>
      <c r="G262" t="n">
        <v>1.8</v>
      </c>
      <c r="H262" t="n">
        <v>0</v>
      </c>
      <c r="I262" t="n">
        <v>0</v>
      </c>
      <c r="J262" t="n">
        <v>0</v>
      </c>
      <c r="K262" t="n">
        <v>0</v>
      </c>
      <c r="L262" t="n">
        <v>0</v>
      </c>
      <c r="M262" t="n">
        <v>0</v>
      </c>
      <c r="N262" t="n">
        <v>0</v>
      </c>
      <c r="O262" t="n">
        <v>0</v>
      </c>
      <c r="P262" t="n">
        <v>0</v>
      </c>
      <c r="Q262" t="n">
        <v>0</v>
      </c>
      <c r="R262" s="2" t="inlineStr"/>
    </row>
    <row r="263" ht="15" customHeight="1">
      <c r="A263" t="inlineStr">
        <is>
          <t>A 2660-2024</t>
        </is>
      </c>
      <c r="B263" s="1" t="n">
        <v>45310</v>
      </c>
      <c r="C263" s="1" t="n">
        <v>45758</v>
      </c>
      <c r="D263" t="inlineStr">
        <is>
          <t>VÄSTMANLANDS LÄN</t>
        </is>
      </c>
      <c r="E263" t="inlineStr">
        <is>
          <t>SURAHAMMAR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2866-2024</t>
        </is>
      </c>
      <c r="B264" s="1" t="n">
        <v>45315</v>
      </c>
      <c r="C264" s="1" t="n">
        <v>45758</v>
      </c>
      <c r="D264" t="inlineStr">
        <is>
          <t>VÄSTMANLANDS LÄN</t>
        </is>
      </c>
      <c r="E264" t="inlineStr">
        <is>
          <t>SURAHAMMAR</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2867-2024</t>
        </is>
      </c>
      <c r="B265" s="1" t="n">
        <v>45315</v>
      </c>
      <c r="C265" s="1" t="n">
        <v>45758</v>
      </c>
      <c r="D265" t="inlineStr">
        <is>
          <t>VÄSTMANLANDS LÄN</t>
        </is>
      </c>
      <c r="E265" t="inlineStr">
        <is>
          <t>SURAHAMMAR</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4759-2024</t>
        </is>
      </c>
      <c r="B266" s="1" t="n">
        <v>45328</v>
      </c>
      <c r="C266" s="1" t="n">
        <v>45758</v>
      </c>
      <c r="D266" t="inlineStr">
        <is>
          <t>VÄSTMANLANDS LÄN</t>
        </is>
      </c>
      <c r="E266" t="inlineStr">
        <is>
          <t>SURAHAMMAR</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5168-2024</t>
        </is>
      </c>
      <c r="B267" s="1" t="n">
        <v>45330</v>
      </c>
      <c r="C267" s="1" t="n">
        <v>45758</v>
      </c>
      <c r="D267" t="inlineStr">
        <is>
          <t>VÄSTMANLANDS LÄN</t>
        </is>
      </c>
      <c r="E267" t="inlineStr">
        <is>
          <t>SURAHAMMAR</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7787-2024</t>
        </is>
      </c>
      <c r="B268" s="1" t="n">
        <v>45348</v>
      </c>
      <c r="C268" s="1" t="n">
        <v>45758</v>
      </c>
      <c r="D268" t="inlineStr">
        <is>
          <t>VÄSTMANLANDS LÄN</t>
        </is>
      </c>
      <c r="E268" t="inlineStr">
        <is>
          <t>SURAHAMMAR</t>
        </is>
      </c>
      <c r="G268" t="n">
        <v>1</v>
      </c>
      <c r="H268" t="n">
        <v>0</v>
      </c>
      <c r="I268" t="n">
        <v>0</v>
      </c>
      <c r="J268" t="n">
        <v>0</v>
      </c>
      <c r="K268" t="n">
        <v>0</v>
      </c>
      <c r="L268" t="n">
        <v>0</v>
      </c>
      <c r="M268" t="n">
        <v>0</v>
      </c>
      <c r="N268" t="n">
        <v>0</v>
      </c>
      <c r="O268" t="n">
        <v>0</v>
      </c>
      <c r="P268" t="n">
        <v>0</v>
      </c>
      <c r="Q268" t="n">
        <v>0</v>
      </c>
      <c r="R268" s="2" t="inlineStr"/>
    </row>
    <row r="269" ht="15" customHeight="1">
      <c r="A269" t="inlineStr">
        <is>
          <t>A 7782-2024</t>
        </is>
      </c>
      <c r="B269" s="1" t="n">
        <v>45349</v>
      </c>
      <c r="C269" s="1" t="n">
        <v>45758</v>
      </c>
      <c r="D269" t="inlineStr">
        <is>
          <t>VÄSTMANLANDS LÄN</t>
        </is>
      </c>
      <c r="E269" t="inlineStr">
        <is>
          <t>SURAHAMMAR</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8066-2024</t>
        </is>
      </c>
      <c r="B270" s="1" t="n">
        <v>45351</v>
      </c>
      <c r="C270" s="1" t="n">
        <v>45758</v>
      </c>
      <c r="D270" t="inlineStr">
        <is>
          <t>VÄSTMANLANDS LÄN</t>
        </is>
      </c>
      <c r="E270" t="inlineStr">
        <is>
          <t>SURAHAMMAR</t>
        </is>
      </c>
      <c r="G270" t="n">
        <v>12.7</v>
      </c>
      <c r="H270" t="n">
        <v>0</v>
      </c>
      <c r="I270" t="n">
        <v>0</v>
      </c>
      <c r="J270" t="n">
        <v>0</v>
      </c>
      <c r="K270" t="n">
        <v>0</v>
      </c>
      <c r="L270" t="n">
        <v>0</v>
      </c>
      <c r="M270" t="n">
        <v>0</v>
      </c>
      <c r="N270" t="n">
        <v>0</v>
      </c>
      <c r="O270" t="n">
        <v>0</v>
      </c>
      <c r="P270" t="n">
        <v>0</v>
      </c>
      <c r="Q270" t="n">
        <v>0</v>
      </c>
      <c r="R270" s="2" t="inlineStr"/>
    </row>
    <row r="271" ht="15" customHeight="1">
      <c r="A271" t="inlineStr">
        <is>
          <t>A 9741-2024</t>
        </is>
      </c>
      <c r="B271" s="1" t="n">
        <v>45362</v>
      </c>
      <c r="C271" s="1" t="n">
        <v>45758</v>
      </c>
      <c r="D271" t="inlineStr">
        <is>
          <t>VÄSTMANLANDS LÄN</t>
        </is>
      </c>
      <c r="E271" t="inlineStr">
        <is>
          <t>SURAHAMMAR</t>
        </is>
      </c>
      <c r="G271" t="n">
        <v>4.6</v>
      </c>
      <c r="H271" t="n">
        <v>0</v>
      </c>
      <c r="I271" t="n">
        <v>0</v>
      </c>
      <c r="J271" t="n">
        <v>0</v>
      </c>
      <c r="K271" t="n">
        <v>0</v>
      </c>
      <c r="L271" t="n">
        <v>0</v>
      </c>
      <c r="M271" t="n">
        <v>0</v>
      </c>
      <c r="N271" t="n">
        <v>0</v>
      </c>
      <c r="O271" t="n">
        <v>0</v>
      </c>
      <c r="P271" t="n">
        <v>0</v>
      </c>
      <c r="Q271" t="n">
        <v>0</v>
      </c>
      <c r="R271" s="2" t="inlineStr"/>
    </row>
    <row r="272" ht="15" customHeight="1">
      <c r="A272" t="inlineStr">
        <is>
          <t>A 21509-2024</t>
        </is>
      </c>
      <c r="B272" s="1" t="n">
        <v>45441</v>
      </c>
      <c r="C272" s="1" t="n">
        <v>45758</v>
      </c>
      <c r="D272" t="inlineStr">
        <is>
          <t>VÄSTMANLANDS LÄN</t>
        </is>
      </c>
      <c r="E272" t="inlineStr">
        <is>
          <t>SURAHAMMAR</t>
        </is>
      </c>
      <c r="F272" t="inlineStr">
        <is>
          <t>Bergvik skog väst AB</t>
        </is>
      </c>
      <c r="G272" t="n">
        <v>3.9</v>
      </c>
      <c r="H272" t="n">
        <v>0</v>
      </c>
      <c r="I272" t="n">
        <v>0</v>
      </c>
      <c r="J272" t="n">
        <v>0</v>
      </c>
      <c r="K272" t="n">
        <v>0</v>
      </c>
      <c r="L272" t="n">
        <v>0</v>
      </c>
      <c r="M272" t="n">
        <v>0</v>
      </c>
      <c r="N272" t="n">
        <v>0</v>
      </c>
      <c r="O272" t="n">
        <v>0</v>
      </c>
      <c r="P272" t="n">
        <v>0</v>
      </c>
      <c r="Q272" t="n">
        <v>0</v>
      </c>
      <c r="R272" s="2" t="inlineStr"/>
    </row>
    <row r="273" ht="15" customHeight="1">
      <c r="A273" t="inlineStr">
        <is>
          <t>A 24167-2024</t>
        </is>
      </c>
      <c r="B273" s="1" t="n">
        <v>45456</v>
      </c>
      <c r="C273" s="1" t="n">
        <v>45758</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24168-2024</t>
        </is>
      </c>
      <c r="B274" s="1" t="n">
        <v>45456</v>
      </c>
      <c r="C274" s="1" t="n">
        <v>45758</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24570-2024</t>
        </is>
      </c>
      <c r="B275" s="1" t="n">
        <v>45460</v>
      </c>
      <c r="C275" s="1" t="n">
        <v>45758</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24530-2024</t>
        </is>
      </c>
      <c r="B276" s="1" t="n">
        <v>45460</v>
      </c>
      <c r="C276" s="1" t="n">
        <v>45758</v>
      </c>
      <c r="D276" t="inlineStr">
        <is>
          <t>VÄSTMANLANDS LÄN</t>
        </is>
      </c>
      <c r="E276" t="inlineStr">
        <is>
          <t>SURAHAMMAR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25450-2024</t>
        </is>
      </c>
      <c r="B277" s="1" t="n">
        <v>45463</v>
      </c>
      <c r="C277" s="1" t="n">
        <v>45758</v>
      </c>
      <c r="D277" t="inlineStr">
        <is>
          <t>VÄSTMANLANDS LÄN</t>
        </is>
      </c>
      <c r="E277" t="inlineStr">
        <is>
          <t>SURAHAMMAR</t>
        </is>
      </c>
      <c r="F277" t="inlineStr">
        <is>
          <t>Bergvik skog väst AB</t>
        </is>
      </c>
      <c r="G277" t="n">
        <v>6.7</v>
      </c>
      <c r="H277" t="n">
        <v>0</v>
      </c>
      <c r="I277" t="n">
        <v>0</v>
      </c>
      <c r="J277" t="n">
        <v>0</v>
      </c>
      <c r="K277" t="n">
        <v>0</v>
      </c>
      <c r="L277" t="n">
        <v>0</v>
      </c>
      <c r="M277" t="n">
        <v>0</v>
      </c>
      <c r="N277" t="n">
        <v>0</v>
      </c>
      <c r="O277" t="n">
        <v>0</v>
      </c>
      <c r="P277" t="n">
        <v>0</v>
      </c>
      <c r="Q277" t="n">
        <v>0</v>
      </c>
      <c r="R277" s="2" t="inlineStr"/>
    </row>
    <row r="278" ht="15" customHeight="1">
      <c r="A278" t="inlineStr">
        <is>
          <t>A 25417-2024</t>
        </is>
      </c>
      <c r="B278" s="1" t="n">
        <v>45463</v>
      </c>
      <c r="C278" s="1" t="n">
        <v>45758</v>
      </c>
      <c r="D278" t="inlineStr">
        <is>
          <t>VÄSTMANLANDS LÄN</t>
        </is>
      </c>
      <c r="E278" t="inlineStr">
        <is>
          <t>SURAHAMMAR</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26878-2024</t>
        </is>
      </c>
      <c r="B279" s="1" t="n">
        <v>45470</v>
      </c>
      <c r="C279" s="1" t="n">
        <v>45758</v>
      </c>
      <c r="D279" t="inlineStr">
        <is>
          <t>VÄSTMANLANDS LÄN</t>
        </is>
      </c>
      <c r="E279" t="inlineStr">
        <is>
          <t>SURAHAMMAR</t>
        </is>
      </c>
      <c r="F279" t="inlineStr">
        <is>
          <t>Sveaskog</t>
        </is>
      </c>
      <c r="G279" t="n">
        <v>6.1</v>
      </c>
      <c r="H279" t="n">
        <v>0</v>
      </c>
      <c r="I279" t="n">
        <v>0</v>
      </c>
      <c r="J279" t="n">
        <v>0</v>
      </c>
      <c r="K279" t="n">
        <v>0</v>
      </c>
      <c r="L279" t="n">
        <v>0</v>
      </c>
      <c r="M279" t="n">
        <v>0</v>
      </c>
      <c r="N279" t="n">
        <v>0</v>
      </c>
      <c r="O279" t="n">
        <v>0</v>
      </c>
      <c r="P279" t="n">
        <v>0</v>
      </c>
      <c r="Q279" t="n">
        <v>0</v>
      </c>
      <c r="R279" s="2" t="inlineStr"/>
    </row>
    <row r="280" ht="15" customHeight="1">
      <c r="A280" t="inlineStr">
        <is>
          <t>A 28812-2024</t>
        </is>
      </c>
      <c r="B280" s="1" t="n">
        <v>45478</v>
      </c>
      <c r="C280" s="1" t="n">
        <v>45758</v>
      </c>
      <c r="D280" t="inlineStr">
        <is>
          <t>VÄSTMANLANDS LÄN</t>
        </is>
      </c>
      <c r="E280" t="inlineStr">
        <is>
          <t>SURAHAMMAR</t>
        </is>
      </c>
      <c r="F280" t="inlineStr">
        <is>
          <t>Bergvik skog väst AB</t>
        </is>
      </c>
      <c r="G280" t="n">
        <v>17.8</v>
      </c>
      <c r="H280" t="n">
        <v>0</v>
      </c>
      <c r="I280" t="n">
        <v>0</v>
      </c>
      <c r="J280" t="n">
        <v>0</v>
      </c>
      <c r="K280" t="n">
        <v>0</v>
      </c>
      <c r="L280" t="n">
        <v>0</v>
      </c>
      <c r="M280" t="n">
        <v>0</v>
      </c>
      <c r="N280" t="n">
        <v>0</v>
      </c>
      <c r="O280" t="n">
        <v>0</v>
      </c>
      <c r="P280" t="n">
        <v>0</v>
      </c>
      <c r="Q280" t="n">
        <v>0</v>
      </c>
      <c r="R280" s="2" t="inlineStr"/>
    </row>
    <row r="281" ht="15" customHeight="1">
      <c r="A281" t="inlineStr">
        <is>
          <t>A 29158-2024</t>
        </is>
      </c>
      <c r="B281" s="1" t="n">
        <v>45482</v>
      </c>
      <c r="C281" s="1" t="n">
        <v>45758</v>
      </c>
      <c r="D281" t="inlineStr">
        <is>
          <t>VÄSTMANLANDS LÄN</t>
        </is>
      </c>
      <c r="E281" t="inlineStr">
        <is>
          <t>SURAHAMMAR</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31192-2024</t>
        </is>
      </c>
      <c r="B282" s="1" t="n">
        <v>45503</v>
      </c>
      <c r="C282" s="1" t="n">
        <v>45758</v>
      </c>
      <c r="D282" t="inlineStr">
        <is>
          <t>VÄSTMANLANDS LÄN</t>
        </is>
      </c>
      <c r="E282" t="inlineStr">
        <is>
          <t>SURAHAMMAR</t>
        </is>
      </c>
      <c r="F282" t="inlineStr">
        <is>
          <t>Allmännings- och besparingsskogar</t>
        </is>
      </c>
      <c r="G282" t="n">
        <v>17.2</v>
      </c>
      <c r="H282" t="n">
        <v>0</v>
      </c>
      <c r="I282" t="n">
        <v>0</v>
      </c>
      <c r="J282" t="n">
        <v>0</v>
      </c>
      <c r="K282" t="n">
        <v>0</v>
      </c>
      <c r="L282" t="n">
        <v>0</v>
      </c>
      <c r="M282" t="n">
        <v>0</v>
      </c>
      <c r="N282" t="n">
        <v>0</v>
      </c>
      <c r="O282" t="n">
        <v>0</v>
      </c>
      <c r="P282" t="n">
        <v>0</v>
      </c>
      <c r="Q282" t="n">
        <v>0</v>
      </c>
      <c r="R282" s="2" t="inlineStr"/>
    </row>
    <row r="283" ht="15" customHeight="1">
      <c r="A283" t="inlineStr">
        <is>
          <t>A 32808-2024</t>
        </is>
      </c>
      <c r="B283" s="1" t="n">
        <v>45516</v>
      </c>
      <c r="C283" s="1" t="n">
        <v>45758</v>
      </c>
      <c r="D283" t="inlineStr">
        <is>
          <t>VÄSTMANLANDS LÄN</t>
        </is>
      </c>
      <c r="E283" t="inlineStr">
        <is>
          <t>SURAHAMMAR</t>
        </is>
      </c>
      <c r="F283" t="inlineStr">
        <is>
          <t>Övriga Aktiebolag</t>
        </is>
      </c>
      <c r="G283" t="n">
        <v>1.9</v>
      </c>
      <c r="H283" t="n">
        <v>0</v>
      </c>
      <c r="I283" t="n">
        <v>0</v>
      </c>
      <c r="J283" t="n">
        <v>0</v>
      </c>
      <c r="K283" t="n">
        <v>0</v>
      </c>
      <c r="L283" t="n">
        <v>0</v>
      </c>
      <c r="M283" t="n">
        <v>0</v>
      </c>
      <c r="N283" t="n">
        <v>0</v>
      </c>
      <c r="O283" t="n">
        <v>0</v>
      </c>
      <c r="P283" t="n">
        <v>0</v>
      </c>
      <c r="Q283" t="n">
        <v>0</v>
      </c>
      <c r="R283" s="2" t="inlineStr"/>
    </row>
    <row r="284" ht="15" customHeight="1">
      <c r="A284" t="inlineStr">
        <is>
          <t>A 33231-2024</t>
        </is>
      </c>
      <c r="B284" s="1" t="n">
        <v>45518</v>
      </c>
      <c r="C284" s="1" t="n">
        <v>45758</v>
      </c>
      <c r="D284" t="inlineStr">
        <is>
          <t>VÄSTMANLANDS LÄN</t>
        </is>
      </c>
      <c r="E284" t="inlineStr">
        <is>
          <t>SURAHAMMAR</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45758</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45758</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45758</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45758</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45758</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45758</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45758</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45758</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45758</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45758</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45758</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45758</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45758</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45758</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45758</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45758</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45758</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2025-04-11T16:41:54Z</dcterms:created>
  <dcterms:modified xmlns:dcterms="http://purl.org/dc/terms/" xmlns:xsi="http://www.w3.org/2001/XMLSchema-instance" xsi:type="dcterms:W3CDTF">2025-04-11T16:41:55Z</dcterms:modified>
</cp:coreProperties>
</file>