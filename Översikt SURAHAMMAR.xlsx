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45878</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45878</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45878</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45878</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40942-2023</t>
        </is>
      </c>
      <c r="B8" s="1" t="n">
        <v>45169</v>
      </c>
      <c r="C8" s="1" t="n">
        <v>45878</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c r="Z8">
        <f>HYPERLINK("https://klasma.github.io/Logging_1907/fåglar/A 40942-2023 prioriterade fågelarter.docx", "A 40942-2023")</f>
        <v/>
      </c>
    </row>
    <row r="9" ht="15" customHeight="1">
      <c r="A9" t="inlineStr">
        <is>
          <t>A 25573-2024</t>
        </is>
      </c>
      <c r="B9" s="1" t="n">
        <v>45463</v>
      </c>
      <c r="C9" s="1" t="n">
        <v>45878</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21560-2025</t>
        </is>
      </c>
      <c r="B10" s="1" t="n">
        <v>45782</v>
      </c>
      <c r="C10" s="1" t="n">
        <v>45878</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45878</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45878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45878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45878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45878</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7791-2024</t>
        </is>
      </c>
      <c r="B16" s="1" t="n">
        <v>45348</v>
      </c>
      <c r="C16" s="1" t="n">
        <v>45878</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14815-2025</t>
        </is>
      </c>
      <c r="B17" s="1" t="n">
        <v>45743.34931712963</v>
      </c>
      <c r="C17" s="1" t="n">
        <v>45878</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44798-2024</t>
        </is>
      </c>
      <c r="B18" s="1" t="n">
        <v>45574</v>
      </c>
      <c r="C18" s="1" t="n">
        <v>45878</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45878</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45878</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45878</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48891-2023</t>
        </is>
      </c>
      <c r="B22" s="1" t="n">
        <v>45203</v>
      </c>
      <c r="C22" s="1" t="n">
        <v>45878</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65024-2023</t>
        </is>
      </c>
      <c r="B23" s="1" t="n">
        <v>45282</v>
      </c>
      <c r="C23" s="1" t="n">
        <v>45878</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4105-2025</t>
        </is>
      </c>
      <c r="B24" s="1" t="n">
        <v>45684</v>
      </c>
      <c r="C24" s="1" t="n">
        <v>45878</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45878</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45878</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45878</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45878</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45878</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48128-2023</t>
        </is>
      </c>
      <c r="B30" s="1" t="n">
        <v>45205</v>
      </c>
      <c r="C30" s="1" t="n">
        <v>45878</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42708-2022</t>
        </is>
      </c>
      <c r="B31" s="1" t="n">
        <v>44832</v>
      </c>
      <c r="C31" s="1" t="n">
        <v>45878</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45878</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45878</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45878</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45878</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45878</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45878</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45878</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45878</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45878</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45878</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45878</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45878</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44355-2024</t>
        </is>
      </c>
      <c r="B44" s="1" t="n">
        <v>45573</v>
      </c>
      <c r="C44" s="1" t="n">
        <v>45878</v>
      </c>
      <c r="D44" t="inlineStr">
        <is>
          <t>VÄSTMANLANDS LÄN</t>
        </is>
      </c>
      <c r="E44" t="inlineStr">
        <is>
          <t>SURAHAMMAR</t>
        </is>
      </c>
      <c r="F44" t="inlineStr">
        <is>
          <t>Sveaskog</t>
        </is>
      </c>
      <c r="G44" t="n">
        <v>3.5</v>
      </c>
      <c r="H44" t="n">
        <v>1</v>
      </c>
      <c r="I44" t="n">
        <v>0</v>
      </c>
      <c r="J44" t="n">
        <v>0</v>
      </c>
      <c r="K44" t="n">
        <v>0</v>
      </c>
      <c r="L44" t="n">
        <v>0</v>
      </c>
      <c r="M44" t="n">
        <v>0</v>
      </c>
      <c r="N44" t="n">
        <v>0</v>
      </c>
      <c r="O44" t="n">
        <v>0</v>
      </c>
      <c r="P44" t="n">
        <v>0</v>
      </c>
      <c r="Q44" t="n">
        <v>1</v>
      </c>
      <c r="R44" s="2" t="inlineStr">
        <is>
          <t>Revlummer</t>
        </is>
      </c>
      <c r="S44">
        <f>HYPERLINK("https://klasma.github.io/Logging_1907/artfynd/A 44355-2024 artfynd.xlsx", "A 44355-2024")</f>
        <v/>
      </c>
      <c r="T44">
        <f>HYPERLINK("https://klasma.github.io/Logging_1907/kartor/A 44355-2024 karta.png", "A 44355-2024")</f>
        <v/>
      </c>
      <c r="V44">
        <f>HYPERLINK("https://klasma.github.io/Logging_1907/klagomål/A 44355-2024 FSC-klagomål.docx", "A 44355-2024")</f>
        <v/>
      </c>
      <c r="W44">
        <f>HYPERLINK("https://klasma.github.io/Logging_1907/klagomålsmail/A 44355-2024 FSC-klagomål mail.docx", "A 44355-2024")</f>
        <v/>
      </c>
      <c r="X44">
        <f>HYPERLINK("https://klasma.github.io/Logging_1907/tillsyn/A 44355-2024 tillsynsbegäran.docx", "A 44355-2024")</f>
        <v/>
      </c>
      <c r="Y44">
        <f>HYPERLINK("https://klasma.github.io/Logging_1907/tillsynsmail/A 44355-2024 tillsynsbegäran mail.docx", "A 44355-2024")</f>
        <v/>
      </c>
    </row>
    <row r="45" ht="15" customHeight="1">
      <c r="A45" t="inlineStr">
        <is>
          <t>A 40411-2021</t>
        </is>
      </c>
      <c r="B45" s="1" t="n">
        <v>44419</v>
      </c>
      <c r="C45" s="1" t="n">
        <v>45878</v>
      </c>
      <c r="D45" t="inlineStr">
        <is>
          <t>VÄSTMANLANDS LÄN</t>
        </is>
      </c>
      <c r="E45" t="inlineStr">
        <is>
          <t>SURAHAMMAR</t>
        </is>
      </c>
      <c r="F45" t="inlineStr">
        <is>
          <t>Sveaskog</t>
        </is>
      </c>
      <c r="G45" t="n">
        <v>2.4</v>
      </c>
      <c r="H45" t="n">
        <v>1</v>
      </c>
      <c r="I45" t="n">
        <v>0</v>
      </c>
      <c r="J45" t="n">
        <v>0</v>
      </c>
      <c r="K45" t="n">
        <v>0</v>
      </c>
      <c r="L45" t="n">
        <v>0</v>
      </c>
      <c r="M45" t="n">
        <v>0</v>
      </c>
      <c r="N45" t="n">
        <v>0</v>
      </c>
      <c r="O45" t="n">
        <v>0</v>
      </c>
      <c r="P45" t="n">
        <v>0</v>
      </c>
      <c r="Q45" t="n">
        <v>1</v>
      </c>
      <c r="R45" s="2" t="inlineStr">
        <is>
          <t>Kopparödla</t>
        </is>
      </c>
      <c r="S45">
        <f>HYPERLINK("https://klasma.github.io/Logging_1907/artfynd/A 40411-2021 artfynd.xlsx", "A 40411-2021")</f>
        <v/>
      </c>
      <c r="T45">
        <f>HYPERLINK("https://klasma.github.io/Logging_1907/kartor/A 40411-2021 karta.png", "A 40411-2021")</f>
        <v/>
      </c>
      <c r="V45">
        <f>HYPERLINK("https://klasma.github.io/Logging_1907/klagomål/A 40411-2021 FSC-klagomål.docx", "A 40411-2021")</f>
        <v/>
      </c>
      <c r="W45">
        <f>HYPERLINK("https://klasma.github.io/Logging_1907/klagomålsmail/A 40411-2021 FSC-klagomål mail.docx", "A 40411-2021")</f>
        <v/>
      </c>
      <c r="X45">
        <f>HYPERLINK("https://klasma.github.io/Logging_1907/tillsyn/A 40411-2021 tillsynsbegäran.docx", "A 40411-2021")</f>
        <v/>
      </c>
      <c r="Y45">
        <f>HYPERLINK("https://klasma.github.io/Logging_1907/tillsynsmail/A 40411-2021 tillsynsbegäran mail.docx", "A 40411-2021")</f>
        <v/>
      </c>
    </row>
    <row r="46" ht="15" customHeight="1">
      <c r="A46" t="inlineStr">
        <is>
          <t>A 33231-2024</t>
        </is>
      </c>
      <c r="B46" s="1" t="n">
        <v>45518</v>
      </c>
      <c r="C46" s="1" t="n">
        <v>45878</v>
      </c>
      <c r="D46" t="inlineStr">
        <is>
          <t>VÄSTMANLANDS LÄN</t>
        </is>
      </c>
      <c r="E46" t="inlineStr">
        <is>
          <t>SURAHAMMAR</t>
        </is>
      </c>
      <c r="F46" t="inlineStr">
        <is>
          <t>Bergvik skog väst AB</t>
        </is>
      </c>
      <c r="G46" t="n">
        <v>1.5</v>
      </c>
      <c r="H46" t="n">
        <v>1</v>
      </c>
      <c r="I46" t="n">
        <v>0</v>
      </c>
      <c r="J46" t="n">
        <v>0</v>
      </c>
      <c r="K46" t="n">
        <v>0</v>
      </c>
      <c r="L46" t="n">
        <v>0</v>
      </c>
      <c r="M46" t="n">
        <v>0</v>
      </c>
      <c r="N46" t="n">
        <v>0</v>
      </c>
      <c r="O46" t="n">
        <v>0</v>
      </c>
      <c r="P46" t="n">
        <v>0</v>
      </c>
      <c r="Q46" t="n">
        <v>1</v>
      </c>
      <c r="R46" s="2" t="inlineStr">
        <is>
          <t>Mindre vattensalamander</t>
        </is>
      </c>
      <c r="S46">
        <f>HYPERLINK("https://klasma.github.io/Logging_1907/artfynd/A 33231-2024 artfynd.xlsx", "A 33231-2024")</f>
        <v/>
      </c>
      <c r="T46">
        <f>HYPERLINK("https://klasma.github.io/Logging_1907/kartor/A 33231-2024 karta.png", "A 33231-2024")</f>
        <v/>
      </c>
      <c r="V46">
        <f>HYPERLINK("https://klasma.github.io/Logging_1907/klagomål/A 33231-2024 FSC-klagomål.docx", "A 33231-2024")</f>
        <v/>
      </c>
      <c r="W46">
        <f>HYPERLINK("https://klasma.github.io/Logging_1907/klagomålsmail/A 33231-2024 FSC-klagomål mail.docx", "A 33231-2024")</f>
        <v/>
      </c>
      <c r="X46">
        <f>HYPERLINK("https://klasma.github.io/Logging_1907/tillsyn/A 33231-2024 tillsynsbegäran.docx", "A 33231-2024")</f>
        <v/>
      </c>
      <c r="Y46">
        <f>HYPERLINK("https://klasma.github.io/Logging_1907/tillsynsmail/A 33231-2024 tillsynsbegäran mail.docx", "A 33231-2024")</f>
        <v/>
      </c>
    </row>
    <row r="47" ht="15" customHeight="1">
      <c r="A47" t="inlineStr">
        <is>
          <t>A 56362-2023</t>
        </is>
      </c>
      <c r="B47" s="1" t="n">
        <v>45236</v>
      </c>
      <c r="C47" s="1" t="n">
        <v>45878</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30074-2023</t>
        </is>
      </c>
      <c r="B48" s="1" t="n">
        <v>45110</v>
      </c>
      <c r="C48" s="1" t="n">
        <v>45878</v>
      </c>
      <c r="D48" t="inlineStr">
        <is>
          <t>VÄSTMANLANDS LÄN</t>
        </is>
      </c>
      <c r="E48" t="inlineStr">
        <is>
          <t>SURAHAMMAR</t>
        </is>
      </c>
      <c r="F48" t="inlineStr">
        <is>
          <t>Sveaskog</t>
        </is>
      </c>
      <c r="G48" t="n">
        <v>1.1</v>
      </c>
      <c r="H48" t="n">
        <v>1</v>
      </c>
      <c r="I48" t="n">
        <v>0</v>
      </c>
      <c r="J48" t="n">
        <v>0</v>
      </c>
      <c r="K48" t="n">
        <v>0</v>
      </c>
      <c r="L48" t="n">
        <v>0</v>
      </c>
      <c r="M48" t="n">
        <v>0</v>
      </c>
      <c r="N48" t="n">
        <v>0</v>
      </c>
      <c r="O48" t="n">
        <v>0</v>
      </c>
      <c r="P48" t="n">
        <v>0</v>
      </c>
      <c r="Q48" t="n">
        <v>1</v>
      </c>
      <c r="R48" s="2" t="inlineStr">
        <is>
          <t>Revlummer</t>
        </is>
      </c>
      <c r="S48">
        <f>HYPERLINK("https://klasma.github.io/Logging_1907/artfynd/A 30074-2023 artfynd.xlsx", "A 30074-2023")</f>
        <v/>
      </c>
      <c r="T48">
        <f>HYPERLINK("https://klasma.github.io/Logging_1907/kartor/A 30074-2023 karta.png", "A 30074-2023")</f>
        <v/>
      </c>
      <c r="V48">
        <f>HYPERLINK("https://klasma.github.io/Logging_1907/klagomål/A 30074-2023 FSC-klagomål.docx", "A 30074-2023")</f>
        <v/>
      </c>
      <c r="W48">
        <f>HYPERLINK("https://klasma.github.io/Logging_1907/klagomålsmail/A 30074-2023 FSC-klagomål mail.docx", "A 30074-2023")</f>
        <v/>
      </c>
      <c r="X48">
        <f>HYPERLINK("https://klasma.github.io/Logging_1907/tillsyn/A 30074-2023 tillsynsbegäran.docx", "A 30074-2023")</f>
        <v/>
      </c>
      <c r="Y48">
        <f>HYPERLINK("https://klasma.github.io/Logging_1907/tillsynsmail/A 30074-2023 tillsynsbegäran mail.docx", "A 30074-2023")</f>
        <v/>
      </c>
    </row>
    <row r="49" ht="15" customHeight="1">
      <c r="A49" t="inlineStr">
        <is>
          <t>A 39099-2022</t>
        </is>
      </c>
      <c r="B49" s="1" t="n">
        <v>44817</v>
      </c>
      <c r="C49" s="1" t="n">
        <v>45878</v>
      </c>
      <c r="D49" t="inlineStr">
        <is>
          <t>VÄSTMANLANDS LÄN</t>
        </is>
      </c>
      <c r="E49" t="inlineStr">
        <is>
          <t>SURAHAMMAR</t>
        </is>
      </c>
      <c r="F49" t="inlineStr">
        <is>
          <t>Bergvik skog väst AB</t>
        </is>
      </c>
      <c r="G49" t="n">
        <v>7.4</v>
      </c>
      <c r="H49" t="n">
        <v>0</v>
      </c>
      <c r="I49" t="n">
        <v>1</v>
      </c>
      <c r="J49" t="n">
        <v>0</v>
      </c>
      <c r="K49" t="n">
        <v>0</v>
      </c>
      <c r="L49" t="n">
        <v>0</v>
      </c>
      <c r="M49" t="n">
        <v>0</v>
      </c>
      <c r="N49" t="n">
        <v>0</v>
      </c>
      <c r="O49" t="n">
        <v>0</v>
      </c>
      <c r="P49" t="n">
        <v>0</v>
      </c>
      <c r="Q49" t="n">
        <v>1</v>
      </c>
      <c r="R49" s="2" t="inlineStr">
        <is>
          <t>Stekelbock</t>
        </is>
      </c>
      <c r="S49">
        <f>HYPERLINK("https://klasma.github.io/Logging_1907/artfynd/A 39099-2022 artfynd.xlsx", "A 39099-2022")</f>
        <v/>
      </c>
      <c r="T49">
        <f>HYPERLINK("https://klasma.github.io/Logging_1907/kartor/A 39099-2022 karta.png", "A 39099-2022")</f>
        <v/>
      </c>
      <c r="V49">
        <f>HYPERLINK("https://klasma.github.io/Logging_1907/klagomål/A 39099-2022 FSC-klagomål.docx", "A 39099-2022")</f>
        <v/>
      </c>
      <c r="W49">
        <f>HYPERLINK("https://klasma.github.io/Logging_1907/klagomålsmail/A 39099-2022 FSC-klagomål mail.docx", "A 39099-2022")</f>
        <v/>
      </c>
      <c r="X49">
        <f>HYPERLINK("https://klasma.github.io/Logging_1907/tillsyn/A 39099-2022 tillsynsbegäran.docx", "A 39099-2022")</f>
        <v/>
      </c>
      <c r="Y49">
        <f>HYPERLINK("https://klasma.github.io/Logging_1907/tillsynsmail/A 39099-2022 tillsynsbegäran mail.docx", "A 39099-2022")</f>
        <v/>
      </c>
    </row>
    <row r="50" ht="15" customHeight="1">
      <c r="A50" t="inlineStr">
        <is>
          <t>A 43451-2024</t>
        </is>
      </c>
      <c r="B50" s="1" t="n">
        <v>45568</v>
      </c>
      <c r="C50" s="1" t="n">
        <v>45878</v>
      </c>
      <c r="D50" t="inlineStr">
        <is>
          <t>VÄSTMANLANDS LÄN</t>
        </is>
      </c>
      <c r="E50" t="inlineStr">
        <is>
          <t>SURAHAMMAR</t>
        </is>
      </c>
      <c r="F50" t="inlineStr">
        <is>
          <t>Bergvik skog väst AB</t>
        </is>
      </c>
      <c r="G50" t="n">
        <v>2.9</v>
      </c>
      <c r="H50" t="n">
        <v>0</v>
      </c>
      <c r="I50" t="n">
        <v>0</v>
      </c>
      <c r="J50" t="n">
        <v>1</v>
      </c>
      <c r="K50" t="n">
        <v>0</v>
      </c>
      <c r="L50" t="n">
        <v>0</v>
      </c>
      <c r="M50" t="n">
        <v>0</v>
      </c>
      <c r="N50" t="n">
        <v>0</v>
      </c>
      <c r="O50" t="n">
        <v>1</v>
      </c>
      <c r="P50" t="n">
        <v>0</v>
      </c>
      <c r="Q50" t="n">
        <v>1</v>
      </c>
      <c r="R50" s="2" t="inlineStr">
        <is>
          <t>Ullticka</t>
        </is>
      </c>
      <c r="S50">
        <f>HYPERLINK("https://klasma.github.io/Logging_1907/artfynd/A 43451-2024 artfynd.xlsx", "A 43451-2024")</f>
        <v/>
      </c>
      <c r="T50">
        <f>HYPERLINK("https://klasma.github.io/Logging_1907/kartor/A 43451-2024 karta.png", "A 43451-2024")</f>
        <v/>
      </c>
      <c r="V50">
        <f>HYPERLINK("https://klasma.github.io/Logging_1907/klagomål/A 43451-2024 FSC-klagomål.docx", "A 43451-2024")</f>
        <v/>
      </c>
      <c r="W50">
        <f>HYPERLINK("https://klasma.github.io/Logging_1907/klagomålsmail/A 43451-2024 FSC-klagomål mail.docx", "A 43451-2024")</f>
        <v/>
      </c>
      <c r="X50">
        <f>HYPERLINK("https://klasma.github.io/Logging_1907/tillsyn/A 43451-2024 tillsynsbegäran.docx", "A 43451-2024")</f>
        <v/>
      </c>
      <c r="Y50">
        <f>HYPERLINK("https://klasma.github.io/Logging_1907/tillsynsmail/A 43451-2024 tillsynsbegäran mail.docx", "A 43451-2024")</f>
        <v/>
      </c>
    </row>
    <row r="51" ht="15" customHeight="1">
      <c r="A51" t="inlineStr">
        <is>
          <t>A 31176-2024</t>
        </is>
      </c>
      <c r="B51" s="1" t="n">
        <v>45503</v>
      </c>
      <c r="C51" s="1" t="n">
        <v>45878</v>
      </c>
      <c r="D51" t="inlineStr">
        <is>
          <t>VÄSTMANLANDS LÄN</t>
        </is>
      </c>
      <c r="E51" t="inlineStr">
        <is>
          <t>SURAHAMMAR</t>
        </is>
      </c>
      <c r="F51" t="inlineStr">
        <is>
          <t>Allmännings- och besparingsskogar</t>
        </is>
      </c>
      <c r="G51" t="n">
        <v>10.7</v>
      </c>
      <c r="H51" t="n">
        <v>0</v>
      </c>
      <c r="I51" t="n">
        <v>0</v>
      </c>
      <c r="J51" t="n">
        <v>1</v>
      </c>
      <c r="K51" t="n">
        <v>0</v>
      </c>
      <c r="L51" t="n">
        <v>0</v>
      </c>
      <c r="M51" t="n">
        <v>0</v>
      </c>
      <c r="N51" t="n">
        <v>0</v>
      </c>
      <c r="O51" t="n">
        <v>1</v>
      </c>
      <c r="P51" t="n">
        <v>0</v>
      </c>
      <c r="Q51" t="n">
        <v>1</v>
      </c>
      <c r="R51" s="2" t="inlineStr">
        <is>
          <t>Doftskinn</t>
        </is>
      </c>
      <c r="S51">
        <f>HYPERLINK("https://klasma.github.io/Logging_1907/artfynd/A 31176-2024 artfynd.xlsx", "A 31176-2024")</f>
        <v/>
      </c>
      <c r="T51">
        <f>HYPERLINK("https://klasma.github.io/Logging_1907/kartor/A 31176-2024 karta.png", "A 31176-2024")</f>
        <v/>
      </c>
      <c r="V51">
        <f>HYPERLINK("https://klasma.github.io/Logging_1907/klagomål/A 31176-2024 FSC-klagomål.docx", "A 31176-2024")</f>
        <v/>
      </c>
      <c r="W51">
        <f>HYPERLINK("https://klasma.github.io/Logging_1907/klagomålsmail/A 31176-2024 FSC-klagomål mail.docx", "A 31176-2024")</f>
        <v/>
      </c>
      <c r="X51">
        <f>HYPERLINK("https://klasma.github.io/Logging_1907/tillsyn/A 31176-2024 tillsynsbegäran.docx", "A 31176-2024")</f>
        <v/>
      </c>
      <c r="Y51">
        <f>HYPERLINK("https://klasma.github.io/Logging_1907/tillsynsmail/A 31176-2024 tillsynsbegäran mail.docx", "A 31176-2024")</f>
        <v/>
      </c>
    </row>
    <row r="52" ht="15" customHeight="1">
      <c r="A52" t="inlineStr">
        <is>
          <t>A 25583-2024</t>
        </is>
      </c>
      <c r="B52" s="1" t="n">
        <v>45463</v>
      </c>
      <c r="C52" s="1" t="n">
        <v>45878</v>
      </c>
      <c r="D52" t="inlineStr">
        <is>
          <t>VÄSTMANLANDS LÄN</t>
        </is>
      </c>
      <c r="E52" t="inlineStr">
        <is>
          <t>SURAHAMMAR</t>
        </is>
      </c>
      <c r="F52" t="inlineStr">
        <is>
          <t>Bergvik skog väst AB</t>
        </is>
      </c>
      <c r="G52" t="n">
        <v>7.8</v>
      </c>
      <c r="H52" t="n">
        <v>1</v>
      </c>
      <c r="I52" t="n">
        <v>0</v>
      </c>
      <c r="J52" t="n">
        <v>0</v>
      </c>
      <c r="K52" t="n">
        <v>0</v>
      </c>
      <c r="L52" t="n">
        <v>0</v>
      </c>
      <c r="M52" t="n">
        <v>0</v>
      </c>
      <c r="N52" t="n">
        <v>0</v>
      </c>
      <c r="O52" t="n">
        <v>0</v>
      </c>
      <c r="P52" t="n">
        <v>0</v>
      </c>
      <c r="Q52" t="n">
        <v>1</v>
      </c>
      <c r="R52" s="2" t="inlineStr">
        <is>
          <t>Blåsippa</t>
        </is>
      </c>
      <c r="S52">
        <f>HYPERLINK("https://klasma.github.io/Logging_1907/artfynd/A 25583-2024 artfynd.xlsx", "A 25583-2024")</f>
        <v/>
      </c>
      <c r="T52">
        <f>HYPERLINK("https://klasma.github.io/Logging_1907/kartor/A 25583-2024 karta.png", "A 25583-2024")</f>
        <v/>
      </c>
      <c r="V52">
        <f>HYPERLINK("https://klasma.github.io/Logging_1907/klagomål/A 25583-2024 FSC-klagomål.docx", "A 25583-2024")</f>
        <v/>
      </c>
      <c r="W52">
        <f>HYPERLINK("https://klasma.github.io/Logging_1907/klagomålsmail/A 25583-2024 FSC-klagomål mail.docx", "A 25583-2024")</f>
        <v/>
      </c>
      <c r="X52">
        <f>HYPERLINK("https://klasma.github.io/Logging_1907/tillsyn/A 25583-2024 tillsynsbegäran.docx", "A 25583-2024")</f>
        <v/>
      </c>
      <c r="Y52">
        <f>HYPERLINK("https://klasma.github.io/Logging_1907/tillsynsmail/A 25583-2024 tillsynsbegäran mail.docx", "A 25583-2024")</f>
        <v/>
      </c>
    </row>
    <row r="53" ht="15" customHeight="1">
      <c r="A53" t="inlineStr">
        <is>
          <t>A 21716-2025</t>
        </is>
      </c>
      <c r="B53" s="1" t="n">
        <v>45783.54804398148</v>
      </c>
      <c r="C53" s="1" t="n">
        <v>45878</v>
      </c>
      <c r="D53" t="inlineStr">
        <is>
          <t>VÄSTMANLANDS LÄN</t>
        </is>
      </c>
      <c r="E53" t="inlineStr">
        <is>
          <t>SURAHAMMAR</t>
        </is>
      </c>
      <c r="F53" t="inlineStr">
        <is>
          <t>Allmännings- och besparingsskogar</t>
        </is>
      </c>
      <c r="G53" t="n">
        <v>21.1</v>
      </c>
      <c r="H53" t="n">
        <v>1</v>
      </c>
      <c r="I53" t="n">
        <v>0</v>
      </c>
      <c r="J53" t="n">
        <v>1</v>
      </c>
      <c r="K53" t="n">
        <v>0</v>
      </c>
      <c r="L53" t="n">
        <v>0</v>
      </c>
      <c r="M53" t="n">
        <v>0</v>
      </c>
      <c r="N53" t="n">
        <v>0</v>
      </c>
      <c r="O53" t="n">
        <v>1</v>
      </c>
      <c r="P53" t="n">
        <v>0</v>
      </c>
      <c r="Q53" t="n">
        <v>1</v>
      </c>
      <c r="R53" s="2" t="inlineStr">
        <is>
          <t>Spillkråka</t>
        </is>
      </c>
      <c r="S53">
        <f>HYPERLINK("https://klasma.github.io/Logging_1907/artfynd/A 21716-2025 artfynd.xlsx", "A 21716-2025")</f>
        <v/>
      </c>
      <c r="T53">
        <f>HYPERLINK("https://klasma.github.io/Logging_1907/kartor/A 21716-2025 karta.png",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69777-2021</t>
        </is>
      </c>
      <c r="B54" s="1" t="n">
        <v>44532</v>
      </c>
      <c r="C54" s="1" t="n">
        <v>45878</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45878</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45878</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13971-2023</t>
        </is>
      </c>
      <c r="B57" s="1" t="n">
        <v>45007</v>
      </c>
      <c r="C57" s="1" t="n">
        <v>45878</v>
      </c>
      <c r="D57" t="inlineStr">
        <is>
          <t>VÄSTMANLANDS LÄN</t>
        </is>
      </c>
      <c r="E57" t="inlineStr">
        <is>
          <t>SURAHAMMAR</t>
        </is>
      </c>
      <c r="F57" t="inlineStr">
        <is>
          <t>Bergvik skog väst AB</t>
        </is>
      </c>
      <c r="G57" t="n">
        <v>2.9</v>
      </c>
      <c r="H57" t="n">
        <v>1</v>
      </c>
      <c r="I57" t="n">
        <v>0</v>
      </c>
      <c r="J57" t="n">
        <v>0</v>
      </c>
      <c r="K57" t="n">
        <v>0</v>
      </c>
      <c r="L57" t="n">
        <v>0</v>
      </c>
      <c r="M57" t="n">
        <v>0</v>
      </c>
      <c r="N57" t="n">
        <v>0</v>
      </c>
      <c r="O57" t="n">
        <v>0</v>
      </c>
      <c r="P57" t="n">
        <v>0</v>
      </c>
      <c r="Q57" t="n">
        <v>1</v>
      </c>
      <c r="R57" s="2" t="inlineStr">
        <is>
          <t>Fläcknycklar</t>
        </is>
      </c>
      <c r="S57">
        <f>HYPERLINK("https://klasma.github.io/Logging_1907/artfynd/A 13971-2023 artfynd.xlsx", "A 13971-2023")</f>
        <v/>
      </c>
      <c r="T57">
        <f>HYPERLINK("https://klasma.github.io/Logging_1907/kartor/A 13971-2023 karta.png", "A 13971-2023")</f>
        <v/>
      </c>
      <c r="V57">
        <f>HYPERLINK("https://klasma.github.io/Logging_1907/klagomål/A 13971-2023 FSC-klagomål.docx", "A 13971-2023")</f>
        <v/>
      </c>
      <c r="W57">
        <f>HYPERLINK("https://klasma.github.io/Logging_1907/klagomålsmail/A 13971-2023 FSC-klagomål mail.docx", "A 13971-2023")</f>
        <v/>
      </c>
      <c r="X57">
        <f>HYPERLINK("https://klasma.github.io/Logging_1907/tillsyn/A 13971-2023 tillsynsbegäran.docx", "A 13971-2023")</f>
        <v/>
      </c>
      <c r="Y57">
        <f>HYPERLINK("https://klasma.github.io/Logging_1907/tillsynsmail/A 13971-2023 tillsynsbegäran mail.docx", "A 13971-2023")</f>
        <v/>
      </c>
    </row>
    <row r="58" ht="15" customHeight="1">
      <c r="A58" t="inlineStr">
        <is>
          <t>A 42765-2022</t>
        </is>
      </c>
      <c r="B58" s="1" t="n">
        <v>44832</v>
      </c>
      <c r="C58" s="1" t="n">
        <v>45878</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44356-2024</t>
        </is>
      </c>
      <c r="B59" s="1" t="n">
        <v>45573</v>
      </c>
      <c r="C59" s="1" t="n">
        <v>45878</v>
      </c>
      <c r="D59" t="inlineStr">
        <is>
          <t>VÄSTMANLANDS LÄN</t>
        </is>
      </c>
      <c r="E59" t="inlineStr">
        <is>
          <t>SURAHAMMAR</t>
        </is>
      </c>
      <c r="F59" t="inlineStr">
        <is>
          <t>Sveaskog</t>
        </is>
      </c>
      <c r="G59" t="n">
        <v>0.7</v>
      </c>
      <c r="H59" t="n">
        <v>1</v>
      </c>
      <c r="I59" t="n">
        <v>0</v>
      </c>
      <c r="J59" t="n">
        <v>0</v>
      </c>
      <c r="K59" t="n">
        <v>0</v>
      </c>
      <c r="L59" t="n">
        <v>0</v>
      </c>
      <c r="M59" t="n">
        <v>0</v>
      </c>
      <c r="N59" t="n">
        <v>0</v>
      </c>
      <c r="O59" t="n">
        <v>0</v>
      </c>
      <c r="P59" t="n">
        <v>0</v>
      </c>
      <c r="Q59" t="n">
        <v>1</v>
      </c>
      <c r="R59" s="2" t="inlineStr">
        <is>
          <t>Revlummer</t>
        </is>
      </c>
      <c r="S59">
        <f>HYPERLINK("https://klasma.github.io/Logging_1907/artfynd/A 44356-2024 artfynd.xlsx", "A 44356-2024")</f>
        <v/>
      </c>
      <c r="T59">
        <f>HYPERLINK("https://klasma.github.io/Logging_1907/kartor/A 44356-2024 karta.png", "A 44356-2024")</f>
        <v/>
      </c>
      <c r="V59">
        <f>HYPERLINK("https://klasma.github.io/Logging_1907/klagomål/A 44356-2024 FSC-klagomål.docx", "A 44356-2024")</f>
        <v/>
      </c>
      <c r="W59">
        <f>HYPERLINK("https://klasma.github.io/Logging_1907/klagomålsmail/A 44356-2024 FSC-klagomål mail.docx", "A 44356-2024")</f>
        <v/>
      </c>
      <c r="X59">
        <f>HYPERLINK("https://klasma.github.io/Logging_1907/tillsyn/A 44356-2024 tillsynsbegäran.docx", "A 44356-2024")</f>
        <v/>
      </c>
      <c r="Y59">
        <f>HYPERLINK("https://klasma.github.io/Logging_1907/tillsynsmail/A 44356-2024 tillsynsbegäran mail.docx", "A 44356-2024")</f>
        <v/>
      </c>
    </row>
    <row r="60" ht="15" customHeight="1">
      <c r="A60" t="inlineStr">
        <is>
          <t>A 10819-2024</t>
        </is>
      </c>
      <c r="B60" s="1" t="n">
        <v>45369.66049768519</v>
      </c>
      <c r="C60" s="1" t="n">
        <v>45878</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13788-2025</t>
        </is>
      </c>
      <c r="B61" s="1" t="n">
        <v>45737.45327546296</v>
      </c>
      <c r="C61" s="1" t="n">
        <v>45878</v>
      </c>
      <c r="D61" t="inlineStr">
        <is>
          <t>VÄSTMANLANDS LÄN</t>
        </is>
      </c>
      <c r="E61" t="inlineStr">
        <is>
          <t>SURAHAMMAR</t>
        </is>
      </c>
      <c r="G61" t="n">
        <v>9.699999999999999</v>
      </c>
      <c r="H61" t="n">
        <v>1</v>
      </c>
      <c r="I61" t="n">
        <v>0</v>
      </c>
      <c r="J61" t="n">
        <v>0</v>
      </c>
      <c r="K61" t="n">
        <v>0</v>
      </c>
      <c r="L61" t="n">
        <v>0</v>
      </c>
      <c r="M61" t="n">
        <v>0</v>
      </c>
      <c r="N61" t="n">
        <v>0</v>
      </c>
      <c r="O61" t="n">
        <v>0</v>
      </c>
      <c r="P61" t="n">
        <v>0</v>
      </c>
      <c r="Q61" t="n">
        <v>1</v>
      </c>
      <c r="R61" s="2" t="inlineStr">
        <is>
          <t>Sparvuggla</t>
        </is>
      </c>
      <c r="S61">
        <f>HYPERLINK("https://klasma.github.io/Logging_1907/artfynd/A 13788-2025 artfynd.xlsx", "A 13788-2025")</f>
        <v/>
      </c>
      <c r="T61">
        <f>HYPERLINK("https://klasma.github.io/Logging_1907/kartor/A 13788-2025 karta.png", "A 13788-2025")</f>
        <v/>
      </c>
      <c r="V61">
        <f>HYPERLINK("https://klasma.github.io/Logging_1907/klagomål/A 13788-2025 FSC-klagomål.docx", "A 13788-2025")</f>
        <v/>
      </c>
      <c r="W61">
        <f>HYPERLINK("https://klasma.github.io/Logging_1907/klagomålsmail/A 13788-2025 FSC-klagomål mail.docx", "A 13788-2025")</f>
        <v/>
      </c>
      <c r="X61">
        <f>HYPERLINK("https://klasma.github.io/Logging_1907/tillsyn/A 13788-2025 tillsynsbegäran.docx", "A 13788-2025")</f>
        <v/>
      </c>
      <c r="Y61">
        <f>HYPERLINK("https://klasma.github.io/Logging_1907/tillsynsmail/A 13788-2025 tillsynsbegäran mail.docx", "A 13788-2025")</f>
        <v/>
      </c>
      <c r="Z61">
        <f>HYPERLINK("https://klasma.github.io/Logging_1907/fåglar/A 13788-2025 prioriterade fågelarter.docx", "A 13788-2025")</f>
        <v/>
      </c>
    </row>
    <row r="62" ht="15" customHeight="1">
      <c r="A62" t="inlineStr">
        <is>
          <t>A 62097-2024</t>
        </is>
      </c>
      <c r="B62" s="1" t="n">
        <v>45646</v>
      </c>
      <c r="C62" s="1" t="n">
        <v>45878</v>
      </c>
      <c r="D62" t="inlineStr">
        <is>
          <t>VÄSTMANLANDS LÄN</t>
        </is>
      </c>
      <c r="E62" t="inlineStr">
        <is>
          <t>SURAHAMMAR</t>
        </is>
      </c>
      <c r="F62" t="inlineStr">
        <is>
          <t>Bergvik skog väst AB</t>
        </is>
      </c>
      <c r="G62" t="n">
        <v>21.7</v>
      </c>
      <c r="H62" t="n">
        <v>1</v>
      </c>
      <c r="I62" t="n">
        <v>0</v>
      </c>
      <c r="J62" t="n">
        <v>0</v>
      </c>
      <c r="K62" t="n">
        <v>0</v>
      </c>
      <c r="L62" t="n">
        <v>0</v>
      </c>
      <c r="M62" t="n">
        <v>0</v>
      </c>
      <c r="N62" t="n">
        <v>0</v>
      </c>
      <c r="O62" t="n">
        <v>0</v>
      </c>
      <c r="P62" t="n">
        <v>0</v>
      </c>
      <c r="Q62" t="n">
        <v>1</v>
      </c>
      <c r="R62" s="2" t="inlineStr">
        <is>
          <t>Revlummer</t>
        </is>
      </c>
      <c r="S62">
        <f>HYPERLINK("https://klasma.github.io/Logging_1907/artfynd/A 62097-2024 artfynd.xlsx", "A 62097-2024")</f>
        <v/>
      </c>
      <c r="T62">
        <f>HYPERLINK("https://klasma.github.io/Logging_1907/kartor/A 62097-2024 karta.png", "A 62097-2024")</f>
        <v/>
      </c>
      <c r="V62">
        <f>HYPERLINK("https://klasma.github.io/Logging_1907/klagomål/A 62097-2024 FSC-klagomål.docx", "A 62097-2024")</f>
        <v/>
      </c>
      <c r="W62">
        <f>HYPERLINK("https://klasma.github.io/Logging_1907/klagomålsmail/A 62097-2024 FSC-klagomål mail.docx", "A 62097-2024")</f>
        <v/>
      </c>
      <c r="X62">
        <f>HYPERLINK("https://klasma.github.io/Logging_1907/tillsyn/A 62097-2024 tillsynsbegäran.docx", "A 62097-2024")</f>
        <v/>
      </c>
      <c r="Y62">
        <f>HYPERLINK("https://klasma.github.io/Logging_1907/tillsynsmail/A 62097-2024 tillsynsbegäran mail.docx", "A 62097-2024")</f>
        <v/>
      </c>
    </row>
    <row r="63" ht="15" customHeight="1">
      <c r="A63" t="inlineStr">
        <is>
          <t>A 17632-2022</t>
        </is>
      </c>
      <c r="B63" s="1" t="n">
        <v>44680</v>
      </c>
      <c r="C63" s="1" t="n">
        <v>45878</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22840-2023</t>
        </is>
      </c>
      <c r="B64" s="1" t="n">
        <v>45072</v>
      </c>
      <c r="C64" s="1" t="n">
        <v>45878</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45735-2024</t>
        </is>
      </c>
      <c r="B65" s="1" t="n">
        <v>45579</v>
      </c>
      <c r="C65" s="1" t="n">
        <v>45878</v>
      </c>
      <c r="D65" t="inlineStr">
        <is>
          <t>VÄSTMANLANDS LÄN</t>
        </is>
      </c>
      <c r="E65" t="inlineStr">
        <is>
          <t>SURAHAMMAR</t>
        </is>
      </c>
      <c r="F65" t="inlineStr">
        <is>
          <t>Sveaskog</t>
        </is>
      </c>
      <c r="G65" t="n">
        <v>13.5</v>
      </c>
      <c r="H65" t="n">
        <v>1</v>
      </c>
      <c r="I65" t="n">
        <v>0</v>
      </c>
      <c r="J65" t="n">
        <v>0</v>
      </c>
      <c r="K65" t="n">
        <v>0</v>
      </c>
      <c r="L65" t="n">
        <v>0</v>
      </c>
      <c r="M65" t="n">
        <v>0</v>
      </c>
      <c r="N65" t="n">
        <v>0</v>
      </c>
      <c r="O65" t="n">
        <v>0</v>
      </c>
      <c r="P65" t="n">
        <v>0</v>
      </c>
      <c r="Q65" t="n">
        <v>1</v>
      </c>
      <c r="R65" s="2" t="inlineStr">
        <is>
          <t>Revlummer</t>
        </is>
      </c>
      <c r="S65">
        <f>HYPERLINK("https://klasma.github.io/Logging_1907/artfynd/A 45735-2024 artfynd.xlsx", "A 45735-2024")</f>
        <v/>
      </c>
      <c r="T65">
        <f>HYPERLINK("https://klasma.github.io/Logging_1907/kartor/A 45735-2024 karta.png", "A 45735-2024")</f>
        <v/>
      </c>
      <c r="V65">
        <f>HYPERLINK("https://klasma.github.io/Logging_1907/klagomål/A 45735-2024 FSC-klagomål.docx", "A 45735-2024")</f>
        <v/>
      </c>
      <c r="W65">
        <f>HYPERLINK("https://klasma.github.io/Logging_1907/klagomålsmail/A 45735-2024 FSC-klagomål mail.docx", "A 45735-2024")</f>
        <v/>
      </c>
      <c r="X65">
        <f>HYPERLINK("https://klasma.github.io/Logging_1907/tillsyn/A 45735-2024 tillsynsbegäran.docx", "A 45735-2024")</f>
        <v/>
      </c>
      <c r="Y65">
        <f>HYPERLINK("https://klasma.github.io/Logging_1907/tillsynsmail/A 45735-2024 tillsynsbegäran mail.docx", "A 45735-2024")</f>
        <v/>
      </c>
    </row>
    <row r="66" ht="15" customHeight="1">
      <c r="A66" t="inlineStr">
        <is>
          <t>A 43177-2020</t>
        </is>
      </c>
      <c r="B66" s="1" t="n">
        <v>44081</v>
      </c>
      <c r="C66" s="1" t="n">
        <v>45878</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45878</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45878</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45878</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45878</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45878</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45878</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45878</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45878</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45878</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45878</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45878</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45878</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45878</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45878</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45878</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45878</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19637-2022</t>
        </is>
      </c>
      <c r="B83" s="1" t="n">
        <v>44694</v>
      </c>
      <c r="C83" s="1" t="n">
        <v>45878</v>
      </c>
      <c r="D83" t="inlineStr">
        <is>
          <t>VÄSTMANLANDS LÄN</t>
        </is>
      </c>
      <c r="E83" t="inlineStr">
        <is>
          <t>SURAHAMMAR</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34957-2022</t>
        </is>
      </c>
      <c r="B84" s="1" t="n">
        <v>44796.64672453704</v>
      </c>
      <c r="C84" s="1" t="n">
        <v>45878</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45878</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45878</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43590-2020</t>
        </is>
      </c>
      <c r="B87" s="1" t="n">
        <v>44082</v>
      </c>
      <c r="C87" s="1" t="n">
        <v>45878</v>
      </c>
      <c r="D87" t="inlineStr">
        <is>
          <t>VÄSTMANLANDS LÄN</t>
        </is>
      </c>
      <c r="E87" t="inlineStr">
        <is>
          <t>SURAHAMMAR</t>
        </is>
      </c>
      <c r="F87" t="inlineStr">
        <is>
          <t>Sveaskog</t>
        </is>
      </c>
      <c r="G87" t="n">
        <v>2.1</v>
      </c>
      <c r="H87" t="n">
        <v>0</v>
      </c>
      <c r="I87" t="n">
        <v>0</v>
      </c>
      <c r="J87" t="n">
        <v>0</v>
      </c>
      <c r="K87" t="n">
        <v>0</v>
      </c>
      <c r="L87" t="n">
        <v>0</v>
      </c>
      <c r="M87" t="n">
        <v>0</v>
      </c>
      <c r="N87" t="n">
        <v>0</v>
      </c>
      <c r="O87" t="n">
        <v>0</v>
      </c>
      <c r="P87" t="n">
        <v>0</v>
      </c>
      <c r="Q87" t="n">
        <v>0</v>
      </c>
      <c r="R87" s="2" t="inlineStr"/>
    </row>
    <row r="88" ht="15" customHeight="1">
      <c r="A88" t="inlineStr">
        <is>
          <t>A 52076-2020</t>
        </is>
      </c>
      <c r="B88" s="1" t="n">
        <v>44117</v>
      </c>
      <c r="C88" s="1" t="n">
        <v>45878</v>
      </c>
      <c r="D88" t="inlineStr">
        <is>
          <t>VÄSTMANLANDS LÄN</t>
        </is>
      </c>
      <c r="E88" t="inlineStr">
        <is>
          <t>SURAHAMMAR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59543-2020</t>
        </is>
      </c>
      <c r="B89" s="1" t="n">
        <v>44148</v>
      </c>
      <c r="C89" s="1" t="n">
        <v>45878</v>
      </c>
      <c r="D89" t="inlineStr">
        <is>
          <t>VÄSTMANLANDS LÄN</t>
        </is>
      </c>
      <c r="E89" t="inlineStr">
        <is>
          <t>SURAHAMMAR</t>
        </is>
      </c>
      <c r="G89" t="n">
        <v>1.3</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45878</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66350-2021</t>
        </is>
      </c>
      <c r="B91" s="1" t="n">
        <v>44518</v>
      </c>
      <c r="C91" s="1" t="n">
        <v>45878</v>
      </c>
      <c r="D91" t="inlineStr">
        <is>
          <t>VÄSTMANLANDS LÄN</t>
        </is>
      </c>
      <c r="E91" t="inlineStr">
        <is>
          <t>SURAHAMMAR</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67611-2021</t>
        </is>
      </c>
      <c r="B92" s="1" t="n">
        <v>44524</v>
      </c>
      <c r="C92" s="1" t="n">
        <v>45878</v>
      </c>
      <c r="D92" t="inlineStr">
        <is>
          <t>VÄSTMANLANDS LÄN</t>
        </is>
      </c>
      <c r="E92" t="inlineStr">
        <is>
          <t>SURAHAMMAR</t>
        </is>
      </c>
      <c r="F92" t="inlineStr">
        <is>
          <t>Kommuner</t>
        </is>
      </c>
      <c r="G92" t="n">
        <v>3.8</v>
      </c>
      <c r="H92" t="n">
        <v>0</v>
      </c>
      <c r="I92" t="n">
        <v>0</v>
      </c>
      <c r="J92" t="n">
        <v>0</v>
      </c>
      <c r="K92" t="n">
        <v>0</v>
      </c>
      <c r="L92" t="n">
        <v>0</v>
      </c>
      <c r="M92" t="n">
        <v>0</v>
      </c>
      <c r="N92" t="n">
        <v>0</v>
      </c>
      <c r="O92" t="n">
        <v>0</v>
      </c>
      <c r="P92" t="n">
        <v>0</v>
      </c>
      <c r="Q92" t="n">
        <v>0</v>
      </c>
      <c r="R92" s="2" t="inlineStr"/>
    </row>
    <row r="93" ht="15" customHeight="1">
      <c r="A93" t="inlineStr">
        <is>
          <t>A 33931-2022</t>
        </is>
      </c>
      <c r="B93" s="1" t="n">
        <v>44790.65153935185</v>
      </c>
      <c r="C93" s="1" t="n">
        <v>45878</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22662-2023</t>
        </is>
      </c>
      <c r="B94" s="1" t="n">
        <v>45071</v>
      </c>
      <c r="C94" s="1" t="n">
        <v>45878</v>
      </c>
      <c r="D94" t="inlineStr">
        <is>
          <t>VÄSTMANLANDS LÄN</t>
        </is>
      </c>
      <c r="E94" t="inlineStr">
        <is>
          <t>SURAHAMMAR</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45878</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45878</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45878</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42832-2022</t>
        </is>
      </c>
      <c r="B98" s="1" t="n">
        <v>44832</v>
      </c>
      <c r="C98" s="1" t="n">
        <v>45878</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42841-2022</t>
        </is>
      </c>
      <c r="B99" s="1" t="n">
        <v>44832</v>
      </c>
      <c r="C99" s="1" t="n">
        <v>45878</v>
      </c>
      <c r="D99" t="inlineStr">
        <is>
          <t>VÄSTMANLANDS LÄN</t>
        </is>
      </c>
      <c r="E99" t="inlineStr">
        <is>
          <t>SURAHAMMAR</t>
        </is>
      </c>
      <c r="G99" t="n">
        <v>1.8</v>
      </c>
      <c r="H99" t="n">
        <v>0</v>
      </c>
      <c r="I99" t="n">
        <v>0</v>
      </c>
      <c r="J99" t="n">
        <v>0</v>
      </c>
      <c r="K99" t="n">
        <v>0</v>
      </c>
      <c r="L99" t="n">
        <v>0</v>
      </c>
      <c r="M99" t="n">
        <v>0</v>
      </c>
      <c r="N99" t="n">
        <v>0</v>
      </c>
      <c r="O99" t="n">
        <v>0</v>
      </c>
      <c r="P99" t="n">
        <v>0</v>
      </c>
      <c r="Q99" t="n">
        <v>0</v>
      </c>
      <c r="R99" s="2" t="inlineStr"/>
    </row>
    <row r="100" ht="15" customHeight="1">
      <c r="A100" t="inlineStr">
        <is>
          <t>A 24158-2023</t>
        </is>
      </c>
      <c r="B100" s="1" t="n">
        <v>45079</v>
      </c>
      <c r="C100" s="1" t="n">
        <v>45878</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30076-2023</t>
        </is>
      </c>
      <c r="B101" s="1" t="n">
        <v>45110</v>
      </c>
      <c r="C101" s="1" t="n">
        <v>45878</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44358-2024</t>
        </is>
      </c>
      <c r="B102" s="1" t="n">
        <v>45573</v>
      </c>
      <c r="C102" s="1" t="n">
        <v>45878</v>
      </c>
      <c r="D102" t="inlineStr">
        <is>
          <t>VÄSTMANLANDS LÄN</t>
        </is>
      </c>
      <c r="E102" t="inlineStr">
        <is>
          <t>SURAHAMMAR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44359-2024</t>
        </is>
      </c>
      <c r="B103" s="1" t="n">
        <v>45573</v>
      </c>
      <c r="C103" s="1" t="n">
        <v>45878</v>
      </c>
      <c r="D103" t="inlineStr">
        <is>
          <t>VÄSTMANLANDS LÄN</t>
        </is>
      </c>
      <c r="E103" t="inlineStr">
        <is>
          <t>SURAHAMMAR</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10396-2025</t>
        </is>
      </c>
      <c r="B104" s="1" t="n">
        <v>45720.60721064815</v>
      </c>
      <c r="C104" s="1" t="n">
        <v>45878</v>
      </c>
      <c r="D104" t="inlineStr">
        <is>
          <t>VÄSTMANLANDS LÄN</t>
        </is>
      </c>
      <c r="E104" t="inlineStr">
        <is>
          <t>SURAHAMMAR</t>
        </is>
      </c>
      <c r="F104" t="inlineStr">
        <is>
          <t>Allmännings- och besparingsskogar</t>
        </is>
      </c>
      <c r="G104" t="n">
        <v>9.300000000000001</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45878</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47785-2021</t>
        </is>
      </c>
      <c r="B106" s="1" t="n">
        <v>44448</v>
      </c>
      <c r="C106" s="1" t="n">
        <v>45878</v>
      </c>
      <c r="D106" t="inlineStr">
        <is>
          <t>VÄSTMANLANDS LÄN</t>
        </is>
      </c>
      <c r="E106" t="inlineStr">
        <is>
          <t>SURAHAMMAR</t>
        </is>
      </c>
      <c r="F106" t="inlineStr">
        <is>
          <t>Kommuner</t>
        </is>
      </c>
      <c r="G106" t="n">
        <v>3.3</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45878</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25417-2024</t>
        </is>
      </c>
      <c r="B108" s="1" t="n">
        <v>45463</v>
      </c>
      <c r="C108" s="1" t="n">
        <v>45878</v>
      </c>
      <c r="D108" t="inlineStr">
        <is>
          <t>VÄSTMANLANDS LÄN</t>
        </is>
      </c>
      <c r="E108" t="inlineStr">
        <is>
          <t>SURAHAMMAR</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25450-2024</t>
        </is>
      </c>
      <c r="B109" s="1" t="n">
        <v>45463</v>
      </c>
      <c r="C109" s="1" t="n">
        <v>45878</v>
      </c>
      <c r="D109" t="inlineStr">
        <is>
          <t>VÄSTMANLANDS LÄN</t>
        </is>
      </c>
      <c r="E109" t="inlineStr">
        <is>
          <t>SURAHAMMAR</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10883-2023</t>
        </is>
      </c>
      <c r="B110" s="1" t="n">
        <v>44991</v>
      </c>
      <c r="C110" s="1" t="n">
        <v>45878</v>
      </c>
      <c r="D110" t="inlineStr">
        <is>
          <t>VÄSTMANLANDS LÄN</t>
        </is>
      </c>
      <c r="E110" t="inlineStr">
        <is>
          <t>SURAHAMMAR</t>
        </is>
      </c>
      <c r="F110" t="inlineStr">
        <is>
          <t>Övriga Aktiebolag</t>
        </is>
      </c>
      <c r="G110" t="n">
        <v>12.5</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45878</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24665-2023</t>
        </is>
      </c>
      <c r="B112" s="1" t="n">
        <v>45084.48592592592</v>
      </c>
      <c r="C112" s="1" t="n">
        <v>45878</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24167-2024</t>
        </is>
      </c>
      <c r="B113" s="1" t="n">
        <v>45456</v>
      </c>
      <c r="C113" s="1" t="n">
        <v>45878</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72367-2021</t>
        </is>
      </c>
      <c r="B114" s="1" t="n">
        <v>44545</v>
      </c>
      <c r="C114" s="1" t="n">
        <v>45878</v>
      </c>
      <c r="D114" t="inlineStr">
        <is>
          <t>VÄSTMANLANDS LÄN</t>
        </is>
      </c>
      <c r="E114" t="inlineStr">
        <is>
          <t>SURAHAMMAR</t>
        </is>
      </c>
      <c r="G114" t="n">
        <v>2.5</v>
      </c>
      <c r="H114" t="n">
        <v>0</v>
      </c>
      <c r="I114" t="n">
        <v>0</v>
      </c>
      <c r="J114" t="n">
        <v>0</v>
      </c>
      <c r="K114" t="n">
        <v>0</v>
      </c>
      <c r="L114" t="n">
        <v>0</v>
      </c>
      <c r="M114" t="n">
        <v>0</v>
      </c>
      <c r="N114" t="n">
        <v>0</v>
      </c>
      <c r="O114" t="n">
        <v>0</v>
      </c>
      <c r="P114" t="n">
        <v>0</v>
      </c>
      <c r="Q114" t="n">
        <v>0</v>
      </c>
      <c r="R114" s="2" t="inlineStr"/>
    </row>
    <row r="115" ht="15" customHeight="1">
      <c r="A115" t="inlineStr">
        <is>
          <t>A 44353-2024</t>
        </is>
      </c>
      <c r="B115" s="1" t="n">
        <v>45573</v>
      </c>
      <c r="C115" s="1" t="n">
        <v>45878</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44357-2024</t>
        </is>
      </c>
      <c r="B116" s="1" t="n">
        <v>45573</v>
      </c>
      <c r="C116" s="1" t="n">
        <v>45878</v>
      </c>
      <c r="D116" t="inlineStr">
        <is>
          <t>VÄSTMANLANDS LÄN</t>
        </is>
      </c>
      <c r="E116" t="inlineStr">
        <is>
          <t>SURAHAMMAR</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45878</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13119-2022</t>
        </is>
      </c>
      <c r="B118" s="1" t="n">
        <v>44643</v>
      </c>
      <c r="C118" s="1" t="n">
        <v>45878</v>
      </c>
      <c r="D118" t="inlineStr">
        <is>
          <t>VÄSTMANLANDS LÄN</t>
        </is>
      </c>
      <c r="E118" t="inlineStr">
        <is>
          <t>SURAHAMMAR</t>
        </is>
      </c>
      <c r="F118" t="inlineStr">
        <is>
          <t>Bergvik skog väst AB</t>
        </is>
      </c>
      <c r="G118" t="n">
        <v>2</v>
      </c>
      <c r="H118" t="n">
        <v>0</v>
      </c>
      <c r="I118" t="n">
        <v>0</v>
      </c>
      <c r="J118" t="n">
        <v>0</v>
      </c>
      <c r="K118" t="n">
        <v>0</v>
      </c>
      <c r="L118" t="n">
        <v>0</v>
      </c>
      <c r="M118" t="n">
        <v>0</v>
      </c>
      <c r="N118" t="n">
        <v>0</v>
      </c>
      <c r="O118" t="n">
        <v>0</v>
      </c>
      <c r="P118" t="n">
        <v>0</v>
      </c>
      <c r="Q118" t="n">
        <v>0</v>
      </c>
      <c r="R118" s="2" t="inlineStr"/>
    </row>
    <row r="119" ht="15" customHeight="1">
      <c r="A119" t="inlineStr">
        <is>
          <t>A 19782-2023</t>
        </is>
      </c>
      <c r="B119" s="1" t="n">
        <v>45050</v>
      </c>
      <c r="C119" s="1" t="n">
        <v>45878</v>
      </c>
      <c r="D119" t="inlineStr">
        <is>
          <t>VÄSTMANLANDS LÄN</t>
        </is>
      </c>
      <c r="E119" t="inlineStr">
        <is>
          <t>SURAHAMMAR</t>
        </is>
      </c>
      <c r="F119" t="inlineStr">
        <is>
          <t>Bergvik skog väst AB</t>
        </is>
      </c>
      <c r="G119" t="n">
        <v>5.2</v>
      </c>
      <c r="H119" t="n">
        <v>0</v>
      </c>
      <c r="I119" t="n">
        <v>0</v>
      </c>
      <c r="J119" t="n">
        <v>0</v>
      </c>
      <c r="K119" t="n">
        <v>0</v>
      </c>
      <c r="L119" t="n">
        <v>0</v>
      </c>
      <c r="M119" t="n">
        <v>0</v>
      </c>
      <c r="N119" t="n">
        <v>0</v>
      </c>
      <c r="O119" t="n">
        <v>0</v>
      </c>
      <c r="P119" t="n">
        <v>0</v>
      </c>
      <c r="Q119" t="n">
        <v>0</v>
      </c>
      <c r="R119" s="2" t="inlineStr"/>
    </row>
    <row r="120" ht="15" customHeight="1">
      <c r="A120" t="inlineStr">
        <is>
          <t>A 38154-2021</t>
        </is>
      </c>
      <c r="B120" s="1" t="n">
        <v>44405.42373842592</v>
      </c>
      <c r="C120" s="1" t="n">
        <v>45878</v>
      </c>
      <c r="D120" t="inlineStr">
        <is>
          <t>VÄSTMANLANDS LÄN</t>
        </is>
      </c>
      <c r="E120" t="inlineStr">
        <is>
          <t>SURAHAMMAR</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45878</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14626-2023</t>
        </is>
      </c>
      <c r="B122" s="1" t="n">
        <v>45012</v>
      </c>
      <c r="C122" s="1" t="n">
        <v>45878</v>
      </c>
      <c r="D122" t="inlineStr">
        <is>
          <t>VÄSTMANLANDS LÄN</t>
        </is>
      </c>
      <c r="E122" t="inlineStr">
        <is>
          <t>SURAHAMMAR</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37287-2023</t>
        </is>
      </c>
      <c r="B123" s="1" t="n">
        <v>45156</v>
      </c>
      <c r="C123" s="1" t="n">
        <v>45878</v>
      </c>
      <c r="D123" t="inlineStr">
        <is>
          <t>VÄSTMANLANDS LÄN</t>
        </is>
      </c>
      <c r="E123" t="inlineStr">
        <is>
          <t>SURAHAMMAR</t>
        </is>
      </c>
      <c r="G123" t="n">
        <v>0.6</v>
      </c>
      <c r="H123" t="n">
        <v>0</v>
      </c>
      <c r="I123" t="n">
        <v>0</v>
      </c>
      <c r="J123" t="n">
        <v>0</v>
      </c>
      <c r="K123" t="n">
        <v>0</v>
      </c>
      <c r="L123" t="n">
        <v>0</v>
      </c>
      <c r="M123" t="n">
        <v>0</v>
      </c>
      <c r="N123" t="n">
        <v>0</v>
      </c>
      <c r="O123" t="n">
        <v>0</v>
      </c>
      <c r="P123" t="n">
        <v>0</v>
      </c>
      <c r="Q123" t="n">
        <v>0</v>
      </c>
      <c r="R123" s="2" t="inlineStr"/>
    </row>
    <row r="124" ht="15" customHeight="1">
      <c r="A124" t="inlineStr">
        <is>
          <t>A 49058-2024</t>
        </is>
      </c>
      <c r="B124" s="1" t="n">
        <v>45594</v>
      </c>
      <c r="C124" s="1" t="n">
        <v>45878</v>
      </c>
      <c r="D124" t="inlineStr">
        <is>
          <t>VÄSTMANLANDS LÄN</t>
        </is>
      </c>
      <c r="E124" t="inlineStr">
        <is>
          <t>SURAHAMMAR</t>
        </is>
      </c>
      <c r="F124" t="inlineStr">
        <is>
          <t>Sveaskog</t>
        </is>
      </c>
      <c r="G124" t="n">
        <v>11.4</v>
      </c>
      <c r="H124" t="n">
        <v>0</v>
      </c>
      <c r="I124" t="n">
        <v>0</v>
      </c>
      <c r="J124" t="n">
        <v>0</v>
      </c>
      <c r="K124" t="n">
        <v>0</v>
      </c>
      <c r="L124" t="n">
        <v>0</v>
      </c>
      <c r="M124" t="n">
        <v>0</v>
      </c>
      <c r="N124" t="n">
        <v>0</v>
      </c>
      <c r="O124" t="n">
        <v>0</v>
      </c>
      <c r="P124" t="n">
        <v>0</v>
      </c>
      <c r="Q124" t="n">
        <v>0</v>
      </c>
      <c r="R124" s="2" t="inlineStr"/>
    </row>
    <row r="125" ht="15" customHeight="1">
      <c r="A125" t="inlineStr">
        <is>
          <t>A 49060-2024</t>
        </is>
      </c>
      <c r="B125" s="1" t="n">
        <v>45594</v>
      </c>
      <c r="C125" s="1" t="n">
        <v>45878</v>
      </c>
      <c r="D125" t="inlineStr">
        <is>
          <t>VÄSTMANLANDS LÄN</t>
        </is>
      </c>
      <c r="E125" t="inlineStr">
        <is>
          <t>SURAHAMMAR</t>
        </is>
      </c>
      <c r="F125" t="inlineStr">
        <is>
          <t>Sveaskog</t>
        </is>
      </c>
      <c r="G125" t="n">
        <v>4.4</v>
      </c>
      <c r="H125" t="n">
        <v>0</v>
      </c>
      <c r="I125" t="n">
        <v>0</v>
      </c>
      <c r="J125" t="n">
        <v>0</v>
      </c>
      <c r="K125" t="n">
        <v>0</v>
      </c>
      <c r="L125" t="n">
        <v>0</v>
      </c>
      <c r="M125" t="n">
        <v>0</v>
      </c>
      <c r="N125" t="n">
        <v>0</v>
      </c>
      <c r="O125" t="n">
        <v>0</v>
      </c>
      <c r="P125" t="n">
        <v>0</v>
      </c>
      <c r="Q125" t="n">
        <v>0</v>
      </c>
      <c r="R125" s="2" t="inlineStr"/>
    </row>
    <row r="126" ht="15" customHeight="1">
      <c r="A126" t="inlineStr">
        <is>
          <t>A 8553-2023</t>
        </is>
      </c>
      <c r="B126" s="1" t="n">
        <v>44977</v>
      </c>
      <c r="C126" s="1" t="n">
        <v>45878</v>
      </c>
      <c r="D126" t="inlineStr">
        <is>
          <t>VÄSTMANLANDS LÄN</t>
        </is>
      </c>
      <c r="E126" t="inlineStr">
        <is>
          <t>SURAHAMMAR</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56378-2023</t>
        </is>
      </c>
      <c r="B127" s="1" t="n">
        <v>45236</v>
      </c>
      <c r="C127" s="1" t="n">
        <v>45878</v>
      </c>
      <c r="D127" t="inlineStr">
        <is>
          <t>VÄSTMANLANDS LÄN</t>
        </is>
      </c>
      <c r="E127" t="inlineStr">
        <is>
          <t>SURAHAMMAR</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11728-2023</t>
        </is>
      </c>
      <c r="B128" s="1" t="n">
        <v>44993</v>
      </c>
      <c r="C128" s="1" t="n">
        <v>45878</v>
      </c>
      <c r="D128" t="inlineStr">
        <is>
          <t>VÄSTMANLANDS LÄN</t>
        </is>
      </c>
      <c r="E128" t="inlineStr">
        <is>
          <t>SURAHAMMAR</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19099-2022</t>
        </is>
      </c>
      <c r="B129" s="1" t="n">
        <v>44691</v>
      </c>
      <c r="C129" s="1" t="n">
        <v>45878</v>
      </c>
      <c r="D129" t="inlineStr">
        <is>
          <t>VÄSTMANLANDS LÄN</t>
        </is>
      </c>
      <c r="E129" t="inlineStr">
        <is>
          <t>SURAHAMMAR</t>
        </is>
      </c>
      <c r="F129" t="inlineStr">
        <is>
          <t>Övriga Aktiebolag</t>
        </is>
      </c>
      <c r="G129" t="n">
        <v>3.4</v>
      </c>
      <c r="H129" t="n">
        <v>0</v>
      </c>
      <c r="I129" t="n">
        <v>0</v>
      </c>
      <c r="J129" t="n">
        <v>0</v>
      </c>
      <c r="K129" t="n">
        <v>0</v>
      </c>
      <c r="L129" t="n">
        <v>0</v>
      </c>
      <c r="M129" t="n">
        <v>0</v>
      </c>
      <c r="N129" t="n">
        <v>0</v>
      </c>
      <c r="O129" t="n">
        <v>0</v>
      </c>
      <c r="P129" t="n">
        <v>0</v>
      </c>
      <c r="Q129" t="n">
        <v>0</v>
      </c>
      <c r="R129" s="2" t="inlineStr"/>
    </row>
    <row r="130" ht="15" customHeight="1">
      <c r="A130" t="inlineStr">
        <is>
          <t>A 25780-2023</t>
        </is>
      </c>
      <c r="B130" s="1" t="n">
        <v>45090.47523148148</v>
      </c>
      <c r="C130" s="1" t="n">
        <v>45878</v>
      </c>
      <c r="D130" t="inlineStr">
        <is>
          <t>VÄSTMANLANDS LÄN</t>
        </is>
      </c>
      <c r="E130" t="inlineStr">
        <is>
          <t>SURAHAMMAR</t>
        </is>
      </c>
      <c r="G130" t="n">
        <v>2.8</v>
      </c>
      <c r="H130" t="n">
        <v>0</v>
      </c>
      <c r="I130" t="n">
        <v>0</v>
      </c>
      <c r="J130" t="n">
        <v>0</v>
      </c>
      <c r="K130" t="n">
        <v>0</v>
      </c>
      <c r="L130" t="n">
        <v>0</v>
      </c>
      <c r="M130" t="n">
        <v>0</v>
      </c>
      <c r="N130" t="n">
        <v>0</v>
      </c>
      <c r="O130" t="n">
        <v>0</v>
      </c>
      <c r="P130" t="n">
        <v>0</v>
      </c>
      <c r="Q130" t="n">
        <v>0</v>
      </c>
      <c r="R130" s="2" t="inlineStr"/>
    </row>
    <row r="131" ht="15" customHeight="1">
      <c r="A131" t="inlineStr">
        <is>
          <t>A 11501-2023</t>
        </is>
      </c>
      <c r="B131" s="1" t="n">
        <v>44991</v>
      </c>
      <c r="C131" s="1" t="n">
        <v>45878</v>
      </c>
      <c r="D131" t="inlineStr">
        <is>
          <t>VÄSTMANLANDS LÄN</t>
        </is>
      </c>
      <c r="E131" t="inlineStr">
        <is>
          <t>SURAHAMMAR</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16013-2023</t>
        </is>
      </c>
      <c r="B132" s="1" t="n">
        <v>45026</v>
      </c>
      <c r="C132" s="1" t="n">
        <v>45878</v>
      </c>
      <c r="D132" t="inlineStr">
        <is>
          <t>VÄSTMANLANDS LÄN</t>
        </is>
      </c>
      <c r="E132" t="inlineStr">
        <is>
          <t>SURAHAMMAR</t>
        </is>
      </c>
      <c r="G132" t="n">
        <v>3.9</v>
      </c>
      <c r="H132" t="n">
        <v>0</v>
      </c>
      <c r="I132" t="n">
        <v>0</v>
      </c>
      <c r="J132" t="n">
        <v>0</v>
      </c>
      <c r="K132" t="n">
        <v>0</v>
      </c>
      <c r="L132" t="n">
        <v>0</v>
      </c>
      <c r="M132" t="n">
        <v>0</v>
      </c>
      <c r="N132" t="n">
        <v>0</v>
      </c>
      <c r="O132" t="n">
        <v>0</v>
      </c>
      <c r="P132" t="n">
        <v>0</v>
      </c>
      <c r="Q132" t="n">
        <v>0</v>
      </c>
      <c r="R132" s="2" t="inlineStr"/>
    </row>
    <row r="133" ht="15" customHeight="1">
      <c r="A133" t="inlineStr">
        <is>
          <t>A 13386-2025</t>
        </is>
      </c>
      <c r="B133" s="1" t="n">
        <v>45735</v>
      </c>
      <c r="C133" s="1" t="n">
        <v>45878</v>
      </c>
      <c r="D133" t="inlineStr">
        <is>
          <t>VÄSTMANLANDS LÄN</t>
        </is>
      </c>
      <c r="E133" t="inlineStr">
        <is>
          <t>SURAHAMMAR</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45878</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42829-2022</t>
        </is>
      </c>
      <c r="B135" s="1" t="n">
        <v>44832</v>
      </c>
      <c r="C135" s="1" t="n">
        <v>45878</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34582-2025</t>
        </is>
      </c>
      <c r="B136" s="1" t="n">
        <v>45846</v>
      </c>
      <c r="C136" s="1" t="n">
        <v>45878</v>
      </c>
      <c r="D136" t="inlineStr">
        <is>
          <t>VÄSTMANLANDS LÄN</t>
        </is>
      </c>
      <c r="E136" t="inlineStr">
        <is>
          <t>SURAHAMMAR</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34584-2025</t>
        </is>
      </c>
      <c r="B137" s="1" t="n">
        <v>45846</v>
      </c>
      <c r="C137" s="1" t="n">
        <v>45878</v>
      </c>
      <c r="D137" t="inlineStr">
        <is>
          <t>VÄSTMANLANDS LÄN</t>
        </is>
      </c>
      <c r="E137" t="inlineStr">
        <is>
          <t>SURAHAMMAR</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35682-2022</t>
        </is>
      </c>
      <c r="B138" s="1" t="n">
        <v>44799.60422453703</v>
      </c>
      <c r="C138" s="1" t="n">
        <v>45878</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34955-2022</t>
        </is>
      </c>
      <c r="B139" s="1" t="n">
        <v>44796</v>
      </c>
      <c r="C139" s="1" t="n">
        <v>45878</v>
      </c>
      <c r="D139" t="inlineStr">
        <is>
          <t>VÄSTMANLANDS LÄN</t>
        </is>
      </c>
      <c r="E139" t="inlineStr">
        <is>
          <t>SURAHAMMAR</t>
        </is>
      </c>
      <c r="F139" t="inlineStr">
        <is>
          <t>Sveaskog</t>
        </is>
      </c>
      <c r="G139" t="n">
        <v>4.6</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45878</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45878</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41555-2022</t>
        </is>
      </c>
      <c r="B142" s="1" t="n">
        <v>44826</v>
      </c>
      <c r="C142" s="1" t="n">
        <v>45878</v>
      </c>
      <c r="D142" t="inlineStr">
        <is>
          <t>VÄSTMANLANDS LÄN</t>
        </is>
      </c>
      <c r="E142" t="inlineStr">
        <is>
          <t>SURAHAMMAR</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37798-2021</t>
        </is>
      </c>
      <c r="B143" s="1" t="n">
        <v>44402</v>
      </c>
      <c r="C143" s="1" t="n">
        <v>45878</v>
      </c>
      <c r="D143" t="inlineStr">
        <is>
          <t>VÄSTMANLANDS LÄN</t>
        </is>
      </c>
      <c r="E143" t="inlineStr">
        <is>
          <t>SURAHAMMAR</t>
        </is>
      </c>
      <c r="F143" t="inlineStr">
        <is>
          <t>Kommuner</t>
        </is>
      </c>
      <c r="G143" t="n">
        <v>1.2</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45878</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41576-2022</t>
        </is>
      </c>
      <c r="B145" s="1" t="n">
        <v>44826</v>
      </c>
      <c r="C145" s="1" t="n">
        <v>45878</v>
      </c>
      <c r="D145" t="inlineStr">
        <is>
          <t>VÄSTMANLANDS LÄN</t>
        </is>
      </c>
      <c r="E145" t="inlineStr">
        <is>
          <t>SURAHAMMAR</t>
        </is>
      </c>
      <c r="F145" t="inlineStr">
        <is>
          <t>Bergvik skog väst AB</t>
        </is>
      </c>
      <c r="G145" t="n">
        <v>6.4</v>
      </c>
      <c r="H145" t="n">
        <v>0</v>
      </c>
      <c r="I145" t="n">
        <v>0</v>
      </c>
      <c r="J145" t="n">
        <v>0</v>
      </c>
      <c r="K145" t="n">
        <v>0</v>
      </c>
      <c r="L145" t="n">
        <v>0</v>
      </c>
      <c r="M145" t="n">
        <v>0</v>
      </c>
      <c r="N145" t="n">
        <v>0</v>
      </c>
      <c r="O145" t="n">
        <v>0</v>
      </c>
      <c r="P145" t="n">
        <v>0</v>
      </c>
      <c r="Q145" t="n">
        <v>0</v>
      </c>
      <c r="R145" s="2" t="inlineStr"/>
    </row>
    <row r="146" ht="15" customHeight="1">
      <c r="A146" t="inlineStr">
        <is>
          <t>A 48205-2023</t>
        </is>
      </c>
      <c r="B146" s="1" t="n">
        <v>45205</v>
      </c>
      <c r="C146" s="1" t="n">
        <v>45878</v>
      </c>
      <c r="D146" t="inlineStr">
        <is>
          <t>VÄSTMANLANDS LÄN</t>
        </is>
      </c>
      <c r="E146" t="inlineStr">
        <is>
          <t>SURAHAMMAR</t>
        </is>
      </c>
      <c r="F146" t="inlineStr">
        <is>
          <t>Allmännings- och besparingsskogar</t>
        </is>
      </c>
      <c r="G146" t="n">
        <v>7.6</v>
      </c>
      <c r="H146" t="n">
        <v>0</v>
      </c>
      <c r="I146" t="n">
        <v>0</v>
      </c>
      <c r="J146" t="n">
        <v>0</v>
      </c>
      <c r="K146" t="n">
        <v>0</v>
      </c>
      <c r="L146" t="n">
        <v>0</v>
      </c>
      <c r="M146" t="n">
        <v>0</v>
      </c>
      <c r="N146" t="n">
        <v>0</v>
      </c>
      <c r="O146" t="n">
        <v>0</v>
      </c>
      <c r="P146" t="n">
        <v>0</v>
      </c>
      <c r="Q146" t="n">
        <v>0</v>
      </c>
      <c r="R146" s="2" t="inlineStr"/>
    </row>
    <row r="147" ht="15" customHeight="1">
      <c r="A147" t="inlineStr">
        <is>
          <t>A 13796-2025</t>
        </is>
      </c>
      <c r="B147" s="1" t="n">
        <v>45737.47846064815</v>
      </c>
      <c r="C147" s="1" t="n">
        <v>45878</v>
      </c>
      <c r="D147" t="inlineStr">
        <is>
          <t>VÄSTMANLANDS LÄN</t>
        </is>
      </c>
      <c r="E147" t="inlineStr">
        <is>
          <t>SURAHAMMAR</t>
        </is>
      </c>
      <c r="G147" t="n">
        <v>3.3</v>
      </c>
      <c r="H147" t="n">
        <v>0</v>
      </c>
      <c r="I147" t="n">
        <v>0</v>
      </c>
      <c r="J147" t="n">
        <v>0</v>
      </c>
      <c r="K147" t="n">
        <v>0</v>
      </c>
      <c r="L147" t="n">
        <v>0</v>
      </c>
      <c r="M147" t="n">
        <v>0</v>
      </c>
      <c r="N147" t="n">
        <v>0</v>
      </c>
      <c r="O147" t="n">
        <v>0</v>
      </c>
      <c r="P147" t="n">
        <v>0</v>
      </c>
      <c r="Q147" t="n">
        <v>0</v>
      </c>
      <c r="R147" s="2" t="inlineStr"/>
    </row>
    <row r="148" ht="15" customHeight="1">
      <c r="A148" t="inlineStr">
        <is>
          <t>A 37013-2025</t>
        </is>
      </c>
      <c r="B148" s="1" t="n">
        <v>45874</v>
      </c>
      <c r="C148" s="1" t="n">
        <v>45878</v>
      </c>
      <c r="D148" t="inlineStr">
        <is>
          <t>VÄSTMANLANDS LÄN</t>
        </is>
      </c>
      <c r="E148" t="inlineStr">
        <is>
          <t>SURAHAMMAR</t>
        </is>
      </c>
      <c r="F148" t="inlineStr">
        <is>
          <t>Bergvik skog väst AB</t>
        </is>
      </c>
      <c r="G148" t="n">
        <v>10.7</v>
      </c>
      <c r="H148" t="n">
        <v>0</v>
      </c>
      <c r="I148" t="n">
        <v>0</v>
      </c>
      <c r="J148" t="n">
        <v>0</v>
      </c>
      <c r="K148" t="n">
        <v>0</v>
      </c>
      <c r="L148" t="n">
        <v>0</v>
      </c>
      <c r="M148" t="n">
        <v>0</v>
      </c>
      <c r="N148" t="n">
        <v>0</v>
      </c>
      <c r="O148" t="n">
        <v>0</v>
      </c>
      <c r="P148" t="n">
        <v>0</v>
      </c>
      <c r="Q148" t="n">
        <v>0</v>
      </c>
      <c r="R148" s="2" t="inlineStr"/>
    </row>
    <row r="149" ht="15" customHeight="1">
      <c r="A149" t="inlineStr">
        <is>
          <t>A 52074-2020</t>
        </is>
      </c>
      <c r="B149" s="1" t="n">
        <v>44117</v>
      </c>
      <c r="C149" s="1" t="n">
        <v>45878</v>
      </c>
      <c r="D149" t="inlineStr">
        <is>
          <t>VÄSTMANLANDS LÄN</t>
        </is>
      </c>
      <c r="E149" t="inlineStr">
        <is>
          <t>SURAHAMMAR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45878</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45878</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45878</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c r="A153" t="inlineStr">
        <is>
          <t>A 15743-2023</t>
        </is>
      </c>
      <c r="B153" s="1" t="n">
        <v>45021</v>
      </c>
      <c r="C153" s="1" t="n">
        <v>45878</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2025-08-09T18:51:01Z</dcterms:created>
  <dcterms:modified xmlns:dcterms="http://purl.org/dc/terms/" xmlns:xsi="http://www.w3.org/2001/XMLSchema-instance" xsi:type="dcterms:W3CDTF">2025-08-09T18:51:01Z</dcterms:modified>
</cp:coreProperties>
</file>