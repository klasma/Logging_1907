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45338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45338</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45338</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45338</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45338</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45338</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45338</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45338</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45338</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45338</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45338</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45338</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45338</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45338</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45338</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45338</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13994-2023</t>
        </is>
      </c>
      <c r="B18" s="1" t="n">
        <v>45007</v>
      </c>
      <c r="C18" s="1" t="n">
        <v>45338</v>
      </c>
      <c r="D18" t="inlineStr">
        <is>
          <t>VÄSTMANLANDS LÄN</t>
        </is>
      </c>
      <c r="E18" t="inlineStr">
        <is>
          <t>SURAHAMMAR</t>
        </is>
      </c>
      <c r="F18" t="inlineStr">
        <is>
          <t>Bergvik skog väst AB</t>
        </is>
      </c>
      <c r="G18" t="n">
        <v>14.2</v>
      </c>
      <c r="H18" t="n">
        <v>2</v>
      </c>
      <c r="I18" t="n">
        <v>2</v>
      </c>
      <c r="J18" t="n">
        <v>1</v>
      </c>
      <c r="K18" t="n">
        <v>1</v>
      </c>
      <c r="L18" t="n">
        <v>0</v>
      </c>
      <c r="M18" t="n">
        <v>0</v>
      </c>
      <c r="N18" t="n">
        <v>0</v>
      </c>
      <c r="O18" t="n">
        <v>2</v>
      </c>
      <c r="P18" t="n">
        <v>1</v>
      </c>
      <c r="Q18" t="n">
        <v>5</v>
      </c>
      <c r="R18" s="2" t="inlineStr">
        <is>
          <t>Knärot
Tallticka
Mindre märgborre
Vedticka
Mattlummer</t>
        </is>
      </c>
      <c r="S18">
        <f>HYPERLINK("https://klasma.github.io/Logging_1907/artfynd/A 13994-2023 artfynd.xlsx", "A 13994-2023")</f>
        <v/>
      </c>
      <c r="T18">
        <f>HYPERLINK("https://klasma.github.io/Logging_1907/kartor/A 13994-2023 karta.png", "A 13994-2023")</f>
        <v/>
      </c>
      <c r="U18">
        <f>HYPERLINK("https://klasma.github.io/Logging_1907/knärot/A 13994-2023 karta knärot.png", "A 13994-2023")</f>
        <v/>
      </c>
      <c r="V18">
        <f>HYPERLINK("https://klasma.github.io/Logging_1907/klagomål/A 13994-2023 FSC-klagomål.docx", "A 13994-2023")</f>
        <v/>
      </c>
      <c r="W18">
        <f>HYPERLINK("https://klasma.github.io/Logging_1907/klagomålsmail/A 13994-2023 FSC-klagomål mail.docx", "A 13994-2023")</f>
        <v/>
      </c>
      <c r="X18">
        <f>HYPERLINK("https://klasma.github.io/Logging_1907/tillsyn/A 13994-2023 tillsynsbegäran.docx", "A 13994-2023")</f>
        <v/>
      </c>
      <c r="Y18">
        <f>HYPERLINK("https://klasma.github.io/Logging_1907/tillsynsmail/A 13994-2023 tillsynsbegäran mail.docx", "A 13994-2023")</f>
        <v/>
      </c>
    </row>
    <row r="19" ht="15" customHeight="1">
      <c r="A19" t="inlineStr">
        <is>
          <t>A 35620-2023</t>
        </is>
      </c>
      <c r="B19" s="1" t="n">
        <v>45147</v>
      </c>
      <c r="C19" s="1" t="n">
        <v>45338</v>
      </c>
      <c r="D19" t="inlineStr">
        <is>
          <t>VÄSTMANLANDS LÄN</t>
        </is>
      </c>
      <c r="E19" t="inlineStr">
        <is>
          <t>SURAHAMMAR</t>
        </is>
      </c>
      <c r="G19" t="n">
        <v>20.3</v>
      </c>
      <c r="H19" t="n">
        <v>4</v>
      </c>
      <c r="I19" t="n">
        <v>1</v>
      </c>
      <c r="J19" t="n">
        <v>0</v>
      </c>
      <c r="K19" t="n">
        <v>1</v>
      </c>
      <c r="L19" t="n">
        <v>0</v>
      </c>
      <c r="M19" t="n">
        <v>0</v>
      </c>
      <c r="N19" t="n">
        <v>0</v>
      </c>
      <c r="O19" t="n">
        <v>1</v>
      </c>
      <c r="P19" t="n">
        <v>1</v>
      </c>
      <c r="Q19" t="n">
        <v>5</v>
      </c>
      <c r="R19" s="2" t="inlineStr">
        <is>
          <t>Knärot
Vedticka
Sparvuggla
Blåsippa
Lopplummer</t>
        </is>
      </c>
      <c r="S19">
        <f>HYPERLINK("https://klasma.github.io/Logging_1907/artfynd/A 35620-2023 artfynd.xlsx", "A 35620-2023")</f>
        <v/>
      </c>
      <c r="T19">
        <f>HYPERLINK("https://klasma.github.io/Logging_1907/kartor/A 35620-2023 karta.png", "A 35620-2023")</f>
        <v/>
      </c>
      <c r="U19">
        <f>HYPERLINK("https://klasma.github.io/Logging_1907/knärot/A 35620-2023 karta knärot.png", "A 35620-2023")</f>
        <v/>
      </c>
      <c r="V19">
        <f>HYPERLINK("https://klasma.github.io/Logging_1907/klagomål/A 35620-2023 FSC-klagomål.docx", "A 35620-2023")</f>
        <v/>
      </c>
      <c r="W19">
        <f>HYPERLINK("https://klasma.github.io/Logging_1907/klagomålsmail/A 35620-2023 FSC-klagomål mail.docx", "A 35620-2023")</f>
        <v/>
      </c>
      <c r="X19">
        <f>HYPERLINK("https://klasma.github.io/Logging_1907/tillsyn/A 35620-2023 tillsynsbegäran.docx", "A 35620-2023")</f>
        <v/>
      </c>
      <c r="Y19">
        <f>HYPERLINK("https://klasma.github.io/Logging_1907/tillsynsmail/A 35620-2023 tillsynsbegäran mail.docx", "A 35620-2023")</f>
        <v/>
      </c>
      <c r="Z19">
        <f>HYPERLINK("https://klasma.github.io/Logging_1907/fåglar/A 35620-2023 prioriterade fågelarter.docx", "A 35620-2023")</f>
        <v/>
      </c>
    </row>
    <row r="20" ht="15" customHeight="1">
      <c r="A20" t="inlineStr">
        <is>
          <t>A 22033-2020</t>
        </is>
      </c>
      <c r="B20" s="1" t="n">
        <v>43959</v>
      </c>
      <c r="C20" s="1" t="n">
        <v>45338</v>
      </c>
      <c r="D20" t="inlineStr">
        <is>
          <t>VÄSTMANLANDS LÄN</t>
        </is>
      </c>
      <c r="E20" t="inlineStr">
        <is>
          <t>SURAHAMMAR</t>
        </is>
      </c>
      <c r="G20" t="n">
        <v>0.5</v>
      </c>
      <c r="H20" t="n">
        <v>2</v>
      </c>
      <c r="I20" t="n">
        <v>1</v>
      </c>
      <c r="J20" t="n">
        <v>0</v>
      </c>
      <c r="K20" t="n">
        <v>3</v>
      </c>
      <c r="L20" t="n">
        <v>0</v>
      </c>
      <c r="M20" t="n">
        <v>0</v>
      </c>
      <c r="N20" t="n">
        <v>0</v>
      </c>
      <c r="O20" t="n">
        <v>3</v>
      </c>
      <c r="P20" t="n">
        <v>3</v>
      </c>
      <c r="Q20" t="n">
        <v>4</v>
      </c>
      <c r="R20" s="2" t="inlineStr">
        <is>
          <t>Bombmurkla
Knärot
Vågticka
Vedticka</t>
        </is>
      </c>
      <c r="S20">
        <f>HYPERLINK("https://klasma.github.io/Logging_1907/artfynd/A 22033-2020 artfynd.xlsx", "A 22033-2020")</f>
        <v/>
      </c>
      <c r="T20">
        <f>HYPERLINK("https://klasma.github.io/Logging_1907/kartor/A 22033-2020 karta.png", "A 22033-2020")</f>
        <v/>
      </c>
      <c r="U20">
        <f>HYPERLINK("https://klasma.github.io/Logging_1907/knärot/A 22033-2020 karta knärot.png", "A 22033-2020")</f>
        <v/>
      </c>
      <c r="V20">
        <f>HYPERLINK("https://klasma.github.io/Logging_1907/klagomål/A 22033-2020 FSC-klagomål.docx", "A 22033-2020")</f>
        <v/>
      </c>
      <c r="W20">
        <f>HYPERLINK("https://klasma.github.io/Logging_1907/klagomålsmail/A 22033-2020 FSC-klagomål mail.docx", "A 22033-2020")</f>
        <v/>
      </c>
      <c r="X20">
        <f>HYPERLINK("https://klasma.github.io/Logging_1907/tillsyn/A 22033-2020 tillsynsbegäran.docx", "A 22033-2020")</f>
        <v/>
      </c>
      <c r="Y20">
        <f>HYPERLINK("https://klasma.github.io/Logging_1907/tillsynsmail/A 22033-2020 tillsynsbegäran mail.docx", "A 22033-2020")</f>
        <v/>
      </c>
    </row>
    <row r="21" ht="15" customHeight="1">
      <c r="A21" t="inlineStr">
        <is>
          <t>A 12116-2023</t>
        </is>
      </c>
      <c r="B21" s="1" t="n">
        <v>44995</v>
      </c>
      <c r="C21" s="1" t="n">
        <v>45338</v>
      </c>
      <c r="D21" t="inlineStr">
        <is>
          <t>VÄSTMANLANDS LÄN</t>
        </is>
      </c>
      <c r="E21" t="inlineStr">
        <is>
          <t>SURAHAMMAR</t>
        </is>
      </c>
      <c r="G21" t="n">
        <v>9.300000000000001</v>
      </c>
      <c r="H21" t="n">
        <v>4</v>
      </c>
      <c r="I21" t="n">
        <v>0</v>
      </c>
      <c r="J21" t="n">
        <v>3</v>
      </c>
      <c r="K21" t="n">
        <v>0</v>
      </c>
      <c r="L21" t="n">
        <v>1</v>
      </c>
      <c r="M21" t="n">
        <v>0</v>
      </c>
      <c r="N21" t="n">
        <v>0</v>
      </c>
      <c r="O21" t="n">
        <v>4</v>
      </c>
      <c r="P21" t="n">
        <v>1</v>
      </c>
      <c r="Q21" t="n">
        <v>4</v>
      </c>
      <c r="R21" s="2" t="inlineStr">
        <is>
          <t>Tornseglare
Duvhök
Spillkråka
Stenfalk</t>
        </is>
      </c>
      <c r="S21">
        <f>HYPERLINK("https://klasma.github.io/Logging_1907/artfynd/A 12116-2023 artfynd.xlsx", "A 12116-2023")</f>
        <v/>
      </c>
      <c r="T21">
        <f>HYPERLINK("https://klasma.github.io/Logging_1907/kartor/A 12116-2023 karta.png", "A 12116-2023")</f>
        <v/>
      </c>
      <c r="V21">
        <f>HYPERLINK("https://klasma.github.io/Logging_1907/klagomål/A 12116-2023 FSC-klagomål.docx", "A 12116-2023")</f>
        <v/>
      </c>
      <c r="W21">
        <f>HYPERLINK("https://klasma.github.io/Logging_1907/klagomålsmail/A 12116-2023 FSC-klagomål mail.docx", "A 12116-2023")</f>
        <v/>
      </c>
      <c r="X21">
        <f>HYPERLINK("https://klasma.github.io/Logging_1907/tillsyn/A 12116-2023 tillsynsbegäran.docx", "A 12116-2023")</f>
        <v/>
      </c>
      <c r="Y21">
        <f>HYPERLINK("https://klasma.github.io/Logging_1907/tillsynsmail/A 12116-2023 tillsynsbegäran mail.docx", "A 12116-2023")</f>
        <v/>
      </c>
      <c r="Z21">
        <f>HYPERLINK("https://klasma.github.io/Logging_1907/fåglar/A 12116-2023 prioriterade fågelarter.docx", "A 12116-2023")</f>
        <v/>
      </c>
    </row>
    <row r="22" ht="15" customHeight="1">
      <c r="A22" t="inlineStr">
        <is>
          <t>A 8552-2022</t>
        </is>
      </c>
      <c r="B22" s="1" t="n">
        <v>44613</v>
      </c>
      <c r="C22" s="1" t="n">
        <v>45338</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45338</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45338</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45338</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45338</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45338</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45338</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45338</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45338</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45338</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45338</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45338</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45338</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45338</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45338</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45338</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45338</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45338</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45338</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45338</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45338</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45338</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45338</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45338</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45338</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45338</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45338</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45338</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45338</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45338</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45338</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45338</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45338</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45338</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45338</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45338</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45338</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45338</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45338</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45338</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45338</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45338</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45338</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45338</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45338</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45338</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45338</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45338</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45338</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45338</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45338</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45338</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45338</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45338</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45338</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45338</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45338</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45338</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45338</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45338</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45338</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45338</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45338</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45338</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45338</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45338</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45338</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45338</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45338</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45338</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45338</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45338</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45338</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45338</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45338</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45338</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45338</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45338</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45338</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45338</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45338</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45338</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45338</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45338</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45338</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45338</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45338</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45338</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45338</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45338</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45338</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45338</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45338</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45338</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45338</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45338</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45338</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45338</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45338</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45338</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45338</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45338</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45338</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45338</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45338</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45338</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45338</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45338</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45338</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45338</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45338</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45338</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45338</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45338</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45338</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45338</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45338</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45338</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45338</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45338</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45338</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45338</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45338</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45338</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45338</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45338</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45338</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45338</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45338</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45338</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45338</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45338</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45338</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45338</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45338</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45338</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45338</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45338</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45338</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45338</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45338</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45338</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45338</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45338</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45338</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45338</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45338</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45338</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45338</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45338</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45338</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45338</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45338</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45338</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45338</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45338</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45338</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45338</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45338</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45338</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45338</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45338</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45338</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45338</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45338</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45338</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45338</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45338</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45338</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45338</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45338</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45338</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45338</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45338</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45338</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45338</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45338</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45338</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45338</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45338</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45338</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45338</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45338</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45338</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45338</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45338</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45338</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45338</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45338</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45338</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45338</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45338</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45338</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45338</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45338</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45338</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45338</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45338</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45338</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45338</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45338</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45338</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45338</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45338</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45338</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45338</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45338</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45338</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45338</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45338</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45338</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45338</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45338</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45338</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45338</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45338</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2680-2024</t>
        </is>
      </c>
      <c r="B238" s="1" t="n">
        <v>45310</v>
      </c>
      <c r="C238" s="1" t="n">
        <v>45338</v>
      </c>
      <c r="D238" t="inlineStr">
        <is>
          <t>VÄSTMANLANDS LÄN</t>
        </is>
      </c>
      <c r="E238" t="inlineStr">
        <is>
          <t>SURAHAMMAR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2660-2024</t>
        </is>
      </c>
      <c r="B239" s="1" t="n">
        <v>45310</v>
      </c>
      <c r="C239" s="1" t="n">
        <v>45338</v>
      </c>
      <c r="D239" t="inlineStr">
        <is>
          <t>VÄSTMANLANDS LÄN</t>
        </is>
      </c>
      <c r="E239" t="inlineStr">
        <is>
          <t>SURAHAMMAR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45338</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45338</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45338</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45338</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2024-02-16T16:07:29Z</dcterms:created>
  <dcterms:modified xmlns:dcterms="http://purl.org/dc/terms/" xmlns:xsi="http://www.w3.org/2001/XMLSchema-instance" xsi:type="dcterms:W3CDTF">2024-02-16T16:07:29Z</dcterms:modified>
</cp:coreProperties>
</file>