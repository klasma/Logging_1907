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46086</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46086</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46086</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46086</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46086</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46086</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46086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46086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46086</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46086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46086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46086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46086</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46086</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46086</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46086</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46086</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46086</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46086</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46086</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46086</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10236-2026</t>
        </is>
      </c>
      <c r="B25" s="1" t="n">
        <v>46076.54277777778</v>
      </c>
      <c r="C25" s="1" t="n">
        <v>46086</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21716-2025</t>
        </is>
      </c>
      <c r="B26" s="1" t="n">
        <v>45783.54804398148</v>
      </c>
      <c r="C26" s="1" t="n">
        <v>46086</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46086</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65024-2023</t>
        </is>
      </c>
      <c r="B28" s="1" t="n">
        <v>45282</v>
      </c>
      <c r="C28" s="1" t="n">
        <v>46086</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48128-2023</t>
        </is>
      </c>
      <c r="B29" s="1" t="n">
        <v>45205</v>
      </c>
      <c r="C29" s="1" t="n">
        <v>46086</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46086</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46086</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46086</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39694-2025</t>
        </is>
      </c>
      <c r="B33" s="1" t="n">
        <v>45890</v>
      </c>
      <c r="C33" s="1" t="n">
        <v>46086</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46086</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46086</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46086</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46086</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4082-2025</t>
        </is>
      </c>
      <c r="B38" s="1" t="n">
        <v>45684</v>
      </c>
      <c r="C38" s="1" t="n">
        <v>46086</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46086</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46086</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46086</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41576-2022</t>
        </is>
      </c>
      <c r="B42" s="1" t="n">
        <v>44826</v>
      </c>
      <c r="C42" s="1" t="n">
        <v>46086</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62097-2024</t>
        </is>
      </c>
      <c r="B43" s="1" t="n">
        <v>45646</v>
      </c>
      <c r="C43" s="1" t="n">
        <v>46086</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40403-2025</t>
        </is>
      </c>
      <c r="B44" s="1" t="n">
        <v>45895</v>
      </c>
      <c r="C44" s="1" t="n">
        <v>46086</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63146-2025</t>
        </is>
      </c>
      <c r="B45" s="1" t="n">
        <v>46009</v>
      </c>
      <c r="C45" s="1" t="n">
        <v>46086</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37800-2021</t>
        </is>
      </c>
      <c r="B46" s="1" t="n">
        <v>44402</v>
      </c>
      <c r="C46" s="1" t="n">
        <v>46086</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41204-2023</t>
        </is>
      </c>
      <c r="B47" s="1" t="n">
        <v>45174</v>
      </c>
      <c r="C47" s="1" t="n">
        <v>46086</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46086</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46086</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46086</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46086</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46086</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46086</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56362-2023</t>
        </is>
      </c>
      <c r="B54" s="1" t="n">
        <v>45236</v>
      </c>
      <c r="C54" s="1" t="n">
        <v>46086</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46086</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46086</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34582-2025</t>
        </is>
      </c>
      <c r="B57" s="1" t="n">
        <v>45846</v>
      </c>
      <c r="C57" s="1" t="n">
        <v>46086</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42089-2025</t>
        </is>
      </c>
      <c r="B58" s="1" t="n">
        <v>45902</v>
      </c>
      <c r="C58" s="1" t="n">
        <v>46086</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39099-2022</t>
        </is>
      </c>
      <c r="B59" s="1" t="n">
        <v>44817</v>
      </c>
      <c r="C59" s="1" t="n">
        <v>46086</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42765-2022</t>
        </is>
      </c>
      <c r="B60" s="1" t="n">
        <v>44832</v>
      </c>
      <c r="C60" s="1" t="n">
        <v>46086</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46086</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69777-2021</t>
        </is>
      </c>
      <c r="B62" s="1" t="n">
        <v>44532</v>
      </c>
      <c r="C62" s="1" t="n">
        <v>46086</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55042-2025</t>
        </is>
      </c>
      <c r="B63" s="1" t="n">
        <v>45967.65858796296</v>
      </c>
      <c r="C63" s="1" t="n">
        <v>46086</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55871-2025</t>
        </is>
      </c>
      <c r="B64" s="1" t="n">
        <v>45973.35452546296</v>
      </c>
      <c r="C64" s="1" t="n">
        <v>46086</v>
      </c>
      <c r="D64" t="inlineStr">
        <is>
          <t>VÄSTMANLANDS LÄN</t>
        </is>
      </c>
      <c r="E64" t="inlineStr">
        <is>
          <t>SURAHAMMAR</t>
        </is>
      </c>
      <c r="F64" t="inlineStr">
        <is>
          <t>Sveaskog</t>
        </is>
      </c>
      <c r="G64" t="n">
        <v>1.4</v>
      </c>
      <c r="H64" t="n">
        <v>1</v>
      </c>
      <c r="I64" t="n">
        <v>0</v>
      </c>
      <c r="J64" t="n">
        <v>0</v>
      </c>
      <c r="K64" t="n">
        <v>0</v>
      </c>
      <c r="L64" t="n">
        <v>0</v>
      </c>
      <c r="M64" t="n">
        <v>0</v>
      </c>
      <c r="N64" t="n">
        <v>0</v>
      </c>
      <c r="O64" t="n">
        <v>0</v>
      </c>
      <c r="P64" t="n">
        <v>0</v>
      </c>
      <c r="Q64" t="n">
        <v>1</v>
      </c>
      <c r="R64" s="2" t="inlineStr">
        <is>
          <t>Lopplummer (aggregat)</t>
        </is>
      </c>
      <c r="S64">
        <f>HYPERLINK("https://klasma.github.io/Logging_1907/artfynd/A 55871-2025 artfynd.xlsx", "A 55871-2025")</f>
        <v/>
      </c>
      <c r="T64">
        <f>HYPERLINK("https://klasma.github.io/Logging_1907/kartor/A 55871-2025 karta.png", "A 55871-2025")</f>
        <v/>
      </c>
      <c r="V64">
        <f>HYPERLINK("https://klasma.github.io/Logging_1907/klagomål/A 55871-2025 FSC-klagomål.docx", "A 55871-2025")</f>
        <v/>
      </c>
      <c r="W64">
        <f>HYPERLINK("https://klasma.github.io/Logging_1907/klagomålsmail/A 55871-2025 FSC-klagomål mail.docx", "A 55871-2025")</f>
        <v/>
      </c>
      <c r="X64">
        <f>HYPERLINK("https://klasma.github.io/Logging_1907/tillsyn/A 55871-2025 tillsynsbegäran.docx", "A 55871-2025")</f>
        <v/>
      </c>
      <c r="Y64">
        <f>HYPERLINK("https://klasma.github.io/Logging_1907/tillsynsmail/A 55871-2025 tillsynsbegäran mail.docx", "A 55871-2025")</f>
        <v/>
      </c>
    </row>
    <row r="65" ht="15" customHeight="1">
      <c r="A65" t="inlineStr">
        <is>
          <t>A 17632-2022</t>
        </is>
      </c>
      <c r="B65" s="1" t="n">
        <v>44680</v>
      </c>
      <c r="C65" s="1" t="n">
        <v>46086</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56768-2025</t>
        </is>
      </c>
      <c r="B66" s="1" t="n">
        <v>45978</v>
      </c>
      <c r="C66" s="1" t="n">
        <v>46086</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63145-2025</t>
        </is>
      </c>
      <c r="B67" s="1" t="n">
        <v>46009</v>
      </c>
      <c r="C67" s="1" t="n">
        <v>46086</v>
      </c>
      <c r="D67" t="inlineStr">
        <is>
          <t>VÄSTMANLANDS LÄN</t>
        </is>
      </c>
      <c r="E67" t="inlineStr">
        <is>
          <t>SURAHAMMAR</t>
        </is>
      </c>
      <c r="F67" t="inlineStr">
        <is>
          <t>Bergvik skog väst AB</t>
        </is>
      </c>
      <c r="G67" t="n">
        <v>40.5</v>
      </c>
      <c r="H67" t="n">
        <v>0</v>
      </c>
      <c r="I67" t="n">
        <v>1</v>
      </c>
      <c r="J67" t="n">
        <v>0</v>
      </c>
      <c r="K67" t="n">
        <v>0</v>
      </c>
      <c r="L67" t="n">
        <v>0</v>
      </c>
      <c r="M67" t="n">
        <v>0</v>
      </c>
      <c r="N67" t="n">
        <v>0</v>
      </c>
      <c r="O67" t="n">
        <v>0</v>
      </c>
      <c r="P67" t="n">
        <v>0</v>
      </c>
      <c r="Q67" t="n">
        <v>1</v>
      </c>
      <c r="R67" s="2" t="inlineStr">
        <is>
          <t>Svart trolldruva</t>
        </is>
      </c>
      <c r="S67">
        <f>HYPERLINK("https://klasma.github.io/Logging_1907/artfynd/A 63145-2025 artfynd.xlsx", "A 63145-2025")</f>
        <v/>
      </c>
      <c r="T67">
        <f>HYPERLINK("https://klasma.github.io/Logging_1907/kartor/A 63145-2025 karta.png", "A 63145-2025")</f>
        <v/>
      </c>
      <c r="V67">
        <f>HYPERLINK("https://klasma.github.io/Logging_1907/klagomål/A 63145-2025 FSC-klagomål.docx", "A 63145-2025")</f>
        <v/>
      </c>
      <c r="W67">
        <f>HYPERLINK("https://klasma.github.io/Logging_1907/klagomålsmail/A 63145-2025 FSC-klagomål mail.docx", "A 63145-2025")</f>
        <v/>
      </c>
      <c r="X67">
        <f>HYPERLINK("https://klasma.github.io/Logging_1907/tillsyn/A 63145-2025 tillsynsbegäran.docx", "A 63145-2025")</f>
        <v/>
      </c>
      <c r="Y67">
        <f>HYPERLINK("https://klasma.github.io/Logging_1907/tillsynsmail/A 63145-2025 tillsynsbegäran mail.docx", "A 63145-2025")</f>
        <v/>
      </c>
    </row>
    <row r="68" ht="15" customHeight="1">
      <c r="A68" t="inlineStr">
        <is>
          <t>A 44356-2024</t>
        </is>
      </c>
      <c r="B68" s="1" t="n">
        <v>45573</v>
      </c>
      <c r="C68" s="1" t="n">
        <v>46086</v>
      </c>
      <c r="D68" t="inlineStr">
        <is>
          <t>VÄSTMANLANDS LÄN</t>
        </is>
      </c>
      <c r="E68" t="inlineStr">
        <is>
          <t>SURAHAMMAR</t>
        </is>
      </c>
      <c r="F68" t="inlineStr">
        <is>
          <t>Sveaskog</t>
        </is>
      </c>
      <c r="G68" t="n">
        <v>0.7</v>
      </c>
      <c r="H68" t="n">
        <v>1</v>
      </c>
      <c r="I68" t="n">
        <v>0</v>
      </c>
      <c r="J68" t="n">
        <v>0</v>
      </c>
      <c r="K68" t="n">
        <v>0</v>
      </c>
      <c r="L68" t="n">
        <v>0</v>
      </c>
      <c r="M68" t="n">
        <v>0</v>
      </c>
      <c r="N68" t="n">
        <v>0</v>
      </c>
      <c r="O68" t="n">
        <v>0</v>
      </c>
      <c r="P68" t="n">
        <v>0</v>
      </c>
      <c r="Q68" t="n">
        <v>1</v>
      </c>
      <c r="R68" s="2" t="inlineStr">
        <is>
          <t>Revlummer</t>
        </is>
      </c>
      <c r="S68">
        <f>HYPERLINK("https://klasma.github.io/Logging_1907/artfynd/A 44356-2024 artfynd.xlsx", "A 44356-2024")</f>
        <v/>
      </c>
      <c r="T68">
        <f>HYPERLINK("https://klasma.github.io/Logging_1907/kartor/A 44356-2024 karta.png", "A 44356-2024")</f>
        <v/>
      </c>
      <c r="V68">
        <f>HYPERLINK("https://klasma.github.io/Logging_1907/klagomål/A 44356-2024 FSC-klagomål.docx", "A 44356-2024")</f>
        <v/>
      </c>
      <c r="W68">
        <f>HYPERLINK("https://klasma.github.io/Logging_1907/klagomålsmail/A 44356-2024 FSC-klagomål mail.docx", "A 44356-2024")</f>
        <v/>
      </c>
      <c r="X68">
        <f>HYPERLINK("https://klasma.github.io/Logging_1907/tillsyn/A 44356-2024 tillsynsbegäran.docx", "A 44356-2024")</f>
        <v/>
      </c>
      <c r="Y68">
        <f>HYPERLINK("https://klasma.github.io/Logging_1907/tillsynsmail/A 44356-2024 tillsynsbegäran mail.docx", "A 44356-2024")</f>
        <v/>
      </c>
    </row>
    <row r="69" ht="15" customHeight="1">
      <c r="A69" t="inlineStr">
        <is>
          <t>A 22840-2023</t>
        </is>
      </c>
      <c r="B69" s="1" t="n">
        <v>45072</v>
      </c>
      <c r="C69" s="1" t="n">
        <v>46086</v>
      </c>
      <c r="D69" t="inlineStr">
        <is>
          <t>VÄSTMANLANDS LÄN</t>
        </is>
      </c>
      <c r="E69" t="inlineStr">
        <is>
          <t>SURAHAMMAR</t>
        </is>
      </c>
      <c r="G69" t="n">
        <v>4.3</v>
      </c>
      <c r="H69" t="n">
        <v>1</v>
      </c>
      <c r="I69" t="n">
        <v>0</v>
      </c>
      <c r="J69" t="n">
        <v>0</v>
      </c>
      <c r="K69" t="n">
        <v>0</v>
      </c>
      <c r="L69" t="n">
        <v>0</v>
      </c>
      <c r="M69" t="n">
        <v>0</v>
      </c>
      <c r="N69" t="n">
        <v>0</v>
      </c>
      <c r="O69" t="n">
        <v>0</v>
      </c>
      <c r="P69" t="n">
        <v>0</v>
      </c>
      <c r="Q69" t="n">
        <v>1</v>
      </c>
      <c r="R69" s="2" t="inlineStr">
        <is>
          <t>Fläcknycklar</t>
        </is>
      </c>
      <c r="S69">
        <f>HYPERLINK("https://klasma.github.io/Logging_1907/artfynd/A 22840-2023 artfynd.xlsx", "A 22840-2023")</f>
        <v/>
      </c>
      <c r="T69">
        <f>HYPERLINK("https://klasma.github.io/Logging_1907/kartor/A 22840-2023 karta.png", "A 22840-2023")</f>
        <v/>
      </c>
      <c r="V69">
        <f>HYPERLINK("https://klasma.github.io/Logging_1907/klagomål/A 22840-2023 FSC-klagomål.docx", "A 22840-2023")</f>
        <v/>
      </c>
      <c r="W69">
        <f>HYPERLINK("https://klasma.github.io/Logging_1907/klagomålsmail/A 22840-2023 FSC-klagomål mail.docx", "A 22840-2023")</f>
        <v/>
      </c>
      <c r="X69">
        <f>HYPERLINK("https://klasma.github.io/Logging_1907/tillsyn/A 22840-2023 tillsynsbegäran.docx", "A 22840-2023")</f>
        <v/>
      </c>
      <c r="Y69">
        <f>HYPERLINK("https://klasma.github.io/Logging_1907/tillsynsmail/A 22840-2023 tillsynsbegäran mail.docx", "A 22840-2023")</f>
        <v/>
      </c>
    </row>
    <row r="70" ht="15" customHeight="1">
      <c r="A70" t="inlineStr">
        <is>
          <t>A 33231-2024</t>
        </is>
      </c>
      <c r="B70" s="1" t="n">
        <v>45518</v>
      </c>
      <c r="C70" s="1" t="n">
        <v>46086</v>
      </c>
      <c r="D70" t="inlineStr">
        <is>
          <t>VÄSTMANLANDS LÄN</t>
        </is>
      </c>
      <c r="E70" t="inlineStr">
        <is>
          <t>SURAHAMMAR</t>
        </is>
      </c>
      <c r="F70" t="inlineStr">
        <is>
          <t>Bergvik skog väst AB</t>
        </is>
      </c>
      <c r="G70" t="n">
        <v>1.5</v>
      </c>
      <c r="H70" t="n">
        <v>1</v>
      </c>
      <c r="I70" t="n">
        <v>0</v>
      </c>
      <c r="J70" t="n">
        <v>0</v>
      </c>
      <c r="K70" t="n">
        <v>0</v>
      </c>
      <c r="L70" t="n">
        <v>0</v>
      </c>
      <c r="M70" t="n">
        <v>0</v>
      </c>
      <c r="N70" t="n">
        <v>0</v>
      </c>
      <c r="O70" t="n">
        <v>0</v>
      </c>
      <c r="P70" t="n">
        <v>0</v>
      </c>
      <c r="Q70" t="n">
        <v>1</v>
      </c>
      <c r="R70" s="2" t="inlineStr">
        <is>
          <t>Mindre vattensalamander</t>
        </is>
      </c>
      <c r="S70">
        <f>HYPERLINK("https://klasma.github.io/Logging_1907/artfynd/A 33231-2024 artfynd.xlsx", "A 33231-2024")</f>
        <v/>
      </c>
      <c r="T70">
        <f>HYPERLINK("https://klasma.github.io/Logging_1907/kartor/A 33231-2024 karta.png", "A 33231-2024")</f>
        <v/>
      </c>
      <c r="V70">
        <f>HYPERLINK("https://klasma.github.io/Logging_1907/klagomål/A 33231-2024 FSC-klagomål.docx", "A 33231-2024")</f>
        <v/>
      </c>
      <c r="W70">
        <f>HYPERLINK("https://klasma.github.io/Logging_1907/klagomålsmail/A 33231-2024 FSC-klagomål mail.docx", "A 33231-2024")</f>
        <v/>
      </c>
      <c r="X70">
        <f>HYPERLINK("https://klasma.github.io/Logging_1907/tillsyn/A 33231-2024 tillsynsbegäran.docx", "A 33231-2024")</f>
        <v/>
      </c>
      <c r="Y70">
        <f>HYPERLINK("https://klasma.github.io/Logging_1907/tillsynsmail/A 33231-2024 tillsynsbegäran mail.docx", "A 33231-2024")</f>
        <v/>
      </c>
    </row>
    <row r="71" ht="15" customHeight="1">
      <c r="A71" t="inlineStr">
        <is>
          <t>A 14001-2023</t>
        </is>
      </c>
      <c r="B71" s="1" t="n">
        <v>45007</v>
      </c>
      <c r="C71" s="1" t="n">
        <v>46086</v>
      </c>
      <c r="D71" t="inlineStr">
        <is>
          <t>VÄSTMANLANDS LÄN</t>
        </is>
      </c>
      <c r="E71" t="inlineStr">
        <is>
          <t>SURAHAMMAR</t>
        </is>
      </c>
      <c r="F71" t="inlineStr">
        <is>
          <t>Bergvik skog väst AB</t>
        </is>
      </c>
      <c r="G71" t="n">
        <v>1</v>
      </c>
      <c r="H71" t="n">
        <v>0</v>
      </c>
      <c r="I71" t="n">
        <v>0</v>
      </c>
      <c r="J71" t="n">
        <v>1</v>
      </c>
      <c r="K71" t="n">
        <v>0</v>
      </c>
      <c r="L71" t="n">
        <v>0</v>
      </c>
      <c r="M71" t="n">
        <v>0</v>
      </c>
      <c r="N71" t="n">
        <v>0</v>
      </c>
      <c r="O71" t="n">
        <v>1</v>
      </c>
      <c r="P71" t="n">
        <v>0</v>
      </c>
      <c r="Q71" t="n">
        <v>1</v>
      </c>
      <c r="R71" s="2" t="inlineStr">
        <is>
          <t>Motaggsvamp</t>
        </is>
      </c>
      <c r="S71">
        <f>HYPERLINK("https://klasma.github.io/Logging_1907/artfynd/A 14001-2023 artfynd.xlsx", "A 14001-2023")</f>
        <v/>
      </c>
      <c r="T71">
        <f>HYPERLINK("https://klasma.github.io/Logging_1907/kartor/A 14001-2023 karta.png", "A 14001-2023")</f>
        <v/>
      </c>
      <c r="V71">
        <f>HYPERLINK("https://klasma.github.io/Logging_1907/klagomål/A 14001-2023 FSC-klagomål.docx", "A 14001-2023")</f>
        <v/>
      </c>
      <c r="W71">
        <f>HYPERLINK("https://klasma.github.io/Logging_1907/klagomålsmail/A 14001-2023 FSC-klagomål mail.docx", "A 14001-2023")</f>
        <v/>
      </c>
      <c r="X71">
        <f>HYPERLINK("https://klasma.github.io/Logging_1907/tillsyn/A 14001-2023 tillsynsbegäran.docx", "A 14001-2023")</f>
        <v/>
      </c>
      <c r="Y71">
        <f>HYPERLINK("https://klasma.github.io/Logging_1907/tillsynsmail/A 14001-2023 tillsynsbegäran mail.docx", "A 14001-2023")</f>
        <v/>
      </c>
    </row>
    <row r="72" ht="15" customHeight="1">
      <c r="A72" t="inlineStr">
        <is>
          <t>A 13971-2023</t>
        </is>
      </c>
      <c r="B72" s="1" t="n">
        <v>45007</v>
      </c>
      <c r="C72" s="1" t="n">
        <v>46086</v>
      </c>
      <c r="D72" t="inlineStr">
        <is>
          <t>VÄSTMANLANDS LÄN</t>
        </is>
      </c>
      <c r="E72" t="inlineStr">
        <is>
          <t>SURAHAMMAR</t>
        </is>
      </c>
      <c r="F72" t="inlineStr">
        <is>
          <t>Bergvik skog väst AB</t>
        </is>
      </c>
      <c r="G72" t="n">
        <v>2.9</v>
      </c>
      <c r="H72" t="n">
        <v>1</v>
      </c>
      <c r="I72" t="n">
        <v>0</v>
      </c>
      <c r="J72" t="n">
        <v>0</v>
      </c>
      <c r="K72" t="n">
        <v>0</v>
      </c>
      <c r="L72" t="n">
        <v>0</v>
      </c>
      <c r="M72" t="n">
        <v>0</v>
      </c>
      <c r="N72" t="n">
        <v>0</v>
      </c>
      <c r="O72" t="n">
        <v>0</v>
      </c>
      <c r="P72" t="n">
        <v>0</v>
      </c>
      <c r="Q72" t="n">
        <v>1</v>
      </c>
      <c r="R72" s="2" t="inlineStr">
        <is>
          <t>Fläcknycklar</t>
        </is>
      </c>
      <c r="S72">
        <f>HYPERLINK("https://klasma.github.io/Logging_1907/artfynd/A 13971-2023 artfynd.xlsx", "A 13971-2023")</f>
        <v/>
      </c>
      <c r="T72">
        <f>HYPERLINK("https://klasma.github.io/Logging_1907/kartor/A 13971-2023 karta.png", "A 13971-2023")</f>
        <v/>
      </c>
      <c r="V72">
        <f>HYPERLINK("https://klasma.github.io/Logging_1907/klagomål/A 13971-2023 FSC-klagomål.docx", "A 13971-2023")</f>
        <v/>
      </c>
      <c r="W72">
        <f>HYPERLINK("https://klasma.github.io/Logging_1907/klagomålsmail/A 13971-2023 FSC-klagomål mail.docx", "A 13971-2023")</f>
        <v/>
      </c>
      <c r="X72">
        <f>HYPERLINK("https://klasma.github.io/Logging_1907/tillsyn/A 13971-2023 tillsynsbegäran.docx", "A 13971-2023")</f>
        <v/>
      </c>
      <c r="Y72">
        <f>HYPERLINK("https://klasma.github.io/Logging_1907/tillsynsmail/A 13971-2023 tillsynsbegäran mail.docx", "A 13971-2023")</f>
        <v/>
      </c>
    </row>
    <row r="73" ht="15" customHeight="1">
      <c r="A73" t="inlineStr">
        <is>
          <t>A 31176-2024</t>
        </is>
      </c>
      <c r="B73" s="1" t="n">
        <v>45503</v>
      </c>
      <c r="C73" s="1" t="n">
        <v>46086</v>
      </c>
      <c r="D73" t="inlineStr">
        <is>
          <t>VÄSTMANLANDS LÄN</t>
        </is>
      </c>
      <c r="E73" t="inlineStr">
        <is>
          <t>SURAHAMMAR</t>
        </is>
      </c>
      <c r="F73" t="inlineStr">
        <is>
          <t>Allmännings- och besparingsskogar</t>
        </is>
      </c>
      <c r="G73" t="n">
        <v>10.7</v>
      </c>
      <c r="H73" t="n">
        <v>0</v>
      </c>
      <c r="I73" t="n">
        <v>0</v>
      </c>
      <c r="J73" t="n">
        <v>1</v>
      </c>
      <c r="K73" t="n">
        <v>0</v>
      </c>
      <c r="L73" t="n">
        <v>0</v>
      </c>
      <c r="M73" t="n">
        <v>0</v>
      </c>
      <c r="N73" t="n">
        <v>0</v>
      </c>
      <c r="O73" t="n">
        <v>1</v>
      </c>
      <c r="P73" t="n">
        <v>0</v>
      </c>
      <c r="Q73" t="n">
        <v>1</v>
      </c>
      <c r="R73" s="2" t="inlineStr">
        <is>
          <t>Doftskinn</t>
        </is>
      </c>
      <c r="S73">
        <f>HYPERLINK("https://klasma.github.io/Logging_1907/artfynd/A 31176-2024 artfynd.xlsx", "A 31176-2024")</f>
        <v/>
      </c>
      <c r="T73">
        <f>HYPERLINK("https://klasma.github.io/Logging_1907/kartor/A 31176-2024 karta.png", "A 31176-2024")</f>
        <v/>
      </c>
      <c r="V73">
        <f>HYPERLINK("https://klasma.github.io/Logging_1907/klagomål/A 31176-2024 FSC-klagomål.docx", "A 31176-2024")</f>
        <v/>
      </c>
      <c r="W73">
        <f>HYPERLINK("https://klasma.github.io/Logging_1907/klagomålsmail/A 31176-2024 FSC-klagomål mail.docx", "A 31176-2024")</f>
        <v/>
      </c>
      <c r="X73">
        <f>HYPERLINK("https://klasma.github.io/Logging_1907/tillsyn/A 31176-2024 tillsynsbegäran.docx", "A 31176-2024")</f>
        <v/>
      </c>
      <c r="Y73">
        <f>HYPERLINK("https://klasma.github.io/Logging_1907/tillsynsmail/A 31176-2024 tillsynsbegäran mail.docx", "A 31176-2024")</f>
        <v/>
      </c>
    </row>
    <row r="74" ht="15" customHeight="1">
      <c r="A74" t="inlineStr">
        <is>
          <t>A 43451-2024</t>
        </is>
      </c>
      <c r="B74" s="1" t="n">
        <v>45568</v>
      </c>
      <c r="C74" s="1" t="n">
        <v>46086</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46086</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64073-2021</t>
        </is>
      </c>
      <c r="B76" s="1" t="n">
        <v>44509</v>
      </c>
      <c r="C76" s="1" t="n">
        <v>46086</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46086</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46086</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46086</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46086</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46086</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46086</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46086</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46086</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46086</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46086</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46086</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46086</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46086</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46086</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46086</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46086</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46086</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46086</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46086</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46086</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46086</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16608-2022</t>
        </is>
      </c>
      <c r="B98" s="1" t="n">
        <v>44672</v>
      </c>
      <c r="C98" s="1" t="n">
        <v>46086</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46086</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46086</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46086</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46086</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37287-2023</t>
        </is>
      </c>
      <c r="B103" s="1" t="n">
        <v>45156</v>
      </c>
      <c r="C103" s="1" t="n">
        <v>46086</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72367-2021</t>
        </is>
      </c>
      <c r="B104" s="1" t="n">
        <v>44545</v>
      </c>
      <c r="C104" s="1" t="n">
        <v>46086</v>
      </c>
      <c r="D104" t="inlineStr">
        <is>
          <t>VÄSTMANLANDS LÄN</t>
        </is>
      </c>
      <c r="E104" t="inlineStr">
        <is>
          <t>SURAHAMMAR</t>
        </is>
      </c>
      <c r="G104" t="n">
        <v>2.5</v>
      </c>
      <c r="H104" t="n">
        <v>0</v>
      </c>
      <c r="I104" t="n">
        <v>0</v>
      </c>
      <c r="J104" t="n">
        <v>0</v>
      </c>
      <c r="K104" t="n">
        <v>0</v>
      </c>
      <c r="L104" t="n">
        <v>0</v>
      </c>
      <c r="M104" t="n">
        <v>0</v>
      </c>
      <c r="N104" t="n">
        <v>0</v>
      </c>
      <c r="O104" t="n">
        <v>0</v>
      </c>
      <c r="P104" t="n">
        <v>0</v>
      </c>
      <c r="Q104" t="n">
        <v>0</v>
      </c>
      <c r="R104" s="2" t="inlineStr"/>
    </row>
    <row r="105" ht="15" customHeight="1">
      <c r="A105" t="inlineStr">
        <is>
          <t>A 33931-2022</t>
        </is>
      </c>
      <c r="B105" s="1" t="n">
        <v>44790.65153935185</v>
      </c>
      <c r="C105" s="1" t="n">
        <v>46086</v>
      </c>
      <c r="D105" t="inlineStr">
        <is>
          <t>VÄSTMANLANDS LÄN</t>
        </is>
      </c>
      <c r="E105" t="inlineStr">
        <is>
          <t>SURAHAMMAR</t>
        </is>
      </c>
      <c r="G105" t="n">
        <v>2.2</v>
      </c>
      <c r="H105" t="n">
        <v>0</v>
      </c>
      <c r="I105" t="n">
        <v>0</v>
      </c>
      <c r="J105" t="n">
        <v>0</v>
      </c>
      <c r="K105" t="n">
        <v>0</v>
      </c>
      <c r="L105" t="n">
        <v>0</v>
      </c>
      <c r="M105" t="n">
        <v>0</v>
      </c>
      <c r="N105" t="n">
        <v>0</v>
      </c>
      <c r="O105" t="n">
        <v>0</v>
      </c>
      <c r="P105" t="n">
        <v>0</v>
      </c>
      <c r="Q105" t="n">
        <v>0</v>
      </c>
      <c r="R105" s="2" t="inlineStr"/>
    </row>
    <row r="106" ht="15" customHeight="1">
      <c r="A106" t="inlineStr">
        <is>
          <t>A 42088-2025</t>
        </is>
      </c>
      <c r="B106" s="1" t="n">
        <v>45902</v>
      </c>
      <c r="C106" s="1" t="n">
        <v>46086</v>
      </c>
      <c r="D106" t="inlineStr">
        <is>
          <t>VÄSTMANLANDS LÄN</t>
        </is>
      </c>
      <c r="E106" t="inlineStr">
        <is>
          <t>SURAHAMMAR</t>
        </is>
      </c>
      <c r="G106" t="n">
        <v>1</v>
      </c>
      <c r="H106" t="n">
        <v>0</v>
      </c>
      <c r="I106" t="n">
        <v>0</v>
      </c>
      <c r="J106" t="n">
        <v>0</v>
      </c>
      <c r="K106" t="n">
        <v>0</v>
      </c>
      <c r="L106" t="n">
        <v>0</v>
      </c>
      <c r="M106" t="n">
        <v>0</v>
      </c>
      <c r="N106" t="n">
        <v>0</v>
      </c>
      <c r="O106" t="n">
        <v>0</v>
      </c>
      <c r="P106" t="n">
        <v>0</v>
      </c>
      <c r="Q106" t="n">
        <v>0</v>
      </c>
      <c r="R106" s="2" t="inlineStr"/>
    </row>
    <row r="107" ht="15" customHeight="1">
      <c r="A107" t="inlineStr">
        <is>
          <t>A 31107-2025</t>
        </is>
      </c>
      <c r="B107" s="1" t="n">
        <v>45831</v>
      </c>
      <c r="C107" s="1" t="n">
        <v>46086</v>
      </c>
      <c r="D107" t="inlineStr">
        <is>
          <t>VÄSTMANLANDS LÄN</t>
        </is>
      </c>
      <c r="E107" t="inlineStr">
        <is>
          <t>SURAHAMMAR</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43249-2025</t>
        </is>
      </c>
      <c r="B108" s="1" t="n">
        <v>45910.55059027778</v>
      </c>
      <c r="C108" s="1" t="n">
        <v>46086</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43255-2025</t>
        </is>
      </c>
      <c r="B109" s="1" t="n">
        <v>45910.55325231481</v>
      </c>
      <c r="C109" s="1" t="n">
        <v>46086</v>
      </c>
      <c r="D109" t="inlineStr">
        <is>
          <t>VÄSTMANLANDS LÄN</t>
        </is>
      </c>
      <c r="E109" t="inlineStr">
        <is>
          <t>SURAHAMMAR</t>
        </is>
      </c>
      <c r="G109" t="n">
        <v>1.9</v>
      </c>
      <c r="H109" t="n">
        <v>0</v>
      </c>
      <c r="I109" t="n">
        <v>0</v>
      </c>
      <c r="J109" t="n">
        <v>0</v>
      </c>
      <c r="K109" t="n">
        <v>0</v>
      </c>
      <c r="L109" t="n">
        <v>0</v>
      </c>
      <c r="M109" t="n">
        <v>0</v>
      </c>
      <c r="N109" t="n">
        <v>0</v>
      </c>
      <c r="O109" t="n">
        <v>0</v>
      </c>
      <c r="P109" t="n">
        <v>0</v>
      </c>
      <c r="Q109" t="n">
        <v>0</v>
      </c>
      <c r="R109" s="2" t="inlineStr"/>
    </row>
    <row r="110" ht="15" customHeight="1">
      <c r="A110" t="inlineStr">
        <is>
          <t>A 24158-2023</t>
        </is>
      </c>
      <c r="B110" s="1" t="n">
        <v>45079</v>
      </c>
      <c r="C110" s="1" t="n">
        <v>46086</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46086</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32916-2025</t>
        </is>
      </c>
      <c r="B112" s="1" t="n">
        <v>45839</v>
      </c>
      <c r="C112" s="1" t="n">
        <v>46086</v>
      </c>
      <c r="D112" t="inlineStr">
        <is>
          <t>VÄSTMANLANDS LÄN</t>
        </is>
      </c>
      <c r="E112" t="inlineStr">
        <is>
          <t>SURAHAMMAR</t>
        </is>
      </c>
      <c r="F112" t="inlineStr">
        <is>
          <t>Kommuner</t>
        </is>
      </c>
      <c r="G112" t="n">
        <v>4.9</v>
      </c>
      <c r="H112" t="n">
        <v>0</v>
      </c>
      <c r="I112" t="n">
        <v>0</v>
      </c>
      <c r="J112" t="n">
        <v>0</v>
      </c>
      <c r="K112" t="n">
        <v>0</v>
      </c>
      <c r="L112" t="n">
        <v>0</v>
      </c>
      <c r="M112" t="n">
        <v>0</v>
      </c>
      <c r="N112" t="n">
        <v>0</v>
      </c>
      <c r="O112" t="n">
        <v>0</v>
      </c>
      <c r="P112" t="n">
        <v>0</v>
      </c>
      <c r="Q112" t="n">
        <v>0</v>
      </c>
      <c r="R112" s="2" t="inlineStr"/>
    </row>
    <row r="113" ht="15" customHeight="1">
      <c r="A113" t="inlineStr">
        <is>
          <t>A 42714-2022</t>
        </is>
      </c>
      <c r="B113" s="1" t="n">
        <v>44832</v>
      </c>
      <c r="C113" s="1" t="n">
        <v>46086</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46086</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10347-2026</t>
        </is>
      </c>
      <c r="B115" s="1" t="n">
        <v>46076.69101851852</v>
      </c>
      <c r="C115" s="1" t="n">
        <v>46086</v>
      </c>
      <c r="D115" t="inlineStr">
        <is>
          <t>VÄSTMANLANDS LÄN</t>
        </is>
      </c>
      <c r="E115" t="inlineStr">
        <is>
          <t>SURAHAMMAR</t>
        </is>
      </c>
      <c r="F115" t="inlineStr">
        <is>
          <t>Allmännings- och besparingsskogar</t>
        </is>
      </c>
      <c r="G115" t="n">
        <v>3</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46086</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11728-2023</t>
        </is>
      </c>
      <c r="B117" s="1" t="n">
        <v>44993</v>
      </c>
      <c r="C117" s="1" t="n">
        <v>46086</v>
      </c>
      <c r="D117" t="inlineStr">
        <is>
          <t>VÄSTMANLANDS LÄN</t>
        </is>
      </c>
      <c r="E117" t="inlineStr">
        <is>
          <t>SURAHAMMAR</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5567-2022</t>
        </is>
      </c>
      <c r="B118" s="1" t="n">
        <v>44595</v>
      </c>
      <c r="C118" s="1" t="n">
        <v>46086</v>
      </c>
      <c r="D118" t="inlineStr">
        <is>
          <t>VÄSTMANLANDS LÄN</t>
        </is>
      </c>
      <c r="E118" t="inlineStr">
        <is>
          <t>SURAHAMMAR</t>
        </is>
      </c>
      <c r="G118" t="n">
        <v>1.3</v>
      </c>
      <c r="H118" t="n">
        <v>0</v>
      </c>
      <c r="I118" t="n">
        <v>0</v>
      </c>
      <c r="J118" t="n">
        <v>0</v>
      </c>
      <c r="K118" t="n">
        <v>0</v>
      </c>
      <c r="L118" t="n">
        <v>0</v>
      </c>
      <c r="M118" t="n">
        <v>0</v>
      </c>
      <c r="N118" t="n">
        <v>0</v>
      </c>
      <c r="O118" t="n">
        <v>0</v>
      </c>
      <c r="P118" t="n">
        <v>0</v>
      </c>
      <c r="Q118" t="n">
        <v>0</v>
      </c>
      <c r="R118" s="2" t="inlineStr"/>
    </row>
    <row r="119" ht="15" customHeight="1">
      <c r="A119" t="inlineStr">
        <is>
          <t>A 42832-2022</t>
        </is>
      </c>
      <c r="B119" s="1" t="n">
        <v>44832</v>
      </c>
      <c r="C119" s="1" t="n">
        <v>46086</v>
      </c>
      <c r="D119" t="inlineStr">
        <is>
          <t>VÄSTMANLANDS LÄN</t>
        </is>
      </c>
      <c r="E119" t="inlineStr">
        <is>
          <t>SURAHAMMAR</t>
        </is>
      </c>
      <c r="G119" t="n">
        <v>1.1</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46086</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24665-2023</t>
        </is>
      </c>
      <c r="B121" s="1" t="n">
        <v>45084.48592592592</v>
      </c>
      <c r="C121" s="1" t="n">
        <v>46086</v>
      </c>
      <c r="D121" t="inlineStr">
        <is>
          <t>VÄSTMANLANDS LÄN</t>
        </is>
      </c>
      <c r="E121" t="inlineStr">
        <is>
          <t>SURAHAMMAR</t>
        </is>
      </c>
      <c r="G121" t="n">
        <v>0.9</v>
      </c>
      <c r="H121" t="n">
        <v>0</v>
      </c>
      <c r="I121" t="n">
        <v>0</v>
      </c>
      <c r="J121" t="n">
        <v>0</v>
      </c>
      <c r="K121" t="n">
        <v>0</v>
      </c>
      <c r="L121" t="n">
        <v>0</v>
      </c>
      <c r="M121" t="n">
        <v>0</v>
      </c>
      <c r="N121" t="n">
        <v>0</v>
      </c>
      <c r="O121" t="n">
        <v>0</v>
      </c>
      <c r="P121" t="n">
        <v>0</v>
      </c>
      <c r="Q121" t="n">
        <v>0</v>
      </c>
      <c r="R121" s="2" t="inlineStr"/>
    </row>
    <row r="122" ht="15" customHeight="1">
      <c r="A122" t="inlineStr">
        <is>
          <t>A 32808-2024</t>
        </is>
      </c>
      <c r="B122" s="1" t="n">
        <v>45516</v>
      </c>
      <c r="C122" s="1" t="n">
        <v>46086</v>
      </c>
      <c r="D122" t="inlineStr">
        <is>
          <t>VÄSTMANLANDS LÄN</t>
        </is>
      </c>
      <c r="E122" t="inlineStr">
        <is>
          <t>SURAHAMMAR</t>
        </is>
      </c>
      <c r="F122" t="inlineStr">
        <is>
          <t>Övriga Aktiebolag</t>
        </is>
      </c>
      <c r="G122" t="n">
        <v>1.9</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46086</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42841-2022</t>
        </is>
      </c>
      <c r="B124" s="1" t="n">
        <v>44832</v>
      </c>
      <c r="C124" s="1" t="n">
        <v>46086</v>
      </c>
      <c r="D124" t="inlineStr">
        <is>
          <t>VÄSTMANLANDS LÄN</t>
        </is>
      </c>
      <c r="E124" t="inlineStr">
        <is>
          <t>SURAHAMMAR</t>
        </is>
      </c>
      <c r="G124" t="n">
        <v>1.8</v>
      </c>
      <c r="H124" t="n">
        <v>0</v>
      </c>
      <c r="I124" t="n">
        <v>0</v>
      </c>
      <c r="J124" t="n">
        <v>0</v>
      </c>
      <c r="K124" t="n">
        <v>0</v>
      </c>
      <c r="L124" t="n">
        <v>0</v>
      </c>
      <c r="M124" t="n">
        <v>0</v>
      </c>
      <c r="N124" t="n">
        <v>0</v>
      </c>
      <c r="O124" t="n">
        <v>0</v>
      </c>
      <c r="P124" t="n">
        <v>0</v>
      </c>
      <c r="Q124" t="n">
        <v>0</v>
      </c>
      <c r="R124" s="2" t="inlineStr"/>
    </row>
    <row r="125" ht="15" customHeight="1">
      <c r="A125" t="inlineStr">
        <is>
          <t>A 42829-2022</t>
        </is>
      </c>
      <c r="B125" s="1" t="n">
        <v>44832</v>
      </c>
      <c r="C125" s="1" t="n">
        <v>46086</v>
      </c>
      <c r="D125" t="inlineStr">
        <is>
          <t>VÄSTMANLANDS LÄN</t>
        </is>
      </c>
      <c r="E125" t="inlineStr">
        <is>
          <t>SURAHAMMAR</t>
        </is>
      </c>
      <c r="G125" t="n">
        <v>1.6</v>
      </c>
      <c r="H125" t="n">
        <v>0</v>
      </c>
      <c r="I125" t="n">
        <v>0</v>
      </c>
      <c r="J125" t="n">
        <v>0</v>
      </c>
      <c r="K125" t="n">
        <v>0</v>
      </c>
      <c r="L125" t="n">
        <v>0</v>
      </c>
      <c r="M125" t="n">
        <v>0</v>
      </c>
      <c r="N125" t="n">
        <v>0</v>
      </c>
      <c r="O125" t="n">
        <v>0</v>
      </c>
      <c r="P125" t="n">
        <v>0</v>
      </c>
      <c r="Q125" t="n">
        <v>0</v>
      </c>
      <c r="R125" s="2" t="inlineStr"/>
    </row>
    <row r="126" ht="15" customHeight="1">
      <c r="A126" t="inlineStr">
        <is>
          <t>A 2867-2024</t>
        </is>
      </c>
      <c r="B126" s="1" t="n">
        <v>45315</v>
      </c>
      <c r="C126" s="1" t="n">
        <v>46086</v>
      </c>
      <c r="D126" t="inlineStr">
        <is>
          <t>VÄSTMANLANDS LÄN</t>
        </is>
      </c>
      <c r="E126" t="inlineStr">
        <is>
          <t>SURAHAMMAR</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46086</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46086</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46086</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3085-2023</t>
        </is>
      </c>
      <c r="B130" s="1" t="n">
        <v>44946</v>
      </c>
      <c r="C130" s="1" t="n">
        <v>46086</v>
      </c>
      <c r="D130" t="inlineStr">
        <is>
          <t>VÄSTMANLANDS LÄN</t>
        </is>
      </c>
      <c r="E130" t="inlineStr">
        <is>
          <t>SURAHAMMAR</t>
        </is>
      </c>
      <c r="F130" t="inlineStr">
        <is>
          <t>Kyrkan</t>
        </is>
      </c>
      <c r="G130" t="n">
        <v>13</v>
      </c>
      <c r="H130" t="n">
        <v>0</v>
      </c>
      <c r="I130" t="n">
        <v>0</v>
      </c>
      <c r="J130" t="n">
        <v>0</v>
      </c>
      <c r="K130" t="n">
        <v>0</v>
      </c>
      <c r="L130" t="n">
        <v>0</v>
      </c>
      <c r="M130" t="n">
        <v>0</v>
      </c>
      <c r="N130" t="n">
        <v>0</v>
      </c>
      <c r="O130" t="n">
        <v>0</v>
      </c>
      <c r="P130" t="n">
        <v>0</v>
      </c>
      <c r="Q130" t="n">
        <v>0</v>
      </c>
      <c r="R130" s="2" t="inlineStr"/>
    </row>
    <row r="131" ht="15" customHeight="1">
      <c r="A131" t="inlineStr">
        <is>
          <t>A 56543-2025</t>
        </is>
      </c>
      <c r="B131" s="1" t="n">
        <v>45975</v>
      </c>
      <c r="C131" s="1" t="n">
        <v>46086</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49058-2024</t>
        </is>
      </c>
      <c r="B132" s="1" t="n">
        <v>45594</v>
      </c>
      <c r="C132" s="1" t="n">
        <v>46086</v>
      </c>
      <c r="D132" t="inlineStr">
        <is>
          <t>VÄSTMANLANDS LÄN</t>
        </is>
      </c>
      <c r="E132" t="inlineStr">
        <is>
          <t>SURAHAMMAR</t>
        </is>
      </c>
      <c r="F132" t="inlineStr">
        <is>
          <t>Sveaskog</t>
        </is>
      </c>
      <c r="G132" t="n">
        <v>11.4</v>
      </c>
      <c r="H132" t="n">
        <v>0</v>
      </c>
      <c r="I132" t="n">
        <v>0</v>
      </c>
      <c r="J132" t="n">
        <v>0</v>
      </c>
      <c r="K132" t="n">
        <v>0</v>
      </c>
      <c r="L132" t="n">
        <v>0</v>
      </c>
      <c r="M132" t="n">
        <v>0</v>
      </c>
      <c r="N132" t="n">
        <v>0</v>
      </c>
      <c r="O132" t="n">
        <v>0</v>
      </c>
      <c r="P132" t="n">
        <v>0</v>
      </c>
      <c r="Q132" t="n">
        <v>0</v>
      </c>
      <c r="R132" s="2" t="inlineStr"/>
    </row>
    <row r="133" ht="15" customHeight="1">
      <c r="A133" t="inlineStr">
        <is>
          <t>A 49060-2024</t>
        </is>
      </c>
      <c r="B133" s="1" t="n">
        <v>45594</v>
      </c>
      <c r="C133" s="1" t="n">
        <v>46086</v>
      </c>
      <c r="D133" t="inlineStr">
        <is>
          <t>VÄSTMANLANDS LÄN</t>
        </is>
      </c>
      <c r="E133" t="inlineStr">
        <is>
          <t>SURAHAMMAR</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59399-2025</t>
        </is>
      </c>
      <c r="B134" s="1" t="n">
        <v>45989</v>
      </c>
      <c r="C134" s="1" t="n">
        <v>46086</v>
      </c>
      <c r="D134" t="inlineStr">
        <is>
          <t>VÄSTMANLANDS LÄN</t>
        </is>
      </c>
      <c r="E134" t="inlineStr">
        <is>
          <t>SURAHAMMAR</t>
        </is>
      </c>
      <c r="F134" t="inlineStr">
        <is>
          <t>Kommuner</t>
        </is>
      </c>
      <c r="G134" t="n">
        <v>2.1</v>
      </c>
      <c r="H134" t="n">
        <v>0</v>
      </c>
      <c r="I134" t="n">
        <v>0</v>
      </c>
      <c r="J134" t="n">
        <v>0</v>
      </c>
      <c r="K134" t="n">
        <v>0</v>
      </c>
      <c r="L134" t="n">
        <v>0</v>
      </c>
      <c r="M134" t="n">
        <v>0</v>
      </c>
      <c r="N134" t="n">
        <v>0</v>
      </c>
      <c r="O134" t="n">
        <v>0</v>
      </c>
      <c r="P134" t="n">
        <v>0</v>
      </c>
      <c r="Q134" t="n">
        <v>0</v>
      </c>
      <c r="R134" s="2" t="inlineStr"/>
    </row>
    <row r="135" ht="15" customHeight="1">
      <c r="A135" t="inlineStr">
        <is>
          <t>A 56541-2025</t>
        </is>
      </c>
      <c r="B135" s="1" t="n">
        <v>45975</v>
      </c>
      <c r="C135" s="1" t="n">
        <v>46086</v>
      </c>
      <c r="D135" t="inlineStr">
        <is>
          <t>VÄSTMANLANDS LÄN</t>
        </is>
      </c>
      <c r="E135" t="inlineStr">
        <is>
          <t>SURAHAMMAR</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46086</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20904-2023</t>
        </is>
      </c>
      <c r="B137" s="1" t="n">
        <v>45060</v>
      </c>
      <c r="C137" s="1" t="n">
        <v>46086</v>
      </c>
      <c r="D137" t="inlineStr">
        <is>
          <t>VÄSTMANLANDS LÄN</t>
        </is>
      </c>
      <c r="E137" t="inlineStr">
        <is>
          <t>SURAHAMMAR</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10883-2023</t>
        </is>
      </c>
      <c r="B138" s="1" t="n">
        <v>44991</v>
      </c>
      <c r="C138" s="1" t="n">
        <v>46086</v>
      </c>
      <c r="D138" t="inlineStr">
        <is>
          <t>VÄSTMANLANDS LÄN</t>
        </is>
      </c>
      <c r="E138" t="inlineStr">
        <is>
          <t>SURAHAMMAR</t>
        </is>
      </c>
      <c r="F138" t="inlineStr">
        <is>
          <t>Övriga Aktiebolag</t>
        </is>
      </c>
      <c r="G138" t="n">
        <v>12.5</v>
      </c>
      <c r="H138" t="n">
        <v>0</v>
      </c>
      <c r="I138" t="n">
        <v>0</v>
      </c>
      <c r="J138" t="n">
        <v>0</v>
      </c>
      <c r="K138" t="n">
        <v>0</v>
      </c>
      <c r="L138" t="n">
        <v>0</v>
      </c>
      <c r="M138" t="n">
        <v>0</v>
      </c>
      <c r="N138" t="n">
        <v>0</v>
      </c>
      <c r="O138" t="n">
        <v>0</v>
      </c>
      <c r="P138" t="n">
        <v>0</v>
      </c>
      <c r="Q138" t="n">
        <v>0</v>
      </c>
      <c r="R138" s="2" t="inlineStr"/>
    </row>
    <row r="139" ht="15" customHeight="1">
      <c r="A139" t="inlineStr">
        <is>
          <t>A 2660-2024</t>
        </is>
      </c>
      <c r="B139" s="1" t="n">
        <v>45310</v>
      </c>
      <c r="C139" s="1" t="n">
        <v>46086</v>
      </c>
      <c r="D139" t="inlineStr">
        <is>
          <t>VÄSTMANLANDS LÄN</t>
        </is>
      </c>
      <c r="E139" t="inlineStr">
        <is>
          <t>SURAHAMMAR</t>
        </is>
      </c>
      <c r="G139" t="n">
        <v>2.1</v>
      </c>
      <c r="H139" t="n">
        <v>0</v>
      </c>
      <c r="I139" t="n">
        <v>0</v>
      </c>
      <c r="J139" t="n">
        <v>0</v>
      </c>
      <c r="K139" t="n">
        <v>0</v>
      </c>
      <c r="L139" t="n">
        <v>0</v>
      </c>
      <c r="M139" t="n">
        <v>0</v>
      </c>
      <c r="N139" t="n">
        <v>0</v>
      </c>
      <c r="O139" t="n">
        <v>0</v>
      </c>
      <c r="P139" t="n">
        <v>0</v>
      </c>
      <c r="Q139" t="n">
        <v>0</v>
      </c>
      <c r="R139" s="2" t="inlineStr"/>
    </row>
    <row r="140" ht="15" customHeight="1">
      <c r="A140" t="inlineStr">
        <is>
          <t>A 5697-2026</t>
        </is>
      </c>
      <c r="B140" s="1" t="n">
        <v>46051.50020833333</v>
      </c>
      <c r="C140" s="1" t="n">
        <v>46086</v>
      </c>
      <c r="D140" t="inlineStr">
        <is>
          <t>VÄSTMANLANDS LÄN</t>
        </is>
      </c>
      <c r="E140" t="inlineStr">
        <is>
          <t>SURAHAMMAR</t>
        </is>
      </c>
      <c r="F140" t="inlineStr">
        <is>
          <t>Sveaskog</t>
        </is>
      </c>
      <c r="G140" t="n">
        <v>3</v>
      </c>
      <c r="H140" t="n">
        <v>0</v>
      </c>
      <c r="I140" t="n">
        <v>0</v>
      </c>
      <c r="J140" t="n">
        <v>0</v>
      </c>
      <c r="K140" t="n">
        <v>0</v>
      </c>
      <c r="L140" t="n">
        <v>0</v>
      </c>
      <c r="M140" t="n">
        <v>0</v>
      </c>
      <c r="N140" t="n">
        <v>0</v>
      </c>
      <c r="O140" t="n">
        <v>0</v>
      </c>
      <c r="P140" t="n">
        <v>0</v>
      </c>
      <c r="Q140" t="n">
        <v>0</v>
      </c>
      <c r="R140" s="2" t="inlineStr"/>
    </row>
    <row r="141" ht="15" customHeight="1">
      <c r="A141" t="inlineStr">
        <is>
          <t>A 5698-2026</t>
        </is>
      </c>
      <c r="B141" s="1" t="n">
        <v>46051.50196759259</v>
      </c>
      <c r="C141" s="1" t="n">
        <v>46086</v>
      </c>
      <c r="D141" t="inlineStr">
        <is>
          <t>VÄSTMANLANDS LÄN</t>
        </is>
      </c>
      <c r="E141" t="inlineStr">
        <is>
          <t>SURAHAMMAR</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5696-2026</t>
        </is>
      </c>
      <c r="B142" s="1" t="n">
        <v>46051.4975</v>
      </c>
      <c r="C142" s="1" t="n">
        <v>46086</v>
      </c>
      <c r="D142" t="inlineStr">
        <is>
          <t>VÄSTMANLANDS LÄN</t>
        </is>
      </c>
      <c r="E142" t="inlineStr">
        <is>
          <t>SURAHAMMAR</t>
        </is>
      </c>
      <c r="F142" t="inlineStr">
        <is>
          <t>Sveaskog</t>
        </is>
      </c>
      <c r="G142" t="n">
        <v>10.4</v>
      </c>
      <c r="H142" t="n">
        <v>0</v>
      </c>
      <c r="I142" t="n">
        <v>0</v>
      </c>
      <c r="J142" t="n">
        <v>0</v>
      </c>
      <c r="K142" t="n">
        <v>0</v>
      </c>
      <c r="L142" t="n">
        <v>0</v>
      </c>
      <c r="M142" t="n">
        <v>0</v>
      </c>
      <c r="N142" t="n">
        <v>0</v>
      </c>
      <c r="O142" t="n">
        <v>0</v>
      </c>
      <c r="P142" t="n">
        <v>0</v>
      </c>
      <c r="Q142" t="n">
        <v>0</v>
      </c>
      <c r="R142" s="2" t="inlineStr"/>
    </row>
    <row r="143" ht="15" customHeight="1">
      <c r="A143" t="inlineStr">
        <is>
          <t>A 63138-2025</t>
        </is>
      </c>
      <c r="B143" s="1" t="n">
        <v>46009</v>
      </c>
      <c r="C143" s="1" t="n">
        <v>46086</v>
      </c>
      <c r="D143" t="inlineStr">
        <is>
          <t>VÄSTMANLANDS LÄN</t>
        </is>
      </c>
      <c r="E143" t="inlineStr">
        <is>
          <t>SURAHAMMAR</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14626-2023</t>
        </is>
      </c>
      <c r="B144" s="1" t="n">
        <v>45012</v>
      </c>
      <c r="C144" s="1" t="n">
        <v>46086</v>
      </c>
      <c r="D144" t="inlineStr">
        <is>
          <t>VÄSTMANLANDS LÄN</t>
        </is>
      </c>
      <c r="E144" t="inlineStr">
        <is>
          <t>SURAHAMMAR</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46086</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4734-2026</t>
        </is>
      </c>
      <c r="B146" s="1" t="n">
        <v>46048</v>
      </c>
      <c r="C146" s="1" t="n">
        <v>46086</v>
      </c>
      <c r="D146" t="inlineStr">
        <is>
          <t>VÄSTMANLANDS LÄN</t>
        </is>
      </c>
      <c r="E146" t="inlineStr">
        <is>
          <t>SURAHAMMAR</t>
        </is>
      </c>
      <c r="G146" t="n">
        <v>0.7</v>
      </c>
      <c r="H146" t="n">
        <v>0</v>
      </c>
      <c r="I146" t="n">
        <v>0</v>
      </c>
      <c r="J146" t="n">
        <v>0</v>
      </c>
      <c r="K146" t="n">
        <v>0</v>
      </c>
      <c r="L146" t="n">
        <v>0</v>
      </c>
      <c r="M146" t="n">
        <v>0</v>
      </c>
      <c r="N146" t="n">
        <v>0</v>
      </c>
      <c r="O146" t="n">
        <v>0</v>
      </c>
      <c r="P146" t="n">
        <v>0</v>
      </c>
      <c r="Q146" t="n">
        <v>0</v>
      </c>
      <c r="R146" s="2" t="inlineStr"/>
    </row>
    <row r="147" ht="15" customHeight="1">
      <c r="A147" t="inlineStr">
        <is>
          <t>A 4724-2026</t>
        </is>
      </c>
      <c r="B147" s="1" t="n">
        <v>46048</v>
      </c>
      <c r="C147" s="1" t="n">
        <v>46086</v>
      </c>
      <c r="D147" t="inlineStr">
        <is>
          <t>VÄSTMANLANDS LÄN</t>
        </is>
      </c>
      <c r="E147" t="inlineStr">
        <is>
          <t>SURAHAMMAR</t>
        </is>
      </c>
      <c r="G147" t="n">
        <v>1.7</v>
      </c>
      <c r="H147" t="n">
        <v>0</v>
      </c>
      <c r="I147" t="n">
        <v>0</v>
      </c>
      <c r="J147" t="n">
        <v>0</v>
      </c>
      <c r="K147" t="n">
        <v>0</v>
      </c>
      <c r="L147" t="n">
        <v>0</v>
      </c>
      <c r="M147" t="n">
        <v>0</v>
      </c>
      <c r="N147" t="n">
        <v>0</v>
      </c>
      <c r="O147" t="n">
        <v>0</v>
      </c>
      <c r="P147" t="n">
        <v>0</v>
      </c>
      <c r="Q147" t="n">
        <v>0</v>
      </c>
      <c r="R147" s="2" t="inlineStr"/>
    </row>
    <row r="148" ht="15" customHeight="1">
      <c r="A148" t="inlineStr">
        <is>
          <t>A 10244-2026</t>
        </is>
      </c>
      <c r="B148" s="1" t="n">
        <v>46076.55032407407</v>
      </c>
      <c r="C148" s="1" t="n">
        <v>46086</v>
      </c>
      <c r="D148" t="inlineStr">
        <is>
          <t>VÄSTMANLANDS LÄN</t>
        </is>
      </c>
      <c r="E148" t="inlineStr">
        <is>
          <t>SURAHAMMAR</t>
        </is>
      </c>
      <c r="F148" t="inlineStr">
        <is>
          <t>Allmännings- och besparingsskogar</t>
        </is>
      </c>
      <c r="G148" t="n">
        <v>8.699999999999999</v>
      </c>
      <c r="H148" t="n">
        <v>0</v>
      </c>
      <c r="I148" t="n">
        <v>0</v>
      </c>
      <c r="J148" t="n">
        <v>0</v>
      </c>
      <c r="K148" t="n">
        <v>0</v>
      </c>
      <c r="L148" t="n">
        <v>0</v>
      </c>
      <c r="M148" t="n">
        <v>0</v>
      </c>
      <c r="N148" t="n">
        <v>0</v>
      </c>
      <c r="O148" t="n">
        <v>0</v>
      </c>
      <c r="P148" t="n">
        <v>0</v>
      </c>
      <c r="Q148" t="n">
        <v>0</v>
      </c>
      <c r="R148" s="2" t="inlineStr"/>
    </row>
    <row r="149" ht="15" customHeight="1">
      <c r="A149" t="inlineStr">
        <is>
          <t>A 10249-2026</t>
        </is>
      </c>
      <c r="B149" s="1" t="n">
        <v>46076.55456018518</v>
      </c>
      <c r="C149" s="1" t="n">
        <v>46086</v>
      </c>
      <c r="D149" t="inlineStr">
        <is>
          <t>VÄSTMANLANDS LÄN</t>
        </is>
      </c>
      <c r="E149" t="inlineStr">
        <is>
          <t>SURAHAMMAR</t>
        </is>
      </c>
      <c r="F149" t="inlineStr">
        <is>
          <t>Allmännings- och besparingsskogar</t>
        </is>
      </c>
      <c r="G149" t="n">
        <v>4.8</v>
      </c>
      <c r="H149" t="n">
        <v>0</v>
      </c>
      <c r="I149" t="n">
        <v>0</v>
      </c>
      <c r="J149" t="n">
        <v>0</v>
      </c>
      <c r="K149" t="n">
        <v>0</v>
      </c>
      <c r="L149" t="n">
        <v>0</v>
      </c>
      <c r="M149" t="n">
        <v>0</v>
      </c>
      <c r="N149" t="n">
        <v>0</v>
      </c>
      <c r="O149" t="n">
        <v>0</v>
      </c>
      <c r="P149" t="n">
        <v>0</v>
      </c>
      <c r="Q149" t="n">
        <v>0</v>
      </c>
      <c r="R149" s="2" t="inlineStr"/>
    </row>
    <row r="150" ht="15" customHeight="1">
      <c r="A150" t="inlineStr">
        <is>
          <t>A 10562-2026</t>
        </is>
      </c>
      <c r="B150" s="1" t="n">
        <v>46077.64043981482</v>
      </c>
      <c r="C150" s="1" t="n">
        <v>46086</v>
      </c>
      <c r="D150" t="inlineStr">
        <is>
          <t>VÄSTMANLANDS LÄN</t>
        </is>
      </c>
      <c r="E150" t="inlineStr">
        <is>
          <t>SURAHAMMAR</t>
        </is>
      </c>
      <c r="F150" t="inlineStr">
        <is>
          <t>Övriga Aktiebolag</t>
        </is>
      </c>
      <c r="G150" t="n">
        <v>2.3</v>
      </c>
      <c r="H150" t="n">
        <v>0</v>
      </c>
      <c r="I150" t="n">
        <v>0</v>
      </c>
      <c r="J150" t="n">
        <v>0</v>
      </c>
      <c r="K150" t="n">
        <v>0</v>
      </c>
      <c r="L150" t="n">
        <v>0</v>
      </c>
      <c r="M150" t="n">
        <v>0</v>
      </c>
      <c r="N150" t="n">
        <v>0</v>
      </c>
      <c r="O150" t="n">
        <v>0</v>
      </c>
      <c r="P150" t="n">
        <v>0</v>
      </c>
      <c r="Q150" t="n">
        <v>0</v>
      </c>
      <c r="R150" s="2" t="inlineStr"/>
    </row>
    <row r="151" ht="15" customHeight="1">
      <c r="A151" t="inlineStr">
        <is>
          <t>A 10512-2026</t>
        </is>
      </c>
      <c r="B151" s="1" t="n">
        <v>46077.56861111111</v>
      </c>
      <c r="C151" s="1" t="n">
        <v>46086</v>
      </c>
      <c r="D151" t="inlineStr">
        <is>
          <t>VÄSTMANLANDS LÄN</t>
        </is>
      </c>
      <c r="E151" t="inlineStr">
        <is>
          <t>SURAHAMMAR</t>
        </is>
      </c>
      <c r="F151" t="inlineStr">
        <is>
          <t>Övriga Aktiebolag</t>
        </is>
      </c>
      <c r="G151" t="n">
        <v>4.3</v>
      </c>
      <c r="H151" t="n">
        <v>0</v>
      </c>
      <c r="I151" t="n">
        <v>0</v>
      </c>
      <c r="J151" t="n">
        <v>0</v>
      </c>
      <c r="K151" t="n">
        <v>0</v>
      </c>
      <c r="L151" t="n">
        <v>0</v>
      </c>
      <c r="M151" t="n">
        <v>0</v>
      </c>
      <c r="N151" t="n">
        <v>0</v>
      </c>
      <c r="O151" t="n">
        <v>0</v>
      </c>
      <c r="P151" t="n">
        <v>0</v>
      </c>
      <c r="Q151" t="n">
        <v>0</v>
      </c>
      <c r="R151" s="2" t="inlineStr"/>
    </row>
    <row r="152" ht="15" customHeight="1">
      <c r="A152" t="inlineStr">
        <is>
          <t>A 25450-2024</t>
        </is>
      </c>
      <c r="B152" s="1" t="n">
        <v>45463</v>
      </c>
      <c r="C152" s="1" t="n">
        <v>46086</v>
      </c>
      <c r="D152" t="inlineStr">
        <is>
          <t>VÄSTMANLANDS LÄN</t>
        </is>
      </c>
      <c r="E152" t="inlineStr">
        <is>
          <t>SURAHAMMAR</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19782-2023</t>
        </is>
      </c>
      <c r="B153" s="1" t="n">
        <v>45050</v>
      </c>
      <c r="C153" s="1" t="n">
        <v>46086</v>
      </c>
      <c r="D153" t="inlineStr">
        <is>
          <t>VÄSTMANLANDS LÄN</t>
        </is>
      </c>
      <c r="E153" t="inlineStr">
        <is>
          <t>SURAHAMMAR</t>
        </is>
      </c>
      <c r="F153" t="inlineStr">
        <is>
          <t>Bergvik skog väst AB</t>
        </is>
      </c>
      <c r="G153" t="n">
        <v>5.2</v>
      </c>
      <c r="H153" t="n">
        <v>0</v>
      </c>
      <c r="I153" t="n">
        <v>0</v>
      </c>
      <c r="J153" t="n">
        <v>0</v>
      </c>
      <c r="K153" t="n">
        <v>0</v>
      </c>
      <c r="L153" t="n">
        <v>0</v>
      </c>
      <c r="M153" t="n">
        <v>0</v>
      </c>
      <c r="N153" t="n">
        <v>0</v>
      </c>
      <c r="O153" t="n">
        <v>0</v>
      </c>
      <c r="P153" t="n">
        <v>0</v>
      </c>
      <c r="Q153" t="n">
        <v>0</v>
      </c>
      <c r="R153" s="2" t="inlineStr"/>
    </row>
    <row r="154" ht="15" customHeight="1">
      <c r="A154" t="inlineStr">
        <is>
          <t>A 7848-2022</t>
        </is>
      </c>
      <c r="B154" s="1" t="n">
        <v>44608.58400462963</v>
      </c>
      <c r="C154" s="1" t="n">
        <v>46086</v>
      </c>
      <c r="D154" t="inlineStr">
        <is>
          <t>VÄSTMANLANDS LÄN</t>
        </is>
      </c>
      <c r="E154" t="inlineStr">
        <is>
          <t>SURAHAMMAR</t>
        </is>
      </c>
      <c r="G154" t="n">
        <v>2.1</v>
      </c>
      <c r="H154" t="n">
        <v>0</v>
      </c>
      <c r="I154" t="n">
        <v>0</v>
      </c>
      <c r="J154" t="n">
        <v>0</v>
      </c>
      <c r="K154" t="n">
        <v>0</v>
      </c>
      <c r="L154" t="n">
        <v>0</v>
      </c>
      <c r="M154" t="n">
        <v>0</v>
      </c>
      <c r="N154" t="n">
        <v>0</v>
      </c>
      <c r="O154" t="n">
        <v>0</v>
      </c>
      <c r="P154" t="n">
        <v>0</v>
      </c>
      <c r="Q154" t="n">
        <v>0</v>
      </c>
      <c r="R154" s="2" t="inlineStr"/>
    </row>
    <row r="155" ht="15" customHeight="1">
      <c r="A155" t="inlineStr">
        <is>
          <t>A 24167-2024</t>
        </is>
      </c>
      <c r="B155" s="1" t="n">
        <v>45456</v>
      </c>
      <c r="C155" s="1" t="n">
        <v>46086</v>
      </c>
      <c r="D155" t="inlineStr">
        <is>
          <t>VÄSTMANLANDS LÄN</t>
        </is>
      </c>
      <c r="E155" t="inlineStr">
        <is>
          <t>SURAHAMMAR</t>
        </is>
      </c>
      <c r="G155" t="n">
        <v>0.6</v>
      </c>
      <c r="H155" t="n">
        <v>0</v>
      </c>
      <c r="I155" t="n">
        <v>0</v>
      </c>
      <c r="J155" t="n">
        <v>0</v>
      </c>
      <c r="K155" t="n">
        <v>0</v>
      </c>
      <c r="L155" t="n">
        <v>0</v>
      </c>
      <c r="M155" t="n">
        <v>0</v>
      </c>
      <c r="N155" t="n">
        <v>0</v>
      </c>
      <c r="O155" t="n">
        <v>0</v>
      </c>
      <c r="P155" t="n">
        <v>0</v>
      </c>
      <c r="Q155" t="n">
        <v>0</v>
      </c>
      <c r="R155" s="2" t="inlineStr"/>
    </row>
    <row r="156" ht="15" customHeight="1">
      <c r="A156" t="inlineStr">
        <is>
          <t>A 56378-2023</t>
        </is>
      </c>
      <c r="B156" s="1" t="n">
        <v>45236</v>
      </c>
      <c r="C156" s="1" t="n">
        <v>46086</v>
      </c>
      <c r="D156" t="inlineStr">
        <is>
          <t>VÄSTMANLANDS LÄN</t>
        </is>
      </c>
      <c r="E156" t="inlineStr">
        <is>
          <t>SURAHAMMAR</t>
        </is>
      </c>
      <c r="F156" t="inlineStr">
        <is>
          <t>Bergvik skog väst AB</t>
        </is>
      </c>
      <c r="G156" t="n">
        <v>4.6</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46086</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11501-2023</t>
        </is>
      </c>
      <c r="B158" s="1" t="n">
        <v>44991</v>
      </c>
      <c r="C158" s="1" t="n">
        <v>46086</v>
      </c>
      <c r="D158" t="inlineStr">
        <is>
          <t>VÄSTMANLANDS LÄN</t>
        </is>
      </c>
      <c r="E158" t="inlineStr">
        <is>
          <t>SURAHAMMAR</t>
        </is>
      </c>
      <c r="F158" t="inlineStr">
        <is>
          <t>Bergvik skog väst AB</t>
        </is>
      </c>
      <c r="G158" t="n">
        <v>1.1</v>
      </c>
      <c r="H158" t="n">
        <v>0</v>
      </c>
      <c r="I158" t="n">
        <v>0</v>
      </c>
      <c r="J158" t="n">
        <v>0</v>
      </c>
      <c r="K158" t="n">
        <v>0</v>
      </c>
      <c r="L158" t="n">
        <v>0</v>
      </c>
      <c r="M158" t="n">
        <v>0</v>
      </c>
      <c r="N158" t="n">
        <v>0</v>
      </c>
      <c r="O158" t="n">
        <v>0</v>
      </c>
      <c r="P158" t="n">
        <v>0</v>
      </c>
      <c r="Q158" t="n">
        <v>0</v>
      </c>
      <c r="R158" s="2" t="inlineStr"/>
    </row>
    <row r="159" ht="15" customHeight="1">
      <c r="A159" t="inlineStr">
        <is>
          <t>A 3818-2022</t>
        </is>
      </c>
      <c r="B159" s="1" t="n">
        <v>44587</v>
      </c>
      <c r="C159" s="1" t="n">
        <v>46086</v>
      </c>
      <c r="D159" t="inlineStr">
        <is>
          <t>VÄSTMANLANDS LÄN</t>
        </is>
      </c>
      <c r="E159" t="inlineStr">
        <is>
          <t>SURAHAMMAR</t>
        </is>
      </c>
      <c r="G159" t="n">
        <v>2.6</v>
      </c>
      <c r="H159" t="n">
        <v>0</v>
      </c>
      <c r="I159" t="n">
        <v>0</v>
      </c>
      <c r="J159" t="n">
        <v>0</v>
      </c>
      <c r="K159" t="n">
        <v>0</v>
      </c>
      <c r="L159" t="n">
        <v>0</v>
      </c>
      <c r="M159" t="n">
        <v>0</v>
      </c>
      <c r="N159" t="n">
        <v>0</v>
      </c>
      <c r="O159" t="n">
        <v>0</v>
      </c>
      <c r="P159" t="n">
        <v>0</v>
      </c>
      <c r="Q159" t="n">
        <v>0</v>
      </c>
      <c r="R159" s="2" t="inlineStr"/>
    </row>
    <row r="160" ht="15" customHeight="1">
      <c r="A160" t="inlineStr">
        <is>
          <t>A 21509-2024</t>
        </is>
      </c>
      <c r="B160" s="1" t="n">
        <v>45441</v>
      </c>
      <c r="C160" s="1" t="n">
        <v>46086</v>
      </c>
      <c r="D160" t="inlineStr">
        <is>
          <t>VÄSTMANLANDS LÄN</t>
        </is>
      </c>
      <c r="E160" t="inlineStr">
        <is>
          <t>SURAHAMMAR</t>
        </is>
      </c>
      <c r="F160" t="inlineStr">
        <is>
          <t>Bergvik skog väst AB</t>
        </is>
      </c>
      <c r="G160" t="n">
        <v>3.9</v>
      </c>
      <c r="H160" t="n">
        <v>0</v>
      </c>
      <c r="I160" t="n">
        <v>0</v>
      </c>
      <c r="J160" t="n">
        <v>0</v>
      </c>
      <c r="K160" t="n">
        <v>0</v>
      </c>
      <c r="L160" t="n">
        <v>0</v>
      </c>
      <c r="M160" t="n">
        <v>0</v>
      </c>
      <c r="N160" t="n">
        <v>0</v>
      </c>
      <c r="O160" t="n">
        <v>0</v>
      </c>
      <c r="P160" t="n">
        <v>0</v>
      </c>
      <c r="Q160" t="n">
        <v>0</v>
      </c>
      <c r="R160" s="2" t="inlineStr"/>
    </row>
    <row r="161" ht="15" customHeight="1">
      <c r="A161" t="inlineStr">
        <is>
          <t>A 22662-2023</t>
        </is>
      </c>
      <c r="B161" s="1" t="n">
        <v>45071</v>
      </c>
      <c r="C161" s="1" t="n">
        <v>46086</v>
      </c>
      <c r="D161" t="inlineStr">
        <is>
          <t>VÄSTMANLANDS LÄN</t>
        </is>
      </c>
      <c r="E161" t="inlineStr">
        <is>
          <t>SURAHAMMAR</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16013-2023</t>
        </is>
      </c>
      <c r="B162" s="1" t="n">
        <v>45026</v>
      </c>
      <c r="C162" s="1" t="n">
        <v>46086</v>
      </c>
      <c r="D162" t="inlineStr">
        <is>
          <t>VÄSTMANLANDS LÄN</t>
        </is>
      </c>
      <c r="E162" t="inlineStr">
        <is>
          <t>SURAHAMMAR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41555-2022</t>
        </is>
      </c>
      <c r="B163" s="1" t="n">
        <v>44826</v>
      </c>
      <c r="C163" s="1" t="n">
        <v>46086</v>
      </c>
      <c r="D163" t="inlineStr">
        <is>
          <t>VÄSTMANLANDS LÄN</t>
        </is>
      </c>
      <c r="E163" t="inlineStr">
        <is>
          <t>SURAHAMMAR</t>
        </is>
      </c>
      <c r="F163" t="inlineStr">
        <is>
          <t>Bergvik skog väst AB</t>
        </is>
      </c>
      <c r="G163" t="n">
        <v>1.7</v>
      </c>
      <c r="H163" t="n">
        <v>0</v>
      </c>
      <c r="I163" t="n">
        <v>0</v>
      </c>
      <c r="J163" t="n">
        <v>0</v>
      </c>
      <c r="K163" t="n">
        <v>0</v>
      </c>
      <c r="L163" t="n">
        <v>0</v>
      </c>
      <c r="M163" t="n">
        <v>0</v>
      </c>
      <c r="N163" t="n">
        <v>0</v>
      </c>
      <c r="O163" t="n">
        <v>0</v>
      </c>
      <c r="P163" t="n">
        <v>0</v>
      </c>
      <c r="Q163" t="n">
        <v>0</v>
      </c>
      <c r="R163" s="2" t="inlineStr"/>
    </row>
    <row r="164" ht="15" customHeight="1">
      <c r="A164" t="inlineStr">
        <is>
          <t>A 25780-2023</t>
        </is>
      </c>
      <c r="B164" s="1" t="n">
        <v>45090.47523148148</v>
      </c>
      <c r="C164" s="1" t="n">
        <v>46086</v>
      </c>
      <c r="D164" t="inlineStr">
        <is>
          <t>VÄSTMANLANDS LÄN</t>
        </is>
      </c>
      <c r="E164" t="inlineStr">
        <is>
          <t>SURAHAMMAR</t>
        </is>
      </c>
      <c r="G164" t="n">
        <v>2.8</v>
      </c>
      <c r="H164" t="n">
        <v>0</v>
      </c>
      <c r="I164" t="n">
        <v>0</v>
      </c>
      <c r="J164" t="n">
        <v>0</v>
      </c>
      <c r="K164" t="n">
        <v>0</v>
      </c>
      <c r="L164" t="n">
        <v>0</v>
      </c>
      <c r="M164" t="n">
        <v>0</v>
      </c>
      <c r="N164" t="n">
        <v>0</v>
      </c>
      <c r="O164" t="n">
        <v>0</v>
      </c>
      <c r="P164" t="n">
        <v>0</v>
      </c>
      <c r="Q164" t="n">
        <v>0</v>
      </c>
      <c r="R164" s="2" t="inlineStr"/>
    </row>
    <row r="165" ht="15" customHeight="1">
      <c r="A165" t="inlineStr">
        <is>
          <t>A 13386-2025</t>
        </is>
      </c>
      <c r="B165" s="1" t="n">
        <v>45735</v>
      </c>
      <c r="C165" s="1" t="n">
        <v>46086</v>
      </c>
      <c r="D165" t="inlineStr">
        <is>
          <t>VÄSTMANLANDS LÄN</t>
        </is>
      </c>
      <c r="E165" t="inlineStr">
        <is>
          <t>SURAHAMMAR</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47785-2021</t>
        </is>
      </c>
      <c r="B166" s="1" t="n">
        <v>44448</v>
      </c>
      <c r="C166" s="1" t="n">
        <v>46086</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15739-2023</t>
        </is>
      </c>
      <c r="B167" s="1" t="n">
        <v>45021</v>
      </c>
      <c r="C167" s="1" t="n">
        <v>46086</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c r="A168" t="inlineStr">
        <is>
          <t>A 38154-2021</t>
        </is>
      </c>
      <c r="B168" s="1" t="n">
        <v>44405.42373842592</v>
      </c>
      <c r="C168" s="1" t="n">
        <v>46086</v>
      </c>
      <c r="D168" t="inlineStr">
        <is>
          <t>VÄSTMANLANDS LÄN</t>
        </is>
      </c>
      <c r="E168" t="inlineStr">
        <is>
          <t>SURAHAMMAR</t>
        </is>
      </c>
      <c r="F168" t="inlineStr">
        <is>
          <t>Sveaskog</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2026-03-05T11:19:36Z</dcterms:created>
  <dcterms:modified xmlns:dcterms="http://purl.org/dc/terms/" xmlns:xsi="http://www.w3.org/2001/XMLSchema-instance" xsi:type="dcterms:W3CDTF">2026-03-05T11:19:37Z</dcterms:modified>
</cp:coreProperties>
</file>