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45875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45875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45875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45875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45875</v>
      </c>
      <c r="D6" t="inlineStr">
        <is>
          <t>VÄSTMANLANDS LÄN</t>
        </is>
      </c>
      <c r="E6" t="inlineStr">
        <is>
          <t>SURAHAMMAR</t>
        </is>
      </c>
      <c r="G6" t="n">
        <v>9.300000000000001</v>
      </c>
      <c r="H6" t="n">
        <v>19</v>
      </c>
      <c r="I6" t="n">
        <v>0</v>
      </c>
      <c r="J6" t="n">
        <v>9</v>
      </c>
      <c r="K6" t="n">
        <v>1</v>
      </c>
      <c r="L6" t="n">
        <v>1</v>
      </c>
      <c r="M6" t="n">
        <v>0</v>
      </c>
      <c r="N6" t="n">
        <v>0</v>
      </c>
      <c r="O6" t="n">
        <v>11</v>
      </c>
      <c r="P6" t="n">
        <v>2</v>
      </c>
      <c r="Q6" t="n">
        <v>19</v>
      </c>
      <c r="R6" s="2" t="inlineStr">
        <is>
          <t>Tornseglare
Stare
Björktrast
Buskskvätta
Duvhök
Havsörn
Hornuggla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45875</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45875</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45875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45875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45875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45875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45875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45875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45875</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45875</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45875</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45875</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45875</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45875</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45875</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45875</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45875</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45875</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45875</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45875</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45875</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45875</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45875</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45875</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45875</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45875</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45875</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45875</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45875</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45875</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45875</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45875</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45875</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45875</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45875</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45875</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45875</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45875</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45875</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45875</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45875</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45875</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45875</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45875</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45875</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45875</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45875</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45875</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45875</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45875</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45875</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18948-2019</t>
        </is>
      </c>
      <c r="B58" s="1" t="n">
        <v>43563</v>
      </c>
      <c r="C58" s="1" t="n">
        <v>45875</v>
      </c>
      <c r="D58" t="inlineStr">
        <is>
          <t>VÄSTMANLANDS LÄN</t>
        </is>
      </c>
      <c r="E58" t="inlineStr">
        <is>
          <t>SURAHAMMAR</t>
        </is>
      </c>
      <c r="F58" t="inlineStr">
        <is>
          <t>Övriga Aktiebolag</t>
        </is>
      </c>
      <c r="G58" t="n">
        <v>1.9</v>
      </c>
      <c r="H58" t="n">
        <v>1</v>
      </c>
      <c r="I58" t="n">
        <v>0</v>
      </c>
      <c r="J58" t="n">
        <v>0</v>
      </c>
      <c r="K58" t="n">
        <v>0</v>
      </c>
      <c r="L58" t="n">
        <v>1</v>
      </c>
      <c r="M58" t="n">
        <v>0</v>
      </c>
      <c r="N58" t="n">
        <v>0</v>
      </c>
      <c r="O58" t="n">
        <v>1</v>
      </c>
      <c r="P58" t="n">
        <v>1</v>
      </c>
      <c r="Q58" t="n">
        <v>2</v>
      </c>
      <c r="R58" s="2" t="inlineStr">
        <is>
          <t>Ask
Kopparödla</t>
        </is>
      </c>
      <c r="S58">
        <f>HYPERLINK("https://klasma.github.io/Logging_1907/artfynd/A 18948-2019 artfynd.xlsx", "A 18948-2019")</f>
        <v/>
      </c>
      <c r="T58">
        <f>HYPERLINK("https://klasma.github.io/Logging_1907/kartor/A 18948-2019 karta.png", "A 18948-2019")</f>
        <v/>
      </c>
      <c r="V58">
        <f>HYPERLINK("https://klasma.github.io/Logging_1907/klagomål/A 18948-2019 FSC-klagomål.docx", "A 18948-2019")</f>
        <v/>
      </c>
      <c r="W58">
        <f>HYPERLINK("https://klasma.github.io/Logging_1907/klagomålsmail/A 18948-2019 FSC-klagomål mail.docx", "A 18948-2019")</f>
        <v/>
      </c>
      <c r="X58">
        <f>HYPERLINK("https://klasma.github.io/Logging_1907/tillsyn/A 18948-2019 tillsynsbegäran.docx", "A 18948-2019")</f>
        <v/>
      </c>
      <c r="Y58">
        <f>HYPERLINK("https://klasma.github.io/Logging_1907/tillsynsmail/A 18948-2019 tillsynsbegäran mail.docx", "A 18948-2019")</f>
        <v/>
      </c>
    </row>
    <row r="59" ht="15" customHeight="1">
      <c r="A59" t="inlineStr">
        <is>
          <t>A 39755-2019</t>
        </is>
      </c>
      <c r="B59" s="1" t="n">
        <v>43692</v>
      </c>
      <c r="C59" s="1" t="n">
        <v>45875</v>
      </c>
      <c r="D59" t="inlineStr">
        <is>
          <t>VÄSTMANLANDS LÄN</t>
        </is>
      </c>
      <c r="E59" t="inlineStr">
        <is>
          <t>SURAHAMMAR</t>
        </is>
      </c>
      <c r="F59" t="inlineStr">
        <is>
          <t>Övriga Aktiebolag</t>
        </is>
      </c>
      <c r="G59" t="n">
        <v>11.8</v>
      </c>
      <c r="H59" t="n">
        <v>2</v>
      </c>
      <c r="I59" t="n">
        <v>0</v>
      </c>
      <c r="J59" t="n">
        <v>0</v>
      </c>
      <c r="K59" t="n">
        <v>0</v>
      </c>
      <c r="L59" t="n">
        <v>0</v>
      </c>
      <c r="M59" t="n">
        <v>0</v>
      </c>
      <c r="N59" t="n">
        <v>0</v>
      </c>
      <c r="O59" t="n">
        <v>0</v>
      </c>
      <c r="P59" t="n">
        <v>0</v>
      </c>
      <c r="Q59" t="n">
        <v>2</v>
      </c>
      <c r="R59" s="2" t="inlineStr">
        <is>
          <t>Kopparödla
Mindre vattensalamander</t>
        </is>
      </c>
      <c r="S59">
        <f>HYPERLINK("https://klasma.github.io/Logging_1907/artfynd/A 39755-2019 artfynd.xlsx", "A 39755-2019")</f>
        <v/>
      </c>
      <c r="T59">
        <f>HYPERLINK("https://klasma.github.io/Logging_1907/kartor/A 39755-2019 karta.png", "A 39755-2019")</f>
        <v/>
      </c>
      <c r="V59">
        <f>HYPERLINK("https://klasma.github.io/Logging_1907/klagomål/A 39755-2019 FSC-klagomål.docx", "A 39755-2019")</f>
        <v/>
      </c>
      <c r="W59">
        <f>HYPERLINK("https://klasma.github.io/Logging_1907/klagomålsmail/A 39755-2019 FSC-klagomål mail.docx", "A 39755-2019")</f>
        <v/>
      </c>
      <c r="X59">
        <f>HYPERLINK("https://klasma.github.io/Logging_1907/tillsyn/A 39755-2019 tillsynsbegäran.docx", "A 39755-2019")</f>
        <v/>
      </c>
      <c r="Y59">
        <f>HYPERLINK("https://klasma.github.io/Logging_1907/tillsynsmail/A 39755-2019 tillsynsbegäran mail.docx", "A 39755-2019")</f>
        <v/>
      </c>
    </row>
    <row r="60" ht="15" customHeight="1">
      <c r="A60" t="inlineStr">
        <is>
          <t>A 57412-2020</t>
        </is>
      </c>
      <c r="B60" s="1" t="n">
        <v>44138</v>
      </c>
      <c r="C60" s="1" t="n">
        <v>45875</v>
      </c>
      <c r="D60" t="inlineStr">
        <is>
          <t>VÄSTMANLANDS LÄN</t>
        </is>
      </c>
      <c r="E60" t="inlineStr">
        <is>
          <t>SURAHAMMAR</t>
        </is>
      </c>
      <c r="G60" t="n">
        <v>2.9</v>
      </c>
      <c r="H60" t="n">
        <v>2</v>
      </c>
      <c r="I60" t="n">
        <v>0</v>
      </c>
      <c r="J60" t="n">
        <v>2</v>
      </c>
      <c r="K60" t="n">
        <v>0</v>
      </c>
      <c r="L60" t="n">
        <v>0</v>
      </c>
      <c r="M60" t="n">
        <v>0</v>
      </c>
      <c r="N60" t="n">
        <v>0</v>
      </c>
      <c r="O60" t="n">
        <v>2</v>
      </c>
      <c r="P60" t="n">
        <v>0</v>
      </c>
      <c r="Q60" t="n">
        <v>2</v>
      </c>
      <c r="R60" s="2" t="inlineStr">
        <is>
          <t>Duvhök
Gulsparv</t>
        </is>
      </c>
      <c r="S60">
        <f>HYPERLINK("https://klasma.github.io/Logging_1907/artfynd/A 57412-2020 artfynd.xlsx", "A 57412-2020")</f>
        <v/>
      </c>
      <c r="T60">
        <f>HYPERLINK("https://klasma.github.io/Logging_1907/kartor/A 57412-2020 karta.png", "A 57412-2020")</f>
        <v/>
      </c>
      <c r="V60">
        <f>HYPERLINK("https://klasma.github.io/Logging_1907/klagomål/A 57412-2020 FSC-klagomål.docx", "A 57412-2020")</f>
        <v/>
      </c>
      <c r="W60">
        <f>HYPERLINK("https://klasma.github.io/Logging_1907/klagomålsmail/A 57412-2020 FSC-klagomål mail.docx", "A 57412-2020")</f>
        <v/>
      </c>
      <c r="X60">
        <f>HYPERLINK("https://klasma.github.io/Logging_1907/tillsyn/A 57412-2020 tillsynsbegäran.docx", "A 57412-2020")</f>
        <v/>
      </c>
      <c r="Y60">
        <f>HYPERLINK("https://klasma.github.io/Logging_1907/tillsynsmail/A 57412-2020 tillsynsbegäran mail.docx", "A 57412-2020")</f>
        <v/>
      </c>
      <c r="Z60">
        <f>HYPERLINK("https://klasma.github.io/Logging_1907/fåglar/A 57412-2020 prioriterade fågelarter.docx", "A 57412-2020")</f>
        <v/>
      </c>
    </row>
    <row r="61" ht="15" customHeight="1">
      <c r="A61" t="inlineStr">
        <is>
          <t>A 21825-2021</t>
        </is>
      </c>
      <c r="B61" s="1" t="n">
        <v>44322</v>
      </c>
      <c r="C61" s="1" t="n">
        <v>45875</v>
      </c>
      <c r="D61" t="inlineStr">
        <is>
          <t>VÄSTMANLANDS LÄN</t>
        </is>
      </c>
      <c r="E61" t="inlineStr">
        <is>
          <t>SURAHAMMAR</t>
        </is>
      </c>
      <c r="G61" t="n">
        <v>4.7</v>
      </c>
      <c r="H61" t="n">
        <v>1</v>
      </c>
      <c r="I61" t="n">
        <v>0</v>
      </c>
      <c r="J61" t="n">
        <v>1</v>
      </c>
      <c r="K61" t="n">
        <v>0</v>
      </c>
      <c r="L61" t="n">
        <v>0</v>
      </c>
      <c r="M61" t="n">
        <v>0</v>
      </c>
      <c r="N61" t="n">
        <v>0</v>
      </c>
      <c r="O61" t="n">
        <v>1</v>
      </c>
      <c r="P61" t="n">
        <v>0</v>
      </c>
      <c r="Q61" t="n">
        <v>2</v>
      </c>
      <c r="R61" s="2" t="inlineStr">
        <is>
          <t>Svinrot
Blåsippa</t>
        </is>
      </c>
      <c r="S61">
        <f>HYPERLINK("https://klasma.github.io/Logging_1907/artfynd/A 21825-2021 artfynd.xlsx", "A 21825-2021")</f>
        <v/>
      </c>
      <c r="T61">
        <f>HYPERLINK("https://klasma.github.io/Logging_1907/kartor/A 21825-2021 karta.png", "A 21825-2021")</f>
        <v/>
      </c>
      <c r="V61">
        <f>HYPERLINK("https://klasma.github.io/Logging_1907/klagomål/A 21825-2021 FSC-klagomål.docx", "A 21825-2021")</f>
        <v/>
      </c>
      <c r="W61">
        <f>HYPERLINK("https://klasma.github.io/Logging_1907/klagomålsmail/A 21825-2021 FSC-klagomål mail.docx", "A 21825-2021")</f>
        <v/>
      </c>
      <c r="X61">
        <f>HYPERLINK("https://klasma.github.io/Logging_1907/tillsyn/A 21825-2021 tillsynsbegäran.docx", "A 21825-2021")</f>
        <v/>
      </c>
      <c r="Y61">
        <f>HYPERLINK("https://klasma.github.io/Logging_1907/tillsynsmail/A 21825-2021 tillsynsbegäran mail.docx", "A 21825-2021")</f>
        <v/>
      </c>
    </row>
    <row r="62" ht="15" customHeight="1">
      <c r="A62" t="inlineStr">
        <is>
          <t>A 37801-2021</t>
        </is>
      </c>
      <c r="B62" s="1" t="n">
        <v>44402</v>
      </c>
      <c r="C62" s="1" t="n">
        <v>45875</v>
      </c>
      <c r="D62" t="inlineStr">
        <is>
          <t>VÄSTMANLANDS LÄN</t>
        </is>
      </c>
      <c r="E62" t="inlineStr">
        <is>
          <t>SURAHAMMAR</t>
        </is>
      </c>
      <c r="F62" t="inlineStr">
        <is>
          <t>Kommuner</t>
        </is>
      </c>
      <c r="G62" t="n">
        <v>2.3</v>
      </c>
      <c r="H62" t="n">
        <v>1</v>
      </c>
      <c r="I62" t="n">
        <v>0</v>
      </c>
      <c r="J62" t="n">
        <v>1</v>
      </c>
      <c r="K62" t="n">
        <v>0</v>
      </c>
      <c r="L62" t="n">
        <v>0</v>
      </c>
      <c r="M62" t="n">
        <v>0</v>
      </c>
      <c r="N62" t="n">
        <v>0</v>
      </c>
      <c r="O62" t="n">
        <v>1</v>
      </c>
      <c r="P62" t="n">
        <v>0</v>
      </c>
      <c r="Q62" t="n">
        <v>2</v>
      </c>
      <c r="R62" s="2" t="inlineStr">
        <is>
          <t>Veckticka
Nattviol</t>
        </is>
      </c>
      <c r="S62">
        <f>HYPERLINK("https://klasma.github.io/Logging_1907/artfynd/A 37801-2021 artfynd.xlsx", "A 37801-2021")</f>
        <v/>
      </c>
      <c r="T62">
        <f>HYPERLINK("https://klasma.github.io/Logging_1907/kartor/A 37801-2021 karta.png", "A 37801-2021")</f>
        <v/>
      </c>
      <c r="V62">
        <f>HYPERLINK("https://klasma.github.io/Logging_1907/klagomål/A 37801-2021 FSC-klagomål.docx", "A 37801-2021")</f>
        <v/>
      </c>
      <c r="W62">
        <f>HYPERLINK("https://klasma.github.io/Logging_1907/klagomålsmail/A 37801-2021 FSC-klagomål mail.docx", "A 37801-2021")</f>
        <v/>
      </c>
      <c r="X62">
        <f>HYPERLINK("https://klasma.github.io/Logging_1907/tillsyn/A 37801-2021 tillsynsbegäran.docx", "A 37801-2021")</f>
        <v/>
      </c>
      <c r="Y62">
        <f>HYPERLINK("https://klasma.github.io/Logging_1907/tillsynsmail/A 37801-2021 tillsynsbegäran mail.docx", "A 37801-2021")</f>
        <v/>
      </c>
    </row>
    <row r="63" ht="15" customHeight="1">
      <c r="A63" t="inlineStr">
        <is>
          <t>A 37800-2021</t>
        </is>
      </c>
      <c r="B63" s="1" t="n">
        <v>44402</v>
      </c>
      <c r="C63" s="1" t="n">
        <v>45875</v>
      </c>
      <c r="D63" t="inlineStr">
        <is>
          <t>VÄSTMANLANDS LÄN</t>
        </is>
      </c>
      <c r="E63" t="inlineStr">
        <is>
          <t>SURAHAMMAR</t>
        </is>
      </c>
      <c r="F63" t="inlineStr">
        <is>
          <t>Kommuner</t>
        </is>
      </c>
      <c r="G63" t="n">
        <v>1.3</v>
      </c>
      <c r="H63" t="n">
        <v>1</v>
      </c>
      <c r="I63" t="n">
        <v>0</v>
      </c>
      <c r="J63" t="n">
        <v>1</v>
      </c>
      <c r="K63" t="n">
        <v>0</v>
      </c>
      <c r="L63" t="n">
        <v>0</v>
      </c>
      <c r="M63" t="n">
        <v>0</v>
      </c>
      <c r="N63" t="n">
        <v>0</v>
      </c>
      <c r="O63" t="n">
        <v>1</v>
      </c>
      <c r="P63" t="n">
        <v>0</v>
      </c>
      <c r="Q63" t="n">
        <v>2</v>
      </c>
      <c r="R63" s="2" t="inlineStr">
        <is>
          <t>Svinrot
Grönvit nattviol</t>
        </is>
      </c>
      <c r="S63">
        <f>HYPERLINK("https://klasma.github.io/Logging_1907/artfynd/A 37800-2021 artfynd.xlsx", "A 37800-2021")</f>
        <v/>
      </c>
      <c r="T63">
        <f>HYPERLINK("https://klasma.github.io/Logging_1907/kartor/A 37800-2021 karta.png", "A 37800-2021")</f>
        <v/>
      </c>
      <c r="V63">
        <f>HYPERLINK("https://klasma.github.io/Logging_1907/klagomål/A 37800-2021 FSC-klagomål.docx", "A 37800-2021")</f>
        <v/>
      </c>
      <c r="W63">
        <f>HYPERLINK("https://klasma.github.io/Logging_1907/klagomålsmail/A 37800-2021 FSC-klagomål mail.docx", "A 37800-2021")</f>
        <v/>
      </c>
      <c r="X63">
        <f>HYPERLINK("https://klasma.github.io/Logging_1907/tillsyn/A 37800-2021 tillsynsbegäran.docx", "A 37800-2021")</f>
        <v/>
      </c>
      <c r="Y63">
        <f>HYPERLINK("https://klasma.github.io/Logging_1907/tillsynsmail/A 37800-2021 tillsynsbegäran mail.docx", "A 37800-2021")</f>
        <v/>
      </c>
    </row>
    <row r="64" ht="15" customHeight="1">
      <c r="A64" t="inlineStr">
        <is>
          <t>A 57168-2021</t>
        </is>
      </c>
      <c r="B64" s="1" t="n">
        <v>44482</v>
      </c>
      <c r="C64" s="1" t="n">
        <v>45875</v>
      </c>
      <c r="D64" t="inlineStr">
        <is>
          <t>VÄSTMANLANDS LÄN</t>
        </is>
      </c>
      <c r="E64" t="inlineStr">
        <is>
          <t>SURAHAMMAR</t>
        </is>
      </c>
      <c r="G64" t="n">
        <v>1.7</v>
      </c>
      <c r="H64" t="n">
        <v>0</v>
      </c>
      <c r="I64" t="n">
        <v>0</v>
      </c>
      <c r="J64" t="n">
        <v>1</v>
      </c>
      <c r="K64" t="n">
        <v>0</v>
      </c>
      <c r="L64" t="n">
        <v>1</v>
      </c>
      <c r="M64" t="n">
        <v>0</v>
      </c>
      <c r="N64" t="n">
        <v>0</v>
      </c>
      <c r="O64" t="n">
        <v>2</v>
      </c>
      <c r="P64" t="n">
        <v>1</v>
      </c>
      <c r="Q64" t="n">
        <v>2</v>
      </c>
      <c r="R64" s="2" t="inlineStr">
        <is>
          <t>Ask
Svartöra</t>
        </is>
      </c>
      <c r="S64">
        <f>HYPERLINK("https://klasma.github.io/Logging_1907/artfynd/A 57168-2021 artfynd.xlsx", "A 57168-2021")</f>
        <v/>
      </c>
      <c r="T64">
        <f>HYPERLINK("https://klasma.github.io/Logging_1907/kartor/A 57168-2021 karta.png", "A 57168-2021")</f>
        <v/>
      </c>
      <c r="V64">
        <f>HYPERLINK("https://klasma.github.io/Logging_1907/klagomål/A 57168-2021 FSC-klagomål.docx", "A 57168-2021")</f>
        <v/>
      </c>
      <c r="W64">
        <f>HYPERLINK("https://klasma.github.io/Logging_1907/klagomålsmail/A 57168-2021 FSC-klagomål mail.docx", "A 57168-2021")</f>
        <v/>
      </c>
      <c r="X64">
        <f>HYPERLINK("https://klasma.github.io/Logging_1907/tillsyn/A 57168-2021 tillsynsbegäran.docx", "A 57168-2021")</f>
        <v/>
      </c>
      <c r="Y64">
        <f>HYPERLINK("https://klasma.github.io/Logging_1907/tillsynsmail/A 57168-2021 tillsynsbegäran mail.docx", "A 57168-2021")</f>
        <v/>
      </c>
    </row>
    <row r="65" ht="15" customHeight="1">
      <c r="A65" t="inlineStr">
        <is>
          <t>A 66343-2021</t>
        </is>
      </c>
      <c r="B65" s="1" t="n">
        <v>44518</v>
      </c>
      <c r="C65" s="1" t="n">
        <v>45875</v>
      </c>
      <c r="D65" t="inlineStr">
        <is>
          <t>VÄSTMANLANDS LÄN</t>
        </is>
      </c>
      <c r="E65" t="inlineStr">
        <is>
          <t>SURAHAMMAR</t>
        </is>
      </c>
      <c r="F65" t="inlineStr">
        <is>
          <t>Sveaskog</t>
        </is>
      </c>
      <c r="G65" t="n">
        <v>2.5</v>
      </c>
      <c r="H65" t="n">
        <v>0</v>
      </c>
      <c r="I65" t="n">
        <v>1</v>
      </c>
      <c r="J65" t="n">
        <v>0</v>
      </c>
      <c r="K65" t="n">
        <v>1</v>
      </c>
      <c r="L65" t="n">
        <v>0</v>
      </c>
      <c r="M65" t="n">
        <v>0</v>
      </c>
      <c r="N65" t="n">
        <v>0</v>
      </c>
      <c r="O65" t="n">
        <v>1</v>
      </c>
      <c r="P65" t="n">
        <v>1</v>
      </c>
      <c r="Q65" t="n">
        <v>2</v>
      </c>
      <c r="R65" s="2" t="inlineStr">
        <is>
          <t>Torrmusseron
Blåmossa</t>
        </is>
      </c>
      <c r="S65">
        <f>HYPERLINK("https://klasma.github.io/Logging_1907/artfynd/A 66343-2021 artfynd.xlsx", "A 66343-2021")</f>
        <v/>
      </c>
      <c r="T65">
        <f>HYPERLINK("https://klasma.github.io/Logging_1907/kartor/A 66343-2021 karta.png", "A 66343-2021")</f>
        <v/>
      </c>
      <c r="V65">
        <f>HYPERLINK("https://klasma.github.io/Logging_1907/klagomål/A 66343-2021 FSC-klagomål.docx", "A 66343-2021")</f>
        <v/>
      </c>
      <c r="W65">
        <f>HYPERLINK("https://klasma.github.io/Logging_1907/klagomålsmail/A 66343-2021 FSC-klagomål mail.docx", "A 66343-2021")</f>
        <v/>
      </c>
      <c r="X65">
        <f>HYPERLINK("https://klasma.github.io/Logging_1907/tillsyn/A 66343-2021 tillsynsbegäran.docx", "A 66343-2021")</f>
        <v/>
      </c>
      <c r="Y65">
        <f>HYPERLINK("https://klasma.github.io/Logging_1907/tillsynsmail/A 66343-2021 tillsynsbegäran mail.docx", "A 66343-2021")</f>
        <v/>
      </c>
    </row>
    <row r="66" ht="15" customHeight="1">
      <c r="A66" t="inlineStr">
        <is>
          <t>A 7845-2022</t>
        </is>
      </c>
      <c r="B66" s="1" t="n">
        <v>44608</v>
      </c>
      <c r="C66" s="1" t="n">
        <v>45875</v>
      </c>
      <c r="D66" t="inlineStr">
        <is>
          <t>VÄSTMANLANDS LÄN</t>
        </is>
      </c>
      <c r="E66" t="inlineStr">
        <is>
          <t>SURAHAMMAR</t>
        </is>
      </c>
      <c r="G66" t="n">
        <v>3</v>
      </c>
      <c r="H66" t="n">
        <v>1</v>
      </c>
      <c r="I66" t="n">
        <v>1</v>
      </c>
      <c r="J66" t="n">
        <v>0</v>
      </c>
      <c r="K66" t="n">
        <v>1</v>
      </c>
      <c r="L66" t="n">
        <v>0</v>
      </c>
      <c r="M66" t="n">
        <v>0</v>
      </c>
      <c r="N66" t="n">
        <v>0</v>
      </c>
      <c r="O66" t="n">
        <v>1</v>
      </c>
      <c r="P66" t="n">
        <v>1</v>
      </c>
      <c r="Q66" t="n">
        <v>2</v>
      </c>
      <c r="R66" s="2" t="inlineStr">
        <is>
          <t>Knärot
Vedticka</t>
        </is>
      </c>
      <c r="S66">
        <f>HYPERLINK("https://klasma.github.io/Logging_1907/artfynd/A 7845-2022 artfynd.xlsx", "A 7845-2022")</f>
        <v/>
      </c>
      <c r="T66">
        <f>HYPERLINK("https://klasma.github.io/Logging_1907/kartor/A 7845-2022 karta.png", "A 7845-2022")</f>
        <v/>
      </c>
      <c r="U66">
        <f>HYPERLINK("https://klasma.github.io/Logging_1907/knärot/A 7845-2022 karta knärot.png", "A 7845-2022")</f>
        <v/>
      </c>
      <c r="V66">
        <f>HYPERLINK("https://klasma.github.io/Logging_1907/klagomål/A 7845-2022 FSC-klagomål.docx", "A 7845-2022")</f>
        <v/>
      </c>
      <c r="W66">
        <f>HYPERLINK("https://klasma.github.io/Logging_1907/klagomålsmail/A 7845-2022 FSC-klagomål mail.docx", "A 7845-2022")</f>
        <v/>
      </c>
      <c r="X66">
        <f>HYPERLINK("https://klasma.github.io/Logging_1907/tillsyn/A 7845-2022 tillsynsbegäran.docx", "A 7845-2022")</f>
        <v/>
      </c>
      <c r="Y66">
        <f>HYPERLINK("https://klasma.github.io/Logging_1907/tillsynsmail/A 7845-2022 tillsynsbegäran mail.docx", "A 7845-2022")</f>
        <v/>
      </c>
    </row>
    <row r="67" ht="15" customHeight="1">
      <c r="A67" t="inlineStr">
        <is>
          <t>A 16217-2023</t>
        </is>
      </c>
      <c r="B67" s="1" t="n">
        <v>45022</v>
      </c>
      <c r="C67" s="1" t="n">
        <v>45875</v>
      </c>
      <c r="D67" t="inlineStr">
        <is>
          <t>VÄSTMANLANDS LÄN</t>
        </is>
      </c>
      <c r="E67" t="inlineStr">
        <is>
          <t>SURAHAMMAR</t>
        </is>
      </c>
      <c r="G67" t="n">
        <v>2.6</v>
      </c>
      <c r="H67" t="n">
        <v>1</v>
      </c>
      <c r="I67" t="n">
        <v>1</v>
      </c>
      <c r="J67" t="n">
        <v>1</v>
      </c>
      <c r="K67" t="n">
        <v>0</v>
      </c>
      <c r="L67" t="n">
        <v>0</v>
      </c>
      <c r="M67" t="n">
        <v>0</v>
      </c>
      <c r="N67" t="n">
        <v>0</v>
      </c>
      <c r="O67" t="n">
        <v>1</v>
      </c>
      <c r="P67" t="n">
        <v>0</v>
      </c>
      <c r="Q67" t="n">
        <v>2</v>
      </c>
      <c r="R67" s="2" t="inlineStr">
        <is>
          <t>Tretåig hackspett
Gullgröppa</t>
        </is>
      </c>
      <c r="S67">
        <f>HYPERLINK("https://klasma.github.io/Logging_1907/artfynd/A 16217-2023 artfynd.xlsx", "A 16217-2023")</f>
        <v/>
      </c>
      <c r="T67">
        <f>HYPERLINK("https://klasma.github.io/Logging_1907/kartor/A 16217-2023 karta.png", "A 16217-2023")</f>
        <v/>
      </c>
      <c r="V67">
        <f>HYPERLINK("https://klasma.github.io/Logging_1907/klagomål/A 16217-2023 FSC-klagomål.docx", "A 16217-2023")</f>
        <v/>
      </c>
      <c r="W67">
        <f>HYPERLINK("https://klasma.github.io/Logging_1907/klagomålsmail/A 16217-2023 FSC-klagomål mail.docx", "A 16217-2023")</f>
        <v/>
      </c>
      <c r="X67">
        <f>HYPERLINK("https://klasma.github.io/Logging_1907/tillsyn/A 16217-2023 tillsynsbegäran.docx", "A 16217-2023")</f>
        <v/>
      </c>
      <c r="Y67">
        <f>HYPERLINK("https://klasma.github.io/Logging_1907/tillsynsmail/A 16217-2023 tillsynsbegäran mail.docx", "A 16217-2023")</f>
        <v/>
      </c>
      <c r="Z67">
        <f>HYPERLINK("https://klasma.github.io/Logging_1907/fåglar/A 16217-2023 prioriterade fågelarter.docx", "A 16217-2023")</f>
        <v/>
      </c>
    </row>
    <row r="68" ht="15" customHeight="1">
      <c r="A68" t="inlineStr">
        <is>
          <t>A 41204-2023</t>
        </is>
      </c>
      <c r="B68" s="1" t="n">
        <v>45174</v>
      </c>
      <c r="C68" s="1" t="n">
        <v>45875</v>
      </c>
      <c r="D68" t="inlineStr">
        <is>
          <t>VÄSTMANLANDS LÄN</t>
        </is>
      </c>
      <c r="E68" t="inlineStr">
        <is>
          <t>SURAHAMMAR</t>
        </is>
      </c>
      <c r="G68" t="n">
        <v>1</v>
      </c>
      <c r="H68" t="n">
        <v>1</v>
      </c>
      <c r="I68" t="n">
        <v>0</v>
      </c>
      <c r="J68" t="n">
        <v>1</v>
      </c>
      <c r="K68" t="n">
        <v>1</v>
      </c>
      <c r="L68" t="n">
        <v>0</v>
      </c>
      <c r="M68" t="n">
        <v>0</v>
      </c>
      <c r="N68" t="n">
        <v>0</v>
      </c>
      <c r="O68" t="n">
        <v>2</v>
      </c>
      <c r="P68" t="n">
        <v>1</v>
      </c>
      <c r="Q68" t="n">
        <v>2</v>
      </c>
      <c r="R68" s="2" t="inlineStr">
        <is>
          <t>Knärot
Vedtrappmossa</t>
        </is>
      </c>
      <c r="S68">
        <f>HYPERLINK("https://klasma.github.io/Logging_1907/artfynd/A 41204-2023 artfynd.xlsx", "A 41204-2023")</f>
        <v/>
      </c>
      <c r="T68">
        <f>HYPERLINK("https://klasma.github.io/Logging_1907/kartor/A 41204-2023 karta.png", "A 41204-2023")</f>
        <v/>
      </c>
      <c r="U68">
        <f>HYPERLINK("https://klasma.github.io/Logging_1907/knärot/A 41204-2023 karta knärot.png", "A 41204-2023")</f>
        <v/>
      </c>
      <c r="V68">
        <f>HYPERLINK("https://klasma.github.io/Logging_1907/klagomål/A 41204-2023 FSC-klagomål.docx", "A 41204-2023")</f>
        <v/>
      </c>
      <c r="W68">
        <f>HYPERLINK("https://klasma.github.io/Logging_1907/klagomålsmail/A 41204-2023 FSC-klagomål mail.docx", "A 41204-2023")</f>
        <v/>
      </c>
      <c r="X68">
        <f>HYPERLINK("https://klasma.github.io/Logging_1907/tillsyn/A 41204-2023 tillsynsbegäran.docx", "A 41204-2023")</f>
        <v/>
      </c>
      <c r="Y68">
        <f>HYPERLINK("https://klasma.github.io/Logging_1907/tillsynsmail/A 41204-2023 tillsynsbegäran mail.docx", "A 41204-2023")</f>
        <v/>
      </c>
    </row>
    <row r="69" ht="15" customHeight="1">
      <c r="A69" t="inlineStr">
        <is>
          <t>A 7796-2024</t>
        </is>
      </c>
      <c r="B69" s="1" t="n">
        <v>45348</v>
      </c>
      <c r="C69" s="1" t="n">
        <v>45875</v>
      </c>
      <c r="D69" t="inlineStr">
        <is>
          <t>VÄSTMANLANDS LÄN</t>
        </is>
      </c>
      <c r="E69" t="inlineStr">
        <is>
          <t>SURAHAMMAR</t>
        </is>
      </c>
      <c r="G69" t="n">
        <v>10.5</v>
      </c>
      <c r="H69" t="n">
        <v>1</v>
      </c>
      <c r="I69" t="n">
        <v>1</v>
      </c>
      <c r="J69" t="n">
        <v>1</v>
      </c>
      <c r="K69" t="n">
        <v>0</v>
      </c>
      <c r="L69" t="n">
        <v>0</v>
      </c>
      <c r="M69" t="n">
        <v>0</v>
      </c>
      <c r="N69" t="n">
        <v>0</v>
      </c>
      <c r="O69" t="n">
        <v>1</v>
      </c>
      <c r="P69" t="n">
        <v>0</v>
      </c>
      <c r="Q69" t="n">
        <v>2</v>
      </c>
      <c r="R69" s="2" t="inlineStr">
        <is>
          <t>Ullticka
Plattlummer</t>
        </is>
      </c>
      <c r="S69">
        <f>HYPERLINK("https://klasma.github.io/Logging_1907/artfynd/A 7796-2024 artfynd.xlsx", "A 7796-2024")</f>
        <v/>
      </c>
      <c r="T69">
        <f>HYPERLINK("https://klasma.github.io/Logging_1907/kartor/A 7796-2024 karta.png", "A 7796-2024")</f>
        <v/>
      </c>
      <c r="V69">
        <f>HYPERLINK("https://klasma.github.io/Logging_1907/klagomål/A 7796-2024 FSC-klagomål.docx", "A 7796-2024")</f>
        <v/>
      </c>
      <c r="W69">
        <f>HYPERLINK("https://klasma.github.io/Logging_1907/klagomålsmail/A 7796-2024 FSC-klagomål mail.docx", "A 7796-2024")</f>
        <v/>
      </c>
      <c r="X69">
        <f>HYPERLINK("https://klasma.github.io/Logging_1907/tillsyn/A 7796-2024 tillsynsbegäran.docx", "A 7796-2024")</f>
        <v/>
      </c>
      <c r="Y69">
        <f>HYPERLINK("https://klasma.github.io/Logging_1907/tillsynsmail/A 7796-2024 tillsynsbegäran mail.docx", "A 7796-2024")</f>
        <v/>
      </c>
    </row>
    <row r="70" ht="15" customHeight="1">
      <c r="A70" t="inlineStr">
        <is>
          <t>A 19120-2024</t>
        </is>
      </c>
      <c r="B70" s="1" t="n">
        <v>45428</v>
      </c>
      <c r="C70" s="1" t="n">
        <v>45875</v>
      </c>
      <c r="D70" t="inlineStr">
        <is>
          <t>VÄSTMANLANDS LÄN</t>
        </is>
      </c>
      <c r="E70" t="inlineStr">
        <is>
          <t>SURAHAMMAR</t>
        </is>
      </c>
      <c r="F70" t="inlineStr">
        <is>
          <t>Allmännings- och besparingsskogar</t>
        </is>
      </c>
      <c r="G70" t="n">
        <v>17.5</v>
      </c>
      <c r="H70" t="n">
        <v>0</v>
      </c>
      <c r="I70" t="n">
        <v>1</v>
      </c>
      <c r="J70" t="n">
        <v>1</v>
      </c>
      <c r="K70" t="n">
        <v>0</v>
      </c>
      <c r="L70" t="n">
        <v>0</v>
      </c>
      <c r="M70" t="n">
        <v>0</v>
      </c>
      <c r="N70" t="n">
        <v>0</v>
      </c>
      <c r="O70" t="n">
        <v>1</v>
      </c>
      <c r="P70" t="n">
        <v>0</v>
      </c>
      <c r="Q70" t="n">
        <v>2</v>
      </c>
      <c r="R70" s="2" t="inlineStr">
        <is>
          <t>Tallticka
Vedticka</t>
        </is>
      </c>
      <c r="S70">
        <f>HYPERLINK("https://klasma.github.io/Logging_1907/artfynd/A 19120-2024 artfynd.xlsx", "A 19120-2024")</f>
        <v/>
      </c>
      <c r="T70">
        <f>HYPERLINK("https://klasma.github.io/Logging_1907/kartor/A 19120-2024 karta.png", "A 19120-2024")</f>
        <v/>
      </c>
      <c r="V70">
        <f>HYPERLINK("https://klasma.github.io/Logging_1907/klagomål/A 19120-2024 FSC-klagomål.docx", "A 19120-2024")</f>
        <v/>
      </c>
      <c r="W70">
        <f>HYPERLINK("https://klasma.github.io/Logging_1907/klagomålsmail/A 19120-2024 FSC-klagomål mail.docx", "A 19120-2024")</f>
        <v/>
      </c>
      <c r="X70">
        <f>HYPERLINK("https://klasma.github.io/Logging_1907/tillsyn/A 19120-2024 tillsynsbegäran.docx", "A 19120-2024")</f>
        <v/>
      </c>
      <c r="Y70">
        <f>HYPERLINK("https://klasma.github.io/Logging_1907/tillsynsmail/A 19120-2024 tillsynsbegäran mail.docx", "A 19120-2024")</f>
        <v/>
      </c>
    </row>
    <row r="71" ht="15" customHeight="1">
      <c r="A71" t="inlineStr">
        <is>
          <t>A 20705-2024</t>
        </is>
      </c>
      <c r="B71" s="1" t="n">
        <v>45436</v>
      </c>
      <c r="C71" s="1" t="n">
        <v>45875</v>
      </c>
      <c r="D71" t="inlineStr">
        <is>
          <t>VÄSTMANLANDS LÄN</t>
        </is>
      </c>
      <c r="E71" t="inlineStr">
        <is>
          <t>SURAHAMMAR</t>
        </is>
      </c>
      <c r="F71" t="inlineStr">
        <is>
          <t>Bergvik skog väst AB</t>
        </is>
      </c>
      <c r="G71" t="n">
        <v>4</v>
      </c>
      <c r="H71" t="n">
        <v>0</v>
      </c>
      <c r="I71" t="n">
        <v>1</v>
      </c>
      <c r="J71" t="n">
        <v>1</v>
      </c>
      <c r="K71" t="n">
        <v>0</v>
      </c>
      <c r="L71" t="n">
        <v>0</v>
      </c>
      <c r="M71" t="n">
        <v>0</v>
      </c>
      <c r="N71" t="n">
        <v>0</v>
      </c>
      <c r="O71" t="n">
        <v>1</v>
      </c>
      <c r="P71" t="n">
        <v>0</v>
      </c>
      <c r="Q71" t="n">
        <v>2</v>
      </c>
      <c r="R71" s="2" t="inlineStr">
        <is>
          <t>Kandelabersvamp
Rävticka</t>
        </is>
      </c>
      <c r="S71">
        <f>HYPERLINK("https://klasma.github.io/Logging_1907/artfynd/A 20705-2024 artfynd.xlsx", "A 20705-2024")</f>
        <v/>
      </c>
      <c r="T71">
        <f>HYPERLINK("https://klasma.github.io/Logging_1907/kartor/A 20705-2024 karta.png", "A 20705-2024")</f>
        <v/>
      </c>
      <c r="V71">
        <f>HYPERLINK("https://klasma.github.io/Logging_1907/klagomål/A 20705-2024 FSC-klagomål.docx", "A 20705-2024")</f>
        <v/>
      </c>
      <c r="W71">
        <f>HYPERLINK("https://klasma.github.io/Logging_1907/klagomålsmail/A 20705-2024 FSC-klagomål mail.docx", "A 20705-2024")</f>
        <v/>
      </c>
      <c r="X71">
        <f>HYPERLINK("https://klasma.github.io/Logging_1907/tillsyn/A 20705-2024 tillsynsbegäran.docx", "A 20705-2024")</f>
        <v/>
      </c>
      <c r="Y71">
        <f>HYPERLINK("https://klasma.github.io/Logging_1907/tillsynsmail/A 20705-2024 tillsynsbegäran mail.docx", "A 20705-2024")</f>
        <v/>
      </c>
    </row>
    <row r="72" ht="15" customHeight="1">
      <c r="A72" t="inlineStr">
        <is>
          <t>A 24538-2024</t>
        </is>
      </c>
      <c r="B72" s="1" t="n">
        <v>45460</v>
      </c>
      <c r="C72" s="1" t="n">
        <v>45875</v>
      </c>
      <c r="D72" t="inlineStr">
        <is>
          <t>VÄSTMANLANDS LÄN</t>
        </is>
      </c>
      <c r="E72" t="inlineStr">
        <is>
          <t>SURAHAMMAR</t>
        </is>
      </c>
      <c r="G72" t="n">
        <v>2.5</v>
      </c>
      <c r="H72" t="n">
        <v>1</v>
      </c>
      <c r="I72" t="n">
        <v>1</v>
      </c>
      <c r="J72" t="n">
        <v>0</v>
      </c>
      <c r="K72" t="n">
        <v>1</v>
      </c>
      <c r="L72" t="n">
        <v>0</v>
      </c>
      <c r="M72" t="n">
        <v>0</v>
      </c>
      <c r="N72" t="n">
        <v>0</v>
      </c>
      <c r="O72" t="n">
        <v>1</v>
      </c>
      <c r="P72" t="n">
        <v>1</v>
      </c>
      <c r="Q72" t="n">
        <v>2</v>
      </c>
      <c r="R72" s="2" t="inlineStr">
        <is>
          <t>Knärot
Vedticka</t>
        </is>
      </c>
      <c r="S72">
        <f>HYPERLINK("https://klasma.github.io/Logging_1907/artfynd/A 24538-2024 artfynd.xlsx", "A 24538-2024")</f>
        <v/>
      </c>
      <c r="T72">
        <f>HYPERLINK("https://klasma.github.io/Logging_1907/kartor/A 24538-2024 karta.png", "A 24538-2024")</f>
        <v/>
      </c>
      <c r="U72">
        <f>HYPERLINK("https://klasma.github.io/Logging_1907/knärot/A 24538-2024 karta knärot.png", "A 24538-2024")</f>
        <v/>
      </c>
      <c r="V72">
        <f>HYPERLINK("https://klasma.github.io/Logging_1907/klagomål/A 24538-2024 FSC-klagomål.docx", "A 24538-2024")</f>
        <v/>
      </c>
      <c r="W72">
        <f>HYPERLINK("https://klasma.github.io/Logging_1907/klagomålsmail/A 24538-2024 FSC-klagomål mail.docx", "A 24538-2024")</f>
        <v/>
      </c>
      <c r="X72">
        <f>HYPERLINK("https://klasma.github.io/Logging_1907/tillsyn/A 24538-2024 tillsynsbegäran.docx", "A 24538-2024")</f>
        <v/>
      </c>
      <c r="Y72">
        <f>HYPERLINK("https://klasma.github.io/Logging_1907/tillsynsmail/A 24538-2024 tillsynsbegäran mail.docx", "A 24538-2024")</f>
        <v/>
      </c>
    </row>
    <row r="73" ht="15" customHeight="1">
      <c r="A73" t="inlineStr">
        <is>
          <t>A 4082-2025</t>
        </is>
      </c>
      <c r="B73" s="1" t="n">
        <v>45684</v>
      </c>
      <c r="C73" s="1" t="n">
        <v>45875</v>
      </c>
      <c r="D73" t="inlineStr">
        <is>
          <t>VÄSTMANLANDS LÄN</t>
        </is>
      </c>
      <c r="E73" t="inlineStr">
        <is>
          <t>SURAHAMMAR</t>
        </is>
      </c>
      <c r="F73" t="inlineStr">
        <is>
          <t>Bergvik skog väst AB</t>
        </is>
      </c>
      <c r="G73" t="n">
        <v>11.6</v>
      </c>
      <c r="H73" t="n">
        <v>1</v>
      </c>
      <c r="I73" t="n">
        <v>2</v>
      </c>
      <c r="J73" t="n">
        <v>0</v>
      </c>
      <c r="K73" t="n">
        <v>0</v>
      </c>
      <c r="L73" t="n">
        <v>0</v>
      </c>
      <c r="M73" t="n">
        <v>0</v>
      </c>
      <c r="N73" t="n">
        <v>0</v>
      </c>
      <c r="O73" t="n">
        <v>0</v>
      </c>
      <c r="P73" t="n">
        <v>0</v>
      </c>
      <c r="Q73" t="n">
        <v>2</v>
      </c>
      <c r="R73" s="2" t="inlineStr">
        <is>
          <t>Grönpyrola
Plattlummer</t>
        </is>
      </c>
      <c r="S73">
        <f>HYPERLINK("https://klasma.github.io/Logging_1907/artfynd/A 4082-2025 artfynd.xlsx", "A 4082-2025")</f>
        <v/>
      </c>
      <c r="T73">
        <f>HYPERLINK("https://klasma.github.io/Logging_1907/kartor/A 4082-2025 karta.png", "A 4082-2025")</f>
        <v/>
      </c>
      <c r="V73">
        <f>HYPERLINK("https://klasma.github.io/Logging_1907/klagomål/A 4082-2025 FSC-klagomål.docx", "A 4082-2025")</f>
        <v/>
      </c>
      <c r="W73">
        <f>HYPERLINK("https://klasma.github.io/Logging_1907/klagomålsmail/A 4082-2025 FSC-klagomål mail.docx", "A 4082-2025")</f>
        <v/>
      </c>
      <c r="X73">
        <f>HYPERLINK("https://klasma.github.io/Logging_1907/tillsyn/A 4082-2025 tillsynsbegäran.docx", "A 4082-2025")</f>
        <v/>
      </c>
      <c r="Y73">
        <f>HYPERLINK("https://klasma.github.io/Logging_1907/tillsynsmail/A 4082-2025 tillsynsbegäran mail.docx", "A 4082-2025")</f>
        <v/>
      </c>
    </row>
    <row r="74" ht="15" customHeight="1">
      <c r="A74" t="inlineStr">
        <is>
          <t>A 21618-2025</t>
        </is>
      </c>
      <c r="B74" s="1" t="n">
        <v>45783</v>
      </c>
      <c r="C74" s="1" t="n">
        <v>45875</v>
      </c>
      <c r="D74" t="inlineStr">
        <is>
          <t>VÄSTMANLANDS LÄN</t>
        </is>
      </c>
      <c r="E74" t="inlineStr">
        <is>
          <t>SURAHAMMAR</t>
        </is>
      </c>
      <c r="F74" t="inlineStr">
        <is>
          <t>Bergvik skog väst AB</t>
        </is>
      </c>
      <c r="G74" t="n">
        <v>1.1</v>
      </c>
      <c r="H74" t="n">
        <v>2</v>
      </c>
      <c r="I74" t="n">
        <v>1</v>
      </c>
      <c r="J74" t="n">
        <v>0</v>
      </c>
      <c r="K74" t="n">
        <v>0</v>
      </c>
      <c r="L74" t="n">
        <v>0</v>
      </c>
      <c r="M74" t="n">
        <v>0</v>
      </c>
      <c r="N74" t="n">
        <v>0</v>
      </c>
      <c r="O74" t="n">
        <v>0</v>
      </c>
      <c r="P74" t="n">
        <v>0</v>
      </c>
      <c r="Q74" t="n">
        <v>2</v>
      </c>
      <c r="R74" s="2" t="inlineStr">
        <is>
          <t>Plattlummer
Mattlummer</t>
        </is>
      </c>
      <c r="S74">
        <f>HYPERLINK("https://klasma.github.io/Logging_191907/artfynd/A 21618-2025 artfynd.xlsx", "A 21618-2025")</f>
        <v/>
      </c>
      <c r="T74">
        <f>HYPERLINK("https://klasma.github.io/Logging_191907/kartor/A 21618-2025 karta.png", "A 21618-2025")</f>
        <v/>
      </c>
      <c r="V74">
        <f>HYPERLINK("https://klasma.github.io/Logging_191907/klagomål/A 21618-2025 FSC-klagomål.docx", "A 21618-2025")</f>
        <v/>
      </c>
      <c r="W74">
        <f>HYPERLINK("https://klasma.github.io/Logging_191907/klagomålsmail/A 21618-2025 FSC-klagomål mail.docx", "A 21618-2025")</f>
        <v/>
      </c>
      <c r="X74">
        <f>HYPERLINK("https://klasma.github.io/Logging_191907/tillsyn/A 21618-2025 tillsynsbegäran.docx", "A 21618-2025")</f>
        <v/>
      </c>
      <c r="Y74">
        <f>HYPERLINK("https://klasma.github.io/Logging_191907/tillsynsmail/A 21618-2025 tillsynsbegäran mail.docx", "A 21618-2025")</f>
        <v/>
      </c>
    </row>
    <row r="75" ht="15" customHeight="1">
      <c r="A75" t="inlineStr">
        <is>
          <t>A 28276-2019</t>
        </is>
      </c>
      <c r="B75" s="1" t="n">
        <v>43623</v>
      </c>
      <c r="C75" s="1" t="n">
        <v>45875</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45875</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45875</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45875</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45875</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45875</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45875</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45875</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45875</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45875</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45875</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45875</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45875</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45875</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45875</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45875</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45875</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45875</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45875</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45875</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23731-2023</t>
        </is>
      </c>
      <c r="B95" s="1" t="n">
        <v>45077</v>
      </c>
      <c r="C95" s="1" t="n">
        <v>45875</v>
      </c>
      <c r="D95" t="inlineStr">
        <is>
          <t>VÄSTMANLANDS LÄN</t>
        </is>
      </c>
      <c r="E95" t="inlineStr">
        <is>
          <t>SURAHAMMAR</t>
        </is>
      </c>
      <c r="F95" t="inlineStr">
        <is>
          <t>Sveaskog</t>
        </is>
      </c>
      <c r="G95" t="n">
        <v>1.3</v>
      </c>
      <c r="H95" t="n">
        <v>0</v>
      </c>
      <c r="I95" t="n">
        <v>0</v>
      </c>
      <c r="J95" t="n">
        <v>1</v>
      </c>
      <c r="K95" t="n">
        <v>0</v>
      </c>
      <c r="L95" t="n">
        <v>0</v>
      </c>
      <c r="M95" t="n">
        <v>0</v>
      </c>
      <c r="N95" t="n">
        <v>0</v>
      </c>
      <c r="O95" t="n">
        <v>1</v>
      </c>
      <c r="P95" t="n">
        <v>0</v>
      </c>
      <c r="Q95" t="n">
        <v>1</v>
      </c>
      <c r="R95" s="2" t="inlineStr">
        <is>
          <t>Krusfrö</t>
        </is>
      </c>
      <c r="S95">
        <f>HYPERLINK("https://klasma.github.io/Logging_1907/artfynd/A 23731-2023 artfynd.xlsx", "A 23731-2023")</f>
        <v/>
      </c>
      <c r="T95">
        <f>HYPERLINK("https://klasma.github.io/Logging_1907/kartor/A 23731-2023 karta.png", "A 23731-2023")</f>
        <v/>
      </c>
      <c r="V95">
        <f>HYPERLINK("https://klasma.github.io/Logging_1907/klagomål/A 23731-2023 FSC-klagomål.docx", "A 23731-2023")</f>
        <v/>
      </c>
      <c r="W95">
        <f>HYPERLINK("https://klasma.github.io/Logging_1907/klagomålsmail/A 23731-2023 FSC-klagomål mail.docx", "A 23731-2023")</f>
        <v/>
      </c>
      <c r="X95">
        <f>HYPERLINK("https://klasma.github.io/Logging_1907/tillsyn/A 23731-2023 tillsynsbegäran.docx", "A 23731-2023")</f>
        <v/>
      </c>
      <c r="Y95">
        <f>HYPERLINK("https://klasma.github.io/Logging_1907/tillsynsmail/A 23731-2023 tillsynsbegäran mail.docx", "A 23731-2023")</f>
        <v/>
      </c>
    </row>
    <row r="96" ht="15" customHeight="1">
      <c r="A96" t="inlineStr">
        <is>
          <t>A 24920-2023</t>
        </is>
      </c>
      <c r="B96" s="1" t="n">
        <v>45085</v>
      </c>
      <c r="C96" s="1" t="n">
        <v>45875</v>
      </c>
      <c r="D96" t="inlineStr">
        <is>
          <t>VÄSTMANLANDS LÄN</t>
        </is>
      </c>
      <c r="E96" t="inlineStr">
        <is>
          <t>SURAHAMMAR</t>
        </is>
      </c>
      <c r="F96" t="inlineStr">
        <is>
          <t>Allmännings- och besparingsskogar</t>
        </is>
      </c>
      <c r="G96" t="n">
        <v>16.2</v>
      </c>
      <c r="H96" t="n">
        <v>1</v>
      </c>
      <c r="I96" t="n">
        <v>0</v>
      </c>
      <c r="J96" t="n">
        <v>1</v>
      </c>
      <c r="K96" t="n">
        <v>0</v>
      </c>
      <c r="L96" t="n">
        <v>0</v>
      </c>
      <c r="M96" t="n">
        <v>0</v>
      </c>
      <c r="N96" t="n">
        <v>0</v>
      </c>
      <c r="O96" t="n">
        <v>1</v>
      </c>
      <c r="P96" t="n">
        <v>0</v>
      </c>
      <c r="Q96" t="n">
        <v>1</v>
      </c>
      <c r="R96" s="2" t="inlineStr">
        <is>
          <t>Talltita</t>
        </is>
      </c>
      <c r="S96">
        <f>HYPERLINK("https://klasma.github.io/Logging_1907/artfynd/A 24920-2023 artfynd.xlsx", "A 24920-2023")</f>
        <v/>
      </c>
      <c r="T96">
        <f>HYPERLINK("https://klasma.github.io/Logging_1907/kartor/A 24920-2023 karta.png", "A 24920-2023")</f>
        <v/>
      </c>
      <c r="V96">
        <f>HYPERLINK("https://klasma.github.io/Logging_1907/klagomål/A 24920-2023 FSC-klagomål.docx", "A 24920-2023")</f>
        <v/>
      </c>
      <c r="W96">
        <f>HYPERLINK("https://klasma.github.io/Logging_1907/klagomålsmail/A 24920-2023 FSC-klagomål mail.docx", "A 24920-2023")</f>
        <v/>
      </c>
      <c r="X96">
        <f>HYPERLINK("https://klasma.github.io/Logging_1907/tillsyn/A 24920-2023 tillsynsbegäran.docx", "A 24920-2023")</f>
        <v/>
      </c>
      <c r="Y96">
        <f>HYPERLINK("https://klasma.github.io/Logging_1907/tillsynsmail/A 24920-2023 tillsynsbegäran mail.docx", "A 24920-2023")</f>
        <v/>
      </c>
      <c r="Z96">
        <f>HYPERLINK("https://klasma.github.io/Logging_1907/fåglar/A 24920-2023 prioriterade fågelarter.docx", "A 24920-2023")</f>
        <v/>
      </c>
    </row>
    <row r="97" ht="15" customHeight="1">
      <c r="A97" t="inlineStr">
        <is>
          <t>A 27170-2023</t>
        </is>
      </c>
      <c r="B97" s="1" t="n">
        <v>45096</v>
      </c>
      <c r="C97" s="1" t="n">
        <v>45875</v>
      </c>
      <c r="D97" t="inlineStr">
        <is>
          <t>VÄSTMANLANDS LÄN</t>
        </is>
      </c>
      <c r="E97" t="inlineStr">
        <is>
          <t>SURAHAMMAR</t>
        </is>
      </c>
      <c r="F97" t="inlineStr">
        <is>
          <t>Sveaskog</t>
        </is>
      </c>
      <c r="G97" t="n">
        <v>11.3</v>
      </c>
      <c r="H97" t="n">
        <v>0</v>
      </c>
      <c r="I97" t="n">
        <v>1</v>
      </c>
      <c r="J97" t="n">
        <v>0</v>
      </c>
      <c r="K97" t="n">
        <v>0</v>
      </c>
      <c r="L97" t="n">
        <v>0</v>
      </c>
      <c r="M97" t="n">
        <v>0</v>
      </c>
      <c r="N97" t="n">
        <v>0</v>
      </c>
      <c r="O97" t="n">
        <v>0</v>
      </c>
      <c r="P97" t="n">
        <v>0</v>
      </c>
      <c r="Q97" t="n">
        <v>1</v>
      </c>
      <c r="R97" s="2" t="inlineStr">
        <is>
          <t>Vedticka</t>
        </is>
      </c>
      <c r="S97">
        <f>HYPERLINK("https://klasma.github.io/Logging_1907/artfynd/A 27170-2023 artfynd.xlsx", "A 27170-2023")</f>
        <v/>
      </c>
      <c r="T97">
        <f>HYPERLINK("https://klasma.github.io/Logging_1907/kartor/A 27170-2023 karta.png", "A 27170-2023")</f>
        <v/>
      </c>
      <c r="V97">
        <f>HYPERLINK("https://klasma.github.io/Logging_1907/klagomål/A 27170-2023 FSC-klagomål.docx", "A 27170-2023")</f>
        <v/>
      </c>
      <c r="W97">
        <f>HYPERLINK("https://klasma.github.io/Logging_1907/klagomålsmail/A 27170-2023 FSC-klagomål mail.docx", "A 27170-2023")</f>
        <v/>
      </c>
      <c r="X97">
        <f>HYPERLINK("https://klasma.github.io/Logging_1907/tillsyn/A 27170-2023 tillsynsbegäran.docx", "A 27170-2023")</f>
        <v/>
      </c>
      <c r="Y97">
        <f>HYPERLINK("https://klasma.github.io/Logging_1907/tillsynsmail/A 27170-2023 tillsynsbegäran mail.docx", "A 27170-2023")</f>
        <v/>
      </c>
    </row>
    <row r="98" ht="15" customHeight="1">
      <c r="A98" t="inlineStr">
        <is>
          <t>A 30074-2023</t>
        </is>
      </c>
      <c r="B98" s="1" t="n">
        <v>45110</v>
      </c>
      <c r="C98" s="1" t="n">
        <v>45875</v>
      </c>
      <c r="D98" t="inlineStr">
        <is>
          <t>VÄSTMANLANDS LÄN</t>
        </is>
      </c>
      <c r="E98" t="inlineStr">
        <is>
          <t>SURAHAMMAR</t>
        </is>
      </c>
      <c r="F98" t="inlineStr">
        <is>
          <t>Sveaskog</t>
        </is>
      </c>
      <c r="G98" t="n">
        <v>1.1</v>
      </c>
      <c r="H98" t="n">
        <v>1</v>
      </c>
      <c r="I98" t="n">
        <v>0</v>
      </c>
      <c r="J98" t="n">
        <v>0</v>
      </c>
      <c r="K98" t="n">
        <v>0</v>
      </c>
      <c r="L98" t="n">
        <v>0</v>
      </c>
      <c r="M98" t="n">
        <v>0</v>
      </c>
      <c r="N98" t="n">
        <v>0</v>
      </c>
      <c r="O98" t="n">
        <v>0</v>
      </c>
      <c r="P98" t="n">
        <v>0</v>
      </c>
      <c r="Q98" t="n">
        <v>1</v>
      </c>
      <c r="R98" s="2" t="inlineStr">
        <is>
          <t>Revlummer</t>
        </is>
      </c>
      <c r="S98">
        <f>HYPERLINK("https://klasma.github.io/Logging_1907/artfynd/A 30074-2023 artfynd.xlsx", "A 30074-2023")</f>
        <v/>
      </c>
      <c r="T98">
        <f>HYPERLINK("https://klasma.github.io/Logging_1907/kartor/A 30074-2023 karta.png", "A 30074-2023")</f>
        <v/>
      </c>
      <c r="V98">
        <f>HYPERLINK("https://klasma.github.io/Logging_1907/klagomål/A 30074-2023 FSC-klagomål.docx", "A 30074-2023")</f>
        <v/>
      </c>
      <c r="W98">
        <f>HYPERLINK("https://klasma.github.io/Logging_1907/klagomålsmail/A 30074-2023 FSC-klagomål mail.docx", "A 30074-2023")</f>
        <v/>
      </c>
      <c r="X98">
        <f>HYPERLINK("https://klasma.github.io/Logging_1907/tillsyn/A 30074-2023 tillsynsbegäran.docx", "A 30074-2023")</f>
        <v/>
      </c>
      <c r="Y98">
        <f>HYPERLINK("https://klasma.github.io/Logging_1907/tillsynsmail/A 30074-2023 tillsynsbegäran mail.docx", "A 30074-2023")</f>
        <v/>
      </c>
    </row>
    <row r="99" ht="15" customHeight="1">
      <c r="A99" t="inlineStr">
        <is>
          <t>A 30073-2023</t>
        </is>
      </c>
      <c r="B99" s="1" t="n">
        <v>45110</v>
      </c>
      <c r="C99" s="1" t="n">
        <v>45875</v>
      </c>
      <c r="D99" t="inlineStr">
        <is>
          <t>VÄSTMANLANDS LÄN</t>
        </is>
      </c>
      <c r="E99" t="inlineStr">
        <is>
          <t>SURAHAMMAR</t>
        </is>
      </c>
      <c r="F99" t="inlineStr">
        <is>
          <t>Sveaskog</t>
        </is>
      </c>
      <c r="G99" t="n">
        <v>4.7</v>
      </c>
      <c r="H99" t="n">
        <v>0</v>
      </c>
      <c r="I99" t="n">
        <v>1</v>
      </c>
      <c r="J99" t="n">
        <v>0</v>
      </c>
      <c r="K99" t="n">
        <v>0</v>
      </c>
      <c r="L99" t="n">
        <v>0</v>
      </c>
      <c r="M99" t="n">
        <v>0</v>
      </c>
      <c r="N99" t="n">
        <v>0</v>
      </c>
      <c r="O99" t="n">
        <v>0</v>
      </c>
      <c r="P99" t="n">
        <v>0</v>
      </c>
      <c r="Q99" t="n">
        <v>1</v>
      </c>
      <c r="R99" s="2" t="inlineStr">
        <is>
          <t>Grönpyrola</t>
        </is>
      </c>
      <c r="S99">
        <f>HYPERLINK("https://klasma.github.io/Logging_1907/artfynd/A 30073-2023 artfynd.xlsx", "A 30073-2023")</f>
        <v/>
      </c>
      <c r="T99">
        <f>HYPERLINK("https://klasma.github.io/Logging_1907/kartor/A 30073-2023 karta.png", "A 30073-2023")</f>
        <v/>
      </c>
      <c r="V99">
        <f>HYPERLINK("https://klasma.github.io/Logging_1907/klagomål/A 30073-2023 FSC-klagomål.docx", "A 30073-2023")</f>
        <v/>
      </c>
      <c r="W99">
        <f>HYPERLINK("https://klasma.github.io/Logging_1907/klagomålsmail/A 30073-2023 FSC-klagomål mail.docx", "A 30073-2023")</f>
        <v/>
      </c>
      <c r="X99">
        <f>HYPERLINK("https://klasma.github.io/Logging_1907/tillsyn/A 30073-2023 tillsynsbegäran.docx", "A 30073-2023")</f>
        <v/>
      </c>
      <c r="Y99">
        <f>HYPERLINK("https://klasma.github.io/Logging_1907/tillsynsmail/A 30073-2023 tillsynsbegäran mail.docx", "A 30073-2023")</f>
        <v/>
      </c>
    </row>
    <row r="100" ht="15" customHeight="1">
      <c r="A100" t="inlineStr">
        <is>
          <t>A 37277-2023</t>
        </is>
      </c>
      <c r="B100" s="1" t="n">
        <v>45156</v>
      </c>
      <c r="C100" s="1" t="n">
        <v>45875</v>
      </c>
      <c r="D100" t="inlineStr">
        <is>
          <t>VÄSTMANLANDS LÄN</t>
        </is>
      </c>
      <c r="E100" t="inlineStr">
        <is>
          <t>SURAHAMMAR</t>
        </is>
      </c>
      <c r="G100" t="n">
        <v>4.3</v>
      </c>
      <c r="H100" t="n">
        <v>1</v>
      </c>
      <c r="I100" t="n">
        <v>0</v>
      </c>
      <c r="J100" t="n">
        <v>0</v>
      </c>
      <c r="K100" t="n">
        <v>1</v>
      </c>
      <c r="L100" t="n">
        <v>0</v>
      </c>
      <c r="M100" t="n">
        <v>0</v>
      </c>
      <c r="N100" t="n">
        <v>0</v>
      </c>
      <c r="O100" t="n">
        <v>1</v>
      </c>
      <c r="P100" t="n">
        <v>1</v>
      </c>
      <c r="Q100" t="n">
        <v>1</v>
      </c>
      <c r="R100" s="2" t="inlineStr">
        <is>
          <t>Bombmurkla</t>
        </is>
      </c>
      <c r="S100">
        <f>HYPERLINK("https://klasma.github.io/Logging_1907/artfynd/A 37277-2023 artfynd.xlsx", "A 37277-2023")</f>
        <v/>
      </c>
      <c r="T100">
        <f>HYPERLINK("https://klasma.github.io/Logging_1907/kartor/A 37277-2023 karta.png", "A 37277-2023")</f>
        <v/>
      </c>
      <c r="V100">
        <f>HYPERLINK("https://klasma.github.io/Logging_1907/klagomål/A 37277-2023 FSC-klagomål.docx", "A 37277-2023")</f>
        <v/>
      </c>
      <c r="W100">
        <f>HYPERLINK("https://klasma.github.io/Logging_1907/klagomålsmail/A 37277-2023 FSC-klagomål mail.docx", "A 37277-2023")</f>
        <v/>
      </c>
      <c r="X100">
        <f>HYPERLINK("https://klasma.github.io/Logging_1907/tillsyn/A 37277-2023 tillsynsbegäran.docx", "A 37277-2023")</f>
        <v/>
      </c>
      <c r="Y100">
        <f>HYPERLINK("https://klasma.github.io/Logging_1907/tillsynsmail/A 37277-2023 tillsynsbegäran mail.docx", "A 37277-2023")</f>
        <v/>
      </c>
    </row>
    <row r="101" ht="15" customHeight="1">
      <c r="A101" t="inlineStr">
        <is>
          <t>A 41622-2023</t>
        </is>
      </c>
      <c r="B101" s="1" t="n">
        <v>45175</v>
      </c>
      <c r="C101" s="1" t="n">
        <v>45875</v>
      </c>
      <c r="D101" t="inlineStr">
        <is>
          <t>VÄSTMANLANDS LÄN</t>
        </is>
      </c>
      <c r="E101" t="inlineStr">
        <is>
          <t>SURAHAMMAR</t>
        </is>
      </c>
      <c r="G101" t="n">
        <v>0.6</v>
      </c>
      <c r="H101" t="n">
        <v>1</v>
      </c>
      <c r="I101" t="n">
        <v>0</v>
      </c>
      <c r="J101" t="n">
        <v>0</v>
      </c>
      <c r="K101" t="n">
        <v>1</v>
      </c>
      <c r="L101" t="n">
        <v>0</v>
      </c>
      <c r="M101" t="n">
        <v>0</v>
      </c>
      <c r="N101" t="n">
        <v>0</v>
      </c>
      <c r="O101" t="n">
        <v>1</v>
      </c>
      <c r="P101" t="n">
        <v>1</v>
      </c>
      <c r="Q101" t="n">
        <v>1</v>
      </c>
      <c r="R101" s="2" t="inlineStr">
        <is>
          <t>Knärot</t>
        </is>
      </c>
      <c r="S101">
        <f>HYPERLINK("https://klasma.github.io/Logging_1907/artfynd/A 41622-2023 artfynd.xlsx", "A 41622-2023")</f>
        <v/>
      </c>
      <c r="T101">
        <f>HYPERLINK("https://klasma.github.io/Logging_1907/kartor/A 41622-2023 karta.png", "A 41622-2023")</f>
        <v/>
      </c>
      <c r="U101">
        <f>HYPERLINK("https://klasma.github.io/Logging_1907/knärot/A 41622-2023 karta knärot.png", "A 41622-2023")</f>
        <v/>
      </c>
      <c r="V101">
        <f>HYPERLINK("https://klasma.github.io/Logging_1907/klagomål/A 41622-2023 FSC-klagomål.docx", "A 41622-2023")</f>
        <v/>
      </c>
      <c r="W101">
        <f>HYPERLINK("https://klasma.github.io/Logging_1907/klagomålsmail/A 41622-2023 FSC-klagomål mail.docx", "A 41622-2023")</f>
        <v/>
      </c>
      <c r="X101">
        <f>HYPERLINK("https://klasma.github.io/Logging_1907/tillsyn/A 41622-2023 tillsynsbegäran.docx", "A 41622-2023")</f>
        <v/>
      </c>
      <c r="Y101">
        <f>HYPERLINK("https://klasma.github.io/Logging_1907/tillsynsmail/A 41622-2023 tillsynsbegäran mail.docx", "A 41622-2023")</f>
        <v/>
      </c>
    </row>
    <row r="102" ht="15" customHeight="1">
      <c r="A102" t="inlineStr">
        <is>
          <t>A 56362-2023</t>
        </is>
      </c>
      <c r="B102" s="1" t="n">
        <v>45236</v>
      </c>
      <c r="C102" s="1" t="n">
        <v>45875</v>
      </c>
      <c r="D102" t="inlineStr">
        <is>
          <t>VÄSTMANLANDS LÄN</t>
        </is>
      </c>
      <c r="E102" t="inlineStr">
        <is>
          <t>SURAHAMMAR</t>
        </is>
      </c>
      <c r="F102" t="inlineStr">
        <is>
          <t>Bergvik skog väst AB</t>
        </is>
      </c>
      <c r="G102" t="n">
        <v>15.2</v>
      </c>
      <c r="H102" t="n">
        <v>0</v>
      </c>
      <c r="I102" t="n">
        <v>1</v>
      </c>
      <c r="J102" t="n">
        <v>0</v>
      </c>
      <c r="K102" t="n">
        <v>0</v>
      </c>
      <c r="L102" t="n">
        <v>0</v>
      </c>
      <c r="M102" t="n">
        <v>0</v>
      </c>
      <c r="N102" t="n">
        <v>0</v>
      </c>
      <c r="O102" t="n">
        <v>0</v>
      </c>
      <c r="P102" t="n">
        <v>0</v>
      </c>
      <c r="Q102" t="n">
        <v>1</v>
      </c>
      <c r="R102" s="2" t="inlineStr">
        <is>
          <t>Grönpyrola</t>
        </is>
      </c>
      <c r="S102">
        <f>HYPERLINK("https://klasma.github.io/Logging_1907/artfynd/A 56362-2023 artfynd.xlsx", "A 56362-2023")</f>
        <v/>
      </c>
      <c r="T102">
        <f>HYPERLINK("https://klasma.github.io/Logging_1907/kartor/A 56362-2023 karta.png", "A 56362-2023")</f>
        <v/>
      </c>
      <c r="V102">
        <f>HYPERLINK("https://klasma.github.io/Logging_1907/klagomål/A 56362-2023 FSC-klagomål.docx", "A 56362-2023")</f>
        <v/>
      </c>
      <c r="W102">
        <f>HYPERLINK("https://klasma.github.io/Logging_1907/klagomålsmail/A 56362-2023 FSC-klagomål mail.docx", "A 56362-2023")</f>
        <v/>
      </c>
      <c r="X102">
        <f>HYPERLINK("https://klasma.github.io/Logging_1907/tillsyn/A 56362-2023 tillsynsbegäran.docx", "A 56362-2023")</f>
        <v/>
      </c>
      <c r="Y102">
        <f>HYPERLINK("https://klasma.github.io/Logging_1907/tillsynsmail/A 56362-2023 tillsynsbegäran mail.docx", "A 56362-2023")</f>
        <v/>
      </c>
    </row>
    <row r="103" ht="15" customHeight="1">
      <c r="A103" t="inlineStr">
        <is>
          <t>A 3649-2024</t>
        </is>
      </c>
      <c r="B103" s="1" t="n">
        <v>45321</v>
      </c>
      <c r="C103" s="1" t="n">
        <v>45875</v>
      </c>
      <c r="D103" t="inlineStr">
        <is>
          <t>VÄSTMANLANDS LÄN</t>
        </is>
      </c>
      <c r="E103" t="inlineStr">
        <is>
          <t>SURAHAMMAR</t>
        </is>
      </c>
      <c r="F103" t="inlineStr">
        <is>
          <t>Övriga Aktiebolag</t>
        </is>
      </c>
      <c r="G103" t="n">
        <v>9.300000000000001</v>
      </c>
      <c r="H103" t="n">
        <v>1</v>
      </c>
      <c r="I103" t="n">
        <v>0</v>
      </c>
      <c r="J103" t="n">
        <v>0</v>
      </c>
      <c r="K103" t="n">
        <v>1</v>
      </c>
      <c r="L103" t="n">
        <v>0</v>
      </c>
      <c r="M103" t="n">
        <v>0</v>
      </c>
      <c r="N103" t="n">
        <v>0</v>
      </c>
      <c r="O103" t="n">
        <v>1</v>
      </c>
      <c r="P103" t="n">
        <v>1</v>
      </c>
      <c r="Q103" t="n">
        <v>1</v>
      </c>
      <c r="R103" s="2" t="inlineStr">
        <is>
          <t>Väddnätfjäril</t>
        </is>
      </c>
      <c r="S103">
        <f>HYPERLINK("https://klasma.github.io/Logging_1907/artfynd/A 3649-2024 artfynd.xlsx", "A 3649-2024")</f>
        <v/>
      </c>
      <c r="T103">
        <f>HYPERLINK("https://klasma.github.io/Logging_1907/kartor/A 3649-2024 karta.png", "A 3649-2024")</f>
        <v/>
      </c>
      <c r="V103">
        <f>HYPERLINK("https://klasma.github.io/Logging_1907/klagomål/A 3649-2024 FSC-klagomål.docx", "A 3649-2024")</f>
        <v/>
      </c>
      <c r="W103">
        <f>HYPERLINK("https://klasma.github.io/Logging_1907/klagomålsmail/A 3649-2024 FSC-klagomål mail.docx", "A 3649-2024")</f>
        <v/>
      </c>
      <c r="X103">
        <f>HYPERLINK("https://klasma.github.io/Logging_1907/tillsyn/A 3649-2024 tillsynsbegäran.docx", "A 3649-2024")</f>
        <v/>
      </c>
      <c r="Y103">
        <f>HYPERLINK("https://klasma.github.io/Logging_1907/tillsynsmail/A 3649-2024 tillsynsbegäran mail.docx", "A 3649-2024")</f>
        <v/>
      </c>
    </row>
    <row r="104" ht="15" customHeight="1">
      <c r="A104" t="inlineStr">
        <is>
          <t>A 5168-2024</t>
        </is>
      </c>
      <c r="B104" s="1" t="n">
        <v>45330</v>
      </c>
      <c r="C104" s="1" t="n">
        <v>45875</v>
      </c>
      <c r="D104" t="inlineStr">
        <is>
          <t>VÄSTMANLANDS LÄN</t>
        </is>
      </c>
      <c r="E104" t="inlineStr">
        <is>
          <t>SURAHAMMAR</t>
        </is>
      </c>
      <c r="F104" t="inlineStr">
        <is>
          <t>Övriga Aktiebolag</t>
        </is>
      </c>
      <c r="G104" t="n">
        <v>3.4</v>
      </c>
      <c r="H104" t="n">
        <v>1</v>
      </c>
      <c r="I104" t="n">
        <v>0</v>
      </c>
      <c r="J104" t="n">
        <v>0</v>
      </c>
      <c r="K104" t="n">
        <v>0</v>
      </c>
      <c r="L104" t="n">
        <v>0</v>
      </c>
      <c r="M104" t="n">
        <v>0</v>
      </c>
      <c r="N104" t="n">
        <v>0</v>
      </c>
      <c r="O104" t="n">
        <v>0</v>
      </c>
      <c r="P104" t="n">
        <v>0</v>
      </c>
      <c r="Q104" t="n">
        <v>1</v>
      </c>
      <c r="R104" s="2" t="inlineStr">
        <is>
          <t>Göktyta</t>
        </is>
      </c>
      <c r="S104">
        <f>HYPERLINK("https://klasma.github.io/Logging_1907/artfynd/A 5168-2024 artfynd.xlsx", "A 5168-2024")</f>
        <v/>
      </c>
      <c r="T104">
        <f>HYPERLINK("https://klasma.github.io/Logging_1907/kartor/A 5168-2024 karta.png", "A 5168-2024")</f>
        <v/>
      </c>
      <c r="V104">
        <f>HYPERLINK("https://klasma.github.io/Logging_1907/klagomål/A 5168-2024 FSC-klagomål.docx", "A 5168-2024")</f>
        <v/>
      </c>
      <c r="W104">
        <f>HYPERLINK("https://klasma.github.io/Logging_1907/klagomålsmail/A 5168-2024 FSC-klagomål mail.docx", "A 5168-2024")</f>
        <v/>
      </c>
      <c r="X104">
        <f>HYPERLINK("https://klasma.github.io/Logging_1907/tillsyn/A 5168-2024 tillsynsbegäran.docx", "A 5168-2024")</f>
        <v/>
      </c>
      <c r="Y104">
        <f>HYPERLINK("https://klasma.github.io/Logging_1907/tillsynsmail/A 5168-2024 tillsynsbegäran mail.docx", "A 5168-2024")</f>
        <v/>
      </c>
      <c r="Z104">
        <f>HYPERLINK("https://klasma.github.io/Logging_1907/fåglar/A 5168-2024 prioriterade fågelarter.docx", "A 5168-2024")</f>
        <v/>
      </c>
    </row>
    <row r="105" ht="15" customHeight="1">
      <c r="A105" t="inlineStr">
        <is>
          <t>A 10819-2024</t>
        </is>
      </c>
      <c r="B105" s="1" t="n">
        <v>45369</v>
      </c>
      <c r="C105" s="1" t="n">
        <v>45875</v>
      </c>
      <c r="D105" t="inlineStr">
        <is>
          <t>VÄSTMANLANDS LÄN</t>
        </is>
      </c>
      <c r="E105" t="inlineStr">
        <is>
          <t>SURAHAMMAR</t>
        </is>
      </c>
      <c r="G105" t="n">
        <v>2</v>
      </c>
      <c r="H105" t="n">
        <v>0</v>
      </c>
      <c r="I105" t="n">
        <v>1</v>
      </c>
      <c r="J105" t="n">
        <v>0</v>
      </c>
      <c r="K105" t="n">
        <v>0</v>
      </c>
      <c r="L105" t="n">
        <v>0</v>
      </c>
      <c r="M105" t="n">
        <v>0</v>
      </c>
      <c r="N105" t="n">
        <v>0</v>
      </c>
      <c r="O105" t="n">
        <v>0</v>
      </c>
      <c r="P105" t="n">
        <v>0</v>
      </c>
      <c r="Q105" t="n">
        <v>1</v>
      </c>
      <c r="R105" s="2" t="inlineStr">
        <is>
          <t>Tibast</t>
        </is>
      </c>
      <c r="S105">
        <f>HYPERLINK("https://klasma.github.io/Logging_1907/artfynd/A 10819-2024 artfynd.xlsx", "A 10819-2024")</f>
        <v/>
      </c>
      <c r="T105">
        <f>HYPERLINK("https://klasma.github.io/Logging_1907/kartor/A 10819-2024 karta.png", "A 10819-2024")</f>
        <v/>
      </c>
      <c r="V105">
        <f>HYPERLINK("https://klasma.github.io/Logging_1907/klagomål/A 10819-2024 FSC-klagomål.docx", "A 10819-2024")</f>
        <v/>
      </c>
      <c r="W105">
        <f>HYPERLINK("https://klasma.github.io/Logging_1907/klagomålsmail/A 10819-2024 FSC-klagomål mail.docx", "A 10819-2024")</f>
        <v/>
      </c>
      <c r="X105">
        <f>HYPERLINK("https://klasma.github.io/Logging_1907/tillsyn/A 10819-2024 tillsynsbegäran.docx", "A 10819-2024")</f>
        <v/>
      </c>
      <c r="Y105">
        <f>HYPERLINK("https://klasma.github.io/Logging_1907/tillsynsmail/A 10819-2024 tillsynsbegäran mail.docx", "A 10819-2024")</f>
        <v/>
      </c>
    </row>
    <row r="106" ht="15" customHeight="1">
      <c r="A106" t="inlineStr">
        <is>
          <t>A 25583-2024</t>
        </is>
      </c>
      <c r="B106" s="1" t="n">
        <v>45463</v>
      </c>
      <c r="C106" s="1" t="n">
        <v>45875</v>
      </c>
      <c r="D106" t="inlineStr">
        <is>
          <t>VÄSTMANLANDS LÄN</t>
        </is>
      </c>
      <c r="E106" t="inlineStr">
        <is>
          <t>SURAHAMMAR</t>
        </is>
      </c>
      <c r="F106" t="inlineStr">
        <is>
          <t>Bergvik skog väst AB</t>
        </is>
      </c>
      <c r="G106" t="n">
        <v>7.8</v>
      </c>
      <c r="H106" t="n">
        <v>1</v>
      </c>
      <c r="I106" t="n">
        <v>0</v>
      </c>
      <c r="J106" t="n">
        <v>0</v>
      </c>
      <c r="K106" t="n">
        <v>0</v>
      </c>
      <c r="L106" t="n">
        <v>0</v>
      </c>
      <c r="M106" t="n">
        <v>0</v>
      </c>
      <c r="N106" t="n">
        <v>0</v>
      </c>
      <c r="O106" t="n">
        <v>0</v>
      </c>
      <c r="P106" t="n">
        <v>0</v>
      </c>
      <c r="Q106" t="n">
        <v>1</v>
      </c>
      <c r="R106" s="2" t="inlineStr">
        <is>
          <t>Blåsippa</t>
        </is>
      </c>
      <c r="S106">
        <f>HYPERLINK("https://klasma.github.io/Logging_1907/artfynd/A 25583-2024 artfynd.xlsx", "A 25583-2024")</f>
        <v/>
      </c>
      <c r="T106">
        <f>HYPERLINK("https://klasma.github.io/Logging_1907/kartor/A 25583-2024 karta.png", "A 25583-2024")</f>
        <v/>
      </c>
      <c r="V106">
        <f>HYPERLINK("https://klasma.github.io/Logging_1907/klagomål/A 25583-2024 FSC-klagomål.docx", "A 25583-2024")</f>
        <v/>
      </c>
      <c r="W106">
        <f>HYPERLINK("https://klasma.github.io/Logging_1907/klagomålsmail/A 25583-2024 FSC-klagomål mail.docx", "A 25583-2024")</f>
        <v/>
      </c>
      <c r="X106">
        <f>HYPERLINK("https://klasma.github.io/Logging_1907/tillsyn/A 25583-2024 tillsynsbegäran.docx", "A 25583-2024")</f>
        <v/>
      </c>
      <c r="Y106">
        <f>HYPERLINK("https://klasma.github.io/Logging_1907/tillsynsmail/A 25583-2024 tillsynsbegäran mail.docx", "A 25583-2024")</f>
        <v/>
      </c>
    </row>
    <row r="107" ht="15" customHeight="1">
      <c r="A107" t="inlineStr">
        <is>
          <t>A 27957-2024</t>
        </is>
      </c>
      <c r="B107" s="1" t="n">
        <v>45476</v>
      </c>
      <c r="C107" s="1" t="n">
        <v>45875</v>
      </c>
      <c r="D107" t="inlineStr">
        <is>
          <t>VÄSTMANLANDS LÄN</t>
        </is>
      </c>
      <c r="E107" t="inlineStr">
        <is>
          <t>SURAHAMMAR</t>
        </is>
      </c>
      <c r="F107" t="inlineStr">
        <is>
          <t>Sveaskog</t>
        </is>
      </c>
      <c r="G107" t="n">
        <v>14.4</v>
      </c>
      <c r="H107" t="n">
        <v>1</v>
      </c>
      <c r="I107" t="n">
        <v>0</v>
      </c>
      <c r="J107" t="n">
        <v>0</v>
      </c>
      <c r="K107" t="n">
        <v>0</v>
      </c>
      <c r="L107" t="n">
        <v>0</v>
      </c>
      <c r="M107" t="n">
        <v>0</v>
      </c>
      <c r="N107" t="n">
        <v>0</v>
      </c>
      <c r="O107" t="n">
        <v>0</v>
      </c>
      <c r="P107" t="n">
        <v>0</v>
      </c>
      <c r="Q107" t="n">
        <v>1</v>
      </c>
      <c r="R107" s="2" t="inlineStr">
        <is>
          <t>Fläcknycklar</t>
        </is>
      </c>
      <c r="S107">
        <f>HYPERLINK("https://klasma.github.io/Logging_1907/artfynd/A 27957-2024 artfynd.xlsx", "A 27957-2024")</f>
        <v/>
      </c>
      <c r="T107">
        <f>HYPERLINK("https://klasma.github.io/Logging_1907/kartor/A 27957-2024 karta.png", "A 27957-2024")</f>
        <v/>
      </c>
      <c r="V107">
        <f>HYPERLINK("https://klasma.github.io/Logging_1907/klagomål/A 27957-2024 FSC-klagomål.docx", "A 27957-2024")</f>
        <v/>
      </c>
      <c r="W107">
        <f>HYPERLINK("https://klasma.github.io/Logging_1907/klagomålsmail/A 27957-2024 FSC-klagomål mail.docx", "A 27957-2024")</f>
        <v/>
      </c>
      <c r="X107">
        <f>HYPERLINK("https://klasma.github.io/Logging_1907/tillsyn/A 27957-2024 tillsynsbegäran.docx", "A 27957-2024")</f>
        <v/>
      </c>
      <c r="Y107">
        <f>HYPERLINK("https://klasma.github.io/Logging_1907/tillsynsmail/A 27957-2024 tillsynsbegäran mail.docx", "A 27957-2024")</f>
        <v/>
      </c>
    </row>
    <row r="108" ht="15" customHeight="1">
      <c r="A108" t="inlineStr">
        <is>
          <t>A 29156-2024</t>
        </is>
      </c>
      <c r="B108" s="1" t="n">
        <v>45482</v>
      </c>
      <c r="C108" s="1" t="n">
        <v>45875</v>
      </c>
      <c r="D108" t="inlineStr">
        <is>
          <t>VÄSTMANLANDS LÄN</t>
        </is>
      </c>
      <c r="E108" t="inlineStr">
        <is>
          <t>SURAHAMMAR</t>
        </is>
      </c>
      <c r="F108" t="inlineStr">
        <is>
          <t>Sveaskog</t>
        </is>
      </c>
      <c r="G108" t="n">
        <v>2.6</v>
      </c>
      <c r="H108" t="n">
        <v>0</v>
      </c>
      <c r="I108" t="n">
        <v>1</v>
      </c>
      <c r="J108" t="n">
        <v>0</v>
      </c>
      <c r="K108" t="n">
        <v>0</v>
      </c>
      <c r="L108" t="n">
        <v>0</v>
      </c>
      <c r="M108" t="n">
        <v>0</v>
      </c>
      <c r="N108" t="n">
        <v>0</v>
      </c>
      <c r="O108" t="n">
        <v>0</v>
      </c>
      <c r="P108" t="n">
        <v>0</v>
      </c>
      <c r="Q108" t="n">
        <v>1</v>
      </c>
      <c r="R108" s="2" t="inlineStr">
        <is>
          <t>Fjällig taggsvamp s.str.</t>
        </is>
      </c>
      <c r="S108">
        <f>HYPERLINK("https://klasma.github.io/Logging_1907/artfynd/A 29156-2024 artfynd.xlsx", "A 29156-2024")</f>
        <v/>
      </c>
      <c r="T108">
        <f>HYPERLINK("https://klasma.github.io/Logging_1907/kartor/A 29156-2024 karta.png", "A 29156-2024")</f>
        <v/>
      </c>
      <c r="V108">
        <f>HYPERLINK("https://klasma.github.io/Logging_1907/klagomål/A 29156-2024 FSC-klagomål.docx", "A 29156-2024")</f>
        <v/>
      </c>
      <c r="W108">
        <f>HYPERLINK("https://klasma.github.io/Logging_1907/klagomålsmail/A 29156-2024 FSC-klagomål mail.docx", "A 29156-2024")</f>
        <v/>
      </c>
      <c r="X108">
        <f>HYPERLINK("https://klasma.github.io/Logging_1907/tillsyn/A 29156-2024 tillsynsbegäran.docx", "A 29156-2024")</f>
        <v/>
      </c>
      <c r="Y108">
        <f>HYPERLINK("https://klasma.github.io/Logging_1907/tillsynsmail/A 29156-2024 tillsynsbegäran mail.docx", "A 29156-2024")</f>
        <v/>
      </c>
    </row>
    <row r="109" ht="15" customHeight="1">
      <c r="A109" t="inlineStr">
        <is>
          <t>A 31176-2024</t>
        </is>
      </c>
      <c r="B109" s="1" t="n">
        <v>45503</v>
      </c>
      <c r="C109" s="1" t="n">
        <v>45875</v>
      </c>
      <c r="D109" t="inlineStr">
        <is>
          <t>VÄSTMANLANDS LÄN</t>
        </is>
      </c>
      <c r="E109" t="inlineStr">
        <is>
          <t>SURAHAMMAR</t>
        </is>
      </c>
      <c r="F109" t="inlineStr">
        <is>
          <t>Allmännings- och besparingsskogar</t>
        </is>
      </c>
      <c r="G109" t="n">
        <v>10.7</v>
      </c>
      <c r="H109" t="n">
        <v>0</v>
      </c>
      <c r="I109" t="n">
        <v>0</v>
      </c>
      <c r="J109" t="n">
        <v>1</v>
      </c>
      <c r="K109" t="n">
        <v>0</v>
      </c>
      <c r="L109" t="n">
        <v>0</v>
      </c>
      <c r="M109" t="n">
        <v>0</v>
      </c>
      <c r="N109" t="n">
        <v>0</v>
      </c>
      <c r="O109" t="n">
        <v>1</v>
      </c>
      <c r="P109" t="n">
        <v>0</v>
      </c>
      <c r="Q109" t="n">
        <v>1</v>
      </c>
      <c r="R109" s="2" t="inlineStr">
        <is>
          <t>Doftskinn</t>
        </is>
      </c>
      <c r="S109">
        <f>HYPERLINK("https://klasma.github.io/Logging_1907/artfynd/A 31176-2024 artfynd.xlsx", "A 31176-2024")</f>
        <v/>
      </c>
      <c r="T109">
        <f>HYPERLINK("https://klasma.github.io/Logging_1907/kartor/A 31176-2024 karta.png", "A 31176-2024")</f>
        <v/>
      </c>
      <c r="V109">
        <f>HYPERLINK("https://klasma.github.io/Logging_1907/klagomål/A 31176-2024 FSC-klagomål.docx", "A 31176-2024")</f>
        <v/>
      </c>
      <c r="W109">
        <f>HYPERLINK("https://klasma.github.io/Logging_1907/klagomålsmail/A 31176-2024 FSC-klagomål mail.docx", "A 31176-2024")</f>
        <v/>
      </c>
      <c r="X109">
        <f>HYPERLINK("https://klasma.github.io/Logging_1907/tillsyn/A 31176-2024 tillsynsbegäran.docx", "A 31176-2024")</f>
        <v/>
      </c>
      <c r="Y109">
        <f>HYPERLINK("https://klasma.github.io/Logging_1907/tillsynsmail/A 31176-2024 tillsynsbegäran mail.docx", "A 31176-2024")</f>
        <v/>
      </c>
    </row>
    <row r="110" ht="15" customHeight="1">
      <c r="A110" t="inlineStr">
        <is>
          <t>A 33231-2024</t>
        </is>
      </c>
      <c r="B110" s="1" t="n">
        <v>45518</v>
      </c>
      <c r="C110" s="1" t="n">
        <v>45875</v>
      </c>
      <c r="D110" t="inlineStr">
        <is>
          <t>VÄSTMANLANDS LÄN</t>
        </is>
      </c>
      <c r="E110" t="inlineStr">
        <is>
          <t>SURAHAMMAR</t>
        </is>
      </c>
      <c r="F110" t="inlineStr">
        <is>
          <t>Bergvik skog väst AB</t>
        </is>
      </c>
      <c r="G110" t="n">
        <v>1.5</v>
      </c>
      <c r="H110" t="n">
        <v>1</v>
      </c>
      <c r="I110" t="n">
        <v>0</v>
      </c>
      <c r="J110" t="n">
        <v>0</v>
      </c>
      <c r="K110" t="n">
        <v>0</v>
      </c>
      <c r="L110" t="n">
        <v>0</v>
      </c>
      <c r="M110" t="n">
        <v>0</v>
      </c>
      <c r="N110" t="n">
        <v>0</v>
      </c>
      <c r="O110" t="n">
        <v>0</v>
      </c>
      <c r="P110" t="n">
        <v>0</v>
      </c>
      <c r="Q110" t="n">
        <v>1</v>
      </c>
      <c r="R110" s="2" t="inlineStr">
        <is>
          <t>Mindre vattensalamander</t>
        </is>
      </c>
      <c r="S110">
        <f>HYPERLINK("https://klasma.github.io/Logging_1907/artfynd/A 33231-2024 artfynd.xlsx", "A 33231-2024")</f>
        <v/>
      </c>
      <c r="T110">
        <f>HYPERLINK("https://klasma.github.io/Logging_1907/kartor/A 33231-2024 karta.png", "A 33231-2024")</f>
        <v/>
      </c>
      <c r="V110">
        <f>HYPERLINK("https://klasma.github.io/Logging_1907/klagomål/A 33231-2024 FSC-klagomål.docx", "A 33231-2024")</f>
        <v/>
      </c>
      <c r="W110">
        <f>HYPERLINK("https://klasma.github.io/Logging_1907/klagomålsmail/A 33231-2024 FSC-klagomål mail.docx", "A 33231-2024")</f>
        <v/>
      </c>
      <c r="X110">
        <f>HYPERLINK("https://klasma.github.io/Logging_1907/tillsyn/A 33231-2024 tillsynsbegäran.docx", "A 33231-2024")</f>
        <v/>
      </c>
      <c r="Y110">
        <f>HYPERLINK("https://klasma.github.io/Logging_1907/tillsynsmail/A 33231-2024 tillsynsbegäran mail.docx", "A 33231-2024")</f>
        <v/>
      </c>
    </row>
    <row r="111" ht="15" customHeight="1">
      <c r="A111" t="inlineStr">
        <is>
          <t>A 43451-2024</t>
        </is>
      </c>
      <c r="B111" s="1" t="n">
        <v>45568</v>
      </c>
      <c r="C111" s="1" t="n">
        <v>45875</v>
      </c>
      <c r="D111" t="inlineStr">
        <is>
          <t>VÄSTMANLANDS LÄN</t>
        </is>
      </c>
      <c r="E111" t="inlineStr">
        <is>
          <t>SURAHAMMAR</t>
        </is>
      </c>
      <c r="F111" t="inlineStr">
        <is>
          <t>Bergvik skog väst AB</t>
        </is>
      </c>
      <c r="G111" t="n">
        <v>2.9</v>
      </c>
      <c r="H111" t="n">
        <v>0</v>
      </c>
      <c r="I111" t="n">
        <v>0</v>
      </c>
      <c r="J111" t="n">
        <v>1</v>
      </c>
      <c r="K111" t="n">
        <v>0</v>
      </c>
      <c r="L111" t="n">
        <v>0</v>
      </c>
      <c r="M111" t="n">
        <v>0</v>
      </c>
      <c r="N111" t="n">
        <v>0</v>
      </c>
      <c r="O111" t="n">
        <v>1</v>
      </c>
      <c r="P111" t="n">
        <v>0</v>
      </c>
      <c r="Q111" t="n">
        <v>1</v>
      </c>
      <c r="R111" s="2" t="inlineStr">
        <is>
          <t>Ullticka</t>
        </is>
      </c>
      <c r="S111">
        <f>HYPERLINK("https://klasma.github.io/Logging_1907/artfynd/A 43451-2024 artfynd.xlsx", "A 43451-2024")</f>
        <v/>
      </c>
      <c r="T111">
        <f>HYPERLINK("https://klasma.github.io/Logging_1907/kartor/A 43451-2024 karta.png", "A 43451-2024")</f>
        <v/>
      </c>
      <c r="V111">
        <f>HYPERLINK("https://klasma.github.io/Logging_1907/klagomål/A 43451-2024 FSC-klagomål.docx", "A 43451-2024")</f>
        <v/>
      </c>
      <c r="W111">
        <f>HYPERLINK("https://klasma.github.io/Logging_1907/klagomålsmail/A 43451-2024 FSC-klagomål mail.docx", "A 43451-2024")</f>
        <v/>
      </c>
      <c r="X111">
        <f>HYPERLINK("https://klasma.github.io/Logging_1907/tillsyn/A 43451-2024 tillsynsbegäran.docx", "A 43451-2024")</f>
        <v/>
      </c>
      <c r="Y111">
        <f>HYPERLINK("https://klasma.github.io/Logging_1907/tillsynsmail/A 43451-2024 tillsynsbegäran mail.docx", "A 43451-2024")</f>
        <v/>
      </c>
    </row>
    <row r="112" ht="15" customHeight="1">
      <c r="A112" t="inlineStr">
        <is>
          <t>A 44356-2024</t>
        </is>
      </c>
      <c r="B112" s="1" t="n">
        <v>45573</v>
      </c>
      <c r="C112" s="1" t="n">
        <v>45875</v>
      </c>
      <c r="D112" t="inlineStr">
        <is>
          <t>VÄSTMANLANDS LÄN</t>
        </is>
      </c>
      <c r="E112" t="inlineStr">
        <is>
          <t>SURAHAMMAR</t>
        </is>
      </c>
      <c r="F112" t="inlineStr">
        <is>
          <t>Sveaskog</t>
        </is>
      </c>
      <c r="G112" t="n">
        <v>0.7</v>
      </c>
      <c r="H112" t="n">
        <v>1</v>
      </c>
      <c r="I112" t="n">
        <v>0</v>
      </c>
      <c r="J112" t="n">
        <v>0</v>
      </c>
      <c r="K112" t="n">
        <v>0</v>
      </c>
      <c r="L112" t="n">
        <v>0</v>
      </c>
      <c r="M112" t="n">
        <v>0</v>
      </c>
      <c r="N112" t="n">
        <v>0</v>
      </c>
      <c r="O112" t="n">
        <v>0</v>
      </c>
      <c r="P112" t="n">
        <v>0</v>
      </c>
      <c r="Q112" t="n">
        <v>1</v>
      </c>
      <c r="R112" s="2" t="inlineStr">
        <is>
          <t>Revlummer</t>
        </is>
      </c>
      <c r="S112">
        <f>HYPERLINK("https://klasma.github.io/Logging_1907/artfynd/A 44356-2024 artfynd.xlsx", "A 44356-2024")</f>
        <v/>
      </c>
      <c r="T112">
        <f>HYPERLINK("https://klasma.github.io/Logging_1907/kartor/A 44356-2024 karta.png", "A 44356-2024")</f>
        <v/>
      </c>
      <c r="V112">
        <f>HYPERLINK("https://klasma.github.io/Logging_1907/klagomål/A 44356-2024 FSC-klagomål.docx", "A 44356-2024")</f>
        <v/>
      </c>
      <c r="W112">
        <f>HYPERLINK("https://klasma.github.io/Logging_1907/klagomålsmail/A 44356-2024 FSC-klagomål mail.docx", "A 44356-2024")</f>
        <v/>
      </c>
      <c r="X112">
        <f>HYPERLINK("https://klasma.github.io/Logging_1907/tillsyn/A 44356-2024 tillsynsbegäran.docx", "A 44356-2024")</f>
        <v/>
      </c>
      <c r="Y112">
        <f>HYPERLINK("https://klasma.github.io/Logging_1907/tillsynsmail/A 44356-2024 tillsynsbegäran mail.docx", "A 44356-2024")</f>
        <v/>
      </c>
    </row>
    <row r="113" ht="15" customHeight="1">
      <c r="A113" t="inlineStr">
        <is>
          <t>A 44355-2024</t>
        </is>
      </c>
      <c r="B113" s="1" t="n">
        <v>45573</v>
      </c>
      <c r="C113" s="1" t="n">
        <v>45875</v>
      </c>
      <c r="D113" t="inlineStr">
        <is>
          <t>VÄSTMANLANDS LÄN</t>
        </is>
      </c>
      <c r="E113" t="inlineStr">
        <is>
          <t>SURAHAMMAR</t>
        </is>
      </c>
      <c r="F113" t="inlineStr">
        <is>
          <t>Sveaskog</t>
        </is>
      </c>
      <c r="G113" t="n">
        <v>3.5</v>
      </c>
      <c r="H113" t="n">
        <v>1</v>
      </c>
      <c r="I113" t="n">
        <v>0</v>
      </c>
      <c r="J113" t="n">
        <v>0</v>
      </c>
      <c r="K113" t="n">
        <v>0</v>
      </c>
      <c r="L113" t="n">
        <v>0</v>
      </c>
      <c r="M113" t="n">
        <v>0</v>
      </c>
      <c r="N113" t="n">
        <v>0</v>
      </c>
      <c r="O113" t="n">
        <v>0</v>
      </c>
      <c r="P113" t="n">
        <v>0</v>
      </c>
      <c r="Q113" t="n">
        <v>1</v>
      </c>
      <c r="R113" s="2" t="inlineStr">
        <is>
          <t>Revlummer</t>
        </is>
      </c>
      <c r="S113">
        <f>HYPERLINK("https://klasma.github.io/Logging_1907/artfynd/A 44355-2024 artfynd.xlsx", "A 44355-2024")</f>
        <v/>
      </c>
      <c r="T113">
        <f>HYPERLINK("https://klasma.github.io/Logging_1907/kartor/A 44355-2024 karta.png", "A 44355-2024")</f>
        <v/>
      </c>
      <c r="V113">
        <f>HYPERLINK("https://klasma.github.io/Logging_1907/klagomål/A 44355-2024 FSC-klagomål.docx", "A 44355-2024")</f>
        <v/>
      </c>
      <c r="W113">
        <f>HYPERLINK("https://klasma.github.io/Logging_1907/klagomålsmail/A 44355-2024 FSC-klagomål mail.docx", "A 44355-2024")</f>
        <v/>
      </c>
      <c r="X113">
        <f>HYPERLINK("https://klasma.github.io/Logging_1907/tillsyn/A 44355-2024 tillsynsbegäran.docx", "A 44355-2024")</f>
        <v/>
      </c>
      <c r="Y113">
        <f>HYPERLINK("https://klasma.github.io/Logging_1907/tillsynsmail/A 44355-2024 tillsynsbegäran mail.docx", "A 44355-2024")</f>
        <v/>
      </c>
    </row>
    <row r="114" ht="15" customHeight="1">
      <c r="A114" t="inlineStr">
        <is>
          <t>A 45735-2024</t>
        </is>
      </c>
      <c r="B114" s="1" t="n">
        <v>45579</v>
      </c>
      <c r="C114" s="1" t="n">
        <v>45875</v>
      </c>
      <c r="D114" t="inlineStr">
        <is>
          <t>VÄSTMANLANDS LÄN</t>
        </is>
      </c>
      <c r="E114" t="inlineStr">
        <is>
          <t>SURAHAMMAR</t>
        </is>
      </c>
      <c r="F114" t="inlineStr">
        <is>
          <t>Sveaskog</t>
        </is>
      </c>
      <c r="G114" t="n">
        <v>13.5</v>
      </c>
      <c r="H114" t="n">
        <v>1</v>
      </c>
      <c r="I114" t="n">
        <v>0</v>
      </c>
      <c r="J114" t="n">
        <v>0</v>
      </c>
      <c r="K114" t="n">
        <v>0</v>
      </c>
      <c r="L114" t="n">
        <v>0</v>
      </c>
      <c r="M114" t="n">
        <v>0</v>
      </c>
      <c r="N114" t="n">
        <v>0</v>
      </c>
      <c r="O114" t="n">
        <v>0</v>
      </c>
      <c r="P114" t="n">
        <v>0</v>
      </c>
      <c r="Q114" t="n">
        <v>1</v>
      </c>
      <c r="R114" s="2" t="inlineStr">
        <is>
          <t>Revlummer</t>
        </is>
      </c>
      <c r="S114">
        <f>HYPERLINK("https://klasma.github.io/Logging_1907/artfynd/A 45735-2024 artfynd.xlsx", "A 45735-2024")</f>
        <v/>
      </c>
      <c r="T114">
        <f>HYPERLINK("https://klasma.github.io/Logging_1907/kartor/A 45735-2024 karta.png", "A 45735-2024")</f>
        <v/>
      </c>
      <c r="V114">
        <f>HYPERLINK("https://klasma.github.io/Logging_1907/klagomål/A 45735-2024 FSC-klagomål.docx", "A 45735-2024")</f>
        <v/>
      </c>
      <c r="W114">
        <f>HYPERLINK("https://klasma.github.io/Logging_1907/klagomålsmail/A 45735-2024 FSC-klagomål mail.docx", "A 45735-2024")</f>
        <v/>
      </c>
      <c r="X114">
        <f>HYPERLINK("https://klasma.github.io/Logging_1907/tillsyn/A 45735-2024 tillsynsbegäran.docx", "A 45735-2024")</f>
        <v/>
      </c>
      <c r="Y114">
        <f>HYPERLINK("https://klasma.github.io/Logging_1907/tillsynsmail/A 45735-2024 tillsynsbegäran mail.docx", "A 45735-2024")</f>
        <v/>
      </c>
    </row>
    <row r="115" ht="15" customHeight="1">
      <c r="A115" t="inlineStr">
        <is>
          <t>A 47453-2024</t>
        </is>
      </c>
      <c r="B115" s="1" t="n">
        <v>45587</v>
      </c>
      <c r="C115" s="1" t="n">
        <v>45875</v>
      </c>
      <c r="D115" t="inlineStr">
        <is>
          <t>VÄSTMANLANDS LÄN</t>
        </is>
      </c>
      <c r="E115" t="inlineStr">
        <is>
          <t>SURAHAMMAR</t>
        </is>
      </c>
      <c r="G115" t="n">
        <v>5.1</v>
      </c>
      <c r="H115" t="n">
        <v>1</v>
      </c>
      <c r="I115" t="n">
        <v>0</v>
      </c>
      <c r="J115" t="n">
        <v>0</v>
      </c>
      <c r="K115" t="n">
        <v>0</v>
      </c>
      <c r="L115" t="n">
        <v>0</v>
      </c>
      <c r="M115" t="n">
        <v>0</v>
      </c>
      <c r="N115" t="n">
        <v>0</v>
      </c>
      <c r="O115" t="n">
        <v>0</v>
      </c>
      <c r="P115" t="n">
        <v>0</v>
      </c>
      <c r="Q115" t="n">
        <v>1</v>
      </c>
      <c r="R115" s="2" t="inlineStr">
        <is>
          <t>Göktyta</t>
        </is>
      </c>
      <c r="S115">
        <f>HYPERLINK("https://klasma.github.io/Logging_1907/artfynd/A 47453-2024 artfynd.xlsx", "A 47453-2024")</f>
        <v/>
      </c>
      <c r="T115">
        <f>HYPERLINK("https://klasma.github.io/Logging_1907/kartor/A 47453-2024 karta.png", "A 47453-2024")</f>
        <v/>
      </c>
      <c r="V115">
        <f>HYPERLINK("https://klasma.github.io/Logging_1907/klagomål/A 47453-2024 FSC-klagomål.docx", "A 47453-2024")</f>
        <v/>
      </c>
      <c r="W115">
        <f>HYPERLINK("https://klasma.github.io/Logging_1907/klagomålsmail/A 47453-2024 FSC-klagomål mail.docx", "A 47453-2024")</f>
        <v/>
      </c>
      <c r="X115">
        <f>HYPERLINK("https://klasma.github.io/Logging_1907/tillsyn/A 47453-2024 tillsynsbegäran.docx", "A 47453-2024")</f>
        <v/>
      </c>
      <c r="Y115">
        <f>HYPERLINK("https://klasma.github.io/Logging_1907/tillsynsmail/A 47453-2024 tillsynsbegäran mail.docx", "A 47453-2024")</f>
        <v/>
      </c>
      <c r="Z115">
        <f>HYPERLINK("https://klasma.github.io/Logging_1907/fåglar/A 47453-2024 prioriterade fågelarter.docx", "A 47453-2024")</f>
        <v/>
      </c>
    </row>
    <row r="116" ht="15" customHeight="1">
      <c r="A116" t="inlineStr">
        <is>
          <t>A 62097-2024</t>
        </is>
      </c>
      <c r="B116" s="1" t="n">
        <v>45646</v>
      </c>
      <c r="C116" s="1" t="n">
        <v>45875</v>
      </c>
      <c r="D116" t="inlineStr">
        <is>
          <t>VÄSTMANLANDS LÄN</t>
        </is>
      </c>
      <c r="E116" t="inlineStr">
        <is>
          <t>SURAHAMMAR</t>
        </is>
      </c>
      <c r="F116" t="inlineStr">
        <is>
          <t>Bergvik skog väst AB</t>
        </is>
      </c>
      <c r="G116" t="n">
        <v>21.7</v>
      </c>
      <c r="H116" t="n">
        <v>1</v>
      </c>
      <c r="I116" t="n">
        <v>0</v>
      </c>
      <c r="J116" t="n">
        <v>0</v>
      </c>
      <c r="K116" t="n">
        <v>0</v>
      </c>
      <c r="L116" t="n">
        <v>0</v>
      </c>
      <c r="M116" t="n">
        <v>0</v>
      </c>
      <c r="N116" t="n">
        <v>0</v>
      </c>
      <c r="O116" t="n">
        <v>0</v>
      </c>
      <c r="P116" t="n">
        <v>0</v>
      </c>
      <c r="Q116" t="n">
        <v>1</v>
      </c>
      <c r="R116" s="2" t="inlineStr">
        <is>
          <t>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13788-2025</t>
        </is>
      </c>
      <c r="B117" s="1" t="n">
        <v>45737</v>
      </c>
      <c r="C117" s="1" t="n">
        <v>45875</v>
      </c>
      <c r="D117" t="inlineStr">
        <is>
          <t>VÄSTMANLANDS LÄN</t>
        </is>
      </c>
      <c r="E117" t="inlineStr">
        <is>
          <t>SURAHAMMAR</t>
        </is>
      </c>
      <c r="G117" t="n">
        <v>9.699999999999999</v>
      </c>
      <c r="H117" t="n">
        <v>1</v>
      </c>
      <c r="I117" t="n">
        <v>0</v>
      </c>
      <c r="J117" t="n">
        <v>0</v>
      </c>
      <c r="K117" t="n">
        <v>0</v>
      </c>
      <c r="L117" t="n">
        <v>0</v>
      </c>
      <c r="M117" t="n">
        <v>0</v>
      </c>
      <c r="N117" t="n">
        <v>0</v>
      </c>
      <c r="O117" t="n">
        <v>0</v>
      </c>
      <c r="P117" t="n">
        <v>0</v>
      </c>
      <c r="Q117" t="n">
        <v>1</v>
      </c>
      <c r="R117" s="2" t="inlineStr">
        <is>
          <t>Sparvuggla</t>
        </is>
      </c>
      <c r="S117">
        <f>HYPERLINK("https://klasma.github.io/Logging_191907/artfynd/A 13788-2025 artfynd.xlsx", "A 13788-2025")</f>
        <v/>
      </c>
      <c r="T117">
        <f>HYPERLINK("https://klasma.github.io/Logging_191907/kartor/A 13788-2025 karta.png", "A 13788-2025")</f>
        <v/>
      </c>
      <c r="V117">
        <f>HYPERLINK("https://klasma.github.io/Logging_191907/klagomål/A 13788-2025 FSC-klagomål.docx", "A 13788-2025")</f>
        <v/>
      </c>
      <c r="W117">
        <f>HYPERLINK("https://klasma.github.io/Logging_191907/klagomålsmail/A 13788-2025 FSC-klagomål mail.docx", "A 13788-2025")</f>
        <v/>
      </c>
      <c r="X117">
        <f>HYPERLINK("https://klasma.github.io/Logging_191907/tillsyn/A 13788-2025 tillsynsbegäran.docx", "A 13788-2025")</f>
        <v/>
      </c>
      <c r="Y117">
        <f>HYPERLINK("https://klasma.github.io/Logging_191907/tillsynsmail/A 13788-2025 tillsynsbegäran mail.docx", "A 13788-2025")</f>
        <v/>
      </c>
      <c r="Z117">
        <f>HYPERLINK("https://klasma.github.io/Logging_191907/fåglar/A 13788-2025 prioriterade fågelarter.docx", "A 13788-2025")</f>
        <v/>
      </c>
    </row>
    <row r="118" ht="15" customHeight="1">
      <c r="A118" t="inlineStr">
        <is>
          <t>A 21716-2025</t>
        </is>
      </c>
      <c r="B118" s="1" t="n">
        <v>45783</v>
      </c>
      <c r="C118" s="1" t="n">
        <v>45875</v>
      </c>
      <c r="D118" t="inlineStr">
        <is>
          <t>VÄSTMANLANDS LÄN</t>
        </is>
      </c>
      <c r="E118" t="inlineStr">
        <is>
          <t>SURAHAMMAR</t>
        </is>
      </c>
      <c r="F118" t="inlineStr">
        <is>
          <t>Allmännings- och besparingsskogar</t>
        </is>
      </c>
      <c r="G118" t="n">
        <v>21.1</v>
      </c>
      <c r="H118" t="n">
        <v>1</v>
      </c>
      <c r="I118" t="n">
        <v>0</v>
      </c>
      <c r="J118" t="n">
        <v>1</v>
      </c>
      <c r="K118" t="n">
        <v>0</v>
      </c>
      <c r="L118" t="n">
        <v>0</v>
      </c>
      <c r="M118" t="n">
        <v>0</v>
      </c>
      <c r="N118" t="n">
        <v>0</v>
      </c>
      <c r="O118" t="n">
        <v>1</v>
      </c>
      <c r="P118" t="n">
        <v>0</v>
      </c>
      <c r="Q118" t="n">
        <v>1</v>
      </c>
      <c r="R118" s="2" t="inlineStr">
        <is>
          <t>Spillkråka</t>
        </is>
      </c>
      <c r="S118">
        <f>HYPERLINK("https://klasma.github.io/Logging_191907/artfynd/A 21716-2025 artfynd.xlsx", "A 21716-2025")</f>
        <v/>
      </c>
      <c r="T118">
        <f>HYPERLINK("https://klasma.github.io/Logging_191907/kartor/A 21716-2025 karta.png", "A 21716-2025")</f>
        <v/>
      </c>
      <c r="V118">
        <f>HYPERLINK("https://klasma.github.io/Logging_191907/klagomål/A 21716-2025 FSC-klagomål.docx", "A 21716-2025")</f>
        <v/>
      </c>
      <c r="W118">
        <f>HYPERLINK("https://klasma.github.io/Logging_191907/klagomålsmail/A 21716-2025 FSC-klagomål mail.docx", "A 21716-2025")</f>
        <v/>
      </c>
      <c r="X118">
        <f>HYPERLINK("https://klasma.github.io/Logging_191907/tillsyn/A 21716-2025 tillsynsbegäran.docx", "A 21716-2025")</f>
        <v/>
      </c>
      <c r="Y118">
        <f>HYPERLINK("https://klasma.github.io/Logging_191907/tillsynsmail/A 21716-2025 tillsynsbegäran mail.docx", "A 21716-2025")</f>
        <v/>
      </c>
      <c r="Z118">
        <f>HYPERLINK("https://klasma.github.io/Logging_191907/fåglar/A 21716-2025 prioriterade fågelarter.docx", "A 21716-2025")</f>
        <v/>
      </c>
    </row>
    <row r="119" ht="15" customHeight="1">
      <c r="A119" t="inlineStr">
        <is>
          <t>A 17946-2019</t>
        </is>
      </c>
      <c r="B119" s="1" t="n">
        <v>43557</v>
      </c>
      <c r="C119" s="1" t="n">
        <v>45875</v>
      </c>
      <c r="D119" t="inlineStr">
        <is>
          <t>VÄSTMANLANDS LÄN</t>
        </is>
      </c>
      <c r="E119" t="inlineStr">
        <is>
          <t>SURAHAMMAR</t>
        </is>
      </c>
      <c r="G119" t="n">
        <v>9.9</v>
      </c>
      <c r="H119" t="n">
        <v>0</v>
      </c>
      <c r="I119" t="n">
        <v>0</v>
      </c>
      <c r="J119" t="n">
        <v>0</v>
      </c>
      <c r="K119" t="n">
        <v>0</v>
      </c>
      <c r="L119" t="n">
        <v>0</v>
      </c>
      <c r="M119" t="n">
        <v>0</v>
      </c>
      <c r="N119" t="n">
        <v>0</v>
      </c>
      <c r="O119" t="n">
        <v>0</v>
      </c>
      <c r="P119" t="n">
        <v>0</v>
      </c>
      <c r="Q119" t="n">
        <v>0</v>
      </c>
      <c r="R119" s="2" t="inlineStr"/>
    </row>
    <row r="120" ht="15" customHeight="1">
      <c r="A120" t="inlineStr">
        <is>
          <t>A 18953-2019</t>
        </is>
      </c>
      <c r="B120" s="1" t="n">
        <v>43563</v>
      </c>
      <c r="C120" s="1" t="n">
        <v>45875</v>
      </c>
      <c r="D120" t="inlineStr">
        <is>
          <t>VÄSTMANLANDS LÄN</t>
        </is>
      </c>
      <c r="E120" t="inlineStr">
        <is>
          <t>SURAHAMMAR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18960-2019</t>
        </is>
      </c>
      <c r="B121" s="1" t="n">
        <v>43563</v>
      </c>
      <c r="C121" s="1" t="n">
        <v>45875</v>
      </c>
      <c r="D121" t="inlineStr">
        <is>
          <t>VÄSTMANLANDS LÄN</t>
        </is>
      </c>
      <c r="E121" t="inlineStr">
        <is>
          <t>SURAHAMMAR</t>
        </is>
      </c>
      <c r="F121" t="inlineStr">
        <is>
          <t>Övriga Aktiebolag</t>
        </is>
      </c>
      <c r="G121" t="n">
        <v>4.1</v>
      </c>
      <c r="H121" t="n">
        <v>0</v>
      </c>
      <c r="I121" t="n">
        <v>0</v>
      </c>
      <c r="J121" t="n">
        <v>0</v>
      </c>
      <c r="K121" t="n">
        <v>0</v>
      </c>
      <c r="L121" t="n">
        <v>0</v>
      </c>
      <c r="M121" t="n">
        <v>0</v>
      </c>
      <c r="N121" t="n">
        <v>0</v>
      </c>
      <c r="O121" t="n">
        <v>0</v>
      </c>
      <c r="P121" t="n">
        <v>0</v>
      </c>
      <c r="Q121" t="n">
        <v>0</v>
      </c>
      <c r="R121" s="2" t="inlineStr"/>
    </row>
    <row r="122" ht="15" customHeight="1">
      <c r="A122" t="inlineStr">
        <is>
          <t>A 19659-2019</t>
        </is>
      </c>
      <c r="B122" s="1" t="n">
        <v>43566</v>
      </c>
      <c r="C122" s="1" t="n">
        <v>45875</v>
      </c>
      <c r="D122" t="inlineStr">
        <is>
          <t>VÄSTMANLANDS LÄN</t>
        </is>
      </c>
      <c r="E122" t="inlineStr">
        <is>
          <t>SURAHAMMAR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20127-2019</t>
        </is>
      </c>
      <c r="B123" s="1" t="n">
        <v>43570</v>
      </c>
      <c r="C123" s="1" t="n">
        <v>45875</v>
      </c>
      <c r="D123" t="inlineStr">
        <is>
          <t>VÄSTMANLANDS LÄN</t>
        </is>
      </c>
      <c r="E123" t="inlineStr">
        <is>
          <t>SURAHAMMAR</t>
        </is>
      </c>
      <c r="G123" t="n">
        <v>2.6</v>
      </c>
      <c r="H123" t="n">
        <v>0</v>
      </c>
      <c r="I123" t="n">
        <v>0</v>
      </c>
      <c r="J123" t="n">
        <v>0</v>
      </c>
      <c r="K123" t="n">
        <v>0</v>
      </c>
      <c r="L123" t="n">
        <v>0</v>
      </c>
      <c r="M123" t="n">
        <v>0</v>
      </c>
      <c r="N123" t="n">
        <v>0</v>
      </c>
      <c r="O123" t="n">
        <v>0</v>
      </c>
      <c r="P123" t="n">
        <v>0</v>
      </c>
      <c r="Q123" t="n">
        <v>0</v>
      </c>
      <c r="R123" s="2" t="inlineStr"/>
    </row>
    <row r="124" ht="15" customHeight="1">
      <c r="A124" t="inlineStr">
        <is>
          <t>A 20904-2019</t>
        </is>
      </c>
      <c r="B124" s="1" t="n">
        <v>43578</v>
      </c>
      <c r="C124" s="1" t="n">
        <v>45875</v>
      </c>
      <c r="D124" t="inlineStr">
        <is>
          <t>VÄSTMANLANDS LÄN</t>
        </is>
      </c>
      <c r="E124" t="inlineStr">
        <is>
          <t>SURAHAMMAR</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22834-2019</t>
        </is>
      </c>
      <c r="B125" s="1" t="n">
        <v>43591</v>
      </c>
      <c r="C125" s="1" t="n">
        <v>45875</v>
      </c>
      <c r="D125" t="inlineStr">
        <is>
          <t>VÄSTMANLANDS LÄN</t>
        </is>
      </c>
      <c r="E125" t="inlineStr">
        <is>
          <t>SURAHAMMAR</t>
        </is>
      </c>
      <c r="F125" t="inlineStr">
        <is>
          <t>Sveaskog</t>
        </is>
      </c>
      <c r="G125" t="n">
        <v>0.2</v>
      </c>
      <c r="H125" t="n">
        <v>0</v>
      </c>
      <c r="I125" t="n">
        <v>0</v>
      </c>
      <c r="J125" t="n">
        <v>0</v>
      </c>
      <c r="K125" t="n">
        <v>0</v>
      </c>
      <c r="L125" t="n">
        <v>0</v>
      </c>
      <c r="M125" t="n">
        <v>0</v>
      </c>
      <c r="N125" t="n">
        <v>0</v>
      </c>
      <c r="O125" t="n">
        <v>0</v>
      </c>
      <c r="P125" t="n">
        <v>0</v>
      </c>
      <c r="Q125" t="n">
        <v>0</v>
      </c>
      <c r="R125" s="2" t="inlineStr"/>
    </row>
    <row r="126" ht="15" customHeight="1">
      <c r="A126" t="inlineStr">
        <is>
          <t>A 28274-2019</t>
        </is>
      </c>
      <c r="B126" s="1" t="n">
        <v>43623</v>
      </c>
      <c r="C126" s="1" t="n">
        <v>45875</v>
      </c>
      <c r="D126" t="inlineStr">
        <is>
          <t>VÄSTMANLANDS LÄN</t>
        </is>
      </c>
      <c r="E126" t="inlineStr">
        <is>
          <t>SURAHAMMAR</t>
        </is>
      </c>
      <c r="F126" t="inlineStr">
        <is>
          <t>Allmännings- och besparingsskogar</t>
        </is>
      </c>
      <c r="G126" t="n">
        <v>0.7</v>
      </c>
      <c r="H126" t="n">
        <v>0</v>
      </c>
      <c r="I126" t="n">
        <v>0</v>
      </c>
      <c r="J126" t="n">
        <v>0</v>
      </c>
      <c r="K126" t="n">
        <v>0</v>
      </c>
      <c r="L126" t="n">
        <v>0</v>
      </c>
      <c r="M126" t="n">
        <v>0</v>
      </c>
      <c r="N126" t="n">
        <v>0</v>
      </c>
      <c r="O126" t="n">
        <v>0</v>
      </c>
      <c r="P126" t="n">
        <v>0</v>
      </c>
      <c r="Q126" t="n">
        <v>0</v>
      </c>
      <c r="R126" s="2" t="inlineStr"/>
    </row>
    <row r="127" ht="15" customHeight="1">
      <c r="A127" t="inlineStr">
        <is>
          <t>A 29523-2019</t>
        </is>
      </c>
      <c r="B127" s="1" t="n">
        <v>43630</v>
      </c>
      <c r="C127" s="1" t="n">
        <v>45875</v>
      </c>
      <c r="D127" t="inlineStr">
        <is>
          <t>VÄSTMANLANDS LÄN</t>
        </is>
      </c>
      <c r="E127" t="inlineStr">
        <is>
          <t>SURAHAMMAR</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31008-2019</t>
        </is>
      </c>
      <c r="B128" s="1" t="n">
        <v>43640</v>
      </c>
      <c r="C128" s="1" t="n">
        <v>45875</v>
      </c>
      <c r="D128" t="inlineStr">
        <is>
          <t>VÄSTMANLANDS LÄN</t>
        </is>
      </c>
      <c r="E128" t="inlineStr">
        <is>
          <t>SURAHAMMAR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39552-2019</t>
        </is>
      </c>
      <c r="B129" s="1" t="n">
        <v>43691</v>
      </c>
      <c r="C129" s="1" t="n">
        <v>45875</v>
      </c>
      <c r="D129" t="inlineStr">
        <is>
          <t>VÄSTMANLANDS LÄN</t>
        </is>
      </c>
      <c r="E129" t="inlineStr">
        <is>
          <t>SURAHAMMAR</t>
        </is>
      </c>
      <c r="F129" t="inlineStr">
        <is>
          <t>Övriga Aktiebolag</t>
        </is>
      </c>
      <c r="G129" t="n">
        <v>4.4</v>
      </c>
      <c r="H129" t="n">
        <v>0</v>
      </c>
      <c r="I129" t="n">
        <v>0</v>
      </c>
      <c r="J129" t="n">
        <v>0</v>
      </c>
      <c r="K129" t="n">
        <v>0</v>
      </c>
      <c r="L129" t="n">
        <v>0</v>
      </c>
      <c r="M129" t="n">
        <v>0</v>
      </c>
      <c r="N129" t="n">
        <v>0</v>
      </c>
      <c r="O129" t="n">
        <v>0</v>
      </c>
      <c r="P129" t="n">
        <v>0</v>
      </c>
      <c r="Q129" t="n">
        <v>0</v>
      </c>
      <c r="R129" s="2" t="inlineStr"/>
    </row>
    <row r="130" ht="15" customHeight="1">
      <c r="A130" t="inlineStr">
        <is>
          <t>A 39754-2019</t>
        </is>
      </c>
      <c r="B130" s="1" t="n">
        <v>43692</v>
      </c>
      <c r="C130" s="1" t="n">
        <v>45875</v>
      </c>
      <c r="D130" t="inlineStr">
        <is>
          <t>VÄSTMANLANDS LÄN</t>
        </is>
      </c>
      <c r="E130" t="inlineStr">
        <is>
          <t>SURAHAMMAR</t>
        </is>
      </c>
      <c r="F130" t="inlineStr">
        <is>
          <t>Övriga Aktiebolag</t>
        </is>
      </c>
      <c r="G130" t="n">
        <v>5.7</v>
      </c>
      <c r="H130" t="n">
        <v>0</v>
      </c>
      <c r="I130" t="n">
        <v>0</v>
      </c>
      <c r="J130" t="n">
        <v>0</v>
      </c>
      <c r="K130" t="n">
        <v>0</v>
      </c>
      <c r="L130" t="n">
        <v>0</v>
      </c>
      <c r="M130" t="n">
        <v>0</v>
      </c>
      <c r="N130" t="n">
        <v>0</v>
      </c>
      <c r="O130" t="n">
        <v>0</v>
      </c>
      <c r="P130" t="n">
        <v>0</v>
      </c>
      <c r="Q130" t="n">
        <v>0</v>
      </c>
      <c r="R130" s="2" t="inlineStr"/>
    </row>
    <row r="131" ht="15" customHeight="1">
      <c r="A131" t="inlineStr">
        <is>
          <t>A 40191-2019</t>
        </is>
      </c>
      <c r="B131" s="1" t="n">
        <v>43693</v>
      </c>
      <c r="C131" s="1" t="n">
        <v>45875</v>
      </c>
      <c r="D131" t="inlineStr">
        <is>
          <t>VÄSTMANLANDS LÄN</t>
        </is>
      </c>
      <c r="E131" t="inlineStr">
        <is>
          <t>SURAHAMMAR</t>
        </is>
      </c>
      <c r="F131" t="inlineStr">
        <is>
          <t>Bergvik skog väst AB</t>
        </is>
      </c>
      <c r="G131" t="n">
        <v>3.5</v>
      </c>
      <c r="H131" t="n">
        <v>0</v>
      </c>
      <c r="I131" t="n">
        <v>0</v>
      </c>
      <c r="J131" t="n">
        <v>0</v>
      </c>
      <c r="K131" t="n">
        <v>0</v>
      </c>
      <c r="L131" t="n">
        <v>0</v>
      </c>
      <c r="M131" t="n">
        <v>0</v>
      </c>
      <c r="N131" t="n">
        <v>0</v>
      </c>
      <c r="O131" t="n">
        <v>0</v>
      </c>
      <c r="P131" t="n">
        <v>0</v>
      </c>
      <c r="Q131" t="n">
        <v>0</v>
      </c>
      <c r="R131" s="2" t="inlineStr"/>
    </row>
    <row r="132" ht="15" customHeight="1">
      <c r="A132" t="inlineStr">
        <is>
          <t>A 60343-2019</t>
        </is>
      </c>
      <c r="B132" s="1" t="n">
        <v>43780</v>
      </c>
      <c r="C132" s="1" t="n">
        <v>45875</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64772-2019</t>
        </is>
      </c>
      <c r="B133" s="1" t="n">
        <v>43801</v>
      </c>
      <c r="C133" s="1" t="n">
        <v>45875</v>
      </c>
      <c r="D133" t="inlineStr">
        <is>
          <t>VÄSTMANLANDS LÄN</t>
        </is>
      </c>
      <c r="E133" t="inlineStr">
        <is>
          <t>SURAHAMMAR</t>
        </is>
      </c>
      <c r="F133" t="inlineStr">
        <is>
          <t>Övriga Aktiebolag</t>
        </is>
      </c>
      <c r="G133" t="n">
        <v>7</v>
      </c>
      <c r="H133" t="n">
        <v>0</v>
      </c>
      <c r="I133" t="n">
        <v>0</v>
      </c>
      <c r="J133" t="n">
        <v>0</v>
      </c>
      <c r="K133" t="n">
        <v>0</v>
      </c>
      <c r="L133" t="n">
        <v>0</v>
      </c>
      <c r="M133" t="n">
        <v>0</v>
      </c>
      <c r="N133" t="n">
        <v>0</v>
      </c>
      <c r="O133" t="n">
        <v>0</v>
      </c>
      <c r="P133" t="n">
        <v>0</v>
      </c>
      <c r="Q133" t="n">
        <v>0</v>
      </c>
      <c r="R133" s="2" t="inlineStr"/>
    </row>
    <row r="134" ht="15" customHeight="1">
      <c r="A134" t="inlineStr">
        <is>
          <t>A 66269-2019</t>
        </is>
      </c>
      <c r="B134" s="1" t="n">
        <v>43802</v>
      </c>
      <c r="C134" s="1" t="n">
        <v>45875</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65619-2019</t>
        </is>
      </c>
      <c r="B135" s="1" t="n">
        <v>43804</v>
      </c>
      <c r="C135" s="1" t="n">
        <v>45875</v>
      </c>
      <c r="D135" t="inlineStr">
        <is>
          <t>VÄSTMANLANDS LÄN</t>
        </is>
      </c>
      <c r="E135" t="inlineStr">
        <is>
          <t>SURAHAMMAR</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2039-2020</t>
        </is>
      </c>
      <c r="B136" s="1" t="n">
        <v>43839</v>
      </c>
      <c r="C136" s="1" t="n">
        <v>45875</v>
      </c>
      <c r="D136" t="inlineStr">
        <is>
          <t>VÄSTMANLANDS LÄN</t>
        </is>
      </c>
      <c r="E136" t="inlineStr">
        <is>
          <t>SURAHAMMAR</t>
        </is>
      </c>
      <c r="G136" t="n">
        <v>1</v>
      </c>
      <c r="H136" t="n">
        <v>0</v>
      </c>
      <c r="I136" t="n">
        <v>0</v>
      </c>
      <c r="J136" t="n">
        <v>0</v>
      </c>
      <c r="K136" t="n">
        <v>0</v>
      </c>
      <c r="L136" t="n">
        <v>0</v>
      </c>
      <c r="M136" t="n">
        <v>0</v>
      </c>
      <c r="N136" t="n">
        <v>0</v>
      </c>
      <c r="O136" t="n">
        <v>0</v>
      </c>
      <c r="P136" t="n">
        <v>0</v>
      </c>
      <c r="Q136" t="n">
        <v>0</v>
      </c>
      <c r="R136" s="2" t="inlineStr"/>
    </row>
    <row r="137" ht="15" customHeight="1">
      <c r="A137" t="inlineStr">
        <is>
          <t>A 5804-2020</t>
        </is>
      </c>
      <c r="B137" s="1" t="n">
        <v>43864</v>
      </c>
      <c r="C137" s="1" t="n">
        <v>45875</v>
      </c>
      <c r="D137" t="inlineStr">
        <is>
          <t>VÄSTMANLANDS LÄN</t>
        </is>
      </c>
      <c r="E137" t="inlineStr">
        <is>
          <t>SURAHAMMAR</t>
        </is>
      </c>
      <c r="F137" t="inlineStr">
        <is>
          <t>Bergvik skog väst AB</t>
        </is>
      </c>
      <c r="G137" t="n">
        <v>0.9</v>
      </c>
      <c r="H137" t="n">
        <v>0</v>
      </c>
      <c r="I137" t="n">
        <v>0</v>
      </c>
      <c r="J137" t="n">
        <v>0</v>
      </c>
      <c r="K137" t="n">
        <v>0</v>
      </c>
      <c r="L137" t="n">
        <v>0</v>
      </c>
      <c r="M137" t="n">
        <v>0</v>
      </c>
      <c r="N137" t="n">
        <v>0</v>
      </c>
      <c r="O137" t="n">
        <v>0</v>
      </c>
      <c r="P137" t="n">
        <v>0</v>
      </c>
      <c r="Q137" t="n">
        <v>0</v>
      </c>
      <c r="R137" s="2" t="inlineStr"/>
    </row>
    <row r="138" ht="15" customHeight="1">
      <c r="A138" t="inlineStr">
        <is>
          <t>A 8608-2020</t>
        </is>
      </c>
      <c r="B138" s="1" t="n">
        <v>43878</v>
      </c>
      <c r="C138" s="1" t="n">
        <v>45875</v>
      </c>
      <c r="D138" t="inlineStr">
        <is>
          <t>VÄSTMANLANDS LÄN</t>
        </is>
      </c>
      <c r="E138" t="inlineStr">
        <is>
          <t>SURAHAMMAR</t>
        </is>
      </c>
      <c r="F138" t="inlineStr">
        <is>
          <t>Övriga Aktiebolag</t>
        </is>
      </c>
      <c r="G138" t="n">
        <v>20.2</v>
      </c>
      <c r="H138" t="n">
        <v>0</v>
      </c>
      <c r="I138" t="n">
        <v>0</v>
      </c>
      <c r="J138" t="n">
        <v>0</v>
      </c>
      <c r="K138" t="n">
        <v>0</v>
      </c>
      <c r="L138" t="n">
        <v>0</v>
      </c>
      <c r="M138" t="n">
        <v>0</v>
      </c>
      <c r="N138" t="n">
        <v>0</v>
      </c>
      <c r="O138" t="n">
        <v>0</v>
      </c>
      <c r="P138" t="n">
        <v>0</v>
      </c>
      <c r="Q138" t="n">
        <v>0</v>
      </c>
      <c r="R138" s="2" t="inlineStr"/>
    </row>
    <row r="139" ht="15" customHeight="1">
      <c r="A139" t="inlineStr">
        <is>
          <t>A 40660-2020</t>
        </is>
      </c>
      <c r="B139" s="1" t="n">
        <v>44069</v>
      </c>
      <c r="C139" s="1" t="n">
        <v>45875</v>
      </c>
      <c r="D139" t="inlineStr">
        <is>
          <t>VÄSTMANLANDS LÄN</t>
        </is>
      </c>
      <c r="E139" t="inlineStr">
        <is>
          <t>SURAHAMMAR</t>
        </is>
      </c>
      <c r="F139" t="inlineStr">
        <is>
          <t>Övriga Aktiebolag</t>
        </is>
      </c>
      <c r="G139" t="n">
        <v>1.9</v>
      </c>
      <c r="H139" t="n">
        <v>0</v>
      </c>
      <c r="I139" t="n">
        <v>0</v>
      </c>
      <c r="J139" t="n">
        <v>0</v>
      </c>
      <c r="K139" t="n">
        <v>0</v>
      </c>
      <c r="L139" t="n">
        <v>0</v>
      </c>
      <c r="M139" t="n">
        <v>0</v>
      </c>
      <c r="N139" t="n">
        <v>0</v>
      </c>
      <c r="O139" t="n">
        <v>0</v>
      </c>
      <c r="P139" t="n">
        <v>0</v>
      </c>
      <c r="Q139" t="n">
        <v>0</v>
      </c>
      <c r="R139" s="2" t="inlineStr"/>
    </row>
    <row r="140" ht="15" customHeight="1">
      <c r="A140" t="inlineStr">
        <is>
          <t>A 43171-2020</t>
        </is>
      </c>
      <c r="B140" s="1" t="n">
        <v>44081</v>
      </c>
      <c r="C140" s="1" t="n">
        <v>45875</v>
      </c>
      <c r="D140" t="inlineStr">
        <is>
          <t>VÄSTMANLANDS LÄN</t>
        </is>
      </c>
      <c r="E140" t="inlineStr">
        <is>
          <t>SURAHAMMAR</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43174-2020</t>
        </is>
      </c>
      <c r="B141" s="1" t="n">
        <v>44081</v>
      </c>
      <c r="C141" s="1" t="n">
        <v>45875</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43177-2020</t>
        </is>
      </c>
      <c r="B142" s="1" t="n">
        <v>44081</v>
      </c>
      <c r="C142" s="1" t="n">
        <v>45875</v>
      </c>
      <c r="D142" t="inlineStr">
        <is>
          <t>VÄSTMANLANDS LÄN</t>
        </is>
      </c>
      <c r="E142" t="inlineStr">
        <is>
          <t>SURAHAMMAR</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43590-2020</t>
        </is>
      </c>
      <c r="B143" s="1" t="n">
        <v>44082</v>
      </c>
      <c r="C143" s="1" t="n">
        <v>45875</v>
      </c>
      <c r="D143" t="inlineStr">
        <is>
          <t>VÄSTMANLANDS LÄN</t>
        </is>
      </c>
      <c r="E143" t="inlineStr">
        <is>
          <t>SURAHAMMAR</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47997-2020</t>
        </is>
      </c>
      <c r="B144" s="1" t="n">
        <v>44099</v>
      </c>
      <c r="C144" s="1" t="n">
        <v>45875</v>
      </c>
      <c r="D144" t="inlineStr">
        <is>
          <t>VÄSTMANLANDS LÄN</t>
        </is>
      </c>
      <c r="E144" t="inlineStr">
        <is>
          <t>SURAHAMMAR</t>
        </is>
      </c>
      <c r="G144" t="n">
        <v>4.8</v>
      </c>
      <c r="H144" t="n">
        <v>0</v>
      </c>
      <c r="I144" t="n">
        <v>0</v>
      </c>
      <c r="J144" t="n">
        <v>0</v>
      </c>
      <c r="K144" t="n">
        <v>0</v>
      </c>
      <c r="L144" t="n">
        <v>0</v>
      </c>
      <c r="M144" t="n">
        <v>0</v>
      </c>
      <c r="N144" t="n">
        <v>0</v>
      </c>
      <c r="O144" t="n">
        <v>0</v>
      </c>
      <c r="P144" t="n">
        <v>0</v>
      </c>
      <c r="Q144" t="n">
        <v>0</v>
      </c>
      <c r="R144" s="2" t="inlineStr"/>
    </row>
    <row r="145" ht="15" customHeight="1">
      <c r="A145" t="inlineStr">
        <is>
          <t>A 52076-2020</t>
        </is>
      </c>
      <c r="B145" s="1" t="n">
        <v>44117</v>
      </c>
      <c r="C145" s="1" t="n">
        <v>45875</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52074-2020</t>
        </is>
      </c>
      <c r="B146" s="1" t="n">
        <v>44117</v>
      </c>
      <c r="C146" s="1" t="n">
        <v>45875</v>
      </c>
      <c r="D146" t="inlineStr">
        <is>
          <t>VÄSTMANLANDS LÄN</t>
        </is>
      </c>
      <c r="E146" t="inlineStr">
        <is>
          <t>SURAHAMMAR</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54962-2020</t>
        </is>
      </c>
      <c r="B147" s="1" t="n">
        <v>44130</v>
      </c>
      <c r="C147" s="1" t="n">
        <v>45875</v>
      </c>
      <c r="D147" t="inlineStr">
        <is>
          <t>VÄSTMANLANDS LÄN</t>
        </is>
      </c>
      <c r="E147" t="inlineStr">
        <is>
          <t>SURAHAMMAR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55397-2020</t>
        </is>
      </c>
      <c r="B148" s="1" t="n">
        <v>44131</v>
      </c>
      <c r="C148" s="1" t="n">
        <v>45875</v>
      </c>
      <c r="D148" t="inlineStr">
        <is>
          <t>VÄSTMANLANDS LÄN</t>
        </is>
      </c>
      <c r="E148" t="inlineStr">
        <is>
          <t>SURAHAMMAR</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59543-2020</t>
        </is>
      </c>
      <c r="B149" s="1" t="n">
        <v>44148</v>
      </c>
      <c r="C149" s="1" t="n">
        <v>45875</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59740-2020</t>
        </is>
      </c>
      <c r="B150" s="1" t="n">
        <v>44151</v>
      </c>
      <c r="C150" s="1" t="n">
        <v>45875</v>
      </c>
      <c r="D150" t="inlineStr">
        <is>
          <t>VÄSTMANLANDS LÄN</t>
        </is>
      </c>
      <c r="E150" t="inlineStr">
        <is>
          <t>SURAHAMMAR</t>
        </is>
      </c>
      <c r="F150" t="inlineStr">
        <is>
          <t>Sveaskog</t>
        </is>
      </c>
      <c r="G150" t="n">
        <v>3.4</v>
      </c>
      <c r="H150" t="n">
        <v>0</v>
      </c>
      <c r="I150" t="n">
        <v>0</v>
      </c>
      <c r="J150" t="n">
        <v>0</v>
      </c>
      <c r="K150" t="n">
        <v>0</v>
      </c>
      <c r="L150" t="n">
        <v>0</v>
      </c>
      <c r="M150" t="n">
        <v>0</v>
      </c>
      <c r="N150" t="n">
        <v>0</v>
      </c>
      <c r="O150" t="n">
        <v>0</v>
      </c>
      <c r="P150" t="n">
        <v>0</v>
      </c>
      <c r="Q150" t="n">
        <v>0</v>
      </c>
      <c r="R150" s="2" t="inlineStr"/>
    </row>
    <row r="151" ht="15" customHeight="1">
      <c r="A151" t="inlineStr">
        <is>
          <t>A 59727-2020</t>
        </is>
      </c>
      <c r="B151" s="1" t="n">
        <v>44151</v>
      </c>
      <c r="C151" s="1" t="n">
        <v>45875</v>
      </c>
      <c r="D151" t="inlineStr">
        <is>
          <t>VÄSTMANLANDS LÄN</t>
        </is>
      </c>
      <c r="E151" t="inlineStr">
        <is>
          <t>SURAHAMMAR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1492-2021</t>
        </is>
      </c>
      <c r="B152" s="1" t="n">
        <v>44209</v>
      </c>
      <c r="C152" s="1" t="n">
        <v>45875</v>
      </c>
      <c r="D152" t="inlineStr">
        <is>
          <t>VÄSTMANLANDS LÄN</t>
        </is>
      </c>
      <c r="E152" t="inlineStr">
        <is>
          <t>SURAHAMMAR</t>
        </is>
      </c>
      <c r="G152" t="n">
        <v>1.2</v>
      </c>
      <c r="H152" t="n">
        <v>0</v>
      </c>
      <c r="I152" t="n">
        <v>0</v>
      </c>
      <c r="J152" t="n">
        <v>0</v>
      </c>
      <c r="K152" t="n">
        <v>0</v>
      </c>
      <c r="L152" t="n">
        <v>0</v>
      </c>
      <c r="M152" t="n">
        <v>0</v>
      </c>
      <c r="N152" t="n">
        <v>0</v>
      </c>
      <c r="O152" t="n">
        <v>0</v>
      </c>
      <c r="P152" t="n">
        <v>0</v>
      </c>
      <c r="Q152" t="n">
        <v>0</v>
      </c>
      <c r="R152" s="2" t="inlineStr"/>
    </row>
    <row r="153" ht="15" customHeight="1">
      <c r="A153" t="inlineStr">
        <is>
          <t>A 18723-2021</t>
        </is>
      </c>
      <c r="B153" s="1" t="n">
        <v>44306</v>
      </c>
      <c r="C153" s="1" t="n">
        <v>45875</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row r="154" ht="15" customHeight="1">
      <c r="A154" t="inlineStr">
        <is>
          <t>A 20478-2021</t>
        </is>
      </c>
      <c r="B154" s="1" t="n">
        <v>44315</v>
      </c>
      <c r="C154" s="1" t="n">
        <v>45875</v>
      </c>
      <c r="D154" t="inlineStr">
        <is>
          <t>VÄSTMANLANDS LÄN</t>
        </is>
      </c>
      <c r="E154" t="inlineStr">
        <is>
          <t>SURAHAMMAR</t>
        </is>
      </c>
      <c r="F154" t="inlineStr">
        <is>
          <t>Sveaskog</t>
        </is>
      </c>
      <c r="G154" t="n">
        <v>6.2</v>
      </c>
      <c r="H154" t="n">
        <v>0</v>
      </c>
      <c r="I154" t="n">
        <v>0</v>
      </c>
      <c r="J154" t="n">
        <v>0</v>
      </c>
      <c r="K154" t="n">
        <v>0</v>
      </c>
      <c r="L154" t="n">
        <v>0</v>
      </c>
      <c r="M154" t="n">
        <v>0</v>
      </c>
      <c r="N154" t="n">
        <v>0</v>
      </c>
      <c r="O154" t="n">
        <v>0</v>
      </c>
      <c r="P154" t="n">
        <v>0</v>
      </c>
      <c r="Q154" t="n">
        <v>0</v>
      </c>
      <c r="R154" s="2" t="inlineStr"/>
    </row>
    <row r="155" ht="15" customHeight="1">
      <c r="A155" t="inlineStr">
        <is>
          <t>A 21839-2021</t>
        </is>
      </c>
      <c r="B155" s="1" t="n">
        <v>44322</v>
      </c>
      <c r="C155" s="1" t="n">
        <v>45875</v>
      </c>
      <c r="D155" t="inlineStr">
        <is>
          <t>VÄSTMANLANDS LÄN</t>
        </is>
      </c>
      <c r="E155" t="inlineStr">
        <is>
          <t>SURAHAMMAR</t>
        </is>
      </c>
      <c r="G155" t="n">
        <v>1.6</v>
      </c>
      <c r="H155" t="n">
        <v>0</v>
      </c>
      <c r="I155" t="n">
        <v>0</v>
      </c>
      <c r="J155" t="n">
        <v>0</v>
      </c>
      <c r="K155" t="n">
        <v>0</v>
      </c>
      <c r="L155" t="n">
        <v>0</v>
      </c>
      <c r="M155" t="n">
        <v>0</v>
      </c>
      <c r="N155" t="n">
        <v>0</v>
      </c>
      <c r="O155" t="n">
        <v>0</v>
      </c>
      <c r="P155" t="n">
        <v>0</v>
      </c>
      <c r="Q155" t="n">
        <v>0</v>
      </c>
      <c r="R155" s="2" t="inlineStr"/>
    </row>
    <row r="156" ht="15" customHeight="1">
      <c r="A156" t="inlineStr">
        <is>
          <t>A 24804-2021</t>
        </is>
      </c>
      <c r="B156" s="1" t="n">
        <v>44340</v>
      </c>
      <c r="C156" s="1" t="n">
        <v>45875</v>
      </c>
      <c r="D156" t="inlineStr">
        <is>
          <t>VÄSTMANLANDS LÄN</t>
        </is>
      </c>
      <c r="E156" t="inlineStr">
        <is>
          <t>SURAHAMMAR</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31468-2021</t>
        </is>
      </c>
      <c r="B157" s="1" t="n">
        <v>44369</v>
      </c>
      <c r="C157" s="1" t="n">
        <v>45875</v>
      </c>
      <c r="D157" t="inlineStr">
        <is>
          <t>VÄSTMANLANDS LÄN</t>
        </is>
      </c>
      <c r="E157" t="inlineStr">
        <is>
          <t>SURAHAMMAR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33998-2021</t>
        </is>
      </c>
      <c r="B158" s="1" t="n">
        <v>44378</v>
      </c>
      <c r="C158" s="1" t="n">
        <v>45875</v>
      </c>
      <c r="D158" t="inlineStr">
        <is>
          <t>VÄSTMANLANDS LÄN</t>
        </is>
      </c>
      <c r="E158" t="inlineStr">
        <is>
          <t>SURAHAMMAR</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34001-2021</t>
        </is>
      </c>
      <c r="B159" s="1" t="n">
        <v>44378</v>
      </c>
      <c r="C159" s="1" t="n">
        <v>45875</v>
      </c>
      <c r="D159" t="inlineStr">
        <is>
          <t>VÄSTMANLANDS LÄN</t>
        </is>
      </c>
      <c r="E159" t="inlineStr">
        <is>
          <t>SURAHAMMAR</t>
        </is>
      </c>
      <c r="F159" t="inlineStr">
        <is>
          <t>Bergvik skog väst AB</t>
        </is>
      </c>
      <c r="G159" t="n">
        <v>1.9</v>
      </c>
      <c r="H159" t="n">
        <v>0</v>
      </c>
      <c r="I159" t="n">
        <v>0</v>
      </c>
      <c r="J159" t="n">
        <v>0</v>
      </c>
      <c r="K159" t="n">
        <v>0</v>
      </c>
      <c r="L159" t="n">
        <v>0</v>
      </c>
      <c r="M159" t="n">
        <v>0</v>
      </c>
      <c r="N159" t="n">
        <v>0</v>
      </c>
      <c r="O159" t="n">
        <v>0</v>
      </c>
      <c r="P159" t="n">
        <v>0</v>
      </c>
      <c r="Q159" t="n">
        <v>0</v>
      </c>
      <c r="R159" s="2" t="inlineStr"/>
    </row>
    <row r="160" ht="15" customHeight="1">
      <c r="A160" t="inlineStr">
        <is>
          <t>A 37798-2021</t>
        </is>
      </c>
      <c r="B160" s="1" t="n">
        <v>44402</v>
      </c>
      <c r="C160" s="1" t="n">
        <v>45875</v>
      </c>
      <c r="D160" t="inlineStr">
        <is>
          <t>VÄSTMANLANDS LÄN</t>
        </is>
      </c>
      <c r="E160" t="inlineStr">
        <is>
          <t>SURAHAMMAR</t>
        </is>
      </c>
      <c r="F160" t="inlineStr">
        <is>
          <t>Kommuner</t>
        </is>
      </c>
      <c r="G160" t="n">
        <v>1.2</v>
      </c>
      <c r="H160" t="n">
        <v>0</v>
      </c>
      <c r="I160" t="n">
        <v>0</v>
      </c>
      <c r="J160" t="n">
        <v>0</v>
      </c>
      <c r="K160" t="n">
        <v>0</v>
      </c>
      <c r="L160" t="n">
        <v>0</v>
      </c>
      <c r="M160" t="n">
        <v>0</v>
      </c>
      <c r="N160" t="n">
        <v>0</v>
      </c>
      <c r="O160" t="n">
        <v>0</v>
      </c>
      <c r="P160" t="n">
        <v>0</v>
      </c>
      <c r="Q160" t="n">
        <v>0</v>
      </c>
      <c r="R160" s="2" t="inlineStr"/>
    </row>
    <row r="161" ht="15" customHeight="1">
      <c r="A161" t="inlineStr">
        <is>
          <t>A 37799-2021</t>
        </is>
      </c>
      <c r="B161" s="1" t="n">
        <v>44402</v>
      </c>
      <c r="C161" s="1" t="n">
        <v>45875</v>
      </c>
      <c r="D161" t="inlineStr">
        <is>
          <t>VÄSTMANLANDS LÄN</t>
        </is>
      </c>
      <c r="E161" t="inlineStr">
        <is>
          <t>SURAHAMMAR</t>
        </is>
      </c>
      <c r="F161" t="inlineStr">
        <is>
          <t>Kommuner</t>
        </is>
      </c>
      <c r="G161" t="n">
        <v>2.1</v>
      </c>
      <c r="H161" t="n">
        <v>0</v>
      </c>
      <c r="I161" t="n">
        <v>0</v>
      </c>
      <c r="J161" t="n">
        <v>0</v>
      </c>
      <c r="K161" t="n">
        <v>0</v>
      </c>
      <c r="L161" t="n">
        <v>0</v>
      </c>
      <c r="M161" t="n">
        <v>0</v>
      </c>
      <c r="N161" t="n">
        <v>0</v>
      </c>
      <c r="O161" t="n">
        <v>0</v>
      </c>
      <c r="P161" t="n">
        <v>0</v>
      </c>
      <c r="Q161" t="n">
        <v>0</v>
      </c>
      <c r="R161" s="2" t="inlineStr"/>
    </row>
    <row r="162" ht="15" customHeight="1">
      <c r="A162" t="inlineStr">
        <is>
          <t>A 38150-2021</t>
        </is>
      </c>
      <c r="B162" s="1" t="n">
        <v>44405</v>
      </c>
      <c r="C162" s="1" t="n">
        <v>45875</v>
      </c>
      <c r="D162" t="inlineStr">
        <is>
          <t>VÄSTMANLANDS LÄN</t>
        </is>
      </c>
      <c r="E162" t="inlineStr">
        <is>
          <t>SURAHAMMAR</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38178-2021</t>
        </is>
      </c>
      <c r="B163" s="1" t="n">
        <v>44405</v>
      </c>
      <c r="C163" s="1" t="n">
        <v>45875</v>
      </c>
      <c r="D163" t="inlineStr">
        <is>
          <t>VÄSTMANLANDS LÄN</t>
        </is>
      </c>
      <c r="E163" t="inlineStr">
        <is>
          <t>SURAHAMMAR</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38149-2021</t>
        </is>
      </c>
      <c r="B164" s="1" t="n">
        <v>44405</v>
      </c>
      <c r="C164" s="1" t="n">
        <v>45875</v>
      </c>
      <c r="D164" t="inlineStr">
        <is>
          <t>VÄSTMANLANDS LÄN</t>
        </is>
      </c>
      <c r="E164" t="inlineStr">
        <is>
          <t>SURAHAMMAR</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38163-2021</t>
        </is>
      </c>
      <c r="B165" s="1" t="n">
        <v>44405</v>
      </c>
      <c r="C165" s="1" t="n">
        <v>45875</v>
      </c>
      <c r="D165" t="inlineStr">
        <is>
          <t>VÄSTMANLANDS LÄN</t>
        </is>
      </c>
      <c r="E165" t="inlineStr">
        <is>
          <t>SURAHAMMAR</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38154-2021</t>
        </is>
      </c>
      <c r="B166" s="1" t="n">
        <v>44405</v>
      </c>
      <c r="C166" s="1" t="n">
        <v>45875</v>
      </c>
      <c r="D166" t="inlineStr">
        <is>
          <t>VÄSTMANLANDS LÄN</t>
        </is>
      </c>
      <c r="E166" t="inlineStr">
        <is>
          <t>SURAHAMMAR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47852-2021</t>
        </is>
      </c>
      <c r="B167" s="1" t="n">
        <v>44448</v>
      </c>
      <c r="C167" s="1" t="n">
        <v>45875</v>
      </c>
      <c r="D167" t="inlineStr">
        <is>
          <t>VÄSTMANLANDS LÄN</t>
        </is>
      </c>
      <c r="E167" t="inlineStr">
        <is>
          <t>SURAHAMMAR</t>
        </is>
      </c>
      <c r="G167" t="n">
        <v>4.1</v>
      </c>
      <c r="H167" t="n">
        <v>0</v>
      </c>
      <c r="I167" t="n">
        <v>0</v>
      </c>
      <c r="J167" t="n">
        <v>0</v>
      </c>
      <c r="K167" t="n">
        <v>0</v>
      </c>
      <c r="L167" t="n">
        <v>0</v>
      </c>
      <c r="M167" t="n">
        <v>0</v>
      </c>
      <c r="N167" t="n">
        <v>0</v>
      </c>
      <c r="O167" t="n">
        <v>0</v>
      </c>
      <c r="P167" t="n">
        <v>0</v>
      </c>
      <c r="Q167" t="n">
        <v>0</v>
      </c>
      <c r="R167" s="2" t="inlineStr"/>
    </row>
    <row r="168" ht="15" customHeight="1">
      <c r="A168" t="inlineStr">
        <is>
          <t>A 47785-2021</t>
        </is>
      </c>
      <c r="B168" s="1" t="n">
        <v>44448</v>
      </c>
      <c r="C168" s="1" t="n">
        <v>45875</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row r="169" ht="15" customHeight="1">
      <c r="A169" t="inlineStr">
        <is>
          <t>A 64073-2021</t>
        </is>
      </c>
      <c r="B169" s="1" t="n">
        <v>44509</v>
      </c>
      <c r="C169" s="1" t="n">
        <v>45875</v>
      </c>
      <c r="D169" t="inlineStr">
        <is>
          <t>VÄSTMANLANDS LÄN</t>
        </is>
      </c>
      <c r="E169" t="inlineStr">
        <is>
          <t>SURAHAMMAR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66342-2021</t>
        </is>
      </c>
      <c r="B170" s="1" t="n">
        <v>44518</v>
      </c>
      <c r="C170" s="1" t="n">
        <v>45875</v>
      </c>
      <c r="D170" t="inlineStr">
        <is>
          <t>VÄSTMANLANDS LÄN</t>
        </is>
      </c>
      <c r="E170" t="inlineStr">
        <is>
          <t>SURAHAMMAR</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66350-2021</t>
        </is>
      </c>
      <c r="B171" s="1" t="n">
        <v>44518</v>
      </c>
      <c r="C171" s="1" t="n">
        <v>45875</v>
      </c>
      <c r="D171" t="inlineStr">
        <is>
          <t>VÄSTMANLANDS LÄN</t>
        </is>
      </c>
      <c r="E171" t="inlineStr">
        <is>
          <t>SURAHAMMAR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67611-2021</t>
        </is>
      </c>
      <c r="B172" s="1" t="n">
        <v>44524</v>
      </c>
      <c r="C172" s="1" t="n">
        <v>45875</v>
      </c>
      <c r="D172" t="inlineStr">
        <is>
          <t>VÄSTMANLANDS LÄN</t>
        </is>
      </c>
      <c r="E172" t="inlineStr">
        <is>
          <t>SURAHAMMAR</t>
        </is>
      </c>
      <c r="F172" t="inlineStr">
        <is>
          <t>Kommuner</t>
        </is>
      </c>
      <c r="G172" t="n">
        <v>3.8</v>
      </c>
      <c r="H172" t="n">
        <v>0</v>
      </c>
      <c r="I172" t="n">
        <v>0</v>
      </c>
      <c r="J172" t="n">
        <v>0</v>
      </c>
      <c r="K172" t="n">
        <v>0</v>
      </c>
      <c r="L172" t="n">
        <v>0</v>
      </c>
      <c r="M172" t="n">
        <v>0</v>
      </c>
      <c r="N172" t="n">
        <v>0</v>
      </c>
      <c r="O172" t="n">
        <v>0</v>
      </c>
      <c r="P172" t="n">
        <v>0</v>
      </c>
      <c r="Q172" t="n">
        <v>0</v>
      </c>
      <c r="R172" s="2" t="inlineStr"/>
    </row>
    <row r="173" ht="15" customHeight="1">
      <c r="A173" t="inlineStr">
        <is>
          <t>A 72367-2021</t>
        </is>
      </c>
      <c r="B173" s="1" t="n">
        <v>44545</v>
      </c>
      <c r="C173" s="1" t="n">
        <v>45875</v>
      </c>
      <c r="D173" t="inlineStr">
        <is>
          <t>VÄSTMANLANDS LÄN</t>
        </is>
      </c>
      <c r="E173" t="inlineStr">
        <is>
          <t>SURAHAMMAR</t>
        </is>
      </c>
      <c r="G173" t="n">
        <v>2.5</v>
      </c>
      <c r="H173" t="n">
        <v>0</v>
      </c>
      <c r="I173" t="n">
        <v>0</v>
      </c>
      <c r="J173" t="n">
        <v>0</v>
      </c>
      <c r="K173" t="n">
        <v>0</v>
      </c>
      <c r="L173" t="n">
        <v>0</v>
      </c>
      <c r="M173" t="n">
        <v>0</v>
      </c>
      <c r="N173" t="n">
        <v>0</v>
      </c>
      <c r="O173" t="n">
        <v>0</v>
      </c>
      <c r="P173" t="n">
        <v>0</v>
      </c>
      <c r="Q173" t="n">
        <v>0</v>
      </c>
      <c r="R173" s="2" t="inlineStr"/>
    </row>
    <row r="174" ht="15" customHeight="1">
      <c r="A174" t="inlineStr">
        <is>
          <t>A 73156-2021</t>
        </is>
      </c>
      <c r="B174" s="1" t="n">
        <v>44550</v>
      </c>
      <c r="C174" s="1" t="n">
        <v>45875</v>
      </c>
      <c r="D174" t="inlineStr">
        <is>
          <t>VÄSTMANLANDS LÄN</t>
        </is>
      </c>
      <c r="E174" t="inlineStr">
        <is>
          <t>SURAHAMMAR</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3155-2022</t>
        </is>
      </c>
      <c r="B175" s="1" t="n">
        <v>44582</v>
      </c>
      <c r="C175" s="1" t="n">
        <v>45875</v>
      </c>
      <c r="D175" t="inlineStr">
        <is>
          <t>VÄSTMANLANDS LÄN</t>
        </is>
      </c>
      <c r="E175" t="inlineStr">
        <is>
          <t>SURAHAMMAR</t>
        </is>
      </c>
      <c r="G175" t="n">
        <v>5.5</v>
      </c>
      <c r="H175" t="n">
        <v>0</v>
      </c>
      <c r="I175" t="n">
        <v>0</v>
      </c>
      <c r="J175" t="n">
        <v>0</v>
      </c>
      <c r="K175" t="n">
        <v>0</v>
      </c>
      <c r="L175" t="n">
        <v>0</v>
      </c>
      <c r="M175" t="n">
        <v>0</v>
      </c>
      <c r="N175" t="n">
        <v>0</v>
      </c>
      <c r="O175" t="n">
        <v>0</v>
      </c>
      <c r="P175" t="n">
        <v>0</v>
      </c>
      <c r="Q175" t="n">
        <v>0</v>
      </c>
      <c r="R175" s="2" t="inlineStr"/>
    </row>
    <row r="176" ht="15" customHeight="1">
      <c r="A176" t="inlineStr">
        <is>
          <t>A 3595-2022</t>
        </is>
      </c>
      <c r="B176" s="1" t="n">
        <v>44586</v>
      </c>
      <c r="C176" s="1" t="n">
        <v>45875</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3818-2022</t>
        </is>
      </c>
      <c r="B177" s="1" t="n">
        <v>44587</v>
      </c>
      <c r="C177" s="1" t="n">
        <v>45875</v>
      </c>
      <c r="D177" t="inlineStr">
        <is>
          <t>VÄSTMANLANDS LÄN</t>
        </is>
      </c>
      <c r="E177" t="inlineStr">
        <is>
          <t>SURAHAMMAR</t>
        </is>
      </c>
      <c r="G177" t="n">
        <v>2.6</v>
      </c>
      <c r="H177" t="n">
        <v>0</v>
      </c>
      <c r="I177" t="n">
        <v>0</v>
      </c>
      <c r="J177" t="n">
        <v>0</v>
      </c>
      <c r="K177" t="n">
        <v>0</v>
      </c>
      <c r="L177" t="n">
        <v>0</v>
      </c>
      <c r="M177" t="n">
        <v>0</v>
      </c>
      <c r="N177" t="n">
        <v>0</v>
      </c>
      <c r="O177" t="n">
        <v>0</v>
      </c>
      <c r="P177" t="n">
        <v>0</v>
      </c>
      <c r="Q177" t="n">
        <v>0</v>
      </c>
      <c r="R177" s="2" t="inlineStr"/>
    </row>
    <row r="178" ht="15" customHeight="1">
      <c r="A178" t="inlineStr">
        <is>
          <t>A 5567-2022</t>
        </is>
      </c>
      <c r="B178" s="1" t="n">
        <v>44595</v>
      </c>
      <c r="C178" s="1" t="n">
        <v>45875</v>
      </c>
      <c r="D178" t="inlineStr">
        <is>
          <t>VÄSTMANLANDS LÄN</t>
        </is>
      </c>
      <c r="E178" t="inlineStr">
        <is>
          <t>SURAHAMMAR</t>
        </is>
      </c>
      <c r="G178" t="n">
        <v>1.3</v>
      </c>
      <c r="H178" t="n">
        <v>0</v>
      </c>
      <c r="I178" t="n">
        <v>0</v>
      </c>
      <c r="J178" t="n">
        <v>0</v>
      </c>
      <c r="K178" t="n">
        <v>0</v>
      </c>
      <c r="L178" t="n">
        <v>0</v>
      </c>
      <c r="M178" t="n">
        <v>0</v>
      </c>
      <c r="N178" t="n">
        <v>0</v>
      </c>
      <c r="O178" t="n">
        <v>0</v>
      </c>
      <c r="P178" t="n">
        <v>0</v>
      </c>
      <c r="Q178" t="n">
        <v>0</v>
      </c>
      <c r="R178" s="2" t="inlineStr"/>
    </row>
    <row r="179" ht="15" customHeight="1">
      <c r="A179" t="inlineStr">
        <is>
          <t>A 7848-2022</t>
        </is>
      </c>
      <c r="B179" s="1" t="n">
        <v>44608</v>
      </c>
      <c r="C179" s="1" t="n">
        <v>45875</v>
      </c>
      <c r="D179" t="inlineStr">
        <is>
          <t>VÄSTMANLANDS LÄN</t>
        </is>
      </c>
      <c r="E179" t="inlineStr">
        <is>
          <t>SURAHAMMAR</t>
        </is>
      </c>
      <c r="G179" t="n">
        <v>2.1</v>
      </c>
      <c r="H179" t="n">
        <v>0</v>
      </c>
      <c r="I179" t="n">
        <v>0</v>
      </c>
      <c r="J179" t="n">
        <v>0</v>
      </c>
      <c r="K179" t="n">
        <v>0</v>
      </c>
      <c r="L179" t="n">
        <v>0</v>
      </c>
      <c r="M179" t="n">
        <v>0</v>
      </c>
      <c r="N179" t="n">
        <v>0</v>
      </c>
      <c r="O179" t="n">
        <v>0</v>
      </c>
      <c r="P179" t="n">
        <v>0</v>
      </c>
      <c r="Q179" t="n">
        <v>0</v>
      </c>
      <c r="R179" s="2" t="inlineStr"/>
    </row>
    <row r="180" ht="15" customHeight="1">
      <c r="A180" t="inlineStr">
        <is>
          <t>A 13119-2022</t>
        </is>
      </c>
      <c r="B180" s="1" t="n">
        <v>44643</v>
      </c>
      <c r="C180" s="1" t="n">
        <v>45875</v>
      </c>
      <c r="D180" t="inlineStr">
        <is>
          <t>VÄSTMANLANDS LÄN</t>
        </is>
      </c>
      <c r="E180" t="inlineStr">
        <is>
          <t>SURAHAMMAR</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13070-2022</t>
        </is>
      </c>
      <c r="B181" s="1" t="n">
        <v>44643</v>
      </c>
      <c r="C181" s="1" t="n">
        <v>45875</v>
      </c>
      <c r="D181" t="inlineStr">
        <is>
          <t>VÄSTMANLANDS LÄN</t>
        </is>
      </c>
      <c r="E181" t="inlineStr">
        <is>
          <t>SURAHAMMAR</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15637-2022</t>
        </is>
      </c>
      <c r="B182" s="1" t="n">
        <v>44662</v>
      </c>
      <c r="C182" s="1" t="n">
        <v>45875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16608-2022</t>
        </is>
      </c>
      <c r="B183" s="1" t="n">
        <v>44672</v>
      </c>
      <c r="C183" s="1" t="n">
        <v>45875</v>
      </c>
      <c r="D183" t="inlineStr">
        <is>
          <t>VÄSTMANLANDS LÄN</t>
        </is>
      </c>
      <c r="E183" t="inlineStr">
        <is>
          <t>SURAHAMMAR</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19099-2022</t>
        </is>
      </c>
      <c r="B184" s="1" t="n">
        <v>44691</v>
      </c>
      <c r="C184" s="1" t="n">
        <v>45875</v>
      </c>
      <c r="D184" t="inlineStr">
        <is>
          <t>VÄSTMANLANDS LÄN</t>
        </is>
      </c>
      <c r="E184" t="inlineStr">
        <is>
          <t>SURAHAMMAR</t>
        </is>
      </c>
      <c r="F184" t="inlineStr">
        <is>
          <t>Övriga Aktiebolag</t>
        </is>
      </c>
      <c r="G184" t="n">
        <v>3.4</v>
      </c>
      <c r="H184" t="n">
        <v>0</v>
      </c>
      <c r="I184" t="n">
        <v>0</v>
      </c>
      <c r="J184" t="n">
        <v>0</v>
      </c>
      <c r="K184" t="n">
        <v>0</v>
      </c>
      <c r="L184" t="n">
        <v>0</v>
      </c>
      <c r="M184" t="n">
        <v>0</v>
      </c>
      <c r="N184" t="n">
        <v>0</v>
      </c>
      <c r="O184" t="n">
        <v>0</v>
      </c>
      <c r="P184" t="n">
        <v>0</v>
      </c>
      <c r="Q184" t="n">
        <v>0</v>
      </c>
      <c r="R184" s="2" t="inlineStr"/>
    </row>
    <row r="185" ht="15" customHeight="1">
      <c r="A185" t="inlineStr">
        <is>
          <t>A 19637-2022</t>
        </is>
      </c>
      <c r="B185" s="1" t="n">
        <v>44694</v>
      </c>
      <c r="C185" s="1" t="n">
        <v>45875</v>
      </c>
      <c r="D185" t="inlineStr">
        <is>
          <t>VÄSTMANLANDS LÄN</t>
        </is>
      </c>
      <c r="E185" t="inlineStr">
        <is>
          <t>SURAHAMMAR</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19844-2022</t>
        </is>
      </c>
      <c r="B186" s="1" t="n">
        <v>44696</v>
      </c>
      <c r="C186" s="1" t="n">
        <v>45875</v>
      </c>
      <c r="D186" t="inlineStr">
        <is>
          <t>VÄSTMANLANDS LÄN</t>
        </is>
      </c>
      <c r="E186" t="inlineStr">
        <is>
          <t>SURAHAMMAR</t>
        </is>
      </c>
      <c r="F186" t="inlineStr">
        <is>
          <t>Kommuner</t>
        </is>
      </c>
      <c r="G186" t="n">
        <v>2.1</v>
      </c>
      <c r="H186" t="n">
        <v>0</v>
      </c>
      <c r="I186" t="n">
        <v>0</v>
      </c>
      <c r="J186" t="n">
        <v>0</v>
      </c>
      <c r="K186" t="n">
        <v>0</v>
      </c>
      <c r="L186" t="n">
        <v>0</v>
      </c>
      <c r="M186" t="n">
        <v>0</v>
      </c>
      <c r="N186" t="n">
        <v>0</v>
      </c>
      <c r="O186" t="n">
        <v>0</v>
      </c>
      <c r="P186" t="n">
        <v>0</v>
      </c>
      <c r="Q186" t="n">
        <v>0</v>
      </c>
      <c r="R186" s="2" t="inlineStr"/>
    </row>
    <row r="187" ht="15" customHeight="1">
      <c r="A187" t="inlineStr">
        <is>
          <t>A 19845-2022</t>
        </is>
      </c>
      <c r="B187" s="1" t="n">
        <v>44696</v>
      </c>
      <c r="C187" s="1" t="n">
        <v>45875</v>
      </c>
      <c r="D187" t="inlineStr">
        <is>
          <t>VÄSTMANLANDS LÄN</t>
        </is>
      </c>
      <c r="E187" t="inlineStr">
        <is>
          <t>SURAHAMMAR</t>
        </is>
      </c>
      <c r="F187" t="inlineStr">
        <is>
          <t>Kommuner</t>
        </is>
      </c>
      <c r="G187" t="n">
        <v>3.3</v>
      </c>
      <c r="H187" t="n">
        <v>0</v>
      </c>
      <c r="I187" t="n">
        <v>0</v>
      </c>
      <c r="J187" t="n">
        <v>0</v>
      </c>
      <c r="K187" t="n">
        <v>0</v>
      </c>
      <c r="L187" t="n">
        <v>0</v>
      </c>
      <c r="M187" t="n">
        <v>0</v>
      </c>
      <c r="N187" t="n">
        <v>0</v>
      </c>
      <c r="O187" t="n">
        <v>0</v>
      </c>
      <c r="P187" t="n">
        <v>0</v>
      </c>
      <c r="Q187" t="n">
        <v>0</v>
      </c>
      <c r="R187" s="2" t="inlineStr"/>
    </row>
    <row r="188" ht="15" customHeight="1">
      <c r="A188" t="inlineStr">
        <is>
          <t>A 19846-2022</t>
        </is>
      </c>
      <c r="B188" s="1" t="n">
        <v>44696</v>
      </c>
      <c r="C188" s="1" t="n">
        <v>45875</v>
      </c>
      <c r="D188" t="inlineStr">
        <is>
          <t>VÄSTMANLANDS LÄN</t>
        </is>
      </c>
      <c r="E188" t="inlineStr">
        <is>
          <t>SURAHAMMAR</t>
        </is>
      </c>
      <c r="F188" t="inlineStr">
        <is>
          <t>Kommuner</t>
        </is>
      </c>
      <c r="G188" t="n">
        <v>3.4</v>
      </c>
      <c r="H188" t="n">
        <v>0</v>
      </c>
      <c r="I188" t="n">
        <v>0</v>
      </c>
      <c r="J188" t="n">
        <v>0</v>
      </c>
      <c r="K188" t="n">
        <v>0</v>
      </c>
      <c r="L188" t="n">
        <v>0</v>
      </c>
      <c r="M188" t="n">
        <v>0</v>
      </c>
      <c r="N188" t="n">
        <v>0</v>
      </c>
      <c r="O188" t="n">
        <v>0</v>
      </c>
      <c r="P188" t="n">
        <v>0</v>
      </c>
      <c r="Q188" t="n">
        <v>0</v>
      </c>
      <c r="R188" s="2" t="inlineStr"/>
    </row>
    <row r="189" ht="15" customHeight="1">
      <c r="A189" t="inlineStr">
        <is>
          <t>A 32475-2022</t>
        </is>
      </c>
      <c r="B189" s="1" t="n">
        <v>44782</v>
      </c>
      <c r="C189" s="1" t="n">
        <v>45875</v>
      </c>
      <c r="D189" t="inlineStr">
        <is>
          <t>VÄSTMANLANDS LÄN</t>
        </is>
      </c>
      <c r="E189" t="inlineStr">
        <is>
          <t>SURAHAMMAR</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32491-2022</t>
        </is>
      </c>
      <c r="B190" s="1" t="n">
        <v>44782</v>
      </c>
      <c r="C190" s="1" t="n">
        <v>45875</v>
      </c>
      <c r="D190" t="inlineStr">
        <is>
          <t>VÄSTMANLANDS LÄN</t>
        </is>
      </c>
      <c r="E190" t="inlineStr">
        <is>
          <t>SURAHAMMAR</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ht="15" customHeight="1">
      <c r="A191" t="inlineStr">
        <is>
          <t>A 32492-2022</t>
        </is>
      </c>
      <c r="B191" s="1" t="n">
        <v>44782</v>
      </c>
      <c r="C191" s="1" t="n">
        <v>45875</v>
      </c>
      <c r="D191" t="inlineStr">
        <is>
          <t>VÄSTMANLANDS LÄN</t>
        </is>
      </c>
      <c r="E191" t="inlineStr">
        <is>
          <t>SURAHAMMAR</t>
        </is>
      </c>
      <c r="F191" t="inlineStr">
        <is>
          <t>Bergvik skog väst AB</t>
        </is>
      </c>
      <c r="G191" t="n">
        <v>5.3</v>
      </c>
      <c r="H191" t="n">
        <v>0</v>
      </c>
      <c r="I191" t="n">
        <v>0</v>
      </c>
      <c r="J191" t="n">
        <v>0</v>
      </c>
      <c r="K191" t="n">
        <v>0</v>
      </c>
      <c r="L191" t="n">
        <v>0</v>
      </c>
      <c r="M191" t="n">
        <v>0</v>
      </c>
      <c r="N191" t="n">
        <v>0</v>
      </c>
      <c r="O191" t="n">
        <v>0</v>
      </c>
      <c r="P191" t="n">
        <v>0</v>
      </c>
      <c r="Q191" t="n">
        <v>0</v>
      </c>
      <c r="R191" s="2" t="inlineStr"/>
    </row>
    <row r="192" ht="15" customHeight="1">
      <c r="A192" t="inlineStr">
        <is>
          <t>A 33931-2022</t>
        </is>
      </c>
      <c r="B192" s="1" t="n">
        <v>44790</v>
      </c>
      <c r="C192" s="1" t="n">
        <v>45875</v>
      </c>
      <c r="D192" t="inlineStr">
        <is>
          <t>VÄSTMANLANDS LÄN</t>
        </is>
      </c>
      <c r="E192" t="inlineStr">
        <is>
          <t>SURAHAMMAR</t>
        </is>
      </c>
      <c r="G192" t="n">
        <v>2.2</v>
      </c>
      <c r="H192" t="n">
        <v>0</v>
      </c>
      <c r="I192" t="n">
        <v>0</v>
      </c>
      <c r="J192" t="n">
        <v>0</v>
      </c>
      <c r="K192" t="n">
        <v>0</v>
      </c>
      <c r="L192" t="n">
        <v>0</v>
      </c>
      <c r="M192" t="n">
        <v>0</v>
      </c>
      <c r="N192" t="n">
        <v>0</v>
      </c>
      <c r="O192" t="n">
        <v>0</v>
      </c>
      <c r="P192" t="n">
        <v>0</v>
      </c>
      <c r="Q192" t="n">
        <v>0</v>
      </c>
      <c r="R192" s="2" t="inlineStr"/>
    </row>
    <row r="193" ht="15" customHeight="1">
      <c r="A193" t="inlineStr">
        <is>
          <t>A 33946-2022</t>
        </is>
      </c>
      <c r="B193" s="1" t="n">
        <v>44790</v>
      </c>
      <c r="C193" s="1" t="n">
        <v>45875</v>
      </c>
      <c r="D193" t="inlineStr">
        <is>
          <t>VÄSTMANLANDS LÄN</t>
        </is>
      </c>
      <c r="E193" t="inlineStr">
        <is>
          <t>SURAHAMMAR</t>
        </is>
      </c>
      <c r="G193" t="n">
        <v>2.3</v>
      </c>
      <c r="H193" t="n">
        <v>0</v>
      </c>
      <c r="I193" t="n">
        <v>0</v>
      </c>
      <c r="J193" t="n">
        <v>0</v>
      </c>
      <c r="K193" t="n">
        <v>0</v>
      </c>
      <c r="L193" t="n">
        <v>0</v>
      </c>
      <c r="M193" t="n">
        <v>0</v>
      </c>
      <c r="N193" t="n">
        <v>0</v>
      </c>
      <c r="O193" t="n">
        <v>0</v>
      </c>
      <c r="P193" t="n">
        <v>0</v>
      </c>
      <c r="Q193" t="n">
        <v>0</v>
      </c>
      <c r="R193" s="2" t="inlineStr"/>
    </row>
    <row r="194" ht="15" customHeight="1">
      <c r="A194" t="inlineStr">
        <is>
          <t>A 33953-2022</t>
        </is>
      </c>
      <c r="B194" s="1" t="n">
        <v>44790</v>
      </c>
      <c r="C194" s="1" t="n">
        <v>45875</v>
      </c>
      <c r="D194" t="inlineStr">
        <is>
          <t>VÄSTMANLANDS LÄN</t>
        </is>
      </c>
      <c r="E194" t="inlineStr">
        <is>
          <t>SURAHAMMAR</t>
        </is>
      </c>
      <c r="G194" t="n">
        <v>3</v>
      </c>
      <c r="H194" t="n">
        <v>0</v>
      </c>
      <c r="I194" t="n">
        <v>0</v>
      </c>
      <c r="J194" t="n">
        <v>0</v>
      </c>
      <c r="K194" t="n">
        <v>0</v>
      </c>
      <c r="L194" t="n">
        <v>0</v>
      </c>
      <c r="M194" t="n">
        <v>0</v>
      </c>
      <c r="N194" t="n">
        <v>0</v>
      </c>
      <c r="O194" t="n">
        <v>0</v>
      </c>
      <c r="P194" t="n">
        <v>0</v>
      </c>
      <c r="Q194" t="n">
        <v>0</v>
      </c>
      <c r="R194" s="2" t="inlineStr"/>
    </row>
    <row r="195" ht="15" customHeight="1">
      <c r="A195" t="inlineStr">
        <is>
          <t>A 34957-2022</t>
        </is>
      </c>
      <c r="B195" s="1" t="n">
        <v>44796</v>
      </c>
      <c r="C195" s="1" t="n">
        <v>45875</v>
      </c>
      <c r="D195" t="inlineStr">
        <is>
          <t>VÄSTMANLANDS LÄN</t>
        </is>
      </c>
      <c r="E195" t="inlineStr">
        <is>
          <t>SURAHAMMAR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34955-2022</t>
        </is>
      </c>
      <c r="B196" s="1" t="n">
        <v>44796</v>
      </c>
      <c r="C196" s="1" t="n">
        <v>45875</v>
      </c>
      <c r="D196" t="inlineStr">
        <is>
          <t>VÄSTMANLANDS LÄN</t>
        </is>
      </c>
      <c r="E196" t="inlineStr">
        <is>
          <t>SURAHAMMAR</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34956-2022</t>
        </is>
      </c>
      <c r="B197" s="1" t="n">
        <v>44796</v>
      </c>
      <c r="C197" s="1" t="n">
        <v>45875</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35677-2022</t>
        </is>
      </c>
      <c r="B198" s="1" t="n">
        <v>44799</v>
      </c>
      <c r="C198" s="1" t="n">
        <v>45875</v>
      </c>
      <c r="D198" t="inlineStr">
        <is>
          <t>VÄSTMANLANDS LÄN</t>
        </is>
      </c>
      <c r="E198" t="inlineStr">
        <is>
          <t>SURAHAMMAR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35682-2022</t>
        </is>
      </c>
      <c r="B199" s="1" t="n">
        <v>44799</v>
      </c>
      <c r="C199" s="1" t="n">
        <v>45875</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35679-2022</t>
        </is>
      </c>
      <c r="B200" s="1" t="n">
        <v>44799</v>
      </c>
      <c r="C200" s="1" t="n">
        <v>45875</v>
      </c>
      <c r="D200" t="inlineStr">
        <is>
          <t>VÄSTMANLANDS LÄN</t>
        </is>
      </c>
      <c r="E200" t="inlineStr">
        <is>
          <t>SURAHAMMAR</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41576-2022</t>
        </is>
      </c>
      <c r="B201" s="1" t="n">
        <v>44826</v>
      </c>
      <c r="C201" s="1" t="n">
        <v>45875</v>
      </c>
      <c r="D201" t="inlineStr">
        <is>
          <t>VÄSTMANLANDS LÄN</t>
        </is>
      </c>
      <c r="E201" t="inlineStr">
        <is>
          <t>SURAHAMMAR</t>
        </is>
      </c>
      <c r="F201" t="inlineStr">
        <is>
          <t>Bergvik skog väst AB</t>
        </is>
      </c>
      <c r="G201" t="n">
        <v>6.4</v>
      </c>
      <c r="H201" t="n">
        <v>0</v>
      </c>
      <c r="I201" t="n">
        <v>0</v>
      </c>
      <c r="J201" t="n">
        <v>0</v>
      </c>
      <c r="K201" t="n">
        <v>0</v>
      </c>
      <c r="L201" t="n">
        <v>0</v>
      </c>
      <c r="M201" t="n">
        <v>0</v>
      </c>
      <c r="N201" t="n">
        <v>0</v>
      </c>
      <c r="O201" t="n">
        <v>0</v>
      </c>
      <c r="P201" t="n">
        <v>0</v>
      </c>
      <c r="Q201" t="n">
        <v>0</v>
      </c>
      <c r="R201" s="2" t="inlineStr"/>
    </row>
    <row r="202" ht="15" customHeight="1">
      <c r="A202" t="inlineStr">
        <is>
          <t>A 41555-2022</t>
        </is>
      </c>
      <c r="B202" s="1" t="n">
        <v>44826</v>
      </c>
      <c r="C202" s="1" t="n">
        <v>45875</v>
      </c>
      <c r="D202" t="inlineStr">
        <is>
          <t>VÄSTMANLANDS LÄN</t>
        </is>
      </c>
      <c r="E202" t="inlineStr">
        <is>
          <t>SURAHAMMAR</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42714-2022</t>
        </is>
      </c>
      <c r="B203" s="1" t="n">
        <v>44832</v>
      </c>
      <c r="C203" s="1" t="n">
        <v>45875</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42832-2022</t>
        </is>
      </c>
      <c r="B204" s="1" t="n">
        <v>44832</v>
      </c>
      <c r="C204" s="1" t="n">
        <v>45875</v>
      </c>
      <c r="D204" t="inlineStr">
        <is>
          <t>VÄSTMANLANDS LÄN</t>
        </is>
      </c>
      <c r="E204" t="inlineStr">
        <is>
          <t>SURAHAMMAR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42841-2022</t>
        </is>
      </c>
      <c r="B205" s="1" t="n">
        <v>44832</v>
      </c>
      <c r="C205" s="1" t="n">
        <v>45875</v>
      </c>
      <c r="D205" t="inlineStr">
        <is>
          <t>VÄSTMANLANDS LÄN</t>
        </is>
      </c>
      <c r="E205" t="inlineStr">
        <is>
          <t>SURAHAMMAR</t>
        </is>
      </c>
      <c r="G205" t="n">
        <v>1.8</v>
      </c>
      <c r="H205" t="n">
        <v>0</v>
      </c>
      <c r="I205" t="n">
        <v>0</v>
      </c>
      <c r="J205" t="n">
        <v>0</v>
      </c>
      <c r="K205" t="n">
        <v>0</v>
      </c>
      <c r="L205" t="n">
        <v>0</v>
      </c>
      <c r="M205" t="n">
        <v>0</v>
      </c>
      <c r="N205" t="n">
        <v>0</v>
      </c>
      <c r="O205" t="n">
        <v>0</v>
      </c>
      <c r="P205" t="n">
        <v>0</v>
      </c>
      <c r="Q205" t="n">
        <v>0</v>
      </c>
      <c r="R205" s="2" t="inlineStr"/>
    </row>
    <row r="206" ht="15" customHeight="1">
      <c r="A206" t="inlineStr">
        <is>
          <t>A 42829-2022</t>
        </is>
      </c>
      <c r="B206" s="1" t="n">
        <v>44832</v>
      </c>
      <c r="C206" s="1" t="n">
        <v>45875</v>
      </c>
      <c r="D206" t="inlineStr">
        <is>
          <t>VÄSTMANLANDS LÄN</t>
        </is>
      </c>
      <c r="E206" t="inlineStr">
        <is>
          <t>SURAHAMMAR</t>
        </is>
      </c>
      <c r="G206" t="n">
        <v>1.6</v>
      </c>
      <c r="H206" t="n">
        <v>0</v>
      </c>
      <c r="I206" t="n">
        <v>0</v>
      </c>
      <c r="J206" t="n">
        <v>0</v>
      </c>
      <c r="K206" t="n">
        <v>0</v>
      </c>
      <c r="L206" t="n">
        <v>0</v>
      </c>
      <c r="M206" t="n">
        <v>0</v>
      </c>
      <c r="N206" t="n">
        <v>0</v>
      </c>
      <c r="O206" t="n">
        <v>0</v>
      </c>
      <c r="P206" t="n">
        <v>0</v>
      </c>
      <c r="Q206" t="n">
        <v>0</v>
      </c>
      <c r="R206" s="2" t="inlineStr"/>
    </row>
    <row r="207" ht="15" customHeight="1">
      <c r="A207" t="inlineStr">
        <is>
          <t>A 48581-2022</t>
        </is>
      </c>
      <c r="B207" s="1" t="n">
        <v>44859</v>
      </c>
      <c r="C207" s="1" t="n">
        <v>45875</v>
      </c>
      <c r="D207" t="inlineStr">
        <is>
          <t>VÄSTMANLANDS LÄN</t>
        </is>
      </c>
      <c r="E207" t="inlineStr">
        <is>
          <t>SURAHAMMAR</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49686-2022</t>
        </is>
      </c>
      <c r="B208" s="1" t="n">
        <v>44862</v>
      </c>
      <c r="C208" s="1" t="n">
        <v>45875</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3085-2023</t>
        </is>
      </c>
      <c r="B209" s="1" t="n">
        <v>44946</v>
      </c>
      <c r="C209" s="1" t="n">
        <v>45875</v>
      </c>
      <c r="D209" t="inlineStr">
        <is>
          <t>VÄSTMANLANDS LÄN</t>
        </is>
      </c>
      <c r="E209" t="inlineStr">
        <is>
          <t>SURAHAMMAR</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8553-2023</t>
        </is>
      </c>
      <c r="B210" s="1" t="n">
        <v>44977</v>
      </c>
      <c r="C210" s="1" t="n">
        <v>45875</v>
      </c>
      <c r="D210" t="inlineStr">
        <is>
          <t>VÄSTMANLANDS LÄN</t>
        </is>
      </c>
      <c r="E210" t="inlineStr">
        <is>
          <t>SURAHAMMAR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10877-2023</t>
        </is>
      </c>
      <c r="B211" s="1" t="n">
        <v>44991</v>
      </c>
      <c r="C211" s="1" t="n">
        <v>45875</v>
      </c>
      <c r="D211" t="inlineStr">
        <is>
          <t>VÄSTMANLANDS LÄN</t>
        </is>
      </c>
      <c r="E211" t="inlineStr">
        <is>
          <t>SURAHAMMAR</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10883-2023</t>
        </is>
      </c>
      <c r="B212" s="1" t="n">
        <v>44991</v>
      </c>
      <c r="C212" s="1" t="n">
        <v>45875</v>
      </c>
      <c r="D212" t="inlineStr">
        <is>
          <t>VÄSTMANLANDS LÄN</t>
        </is>
      </c>
      <c r="E212" t="inlineStr">
        <is>
          <t>SURAHAMMAR</t>
        </is>
      </c>
      <c r="F212" t="inlineStr">
        <is>
          <t>Övriga Aktiebolag</t>
        </is>
      </c>
      <c r="G212" t="n">
        <v>12.5</v>
      </c>
      <c r="H212" t="n">
        <v>0</v>
      </c>
      <c r="I212" t="n">
        <v>0</v>
      </c>
      <c r="J212" t="n">
        <v>0</v>
      </c>
      <c r="K212" t="n">
        <v>0</v>
      </c>
      <c r="L212" t="n">
        <v>0</v>
      </c>
      <c r="M212" t="n">
        <v>0</v>
      </c>
      <c r="N212" t="n">
        <v>0</v>
      </c>
      <c r="O212" t="n">
        <v>0</v>
      </c>
      <c r="P212" t="n">
        <v>0</v>
      </c>
      <c r="Q212" t="n">
        <v>0</v>
      </c>
      <c r="R212" s="2" t="inlineStr"/>
    </row>
    <row r="213" ht="15" customHeight="1">
      <c r="A213" t="inlineStr">
        <is>
          <t>A 11501-2023</t>
        </is>
      </c>
      <c r="B213" s="1" t="n">
        <v>44991</v>
      </c>
      <c r="C213" s="1" t="n">
        <v>45875</v>
      </c>
      <c r="D213" t="inlineStr">
        <is>
          <t>VÄSTMANLANDS LÄN</t>
        </is>
      </c>
      <c r="E213" t="inlineStr">
        <is>
          <t>SURAHAMMAR</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11728-2023</t>
        </is>
      </c>
      <c r="B214" s="1" t="n">
        <v>44993</v>
      </c>
      <c r="C214" s="1" t="n">
        <v>45875</v>
      </c>
      <c r="D214" t="inlineStr">
        <is>
          <t>VÄSTMANLANDS LÄN</t>
        </is>
      </c>
      <c r="E214" t="inlineStr">
        <is>
          <t>SURAHAMMAR</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13479-2023</t>
        </is>
      </c>
      <c r="B215" s="1" t="n">
        <v>45005</v>
      </c>
      <c r="C215" s="1" t="n">
        <v>45875</v>
      </c>
      <c r="D215" t="inlineStr">
        <is>
          <t>VÄSTMANLANDS LÄN</t>
        </is>
      </c>
      <c r="E215" t="inlineStr">
        <is>
          <t>SURAHAMMAR</t>
        </is>
      </c>
      <c r="F215" t="inlineStr">
        <is>
          <t>Bergvik skog väst AB</t>
        </is>
      </c>
      <c r="G215" t="n">
        <v>2.8</v>
      </c>
      <c r="H215" t="n">
        <v>0</v>
      </c>
      <c r="I215" t="n">
        <v>0</v>
      </c>
      <c r="J215" t="n">
        <v>0</v>
      </c>
      <c r="K215" t="n">
        <v>0</v>
      </c>
      <c r="L215" t="n">
        <v>0</v>
      </c>
      <c r="M215" t="n">
        <v>0</v>
      </c>
      <c r="N215" t="n">
        <v>0</v>
      </c>
      <c r="O215" t="n">
        <v>0</v>
      </c>
      <c r="P215" t="n">
        <v>0</v>
      </c>
      <c r="Q215" t="n">
        <v>0</v>
      </c>
      <c r="R215" s="2" t="inlineStr"/>
    </row>
    <row r="216" ht="15" customHeight="1">
      <c r="A216" t="inlineStr">
        <is>
          <t>A 14626-2023</t>
        </is>
      </c>
      <c r="B216" s="1" t="n">
        <v>45012</v>
      </c>
      <c r="C216" s="1" t="n">
        <v>45875</v>
      </c>
      <c r="D216" t="inlineStr">
        <is>
          <t>VÄSTMANLANDS LÄN</t>
        </is>
      </c>
      <c r="E216" t="inlineStr">
        <is>
          <t>SURAHAMMAR</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14583-2023</t>
        </is>
      </c>
      <c r="B217" s="1" t="n">
        <v>45013</v>
      </c>
      <c r="C217" s="1" t="n">
        <v>45875</v>
      </c>
      <c r="D217" t="inlineStr">
        <is>
          <t>VÄSTMANLANDS LÄN</t>
        </is>
      </c>
      <c r="E217" t="inlineStr">
        <is>
          <t>SURAHAMMAR</t>
        </is>
      </c>
      <c r="G217" t="n">
        <v>0.9</v>
      </c>
      <c r="H217" t="n">
        <v>0</v>
      </c>
      <c r="I217" t="n">
        <v>0</v>
      </c>
      <c r="J217" t="n">
        <v>0</v>
      </c>
      <c r="K217" t="n">
        <v>0</v>
      </c>
      <c r="L217" t="n">
        <v>0</v>
      </c>
      <c r="M217" t="n">
        <v>0</v>
      </c>
      <c r="N217" t="n">
        <v>0</v>
      </c>
      <c r="O217" t="n">
        <v>0</v>
      </c>
      <c r="P217" t="n">
        <v>0</v>
      </c>
      <c r="Q217" t="n">
        <v>0</v>
      </c>
      <c r="R217" s="2" t="inlineStr"/>
    </row>
    <row r="218" ht="15" customHeight="1">
      <c r="A218" t="inlineStr">
        <is>
          <t>A 15743-2023</t>
        </is>
      </c>
      <c r="B218" s="1" t="n">
        <v>45021</v>
      </c>
      <c r="C218" s="1" t="n">
        <v>45875</v>
      </c>
      <c r="D218" t="inlineStr">
        <is>
          <t>VÄSTMANLANDS LÄN</t>
        </is>
      </c>
      <c r="E218" t="inlineStr">
        <is>
          <t>SURAHAMMAR</t>
        </is>
      </c>
      <c r="G218" t="n">
        <v>0.5</v>
      </c>
      <c r="H218" t="n">
        <v>0</v>
      </c>
      <c r="I218" t="n">
        <v>0</v>
      </c>
      <c r="J218" t="n">
        <v>0</v>
      </c>
      <c r="K218" t="n">
        <v>0</v>
      </c>
      <c r="L218" t="n">
        <v>0</v>
      </c>
      <c r="M218" t="n">
        <v>0</v>
      </c>
      <c r="N218" t="n">
        <v>0</v>
      </c>
      <c r="O218" t="n">
        <v>0</v>
      </c>
      <c r="P218" t="n">
        <v>0</v>
      </c>
      <c r="Q218" t="n">
        <v>0</v>
      </c>
      <c r="R218" s="2" t="inlineStr"/>
    </row>
    <row r="219" ht="15" customHeight="1">
      <c r="A219" t="inlineStr">
        <is>
          <t>A 15739-2023</t>
        </is>
      </c>
      <c r="B219" s="1" t="n">
        <v>45021</v>
      </c>
      <c r="C219" s="1" t="n">
        <v>45875</v>
      </c>
      <c r="D219" t="inlineStr">
        <is>
          <t>VÄSTMANLANDS LÄN</t>
        </is>
      </c>
      <c r="E219" t="inlineStr">
        <is>
          <t>SURAHAMMAR</t>
        </is>
      </c>
      <c r="G219" t="n">
        <v>1.3</v>
      </c>
      <c r="H219" t="n">
        <v>0</v>
      </c>
      <c r="I219" t="n">
        <v>0</v>
      </c>
      <c r="J219" t="n">
        <v>0</v>
      </c>
      <c r="K219" t="n">
        <v>0</v>
      </c>
      <c r="L219" t="n">
        <v>0</v>
      </c>
      <c r="M219" t="n">
        <v>0</v>
      </c>
      <c r="N219" t="n">
        <v>0</v>
      </c>
      <c r="O219" t="n">
        <v>0</v>
      </c>
      <c r="P219" t="n">
        <v>0</v>
      </c>
      <c r="Q219" t="n">
        <v>0</v>
      </c>
      <c r="R219" s="2" t="inlineStr"/>
    </row>
    <row r="220" ht="15" customHeight="1">
      <c r="A220" t="inlineStr">
        <is>
          <t>A 16013-2023</t>
        </is>
      </c>
      <c r="B220" s="1" t="n">
        <v>45026</v>
      </c>
      <c r="C220" s="1" t="n">
        <v>45875</v>
      </c>
      <c r="D220" t="inlineStr">
        <is>
          <t>VÄSTMANLANDS LÄN</t>
        </is>
      </c>
      <c r="E220" t="inlineStr">
        <is>
          <t>SURAHAMMAR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18223-2023</t>
        </is>
      </c>
      <c r="B221" s="1" t="n">
        <v>45041</v>
      </c>
      <c r="C221" s="1" t="n">
        <v>45875</v>
      </c>
      <c r="D221" t="inlineStr">
        <is>
          <t>VÄSTMANLANDS LÄN</t>
        </is>
      </c>
      <c r="E221" t="inlineStr">
        <is>
          <t>SURAHAMMAR</t>
        </is>
      </c>
      <c r="F221" t="inlineStr">
        <is>
          <t>Övriga Aktiebolag</t>
        </is>
      </c>
      <c r="G221" t="n">
        <v>3.1</v>
      </c>
      <c r="H221" t="n">
        <v>0</v>
      </c>
      <c r="I221" t="n">
        <v>0</v>
      </c>
      <c r="J221" t="n">
        <v>0</v>
      </c>
      <c r="K221" t="n">
        <v>0</v>
      </c>
      <c r="L221" t="n">
        <v>0</v>
      </c>
      <c r="M221" t="n">
        <v>0</v>
      </c>
      <c r="N221" t="n">
        <v>0</v>
      </c>
      <c r="O221" t="n">
        <v>0</v>
      </c>
      <c r="P221" t="n">
        <v>0</v>
      </c>
      <c r="Q221" t="n">
        <v>0</v>
      </c>
      <c r="R221" s="2" t="inlineStr"/>
    </row>
    <row r="222" ht="15" customHeight="1">
      <c r="A222" t="inlineStr">
        <is>
          <t>A 19778-2023</t>
        </is>
      </c>
      <c r="B222" s="1" t="n">
        <v>45050</v>
      </c>
      <c r="C222" s="1" t="n">
        <v>45875</v>
      </c>
      <c r="D222" t="inlineStr">
        <is>
          <t>VÄSTMANLANDS LÄN</t>
        </is>
      </c>
      <c r="E222" t="inlineStr">
        <is>
          <t>SURAHAMMAR</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19779-2023</t>
        </is>
      </c>
      <c r="B223" s="1" t="n">
        <v>45050</v>
      </c>
      <c r="C223" s="1" t="n">
        <v>45875</v>
      </c>
      <c r="D223" t="inlineStr">
        <is>
          <t>VÄSTMANLANDS LÄN</t>
        </is>
      </c>
      <c r="E223" t="inlineStr">
        <is>
          <t>SURAHAMMAR</t>
        </is>
      </c>
      <c r="F223" t="inlineStr">
        <is>
          <t>Bergvik skog väst AB</t>
        </is>
      </c>
      <c r="G223" t="n">
        <v>11.1</v>
      </c>
      <c r="H223" t="n">
        <v>0</v>
      </c>
      <c r="I223" t="n">
        <v>0</v>
      </c>
      <c r="J223" t="n">
        <v>0</v>
      </c>
      <c r="K223" t="n">
        <v>0</v>
      </c>
      <c r="L223" t="n">
        <v>0</v>
      </c>
      <c r="M223" t="n">
        <v>0</v>
      </c>
      <c r="N223" t="n">
        <v>0</v>
      </c>
      <c r="O223" t="n">
        <v>0</v>
      </c>
      <c r="P223" t="n">
        <v>0</v>
      </c>
      <c r="Q223" t="n">
        <v>0</v>
      </c>
      <c r="R223" s="2" t="inlineStr"/>
    </row>
    <row r="224" ht="15" customHeight="1">
      <c r="A224" t="inlineStr">
        <is>
          <t>A 19786-2023</t>
        </is>
      </c>
      <c r="B224" s="1" t="n">
        <v>45050</v>
      </c>
      <c r="C224" s="1" t="n">
        <v>45875</v>
      </c>
      <c r="D224" t="inlineStr">
        <is>
          <t>VÄSTMANLANDS LÄN</t>
        </is>
      </c>
      <c r="E224" t="inlineStr">
        <is>
          <t>SURAHAMMAR</t>
        </is>
      </c>
      <c r="F224" t="inlineStr">
        <is>
          <t>Bergvik skog väst AB</t>
        </is>
      </c>
      <c r="G224" t="n">
        <v>8.1</v>
      </c>
      <c r="H224" t="n">
        <v>0</v>
      </c>
      <c r="I224" t="n">
        <v>0</v>
      </c>
      <c r="J224" t="n">
        <v>0</v>
      </c>
      <c r="K224" t="n">
        <v>0</v>
      </c>
      <c r="L224" t="n">
        <v>0</v>
      </c>
      <c r="M224" t="n">
        <v>0</v>
      </c>
      <c r="N224" t="n">
        <v>0</v>
      </c>
      <c r="O224" t="n">
        <v>0</v>
      </c>
      <c r="P224" t="n">
        <v>0</v>
      </c>
      <c r="Q224" t="n">
        <v>0</v>
      </c>
      <c r="R224" s="2" t="inlineStr"/>
    </row>
    <row r="225" ht="15" customHeight="1">
      <c r="A225" t="inlineStr">
        <is>
          <t>A 19782-2023</t>
        </is>
      </c>
      <c r="B225" s="1" t="n">
        <v>45050</v>
      </c>
      <c r="C225" s="1" t="n">
        <v>45875</v>
      </c>
      <c r="D225" t="inlineStr">
        <is>
          <t>VÄSTMANLANDS LÄN</t>
        </is>
      </c>
      <c r="E225" t="inlineStr">
        <is>
          <t>SURAHAMMAR</t>
        </is>
      </c>
      <c r="F225" t="inlineStr">
        <is>
          <t>Bergvik skog väst AB</t>
        </is>
      </c>
      <c r="G225" t="n">
        <v>5.2</v>
      </c>
      <c r="H225" t="n">
        <v>0</v>
      </c>
      <c r="I225" t="n">
        <v>0</v>
      </c>
      <c r="J225" t="n">
        <v>0</v>
      </c>
      <c r="K225" t="n">
        <v>0</v>
      </c>
      <c r="L225" t="n">
        <v>0</v>
      </c>
      <c r="M225" t="n">
        <v>0</v>
      </c>
      <c r="N225" t="n">
        <v>0</v>
      </c>
      <c r="O225" t="n">
        <v>0</v>
      </c>
      <c r="P225" t="n">
        <v>0</v>
      </c>
      <c r="Q225" t="n">
        <v>0</v>
      </c>
      <c r="R225" s="2" t="inlineStr"/>
    </row>
    <row r="226" ht="15" customHeight="1">
      <c r="A226" t="inlineStr">
        <is>
          <t>A 20020-2023</t>
        </is>
      </c>
      <c r="B226" s="1" t="n">
        <v>45054</v>
      </c>
      <c r="C226" s="1" t="n">
        <v>45875</v>
      </c>
      <c r="D226" t="inlineStr">
        <is>
          <t>VÄSTMANLANDS LÄN</t>
        </is>
      </c>
      <c r="E226" t="inlineStr">
        <is>
          <t>SURAHAMMAR</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20018-2023</t>
        </is>
      </c>
      <c r="B227" s="1" t="n">
        <v>45054</v>
      </c>
      <c r="C227" s="1" t="n">
        <v>45875</v>
      </c>
      <c r="D227" t="inlineStr">
        <is>
          <t>VÄSTMANLANDS LÄN</t>
        </is>
      </c>
      <c r="E227" t="inlineStr">
        <is>
          <t>SURAHAMMAR</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20019-2023</t>
        </is>
      </c>
      <c r="B228" s="1" t="n">
        <v>45054</v>
      </c>
      <c r="C228" s="1" t="n">
        <v>45875</v>
      </c>
      <c r="D228" t="inlineStr">
        <is>
          <t>VÄSTMANLANDS LÄN</t>
        </is>
      </c>
      <c r="E228" t="inlineStr">
        <is>
          <t>SURAHAMMAR</t>
        </is>
      </c>
      <c r="F228" t="inlineStr">
        <is>
          <t>Sveaskog</t>
        </is>
      </c>
      <c r="G228" t="n">
        <v>18.5</v>
      </c>
      <c r="H228" t="n">
        <v>0</v>
      </c>
      <c r="I228" t="n">
        <v>0</v>
      </c>
      <c r="J228" t="n">
        <v>0</v>
      </c>
      <c r="K228" t="n">
        <v>0</v>
      </c>
      <c r="L228" t="n">
        <v>0</v>
      </c>
      <c r="M228" t="n">
        <v>0</v>
      </c>
      <c r="N228" t="n">
        <v>0</v>
      </c>
      <c r="O228" t="n">
        <v>0</v>
      </c>
      <c r="P228" t="n">
        <v>0</v>
      </c>
      <c r="Q228" t="n">
        <v>0</v>
      </c>
      <c r="R228" s="2" t="inlineStr"/>
    </row>
    <row r="229" ht="15" customHeight="1">
      <c r="A229" t="inlineStr">
        <is>
          <t>A 20023-2023</t>
        </is>
      </c>
      <c r="B229" s="1" t="n">
        <v>45054</v>
      </c>
      <c r="C229" s="1" t="n">
        <v>45875</v>
      </c>
      <c r="D229" t="inlineStr">
        <is>
          <t>VÄSTMANLANDS LÄN</t>
        </is>
      </c>
      <c r="E229" t="inlineStr">
        <is>
          <t>SURAHAMMAR</t>
        </is>
      </c>
      <c r="F229" t="inlineStr">
        <is>
          <t>Sveaskog</t>
        </is>
      </c>
      <c r="G229" t="n">
        <v>7.8</v>
      </c>
      <c r="H229" t="n">
        <v>0</v>
      </c>
      <c r="I229" t="n">
        <v>0</v>
      </c>
      <c r="J229" t="n">
        <v>0</v>
      </c>
      <c r="K229" t="n">
        <v>0</v>
      </c>
      <c r="L229" t="n">
        <v>0</v>
      </c>
      <c r="M229" t="n">
        <v>0</v>
      </c>
      <c r="N229" t="n">
        <v>0</v>
      </c>
      <c r="O229" t="n">
        <v>0</v>
      </c>
      <c r="P229" t="n">
        <v>0</v>
      </c>
      <c r="Q229" t="n">
        <v>0</v>
      </c>
      <c r="R229" s="2" t="inlineStr"/>
    </row>
    <row r="230" ht="15" customHeight="1">
      <c r="A230" t="inlineStr">
        <is>
          <t>A 20429-2023</t>
        </is>
      </c>
      <c r="B230" s="1" t="n">
        <v>45056</v>
      </c>
      <c r="C230" s="1" t="n">
        <v>45875</v>
      </c>
      <c r="D230" t="inlineStr">
        <is>
          <t>VÄSTMANLANDS LÄN</t>
        </is>
      </c>
      <c r="E230" t="inlineStr">
        <is>
          <t>SURAHAMMAR</t>
        </is>
      </c>
      <c r="G230" t="n">
        <v>5</v>
      </c>
      <c r="H230" t="n">
        <v>0</v>
      </c>
      <c r="I230" t="n">
        <v>0</v>
      </c>
      <c r="J230" t="n">
        <v>0</v>
      </c>
      <c r="K230" t="n">
        <v>0</v>
      </c>
      <c r="L230" t="n">
        <v>0</v>
      </c>
      <c r="M230" t="n">
        <v>0</v>
      </c>
      <c r="N230" t="n">
        <v>0</v>
      </c>
      <c r="O230" t="n">
        <v>0</v>
      </c>
      <c r="P230" t="n">
        <v>0</v>
      </c>
      <c r="Q230" t="n">
        <v>0</v>
      </c>
      <c r="R230" s="2" t="inlineStr"/>
    </row>
    <row r="231" ht="15" customHeight="1">
      <c r="A231" t="inlineStr">
        <is>
          <t>A 20904-2023</t>
        </is>
      </c>
      <c r="B231" s="1" t="n">
        <v>45060</v>
      </c>
      <c r="C231" s="1" t="n">
        <v>45875</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21906-2023</t>
        </is>
      </c>
      <c r="B232" s="1" t="n">
        <v>45068</v>
      </c>
      <c r="C232" s="1" t="n">
        <v>45875</v>
      </c>
      <c r="D232" t="inlineStr">
        <is>
          <t>VÄSTMANLANDS LÄN</t>
        </is>
      </c>
      <c r="E232" t="inlineStr">
        <is>
          <t>SURAHAMMAR</t>
        </is>
      </c>
      <c r="F232" t="inlineStr">
        <is>
          <t>Sveaskog</t>
        </is>
      </c>
      <c r="G232" t="n">
        <v>3.5</v>
      </c>
      <c r="H232" t="n">
        <v>0</v>
      </c>
      <c r="I232" t="n">
        <v>0</v>
      </c>
      <c r="J232" t="n">
        <v>0</v>
      </c>
      <c r="K232" t="n">
        <v>0</v>
      </c>
      <c r="L232" t="n">
        <v>0</v>
      </c>
      <c r="M232" t="n">
        <v>0</v>
      </c>
      <c r="N232" t="n">
        <v>0</v>
      </c>
      <c r="O232" t="n">
        <v>0</v>
      </c>
      <c r="P232" t="n">
        <v>0</v>
      </c>
      <c r="Q232" t="n">
        <v>0</v>
      </c>
      <c r="R232" s="2" t="inlineStr"/>
    </row>
    <row r="233" ht="15" customHeight="1">
      <c r="A233" t="inlineStr">
        <is>
          <t>A 21905-2023</t>
        </is>
      </c>
      <c r="B233" s="1" t="n">
        <v>45068</v>
      </c>
      <c r="C233" s="1" t="n">
        <v>45875</v>
      </c>
      <c r="D233" t="inlineStr">
        <is>
          <t>VÄSTMANLANDS LÄN</t>
        </is>
      </c>
      <c r="E233" t="inlineStr">
        <is>
          <t>SURAHAMMAR</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21904-2023</t>
        </is>
      </c>
      <c r="B234" s="1" t="n">
        <v>45068</v>
      </c>
      <c r="C234" s="1" t="n">
        <v>45875</v>
      </c>
      <c r="D234" t="inlineStr">
        <is>
          <t>VÄSTMANLANDS LÄN</t>
        </is>
      </c>
      <c r="E234" t="inlineStr">
        <is>
          <t>SURAHAMMAR</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22915-2023</t>
        </is>
      </c>
      <c r="B235" s="1" t="n">
        <v>45070</v>
      </c>
      <c r="C235" s="1" t="n">
        <v>45875</v>
      </c>
      <c r="D235" t="inlineStr">
        <is>
          <t>VÄSTMANLANDS LÄN</t>
        </is>
      </c>
      <c r="E235" t="inlineStr">
        <is>
          <t>SURAHAMMAR</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22660-2023</t>
        </is>
      </c>
      <c r="B236" s="1" t="n">
        <v>45071</v>
      </c>
      <c r="C236" s="1" t="n">
        <v>45875</v>
      </c>
      <c r="D236" t="inlineStr">
        <is>
          <t>VÄSTMANLANDS LÄN</t>
        </is>
      </c>
      <c r="E236" t="inlineStr">
        <is>
          <t>SURAHAMMAR</t>
        </is>
      </c>
      <c r="F236" t="inlineStr">
        <is>
          <t>Sveaskog</t>
        </is>
      </c>
      <c r="G236" t="n">
        <v>15.3</v>
      </c>
      <c r="H236" t="n">
        <v>0</v>
      </c>
      <c r="I236" t="n">
        <v>0</v>
      </c>
      <c r="J236" t="n">
        <v>0</v>
      </c>
      <c r="K236" t="n">
        <v>0</v>
      </c>
      <c r="L236" t="n">
        <v>0</v>
      </c>
      <c r="M236" t="n">
        <v>0</v>
      </c>
      <c r="N236" t="n">
        <v>0</v>
      </c>
      <c r="O236" t="n">
        <v>0</v>
      </c>
      <c r="P236" t="n">
        <v>0</v>
      </c>
      <c r="Q236" t="n">
        <v>0</v>
      </c>
      <c r="R236" s="2" t="inlineStr"/>
    </row>
    <row r="237" ht="15" customHeight="1">
      <c r="A237" t="inlineStr">
        <is>
          <t>A 22662-2023</t>
        </is>
      </c>
      <c r="B237" s="1" t="n">
        <v>45071</v>
      </c>
      <c r="C237" s="1" t="n">
        <v>45875</v>
      </c>
      <c r="D237" t="inlineStr">
        <is>
          <t>VÄSTMANLANDS LÄN</t>
        </is>
      </c>
      <c r="E237" t="inlineStr">
        <is>
          <t>SURAHAMMAR</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22661-2023</t>
        </is>
      </c>
      <c r="B238" s="1" t="n">
        <v>45071</v>
      </c>
      <c r="C238" s="1" t="n">
        <v>45875</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22659-2023</t>
        </is>
      </c>
      <c r="B239" s="1" t="n">
        <v>45071</v>
      </c>
      <c r="C239" s="1" t="n">
        <v>45875</v>
      </c>
      <c r="D239" t="inlineStr">
        <is>
          <t>VÄSTMANLANDS LÄN</t>
        </is>
      </c>
      <c r="E239" t="inlineStr">
        <is>
          <t>SURAHAMMAR</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45875</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45875</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45875</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45875</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45875</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45875</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45875</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45875</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45875</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45875</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45875</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45875</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45875</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45875</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45875</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45875</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45875</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45875</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45875</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45875</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45875</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45875</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45875</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45875</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45875</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45875</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45875</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45875</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45875</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45875</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45875</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45875</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45875</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45875</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45875</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45875</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45875</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45875</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45875</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45875</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45875</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45875</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45875</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45875</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45875</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45875</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45875</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45875</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45875</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45875</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45875</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45875</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45875</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45875</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45875</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45875</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45875</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45875</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45875</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45875</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45875</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45875</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45875</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45875</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45875</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17303-2025</t>
        </is>
      </c>
      <c r="B305" s="1" t="n">
        <v>45756</v>
      </c>
      <c r="C305" s="1" t="n">
        <v>45875</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row r="306" ht="15" customHeight="1">
      <c r="A306" t="inlineStr">
        <is>
          <t>A 34582-2025</t>
        </is>
      </c>
      <c r="B306" s="1" t="n">
        <v>45846</v>
      </c>
      <c r="C306" s="1" t="n">
        <v>45875</v>
      </c>
      <c r="D306" t="inlineStr">
        <is>
          <t>VÄSTMANLANDS LÄN</t>
        </is>
      </c>
      <c r="E306" t="inlineStr">
        <is>
          <t>SURAHAMMAR</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34584-2025</t>
        </is>
      </c>
      <c r="B307" s="1" t="n">
        <v>45846</v>
      </c>
      <c r="C307" s="1" t="n">
        <v>45875</v>
      </c>
      <c r="D307" t="inlineStr">
        <is>
          <t>VÄSTMANLANDS LÄN</t>
        </is>
      </c>
      <c r="E307" t="inlineStr">
        <is>
          <t>SURAHAMMAR</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c r="A308" t="inlineStr">
        <is>
          <t>A 37013-2025</t>
        </is>
      </c>
      <c r="B308" s="1" t="n">
        <v>45874</v>
      </c>
      <c r="C308" s="1" t="n">
        <v>45875</v>
      </c>
      <c r="D308" t="inlineStr">
        <is>
          <t>VÄSTMANLANDS LÄN</t>
        </is>
      </c>
      <c r="E308" t="inlineStr">
        <is>
          <t>SURAHAMMAR</t>
        </is>
      </c>
      <c r="F308" t="inlineStr">
        <is>
          <t>Bergvik skog väst AB</t>
        </is>
      </c>
      <c r="G308" t="n">
        <v>10.7</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2025-08-06T19:57:28Z</dcterms:created>
  <dcterms:modified xmlns:dcterms="http://purl.org/dc/terms/" xmlns:xsi="http://www.w3.org/2001/XMLSchema-instance" xsi:type="dcterms:W3CDTF">2025-08-06T19:57:28Z</dcterms:modified>
</cp:coreProperties>
</file>