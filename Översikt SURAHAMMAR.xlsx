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46033</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46033</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46033</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46033</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46033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46033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46033</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46033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46033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46033</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46033</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46033</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46033</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46033</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21716-2025</t>
        </is>
      </c>
      <c r="B22" s="1" t="n">
        <v>45783.54804398148</v>
      </c>
      <c r="C22" s="1" t="n">
        <v>46033</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46033</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4105-2025</t>
        </is>
      </c>
      <c r="B24" s="1" t="n">
        <v>45684</v>
      </c>
      <c r="C24" s="1" t="n">
        <v>46033</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38172-2024</t>
        </is>
      </c>
      <c r="B25" s="1" t="n">
        <v>45545</v>
      </c>
      <c r="C25" s="1" t="n">
        <v>46033</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46033</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46033</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46033</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46033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39694-2025</t>
        </is>
      </c>
      <c r="B30" s="1" t="n">
        <v>45890</v>
      </c>
      <c r="C30" s="1" t="n">
        <v>46033</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42708-2022</t>
        </is>
      </c>
      <c r="B31" s="1" t="n">
        <v>44832</v>
      </c>
      <c r="C31" s="1" t="n">
        <v>46033</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46033</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46033</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49718-2023</t>
        </is>
      </c>
      <c r="B34" s="1" t="n">
        <v>45212</v>
      </c>
      <c r="C34" s="1" t="n">
        <v>46033</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20391-2024</t>
        </is>
      </c>
      <c r="B35" s="1" t="n">
        <v>45435</v>
      </c>
      <c r="C35" s="1" t="n">
        <v>46033</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46033</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46033</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46033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46033</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46033</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63146-2025</t>
        </is>
      </c>
      <c r="B41" s="1" t="n">
        <v>46009</v>
      </c>
      <c r="C41" s="1" t="n">
        <v>46033</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37800-2021</t>
        </is>
      </c>
      <c r="B42" s="1" t="n">
        <v>44402</v>
      </c>
      <c r="C42" s="1" t="n">
        <v>46033</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46033</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46033</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46033</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46033</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46033</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46033</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46033</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46033</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46033</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46033</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46033</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56362-2023</t>
        </is>
      </c>
      <c r="B54" s="1" t="n">
        <v>45236</v>
      </c>
      <c r="C54" s="1" t="n">
        <v>46033</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46033</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46033</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39099-2022</t>
        </is>
      </c>
      <c r="B57" s="1" t="n">
        <v>44817</v>
      </c>
      <c r="C57" s="1" t="n">
        <v>46033</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46033</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46033</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46033</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63145-2025</t>
        </is>
      </c>
      <c r="B61" s="1" t="n">
        <v>46009</v>
      </c>
      <c r="C61" s="1" t="n">
        <v>46033</v>
      </c>
      <c r="D61" t="inlineStr">
        <is>
          <t>VÄSTMANLANDS LÄN</t>
        </is>
      </c>
      <c r="E61" t="inlineStr">
        <is>
          <t>SURAHAMMAR</t>
        </is>
      </c>
      <c r="F61" t="inlineStr">
        <is>
          <t>Bergvik skog väst AB</t>
        </is>
      </c>
      <c r="G61" t="n">
        <v>40.5</v>
      </c>
      <c r="H61" t="n">
        <v>0</v>
      </c>
      <c r="I61" t="n">
        <v>1</v>
      </c>
      <c r="J61" t="n">
        <v>0</v>
      </c>
      <c r="K61" t="n">
        <v>0</v>
      </c>
      <c r="L61" t="n">
        <v>0</v>
      </c>
      <c r="M61" t="n">
        <v>0</v>
      </c>
      <c r="N61" t="n">
        <v>0</v>
      </c>
      <c r="O61" t="n">
        <v>0</v>
      </c>
      <c r="P61" t="n">
        <v>0</v>
      </c>
      <c r="Q61" t="n">
        <v>1</v>
      </c>
      <c r="R61" s="2" t="inlineStr">
        <is>
          <t>Svart trolldruva</t>
        </is>
      </c>
      <c r="S61">
        <f>HYPERLINK("https://klasma.github.io/Logging_1907/artfynd/A 63145-2025 artfynd.xlsx", "A 63145-2025")</f>
        <v/>
      </c>
      <c r="T61">
        <f>HYPERLINK("https://klasma.github.io/Logging_1907/kartor/A 63145-2025 karta.png", "A 63145-2025")</f>
        <v/>
      </c>
      <c r="V61">
        <f>HYPERLINK("https://klasma.github.io/Logging_1907/klagomål/A 63145-2025 FSC-klagomål.docx", "A 63145-2025")</f>
        <v/>
      </c>
      <c r="W61">
        <f>HYPERLINK("https://klasma.github.io/Logging_1907/klagomålsmail/A 63145-2025 FSC-klagomål mail.docx", "A 63145-2025")</f>
        <v/>
      </c>
      <c r="X61">
        <f>HYPERLINK("https://klasma.github.io/Logging_1907/tillsyn/A 63145-2025 tillsynsbegäran.docx", "A 63145-2025")</f>
        <v/>
      </c>
      <c r="Y61">
        <f>HYPERLINK("https://klasma.github.io/Logging_1907/tillsynsmail/A 63145-2025 tillsynsbegäran mail.docx", "A 63145-2025")</f>
        <v/>
      </c>
    </row>
    <row r="62" ht="15" customHeight="1">
      <c r="A62" t="inlineStr">
        <is>
          <t>A 69777-2021</t>
        </is>
      </c>
      <c r="B62" s="1" t="n">
        <v>44532</v>
      </c>
      <c r="C62" s="1" t="n">
        <v>46033</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56768-2025</t>
        </is>
      </c>
      <c r="B63" s="1" t="n">
        <v>45978</v>
      </c>
      <c r="C63" s="1" t="n">
        <v>46033</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17632-2022</t>
        </is>
      </c>
      <c r="B64" s="1" t="n">
        <v>44680</v>
      </c>
      <c r="C64" s="1" t="n">
        <v>46033</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44356-2024</t>
        </is>
      </c>
      <c r="B65" s="1" t="n">
        <v>45573</v>
      </c>
      <c r="C65" s="1" t="n">
        <v>46033</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46033</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46033</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14001-2023</t>
        </is>
      </c>
      <c r="B68" s="1" t="n">
        <v>45007</v>
      </c>
      <c r="C68" s="1" t="n">
        <v>46033</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13971-2023</t>
        </is>
      </c>
      <c r="B69" s="1" t="n">
        <v>45007</v>
      </c>
      <c r="C69" s="1" t="n">
        <v>46033</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31176-2024</t>
        </is>
      </c>
      <c r="B70" s="1" t="n">
        <v>45503</v>
      </c>
      <c r="C70" s="1" t="n">
        <v>46033</v>
      </c>
      <c r="D70" t="inlineStr">
        <is>
          <t>VÄSTMANLANDS LÄN</t>
        </is>
      </c>
      <c r="E70" t="inlineStr">
        <is>
          <t>SURAHAMMAR</t>
        </is>
      </c>
      <c r="F70" t="inlineStr">
        <is>
          <t>Allmännings- och besparingsskogar</t>
        </is>
      </c>
      <c r="G70" t="n">
        <v>10.7</v>
      </c>
      <c r="H70" t="n">
        <v>0</v>
      </c>
      <c r="I70" t="n">
        <v>0</v>
      </c>
      <c r="J70" t="n">
        <v>1</v>
      </c>
      <c r="K70" t="n">
        <v>0</v>
      </c>
      <c r="L70" t="n">
        <v>0</v>
      </c>
      <c r="M70" t="n">
        <v>0</v>
      </c>
      <c r="N70" t="n">
        <v>0</v>
      </c>
      <c r="O70" t="n">
        <v>1</v>
      </c>
      <c r="P70" t="n">
        <v>0</v>
      </c>
      <c r="Q70" t="n">
        <v>1</v>
      </c>
      <c r="R70" s="2" t="inlineStr">
        <is>
          <t>Doftskinn</t>
        </is>
      </c>
      <c r="S70">
        <f>HYPERLINK("https://klasma.github.io/Logging_1907/artfynd/A 31176-2024 artfynd.xlsx", "A 31176-2024")</f>
        <v/>
      </c>
      <c r="T70">
        <f>HYPERLINK("https://klasma.github.io/Logging_1907/kartor/A 31176-2024 karta.png", "A 31176-2024")</f>
        <v/>
      </c>
      <c r="V70">
        <f>HYPERLINK("https://klasma.github.io/Logging_1907/klagomål/A 31176-2024 FSC-klagomål.docx", "A 31176-2024")</f>
        <v/>
      </c>
      <c r="W70">
        <f>HYPERLINK("https://klasma.github.io/Logging_1907/klagomålsmail/A 31176-2024 FSC-klagomål mail.docx", "A 31176-2024")</f>
        <v/>
      </c>
      <c r="X70">
        <f>HYPERLINK("https://klasma.github.io/Logging_1907/tillsyn/A 31176-2024 tillsynsbegäran.docx", "A 31176-2024")</f>
        <v/>
      </c>
      <c r="Y70">
        <f>HYPERLINK("https://klasma.github.io/Logging_1907/tillsynsmail/A 31176-2024 tillsynsbegäran mail.docx", "A 31176-2024")</f>
        <v/>
      </c>
    </row>
    <row r="71" ht="15" customHeight="1">
      <c r="A71" t="inlineStr">
        <is>
          <t>A 43451-2024</t>
        </is>
      </c>
      <c r="B71" s="1" t="n">
        <v>45568</v>
      </c>
      <c r="C71" s="1" t="n">
        <v>46033</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1492-2021</t>
        </is>
      </c>
      <c r="B72" s="1" t="n">
        <v>44209</v>
      </c>
      <c r="C72" s="1" t="n">
        <v>46033</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64073-2021</t>
        </is>
      </c>
      <c r="B73" s="1" t="n">
        <v>44509</v>
      </c>
      <c r="C73" s="1" t="n">
        <v>46033</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46033</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46033</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46033</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46033</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46033</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46033</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46033</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46033</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46033</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46033</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46033</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46033</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46033</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46033</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46033</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46033</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46033</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46033</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46033</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16608-2022</t>
        </is>
      </c>
      <c r="B93" s="1" t="n">
        <v>44672</v>
      </c>
      <c r="C93" s="1" t="n">
        <v>46033</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46033</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46033</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13119-2022</t>
        </is>
      </c>
      <c r="B96" s="1" t="n">
        <v>44643</v>
      </c>
      <c r="C96" s="1" t="n">
        <v>46033</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46033</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46033</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15739-2023</t>
        </is>
      </c>
      <c r="B99" s="1" t="n">
        <v>45021</v>
      </c>
      <c r="C99" s="1" t="n">
        <v>46033</v>
      </c>
      <c r="D99" t="inlineStr">
        <is>
          <t>VÄSTMANLANDS LÄN</t>
        </is>
      </c>
      <c r="E99" t="inlineStr">
        <is>
          <t>SURAHAMMAR</t>
        </is>
      </c>
      <c r="G99" t="n">
        <v>1.3</v>
      </c>
      <c r="H99" t="n">
        <v>0</v>
      </c>
      <c r="I99" t="n">
        <v>0</v>
      </c>
      <c r="J99" t="n">
        <v>0</v>
      </c>
      <c r="K99" t="n">
        <v>0</v>
      </c>
      <c r="L99" t="n">
        <v>0</v>
      </c>
      <c r="M99" t="n">
        <v>0</v>
      </c>
      <c r="N99" t="n">
        <v>0</v>
      </c>
      <c r="O99" t="n">
        <v>0</v>
      </c>
      <c r="P99" t="n">
        <v>0</v>
      </c>
      <c r="Q99" t="n">
        <v>0</v>
      </c>
      <c r="R99" s="2" t="inlineStr"/>
    </row>
    <row r="100" ht="15" customHeight="1">
      <c r="A100" t="inlineStr">
        <is>
          <t>A 34582-2025</t>
        </is>
      </c>
      <c r="B100" s="1" t="n">
        <v>45846</v>
      </c>
      <c r="C100" s="1" t="n">
        <v>46033</v>
      </c>
      <c r="D100" t="inlineStr">
        <is>
          <t>VÄSTMANLANDS LÄN</t>
        </is>
      </c>
      <c r="E100" t="inlineStr">
        <is>
          <t>SURAHAMMAR</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46033</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46033</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7787-2024</t>
        </is>
      </c>
      <c r="B103" s="1" t="n">
        <v>45348</v>
      </c>
      <c r="C103" s="1" t="n">
        <v>46033</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46033</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46033</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46033</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59399-2025</t>
        </is>
      </c>
      <c r="B107" s="1" t="n">
        <v>45989</v>
      </c>
      <c r="C107" s="1" t="n">
        <v>46033</v>
      </c>
      <c r="D107" t="inlineStr">
        <is>
          <t>VÄSTMANLANDS LÄN</t>
        </is>
      </c>
      <c r="E107" t="inlineStr">
        <is>
          <t>SURAHAMMAR</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46033</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41576-2022</t>
        </is>
      </c>
      <c r="B109" s="1" t="n">
        <v>44826</v>
      </c>
      <c r="C109" s="1" t="n">
        <v>46033</v>
      </c>
      <c r="D109" t="inlineStr">
        <is>
          <t>VÄSTMANLANDS LÄN</t>
        </is>
      </c>
      <c r="E109" t="inlineStr">
        <is>
          <t>SURAHAMMAR</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46033</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46033</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33931-2022</t>
        </is>
      </c>
      <c r="B112" s="1" t="n">
        <v>44790.65153935185</v>
      </c>
      <c r="C112" s="1" t="n">
        <v>46033</v>
      </c>
      <c r="D112" t="inlineStr">
        <is>
          <t>VÄSTMANLANDS LÄN</t>
        </is>
      </c>
      <c r="E112" t="inlineStr">
        <is>
          <t>SURAHAMMAR</t>
        </is>
      </c>
      <c r="G112" t="n">
        <v>2.2</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46033</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46033</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24158-2023</t>
        </is>
      </c>
      <c r="B115" s="1" t="n">
        <v>45079</v>
      </c>
      <c r="C115" s="1" t="n">
        <v>46033</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42714-2022</t>
        </is>
      </c>
      <c r="B116" s="1" t="n">
        <v>44832</v>
      </c>
      <c r="C116" s="1" t="n">
        <v>46033</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46033</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35682-2022</t>
        </is>
      </c>
      <c r="B118" s="1" t="n">
        <v>44799.60422453703</v>
      </c>
      <c r="C118" s="1" t="n">
        <v>46033</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46033</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46033</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46033</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46033</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46033</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46033</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46033</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46033</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63138-2025</t>
        </is>
      </c>
      <c r="B127" s="1" t="n">
        <v>46009</v>
      </c>
      <c r="C127" s="1" t="n">
        <v>46033</v>
      </c>
      <c r="D127" t="inlineStr">
        <is>
          <t>VÄSTMANLANDS LÄN</t>
        </is>
      </c>
      <c r="E127" t="inlineStr">
        <is>
          <t>SURAHAMMAR</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55868-2025</t>
        </is>
      </c>
      <c r="B128" s="1" t="n">
        <v>45973.35263888889</v>
      </c>
      <c r="C128" s="1" t="n">
        <v>46033</v>
      </c>
      <c r="D128" t="inlineStr">
        <is>
          <t>VÄSTMANLANDS LÄN</t>
        </is>
      </c>
      <c r="E128" t="inlineStr">
        <is>
          <t>SURAHAMMAR</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55874-2025</t>
        </is>
      </c>
      <c r="B129" s="1" t="n">
        <v>45973.3569212963</v>
      </c>
      <c r="C129" s="1" t="n">
        <v>46033</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46033</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46033</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46033</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46033</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46033</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46033</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46033</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46033</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34955-2022</t>
        </is>
      </c>
      <c r="B138" s="1" t="n">
        <v>44796</v>
      </c>
      <c r="C138" s="1" t="n">
        <v>46033</v>
      </c>
      <c r="D138" t="inlineStr">
        <is>
          <t>VÄSTMANLANDS LÄN</t>
        </is>
      </c>
      <c r="E138" t="inlineStr">
        <is>
          <t>SURAHAMMAR</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20904-2023</t>
        </is>
      </c>
      <c r="B139" s="1" t="n">
        <v>45060</v>
      </c>
      <c r="C139" s="1" t="n">
        <v>46033</v>
      </c>
      <c r="D139" t="inlineStr">
        <is>
          <t>VÄSTMANLANDS LÄN</t>
        </is>
      </c>
      <c r="E139" t="inlineStr">
        <is>
          <t>SURAHAMMAR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10883-2023</t>
        </is>
      </c>
      <c r="B140" s="1" t="n">
        <v>44991</v>
      </c>
      <c r="C140" s="1" t="n">
        <v>46033</v>
      </c>
      <c r="D140" t="inlineStr">
        <is>
          <t>VÄSTMANLANDS LÄN</t>
        </is>
      </c>
      <c r="E140" t="inlineStr">
        <is>
          <t>SURAHAMMAR</t>
        </is>
      </c>
      <c r="F140" t="inlineStr">
        <is>
          <t>Övriga Aktiebolag</t>
        </is>
      </c>
      <c r="G140" t="n">
        <v>12.5</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46033</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14626-2023</t>
        </is>
      </c>
      <c r="B142" s="1" t="n">
        <v>45012</v>
      </c>
      <c r="C142" s="1" t="n">
        <v>46033</v>
      </c>
      <c r="D142" t="inlineStr">
        <is>
          <t>VÄSTMANLANDS LÄN</t>
        </is>
      </c>
      <c r="E142" t="inlineStr">
        <is>
          <t>SURAHAMMAR</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46033</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46033</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46033</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46033</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46033</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46033</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46033</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46033</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3818-2022</t>
        </is>
      </c>
      <c r="B151" s="1" t="n">
        <v>44587</v>
      </c>
      <c r="C151" s="1" t="n">
        <v>46033</v>
      </c>
      <c r="D151" t="inlineStr">
        <is>
          <t>VÄSTMANLANDS LÄN</t>
        </is>
      </c>
      <c r="E151" t="inlineStr">
        <is>
          <t>SURAHAMMAR</t>
        </is>
      </c>
      <c r="G151" t="n">
        <v>2.6</v>
      </c>
      <c r="H151" t="n">
        <v>0</v>
      </c>
      <c r="I151" t="n">
        <v>0</v>
      </c>
      <c r="J151" t="n">
        <v>0</v>
      </c>
      <c r="K151" t="n">
        <v>0</v>
      </c>
      <c r="L151" t="n">
        <v>0</v>
      </c>
      <c r="M151" t="n">
        <v>0</v>
      </c>
      <c r="N151" t="n">
        <v>0</v>
      </c>
      <c r="O151" t="n">
        <v>0</v>
      </c>
      <c r="P151" t="n">
        <v>0</v>
      </c>
      <c r="Q151" t="n">
        <v>0</v>
      </c>
      <c r="R151" s="2" t="inlineStr"/>
    </row>
    <row r="152" ht="15" customHeight="1">
      <c r="A152" t="inlineStr">
        <is>
          <t>A 21509-2024</t>
        </is>
      </c>
      <c r="B152" s="1" t="n">
        <v>45441</v>
      </c>
      <c r="C152" s="1" t="n">
        <v>46033</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22662-2023</t>
        </is>
      </c>
      <c r="B153" s="1" t="n">
        <v>45071</v>
      </c>
      <c r="C153" s="1" t="n">
        <v>46033</v>
      </c>
      <c r="D153" t="inlineStr">
        <is>
          <t>VÄSTMANLANDS LÄN</t>
        </is>
      </c>
      <c r="E153" t="inlineStr">
        <is>
          <t>SURAHAMMAR</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16013-2023</t>
        </is>
      </c>
      <c r="B154" s="1" t="n">
        <v>45026</v>
      </c>
      <c r="C154" s="1" t="n">
        <v>46033</v>
      </c>
      <c r="D154" t="inlineStr">
        <is>
          <t>VÄSTMANLANDS LÄN</t>
        </is>
      </c>
      <c r="E154" t="inlineStr">
        <is>
          <t>SURAHAMMAR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41555-2022</t>
        </is>
      </c>
      <c r="B155" s="1" t="n">
        <v>44826</v>
      </c>
      <c r="C155" s="1" t="n">
        <v>46033</v>
      </c>
      <c r="D155" t="inlineStr">
        <is>
          <t>VÄSTMANLANDS LÄN</t>
        </is>
      </c>
      <c r="E155" t="inlineStr">
        <is>
          <t>SURAHAMMAR</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25780-2023</t>
        </is>
      </c>
      <c r="B156" s="1" t="n">
        <v>45090.47523148148</v>
      </c>
      <c r="C156" s="1" t="n">
        <v>46033</v>
      </c>
      <c r="D156" t="inlineStr">
        <is>
          <t>VÄSTMANLANDS LÄN</t>
        </is>
      </c>
      <c r="E156" t="inlineStr">
        <is>
          <t>SURAHAMMAR</t>
        </is>
      </c>
      <c r="G156" t="n">
        <v>2.8</v>
      </c>
      <c r="H156" t="n">
        <v>0</v>
      </c>
      <c r="I156" t="n">
        <v>0</v>
      </c>
      <c r="J156" t="n">
        <v>0</v>
      </c>
      <c r="K156" t="n">
        <v>0</v>
      </c>
      <c r="L156" t="n">
        <v>0</v>
      </c>
      <c r="M156" t="n">
        <v>0</v>
      </c>
      <c r="N156" t="n">
        <v>0</v>
      </c>
      <c r="O156" t="n">
        <v>0</v>
      </c>
      <c r="P156" t="n">
        <v>0</v>
      </c>
      <c r="Q156" t="n">
        <v>0</v>
      </c>
      <c r="R156" s="2" t="inlineStr"/>
    </row>
    <row r="157" ht="15" customHeight="1">
      <c r="A157" t="inlineStr">
        <is>
          <t>A 13386-2025</t>
        </is>
      </c>
      <c r="B157" s="1" t="n">
        <v>45735</v>
      </c>
      <c r="C157" s="1" t="n">
        <v>46033</v>
      </c>
      <c r="D157" t="inlineStr">
        <is>
          <t>VÄSTMANLANDS LÄN</t>
        </is>
      </c>
      <c r="E157" t="inlineStr">
        <is>
          <t>SURAHAMMAR</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c r="A158" t="inlineStr">
        <is>
          <t>A 47785-2021</t>
        </is>
      </c>
      <c r="B158" s="1" t="n">
        <v>44448</v>
      </c>
      <c r="C158" s="1" t="n">
        <v>46033</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2026-01-11T10:51:19Z</dcterms:created>
  <dcterms:modified xmlns:dcterms="http://purl.org/dc/terms/" xmlns:xsi="http://www.w3.org/2001/XMLSchema-instance" xsi:type="dcterms:W3CDTF">2026-01-11T10:51:19Z</dcterms:modified>
</cp:coreProperties>
</file>