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46138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46138</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46138</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46138</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46138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46138</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46138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46138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46138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46138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46138</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46138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46138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46138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46138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46138</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56299-2021</t>
        </is>
      </c>
      <c r="B18" s="1" t="n">
        <v>44477</v>
      </c>
      <c r="C18" s="1" t="n">
        <v>46138</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14815-2025</t>
        </is>
      </c>
      <c r="B19" s="1" t="n">
        <v>45743.34931712963</v>
      </c>
      <c r="C19" s="1" t="n">
        <v>46138</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39594-2025</t>
        </is>
      </c>
      <c r="B20" s="1" t="n">
        <v>45890</v>
      </c>
      <c r="C20" s="1" t="n">
        <v>46138</v>
      </c>
      <c r="D20" t="inlineStr">
        <is>
          <t>VÄSTMANLANDS LÄN</t>
        </is>
      </c>
      <c r="E20" t="inlineStr">
        <is>
          <t>SURAHAMMAR</t>
        </is>
      </c>
      <c r="F20" t="inlineStr">
        <is>
          <t>Bergvik skog väst AB</t>
        </is>
      </c>
      <c r="G20" t="n">
        <v>7</v>
      </c>
      <c r="H20" t="n">
        <v>1</v>
      </c>
      <c r="I20" t="n">
        <v>4</v>
      </c>
      <c r="J20" t="n">
        <v>2</v>
      </c>
      <c r="K20" t="n">
        <v>0</v>
      </c>
      <c r="L20" t="n">
        <v>0</v>
      </c>
      <c r="M20" t="n">
        <v>0</v>
      </c>
      <c r="N20" t="n">
        <v>0</v>
      </c>
      <c r="O20" t="n">
        <v>2</v>
      </c>
      <c r="P20" t="n">
        <v>0</v>
      </c>
      <c r="Q20" t="n">
        <v>6</v>
      </c>
      <c r="R20" s="2" t="inlineStr">
        <is>
          <t>Gropticka
Talltita
Bronshjon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46138</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46138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46138</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46138</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46138</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46138</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46138</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42853-2022</t>
        </is>
      </c>
      <c r="B28" s="1" t="n">
        <v>44832</v>
      </c>
      <c r="C28" s="1" t="n">
        <v>46138</v>
      </c>
      <c r="D28" t="inlineStr">
        <is>
          <t>VÄSTMANLANDS LÄN</t>
        </is>
      </c>
      <c r="E28" t="inlineStr">
        <is>
          <t>SURAHAMMAR</t>
        </is>
      </c>
      <c r="G28" t="n">
        <v>7.4</v>
      </c>
      <c r="H28" t="n">
        <v>2</v>
      </c>
      <c r="I28" t="n">
        <v>1</v>
      </c>
      <c r="J28" t="n">
        <v>2</v>
      </c>
      <c r="K28" t="n">
        <v>0</v>
      </c>
      <c r="L28" t="n">
        <v>1</v>
      </c>
      <c r="M28" t="n">
        <v>0</v>
      </c>
      <c r="N28" t="n">
        <v>0</v>
      </c>
      <c r="O28" t="n">
        <v>3</v>
      </c>
      <c r="P28" t="n">
        <v>1</v>
      </c>
      <c r="Q28" t="n">
        <v>4</v>
      </c>
      <c r="R28" s="2" t="inlineStr">
        <is>
          <t>Ask
Kandelabersvamp
Mindre hackspett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c r="Z28">
        <f>HYPERLINK("https://klasma.github.io/Logging_1907/fåglar/A 42853-2022 prioriterade fågelarter.docx", "A 42853-2022")</f>
        <v/>
      </c>
    </row>
    <row r="29" ht="15" customHeight="1">
      <c r="A29" t="inlineStr">
        <is>
          <t>A 10236-2026</t>
        </is>
      </c>
      <c r="B29" s="1" t="n">
        <v>46076.54277777778</v>
      </c>
      <c r="C29" s="1" t="n">
        <v>46138</v>
      </c>
      <c r="D29" t="inlineStr">
        <is>
          <t>VÄSTMANLANDS LÄN</t>
        </is>
      </c>
      <c r="E29" t="inlineStr">
        <is>
          <t>SURAHAMMAR</t>
        </is>
      </c>
      <c r="F29" t="inlineStr">
        <is>
          <t>Allmännings- och besparingsskogar</t>
        </is>
      </c>
      <c r="G29" t="n">
        <v>2.8</v>
      </c>
      <c r="H29" t="n">
        <v>2</v>
      </c>
      <c r="I29" t="n">
        <v>1</v>
      </c>
      <c r="J29" t="n">
        <v>0</v>
      </c>
      <c r="K29" t="n">
        <v>1</v>
      </c>
      <c r="L29" t="n">
        <v>0</v>
      </c>
      <c r="M29" t="n">
        <v>0</v>
      </c>
      <c r="N29" t="n">
        <v>0</v>
      </c>
      <c r="O29" t="n">
        <v>1</v>
      </c>
      <c r="P29" t="n">
        <v>1</v>
      </c>
      <c r="Q29" t="n">
        <v>4</v>
      </c>
      <c r="R29" s="2" t="inlineStr">
        <is>
          <t>Vågticka
Brandticka
Lopplummer (aggregat)
Revlummer</t>
        </is>
      </c>
      <c r="S29">
        <f>HYPERLINK("https://klasma.github.io/Logging_1907/artfynd/A 10236-2026 artfynd.xlsx", "A 10236-2026")</f>
        <v/>
      </c>
      <c r="T29">
        <f>HYPERLINK("https://klasma.github.io/Logging_1907/kartor/A 10236-2026 karta.png", "A 10236-2026")</f>
        <v/>
      </c>
      <c r="V29">
        <f>HYPERLINK("https://klasma.github.io/Logging_1907/klagomål/A 10236-2026 FSC-klagomål.docx", "A 10236-2026")</f>
        <v/>
      </c>
      <c r="W29">
        <f>HYPERLINK("https://klasma.github.io/Logging_1907/klagomålsmail/A 10236-2026 FSC-klagomål mail.docx", "A 10236-2026")</f>
        <v/>
      </c>
      <c r="X29">
        <f>HYPERLINK("https://klasma.github.io/Logging_1907/tillsyn/A 10236-2026 tillsynsbegäran.docx", "A 10236-2026")</f>
        <v/>
      </c>
      <c r="Y29">
        <f>HYPERLINK("https://klasma.github.io/Logging_1907/tillsynsmail/A 10236-2026 tillsynsbegäran mail.docx", "A 10236-2026")</f>
        <v/>
      </c>
    </row>
    <row r="30" ht="15" customHeight="1">
      <c r="A30" t="inlineStr">
        <is>
          <t>A 48128-2023</t>
        </is>
      </c>
      <c r="B30" s="1" t="n">
        <v>45205</v>
      </c>
      <c r="C30" s="1" t="n">
        <v>46138</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39694-2025</t>
        </is>
      </c>
      <c r="B31" s="1" t="n">
        <v>45890</v>
      </c>
      <c r="C31" s="1" t="n">
        <v>46138</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42860-2022</t>
        </is>
      </c>
      <c r="B32" s="1" t="n">
        <v>44832</v>
      </c>
      <c r="C32" s="1" t="n">
        <v>46138</v>
      </c>
      <c r="D32" t="inlineStr">
        <is>
          <t>VÄSTMANLANDS LÄN</t>
        </is>
      </c>
      <c r="E32" t="inlineStr">
        <is>
          <t>SURAHAMMAR</t>
        </is>
      </c>
      <c r="G32" t="n">
        <v>0.9</v>
      </c>
      <c r="H32" t="n">
        <v>0</v>
      </c>
      <c r="I32" t="n">
        <v>1</v>
      </c>
      <c r="J32" t="n">
        <v>0</v>
      </c>
      <c r="K32" t="n">
        <v>0</v>
      </c>
      <c r="L32" t="n">
        <v>1</v>
      </c>
      <c r="M32" t="n">
        <v>1</v>
      </c>
      <c r="N32" t="n">
        <v>0</v>
      </c>
      <c r="O32" t="n">
        <v>2</v>
      </c>
      <c r="P32" t="n">
        <v>2</v>
      </c>
      <c r="Q32" t="n">
        <v>3</v>
      </c>
      <c r="R32" s="2" t="inlineStr">
        <is>
          <t>Skogsalm
Ask
Scharlakansvårskål agg.</t>
        </is>
      </c>
      <c r="S32">
        <f>HYPERLINK("https://klasma.github.io/Logging_1907/artfynd/A 42860-2022 artfynd.xlsx", "A 42860-2022")</f>
        <v/>
      </c>
      <c r="T32">
        <f>HYPERLINK("https://klasma.github.io/Logging_1907/kartor/A 42860-2022 karta.png", "A 42860-2022")</f>
        <v/>
      </c>
      <c r="V32">
        <f>HYPERLINK("https://klasma.github.io/Logging_1907/klagomål/A 42860-2022 FSC-klagomål.docx", "A 42860-2022")</f>
        <v/>
      </c>
      <c r="W32">
        <f>HYPERLINK("https://klasma.github.io/Logging_1907/klagomålsmail/A 42860-2022 FSC-klagomål mail.docx", "A 42860-2022")</f>
        <v/>
      </c>
      <c r="X32">
        <f>HYPERLINK("https://klasma.github.io/Logging_1907/tillsyn/A 42860-2022 tillsynsbegäran.docx", "A 42860-2022")</f>
        <v/>
      </c>
      <c r="Y32">
        <f>HYPERLINK("https://klasma.github.io/Logging_1907/tillsynsmail/A 42860-2022 tillsynsbegäran mail.docx", "A 42860-2022")</f>
        <v/>
      </c>
    </row>
    <row r="33" ht="15" customHeight="1">
      <c r="A33" t="inlineStr">
        <is>
          <t>A 42708-2022</t>
        </is>
      </c>
      <c r="B33" s="1" t="n">
        <v>44832</v>
      </c>
      <c r="C33" s="1" t="n">
        <v>46138</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46138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46138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29707-2025</t>
        </is>
      </c>
      <c r="B36" s="1" t="n">
        <v>45825.56100694444</v>
      </c>
      <c r="C36" s="1" t="n">
        <v>46138</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20391-2024</t>
        </is>
      </c>
      <c r="B37" s="1" t="n">
        <v>45435</v>
      </c>
      <c r="C37" s="1" t="n">
        <v>46138</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46138</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46138</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46138</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46138</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41576-2022</t>
        </is>
      </c>
      <c r="B42" s="1" t="n">
        <v>44826</v>
      </c>
      <c r="C42" s="1" t="n">
        <v>46138</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62097-2024</t>
        </is>
      </c>
      <c r="B43" s="1" t="n">
        <v>45646</v>
      </c>
      <c r="C43" s="1" t="n">
        <v>46138</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40403-2025</t>
        </is>
      </c>
      <c r="B44" s="1" t="n">
        <v>45895</v>
      </c>
      <c r="C44" s="1" t="n">
        <v>46138</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46138</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63146-2025</t>
        </is>
      </c>
      <c r="B46" s="1" t="n">
        <v>46009</v>
      </c>
      <c r="C46" s="1" t="n">
        <v>46138</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46138</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46138</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38170-2021</t>
        </is>
      </c>
      <c r="B49" s="1" t="n">
        <v>44405.43472222222</v>
      </c>
      <c r="C49" s="1" t="n">
        <v>46138</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46138</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46138</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25583-2024</t>
        </is>
      </c>
      <c r="B52" s="1" t="n">
        <v>45463</v>
      </c>
      <c r="C52" s="1" t="n">
        <v>46138</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31176-2024</t>
        </is>
      </c>
      <c r="B53" s="1" t="n">
        <v>45503</v>
      </c>
      <c r="C53" s="1" t="n">
        <v>46138</v>
      </c>
      <c r="D53" t="inlineStr">
        <is>
          <t>VÄSTMANLANDS LÄN</t>
        </is>
      </c>
      <c r="E53" t="inlineStr">
        <is>
          <t>SURAHAMMAR</t>
        </is>
      </c>
      <c r="F53" t="inlineStr">
        <is>
          <t>Allmännings- och besparingsskogar</t>
        </is>
      </c>
      <c r="G53" t="n">
        <v>10.7</v>
      </c>
      <c r="H53" t="n">
        <v>0</v>
      </c>
      <c r="I53" t="n">
        <v>0</v>
      </c>
      <c r="J53" t="n">
        <v>1</v>
      </c>
      <c r="K53" t="n">
        <v>0</v>
      </c>
      <c r="L53" t="n">
        <v>0</v>
      </c>
      <c r="M53" t="n">
        <v>0</v>
      </c>
      <c r="N53" t="n">
        <v>0</v>
      </c>
      <c r="O53" t="n">
        <v>1</v>
      </c>
      <c r="P53" t="n">
        <v>0</v>
      </c>
      <c r="Q53" t="n">
        <v>1</v>
      </c>
      <c r="R53" s="2" t="inlineStr">
        <is>
          <t>Doftskinn</t>
        </is>
      </c>
      <c r="S53">
        <f>HYPERLINK("https://klasma.github.io/Logging_1907/artfynd/A 31176-2024 artfynd.xlsx", "A 31176-2024")</f>
        <v/>
      </c>
      <c r="T53">
        <f>HYPERLINK("https://klasma.github.io/Logging_1907/kartor/A 31176-2024 karta.png", "A 31176-2024")</f>
        <v/>
      </c>
      <c r="V53">
        <f>HYPERLINK("https://klasma.github.io/Logging_1907/klagomål/A 31176-2024 FSC-klagomål.docx", "A 31176-2024")</f>
        <v/>
      </c>
      <c r="W53">
        <f>HYPERLINK("https://klasma.github.io/Logging_1907/klagomålsmail/A 31176-2024 FSC-klagomål mail.docx", "A 31176-2024")</f>
        <v/>
      </c>
      <c r="X53">
        <f>HYPERLINK("https://klasma.github.io/Logging_1907/tillsyn/A 31176-2024 tillsynsbegäran.docx", "A 31176-2024")</f>
        <v/>
      </c>
      <c r="Y53">
        <f>HYPERLINK("https://klasma.github.io/Logging_1907/tillsynsmail/A 31176-2024 tillsynsbegäran mail.docx", "A 31176-2024")</f>
        <v/>
      </c>
    </row>
    <row r="54" ht="15" customHeight="1">
      <c r="A54" t="inlineStr">
        <is>
          <t>A 30074-2023</t>
        </is>
      </c>
      <c r="B54" s="1" t="n">
        <v>45110</v>
      </c>
      <c r="C54" s="1" t="n">
        <v>46138</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40411-2021</t>
        </is>
      </c>
      <c r="B55" s="1" t="n">
        <v>44419</v>
      </c>
      <c r="C55" s="1" t="n">
        <v>46138</v>
      </c>
      <c r="D55" t="inlineStr">
        <is>
          <t>VÄSTMANLANDS LÄN</t>
        </is>
      </c>
      <c r="E55" t="inlineStr">
        <is>
          <t>SURAHAMMAR</t>
        </is>
      </c>
      <c r="F55" t="inlineStr">
        <is>
          <t>Sveaskog</t>
        </is>
      </c>
      <c r="G55" t="n">
        <v>2.4</v>
      </c>
      <c r="H55" t="n">
        <v>1</v>
      </c>
      <c r="I55" t="n">
        <v>0</v>
      </c>
      <c r="J55" t="n">
        <v>0</v>
      </c>
      <c r="K55" t="n">
        <v>0</v>
      </c>
      <c r="L55" t="n">
        <v>0</v>
      </c>
      <c r="M55" t="n">
        <v>0</v>
      </c>
      <c r="N55" t="n">
        <v>0</v>
      </c>
      <c r="O55" t="n">
        <v>0</v>
      </c>
      <c r="P55" t="n">
        <v>0</v>
      </c>
      <c r="Q55" t="n">
        <v>1</v>
      </c>
      <c r="R55" s="2" t="inlineStr">
        <is>
          <t>Kopparödla</t>
        </is>
      </c>
      <c r="S55">
        <f>HYPERLINK("https://klasma.github.io/Logging_1907/artfynd/A 40411-2021 artfynd.xlsx", "A 40411-2021")</f>
        <v/>
      </c>
      <c r="T55">
        <f>HYPERLINK("https://klasma.github.io/Logging_1907/kartor/A 40411-2021 karta.png", "A 40411-2021")</f>
        <v/>
      </c>
      <c r="V55">
        <f>HYPERLINK("https://klasma.github.io/Logging_1907/klagomål/A 40411-2021 FSC-klagomål.docx", "A 40411-2021")</f>
        <v/>
      </c>
      <c r="W55">
        <f>HYPERLINK("https://klasma.github.io/Logging_1907/klagomålsmail/A 40411-2021 FSC-klagomål mail.docx", "A 40411-2021")</f>
        <v/>
      </c>
      <c r="X55">
        <f>HYPERLINK("https://klasma.github.io/Logging_1907/tillsyn/A 40411-2021 tillsynsbegäran.docx", "A 40411-2021")</f>
        <v/>
      </c>
      <c r="Y55">
        <f>HYPERLINK("https://klasma.github.io/Logging_1907/tillsynsmail/A 40411-2021 tillsynsbegäran mail.docx", "A 40411-2021")</f>
        <v/>
      </c>
    </row>
    <row r="56" ht="15" customHeight="1">
      <c r="A56" t="inlineStr">
        <is>
          <t>A 34582-2025</t>
        </is>
      </c>
      <c r="B56" s="1" t="n">
        <v>45846</v>
      </c>
      <c r="C56" s="1" t="n">
        <v>46138</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43451-2024</t>
        </is>
      </c>
      <c r="B57" s="1" t="n">
        <v>45568</v>
      </c>
      <c r="C57" s="1" t="n">
        <v>46138</v>
      </c>
      <c r="D57" t="inlineStr">
        <is>
          <t>VÄSTMANLANDS LÄN</t>
        </is>
      </c>
      <c r="E57" t="inlineStr">
        <is>
          <t>SURAHAMMAR</t>
        </is>
      </c>
      <c r="F57" t="inlineStr">
        <is>
          <t>Bergvik skog väst AB</t>
        </is>
      </c>
      <c r="G57" t="n">
        <v>2.9</v>
      </c>
      <c r="H57" t="n">
        <v>0</v>
      </c>
      <c r="I57" t="n">
        <v>0</v>
      </c>
      <c r="J57" t="n">
        <v>1</v>
      </c>
      <c r="K57" t="n">
        <v>0</v>
      </c>
      <c r="L57" t="n">
        <v>0</v>
      </c>
      <c r="M57" t="n">
        <v>0</v>
      </c>
      <c r="N57" t="n">
        <v>0</v>
      </c>
      <c r="O57" t="n">
        <v>1</v>
      </c>
      <c r="P57" t="n">
        <v>0</v>
      </c>
      <c r="Q57" t="n">
        <v>1</v>
      </c>
      <c r="R57" s="2" t="inlineStr">
        <is>
          <t>Ullticka</t>
        </is>
      </c>
      <c r="S57">
        <f>HYPERLINK("https://klasma.github.io/Logging_1907/artfynd/A 43451-2024 artfynd.xlsx", "A 43451-2024")</f>
        <v/>
      </c>
      <c r="T57">
        <f>HYPERLINK("https://klasma.github.io/Logging_1907/kartor/A 43451-2024 karta.png", "A 43451-2024")</f>
        <v/>
      </c>
      <c r="V57">
        <f>HYPERLINK("https://klasma.github.io/Logging_1907/klagomål/A 43451-2024 FSC-klagomål.docx", "A 43451-2024")</f>
        <v/>
      </c>
      <c r="W57">
        <f>HYPERLINK("https://klasma.github.io/Logging_1907/klagomålsmail/A 43451-2024 FSC-klagomål mail.docx", "A 43451-2024")</f>
        <v/>
      </c>
      <c r="X57">
        <f>HYPERLINK("https://klasma.github.io/Logging_1907/tillsyn/A 43451-2024 tillsynsbegäran.docx", "A 43451-2024")</f>
        <v/>
      </c>
      <c r="Y57">
        <f>HYPERLINK("https://klasma.github.io/Logging_1907/tillsynsmail/A 43451-2024 tillsynsbegäran mail.docx", "A 43451-2024")</f>
        <v/>
      </c>
    </row>
    <row r="58" ht="15" customHeight="1">
      <c r="A58" t="inlineStr">
        <is>
          <t>A 42089-2025</t>
        </is>
      </c>
      <c r="B58" s="1" t="n">
        <v>45902</v>
      </c>
      <c r="C58" s="1" t="n">
        <v>46138</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56362-2023</t>
        </is>
      </c>
      <c r="B59" s="1" t="n">
        <v>45236</v>
      </c>
      <c r="C59" s="1" t="n">
        <v>46138</v>
      </c>
      <c r="D59" t="inlineStr">
        <is>
          <t>VÄSTMANLANDS LÄN</t>
        </is>
      </c>
      <c r="E59" t="inlineStr">
        <is>
          <t>SURAHAMMAR</t>
        </is>
      </c>
      <c r="F59" t="inlineStr">
        <is>
          <t>Bergvik skog väst AB</t>
        </is>
      </c>
      <c r="G59" t="n">
        <v>15.2</v>
      </c>
      <c r="H59" t="n">
        <v>0</v>
      </c>
      <c r="I59" t="n">
        <v>1</v>
      </c>
      <c r="J59" t="n">
        <v>0</v>
      </c>
      <c r="K59" t="n">
        <v>0</v>
      </c>
      <c r="L59" t="n">
        <v>0</v>
      </c>
      <c r="M59" t="n">
        <v>0</v>
      </c>
      <c r="N59" t="n">
        <v>0</v>
      </c>
      <c r="O59" t="n">
        <v>0</v>
      </c>
      <c r="P59" t="n">
        <v>0</v>
      </c>
      <c r="Q59" t="n">
        <v>1</v>
      </c>
      <c r="R59" s="2" t="inlineStr">
        <is>
          <t>Grönpyrola</t>
        </is>
      </c>
      <c r="S59">
        <f>HYPERLINK("https://klasma.github.io/Logging_1907/artfynd/A 56362-2023 artfynd.xlsx", "A 56362-2023")</f>
        <v/>
      </c>
      <c r="T59">
        <f>HYPERLINK("https://klasma.github.io/Logging_1907/kartor/A 56362-2023 karta.png", "A 56362-2023")</f>
        <v/>
      </c>
      <c r="V59">
        <f>HYPERLINK("https://klasma.github.io/Logging_1907/klagomål/A 56362-2023 FSC-klagomål.docx", "A 56362-2023")</f>
        <v/>
      </c>
      <c r="W59">
        <f>HYPERLINK("https://klasma.github.io/Logging_1907/klagomålsmail/A 56362-2023 FSC-klagomål mail.docx", "A 56362-2023")</f>
        <v/>
      </c>
      <c r="X59">
        <f>HYPERLINK("https://klasma.github.io/Logging_1907/tillsyn/A 56362-2023 tillsynsbegäran.docx", "A 56362-2023")</f>
        <v/>
      </c>
      <c r="Y59">
        <f>HYPERLINK("https://klasma.github.io/Logging_1907/tillsynsmail/A 56362-2023 tillsynsbegäran mail.docx", "A 56362-2023")</f>
        <v/>
      </c>
    </row>
    <row r="60" ht="15" customHeight="1">
      <c r="A60" t="inlineStr">
        <is>
          <t>A 39099-2022</t>
        </is>
      </c>
      <c r="B60" s="1" t="n">
        <v>44817</v>
      </c>
      <c r="C60" s="1" t="n">
        <v>46138</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47453-2024</t>
        </is>
      </c>
      <c r="B61" s="1" t="n">
        <v>45587.55017361111</v>
      </c>
      <c r="C61" s="1" t="n">
        <v>46138</v>
      </c>
      <c r="D61" t="inlineStr">
        <is>
          <t>VÄSTMANLANDS LÄN</t>
        </is>
      </c>
      <c r="E61" t="inlineStr">
        <is>
          <t>SURAHAMMAR</t>
        </is>
      </c>
      <c r="G61" t="n">
        <v>5.1</v>
      </c>
      <c r="H61" t="n">
        <v>1</v>
      </c>
      <c r="I61" t="n">
        <v>0</v>
      </c>
      <c r="J61" t="n">
        <v>0</v>
      </c>
      <c r="K61" t="n">
        <v>0</v>
      </c>
      <c r="L61" t="n">
        <v>0</v>
      </c>
      <c r="M61" t="n">
        <v>0</v>
      </c>
      <c r="N61" t="n">
        <v>0</v>
      </c>
      <c r="O61" t="n">
        <v>0</v>
      </c>
      <c r="P61" t="n">
        <v>0</v>
      </c>
      <c r="Q61" t="n">
        <v>1</v>
      </c>
      <c r="R61" s="2" t="inlineStr">
        <is>
          <t>Göktyta</t>
        </is>
      </c>
      <c r="S61">
        <f>HYPERLINK("https://klasma.github.io/Logging_1907/artfynd/A 47453-2024 artfynd.xlsx", "A 47453-2024")</f>
        <v/>
      </c>
      <c r="T61">
        <f>HYPERLINK("https://klasma.github.io/Logging_1907/kartor/A 47453-2024 karta.png", "A 47453-2024")</f>
        <v/>
      </c>
      <c r="V61">
        <f>HYPERLINK("https://klasma.github.io/Logging_1907/klagomål/A 47453-2024 FSC-klagomål.docx", "A 47453-2024")</f>
        <v/>
      </c>
      <c r="W61">
        <f>HYPERLINK("https://klasma.github.io/Logging_1907/klagomålsmail/A 47453-2024 FSC-klagomål mail.docx", "A 47453-2024")</f>
        <v/>
      </c>
      <c r="X61">
        <f>HYPERLINK("https://klasma.github.io/Logging_1907/tillsyn/A 47453-2024 tillsynsbegäran.docx", "A 47453-2024")</f>
        <v/>
      </c>
      <c r="Y61">
        <f>HYPERLINK("https://klasma.github.io/Logging_1907/tillsynsmail/A 47453-2024 tillsynsbegäran mail.docx", "A 47453-2024")</f>
        <v/>
      </c>
      <c r="Z61">
        <f>HYPERLINK("https://klasma.github.io/Logging_1907/fåglar/A 47453-2024 prioriterade fågelarter.docx", "A 47453-2024")</f>
        <v/>
      </c>
    </row>
    <row r="62" ht="15" customHeight="1">
      <c r="A62" t="inlineStr">
        <is>
          <t>A 42765-2022</t>
        </is>
      </c>
      <c r="B62" s="1" t="n">
        <v>44832</v>
      </c>
      <c r="C62" s="1" t="n">
        <v>46138</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13788-2025</t>
        </is>
      </c>
      <c r="B63" s="1" t="n">
        <v>45737.45327546296</v>
      </c>
      <c r="C63" s="1" t="n">
        <v>46138</v>
      </c>
      <c r="D63" t="inlineStr">
        <is>
          <t>VÄSTMANLANDS LÄN</t>
        </is>
      </c>
      <c r="E63" t="inlineStr">
        <is>
          <t>SURAHAMMAR</t>
        </is>
      </c>
      <c r="G63" t="n">
        <v>9.699999999999999</v>
      </c>
      <c r="H63" t="n">
        <v>1</v>
      </c>
      <c r="I63" t="n">
        <v>0</v>
      </c>
      <c r="J63" t="n">
        <v>0</v>
      </c>
      <c r="K63" t="n">
        <v>0</v>
      </c>
      <c r="L63" t="n">
        <v>0</v>
      </c>
      <c r="M63" t="n">
        <v>0</v>
      </c>
      <c r="N63" t="n">
        <v>0</v>
      </c>
      <c r="O63" t="n">
        <v>0</v>
      </c>
      <c r="P63" t="n">
        <v>0</v>
      </c>
      <c r="Q63" t="n">
        <v>1</v>
      </c>
      <c r="R63" s="2" t="inlineStr">
        <is>
          <t>Sparvuggla</t>
        </is>
      </c>
      <c r="S63">
        <f>HYPERLINK("https://klasma.github.io/Logging_1907/artfynd/A 13788-2025 artfynd.xlsx", "A 13788-2025")</f>
        <v/>
      </c>
      <c r="T63">
        <f>HYPERLINK("https://klasma.github.io/Logging_1907/kartor/A 13788-2025 karta.png", "A 13788-2025")</f>
        <v/>
      </c>
      <c r="V63">
        <f>HYPERLINK("https://klasma.github.io/Logging_1907/klagomål/A 13788-2025 FSC-klagomål.docx", "A 13788-2025")</f>
        <v/>
      </c>
      <c r="W63">
        <f>HYPERLINK("https://klasma.github.io/Logging_1907/klagomålsmail/A 13788-2025 FSC-klagomål mail.docx", "A 13788-2025")</f>
        <v/>
      </c>
      <c r="X63">
        <f>HYPERLINK("https://klasma.github.io/Logging_1907/tillsyn/A 13788-2025 tillsynsbegäran.docx", "A 13788-2025")</f>
        <v/>
      </c>
      <c r="Y63">
        <f>HYPERLINK("https://klasma.github.io/Logging_1907/tillsynsmail/A 13788-2025 tillsynsbegäran mail.docx", "A 13788-2025")</f>
        <v/>
      </c>
      <c r="Z63">
        <f>HYPERLINK("https://klasma.github.io/Logging_1907/fåglar/A 13788-2025 prioriterade fågelarter.docx", "A 13788-2025")</f>
        <v/>
      </c>
    </row>
    <row r="64" ht="15" customHeight="1">
      <c r="A64" t="inlineStr">
        <is>
          <t>A 10819-2024</t>
        </is>
      </c>
      <c r="B64" s="1" t="n">
        <v>45369.66049768519</v>
      </c>
      <c r="C64" s="1" t="n">
        <v>46138</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55042-2025</t>
        </is>
      </c>
      <c r="B65" s="1" t="n">
        <v>45967.65858796296</v>
      </c>
      <c r="C65" s="1" t="n">
        <v>46138</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46138</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46138</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69777-2021</t>
        </is>
      </c>
      <c r="B68" s="1" t="n">
        <v>44532</v>
      </c>
      <c r="C68" s="1" t="n">
        <v>46138</v>
      </c>
      <c r="D68" t="inlineStr">
        <is>
          <t>VÄSTMANLANDS LÄN</t>
        </is>
      </c>
      <c r="E68" t="inlineStr">
        <is>
          <t>SURAHAMMAR</t>
        </is>
      </c>
      <c r="G68" t="n">
        <v>2.3</v>
      </c>
      <c r="H68" t="n">
        <v>1</v>
      </c>
      <c r="I68" t="n">
        <v>0</v>
      </c>
      <c r="J68" t="n">
        <v>0</v>
      </c>
      <c r="K68" t="n">
        <v>1</v>
      </c>
      <c r="L68" t="n">
        <v>0</v>
      </c>
      <c r="M68" t="n">
        <v>0</v>
      </c>
      <c r="N68" t="n">
        <v>0</v>
      </c>
      <c r="O68" t="n">
        <v>1</v>
      </c>
      <c r="P68" t="n">
        <v>1</v>
      </c>
      <c r="Q68" t="n">
        <v>1</v>
      </c>
      <c r="R68" s="2" t="inlineStr">
        <is>
          <t>Bombmurkla</t>
        </is>
      </c>
      <c r="S68">
        <f>HYPERLINK("https://klasma.github.io/Logging_1907/artfynd/A 69777-2021 artfynd.xlsx", "A 69777-2021")</f>
        <v/>
      </c>
      <c r="T68">
        <f>HYPERLINK("https://klasma.github.io/Logging_1907/kartor/A 69777-2021 karta.png", "A 69777-2021")</f>
        <v/>
      </c>
      <c r="V68">
        <f>HYPERLINK("https://klasma.github.io/Logging_1907/klagomål/A 69777-2021 FSC-klagomål.docx", "A 69777-2021")</f>
        <v/>
      </c>
      <c r="W68">
        <f>HYPERLINK("https://klasma.github.io/Logging_1907/klagomålsmail/A 69777-2021 FSC-klagomål mail.docx", "A 69777-2021")</f>
        <v/>
      </c>
      <c r="X68">
        <f>HYPERLINK("https://klasma.github.io/Logging_1907/tillsyn/A 69777-2021 tillsynsbegäran.docx", "A 69777-2021")</f>
        <v/>
      </c>
      <c r="Y68">
        <f>HYPERLINK("https://klasma.github.io/Logging_1907/tillsynsmail/A 69777-2021 tillsynsbegäran mail.docx", "A 69777-2021")</f>
        <v/>
      </c>
    </row>
    <row r="69" ht="15" customHeight="1">
      <c r="A69" t="inlineStr">
        <is>
          <t>A 17632-2022</t>
        </is>
      </c>
      <c r="B69" s="1" t="n">
        <v>44680</v>
      </c>
      <c r="C69" s="1" t="n">
        <v>46138</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63145-2025</t>
        </is>
      </c>
      <c r="B70" s="1" t="n">
        <v>46009</v>
      </c>
      <c r="C70" s="1" t="n">
        <v>46138</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44356-2024</t>
        </is>
      </c>
      <c r="B71" s="1" t="n">
        <v>45573</v>
      </c>
      <c r="C71" s="1" t="n">
        <v>46138</v>
      </c>
      <c r="D71" t="inlineStr">
        <is>
          <t>VÄSTMANLANDS LÄN</t>
        </is>
      </c>
      <c r="E71" t="inlineStr">
        <is>
          <t>SURAHAMMAR</t>
        </is>
      </c>
      <c r="F71" t="inlineStr">
        <is>
          <t>Sveaskog</t>
        </is>
      </c>
      <c r="G71" t="n">
        <v>0.7</v>
      </c>
      <c r="H71" t="n">
        <v>1</v>
      </c>
      <c r="I71" t="n">
        <v>0</v>
      </c>
      <c r="J71" t="n">
        <v>0</v>
      </c>
      <c r="K71" t="n">
        <v>0</v>
      </c>
      <c r="L71" t="n">
        <v>0</v>
      </c>
      <c r="M71" t="n">
        <v>0</v>
      </c>
      <c r="N71" t="n">
        <v>0</v>
      </c>
      <c r="O71" t="n">
        <v>0</v>
      </c>
      <c r="P71" t="n">
        <v>0</v>
      </c>
      <c r="Q71" t="n">
        <v>1</v>
      </c>
      <c r="R71" s="2" t="inlineStr">
        <is>
          <t>Revlummer</t>
        </is>
      </c>
      <c r="S71">
        <f>HYPERLINK("https://klasma.github.io/Logging_1907/artfynd/A 44356-2024 artfynd.xlsx", "A 44356-2024")</f>
        <v/>
      </c>
      <c r="T71">
        <f>HYPERLINK("https://klasma.github.io/Logging_1907/kartor/A 44356-2024 karta.png", "A 44356-2024")</f>
        <v/>
      </c>
      <c r="V71">
        <f>HYPERLINK("https://klasma.github.io/Logging_1907/klagomål/A 44356-2024 FSC-klagomål.docx", "A 44356-2024")</f>
        <v/>
      </c>
      <c r="W71">
        <f>HYPERLINK("https://klasma.github.io/Logging_1907/klagomålsmail/A 44356-2024 FSC-klagomål mail.docx", "A 44356-2024")</f>
        <v/>
      </c>
      <c r="X71">
        <f>HYPERLINK("https://klasma.github.io/Logging_1907/tillsyn/A 44356-2024 tillsynsbegäran.docx", "A 44356-2024")</f>
        <v/>
      </c>
      <c r="Y71">
        <f>HYPERLINK("https://klasma.github.io/Logging_1907/tillsynsmail/A 44356-2024 tillsynsbegäran mail.docx", "A 44356-2024")</f>
        <v/>
      </c>
    </row>
    <row r="72" ht="15" customHeight="1">
      <c r="A72" t="inlineStr">
        <is>
          <t>A 22840-2023</t>
        </is>
      </c>
      <c r="B72" s="1" t="n">
        <v>45072</v>
      </c>
      <c r="C72" s="1" t="n">
        <v>46138</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33231-2024</t>
        </is>
      </c>
      <c r="B73" s="1" t="n">
        <v>45518</v>
      </c>
      <c r="C73" s="1" t="n">
        <v>46138</v>
      </c>
      <c r="D73" t="inlineStr">
        <is>
          <t>VÄSTMANLANDS LÄN</t>
        </is>
      </c>
      <c r="E73" t="inlineStr">
        <is>
          <t>SURAHAMMAR</t>
        </is>
      </c>
      <c r="F73" t="inlineStr">
        <is>
          <t>Bergvik skog väst AB</t>
        </is>
      </c>
      <c r="G73" t="n">
        <v>1.5</v>
      </c>
      <c r="H73" t="n">
        <v>1</v>
      </c>
      <c r="I73" t="n">
        <v>0</v>
      </c>
      <c r="J73" t="n">
        <v>0</v>
      </c>
      <c r="K73" t="n">
        <v>0</v>
      </c>
      <c r="L73" t="n">
        <v>0</v>
      </c>
      <c r="M73" t="n">
        <v>0</v>
      </c>
      <c r="N73" t="n">
        <v>0</v>
      </c>
      <c r="O73" t="n">
        <v>0</v>
      </c>
      <c r="P73" t="n">
        <v>0</v>
      </c>
      <c r="Q73" t="n">
        <v>1</v>
      </c>
      <c r="R73" s="2" t="inlineStr">
        <is>
          <t>Mindre vattensalamander</t>
        </is>
      </c>
      <c r="S73">
        <f>HYPERLINK("https://klasma.github.io/Logging_1907/artfynd/A 33231-2024 artfynd.xlsx", "A 33231-2024")</f>
        <v/>
      </c>
      <c r="T73">
        <f>HYPERLINK("https://klasma.github.io/Logging_1907/kartor/A 33231-2024 karta.png", "A 33231-2024")</f>
        <v/>
      </c>
      <c r="V73">
        <f>HYPERLINK("https://klasma.github.io/Logging_1907/klagomål/A 33231-2024 FSC-klagomål.docx", "A 33231-2024")</f>
        <v/>
      </c>
      <c r="W73">
        <f>HYPERLINK("https://klasma.github.io/Logging_1907/klagomålsmail/A 33231-2024 FSC-klagomål mail.docx", "A 33231-2024")</f>
        <v/>
      </c>
      <c r="X73">
        <f>HYPERLINK("https://klasma.github.io/Logging_1907/tillsyn/A 33231-2024 tillsynsbegäran.docx", "A 33231-2024")</f>
        <v/>
      </c>
      <c r="Y73">
        <f>HYPERLINK("https://klasma.github.io/Logging_1907/tillsynsmail/A 33231-2024 tillsynsbegäran mail.docx", "A 33231-2024")</f>
        <v/>
      </c>
    </row>
    <row r="74" ht="15" customHeight="1">
      <c r="A74" t="inlineStr">
        <is>
          <t>A 14001-2023</t>
        </is>
      </c>
      <c r="B74" s="1" t="n">
        <v>45007</v>
      </c>
      <c r="C74" s="1" t="n">
        <v>46138</v>
      </c>
      <c r="D74" t="inlineStr">
        <is>
          <t>VÄSTMANLANDS LÄN</t>
        </is>
      </c>
      <c r="E74" t="inlineStr">
        <is>
          <t>SURAHAMMAR</t>
        </is>
      </c>
      <c r="F74" t="inlineStr">
        <is>
          <t>Bergvik skog väst AB</t>
        </is>
      </c>
      <c r="G74" t="n">
        <v>1</v>
      </c>
      <c r="H74" t="n">
        <v>0</v>
      </c>
      <c r="I74" t="n">
        <v>0</v>
      </c>
      <c r="J74" t="n">
        <v>1</v>
      </c>
      <c r="K74" t="n">
        <v>0</v>
      </c>
      <c r="L74" t="n">
        <v>0</v>
      </c>
      <c r="M74" t="n">
        <v>0</v>
      </c>
      <c r="N74" t="n">
        <v>0</v>
      </c>
      <c r="O74" t="n">
        <v>1</v>
      </c>
      <c r="P74" t="n">
        <v>0</v>
      </c>
      <c r="Q74" t="n">
        <v>1</v>
      </c>
      <c r="R74" s="2" t="inlineStr">
        <is>
          <t>Motaggsvamp</t>
        </is>
      </c>
      <c r="S74">
        <f>HYPERLINK("https://klasma.github.io/Logging_1907/artfynd/A 14001-2023 artfynd.xlsx", "A 14001-2023")</f>
        <v/>
      </c>
      <c r="T74">
        <f>HYPERLINK("https://klasma.github.io/Logging_1907/kartor/A 14001-2023 karta.png", "A 14001-2023")</f>
        <v/>
      </c>
      <c r="V74">
        <f>HYPERLINK("https://klasma.github.io/Logging_1907/klagomål/A 14001-2023 FSC-klagomål.docx", "A 14001-2023")</f>
        <v/>
      </c>
      <c r="W74">
        <f>HYPERLINK("https://klasma.github.io/Logging_1907/klagomålsmail/A 14001-2023 FSC-klagomål mail.docx", "A 14001-2023")</f>
        <v/>
      </c>
      <c r="X74">
        <f>HYPERLINK("https://klasma.github.io/Logging_1907/tillsyn/A 14001-2023 tillsynsbegäran.docx", "A 14001-2023")</f>
        <v/>
      </c>
      <c r="Y74">
        <f>HYPERLINK("https://klasma.github.io/Logging_1907/tillsynsmail/A 14001-2023 tillsynsbegäran mail.docx", "A 14001-2023")</f>
        <v/>
      </c>
    </row>
    <row r="75" ht="15" customHeight="1">
      <c r="A75" t="inlineStr">
        <is>
          <t>A 13971-2023</t>
        </is>
      </c>
      <c r="B75" s="1" t="n">
        <v>45007</v>
      </c>
      <c r="C75" s="1" t="n">
        <v>46138</v>
      </c>
      <c r="D75" t="inlineStr">
        <is>
          <t>VÄSTMANLANDS LÄN</t>
        </is>
      </c>
      <c r="E75" t="inlineStr">
        <is>
          <t>SURAHAMMAR</t>
        </is>
      </c>
      <c r="F75" t="inlineStr">
        <is>
          <t>Bergvik skog väst AB</t>
        </is>
      </c>
      <c r="G75" t="n">
        <v>2.9</v>
      </c>
      <c r="H75" t="n">
        <v>1</v>
      </c>
      <c r="I75" t="n">
        <v>0</v>
      </c>
      <c r="J75" t="n">
        <v>0</v>
      </c>
      <c r="K75" t="n">
        <v>0</v>
      </c>
      <c r="L75" t="n">
        <v>0</v>
      </c>
      <c r="M75" t="n">
        <v>0</v>
      </c>
      <c r="N75" t="n">
        <v>0</v>
      </c>
      <c r="O75" t="n">
        <v>0</v>
      </c>
      <c r="P75" t="n">
        <v>0</v>
      </c>
      <c r="Q75" t="n">
        <v>1</v>
      </c>
      <c r="R75" s="2" t="inlineStr">
        <is>
          <t>Fläcknycklar</t>
        </is>
      </c>
      <c r="S75">
        <f>HYPERLINK("https://klasma.github.io/Logging_1907/artfynd/A 13971-2023 artfynd.xlsx", "A 13971-2023")</f>
        <v/>
      </c>
      <c r="T75">
        <f>HYPERLINK("https://klasma.github.io/Logging_1907/kartor/A 13971-2023 karta.png", "A 13971-2023")</f>
        <v/>
      </c>
      <c r="V75">
        <f>HYPERLINK("https://klasma.github.io/Logging_1907/klagomål/A 13971-2023 FSC-klagomål.docx", "A 13971-2023")</f>
        <v/>
      </c>
      <c r="W75">
        <f>HYPERLINK("https://klasma.github.io/Logging_1907/klagomålsmail/A 13971-2023 FSC-klagomål mail.docx", "A 13971-2023")</f>
        <v/>
      </c>
      <c r="X75">
        <f>HYPERLINK("https://klasma.github.io/Logging_1907/tillsyn/A 13971-2023 tillsynsbegäran.docx", "A 13971-2023")</f>
        <v/>
      </c>
      <c r="Y75">
        <f>HYPERLINK("https://klasma.github.io/Logging_1907/tillsynsmail/A 13971-2023 tillsynsbegäran mail.docx", "A 13971-2023")</f>
        <v/>
      </c>
    </row>
    <row r="76" ht="15" customHeight="1">
      <c r="A76" t="inlineStr">
        <is>
          <t>A 64073-2021</t>
        </is>
      </c>
      <c r="B76" s="1" t="n">
        <v>44509</v>
      </c>
      <c r="C76" s="1" t="n">
        <v>46138</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46138</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46138</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46138</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46138</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46138</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46138</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46138</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46138</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46138</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46138</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46138</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46138</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46138</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46138</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46138</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46138</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22662-2023</t>
        </is>
      </c>
      <c r="B93" s="1" t="n">
        <v>45071</v>
      </c>
      <c r="C93" s="1" t="n">
        <v>46138</v>
      </c>
      <c r="D93" t="inlineStr">
        <is>
          <t>VÄSTMANLANDS LÄN</t>
        </is>
      </c>
      <c r="E93" t="inlineStr">
        <is>
          <t>SURAHAMMAR</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16013-2023</t>
        </is>
      </c>
      <c r="B94" s="1" t="n">
        <v>45026</v>
      </c>
      <c r="C94" s="1" t="n">
        <v>46138</v>
      </c>
      <c r="D94" t="inlineStr">
        <is>
          <t>VÄSTMANLANDS LÄN</t>
        </is>
      </c>
      <c r="E94" t="inlineStr">
        <is>
          <t>SURAHAMMAR</t>
        </is>
      </c>
      <c r="G94" t="n">
        <v>3.9</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46138</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46138</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46138</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41555-2022</t>
        </is>
      </c>
      <c r="B98" s="1" t="n">
        <v>44826</v>
      </c>
      <c r="C98" s="1" t="n">
        <v>46138</v>
      </c>
      <c r="D98" t="inlineStr">
        <is>
          <t>VÄSTMANLANDS LÄN</t>
        </is>
      </c>
      <c r="E98" t="inlineStr">
        <is>
          <t>SURAHAMMAR</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72367-2021</t>
        </is>
      </c>
      <c r="B99" s="1" t="n">
        <v>44545</v>
      </c>
      <c r="C99" s="1" t="n">
        <v>46138</v>
      </c>
      <c r="D99" t="inlineStr">
        <is>
          <t>VÄSTMANLANDS LÄN</t>
        </is>
      </c>
      <c r="E99" t="inlineStr">
        <is>
          <t>SURAHAMMAR</t>
        </is>
      </c>
      <c r="G99" t="n">
        <v>2.5</v>
      </c>
      <c r="H99" t="n">
        <v>0</v>
      </c>
      <c r="I99" t="n">
        <v>0</v>
      </c>
      <c r="J99" t="n">
        <v>0</v>
      </c>
      <c r="K99" t="n">
        <v>0</v>
      </c>
      <c r="L99" t="n">
        <v>0</v>
      </c>
      <c r="M99" t="n">
        <v>0</v>
      </c>
      <c r="N99" t="n">
        <v>0</v>
      </c>
      <c r="O99" t="n">
        <v>0</v>
      </c>
      <c r="P99" t="n">
        <v>0</v>
      </c>
      <c r="Q99" t="n">
        <v>0</v>
      </c>
      <c r="R99" s="2" t="inlineStr"/>
    </row>
    <row r="100" ht="15" customHeight="1">
      <c r="A100" t="inlineStr">
        <is>
          <t>A 16608-2022</t>
        </is>
      </c>
      <c r="B100" s="1" t="n">
        <v>44672</v>
      </c>
      <c r="C100" s="1" t="n">
        <v>46138</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46138</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46138</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46138</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25780-2023</t>
        </is>
      </c>
      <c r="B104" s="1" t="n">
        <v>45090.47523148148</v>
      </c>
      <c r="C104" s="1" t="n">
        <v>46138</v>
      </c>
      <c r="D104" t="inlineStr">
        <is>
          <t>VÄSTMANLANDS LÄN</t>
        </is>
      </c>
      <c r="E104" t="inlineStr">
        <is>
          <t>SURAHAMMAR</t>
        </is>
      </c>
      <c r="G104" t="n">
        <v>2.8</v>
      </c>
      <c r="H104" t="n">
        <v>0</v>
      </c>
      <c r="I104" t="n">
        <v>0</v>
      </c>
      <c r="J104" t="n">
        <v>0</v>
      </c>
      <c r="K104" t="n">
        <v>0</v>
      </c>
      <c r="L104" t="n">
        <v>0</v>
      </c>
      <c r="M104" t="n">
        <v>0</v>
      </c>
      <c r="N104" t="n">
        <v>0</v>
      </c>
      <c r="O104" t="n">
        <v>0</v>
      </c>
      <c r="P104" t="n">
        <v>0</v>
      </c>
      <c r="Q104" t="n">
        <v>0</v>
      </c>
      <c r="R104" s="2" t="inlineStr"/>
    </row>
    <row r="105" ht="15" customHeight="1">
      <c r="A105" t="inlineStr">
        <is>
          <t>A 19786-2023</t>
        </is>
      </c>
      <c r="B105" s="1" t="n">
        <v>45050</v>
      </c>
      <c r="C105" s="1" t="n">
        <v>46138</v>
      </c>
      <c r="D105" t="inlineStr">
        <is>
          <t>VÄSTMANLANDS LÄN</t>
        </is>
      </c>
      <c r="E105" t="inlineStr">
        <is>
          <t>SURAHAMMAR</t>
        </is>
      </c>
      <c r="F105" t="inlineStr">
        <is>
          <t>Bergvik skog väst AB</t>
        </is>
      </c>
      <c r="G105" t="n">
        <v>8.1</v>
      </c>
      <c r="H105" t="n">
        <v>0</v>
      </c>
      <c r="I105" t="n">
        <v>0</v>
      </c>
      <c r="J105" t="n">
        <v>0</v>
      </c>
      <c r="K105" t="n">
        <v>0</v>
      </c>
      <c r="L105" t="n">
        <v>0</v>
      </c>
      <c r="M105" t="n">
        <v>0</v>
      </c>
      <c r="N105" t="n">
        <v>0</v>
      </c>
      <c r="O105" t="n">
        <v>0</v>
      </c>
      <c r="P105" t="n">
        <v>0</v>
      </c>
      <c r="Q105" t="n">
        <v>0</v>
      </c>
      <c r="R105" s="2" t="inlineStr"/>
    </row>
    <row r="106" ht="15" customHeight="1">
      <c r="A106" t="inlineStr">
        <is>
          <t>A 33931-2022</t>
        </is>
      </c>
      <c r="B106" s="1" t="n">
        <v>44790.65153935185</v>
      </c>
      <c r="C106" s="1" t="n">
        <v>46138</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13386-2025</t>
        </is>
      </c>
      <c r="B107" s="1" t="n">
        <v>45735</v>
      </c>
      <c r="C107" s="1" t="n">
        <v>46138</v>
      </c>
      <c r="D107" t="inlineStr">
        <is>
          <t>VÄSTMANLANDS LÄN</t>
        </is>
      </c>
      <c r="E107" t="inlineStr">
        <is>
          <t>SURAHAMMAR</t>
        </is>
      </c>
      <c r="F107" t="inlineStr">
        <is>
          <t>Bergvik skog väst AB</t>
        </is>
      </c>
      <c r="G107" t="n">
        <v>4</v>
      </c>
      <c r="H107" t="n">
        <v>0</v>
      </c>
      <c r="I107" t="n">
        <v>0</v>
      </c>
      <c r="J107" t="n">
        <v>0</v>
      </c>
      <c r="K107" t="n">
        <v>0</v>
      </c>
      <c r="L107" t="n">
        <v>0</v>
      </c>
      <c r="M107" t="n">
        <v>0</v>
      </c>
      <c r="N107" t="n">
        <v>0</v>
      </c>
      <c r="O107" t="n">
        <v>0</v>
      </c>
      <c r="P107" t="n">
        <v>0</v>
      </c>
      <c r="Q107" t="n">
        <v>0</v>
      </c>
      <c r="R107" s="2" t="inlineStr"/>
    </row>
    <row r="108" ht="15" customHeight="1">
      <c r="A108" t="inlineStr">
        <is>
          <t>A 47785-2021</t>
        </is>
      </c>
      <c r="B108" s="1" t="n">
        <v>44448</v>
      </c>
      <c r="C108" s="1" t="n">
        <v>46138</v>
      </c>
      <c r="D108" t="inlineStr">
        <is>
          <t>VÄSTMANLANDS LÄN</t>
        </is>
      </c>
      <c r="E108" t="inlineStr">
        <is>
          <t>SURAHAMMAR</t>
        </is>
      </c>
      <c r="F108" t="inlineStr">
        <is>
          <t>Kommuner</t>
        </is>
      </c>
      <c r="G108" t="n">
        <v>3.3</v>
      </c>
      <c r="H108" t="n">
        <v>0</v>
      </c>
      <c r="I108" t="n">
        <v>0</v>
      </c>
      <c r="J108" t="n">
        <v>0</v>
      </c>
      <c r="K108" t="n">
        <v>0</v>
      </c>
      <c r="L108" t="n">
        <v>0</v>
      </c>
      <c r="M108" t="n">
        <v>0</v>
      </c>
      <c r="N108" t="n">
        <v>0</v>
      </c>
      <c r="O108" t="n">
        <v>0</v>
      </c>
      <c r="P108" t="n">
        <v>0</v>
      </c>
      <c r="Q108" t="n">
        <v>0</v>
      </c>
      <c r="R108" s="2" t="inlineStr"/>
    </row>
    <row r="109" ht="15" customHeight="1">
      <c r="A109" t="inlineStr">
        <is>
          <t>A 42088-2025</t>
        </is>
      </c>
      <c r="B109" s="1" t="n">
        <v>45902</v>
      </c>
      <c r="C109" s="1" t="n">
        <v>46138</v>
      </c>
      <c r="D109" t="inlineStr">
        <is>
          <t>VÄSTMANLANDS LÄN</t>
        </is>
      </c>
      <c r="E109" t="inlineStr">
        <is>
          <t>SURAHAMMAR</t>
        </is>
      </c>
      <c r="G109" t="n">
        <v>1</v>
      </c>
      <c r="H109" t="n">
        <v>0</v>
      </c>
      <c r="I109" t="n">
        <v>0</v>
      </c>
      <c r="J109" t="n">
        <v>0</v>
      </c>
      <c r="K109" t="n">
        <v>0</v>
      </c>
      <c r="L109" t="n">
        <v>0</v>
      </c>
      <c r="M109" t="n">
        <v>0</v>
      </c>
      <c r="N109" t="n">
        <v>0</v>
      </c>
      <c r="O109" t="n">
        <v>0</v>
      </c>
      <c r="P109" t="n">
        <v>0</v>
      </c>
      <c r="Q109" t="n">
        <v>0</v>
      </c>
      <c r="R109" s="2" t="inlineStr"/>
    </row>
    <row r="110" ht="15" customHeight="1">
      <c r="A110" t="inlineStr">
        <is>
          <t>A 7787-2024</t>
        </is>
      </c>
      <c r="B110" s="1" t="n">
        <v>45348</v>
      </c>
      <c r="C110" s="1" t="n">
        <v>46138</v>
      </c>
      <c r="D110" t="inlineStr">
        <is>
          <t>VÄSTMANLANDS LÄN</t>
        </is>
      </c>
      <c r="E110" t="inlineStr">
        <is>
          <t>SURAHAMMAR</t>
        </is>
      </c>
      <c r="G110" t="n">
        <v>1</v>
      </c>
      <c r="H110" t="n">
        <v>0</v>
      </c>
      <c r="I110" t="n">
        <v>0</v>
      </c>
      <c r="J110" t="n">
        <v>0</v>
      </c>
      <c r="K110" t="n">
        <v>0</v>
      </c>
      <c r="L110" t="n">
        <v>0</v>
      </c>
      <c r="M110" t="n">
        <v>0</v>
      </c>
      <c r="N110" t="n">
        <v>0</v>
      </c>
      <c r="O110" t="n">
        <v>0</v>
      </c>
      <c r="P110" t="n">
        <v>0</v>
      </c>
      <c r="Q110" t="n">
        <v>0</v>
      </c>
      <c r="R110" s="2" t="inlineStr"/>
    </row>
    <row r="111" ht="15" customHeight="1">
      <c r="A111" t="inlineStr">
        <is>
          <t>A 31107-2025</t>
        </is>
      </c>
      <c r="B111" s="1" t="n">
        <v>45831</v>
      </c>
      <c r="C111" s="1" t="n">
        <v>46138</v>
      </c>
      <c r="D111" t="inlineStr">
        <is>
          <t>VÄSTMANLANDS LÄN</t>
        </is>
      </c>
      <c r="E111" t="inlineStr">
        <is>
          <t>SURAHAMMAR</t>
        </is>
      </c>
      <c r="F111" t="inlineStr">
        <is>
          <t>Kommuner</t>
        </is>
      </c>
      <c r="G111" t="n">
        <v>1.7</v>
      </c>
      <c r="H111" t="n">
        <v>0</v>
      </c>
      <c r="I111" t="n">
        <v>0</v>
      </c>
      <c r="J111" t="n">
        <v>0</v>
      </c>
      <c r="K111" t="n">
        <v>0</v>
      </c>
      <c r="L111" t="n">
        <v>0</v>
      </c>
      <c r="M111" t="n">
        <v>0</v>
      </c>
      <c r="N111" t="n">
        <v>0</v>
      </c>
      <c r="O111" t="n">
        <v>0</v>
      </c>
      <c r="P111" t="n">
        <v>0</v>
      </c>
      <c r="Q111" t="n">
        <v>0</v>
      </c>
      <c r="R111" s="2" t="inlineStr"/>
    </row>
    <row r="112" ht="15" customHeight="1">
      <c r="A112" t="inlineStr">
        <is>
          <t>A 43249-2025</t>
        </is>
      </c>
      <c r="B112" s="1" t="n">
        <v>45910.55059027778</v>
      </c>
      <c r="C112" s="1" t="n">
        <v>46138</v>
      </c>
      <c r="D112" t="inlineStr">
        <is>
          <t>VÄSTMANLANDS LÄN</t>
        </is>
      </c>
      <c r="E112" t="inlineStr">
        <is>
          <t>SURAHAMMAR</t>
        </is>
      </c>
      <c r="G112" t="n">
        <v>1.9</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46138</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24158-2023</t>
        </is>
      </c>
      <c r="B114" s="1" t="n">
        <v>45079</v>
      </c>
      <c r="C114" s="1" t="n">
        <v>46138</v>
      </c>
      <c r="D114" t="inlineStr">
        <is>
          <t>VÄSTMANLANDS LÄN</t>
        </is>
      </c>
      <c r="E114" t="inlineStr">
        <is>
          <t>SURAHAMMAR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46138</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15739-2023</t>
        </is>
      </c>
      <c r="B116" s="1" t="n">
        <v>45021</v>
      </c>
      <c r="C116" s="1" t="n">
        <v>46138</v>
      </c>
      <c r="D116" t="inlineStr">
        <is>
          <t>VÄSTMANLANDS LÄN</t>
        </is>
      </c>
      <c r="E116" t="inlineStr">
        <is>
          <t>SURAHAMMAR</t>
        </is>
      </c>
      <c r="G116" t="n">
        <v>1.3</v>
      </c>
      <c r="H116" t="n">
        <v>0</v>
      </c>
      <c r="I116" t="n">
        <v>0</v>
      </c>
      <c r="J116" t="n">
        <v>0</v>
      </c>
      <c r="K116" t="n">
        <v>0</v>
      </c>
      <c r="L116" t="n">
        <v>0</v>
      </c>
      <c r="M116" t="n">
        <v>0</v>
      </c>
      <c r="N116" t="n">
        <v>0</v>
      </c>
      <c r="O116" t="n">
        <v>0</v>
      </c>
      <c r="P116" t="n">
        <v>0</v>
      </c>
      <c r="Q116" t="n">
        <v>0</v>
      </c>
      <c r="R116" s="2" t="inlineStr"/>
    </row>
    <row r="117" ht="15" customHeight="1">
      <c r="A117" t="inlineStr">
        <is>
          <t>A 38154-2021</t>
        </is>
      </c>
      <c r="B117" s="1" t="n">
        <v>44405.42373842592</v>
      </c>
      <c r="C117" s="1" t="n">
        <v>46138</v>
      </c>
      <c r="D117" t="inlineStr">
        <is>
          <t>VÄSTMANLANDS LÄN</t>
        </is>
      </c>
      <c r="E117" t="inlineStr">
        <is>
          <t>SURAHAMMAR</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42714-2022</t>
        </is>
      </c>
      <c r="B118" s="1" t="n">
        <v>44832</v>
      </c>
      <c r="C118" s="1" t="n">
        <v>46138</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46138</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46138</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46138</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46138</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46138</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46138</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46138</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46138</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46138</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46138</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46138</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46138</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34584-2025</t>
        </is>
      </c>
      <c r="B131" s="1" t="n">
        <v>45846</v>
      </c>
      <c r="C131" s="1" t="n">
        <v>46138</v>
      </c>
      <c r="D131" t="inlineStr">
        <is>
          <t>VÄSTMANLANDS LÄN</t>
        </is>
      </c>
      <c r="E131" t="inlineStr">
        <is>
          <t>SURAHAMMAR</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32916-2025</t>
        </is>
      </c>
      <c r="B132" s="1" t="n">
        <v>45839</v>
      </c>
      <c r="C132" s="1" t="n">
        <v>46138</v>
      </c>
      <c r="D132" t="inlineStr">
        <is>
          <t>VÄSTMANLANDS LÄN</t>
        </is>
      </c>
      <c r="E132" t="inlineStr">
        <is>
          <t>SURAHAMMAR</t>
        </is>
      </c>
      <c r="F132" t="inlineStr">
        <is>
          <t>Kommuner</t>
        </is>
      </c>
      <c r="G132" t="n">
        <v>4.9</v>
      </c>
      <c r="H132" t="n">
        <v>0</v>
      </c>
      <c r="I132" t="n">
        <v>0</v>
      </c>
      <c r="J132" t="n">
        <v>0</v>
      </c>
      <c r="K132" t="n">
        <v>0</v>
      </c>
      <c r="L132" t="n">
        <v>0</v>
      </c>
      <c r="M132" t="n">
        <v>0</v>
      </c>
      <c r="N132" t="n">
        <v>0</v>
      </c>
      <c r="O132" t="n">
        <v>0</v>
      </c>
      <c r="P132" t="n">
        <v>0</v>
      </c>
      <c r="Q132" t="n">
        <v>0</v>
      </c>
      <c r="R132" s="2" t="inlineStr"/>
    </row>
    <row r="133" ht="15" customHeight="1">
      <c r="A133" t="inlineStr">
        <is>
          <t>A 32910-2025</t>
        </is>
      </c>
      <c r="B133" s="1" t="n">
        <v>45839</v>
      </c>
      <c r="C133" s="1" t="n">
        <v>46138</v>
      </c>
      <c r="D133" t="inlineStr">
        <is>
          <t>VÄSTMANLANDS LÄN</t>
        </is>
      </c>
      <c r="E133" t="inlineStr">
        <is>
          <t>SURAHAMMAR</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46138</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46138</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56541-2025</t>
        </is>
      </c>
      <c r="B136" s="1" t="n">
        <v>45975</v>
      </c>
      <c r="C136" s="1" t="n">
        <v>46138</v>
      </c>
      <c r="D136" t="inlineStr">
        <is>
          <t>VÄSTMANLANDS LÄN</t>
        </is>
      </c>
      <c r="E136" t="inlineStr">
        <is>
          <t>SURAHAMMAR</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37013-2025</t>
        </is>
      </c>
      <c r="B137" s="1" t="n">
        <v>45874</v>
      </c>
      <c r="C137" s="1" t="n">
        <v>46138</v>
      </c>
      <c r="D137" t="inlineStr">
        <is>
          <t>VÄSTMANLANDS LÄN</t>
        </is>
      </c>
      <c r="E137" t="inlineStr">
        <is>
          <t>SURAHAMMAR</t>
        </is>
      </c>
      <c r="F137" t="inlineStr">
        <is>
          <t>Bergvik skog väst AB</t>
        </is>
      </c>
      <c r="G137" t="n">
        <v>10.7</v>
      </c>
      <c r="H137" t="n">
        <v>0</v>
      </c>
      <c r="I137" t="n">
        <v>0</v>
      </c>
      <c r="J137" t="n">
        <v>0</v>
      </c>
      <c r="K137" t="n">
        <v>0</v>
      </c>
      <c r="L137" t="n">
        <v>0</v>
      </c>
      <c r="M137" t="n">
        <v>0</v>
      </c>
      <c r="N137" t="n">
        <v>0</v>
      </c>
      <c r="O137" t="n">
        <v>0</v>
      </c>
      <c r="P137" t="n">
        <v>0</v>
      </c>
      <c r="Q137" t="n">
        <v>0</v>
      </c>
      <c r="R137" s="2" t="inlineStr"/>
    </row>
    <row r="138" ht="15" customHeight="1">
      <c r="A138" t="inlineStr">
        <is>
          <t>A 3085-2023</t>
        </is>
      </c>
      <c r="B138" s="1" t="n">
        <v>44946</v>
      </c>
      <c r="C138" s="1" t="n">
        <v>46138</v>
      </c>
      <c r="D138" t="inlineStr">
        <is>
          <t>VÄSTMANLANDS LÄN</t>
        </is>
      </c>
      <c r="E138" t="inlineStr">
        <is>
          <t>SURAHAMMAR</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37954-2025</t>
        </is>
      </c>
      <c r="B139" s="1" t="n">
        <v>45881</v>
      </c>
      <c r="C139" s="1" t="n">
        <v>46138</v>
      </c>
      <c r="D139" t="inlineStr">
        <is>
          <t>VÄSTMANLANDS LÄN</t>
        </is>
      </c>
      <c r="E139" t="inlineStr">
        <is>
          <t>SURAHAMMAR</t>
        </is>
      </c>
      <c r="G139" t="n">
        <v>9.5</v>
      </c>
      <c r="H139" t="n">
        <v>0</v>
      </c>
      <c r="I139" t="n">
        <v>0</v>
      </c>
      <c r="J139" t="n">
        <v>0</v>
      </c>
      <c r="K139" t="n">
        <v>0</v>
      </c>
      <c r="L139" t="n">
        <v>0</v>
      </c>
      <c r="M139" t="n">
        <v>0</v>
      </c>
      <c r="N139" t="n">
        <v>0</v>
      </c>
      <c r="O139" t="n">
        <v>0</v>
      </c>
      <c r="P139" t="n">
        <v>0</v>
      </c>
      <c r="Q139" t="n">
        <v>0</v>
      </c>
      <c r="R139" s="2" t="inlineStr"/>
    </row>
    <row r="140" ht="15" customHeight="1">
      <c r="A140" t="inlineStr">
        <is>
          <t>A 63138-2025</t>
        </is>
      </c>
      <c r="B140" s="1" t="n">
        <v>46009</v>
      </c>
      <c r="C140" s="1" t="n">
        <v>46138</v>
      </c>
      <c r="D140" t="inlineStr">
        <is>
          <t>VÄSTMANLANDS LÄN</t>
        </is>
      </c>
      <c r="E140" t="inlineStr">
        <is>
          <t>SURAHAMMAR</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46138</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46138</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34955-2022</t>
        </is>
      </c>
      <c r="B143" s="1" t="n">
        <v>44796</v>
      </c>
      <c r="C143" s="1" t="n">
        <v>46138</v>
      </c>
      <c r="D143" t="inlineStr">
        <is>
          <t>VÄSTMANLANDS LÄN</t>
        </is>
      </c>
      <c r="E143" t="inlineStr">
        <is>
          <t>SURAHAMMAR</t>
        </is>
      </c>
      <c r="F143" t="inlineStr">
        <is>
          <t>Sveaskog</t>
        </is>
      </c>
      <c r="G143" t="n">
        <v>4.6</v>
      </c>
      <c r="H143" t="n">
        <v>0</v>
      </c>
      <c r="I143" t="n">
        <v>0</v>
      </c>
      <c r="J143" t="n">
        <v>0</v>
      </c>
      <c r="K143" t="n">
        <v>0</v>
      </c>
      <c r="L143" t="n">
        <v>0</v>
      </c>
      <c r="M143" t="n">
        <v>0</v>
      </c>
      <c r="N143" t="n">
        <v>0</v>
      </c>
      <c r="O143" t="n">
        <v>0</v>
      </c>
      <c r="P143" t="n">
        <v>0</v>
      </c>
      <c r="Q143" t="n">
        <v>0</v>
      </c>
      <c r="R143" s="2" t="inlineStr"/>
    </row>
    <row r="144" ht="15" customHeight="1">
      <c r="A144" t="inlineStr">
        <is>
          <t>A 20904-2023</t>
        </is>
      </c>
      <c r="B144" s="1" t="n">
        <v>45060</v>
      </c>
      <c r="C144" s="1" t="n">
        <v>46138</v>
      </c>
      <c r="D144" t="inlineStr">
        <is>
          <t>VÄSTMANLANDS LÄN</t>
        </is>
      </c>
      <c r="E144" t="inlineStr">
        <is>
          <t>SURAHAMMAR</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10883-2023</t>
        </is>
      </c>
      <c r="B145" s="1" t="n">
        <v>44991</v>
      </c>
      <c r="C145" s="1" t="n">
        <v>46138</v>
      </c>
      <c r="D145" t="inlineStr">
        <is>
          <t>VÄSTMANLANDS LÄN</t>
        </is>
      </c>
      <c r="E145" t="inlineStr">
        <is>
          <t>SURAHAMMAR</t>
        </is>
      </c>
      <c r="F145" t="inlineStr">
        <is>
          <t>Övriga Aktiebolag</t>
        </is>
      </c>
      <c r="G145" t="n">
        <v>12.5</v>
      </c>
      <c r="H145" t="n">
        <v>0</v>
      </c>
      <c r="I145" t="n">
        <v>0</v>
      </c>
      <c r="J145" t="n">
        <v>0</v>
      </c>
      <c r="K145" t="n">
        <v>0</v>
      </c>
      <c r="L145" t="n">
        <v>0</v>
      </c>
      <c r="M145" t="n">
        <v>0</v>
      </c>
      <c r="N145" t="n">
        <v>0</v>
      </c>
      <c r="O145" t="n">
        <v>0</v>
      </c>
      <c r="P145" t="n">
        <v>0</v>
      </c>
      <c r="Q145" t="n">
        <v>0</v>
      </c>
      <c r="R145" s="2" t="inlineStr"/>
    </row>
    <row r="146" ht="15" customHeight="1">
      <c r="A146" t="inlineStr">
        <is>
          <t>A 2660-2024</t>
        </is>
      </c>
      <c r="B146" s="1" t="n">
        <v>45310</v>
      </c>
      <c r="C146" s="1" t="n">
        <v>46138</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4724-2026</t>
        </is>
      </c>
      <c r="B147" s="1" t="n">
        <v>46048</v>
      </c>
      <c r="C147" s="1" t="n">
        <v>46138</v>
      </c>
      <c r="D147" t="inlineStr">
        <is>
          <t>VÄSTMANLANDS LÄN</t>
        </is>
      </c>
      <c r="E147" t="inlineStr">
        <is>
          <t>SURAHAMMAR</t>
        </is>
      </c>
      <c r="G147" t="n">
        <v>1.7</v>
      </c>
      <c r="H147" t="n">
        <v>0</v>
      </c>
      <c r="I147" t="n">
        <v>0</v>
      </c>
      <c r="J147" t="n">
        <v>0</v>
      </c>
      <c r="K147" t="n">
        <v>0</v>
      </c>
      <c r="L147" t="n">
        <v>0</v>
      </c>
      <c r="M147" t="n">
        <v>0</v>
      </c>
      <c r="N147" t="n">
        <v>0</v>
      </c>
      <c r="O147" t="n">
        <v>0</v>
      </c>
      <c r="P147" t="n">
        <v>0</v>
      </c>
      <c r="Q147" t="n">
        <v>0</v>
      </c>
      <c r="R147" s="2" t="inlineStr"/>
    </row>
    <row r="148" ht="15" customHeight="1">
      <c r="A148" t="inlineStr">
        <is>
          <t>A 4734-2026</t>
        </is>
      </c>
      <c r="B148" s="1" t="n">
        <v>46048</v>
      </c>
      <c r="C148" s="1" t="n">
        <v>46138</v>
      </c>
      <c r="D148" t="inlineStr">
        <is>
          <t>VÄSTMANLANDS LÄN</t>
        </is>
      </c>
      <c r="E148" t="inlineStr">
        <is>
          <t>SURAHAMMAR</t>
        </is>
      </c>
      <c r="G148" t="n">
        <v>0.7</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46138</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5697-2026</t>
        </is>
      </c>
      <c r="B150" s="1" t="n">
        <v>46051.50020833333</v>
      </c>
      <c r="C150" s="1" t="n">
        <v>46138</v>
      </c>
      <c r="D150" t="inlineStr">
        <is>
          <t>VÄSTMANLANDS LÄN</t>
        </is>
      </c>
      <c r="E150" t="inlineStr">
        <is>
          <t>SURAHAMMAR</t>
        </is>
      </c>
      <c r="F150" t="inlineStr">
        <is>
          <t>Sveaskog</t>
        </is>
      </c>
      <c r="G150" t="n">
        <v>3</v>
      </c>
      <c r="H150" t="n">
        <v>0</v>
      </c>
      <c r="I150" t="n">
        <v>0</v>
      </c>
      <c r="J150" t="n">
        <v>0</v>
      </c>
      <c r="K150" t="n">
        <v>0</v>
      </c>
      <c r="L150" t="n">
        <v>0</v>
      </c>
      <c r="M150" t="n">
        <v>0</v>
      </c>
      <c r="N150" t="n">
        <v>0</v>
      </c>
      <c r="O150" t="n">
        <v>0</v>
      </c>
      <c r="P150" t="n">
        <v>0</v>
      </c>
      <c r="Q150" t="n">
        <v>0</v>
      </c>
      <c r="R150" s="2" t="inlineStr"/>
    </row>
    <row r="151" ht="15" customHeight="1">
      <c r="A151" t="inlineStr">
        <is>
          <t>A 5698-2026</t>
        </is>
      </c>
      <c r="B151" s="1" t="n">
        <v>46051.50196759259</v>
      </c>
      <c r="C151" s="1" t="n">
        <v>46138</v>
      </c>
      <c r="D151" t="inlineStr">
        <is>
          <t>VÄSTMANLANDS LÄN</t>
        </is>
      </c>
      <c r="E151" t="inlineStr">
        <is>
          <t>SURAHAMMAR</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14626-2023</t>
        </is>
      </c>
      <c r="B152" s="1" t="n">
        <v>45012</v>
      </c>
      <c r="C152" s="1" t="n">
        <v>46138</v>
      </c>
      <c r="D152" t="inlineStr">
        <is>
          <t>VÄSTMANLANDS LÄN</t>
        </is>
      </c>
      <c r="E152" t="inlineStr">
        <is>
          <t>SURAHAMMAR</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46138</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10512-2026</t>
        </is>
      </c>
      <c r="B154" s="1" t="n">
        <v>46077.56861111111</v>
      </c>
      <c r="C154" s="1" t="n">
        <v>46138</v>
      </c>
      <c r="D154" t="inlineStr">
        <is>
          <t>VÄSTMANLANDS LÄN</t>
        </is>
      </c>
      <c r="E154" t="inlineStr">
        <is>
          <t>SURAHAMMAR</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25450-2024</t>
        </is>
      </c>
      <c r="B155" s="1" t="n">
        <v>45463</v>
      </c>
      <c r="C155" s="1" t="n">
        <v>46138</v>
      </c>
      <c r="D155" t="inlineStr">
        <is>
          <t>VÄSTMANLANDS LÄN</t>
        </is>
      </c>
      <c r="E155" t="inlineStr">
        <is>
          <t>SURAHAMMAR</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10249-2026</t>
        </is>
      </c>
      <c r="B156" s="1" t="n">
        <v>46076.55456018518</v>
      </c>
      <c r="C156" s="1" t="n">
        <v>46138</v>
      </c>
      <c r="D156" t="inlineStr">
        <is>
          <t>VÄSTMANLANDS LÄN</t>
        </is>
      </c>
      <c r="E156" t="inlineStr">
        <is>
          <t>SURAHAMMAR</t>
        </is>
      </c>
      <c r="F156" t="inlineStr">
        <is>
          <t>Allmännings- och besparingsskogar</t>
        </is>
      </c>
      <c r="G156" t="n">
        <v>4.8</v>
      </c>
      <c r="H156" t="n">
        <v>0</v>
      </c>
      <c r="I156" t="n">
        <v>0</v>
      </c>
      <c r="J156" t="n">
        <v>0</v>
      </c>
      <c r="K156" t="n">
        <v>0</v>
      </c>
      <c r="L156" t="n">
        <v>0</v>
      </c>
      <c r="M156" t="n">
        <v>0</v>
      </c>
      <c r="N156" t="n">
        <v>0</v>
      </c>
      <c r="O156" t="n">
        <v>0</v>
      </c>
      <c r="P156" t="n">
        <v>0</v>
      </c>
      <c r="Q156" t="n">
        <v>0</v>
      </c>
      <c r="R156" s="2" t="inlineStr"/>
    </row>
    <row r="157" ht="15" customHeight="1">
      <c r="A157" t="inlineStr">
        <is>
          <t>A 10244-2026</t>
        </is>
      </c>
      <c r="B157" s="1" t="n">
        <v>46076.55032407407</v>
      </c>
      <c r="C157" s="1" t="n">
        <v>46138</v>
      </c>
      <c r="D157" t="inlineStr">
        <is>
          <t>VÄSTMANLANDS LÄN</t>
        </is>
      </c>
      <c r="E157" t="inlineStr">
        <is>
          <t>SURAHAMMAR</t>
        </is>
      </c>
      <c r="F157" t="inlineStr">
        <is>
          <t>Allmännings- och besparingsskogar</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10562-2026</t>
        </is>
      </c>
      <c r="B158" s="1" t="n">
        <v>46077.64043981482</v>
      </c>
      <c r="C158" s="1" t="n">
        <v>46138</v>
      </c>
      <c r="D158" t="inlineStr">
        <is>
          <t>VÄSTMANLANDS LÄN</t>
        </is>
      </c>
      <c r="E158" t="inlineStr">
        <is>
          <t>SURAHAMMAR</t>
        </is>
      </c>
      <c r="F158" t="inlineStr">
        <is>
          <t>Övriga Aktiebolag</t>
        </is>
      </c>
      <c r="G158" t="n">
        <v>2.3</v>
      </c>
      <c r="H158" t="n">
        <v>0</v>
      </c>
      <c r="I158" t="n">
        <v>0</v>
      </c>
      <c r="J158" t="n">
        <v>0</v>
      </c>
      <c r="K158" t="n">
        <v>0</v>
      </c>
      <c r="L158" t="n">
        <v>0</v>
      </c>
      <c r="M158" t="n">
        <v>0</v>
      </c>
      <c r="N158" t="n">
        <v>0</v>
      </c>
      <c r="O158" t="n">
        <v>0</v>
      </c>
      <c r="P158" t="n">
        <v>0</v>
      </c>
      <c r="Q158" t="n">
        <v>0</v>
      </c>
      <c r="R158" s="2" t="inlineStr"/>
    </row>
    <row r="159" ht="15" customHeight="1">
      <c r="A159" t="inlineStr">
        <is>
          <t>A 10347-2026</t>
        </is>
      </c>
      <c r="B159" s="1" t="n">
        <v>46076.69101851852</v>
      </c>
      <c r="C159" s="1" t="n">
        <v>46138</v>
      </c>
      <c r="D159" t="inlineStr">
        <is>
          <t>VÄSTMANLANDS LÄN</t>
        </is>
      </c>
      <c r="E159" t="inlineStr">
        <is>
          <t>SURAHAMMAR</t>
        </is>
      </c>
      <c r="F159" t="inlineStr">
        <is>
          <t>Allmännings- och besparingsskogar</t>
        </is>
      </c>
      <c r="G159" t="n">
        <v>3</v>
      </c>
      <c r="H159" t="n">
        <v>0</v>
      </c>
      <c r="I159" t="n">
        <v>0</v>
      </c>
      <c r="J159" t="n">
        <v>0</v>
      </c>
      <c r="K159" t="n">
        <v>0</v>
      </c>
      <c r="L159" t="n">
        <v>0</v>
      </c>
      <c r="M159" t="n">
        <v>0</v>
      </c>
      <c r="N159" t="n">
        <v>0</v>
      </c>
      <c r="O159" t="n">
        <v>0</v>
      </c>
      <c r="P159" t="n">
        <v>0</v>
      </c>
      <c r="Q159" t="n">
        <v>0</v>
      </c>
      <c r="R159" s="2" t="inlineStr"/>
    </row>
    <row r="160" ht="15" customHeight="1">
      <c r="A160" t="inlineStr">
        <is>
          <t>A 19782-2023</t>
        </is>
      </c>
      <c r="B160" s="1" t="n">
        <v>45050</v>
      </c>
      <c r="C160" s="1" t="n">
        <v>46138</v>
      </c>
      <c r="D160" t="inlineStr">
        <is>
          <t>VÄSTMANLANDS LÄN</t>
        </is>
      </c>
      <c r="E160" t="inlineStr">
        <is>
          <t>SURAHAMMAR</t>
        </is>
      </c>
      <c r="F160" t="inlineStr">
        <is>
          <t>Bergvik skog väst AB</t>
        </is>
      </c>
      <c r="G160" t="n">
        <v>5.2</v>
      </c>
      <c r="H160" t="n">
        <v>0</v>
      </c>
      <c r="I160" t="n">
        <v>0</v>
      </c>
      <c r="J160" t="n">
        <v>0</v>
      </c>
      <c r="K160" t="n">
        <v>0</v>
      </c>
      <c r="L160" t="n">
        <v>0</v>
      </c>
      <c r="M160" t="n">
        <v>0</v>
      </c>
      <c r="N160" t="n">
        <v>0</v>
      </c>
      <c r="O160" t="n">
        <v>0</v>
      </c>
      <c r="P160" t="n">
        <v>0</v>
      </c>
      <c r="Q160" t="n">
        <v>0</v>
      </c>
      <c r="R160" s="2" t="inlineStr"/>
    </row>
    <row r="161" ht="15" customHeight="1">
      <c r="A161" t="inlineStr">
        <is>
          <t>A 19246-2026</t>
        </is>
      </c>
      <c r="B161" s="1" t="n">
        <v>46132.66501157408</v>
      </c>
      <c r="C161" s="1" t="n">
        <v>46138</v>
      </c>
      <c r="D161" t="inlineStr">
        <is>
          <t>VÄSTMANLANDS LÄN</t>
        </is>
      </c>
      <c r="E161" t="inlineStr">
        <is>
          <t>SURAHAMMAR</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7848-2022</t>
        </is>
      </c>
      <c r="B162" s="1" t="n">
        <v>44608.58400462963</v>
      </c>
      <c r="C162" s="1" t="n">
        <v>46138</v>
      </c>
      <c r="D162" t="inlineStr">
        <is>
          <t>VÄSTMANLANDS LÄN</t>
        </is>
      </c>
      <c r="E162" t="inlineStr">
        <is>
          <t>SURAHAMMAR</t>
        </is>
      </c>
      <c r="G162" t="n">
        <v>2.1</v>
      </c>
      <c r="H162" t="n">
        <v>0</v>
      </c>
      <c r="I162" t="n">
        <v>0</v>
      </c>
      <c r="J162" t="n">
        <v>0</v>
      </c>
      <c r="K162" t="n">
        <v>0</v>
      </c>
      <c r="L162" t="n">
        <v>0</v>
      </c>
      <c r="M162" t="n">
        <v>0</v>
      </c>
      <c r="N162" t="n">
        <v>0</v>
      </c>
      <c r="O162" t="n">
        <v>0</v>
      </c>
      <c r="P162" t="n">
        <v>0</v>
      </c>
      <c r="Q162" t="n">
        <v>0</v>
      </c>
      <c r="R162" s="2" t="inlineStr"/>
    </row>
    <row r="163" ht="15" customHeight="1">
      <c r="A163" t="inlineStr">
        <is>
          <t>A 12841-2026</t>
        </is>
      </c>
      <c r="B163" s="1" t="n">
        <v>46091</v>
      </c>
      <c r="C163" s="1" t="n">
        <v>46138</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24167-2024</t>
        </is>
      </c>
      <c r="B164" s="1" t="n">
        <v>45456</v>
      </c>
      <c r="C164" s="1" t="n">
        <v>46138</v>
      </c>
      <c r="D164" t="inlineStr">
        <is>
          <t>VÄSTMANLANDS LÄN</t>
        </is>
      </c>
      <c r="E164" t="inlineStr">
        <is>
          <t>SURAHAMMAR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56378-2023</t>
        </is>
      </c>
      <c r="B165" s="1" t="n">
        <v>45236</v>
      </c>
      <c r="C165" s="1" t="n">
        <v>46138</v>
      </c>
      <c r="D165" t="inlineStr">
        <is>
          <t>VÄSTMANLANDS LÄN</t>
        </is>
      </c>
      <c r="E165" t="inlineStr">
        <is>
          <t>SURAHAMMAR</t>
        </is>
      </c>
      <c r="F165" t="inlineStr">
        <is>
          <t>Bergvik skog väst AB</t>
        </is>
      </c>
      <c r="G165" t="n">
        <v>4.6</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46138</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11501-2023</t>
        </is>
      </c>
      <c r="B167" s="1" t="n">
        <v>44991</v>
      </c>
      <c r="C167" s="1" t="n">
        <v>46138</v>
      </c>
      <c r="D167" t="inlineStr">
        <is>
          <t>VÄSTMANLANDS LÄN</t>
        </is>
      </c>
      <c r="E167" t="inlineStr">
        <is>
          <t>SURAHAMMAR</t>
        </is>
      </c>
      <c r="F167" t="inlineStr">
        <is>
          <t>Bergvik skog väst AB</t>
        </is>
      </c>
      <c r="G167" t="n">
        <v>1.1</v>
      </c>
      <c r="H167" t="n">
        <v>0</v>
      </c>
      <c r="I167" t="n">
        <v>0</v>
      </c>
      <c r="J167" t="n">
        <v>0</v>
      </c>
      <c r="K167" t="n">
        <v>0</v>
      </c>
      <c r="L167" t="n">
        <v>0</v>
      </c>
      <c r="M167" t="n">
        <v>0</v>
      </c>
      <c r="N167" t="n">
        <v>0</v>
      </c>
      <c r="O167" t="n">
        <v>0</v>
      </c>
      <c r="P167" t="n">
        <v>0</v>
      </c>
      <c r="Q167" t="n">
        <v>0</v>
      </c>
      <c r="R167" s="2" t="inlineStr"/>
    </row>
    <row r="168">
      <c r="A168" t="inlineStr">
        <is>
          <t>A 3818-2022</t>
        </is>
      </c>
      <c r="B168" s="1" t="n">
        <v>44587</v>
      </c>
      <c r="C168" s="1" t="n">
        <v>46138</v>
      </c>
      <c r="D168" t="inlineStr">
        <is>
          <t>VÄSTMANLANDS LÄN</t>
        </is>
      </c>
      <c r="E168" t="inlineStr">
        <is>
          <t>SURAHAMMAR</t>
        </is>
      </c>
      <c r="G168" t="n">
        <v>2.6</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2026-04-26T10:52:58Z</dcterms:created>
  <dcterms:modified xmlns:dcterms="http://purl.org/dc/terms/" xmlns:xsi="http://www.w3.org/2001/XMLSchema-instance" xsi:type="dcterms:W3CDTF">2026-04-26T10:52:59Z</dcterms:modified>
</cp:coreProperties>
</file>