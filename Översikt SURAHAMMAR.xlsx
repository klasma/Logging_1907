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45994</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45994</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45994</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45994</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45994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45994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45994</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45994</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45994</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34040-2024</t>
        </is>
      </c>
      <c r="B13" s="1" t="n">
        <v>45523</v>
      </c>
      <c r="C13" s="1" t="n">
        <v>45994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45994</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45994</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45994</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45994</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45994</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45994</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45994</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45994</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45994</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45994</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45994</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45994</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48891-2023</t>
        </is>
      </c>
      <c r="B27" s="1" t="n">
        <v>45203</v>
      </c>
      <c r="C27" s="1" t="n">
        <v>45994</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65024-2023</t>
        </is>
      </c>
      <c r="B28" s="1" t="n">
        <v>45282</v>
      </c>
      <c r="C28" s="1" t="n">
        <v>45994</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49718-2023</t>
        </is>
      </c>
      <c r="B29" s="1" t="n">
        <v>45212</v>
      </c>
      <c r="C29" s="1" t="n">
        <v>45994</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48128-2023</t>
        </is>
      </c>
      <c r="B30" s="1" t="n">
        <v>45205</v>
      </c>
      <c r="C30" s="1" t="n">
        <v>45994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38200-2021</t>
        </is>
      </c>
      <c r="B31" s="1" t="n">
        <v>44405</v>
      </c>
      <c r="C31" s="1" t="n">
        <v>45994</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42860-2022</t>
        </is>
      </c>
      <c r="B32" s="1" t="n">
        <v>44832</v>
      </c>
      <c r="C32" s="1" t="n">
        <v>45994</v>
      </c>
      <c r="D32" t="inlineStr">
        <is>
          <t>VÄSTMANLANDS LÄN</t>
        </is>
      </c>
      <c r="E32" t="inlineStr">
        <is>
          <t>SURAHAMMAR</t>
        </is>
      </c>
      <c r="G32" t="n">
        <v>0.9</v>
      </c>
      <c r="H32" t="n">
        <v>0</v>
      </c>
      <c r="I32" t="n">
        <v>1</v>
      </c>
      <c r="J32" t="n">
        <v>0</v>
      </c>
      <c r="K32" t="n">
        <v>0</v>
      </c>
      <c r="L32" t="n">
        <v>1</v>
      </c>
      <c r="M32" t="n">
        <v>1</v>
      </c>
      <c r="N32" t="n">
        <v>0</v>
      </c>
      <c r="O32" t="n">
        <v>2</v>
      </c>
      <c r="P32" t="n">
        <v>2</v>
      </c>
      <c r="Q32" t="n">
        <v>3</v>
      </c>
      <c r="R32" s="2" t="inlineStr">
        <is>
          <t>Skogsalm
Ask
Scharlakansvårskål agg.</t>
        </is>
      </c>
      <c r="S32">
        <f>HYPERLINK("https://klasma.github.io/Logging_1907/artfynd/A 42860-2022 artfynd.xlsx", "A 42860-2022")</f>
        <v/>
      </c>
      <c r="T32">
        <f>HYPERLINK("https://klasma.github.io/Logging_1907/kartor/A 42860-2022 karta.png", "A 42860-2022")</f>
        <v/>
      </c>
      <c r="V32">
        <f>HYPERLINK("https://klasma.github.io/Logging_1907/klagomål/A 42860-2022 FSC-klagomål.docx", "A 42860-2022")</f>
        <v/>
      </c>
      <c r="W32">
        <f>HYPERLINK("https://klasma.github.io/Logging_1907/klagomålsmail/A 42860-2022 FSC-klagomål mail.docx", "A 42860-2022")</f>
        <v/>
      </c>
      <c r="X32">
        <f>HYPERLINK("https://klasma.github.io/Logging_1907/tillsyn/A 42860-2022 tillsynsbegäran.docx", "A 42860-2022")</f>
        <v/>
      </c>
      <c r="Y32">
        <f>HYPERLINK("https://klasma.github.io/Logging_1907/tillsynsmail/A 42860-2022 tillsynsbegäran mail.docx", "A 42860-2022")</f>
        <v/>
      </c>
    </row>
    <row r="33" ht="15" customHeight="1">
      <c r="A33" t="inlineStr">
        <is>
          <t>A 42708-2022</t>
        </is>
      </c>
      <c r="B33" s="1" t="n">
        <v>44832</v>
      </c>
      <c r="C33" s="1" t="n">
        <v>45994</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20391-2024</t>
        </is>
      </c>
      <c r="B34" s="1" t="n">
        <v>45435</v>
      </c>
      <c r="C34" s="1" t="n">
        <v>45994</v>
      </c>
      <c r="D34" t="inlineStr">
        <is>
          <t>VÄSTMANLANDS LÄN</t>
        </is>
      </c>
      <c r="E34" t="inlineStr">
        <is>
          <t>SURAHAMMAR</t>
        </is>
      </c>
      <c r="G34" t="n">
        <v>1.5</v>
      </c>
      <c r="H34" t="n">
        <v>0</v>
      </c>
      <c r="I34" t="n">
        <v>2</v>
      </c>
      <c r="J34" t="n">
        <v>1</v>
      </c>
      <c r="K34" t="n">
        <v>0</v>
      </c>
      <c r="L34" t="n">
        <v>0</v>
      </c>
      <c r="M34" t="n">
        <v>0</v>
      </c>
      <c r="N34" t="n">
        <v>0</v>
      </c>
      <c r="O34" t="n">
        <v>1</v>
      </c>
      <c r="P34" t="n">
        <v>0</v>
      </c>
      <c r="Q34" t="n">
        <v>3</v>
      </c>
      <c r="R34" s="2" t="inlineStr">
        <is>
          <t>Vedtrappmossa
Kattfotslav
Stubbspretmossa</t>
        </is>
      </c>
      <c r="S34">
        <f>HYPERLINK("https://klasma.github.io/Logging_1907/artfynd/A 20391-2024 artfynd.xlsx", "A 20391-2024")</f>
        <v/>
      </c>
      <c r="T34">
        <f>HYPERLINK("https://klasma.github.io/Logging_1907/kartor/A 20391-2024 karta.png", "A 20391-2024")</f>
        <v/>
      </c>
      <c r="V34">
        <f>HYPERLINK("https://klasma.github.io/Logging_1907/klagomål/A 20391-2024 FSC-klagomål.docx", "A 20391-2024")</f>
        <v/>
      </c>
      <c r="W34">
        <f>HYPERLINK("https://klasma.github.io/Logging_1907/klagomålsmail/A 20391-2024 FSC-klagomål mail.docx", "A 20391-2024")</f>
        <v/>
      </c>
      <c r="X34">
        <f>HYPERLINK("https://klasma.github.io/Logging_1907/tillsyn/A 20391-2024 tillsynsbegäran.docx", "A 20391-2024")</f>
        <v/>
      </c>
      <c r="Y34">
        <f>HYPERLINK("https://klasma.github.io/Logging_1907/tillsynsmail/A 20391-2024 tillsynsbegäran mail.docx", "A 20391-2024")</f>
        <v/>
      </c>
    </row>
    <row r="35" ht="15" customHeight="1">
      <c r="A35" t="inlineStr">
        <is>
          <t>A 39694-2025</t>
        </is>
      </c>
      <c r="B35" s="1" t="n">
        <v>45890</v>
      </c>
      <c r="C35" s="1" t="n">
        <v>45994</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42853-2022</t>
        </is>
      </c>
      <c r="B36" s="1" t="n">
        <v>44832</v>
      </c>
      <c r="C36" s="1" t="n">
        <v>45994</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29707-2025</t>
        </is>
      </c>
      <c r="B37" s="1" t="n">
        <v>45825.56100694444</v>
      </c>
      <c r="C37" s="1" t="n">
        <v>45994</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8552-2022</t>
        </is>
      </c>
      <c r="B38" s="1" t="n">
        <v>44613</v>
      </c>
      <c r="C38" s="1" t="n">
        <v>45994</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37801-2021</t>
        </is>
      </c>
      <c r="B39" s="1" t="n">
        <v>44402</v>
      </c>
      <c r="C39" s="1" t="n">
        <v>45994</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41204-2023</t>
        </is>
      </c>
      <c r="B40" s="1" t="n">
        <v>45174</v>
      </c>
      <c r="C40" s="1" t="n">
        <v>45994</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21618-2025</t>
        </is>
      </c>
      <c r="B41" s="1" t="n">
        <v>45783</v>
      </c>
      <c r="C41" s="1" t="n">
        <v>45994</v>
      </c>
      <c r="D41" t="inlineStr">
        <is>
          <t>VÄSTMANLANDS LÄN</t>
        </is>
      </c>
      <c r="E41" t="inlineStr">
        <is>
          <t>SURAHAMMAR</t>
        </is>
      </c>
      <c r="F41" t="inlineStr">
        <is>
          <t>Bergvik skog väst AB</t>
        </is>
      </c>
      <c r="G41" t="n">
        <v>1.1</v>
      </c>
      <c r="H41" t="n">
        <v>2</v>
      </c>
      <c r="I41" t="n">
        <v>1</v>
      </c>
      <c r="J41" t="n">
        <v>0</v>
      </c>
      <c r="K41" t="n">
        <v>0</v>
      </c>
      <c r="L41" t="n">
        <v>0</v>
      </c>
      <c r="M41" t="n">
        <v>0</v>
      </c>
      <c r="N41" t="n">
        <v>0</v>
      </c>
      <c r="O41" t="n">
        <v>0</v>
      </c>
      <c r="P41" t="n">
        <v>0</v>
      </c>
      <c r="Q41" t="n">
        <v>2</v>
      </c>
      <c r="R41" s="2" t="inlineStr">
        <is>
          <t>Plattlummer
Mattlummer</t>
        </is>
      </c>
      <c r="S41">
        <f>HYPERLINK("https://klasma.github.io/Logging_1907/artfynd/A 21618-2025 artfynd.xlsx", "A 21618-2025")</f>
        <v/>
      </c>
      <c r="T41">
        <f>HYPERLINK("https://klasma.github.io/Logging_1907/kartor/A 21618-2025 karta.png", "A 21618-2025")</f>
        <v/>
      </c>
      <c r="V41">
        <f>HYPERLINK("https://klasma.github.io/Logging_1907/klagomål/A 21618-2025 FSC-klagomål.docx", "A 21618-2025")</f>
        <v/>
      </c>
      <c r="W41">
        <f>HYPERLINK("https://klasma.github.io/Logging_1907/klagomålsmail/A 21618-2025 FSC-klagomål mail.docx", "A 21618-2025")</f>
        <v/>
      </c>
      <c r="X41">
        <f>HYPERLINK("https://klasma.github.io/Logging_1907/tillsyn/A 21618-2025 tillsynsbegäran.docx", "A 21618-2025")</f>
        <v/>
      </c>
      <c r="Y41">
        <f>HYPERLINK("https://klasma.github.io/Logging_1907/tillsynsmail/A 21618-2025 tillsynsbegäran mail.docx", "A 21618-2025")</f>
        <v/>
      </c>
    </row>
    <row r="42" ht="15" customHeight="1">
      <c r="A42" t="inlineStr">
        <is>
          <t>A 62097-2024</t>
        </is>
      </c>
      <c r="B42" s="1" t="n">
        <v>45646</v>
      </c>
      <c r="C42" s="1" t="n">
        <v>45994</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40403-2025</t>
        </is>
      </c>
      <c r="B43" s="1" t="n">
        <v>45895</v>
      </c>
      <c r="C43" s="1" t="n">
        <v>45994</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37800-2021</t>
        </is>
      </c>
      <c r="B44" s="1" t="n">
        <v>44402</v>
      </c>
      <c r="C44" s="1" t="n">
        <v>45994</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4082-2025</t>
        </is>
      </c>
      <c r="B45" s="1" t="n">
        <v>45684</v>
      </c>
      <c r="C45" s="1" t="n">
        <v>45994</v>
      </c>
      <c r="D45" t="inlineStr">
        <is>
          <t>VÄSTMANLANDS LÄN</t>
        </is>
      </c>
      <c r="E45" t="inlineStr">
        <is>
          <t>SURAHAMMAR</t>
        </is>
      </c>
      <c r="F45" t="inlineStr">
        <is>
          <t>Bergvik skog väst AB</t>
        </is>
      </c>
      <c r="G45" t="n">
        <v>11.6</v>
      </c>
      <c r="H45" t="n">
        <v>1</v>
      </c>
      <c r="I45" t="n">
        <v>2</v>
      </c>
      <c r="J45" t="n">
        <v>0</v>
      </c>
      <c r="K45" t="n">
        <v>0</v>
      </c>
      <c r="L45" t="n">
        <v>0</v>
      </c>
      <c r="M45" t="n">
        <v>0</v>
      </c>
      <c r="N45" t="n">
        <v>0</v>
      </c>
      <c r="O45" t="n">
        <v>0</v>
      </c>
      <c r="P45" t="n">
        <v>0</v>
      </c>
      <c r="Q45" t="n">
        <v>2</v>
      </c>
      <c r="R45" s="2" t="inlineStr">
        <is>
          <t>Grönpyrola
Plattlummer</t>
        </is>
      </c>
      <c r="S45">
        <f>HYPERLINK("https://klasma.github.io/Logging_1907/artfynd/A 4082-2025 artfynd.xlsx", "A 4082-2025")</f>
        <v/>
      </c>
      <c r="T45">
        <f>HYPERLINK("https://klasma.github.io/Logging_1907/kartor/A 4082-2025 karta.png", "A 4082-2025")</f>
        <v/>
      </c>
      <c r="V45">
        <f>HYPERLINK("https://klasma.github.io/Logging_1907/klagomål/A 4082-2025 FSC-klagomål.docx", "A 4082-2025")</f>
        <v/>
      </c>
      <c r="W45">
        <f>HYPERLINK("https://klasma.github.io/Logging_1907/klagomålsmail/A 4082-2025 FSC-klagomål mail.docx", "A 4082-2025")</f>
        <v/>
      </c>
      <c r="X45">
        <f>HYPERLINK("https://klasma.github.io/Logging_1907/tillsyn/A 4082-2025 tillsynsbegäran.docx", "A 4082-2025")</f>
        <v/>
      </c>
      <c r="Y45">
        <f>HYPERLINK("https://klasma.github.io/Logging_1907/tillsynsmail/A 4082-2025 tillsynsbegäran mail.docx", "A 4082-2025")</f>
        <v/>
      </c>
    </row>
    <row r="46" ht="15" customHeight="1">
      <c r="A46" t="inlineStr">
        <is>
          <t>A 38170-2021</t>
        </is>
      </c>
      <c r="B46" s="1" t="n">
        <v>44405.43472222222</v>
      </c>
      <c r="C46" s="1" t="n">
        <v>45994</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67611-2021</t>
        </is>
      </c>
      <c r="B47" s="1" t="n">
        <v>44524</v>
      </c>
      <c r="C47" s="1" t="n">
        <v>45994</v>
      </c>
      <c r="D47" t="inlineStr">
        <is>
          <t>VÄSTMANLANDS LÄN</t>
        </is>
      </c>
      <c r="E47" t="inlineStr">
        <is>
          <t>SURAHAMMAR</t>
        </is>
      </c>
      <c r="F47" t="inlineStr">
        <is>
          <t>Kommuner</t>
        </is>
      </c>
      <c r="G47" t="n">
        <v>3.8</v>
      </c>
      <c r="H47" t="n">
        <v>0</v>
      </c>
      <c r="I47" t="n">
        <v>0</v>
      </c>
      <c r="J47" t="n">
        <v>1</v>
      </c>
      <c r="K47" t="n">
        <v>0</v>
      </c>
      <c r="L47" t="n">
        <v>0</v>
      </c>
      <c r="M47" t="n">
        <v>0</v>
      </c>
      <c r="N47" t="n">
        <v>0</v>
      </c>
      <c r="O47" t="n">
        <v>1</v>
      </c>
      <c r="P47" t="n">
        <v>0</v>
      </c>
      <c r="Q47" t="n">
        <v>1</v>
      </c>
      <c r="R47" s="2" t="inlineStr">
        <is>
          <t>Brödmärgsticka</t>
        </is>
      </c>
      <c r="S47">
        <f>HYPERLINK("https://klasma.github.io/Logging_1907/artfynd/A 67611-2021 artfynd.xlsx", "A 67611-2021")</f>
        <v/>
      </c>
      <c r="T47">
        <f>HYPERLINK("https://klasma.github.io/Logging_1907/kartor/A 67611-2021 karta.png", "A 67611-2021")</f>
        <v/>
      </c>
      <c r="V47">
        <f>HYPERLINK("https://klasma.github.io/Logging_1907/klagomål/A 67611-2021 FSC-klagomål.docx", "A 67611-2021")</f>
        <v/>
      </c>
      <c r="W47">
        <f>HYPERLINK("https://klasma.github.io/Logging_1907/klagomålsmail/A 67611-2021 FSC-klagomål mail.docx", "A 67611-2021")</f>
        <v/>
      </c>
      <c r="X47">
        <f>HYPERLINK("https://klasma.github.io/Logging_1907/tillsyn/A 67611-2021 tillsynsbegäran.docx", "A 67611-2021")</f>
        <v/>
      </c>
      <c r="Y47">
        <f>HYPERLINK("https://klasma.github.io/Logging_1907/tillsynsmail/A 67611-2021 tillsynsbegäran mail.docx", "A 67611-2021")</f>
        <v/>
      </c>
    </row>
    <row r="48" ht="15" customHeight="1">
      <c r="A48" t="inlineStr">
        <is>
          <t>A 26700-2022</t>
        </is>
      </c>
      <c r="B48" s="1" t="n">
        <v>44739</v>
      </c>
      <c r="C48" s="1" t="n">
        <v>45994</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18717-2021</t>
        </is>
      </c>
      <c r="B49" s="1" t="n">
        <v>44306</v>
      </c>
      <c r="C49" s="1" t="n">
        <v>45994</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39099-2022</t>
        </is>
      </c>
      <c r="B50" s="1" t="n">
        <v>44817</v>
      </c>
      <c r="C50" s="1" t="n">
        <v>45994</v>
      </c>
      <c r="D50" t="inlineStr">
        <is>
          <t>VÄSTMANLANDS LÄN</t>
        </is>
      </c>
      <c r="E50" t="inlineStr">
        <is>
          <t>SURAHAMMAR</t>
        </is>
      </c>
      <c r="F50" t="inlineStr">
        <is>
          <t>Bergvik skog väst AB</t>
        </is>
      </c>
      <c r="G50" t="n">
        <v>7.4</v>
      </c>
      <c r="H50" t="n">
        <v>0</v>
      </c>
      <c r="I50" t="n">
        <v>1</v>
      </c>
      <c r="J50" t="n">
        <v>0</v>
      </c>
      <c r="K50" t="n">
        <v>0</v>
      </c>
      <c r="L50" t="n">
        <v>0</v>
      </c>
      <c r="M50" t="n">
        <v>0</v>
      </c>
      <c r="N50" t="n">
        <v>0</v>
      </c>
      <c r="O50" t="n">
        <v>0</v>
      </c>
      <c r="P50" t="n">
        <v>0</v>
      </c>
      <c r="Q50" t="n">
        <v>1</v>
      </c>
      <c r="R50" s="2" t="inlineStr">
        <is>
          <t>Stekelbock</t>
        </is>
      </c>
      <c r="S50">
        <f>HYPERLINK("https://klasma.github.io/Logging_1907/artfynd/A 39099-2022 artfynd.xlsx", "A 39099-2022")</f>
        <v/>
      </c>
      <c r="T50">
        <f>HYPERLINK("https://klasma.github.io/Logging_1907/kartor/A 39099-2022 karta.png", "A 39099-2022")</f>
        <v/>
      </c>
      <c r="V50">
        <f>HYPERLINK("https://klasma.github.io/Logging_1907/klagomål/A 39099-2022 FSC-klagomål.docx", "A 39099-2022")</f>
        <v/>
      </c>
      <c r="W50">
        <f>HYPERLINK("https://klasma.github.io/Logging_1907/klagomålsmail/A 39099-2022 FSC-klagomål mail.docx", "A 39099-2022")</f>
        <v/>
      </c>
      <c r="X50">
        <f>HYPERLINK("https://klasma.github.io/Logging_1907/tillsyn/A 39099-2022 tillsynsbegäran.docx", "A 39099-2022")</f>
        <v/>
      </c>
      <c r="Y50">
        <f>HYPERLINK("https://klasma.github.io/Logging_1907/tillsynsmail/A 39099-2022 tillsynsbegäran mail.docx", "A 39099-2022")</f>
        <v/>
      </c>
    </row>
    <row r="51" ht="15" customHeight="1">
      <c r="A51" t="inlineStr">
        <is>
          <t>A 30074-2023</t>
        </is>
      </c>
      <c r="B51" s="1" t="n">
        <v>45110</v>
      </c>
      <c r="C51" s="1" t="n">
        <v>45994</v>
      </c>
      <c r="D51" t="inlineStr">
        <is>
          <t>VÄSTMANLANDS LÄN</t>
        </is>
      </c>
      <c r="E51" t="inlineStr">
        <is>
          <t>SURAHAMMAR</t>
        </is>
      </c>
      <c r="F51" t="inlineStr">
        <is>
          <t>Sveaskog</t>
        </is>
      </c>
      <c r="G51" t="n">
        <v>1.1</v>
      </c>
      <c r="H51" t="n">
        <v>1</v>
      </c>
      <c r="I51" t="n">
        <v>0</v>
      </c>
      <c r="J51" t="n">
        <v>0</v>
      </c>
      <c r="K51" t="n">
        <v>0</v>
      </c>
      <c r="L51" t="n">
        <v>0</v>
      </c>
      <c r="M51" t="n">
        <v>0</v>
      </c>
      <c r="N51" t="n">
        <v>0</v>
      </c>
      <c r="O51" t="n">
        <v>0</v>
      </c>
      <c r="P51" t="n">
        <v>0</v>
      </c>
      <c r="Q51" t="n">
        <v>1</v>
      </c>
      <c r="R51" s="2" t="inlineStr">
        <is>
          <t>Revlummer</t>
        </is>
      </c>
      <c r="S51">
        <f>HYPERLINK("https://klasma.github.io/Logging_1907/artfynd/A 30074-2023 artfynd.xlsx", "A 30074-2023")</f>
        <v/>
      </c>
      <c r="T51">
        <f>HYPERLINK("https://klasma.github.io/Logging_1907/kartor/A 30074-2023 karta.png", "A 30074-2023")</f>
        <v/>
      </c>
      <c r="V51">
        <f>HYPERLINK("https://klasma.github.io/Logging_1907/klagomål/A 30074-2023 FSC-klagomål.docx", "A 30074-2023")</f>
        <v/>
      </c>
      <c r="W51">
        <f>HYPERLINK("https://klasma.github.io/Logging_1907/klagomålsmail/A 30074-2023 FSC-klagomål mail.docx", "A 30074-2023")</f>
        <v/>
      </c>
      <c r="X51">
        <f>HYPERLINK("https://klasma.github.io/Logging_1907/tillsyn/A 30074-2023 tillsynsbegäran.docx", "A 30074-2023")</f>
        <v/>
      </c>
      <c r="Y51">
        <f>HYPERLINK("https://klasma.github.io/Logging_1907/tillsynsmail/A 30074-2023 tillsynsbegäran mail.docx", "A 30074-2023")</f>
        <v/>
      </c>
    </row>
    <row r="52" ht="15" customHeight="1">
      <c r="A52" t="inlineStr">
        <is>
          <t>A 42765-2022</t>
        </is>
      </c>
      <c r="B52" s="1" t="n">
        <v>44832</v>
      </c>
      <c r="C52" s="1" t="n">
        <v>45994</v>
      </c>
      <c r="D52" t="inlineStr">
        <is>
          <t>VÄSTMANLANDS LÄN</t>
        </is>
      </c>
      <c r="E52" t="inlineStr">
        <is>
          <t>SURAHAMMAR</t>
        </is>
      </c>
      <c r="G52" t="n">
        <v>1.8</v>
      </c>
      <c r="H52" t="n">
        <v>1</v>
      </c>
      <c r="I52" t="n">
        <v>0</v>
      </c>
      <c r="J52" t="n">
        <v>0</v>
      </c>
      <c r="K52" t="n">
        <v>0</v>
      </c>
      <c r="L52" t="n">
        <v>0</v>
      </c>
      <c r="M52" t="n">
        <v>0</v>
      </c>
      <c r="N52" t="n">
        <v>0</v>
      </c>
      <c r="O52" t="n">
        <v>0</v>
      </c>
      <c r="P52" t="n">
        <v>0</v>
      </c>
      <c r="Q52" t="n">
        <v>1</v>
      </c>
      <c r="R52" s="2" t="inlineStr">
        <is>
          <t>Blåsippa</t>
        </is>
      </c>
      <c r="S52">
        <f>HYPERLINK("https://klasma.github.io/Logging_1907/artfynd/A 42765-2022 artfynd.xlsx", "A 42765-2022")</f>
        <v/>
      </c>
      <c r="T52">
        <f>HYPERLINK("https://klasma.github.io/Logging_1907/kartor/A 42765-2022 karta.png", "A 42765-2022")</f>
        <v/>
      </c>
      <c r="V52">
        <f>HYPERLINK("https://klasma.github.io/Logging_1907/klagomål/A 42765-2022 FSC-klagomål.docx", "A 42765-2022")</f>
        <v/>
      </c>
      <c r="W52">
        <f>HYPERLINK("https://klasma.github.io/Logging_1907/klagomålsmail/A 42765-2022 FSC-klagomål mail.docx", "A 42765-2022")</f>
        <v/>
      </c>
      <c r="X52">
        <f>HYPERLINK("https://klasma.github.io/Logging_1907/tillsyn/A 42765-2022 tillsynsbegäran.docx", "A 42765-2022")</f>
        <v/>
      </c>
      <c r="Y52">
        <f>HYPERLINK("https://klasma.github.io/Logging_1907/tillsynsmail/A 42765-2022 tillsynsbegäran mail.docx", "A 42765-2022")</f>
        <v/>
      </c>
    </row>
    <row r="53" ht="15" customHeight="1">
      <c r="A53" t="inlineStr">
        <is>
          <t>A 40411-2021</t>
        </is>
      </c>
      <c r="B53" s="1" t="n">
        <v>44419</v>
      </c>
      <c r="C53" s="1" t="n">
        <v>45994</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10819-2024</t>
        </is>
      </c>
      <c r="B54" s="1" t="n">
        <v>45369.66049768519</v>
      </c>
      <c r="C54" s="1" t="n">
        <v>45994</v>
      </c>
      <c r="D54" t="inlineStr">
        <is>
          <t>VÄSTMANLANDS LÄN</t>
        </is>
      </c>
      <c r="E54" t="inlineStr">
        <is>
          <t>SURAHAMMAR</t>
        </is>
      </c>
      <c r="G54" t="n">
        <v>2</v>
      </c>
      <c r="H54" t="n">
        <v>0</v>
      </c>
      <c r="I54" t="n">
        <v>1</v>
      </c>
      <c r="J54" t="n">
        <v>0</v>
      </c>
      <c r="K54" t="n">
        <v>0</v>
      </c>
      <c r="L54" t="n">
        <v>0</v>
      </c>
      <c r="M54" t="n">
        <v>0</v>
      </c>
      <c r="N54" t="n">
        <v>0</v>
      </c>
      <c r="O54" t="n">
        <v>0</v>
      </c>
      <c r="P54" t="n">
        <v>0</v>
      </c>
      <c r="Q54" t="n">
        <v>1</v>
      </c>
      <c r="R54" s="2" t="inlineStr">
        <is>
          <t>Tibast</t>
        </is>
      </c>
      <c r="S54">
        <f>HYPERLINK("https://klasma.github.io/Logging_1907/artfynd/A 10819-2024 artfynd.xlsx", "A 10819-2024")</f>
        <v/>
      </c>
      <c r="T54">
        <f>HYPERLINK("https://klasma.github.io/Logging_1907/kartor/A 10819-2024 karta.png", "A 10819-2024")</f>
        <v/>
      </c>
      <c r="V54">
        <f>HYPERLINK("https://klasma.github.io/Logging_1907/klagomål/A 10819-2024 FSC-klagomål.docx", "A 10819-2024")</f>
        <v/>
      </c>
      <c r="W54">
        <f>HYPERLINK("https://klasma.github.io/Logging_1907/klagomålsmail/A 10819-2024 FSC-klagomål mail.docx", "A 10819-2024")</f>
        <v/>
      </c>
      <c r="X54">
        <f>HYPERLINK("https://klasma.github.io/Logging_1907/tillsyn/A 10819-2024 tillsynsbegäran.docx", "A 10819-2024")</f>
        <v/>
      </c>
      <c r="Y54">
        <f>HYPERLINK("https://klasma.github.io/Logging_1907/tillsynsmail/A 10819-2024 tillsynsbegäran mail.docx", "A 10819-2024")</f>
        <v/>
      </c>
    </row>
    <row r="55" ht="15" customHeight="1">
      <c r="A55" t="inlineStr">
        <is>
          <t>A 69777-2021</t>
        </is>
      </c>
      <c r="B55" s="1" t="n">
        <v>44532</v>
      </c>
      <c r="C55" s="1" t="n">
        <v>45994</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45994</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56362-2023</t>
        </is>
      </c>
      <c r="B57" s="1" t="n">
        <v>45236</v>
      </c>
      <c r="C57" s="1" t="n">
        <v>45994</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45994</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17632-2022</t>
        </is>
      </c>
      <c r="B59" s="1" t="n">
        <v>44680</v>
      </c>
      <c r="C59" s="1" t="n">
        <v>45994</v>
      </c>
      <c r="D59" t="inlineStr">
        <is>
          <t>VÄSTMANLANDS LÄN</t>
        </is>
      </c>
      <c r="E59" t="inlineStr">
        <is>
          <t>SURAHAMMAR</t>
        </is>
      </c>
      <c r="G59" t="n">
        <v>5.2</v>
      </c>
      <c r="H59" t="n">
        <v>0</v>
      </c>
      <c r="I59" t="n">
        <v>1</v>
      </c>
      <c r="J59" t="n">
        <v>0</v>
      </c>
      <c r="K59" t="n">
        <v>0</v>
      </c>
      <c r="L59" t="n">
        <v>0</v>
      </c>
      <c r="M59" t="n">
        <v>0</v>
      </c>
      <c r="N59" t="n">
        <v>0</v>
      </c>
      <c r="O59" t="n">
        <v>0</v>
      </c>
      <c r="P59" t="n">
        <v>0</v>
      </c>
      <c r="Q59" t="n">
        <v>1</v>
      </c>
      <c r="R59" s="2" t="inlineStr">
        <is>
          <t>Blodticka</t>
        </is>
      </c>
      <c r="S59">
        <f>HYPERLINK("https://klasma.github.io/Logging_1907/artfynd/A 17632-2022 artfynd.xlsx", "A 17632-2022")</f>
        <v/>
      </c>
      <c r="T59">
        <f>HYPERLINK("https://klasma.github.io/Logging_1907/kartor/A 17632-2022 karta.png", "A 17632-2022")</f>
        <v/>
      </c>
      <c r="V59">
        <f>HYPERLINK("https://klasma.github.io/Logging_1907/klagomål/A 17632-2022 FSC-klagomål.docx", "A 17632-2022")</f>
        <v/>
      </c>
      <c r="W59">
        <f>HYPERLINK("https://klasma.github.io/Logging_1907/klagomålsmail/A 17632-2022 FSC-klagomål mail.docx", "A 17632-2022")</f>
        <v/>
      </c>
      <c r="X59">
        <f>HYPERLINK("https://klasma.github.io/Logging_1907/tillsyn/A 17632-2022 tillsynsbegäran.docx", "A 17632-2022")</f>
        <v/>
      </c>
      <c r="Y59">
        <f>HYPERLINK("https://klasma.github.io/Logging_1907/tillsynsmail/A 17632-2022 tillsynsbegäran mail.docx", "A 17632-2022")</f>
        <v/>
      </c>
    </row>
    <row r="60" ht="15" customHeight="1">
      <c r="A60" t="inlineStr">
        <is>
          <t>A 25583-2024</t>
        </is>
      </c>
      <c r="B60" s="1" t="n">
        <v>45463</v>
      </c>
      <c r="C60" s="1" t="n">
        <v>45994</v>
      </c>
      <c r="D60" t="inlineStr">
        <is>
          <t>VÄSTMANLANDS LÄN</t>
        </is>
      </c>
      <c r="E60" t="inlineStr">
        <is>
          <t>SURAHAMMAR</t>
        </is>
      </c>
      <c r="F60" t="inlineStr">
        <is>
          <t>Bergvik skog väst AB</t>
        </is>
      </c>
      <c r="G60" t="n">
        <v>7.8</v>
      </c>
      <c r="H60" t="n">
        <v>1</v>
      </c>
      <c r="I60" t="n">
        <v>0</v>
      </c>
      <c r="J60" t="n">
        <v>0</v>
      </c>
      <c r="K60" t="n">
        <v>0</v>
      </c>
      <c r="L60" t="n">
        <v>0</v>
      </c>
      <c r="M60" t="n">
        <v>0</v>
      </c>
      <c r="N60" t="n">
        <v>0</v>
      </c>
      <c r="O60" t="n">
        <v>0</v>
      </c>
      <c r="P60" t="n">
        <v>0</v>
      </c>
      <c r="Q60" t="n">
        <v>1</v>
      </c>
      <c r="R60" s="2" t="inlineStr">
        <is>
          <t>Blåsippa</t>
        </is>
      </c>
      <c r="S60">
        <f>HYPERLINK("https://klasma.github.io/Logging_1907/artfynd/A 25583-2024 artfynd.xlsx", "A 25583-2024")</f>
        <v/>
      </c>
      <c r="T60">
        <f>HYPERLINK("https://klasma.github.io/Logging_1907/kartor/A 25583-2024 karta.png", "A 25583-2024")</f>
        <v/>
      </c>
      <c r="V60">
        <f>HYPERLINK("https://klasma.github.io/Logging_1907/klagomål/A 25583-2024 FSC-klagomål.docx", "A 25583-2024")</f>
        <v/>
      </c>
      <c r="W60">
        <f>HYPERLINK("https://klasma.github.io/Logging_1907/klagomålsmail/A 25583-2024 FSC-klagomål mail.docx", "A 25583-2024")</f>
        <v/>
      </c>
      <c r="X60">
        <f>HYPERLINK("https://klasma.github.io/Logging_1907/tillsyn/A 25583-2024 tillsynsbegäran.docx", "A 25583-2024")</f>
        <v/>
      </c>
      <c r="Y60">
        <f>HYPERLINK("https://klasma.github.io/Logging_1907/tillsynsmail/A 25583-2024 tillsynsbegäran mail.docx", "A 25583-2024")</f>
        <v/>
      </c>
    </row>
    <row r="61" ht="15" customHeight="1">
      <c r="A61" t="inlineStr">
        <is>
          <t>A 13971-2023</t>
        </is>
      </c>
      <c r="B61" s="1" t="n">
        <v>45007</v>
      </c>
      <c r="C61" s="1" t="n">
        <v>45994</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44356-2024</t>
        </is>
      </c>
      <c r="B62" s="1" t="n">
        <v>45573</v>
      </c>
      <c r="C62" s="1" t="n">
        <v>45994</v>
      </c>
      <c r="D62" t="inlineStr">
        <is>
          <t>VÄSTMANLANDS LÄN</t>
        </is>
      </c>
      <c r="E62" t="inlineStr">
        <is>
          <t>SURAHAMMAR</t>
        </is>
      </c>
      <c r="F62" t="inlineStr">
        <is>
          <t>Sveaskog</t>
        </is>
      </c>
      <c r="G62" t="n">
        <v>0.7</v>
      </c>
      <c r="H62" t="n">
        <v>1</v>
      </c>
      <c r="I62" t="n">
        <v>0</v>
      </c>
      <c r="J62" t="n">
        <v>0</v>
      </c>
      <c r="K62" t="n">
        <v>0</v>
      </c>
      <c r="L62" t="n">
        <v>0</v>
      </c>
      <c r="M62" t="n">
        <v>0</v>
      </c>
      <c r="N62" t="n">
        <v>0</v>
      </c>
      <c r="O62" t="n">
        <v>0</v>
      </c>
      <c r="P62" t="n">
        <v>0</v>
      </c>
      <c r="Q62" t="n">
        <v>1</v>
      </c>
      <c r="R62" s="2" t="inlineStr">
        <is>
          <t>Revlummer</t>
        </is>
      </c>
      <c r="S62">
        <f>HYPERLINK("https://klasma.github.io/Logging_1907/artfynd/A 44356-2024 artfynd.xlsx", "A 44356-2024")</f>
        <v/>
      </c>
      <c r="T62">
        <f>HYPERLINK("https://klasma.github.io/Logging_1907/kartor/A 44356-2024 karta.png", "A 44356-2024")</f>
        <v/>
      </c>
      <c r="V62">
        <f>HYPERLINK("https://klasma.github.io/Logging_1907/klagomål/A 44356-2024 FSC-klagomål.docx", "A 44356-2024")</f>
        <v/>
      </c>
      <c r="W62">
        <f>HYPERLINK("https://klasma.github.io/Logging_1907/klagomålsmail/A 44356-2024 FSC-klagomål mail.docx", "A 44356-2024")</f>
        <v/>
      </c>
      <c r="X62">
        <f>HYPERLINK("https://klasma.github.io/Logging_1907/tillsyn/A 44356-2024 tillsynsbegäran.docx", "A 44356-2024")</f>
        <v/>
      </c>
      <c r="Y62">
        <f>HYPERLINK("https://klasma.github.io/Logging_1907/tillsynsmail/A 44356-2024 tillsynsbegäran mail.docx", "A 44356-2024")</f>
        <v/>
      </c>
    </row>
    <row r="63" ht="15" customHeight="1">
      <c r="A63" t="inlineStr">
        <is>
          <t>A 31176-2024</t>
        </is>
      </c>
      <c r="B63" s="1" t="n">
        <v>45503</v>
      </c>
      <c r="C63" s="1" t="n">
        <v>45994</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42089-2025</t>
        </is>
      </c>
      <c r="B64" s="1" t="n">
        <v>45902</v>
      </c>
      <c r="C64" s="1" t="n">
        <v>45994</v>
      </c>
      <c r="D64" t="inlineStr">
        <is>
          <t>VÄSTMANLANDS LÄN</t>
        </is>
      </c>
      <c r="E64" t="inlineStr">
        <is>
          <t>SURAHAMMAR</t>
        </is>
      </c>
      <c r="G64" t="n">
        <v>2.2</v>
      </c>
      <c r="H64" t="n">
        <v>0</v>
      </c>
      <c r="I64" t="n">
        <v>0</v>
      </c>
      <c r="J64" t="n">
        <v>1</v>
      </c>
      <c r="K64" t="n">
        <v>0</v>
      </c>
      <c r="L64" t="n">
        <v>0</v>
      </c>
      <c r="M64" t="n">
        <v>0</v>
      </c>
      <c r="N64" t="n">
        <v>0</v>
      </c>
      <c r="O64" t="n">
        <v>1</v>
      </c>
      <c r="P64" t="n">
        <v>0</v>
      </c>
      <c r="Q64" t="n">
        <v>1</v>
      </c>
      <c r="R64" s="2" t="inlineStr">
        <is>
          <t>Motaggsvamp</t>
        </is>
      </c>
      <c r="S64">
        <f>HYPERLINK("https://klasma.github.io/Logging_1907/artfynd/A 42089-2025 artfynd.xlsx", "A 42089-2025")</f>
        <v/>
      </c>
      <c r="T64">
        <f>HYPERLINK("https://klasma.github.io/Logging_1907/kartor/A 42089-2025 karta.png", "A 42089-2025")</f>
        <v/>
      </c>
      <c r="V64">
        <f>HYPERLINK("https://klasma.github.io/Logging_1907/klagomål/A 42089-2025 FSC-klagomål.docx", "A 42089-2025")</f>
        <v/>
      </c>
      <c r="W64">
        <f>HYPERLINK("https://klasma.github.io/Logging_1907/klagomålsmail/A 42089-2025 FSC-klagomål mail.docx", "A 42089-2025")</f>
        <v/>
      </c>
      <c r="X64">
        <f>HYPERLINK("https://klasma.github.io/Logging_1907/tillsyn/A 42089-2025 tillsynsbegäran.docx", "A 42089-2025")</f>
        <v/>
      </c>
      <c r="Y64">
        <f>HYPERLINK("https://klasma.github.io/Logging_1907/tillsynsmail/A 42089-2025 tillsynsbegäran mail.docx", "A 42089-2025")</f>
        <v/>
      </c>
    </row>
    <row r="65" ht="15" customHeight="1">
      <c r="A65" t="inlineStr">
        <is>
          <t>A 22840-2023</t>
        </is>
      </c>
      <c r="B65" s="1" t="n">
        <v>45072</v>
      </c>
      <c r="C65" s="1" t="n">
        <v>45994</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33231-2024</t>
        </is>
      </c>
      <c r="B66" s="1" t="n">
        <v>45518</v>
      </c>
      <c r="C66" s="1" t="n">
        <v>45994</v>
      </c>
      <c r="D66" t="inlineStr">
        <is>
          <t>VÄSTMANLANDS LÄN</t>
        </is>
      </c>
      <c r="E66" t="inlineStr">
        <is>
          <t>SURAHAMMAR</t>
        </is>
      </c>
      <c r="F66" t="inlineStr">
        <is>
          <t>Bergvik skog väst AB</t>
        </is>
      </c>
      <c r="G66" t="n">
        <v>1.5</v>
      </c>
      <c r="H66" t="n">
        <v>1</v>
      </c>
      <c r="I66" t="n">
        <v>0</v>
      </c>
      <c r="J66" t="n">
        <v>0</v>
      </c>
      <c r="K66" t="n">
        <v>0</v>
      </c>
      <c r="L66" t="n">
        <v>0</v>
      </c>
      <c r="M66" t="n">
        <v>0</v>
      </c>
      <c r="N66" t="n">
        <v>0</v>
      </c>
      <c r="O66" t="n">
        <v>0</v>
      </c>
      <c r="P66" t="n">
        <v>0</v>
      </c>
      <c r="Q66" t="n">
        <v>1</v>
      </c>
      <c r="R66" s="2" t="inlineStr">
        <is>
          <t>Mindre vattensalamander</t>
        </is>
      </c>
      <c r="S66">
        <f>HYPERLINK("https://klasma.github.io/Logging_1907/artfynd/A 33231-2024 artfynd.xlsx", "A 33231-2024")</f>
        <v/>
      </c>
      <c r="T66">
        <f>HYPERLINK("https://klasma.github.io/Logging_1907/kartor/A 33231-2024 karta.png", "A 33231-2024")</f>
        <v/>
      </c>
      <c r="V66">
        <f>HYPERLINK("https://klasma.github.io/Logging_1907/klagomål/A 33231-2024 FSC-klagomål.docx", "A 33231-2024")</f>
        <v/>
      </c>
      <c r="W66">
        <f>HYPERLINK("https://klasma.github.io/Logging_1907/klagomålsmail/A 33231-2024 FSC-klagomål mail.docx", "A 33231-2024")</f>
        <v/>
      </c>
      <c r="X66">
        <f>HYPERLINK("https://klasma.github.io/Logging_1907/tillsyn/A 33231-2024 tillsynsbegäran.docx", "A 33231-2024")</f>
        <v/>
      </c>
      <c r="Y66">
        <f>HYPERLINK("https://klasma.github.io/Logging_1907/tillsynsmail/A 33231-2024 tillsynsbegäran mail.docx", "A 33231-2024")</f>
        <v/>
      </c>
    </row>
    <row r="67" ht="15" customHeight="1">
      <c r="A67" t="inlineStr">
        <is>
          <t>A 43451-2024</t>
        </is>
      </c>
      <c r="B67" s="1" t="n">
        <v>45568</v>
      </c>
      <c r="C67" s="1" t="n">
        <v>45994</v>
      </c>
      <c r="D67" t="inlineStr">
        <is>
          <t>VÄSTMANLANDS LÄN</t>
        </is>
      </c>
      <c r="E67" t="inlineStr">
        <is>
          <t>SURAHAMMAR</t>
        </is>
      </c>
      <c r="F67" t="inlineStr">
        <is>
          <t>Bergvik skog väst AB</t>
        </is>
      </c>
      <c r="G67" t="n">
        <v>2.9</v>
      </c>
      <c r="H67" t="n">
        <v>0</v>
      </c>
      <c r="I67" t="n">
        <v>0</v>
      </c>
      <c r="J67" t="n">
        <v>1</v>
      </c>
      <c r="K67" t="n">
        <v>0</v>
      </c>
      <c r="L67" t="n">
        <v>0</v>
      </c>
      <c r="M67" t="n">
        <v>0</v>
      </c>
      <c r="N67" t="n">
        <v>0</v>
      </c>
      <c r="O67" t="n">
        <v>1</v>
      </c>
      <c r="P67" t="n">
        <v>0</v>
      </c>
      <c r="Q67" t="n">
        <v>1</v>
      </c>
      <c r="R67" s="2" t="inlineStr">
        <is>
          <t>Ullticka</t>
        </is>
      </c>
      <c r="S67">
        <f>HYPERLINK("https://klasma.github.io/Logging_1907/artfynd/A 43451-2024 artfynd.xlsx", "A 43451-2024")</f>
        <v/>
      </c>
      <c r="T67">
        <f>HYPERLINK("https://klasma.github.io/Logging_1907/kartor/A 43451-2024 karta.png", "A 43451-2024")</f>
        <v/>
      </c>
      <c r="V67">
        <f>HYPERLINK("https://klasma.github.io/Logging_1907/klagomål/A 43451-2024 FSC-klagomål.docx", "A 43451-2024")</f>
        <v/>
      </c>
      <c r="W67">
        <f>HYPERLINK("https://klasma.github.io/Logging_1907/klagomålsmail/A 43451-2024 FSC-klagomål mail.docx", "A 43451-2024")</f>
        <v/>
      </c>
      <c r="X67">
        <f>HYPERLINK("https://klasma.github.io/Logging_1907/tillsyn/A 43451-2024 tillsynsbegäran.docx", "A 43451-2024")</f>
        <v/>
      </c>
      <c r="Y67">
        <f>HYPERLINK("https://klasma.github.io/Logging_1907/tillsynsmail/A 43451-2024 tillsynsbegäran mail.docx", "A 43451-2024")</f>
        <v/>
      </c>
    </row>
    <row r="68" ht="15" customHeight="1">
      <c r="A68" t="inlineStr">
        <is>
          <t>A 13788-2025</t>
        </is>
      </c>
      <c r="B68" s="1" t="n">
        <v>45737.45327546296</v>
      </c>
      <c r="C68" s="1" t="n">
        <v>45994</v>
      </c>
      <c r="D68" t="inlineStr">
        <is>
          <t>VÄSTMANLANDS LÄN</t>
        </is>
      </c>
      <c r="E68" t="inlineStr">
        <is>
          <t>SURAHAMMAR</t>
        </is>
      </c>
      <c r="G68" t="n">
        <v>9.699999999999999</v>
      </c>
      <c r="H68" t="n">
        <v>1</v>
      </c>
      <c r="I68" t="n">
        <v>0</v>
      </c>
      <c r="J68" t="n">
        <v>0</v>
      </c>
      <c r="K68" t="n">
        <v>0</v>
      </c>
      <c r="L68" t="n">
        <v>0</v>
      </c>
      <c r="M68" t="n">
        <v>0</v>
      </c>
      <c r="N68" t="n">
        <v>0</v>
      </c>
      <c r="O68" t="n">
        <v>0</v>
      </c>
      <c r="P68" t="n">
        <v>0</v>
      </c>
      <c r="Q68" t="n">
        <v>1</v>
      </c>
      <c r="R68" s="2" t="inlineStr">
        <is>
          <t>Sparvuggla</t>
        </is>
      </c>
      <c r="S68">
        <f>HYPERLINK("https://klasma.github.io/Logging_1907/artfynd/A 13788-2025 artfynd.xlsx", "A 13788-2025")</f>
        <v/>
      </c>
      <c r="T68">
        <f>HYPERLINK("https://klasma.github.io/Logging_1907/kartor/A 13788-2025 karta.png", "A 13788-2025")</f>
        <v/>
      </c>
      <c r="V68">
        <f>HYPERLINK("https://klasma.github.io/Logging_1907/klagomål/A 13788-2025 FSC-klagomål.docx", "A 13788-2025")</f>
        <v/>
      </c>
      <c r="W68">
        <f>HYPERLINK("https://klasma.github.io/Logging_1907/klagomålsmail/A 13788-2025 FSC-klagomål mail.docx", "A 13788-2025")</f>
        <v/>
      </c>
      <c r="X68">
        <f>HYPERLINK("https://klasma.github.io/Logging_1907/tillsyn/A 13788-2025 tillsynsbegäran.docx", "A 13788-2025")</f>
        <v/>
      </c>
      <c r="Y68">
        <f>HYPERLINK("https://klasma.github.io/Logging_1907/tillsynsmail/A 13788-2025 tillsynsbegäran mail.docx", "A 13788-2025")</f>
        <v/>
      </c>
      <c r="Z68">
        <f>HYPERLINK("https://klasma.github.io/Logging_1907/fåglar/A 13788-2025 prioriterade fågelarter.docx", "A 13788-2025")</f>
        <v/>
      </c>
    </row>
    <row r="69" ht="15" customHeight="1">
      <c r="A69" t="inlineStr">
        <is>
          <t>A 55042-2025</t>
        </is>
      </c>
      <c r="B69" s="1" t="n">
        <v>45967.65858796296</v>
      </c>
      <c r="C69" s="1" t="n">
        <v>45994</v>
      </c>
      <c r="D69" t="inlineStr">
        <is>
          <t>VÄSTMANLANDS LÄN</t>
        </is>
      </c>
      <c r="E69" t="inlineStr">
        <is>
          <t>SURAHAMMAR</t>
        </is>
      </c>
      <c r="F69" t="inlineStr">
        <is>
          <t>Sveaskog</t>
        </is>
      </c>
      <c r="G69" t="n">
        <v>7.2</v>
      </c>
      <c r="H69" t="n">
        <v>0</v>
      </c>
      <c r="I69" t="n">
        <v>0</v>
      </c>
      <c r="J69" t="n">
        <v>1</v>
      </c>
      <c r="K69" t="n">
        <v>0</v>
      </c>
      <c r="L69" t="n">
        <v>0</v>
      </c>
      <c r="M69" t="n">
        <v>0</v>
      </c>
      <c r="N69" t="n">
        <v>0</v>
      </c>
      <c r="O69" t="n">
        <v>1</v>
      </c>
      <c r="P69" t="n">
        <v>0</v>
      </c>
      <c r="Q69" t="n">
        <v>1</v>
      </c>
      <c r="R69" s="2" t="inlineStr">
        <is>
          <t>Motaggsvamp</t>
        </is>
      </c>
      <c r="S69">
        <f>HYPERLINK("https://klasma.github.io/Logging_1907/artfynd/A 55042-2025 artfynd.xlsx", "A 55042-2025")</f>
        <v/>
      </c>
      <c r="T69">
        <f>HYPERLINK("https://klasma.github.io/Logging_1907/kartor/A 55042-2025 karta.png", "A 55042-2025")</f>
        <v/>
      </c>
      <c r="V69">
        <f>HYPERLINK("https://klasma.github.io/Logging_1907/klagomål/A 55042-2025 FSC-klagomål.docx", "A 55042-2025")</f>
        <v/>
      </c>
      <c r="W69">
        <f>HYPERLINK("https://klasma.github.io/Logging_1907/klagomålsmail/A 55042-2025 FSC-klagomål mail.docx", "A 55042-2025")</f>
        <v/>
      </c>
      <c r="X69">
        <f>HYPERLINK("https://klasma.github.io/Logging_1907/tillsyn/A 55042-2025 tillsynsbegäran.docx", "A 55042-2025")</f>
        <v/>
      </c>
      <c r="Y69">
        <f>HYPERLINK("https://klasma.github.io/Logging_1907/tillsynsmail/A 55042-2025 tillsynsbegäran mail.docx", "A 55042-2025")</f>
        <v/>
      </c>
    </row>
    <row r="70" ht="15" customHeight="1">
      <c r="A70" t="inlineStr">
        <is>
          <t>A 56768-2025</t>
        </is>
      </c>
      <c r="B70" s="1" t="n">
        <v>45978</v>
      </c>
      <c r="C70" s="1" t="n">
        <v>45994</v>
      </c>
      <c r="D70" t="inlineStr">
        <is>
          <t>VÄSTMANLANDS LÄN</t>
        </is>
      </c>
      <c r="E70" t="inlineStr">
        <is>
          <t>SURAHAMMAR</t>
        </is>
      </c>
      <c r="F70" t="inlineStr">
        <is>
          <t>Sveaskog</t>
        </is>
      </c>
      <c r="G70" t="n">
        <v>3.8</v>
      </c>
      <c r="H70" t="n">
        <v>0</v>
      </c>
      <c r="I70" t="n">
        <v>0</v>
      </c>
      <c r="J70" t="n">
        <v>1</v>
      </c>
      <c r="K70" t="n">
        <v>0</v>
      </c>
      <c r="L70" t="n">
        <v>0</v>
      </c>
      <c r="M70" t="n">
        <v>0</v>
      </c>
      <c r="N70" t="n">
        <v>0</v>
      </c>
      <c r="O70" t="n">
        <v>1</v>
      </c>
      <c r="P70" t="n">
        <v>0</v>
      </c>
      <c r="Q70" t="n">
        <v>1</v>
      </c>
      <c r="R70" s="2" t="inlineStr">
        <is>
          <t>Motaggsvamp</t>
        </is>
      </c>
      <c r="S70">
        <f>HYPERLINK("https://klasma.github.io/Logging_1907/artfynd/A 56768-2025 artfynd.xlsx", "A 56768-2025")</f>
        <v/>
      </c>
      <c r="T70">
        <f>HYPERLINK("https://klasma.github.io/Logging_1907/kartor/A 56768-2025 karta.png", "A 56768-2025")</f>
        <v/>
      </c>
      <c r="V70">
        <f>HYPERLINK("https://klasma.github.io/Logging_1907/klagomål/A 56768-2025 FSC-klagomål.docx", "A 56768-2025")</f>
        <v/>
      </c>
      <c r="W70">
        <f>HYPERLINK("https://klasma.github.io/Logging_1907/klagomålsmail/A 56768-2025 FSC-klagomål mail.docx", "A 56768-2025")</f>
        <v/>
      </c>
      <c r="X70">
        <f>HYPERLINK("https://klasma.github.io/Logging_1907/tillsyn/A 56768-2025 tillsynsbegäran.docx", "A 56768-2025")</f>
        <v/>
      </c>
      <c r="Y70">
        <f>HYPERLINK("https://klasma.github.io/Logging_1907/tillsynsmail/A 56768-2025 tillsynsbegäran mail.docx", "A 56768-2025")</f>
        <v/>
      </c>
    </row>
    <row r="71" ht="15" customHeight="1">
      <c r="A71" t="inlineStr">
        <is>
          <t>A 1492-2021</t>
        </is>
      </c>
      <c r="B71" s="1" t="n">
        <v>44209</v>
      </c>
      <c r="C71" s="1" t="n">
        <v>45994</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45994</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45994</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45994</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45994</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45994</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21839-2021</t>
        </is>
      </c>
      <c r="B77" s="1" t="n">
        <v>44322</v>
      </c>
      <c r="C77" s="1" t="n">
        <v>45994</v>
      </c>
      <c r="D77" t="inlineStr">
        <is>
          <t>VÄSTMANLANDS LÄN</t>
        </is>
      </c>
      <c r="E77" t="inlineStr">
        <is>
          <t>SURAHAMMAR</t>
        </is>
      </c>
      <c r="G77" t="n">
        <v>1.6</v>
      </c>
      <c r="H77" t="n">
        <v>0</v>
      </c>
      <c r="I77" t="n">
        <v>0</v>
      </c>
      <c r="J77" t="n">
        <v>0</v>
      </c>
      <c r="K77" t="n">
        <v>0</v>
      </c>
      <c r="L77" t="n">
        <v>0</v>
      </c>
      <c r="M77" t="n">
        <v>0</v>
      </c>
      <c r="N77" t="n">
        <v>0</v>
      </c>
      <c r="O77" t="n">
        <v>0</v>
      </c>
      <c r="P77" t="n">
        <v>0</v>
      </c>
      <c r="Q77" t="n">
        <v>0</v>
      </c>
      <c r="R77" s="2" t="inlineStr"/>
    </row>
    <row r="78" ht="15" customHeight="1">
      <c r="A78" t="inlineStr">
        <is>
          <t>A 31468-2021</t>
        </is>
      </c>
      <c r="B78" s="1" t="n">
        <v>44369</v>
      </c>
      <c r="C78" s="1" t="n">
        <v>45994</v>
      </c>
      <c r="D78" t="inlineStr">
        <is>
          <t>VÄSTMANLANDS LÄN</t>
        </is>
      </c>
      <c r="E78" t="inlineStr">
        <is>
          <t>SURAHAMMAR</t>
        </is>
      </c>
      <c r="G78" t="n">
        <v>1.1</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45994</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45994</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19846-2022</t>
        </is>
      </c>
      <c r="B81" s="1" t="n">
        <v>44696.89327546296</v>
      </c>
      <c r="C81" s="1" t="n">
        <v>45994</v>
      </c>
      <c r="D81" t="inlineStr">
        <is>
          <t>VÄSTMANLANDS LÄN</t>
        </is>
      </c>
      <c r="E81" t="inlineStr">
        <is>
          <t>SURAHAMMAR</t>
        </is>
      </c>
      <c r="F81" t="inlineStr">
        <is>
          <t>Kommuner</t>
        </is>
      </c>
      <c r="G81" t="n">
        <v>3.4</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45994</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45994</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19637-2022</t>
        </is>
      </c>
      <c r="B84" s="1" t="n">
        <v>44694</v>
      </c>
      <c r="C84" s="1" t="n">
        <v>45994</v>
      </c>
      <c r="D84" t="inlineStr">
        <is>
          <t>VÄSTMANLANDS LÄN</t>
        </is>
      </c>
      <c r="E84" t="inlineStr">
        <is>
          <t>SURAHAMMAR</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45994</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38178-2021</t>
        </is>
      </c>
      <c r="B86" s="1" t="n">
        <v>44405</v>
      </c>
      <c r="C86" s="1" t="n">
        <v>45994</v>
      </c>
      <c r="D86" t="inlineStr">
        <is>
          <t>VÄSTMANLANDS LÄN</t>
        </is>
      </c>
      <c r="E86" t="inlineStr">
        <is>
          <t>SURAHAMMAR</t>
        </is>
      </c>
      <c r="F86" t="inlineStr">
        <is>
          <t>Sveaskog</t>
        </is>
      </c>
      <c r="G86" t="n">
        <v>1.3</v>
      </c>
      <c r="H86" t="n">
        <v>0</v>
      </c>
      <c r="I86" t="n">
        <v>0</v>
      </c>
      <c r="J86" t="n">
        <v>0</v>
      </c>
      <c r="K86" t="n">
        <v>0</v>
      </c>
      <c r="L86" t="n">
        <v>0</v>
      </c>
      <c r="M86" t="n">
        <v>0</v>
      </c>
      <c r="N86" t="n">
        <v>0</v>
      </c>
      <c r="O86" t="n">
        <v>0</v>
      </c>
      <c r="P86" t="n">
        <v>0</v>
      </c>
      <c r="Q86" t="n">
        <v>0</v>
      </c>
      <c r="R86" s="2" t="inlineStr"/>
    </row>
    <row r="87" ht="15" customHeight="1">
      <c r="A87" t="inlineStr">
        <is>
          <t>A 18723-2021</t>
        </is>
      </c>
      <c r="B87" s="1" t="n">
        <v>44306</v>
      </c>
      <c r="C87" s="1" t="n">
        <v>45994</v>
      </c>
      <c r="D87" t="inlineStr">
        <is>
          <t>VÄSTMANLANDS LÄN</t>
        </is>
      </c>
      <c r="E87" t="inlineStr">
        <is>
          <t>SURAHAMMAR</t>
        </is>
      </c>
      <c r="F87" t="inlineStr">
        <is>
          <t>Bergvik skog väst AB</t>
        </is>
      </c>
      <c r="G87" t="n">
        <v>3.9</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45994</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24158-2023</t>
        </is>
      </c>
      <c r="B89" s="1" t="n">
        <v>45079</v>
      </c>
      <c r="C89" s="1" t="n">
        <v>45994</v>
      </c>
      <c r="D89" t="inlineStr">
        <is>
          <t>VÄSTMANLANDS LÄN</t>
        </is>
      </c>
      <c r="E89" t="inlineStr">
        <is>
          <t>SURAHAMMAR</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25450-2024</t>
        </is>
      </c>
      <c r="B90" s="1" t="n">
        <v>45463</v>
      </c>
      <c r="C90" s="1" t="n">
        <v>45994</v>
      </c>
      <c r="D90" t="inlineStr">
        <is>
          <t>VÄSTMANLANDS LÄN</t>
        </is>
      </c>
      <c r="E90" t="inlineStr">
        <is>
          <t>SURAHAMMAR</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45994</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45994</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45994</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66342-2021</t>
        </is>
      </c>
      <c r="B94" s="1" t="n">
        <v>44518</v>
      </c>
      <c r="C94" s="1" t="n">
        <v>45994</v>
      </c>
      <c r="D94" t="inlineStr">
        <is>
          <t>VÄSTMANLANDS LÄN</t>
        </is>
      </c>
      <c r="E94" t="inlineStr">
        <is>
          <t>SURAHAMMAR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42714-2022</t>
        </is>
      </c>
      <c r="B95" s="1" t="n">
        <v>44832</v>
      </c>
      <c r="C95" s="1" t="n">
        <v>45994</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45994</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45994</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47785-2021</t>
        </is>
      </c>
      <c r="B98" s="1" t="n">
        <v>44448</v>
      </c>
      <c r="C98" s="1" t="n">
        <v>45994</v>
      </c>
      <c r="D98" t="inlineStr">
        <is>
          <t>VÄSTMANLANDS LÄN</t>
        </is>
      </c>
      <c r="E98" t="inlineStr">
        <is>
          <t>SURAHAMMAR</t>
        </is>
      </c>
      <c r="F98" t="inlineStr">
        <is>
          <t>Kommuner</t>
        </is>
      </c>
      <c r="G98" t="n">
        <v>3.3</v>
      </c>
      <c r="H98" t="n">
        <v>0</v>
      </c>
      <c r="I98" t="n">
        <v>0</v>
      </c>
      <c r="J98" t="n">
        <v>0</v>
      </c>
      <c r="K98" t="n">
        <v>0</v>
      </c>
      <c r="L98" t="n">
        <v>0</v>
      </c>
      <c r="M98" t="n">
        <v>0</v>
      </c>
      <c r="N98" t="n">
        <v>0</v>
      </c>
      <c r="O98" t="n">
        <v>0</v>
      </c>
      <c r="P98" t="n">
        <v>0</v>
      </c>
      <c r="Q98" t="n">
        <v>0</v>
      </c>
      <c r="R98" s="2" t="inlineStr"/>
    </row>
    <row r="99" ht="15" customHeight="1">
      <c r="A99" t="inlineStr">
        <is>
          <t>A 35682-2022</t>
        </is>
      </c>
      <c r="B99" s="1" t="n">
        <v>44799.60422453703</v>
      </c>
      <c r="C99" s="1" t="n">
        <v>45994</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45994</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11728-2023</t>
        </is>
      </c>
      <c r="B101" s="1" t="n">
        <v>44993</v>
      </c>
      <c r="C101" s="1" t="n">
        <v>45994</v>
      </c>
      <c r="D101" t="inlineStr">
        <is>
          <t>VÄSTMANLANDS LÄN</t>
        </is>
      </c>
      <c r="E101" t="inlineStr">
        <is>
          <t>SURAHAMMAR</t>
        </is>
      </c>
      <c r="F101" t="inlineStr">
        <is>
          <t>Bergvik skog väst AB</t>
        </is>
      </c>
      <c r="G101" t="n">
        <v>0.4</v>
      </c>
      <c r="H101" t="n">
        <v>0</v>
      </c>
      <c r="I101" t="n">
        <v>0</v>
      </c>
      <c r="J101" t="n">
        <v>0</v>
      </c>
      <c r="K101" t="n">
        <v>0</v>
      </c>
      <c r="L101" t="n">
        <v>0</v>
      </c>
      <c r="M101" t="n">
        <v>0</v>
      </c>
      <c r="N101" t="n">
        <v>0</v>
      </c>
      <c r="O101" t="n">
        <v>0</v>
      </c>
      <c r="P101" t="n">
        <v>0</v>
      </c>
      <c r="Q101" t="n">
        <v>0</v>
      </c>
      <c r="R101" s="2" t="inlineStr"/>
    </row>
    <row r="102" ht="15" customHeight="1">
      <c r="A102" t="inlineStr">
        <is>
          <t>A 19782-2023</t>
        </is>
      </c>
      <c r="B102" s="1" t="n">
        <v>45050</v>
      </c>
      <c r="C102" s="1" t="n">
        <v>45994</v>
      </c>
      <c r="D102" t="inlineStr">
        <is>
          <t>VÄSTMANLANDS LÄN</t>
        </is>
      </c>
      <c r="E102" t="inlineStr">
        <is>
          <t>SURAHAMMAR</t>
        </is>
      </c>
      <c r="F102" t="inlineStr">
        <is>
          <t>Bergvik skog väst AB</t>
        </is>
      </c>
      <c r="G102" t="n">
        <v>5.2</v>
      </c>
      <c r="H102" t="n">
        <v>0</v>
      </c>
      <c r="I102" t="n">
        <v>0</v>
      </c>
      <c r="J102" t="n">
        <v>0</v>
      </c>
      <c r="K102" t="n">
        <v>0</v>
      </c>
      <c r="L102" t="n">
        <v>0</v>
      </c>
      <c r="M102" t="n">
        <v>0</v>
      </c>
      <c r="N102" t="n">
        <v>0</v>
      </c>
      <c r="O102" t="n">
        <v>0</v>
      </c>
      <c r="P102" t="n">
        <v>0</v>
      </c>
      <c r="Q102" t="n">
        <v>0</v>
      </c>
      <c r="R102" s="2" t="inlineStr"/>
    </row>
    <row r="103" ht="15" customHeight="1">
      <c r="A103" t="inlineStr">
        <is>
          <t>A 8553-2023</t>
        </is>
      </c>
      <c r="B103" s="1" t="n">
        <v>44977</v>
      </c>
      <c r="C103" s="1" t="n">
        <v>45994</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19786-2023</t>
        </is>
      </c>
      <c r="B104" s="1" t="n">
        <v>45050</v>
      </c>
      <c r="C104" s="1" t="n">
        <v>45994</v>
      </c>
      <c r="D104" t="inlineStr">
        <is>
          <t>VÄSTMANLANDS LÄN</t>
        </is>
      </c>
      <c r="E104" t="inlineStr">
        <is>
          <t>SURAHAMMAR</t>
        </is>
      </c>
      <c r="F104" t="inlineStr">
        <is>
          <t>Bergvik skog väst AB</t>
        </is>
      </c>
      <c r="G104" t="n">
        <v>8.1</v>
      </c>
      <c r="H104" t="n">
        <v>0</v>
      </c>
      <c r="I104" t="n">
        <v>0</v>
      </c>
      <c r="J104" t="n">
        <v>0</v>
      </c>
      <c r="K104" t="n">
        <v>0</v>
      </c>
      <c r="L104" t="n">
        <v>0</v>
      </c>
      <c r="M104" t="n">
        <v>0</v>
      </c>
      <c r="N104" t="n">
        <v>0</v>
      </c>
      <c r="O104" t="n">
        <v>0</v>
      </c>
      <c r="P104" t="n">
        <v>0</v>
      </c>
      <c r="Q104" t="n">
        <v>0</v>
      </c>
      <c r="R104" s="2" t="inlineStr"/>
    </row>
    <row r="105" ht="15" customHeight="1">
      <c r="A105" t="inlineStr">
        <is>
          <t>A 5567-2022</t>
        </is>
      </c>
      <c r="B105" s="1" t="n">
        <v>44595</v>
      </c>
      <c r="C105" s="1" t="n">
        <v>45994</v>
      </c>
      <c r="D105" t="inlineStr">
        <is>
          <t>VÄSTMANLANDS LÄN</t>
        </is>
      </c>
      <c r="E105" t="inlineStr">
        <is>
          <t>SURAHAMMAR</t>
        </is>
      </c>
      <c r="G105" t="n">
        <v>1.3</v>
      </c>
      <c r="H105" t="n">
        <v>0</v>
      </c>
      <c r="I105" t="n">
        <v>0</v>
      </c>
      <c r="J105" t="n">
        <v>0</v>
      </c>
      <c r="K105" t="n">
        <v>0</v>
      </c>
      <c r="L105" t="n">
        <v>0</v>
      </c>
      <c r="M105" t="n">
        <v>0</v>
      </c>
      <c r="N105" t="n">
        <v>0</v>
      </c>
      <c r="O105" t="n">
        <v>0</v>
      </c>
      <c r="P105" t="n">
        <v>0</v>
      </c>
      <c r="Q105" t="n">
        <v>0</v>
      </c>
      <c r="R105" s="2" t="inlineStr"/>
    </row>
    <row r="106" ht="15" customHeight="1">
      <c r="A106" t="inlineStr">
        <is>
          <t>A 42832-2022</t>
        </is>
      </c>
      <c r="B106" s="1" t="n">
        <v>44832</v>
      </c>
      <c r="C106" s="1" t="n">
        <v>45994</v>
      </c>
      <c r="D106" t="inlineStr">
        <is>
          <t>VÄSTMANLANDS LÄN</t>
        </is>
      </c>
      <c r="E106" t="inlineStr">
        <is>
          <t>SURAHAMMAR</t>
        </is>
      </c>
      <c r="G106" t="n">
        <v>1.1</v>
      </c>
      <c r="H106" t="n">
        <v>0</v>
      </c>
      <c r="I106" t="n">
        <v>0</v>
      </c>
      <c r="J106" t="n">
        <v>0</v>
      </c>
      <c r="K106" t="n">
        <v>0</v>
      </c>
      <c r="L106" t="n">
        <v>0</v>
      </c>
      <c r="M106" t="n">
        <v>0</v>
      </c>
      <c r="N106" t="n">
        <v>0</v>
      </c>
      <c r="O106" t="n">
        <v>0</v>
      </c>
      <c r="P106" t="n">
        <v>0</v>
      </c>
      <c r="Q106" t="n">
        <v>0</v>
      </c>
      <c r="R106" s="2" t="inlineStr"/>
    </row>
    <row r="107" ht="15" customHeight="1">
      <c r="A107" t="inlineStr">
        <is>
          <t>A 24665-2023</t>
        </is>
      </c>
      <c r="B107" s="1" t="n">
        <v>45084.48592592592</v>
      </c>
      <c r="C107" s="1" t="n">
        <v>45994</v>
      </c>
      <c r="D107" t="inlineStr">
        <is>
          <t>VÄSTMANLANDS LÄN</t>
        </is>
      </c>
      <c r="E107" t="inlineStr">
        <is>
          <t>SURAHAMMAR</t>
        </is>
      </c>
      <c r="G107" t="n">
        <v>0.9</v>
      </c>
      <c r="H107" t="n">
        <v>0</v>
      </c>
      <c r="I107" t="n">
        <v>0</v>
      </c>
      <c r="J107" t="n">
        <v>0</v>
      </c>
      <c r="K107" t="n">
        <v>0</v>
      </c>
      <c r="L107" t="n">
        <v>0</v>
      </c>
      <c r="M107" t="n">
        <v>0</v>
      </c>
      <c r="N107" t="n">
        <v>0</v>
      </c>
      <c r="O107" t="n">
        <v>0</v>
      </c>
      <c r="P107" t="n">
        <v>0</v>
      </c>
      <c r="Q107" t="n">
        <v>0</v>
      </c>
      <c r="R107" s="2" t="inlineStr"/>
    </row>
    <row r="108" ht="15" customHeight="1">
      <c r="A108" t="inlineStr">
        <is>
          <t>A 32808-2024</t>
        </is>
      </c>
      <c r="B108" s="1" t="n">
        <v>45516</v>
      </c>
      <c r="C108" s="1" t="n">
        <v>45994</v>
      </c>
      <c r="D108" t="inlineStr">
        <is>
          <t>VÄSTMANLANDS LÄN</t>
        </is>
      </c>
      <c r="E108" t="inlineStr">
        <is>
          <t>SURAHAMMAR</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45994</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42841-2022</t>
        </is>
      </c>
      <c r="B110" s="1" t="n">
        <v>44832</v>
      </c>
      <c r="C110" s="1" t="n">
        <v>45994</v>
      </c>
      <c r="D110" t="inlineStr">
        <is>
          <t>VÄSTMANLANDS LÄN</t>
        </is>
      </c>
      <c r="E110" t="inlineStr">
        <is>
          <t>SURAHAMMAR</t>
        </is>
      </c>
      <c r="G110" t="n">
        <v>1.8</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45994</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42829-2022</t>
        </is>
      </c>
      <c r="B112" s="1" t="n">
        <v>44832</v>
      </c>
      <c r="C112" s="1" t="n">
        <v>45994</v>
      </c>
      <c r="D112" t="inlineStr">
        <is>
          <t>VÄSTMANLANDS LÄN</t>
        </is>
      </c>
      <c r="E112" t="inlineStr">
        <is>
          <t>SURAHAMMAR</t>
        </is>
      </c>
      <c r="G112" t="n">
        <v>1.6</v>
      </c>
      <c r="H112" t="n">
        <v>0</v>
      </c>
      <c r="I112" t="n">
        <v>0</v>
      </c>
      <c r="J112" t="n">
        <v>0</v>
      </c>
      <c r="K112" t="n">
        <v>0</v>
      </c>
      <c r="L112" t="n">
        <v>0</v>
      </c>
      <c r="M112" t="n">
        <v>0</v>
      </c>
      <c r="N112" t="n">
        <v>0</v>
      </c>
      <c r="O112" t="n">
        <v>0</v>
      </c>
      <c r="P112" t="n">
        <v>0</v>
      </c>
      <c r="Q112" t="n">
        <v>0</v>
      </c>
      <c r="R112" s="2" t="inlineStr"/>
    </row>
    <row r="113" ht="15" customHeight="1">
      <c r="A113" t="inlineStr">
        <is>
          <t>A 7787-2024</t>
        </is>
      </c>
      <c r="B113" s="1" t="n">
        <v>45348</v>
      </c>
      <c r="C113" s="1" t="n">
        <v>45994</v>
      </c>
      <c r="D113" t="inlineStr">
        <is>
          <t>VÄSTMANLANDS LÄN</t>
        </is>
      </c>
      <c r="E113" t="inlineStr">
        <is>
          <t>SURAHAMMAR</t>
        </is>
      </c>
      <c r="G113" t="n">
        <v>1</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45994</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19099-2022</t>
        </is>
      </c>
      <c r="B115" s="1" t="n">
        <v>44691</v>
      </c>
      <c r="C115" s="1" t="n">
        <v>45994</v>
      </c>
      <c r="D115" t="inlineStr">
        <is>
          <t>VÄSTMANLANDS LÄN</t>
        </is>
      </c>
      <c r="E115" t="inlineStr">
        <is>
          <t>SURAHAMMAR</t>
        </is>
      </c>
      <c r="F115" t="inlineStr">
        <is>
          <t>Övriga Aktiebolag</t>
        </is>
      </c>
      <c r="G115" t="n">
        <v>3.4</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45994</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2867-2024</t>
        </is>
      </c>
      <c r="B117" s="1" t="n">
        <v>45315</v>
      </c>
      <c r="C117" s="1" t="n">
        <v>45994</v>
      </c>
      <c r="D117" t="inlineStr">
        <is>
          <t>VÄSTMANLANDS LÄN</t>
        </is>
      </c>
      <c r="E117" t="inlineStr">
        <is>
          <t>SURAHAMMAR</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3085-2023</t>
        </is>
      </c>
      <c r="B118" s="1" t="n">
        <v>44946</v>
      </c>
      <c r="C118" s="1" t="n">
        <v>45994</v>
      </c>
      <c r="D118" t="inlineStr">
        <is>
          <t>VÄSTMANLANDS LÄN</t>
        </is>
      </c>
      <c r="E118" t="inlineStr">
        <is>
          <t>SURAHAMMAR</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3818-2022</t>
        </is>
      </c>
      <c r="B119" s="1" t="n">
        <v>44587</v>
      </c>
      <c r="C119" s="1" t="n">
        <v>45994</v>
      </c>
      <c r="D119" t="inlineStr">
        <is>
          <t>VÄSTMANLANDS LÄN</t>
        </is>
      </c>
      <c r="E119" t="inlineStr">
        <is>
          <t>SURAHAMMAR</t>
        </is>
      </c>
      <c r="G119" t="n">
        <v>2.6</v>
      </c>
      <c r="H119" t="n">
        <v>0</v>
      </c>
      <c r="I119" t="n">
        <v>0</v>
      </c>
      <c r="J119" t="n">
        <v>0</v>
      </c>
      <c r="K119" t="n">
        <v>0</v>
      </c>
      <c r="L119" t="n">
        <v>0</v>
      </c>
      <c r="M119" t="n">
        <v>0</v>
      </c>
      <c r="N119" t="n">
        <v>0</v>
      </c>
      <c r="O119" t="n">
        <v>0</v>
      </c>
      <c r="P119" t="n">
        <v>0</v>
      </c>
      <c r="Q119" t="n">
        <v>0</v>
      </c>
      <c r="R119" s="2" t="inlineStr"/>
    </row>
    <row r="120" ht="15" customHeight="1">
      <c r="A120" t="inlineStr">
        <is>
          <t>A 37287-2023</t>
        </is>
      </c>
      <c r="B120" s="1" t="n">
        <v>45156</v>
      </c>
      <c r="C120" s="1" t="n">
        <v>45994</v>
      </c>
      <c r="D120" t="inlineStr">
        <is>
          <t>VÄSTMANLANDS LÄN</t>
        </is>
      </c>
      <c r="E120" t="inlineStr">
        <is>
          <t>SURAHAMMAR</t>
        </is>
      </c>
      <c r="G120" t="n">
        <v>0.6</v>
      </c>
      <c r="H120" t="n">
        <v>0</v>
      </c>
      <c r="I120" t="n">
        <v>0</v>
      </c>
      <c r="J120" t="n">
        <v>0</v>
      </c>
      <c r="K120" t="n">
        <v>0</v>
      </c>
      <c r="L120" t="n">
        <v>0</v>
      </c>
      <c r="M120" t="n">
        <v>0</v>
      </c>
      <c r="N120" t="n">
        <v>0</v>
      </c>
      <c r="O120" t="n">
        <v>0</v>
      </c>
      <c r="P120" t="n">
        <v>0</v>
      </c>
      <c r="Q120" t="n">
        <v>0</v>
      </c>
      <c r="R120" s="2" t="inlineStr"/>
    </row>
    <row r="121" ht="15" customHeight="1">
      <c r="A121" t="inlineStr">
        <is>
          <t>A 49058-2024</t>
        </is>
      </c>
      <c r="B121" s="1" t="n">
        <v>45594</v>
      </c>
      <c r="C121" s="1" t="n">
        <v>45994</v>
      </c>
      <c r="D121" t="inlineStr">
        <is>
          <t>VÄSTMANLANDS LÄN</t>
        </is>
      </c>
      <c r="E121" t="inlineStr">
        <is>
          <t>SURAHAMMAR</t>
        </is>
      </c>
      <c r="F121" t="inlineStr">
        <is>
          <t>Sveaskog</t>
        </is>
      </c>
      <c r="G121" t="n">
        <v>11.4</v>
      </c>
      <c r="H121" t="n">
        <v>0</v>
      </c>
      <c r="I121" t="n">
        <v>0</v>
      </c>
      <c r="J121" t="n">
        <v>0</v>
      </c>
      <c r="K121" t="n">
        <v>0</v>
      </c>
      <c r="L121" t="n">
        <v>0</v>
      </c>
      <c r="M121" t="n">
        <v>0</v>
      </c>
      <c r="N121" t="n">
        <v>0</v>
      </c>
      <c r="O121" t="n">
        <v>0</v>
      </c>
      <c r="P121" t="n">
        <v>0</v>
      </c>
      <c r="Q121" t="n">
        <v>0</v>
      </c>
      <c r="R121" s="2" t="inlineStr"/>
    </row>
    <row r="122" ht="15" customHeight="1">
      <c r="A122" t="inlineStr">
        <is>
          <t>A 49060-2024</t>
        </is>
      </c>
      <c r="B122" s="1" t="n">
        <v>45594</v>
      </c>
      <c r="C122" s="1" t="n">
        <v>45994</v>
      </c>
      <c r="D122" t="inlineStr">
        <is>
          <t>VÄSTMANLANDS LÄN</t>
        </is>
      </c>
      <c r="E122" t="inlineStr">
        <is>
          <t>SURAHAMMAR</t>
        </is>
      </c>
      <c r="F122" t="inlineStr">
        <is>
          <t>Sveaskog</t>
        </is>
      </c>
      <c r="G122" t="n">
        <v>4.4</v>
      </c>
      <c r="H122" t="n">
        <v>0</v>
      </c>
      <c r="I122" t="n">
        <v>0</v>
      </c>
      <c r="J122" t="n">
        <v>0</v>
      </c>
      <c r="K122" t="n">
        <v>0</v>
      </c>
      <c r="L122" t="n">
        <v>0</v>
      </c>
      <c r="M122" t="n">
        <v>0</v>
      </c>
      <c r="N122" t="n">
        <v>0</v>
      </c>
      <c r="O122" t="n">
        <v>0</v>
      </c>
      <c r="P122" t="n">
        <v>0</v>
      </c>
      <c r="Q122" t="n">
        <v>0</v>
      </c>
      <c r="R122" s="2" t="inlineStr"/>
    </row>
    <row r="123" ht="15" customHeight="1">
      <c r="A123" t="inlineStr">
        <is>
          <t>A 41576-2022</t>
        </is>
      </c>
      <c r="B123" s="1" t="n">
        <v>44826</v>
      </c>
      <c r="C123" s="1" t="n">
        <v>45994</v>
      </c>
      <c r="D123" t="inlineStr">
        <is>
          <t>VÄSTMANLANDS LÄN</t>
        </is>
      </c>
      <c r="E123" t="inlineStr">
        <is>
          <t>SURAHAMMAR</t>
        </is>
      </c>
      <c r="F123" t="inlineStr">
        <is>
          <t>Bergvik skog väst AB</t>
        </is>
      </c>
      <c r="G123" t="n">
        <v>6.4</v>
      </c>
      <c r="H123" t="n">
        <v>0</v>
      </c>
      <c r="I123" t="n">
        <v>0</v>
      </c>
      <c r="J123" t="n">
        <v>0</v>
      </c>
      <c r="K123" t="n">
        <v>0</v>
      </c>
      <c r="L123" t="n">
        <v>0</v>
      </c>
      <c r="M123" t="n">
        <v>0</v>
      </c>
      <c r="N123" t="n">
        <v>0</v>
      </c>
      <c r="O123" t="n">
        <v>0</v>
      </c>
      <c r="P123" t="n">
        <v>0</v>
      </c>
      <c r="Q123" t="n">
        <v>0</v>
      </c>
      <c r="R123" s="2" t="inlineStr"/>
    </row>
    <row r="124" ht="15" customHeight="1">
      <c r="A124" t="inlineStr">
        <is>
          <t>A 34955-2022</t>
        </is>
      </c>
      <c r="B124" s="1" t="n">
        <v>44796</v>
      </c>
      <c r="C124" s="1" t="n">
        <v>45994</v>
      </c>
      <c r="D124" t="inlineStr">
        <is>
          <t>VÄSTMANLANDS LÄN</t>
        </is>
      </c>
      <c r="E124" t="inlineStr">
        <is>
          <t>SURAHAMMAR</t>
        </is>
      </c>
      <c r="F124" t="inlineStr">
        <is>
          <t>Sveaskog</t>
        </is>
      </c>
      <c r="G124" t="n">
        <v>4.6</v>
      </c>
      <c r="H124" t="n">
        <v>0</v>
      </c>
      <c r="I124" t="n">
        <v>0</v>
      </c>
      <c r="J124" t="n">
        <v>0</v>
      </c>
      <c r="K124" t="n">
        <v>0</v>
      </c>
      <c r="L124" t="n">
        <v>0</v>
      </c>
      <c r="M124" t="n">
        <v>0</v>
      </c>
      <c r="N124" t="n">
        <v>0</v>
      </c>
      <c r="O124" t="n">
        <v>0</v>
      </c>
      <c r="P124" t="n">
        <v>0</v>
      </c>
      <c r="Q124" t="n">
        <v>0</v>
      </c>
      <c r="R124" s="2" t="inlineStr"/>
    </row>
    <row r="125" ht="15" customHeight="1">
      <c r="A125" t="inlineStr">
        <is>
          <t>A 72367-2021</t>
        </is>
      </c>
      <c r="B125" s="1" t="n">
        <v>44545</v>
      </c>
      <c r="C125" s="1" t="n">
        <v>45994</v>
      </c>
      <c r="D125" t="inlineStr">
        <is>
          <t>VÄSTMANLANDS LÄN</t>
        </is>
      </c>
      <c r="E125" t="inlineStr">
        <is>
          <t>SURAHAMMAR</t>
        </is>
      </c>
      <c r="G125" t="n">
        <v>2.5</v>
      </c>
      <c r="H125" t="n">
        <v>0</v>
      </c>
      <c r="I125" t="n">
        <v>0</v>
      </c>
      <c r="J125" t="n">
        <v>0</v>
      </c>
      <c r="K125" t="n">
        <v>0</v>
      </c>
      <c r="L125" t="n">
        <v>0</v>
      </c>
      <c r="M125" t="n">
        <v>0</v>
      </c>
      <c r="N125" t="n">
        <v>0</v>
      </c>
      <c r="O125" t="n">
        <v>0</v>
      </c>
      <c r="P125" t="n">
        <v>0</v>
      </c>
      <c r="Q125" t="n">
        <v>0</v>
      </c>
      <c r="R125" s="2" t="inlineStr"/>
    </row>
    <row r="126" ht="15" customHeight="1">
      <c r="A126" t="inlineStr">
        <is>
          <t>A 20904-2023</t>
        </is>
      </c>
      <c r="B126" s="1" t="n">
        <v>45060</v>
      </c>
      <c r="C126" s="1" t="n">
        <v>45994</v>
      </c>
      <c r="D126" t="inlineStr">
        <is>
          <t>VÄSTMANLANDS LÄN</t>
        </is>
      </c>
      <c r="E126" t="inlineStr">
        <is>
          <t>SURAHAMMAR</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33931-2022</t>
        </is>
      </c>
      <c r="B127" s="1" t="n">
        <v>44790.65153935185</v>
      </c>
      <c r="C127" s="1" t="n">
        <v>45994</v>
      </c>
      <c r="D127" t="inlineStr">
        <is>
          <t>VÄSTMANLANDS LÄN</t>
        </is>
      </c>
      <c r="E127" t="inlineStr">
        <is>
          <t>SURAHAMMAR</t>
        </is>
      </c>
      <c r="G127" t="n">
        <v>2.2</v>
      </c>
      <c r="H127" t="n">
        <v>0</v>
      </c>
      <c r="I127" t="n">
        <v>0</v>
      </c>
      <c r="J127" t="n">
        <v>0</v>
      </c>
      <c r="K127" t="n">
        <v>0</v>
      </c>
      <c r="L127" t="n">
        <v>0</v>
      </c>
      <c r="M127" t="n">
        <v>0</v>
      </c>
      <c r="N127" t="n">
        <v>0</v>
      </c>
      <c r="O127" t="n">
        <v>0</v>
      </c>
      <c r="P127" t="n">
        <v>0</v>
      </c>
      <c r="Q127" t="n">
        <v>0</v>
      </c>
      <c r="R127" s="2" t="inlineStr"/>
    </row>
    <row r="128" ht="15" customHeight="1">
      <c r="A128" t="inlineStr">
        <is>
          <t>A 10883-2023</t>
        </is>
      </c>
      <c r="B128" s="1" t="n">
        <v>44991</v>
      </c>
      <c r="C128" s="1" t="n">
        <v>45994</v>
      </c>
      <c r="D128" t="inlineStr">
        <is>
          <t>VÄSTMANLANDS LÄN</t>
        </is>
      </c>
      <c r="E128" t="inlineStr">
        <is>
          <t>SURAHAMMAR</t>
        </is>
      </c>
      <c r="F128" t="inlineStr">
        <is>
          <t>Övriga Aktiebolag</t>
        </is>
      </c>
      <c r="G128" t="n">
        <v>12.5</v>
      </c>
      <c r="H128" t="n">
        <v>0</v>
      </c>
      <c r="I128" t="n">
        <v>0</v>
      </c>
      <c r="J128" t="n">
        <v>0</v>
      </c>
      <c r="K128" t="n">
        <v>0</v>
      </c>
      <c r="L128" t="n">
        <v>0</v>
      </c>
      <c r="M128" t="n">
        <v>0</v>
      </c>
      <c r="N128" t="n">
        <v>0</v>
      </c>
      <c r="O128" t="n">
        <v>0</v>
      </c>
      <c r="P128" t="n">
        <v>0</v>
      </c>
      <c r="Q128" t="n">
        <v>0</v>
      </c>
      <c r="R128" s="2" t="inlineStr"/>
    </row>
    <row r="129" ht="15" customHeight="1">
      <c r="A129" t="inlineStr">
        <is>
          <t>A 2660-2024</t>
        </is>
      </c>
      <c r="B129" s="1" t="n">
        <v>45310</v>
      </c>
      <c r="C129" s="1" t="n">
        <v>45994</v>
      </c>
      <c r="D129" t="inlineStr">
        <is>
          <t>VÄSTMANLANDS LÄN</t>
        </is>
      </c>
      <c r="E129" t="inlineStr">
        <is>
          <t>SURAHAMMAR</t>
        </is>
      </c>
      <c r="G129" t="n">
        <v>2.1</v>
      </c>
      <c r="H129" t="n">
        <v>0</v>
      </c>
      <c r="I129" t="n">
        <v>0</v>
      </c>
      <c r="J129" t="n">
        <v>0</v>
      </c>
      <c r="K129" t="n">
        <v>0</v>
      </c>
      <c r="L129" t="n">
        <v>0</v>
      </c>
      <c r="M129" t="n">
        <v>0</v>
      </c>
      <c r="N129" t="n">
        <v>0</v>
      </c>
      <c r="O129" t="n">
        <v>0</v>
      </c>
      <c r="P129" t="n">
        <v>0</v>
      </c>
      <c r="Q129" t="n">
        <v>0</v>
      </c>
      <c r="R129" s="2" t="inlineStr"/>
    </row>
    <row r="130" ht="15" customHeight="1">
      <c r="A130" t="inlineStr">
        <is>
          <t>A 15739-2023</t>
        </is>
      </c>
      <c r="B130" s="1" t="n">
        <v>45021</v>
      </c>
      <c r="C130" s="1" t="n">
        <v>45994</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44405.42373842592</v>
      </c>
      <c r="C131" s="1" t="n">
        <v>45994</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21509-2024</t>
        </is>
      </c>
      <c r="B132" s="1" t="n">
        <v>45441</v>
      </c>
      <c r="C132" s="1" t="n">
        <v>45994</v>
      </c>
      <c r="D132" t="inlineStr">
        <is>
          <t>VÄSTMANLANDS LÄN</t>
        </is>
      </c>
      <c r="E132" t="inlineStr">
        <is>
          <t>SURAHAMMAR</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22662-2023</t>
        </is>
      </c>
      <c r="B133" s="1" t="n">
        <v>45071</v>
      </c>
      <c r="C133" s="1" t="n">
        <v>45994</v>
      </c>
      <c r="D133" t="inlineStr">
        <is>
          <t>VÄSTMANLANDS LÄN</t>
        </is>
      </c>
      <c r="E133" t="inlineStr">
        <is>
          <t>SURAHAMMAR</t>
        </is>
      </c>
      <c r="F133" t="inlineStr">
        <is>
          <t>Sveaskog</t>
        </is>
      </c>
      <c r="G133" t="n">
        <v>0.6</v>
      </c>
      <c r="H133" t="n">
        <v>0</v>
      </c>
      <c r="I133" t="n">
        <v>0</v>
      </c>
      <c r="J133" t="n">
        <v>0</v>
      </c>
      <c r="K133" t="n">
        <v>0</v>
      </c>
      <c r="L133" t="n">
        <v>0</v>
      </c>
      <c r="M133" t="n">
        <v>0</v>
      </c>
      <c r="N133" t="n">
        <v>0</v>
      </c>
      <c r="O133" t="n">
        <v>0</v>
      </c>
      <c r="P133" t="n">
        <v>0</v>
      </c>
      <c r="Q133" t="n">
        <v>0</v>
      </c>
      <c r="R133" s="2" t="inlineStr"/>
    </row>
    <row r="134" ht="15" customHeight="1">
      <c r="A134" t="inlineStr">
        <is>
          <t>A 16013-2023</t>
        </is>
      </c>
      <c r="B134" s="1" t="n">
        <v>45026</v>
      </c>
      <c r="C134" s="1" t="n">
        <v>45994</v>
      </c>
      <c r="D134" t="inlineStr">
        <is>
          <t>VÄSTMANLANDS LÄN</t>
        </is>
      </c>
      <c r="E134" t="inlineStr">
        <is>
          <t>SURAHAMMAR</t>
        </is>
      </c>
      <c r="G134" t="n">
        <v>3.9</v>
      </c>
      <c r="H134" t="n">
        <v>0</v>
      </c>
      <c r="I134" t="n">
        <v>0</v>
      </c>
      <c r="J134" t="n">
        <v>0</v>
      </c>
      <c r="K134" t="n">
        <v>0</v>
      </c>
      <c r="L134" t="n">
        <v>0</v>
      </c>
      <c r="M134" t="n">
        <v>0</v>
      </c>
      <c r="N134" t="n">
        <v>0</v>
      </c>
      <c r="O134" t="n">
        <v>0</v>
      </c>
      <c r="P134" t="n">
        <v>0</v>
      </c>
      <c r="Q134" t="n">
        <v>0</v>
      </c>
      <c r="R134" s="2" t="inlineStr"/>
    </row>
    <row r="135" ht="15" customHeight="1">
      <c r="A135" t="inlineStr">
        <is>
          <t>A 34582-2025</t>
        </is>
      </c>
      <c r="B135" s="1" t="n">
        <v>45846</v>
      </c>
      <c r="C135" s="1" t="n">
        <v>45994</v>
      </c>
      <c r="D135" t="inlineStr">
        <is>
          <t>VÄSTMANLANDS LÄN</t>
        </is>
      </c>
      <c r="E135" t="inlineStr">
        <is>
          <t>SURAHAMMAR</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41555-2022</t>
        </is>
      </c>
      <c r="B136" s="1" t="n">
        <v>44826</v>
      </c>
      <c r="C136" s="1" t="n">
        <v>45994</v>
      </c>
      <c r="D136" t="inlineStr">
        <is>
          <t>VÄSTMANLANDS LÄN</t>
        </is>
      </c>
      <c r="E136" t="inlineStr">
        <is>
          <t>SURAHAMMAR</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14626-2023</t>
        </is>
      </c>
      <c r="B137" s="1" t="n">
        <v>45012</v>
      </c>
      <c r="C137" s="1" t="n">
        <v>45994</v>
      </c>
      <c r="D137" t="inlineStr">
        <is>
          <t>VÄSTMANLANDS LÄN</t>
        </is>
      </c>
      <c r="E137" t="inlineStr">
        <is>
          <t>SURAHAMMAR</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42088-2025</t>
        </is>
      </c>
      <c r="B138" s="1" t="n">
        <v>45902</v>
      </c>
      <c r="C138" s="1" t="n">
        <v>45994</v>
      </c>
      <c r="D138" t="inlineStr">
        <is>
          <t>VÄSTMANLANDS LÄN</t>
        </is>
      </c>
      <c r="E138" t="inlineStr">
        <is>
          <t>SURAHAMMAR</t>
        </is>
      </c>
      <c r="G138" t="n">
        <v>1</v>
      </c>
      <c r="H138" t="n">
        <v>0</v>
      </c>
      <c r="I138" t="n">
        <v>0</v>
      </c>
      <c r="J138" t="n">
        <v>0</v>
      </c>
      <c r="K138" t="n">
        <v>0</v>
      </c>
      <c r="L138" t="n">
        <v>0</v>
      </c>
      <c r="M138" t="n">
        <v>0</v>
      </c>
      <c r="N138" t="n">
        <v>0</v>
      </c>
      <c r="O138" t="n">
        <v>0</v>
      </c>
      <c r="P138" t="n">
        <v>0</v>
      </c>
      <c r="Q138" t="n">
        <v>0</v>
      </c>
      <c r="R138" s="2" t="inlineStr"/>
    </row>
    <row r="139" ht="15" customHeight="1">
      <c r="A139" t="inlineStr">
        <is>
          <t>A 25780-2023</t>
        </is>
      </c>
      <c r="B139" s="1" t="n">
        <v>45090.47523148148</v>
      </c>
      <c r="C139" s="1" t="n">
        <v>45994</v>
      </c>
      <c r="D139" t="inlineStr">
        <is>
          <t>VÄSTMANLANDS LÄN</t>
        </is>
      </c>
      <c r="E139" t="inlineStr">
        <is>
          <t>SURAHAMMAR</t>
        </is>
      </c>
      <c r="G139" t="n">
        <v>2.8</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45994</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31107-2025</t>
        </is>
      </c>
      <c r="B141" s="1" t="n">
        <v>45831</v>
      </c>
      <c r="C141" s="1" t="n">
        <v>45994</v>
      </c>
      <c r="D141" t="inlineStr">
        <is>
          <t>VÄSTMANLANDS LÄN</t>
        </is>
      </c>
      <c r="E141" t="inlineStr">
        <is>
          <t>SURAHAMMAR</t>
        </is>
      </c>
      <c r="F141" t="inlineStr">
        <is>
          <t>Kommuner</t>
        </is>
      </c>
      <c r="G141" t="n">
        <v>1.7</v>
      </c>
      <c r="H141" t="n">
        <v>0</v>
      </c>
      <c r="I141" t="n">
        <v>0</v>
      </c>
      <c r="J141" t="n">
        <v>0</v>
      </c>
      <c r="K141" t="n">
        <v>0</v>
      </c>
      <c r="L141" t="n">
        <v>0</v>
      </c>
      <c r="M141" t="n">
        <v>0</v>
      </c>
      <c r="N141" t="n">
        <v>0</v>
      </c>
      <c r="O141" t="n">
        <v>0</v>
      </c>
      <c r="P141" t="n">
        <v>0</v>
      </c>
      <c r="Q141" t="n">
        <v>0</v>
      </c>
      <c r="R141" s="2" t="inlineStr"/>
    </row>
    <row r="142" ht="15" customHeight="1">
      <c r="A142" t="inlineStr">
        <is>
          <t>A 13386-2025</t>
        </is>
      </c>
      <c r="B142" s="1" t="n">
        <v>45735</v>
      </c>
      <c r="C142" s="1" t="n">
        <v>45994</v>
      </c>
      <c r="D142" t="inlineStr">
        <is>
          <t>VÄSTMANLANDS LÄN</t>
        </is>
      </c>
      <c r="E142" t="inlineStr">
        <is>
          <t>SURAHAMMAR</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43249-2025</t>
        </is>
      </c>
      <c r="B143" s="1" t="n">
        <v>45910.55059027778</v>
      </c>
      <c r="C143" s="1" t="n">
        <v>45994</v>
      </c>
      <c r="D143" t="inlineStr">
        <is>
          <t>VÄSTMANLANDS LÄN</t>
        </is>
      </c>
      <c r="E143" t="inlineStr">
        <is>
          <t>SURAHAMMAR</t>
        </is>
      </c>
      <c r="G143" t="n">
        <v>1.9</v>
      </c>
      <c r="H143" t="n">
        <v>0</v>
      </c>
      <c r="I143" t="n">
        <v>0</v>
      </c>
      <c r="J143" t="n">
        <v>0</v>
      </c>
      <c r="K143" t="n">
        <v>0</v>
      </c>
      <c r="L143" t="n">
        <v>0</v>
      </c>
      <c r="M143" t="n">
        <v>0</v>
      </c>
      <c r="N143" t="n">
        <v>0</v>
      </c>
      <c r="O143" t="n">
        <v>0</v>
      </c>
      <c r="P143" t="n">
        <v>0</v>
      </c>
      <c r="Q143" t="n">
        <v>0</v>
      </c>
      <c r="R143" s="2" t="inlineStr"/>
    </row>
    <row r="144" ht="15" customHeight="1">
      <c r="A144" t="inlineStr">
        <is>
          <t>A 43255-2025</t>
        </is>
      </c>
      <c r="B144" s="1" t="n">
        <v>45910.55325231481</v>
      </c>
      <c r="C144" s="1" t="n">
        <v>45994</v>
      </c>
      <c r="D144" t="inlineStr">
        <is>
          <t>VÄSTMANLANDS LÄN</t>
        </is>
      </c>
      <c r="E144" t="inlineStr">
        <is>
          <t>SURAHAMMAR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55871-2025</t>
        </is>
      </c>
      <c r="B145" s="1" t="n">
        <v>45973.35452546296</v>
      </c>
      <c r="C145" s="1" t="n">
        <v>45994</v>
      </c>
      <c r="D145" t="inlineStr">
        <is>
          <t>VÄSTMANLANDS LÄN</t>
        </is>
      </c>
      <c r="E145" t="inlineStr">
        <is>
          <t>SURAHAMMAR</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34584-2025</t>
        </is>
      </c>
      <c r="B146" s="1" t="n">
        <v>45846</v>
      </c>
      <c r="C146" s="1" t="n">
        <v>45994</v>
      </c>
      <c r="D146" t="inlineStr">
        <is>
          <t>VÄSTMANLANDS LÄN</t>
        </is>
      </c>
      <c r="E146" t="inlineStr">
        <is>
          <t>SURAHAMMAR</t>
        </is>
      </c>
      <c r="F146" t="inlineStr">
        <is>
          <t>Bergvik skog väst AB</t>
        </is>
      </c>
      <c r="G146" t="n">
        <v>2.7</v>
      </c>
      <c r="H146" t="n">
        <v>0</v>
      </c>
      <c r="I146" t="n">
        <v>0</v>
      </c>
      <c r="J146" t="n">
        <v>0</v>
      </c>
      <c r="K146" t="n">
        <v>0</v>
      </c>
      <c r="L146" t="n">
        <v>0</v>
      </c>
      <c r="M146" t="n">
        <v>0</v>
      </c>
      <c r="N146" t="n">
        <v>0</v>
      </c>
      <c r="O146" t="n">
        <v>0</v>
      </c>
      <c r="P146" t="n">
        <v>0</v>
      </c>
      <c r="Q146" t="n">
        <v>0</v>
      </c>
      <c r="R146" s="2" t="inlineStr"/>
    </row>
    <row r="147" ht="15" customHeight="1">
      <c r="A147" t="inlineStr">
        <is>
          <t>A 55868-2025</t>
        </is>
      </c>
      <c r="B147" s="1" t="n">
        <v>45973.35263888889</v>
      </c>
      <c r="C147" s="1" t="n">
        <v>45994</v>
      </c>
      <c r="D147" t="inlineStr">
        <is>
          <t>VÄSTMANLANDS LÄN</t>
        </is>
      </c>
      <c r="E147" t="inlineStr">
        <is>
          <t>SURAHAMMAR</t>
        </is>
      </c>
      <c r="F147" t="inlineStr">
        <is>
          <t>Sveaskog</t>
        </is>
      </c>
      <c r="G147" t="n">
        <v>2.8</v>
      </c>
      <c r="H147" t="n">
        <v>0</v>
      </c>
      <c r="I147" t="n">
        <v>0</v>
      </c>
      <c r="J147" t="n">
        <v>0</v>
      </c>
      <c r="K147" t="n">
        <v>0</v>
      </c>
      <c r="L147" t="n">
        <v>0</v>
      </c>
      <c r="M147" t="n">
        <v>0</v>
      </c>
      <c r="N147" t="n">
        <v>0</v>
      </c>
      <c r="O147" t="n">
        <v>0</v>
      </c>
      <c r="P147" t="n">
        <v>0</v>
      </c>
      <c r="Q147" t="n">
        <v>0</v>
      </c>
      <c r="R147" s="2" t="inlineStr"/>
    </row>
    <row r="148" ht="15" customHeight="1">
      <c r="A148" t="inlineStr">
        <is>
          <t>A 55873-2025</t>
        </is>
      </c>
      <c r="B148" s="1" t="n">
        <v>45973.35608796297</v>
      </c>
      <c r="C148" s="1" t="n">
        <v>45994</v>
      </c>
      <c r="D148" t="inlineStr">
        <is>
          <t>VÄSTMANLANDS LÄN</t>
        </is>
      </c>
      <c r="E148" t="inlineStr">
        <is>
          <t>SURAHAMMAR</t>
        </is>
      </c>
      <c r="F148" t="inlineStr">
        <is>
          <t>Sveaskog</t>
        </is>
      </c>
      <c r="G148" t="n">
        <v>0.5</v>
      </c>
      <c r="H148" t="n">
        <v>0</v>
      </c>
      <c r="I148" t="n">
        <v>0</v>
      </c>
      <c r="J148" t="n">
        <v>0</v>
      </c>
      <c r="K148" t="n">
        <v>0</v>
      </c>
      <c r="L148" t="n">
        <v>0</v>
      </c>
      <c r="M148" t="n">
        <v>0</v>
      </c>
      <c r="N148" t="n">
        <v>0</v>
      </c>
      <c r="O148" t="n">
        <v>0</v>
      </c>
      <c r="P148" t="n">
        <v>0</v>
      </c>
      <c r="Q148" t="n">
        <v>0</v>
      </c>
      <c r="R148" s="2" t="inlineStr"/>
    </row>
    <row r="149" ht="15" customHeight="1">
      <c r="A149" t="inlineStr">
        <is>
          <t>A 55874-2025</t>
        </is>
      </c>
      <c r="B149" s="1" t="n">
        <v>45973.3569212963</v>
      </c>
      <c r="C149" s="1" t="n">
        <v>45994</v>
      </c>
      <c r="D149" t="inlineStr">
        <is>
          <t>VÄSTMANLANDS LÄN</t>
        </is>
      </c>
      <c r="E149" t="inlineStr">
        <is>
          <t>SURAHAMMAR</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32916-2025</t>
        </is>
      </c>
      <c r="B150" s="1" t="n">
        <v>45839</v>
      </c>
      <c r="C150" s="1" t="n">
        <v>45994</v>
      </c>
      <c r="D150" t="inlineStr">
        <is>
          <t>VÄSTMANLANDS LÄN</t>
        </is>
      </c>
      <c r="E150" t="inlineStr">
        <is>
          <t>SURAHAMMAR</t>
        </is>
      </c>
      <c r="F150" t="inlineStr">
        <is>
          <t>Kommuner</t>
        </is>
      </c>
      <c r="G150" t="n">
        <v>4.9</v>
      </c>
      <c r="H150" t="n">
        <v>0</v>
      </c>
      <c r="I150" t="n">
        <v>0</v>
      </c>
      <c r="J150" t="n">
        <v>0</v>
      </c>
      <c r="K150" t="n">
        <v>0</v>
      </c>
      <c r="L150" t="n">
        <v>0</v>
      </c>
      <c r="M150" t="n">
        <v>0</v>
      </c>
      <c r="N150" t="n">
        <v>0</v>
      </c>
      <c r="O150" t="n">
        <v>0</v>
      </c>
      <c r="P150" t="n">
        <v>0</v>
      </c>
      <c r="Q150" t="n">
        <v>0</v>
      </c>
      <c r="R150" s="2" t="inlineStr"/>
    </row>
    <row r="151" ht="15" customHeight="1">
      <c r="A151" t="inlineStr">
        <is>
          <t>A 32910-2025</t>
        </is>
      </c>
      <c r="B151" s="1" t="n">
        <v>45839</v>
      </c>
      <c r="C151" s="1" t="n">
        <v>45994</v>
      </c>
      <c r="D151" t="inlineStr">
        <is>
          <t>VÄSTMANLANDS LÄN</t>
        </is>
      </c>
      <c r="E151" t="inlineStr">
        <is>
          <t>SURAHAMMAR</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56543-2025</t>
        </is>
      </c>
      <c r="B152" s="1" t="n">
        <v>45975</v>
      </c>
      <c r="C152" s="1" t="n">
        <v>45994</v>
      </c>
      <c r="D152" t="inlineStr">
        <is>
          <t>VÄSTMANLANDS LÄN</t>
        </is>
      </c>
      <c r="E152" t="inlineStr">
        <is>
          <t>SURAHAMMAR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37013-2025</t>
        </is>
      </c>
      <c r="B153" s="1" t="n">
        <v>45874</v>
      </c>
      <c r="C153" s="1" t="n">
        <v>45994</v>
      </c>
      <c r="D153" t="inlineStr">
        <is>
          <t>VÄSTMANLANDS LÄN</t>
        </is>
      </c>
      <c r="E153" t="inlineStr">
        <is>
          <t>SURAHAMMAR</t>
        </is>
      </c>
      <c r="F153" t="inlineStr">
        <is>
          <t>Bergvik skog väst AB</t>
        </is>
      </c>
      <c r="G153" t="n">
        <v>10.7</v>
      </c>
      <c r="H153" t="n">
        <v>0</v>
      </c>
      <c r="I153" t="n">
        <v>0</v>
      </c>
      <c r="J153" t="n">
        <v>0</v>
      </c>
      <c r="K153" t="n">
        <v>0</v>
      </c>
      <c r="L153" t="n">
        <v>0</v>
      </c>
      <c r="M153" t="n">
        <v>0</v>
      </c>
      <c r="N153" t="n">
        <v>0</v>
      </c>
      <c r="O153" t="n">
        <v>0</v>
      </c>
      <c r="P153" t="n">
        <v>0</v>
      </c>
      <c r="Q153" t="n">
        <v>0</v>
      </c>
      <c r="R153" s="2" t="inlineStr"/>
    </row>
    <row r="154" ht="15" customHeight="1">
      <c r="A154" t="inlineStr">
        <is>
          <t>A 37954-2025</t>
        </is>
      </c>
      <c r="B154" s="1" t="n">
        <v>45881</v>
      </c>
      <c r="C154" s="1" t="n">
        <v>45994</v>
      </c>
      <c r="D154" t="inlineStr">
        <is>
          <t>VÄSTMANLANDS LÄN</t>
        </is>
      </c>
      <c r="E154" t="inlineStr">
        <is>
          <t>SURAHAMMAR</t>
        </is>
      </c>
      <c r="G154" t="n">
        <v>9.5</v>
      </c>
      <c r="H154" t="n">
        <v>0</v>
      </c>
      <c r="I154" t="n">
        <v>0</v>
      </c>
      <c r="J154" t="n">
        <v>0</v>
      </c>
      <c r="K154" t="n">
        <v>0</v>
      </c>
      <c r="L154" t="n">
        <v>0</v>
      </c>
      <c r="M154" t="n">
        <v>0</v>
      </c>
      <c r="N154" t="n">
        <v>0</v>
      </c>
      <c r="O154" t="n">
        <v>0</v>
      </c>
      <c r="P154" t="n">
        <v>0</v>
      </c>
      <c r="Q154" t="n">
        <v>0</v>
      </c>
      <c r="R154" s="2" t="inlineStr"/>
    </row>
    <row r="155" ht="15" customHeight="1">
      <c r="A155" t="inlineStr">
        <is>
          <t>A 59399-2025</t>
        </is>
      </c>
      <c r="B155" s="1" t="n">
        <v>45989</v>
      </c>
      <c r="C155" s="1" t="n">
        <v>45994</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c r="A156" t="inlineStr">
        <is>
          <t>A 56541-2025</t>
        </is>
      </c>
      <c r="B156" s="1" t="n">
        <v>45975</v>
      </c>
      <c r="C156" s="1" t="n">
        <v>45994</v>
      </c>
      <c r="D156" t="inlineStr">
        <is>
          <t>VÄSTMANLANDS LÄN</t>
        </is>
      </c>
      <c r="E156" t="inlineStr">
        <is>
          <t>SURAHAMMAR</t>
        </is>
      </c>
      <c r="F156" t="inlineStr">
        <is>
          <t>Sveaskog</t>
        </is>
      </c>
      <c r="G156" t="n">
        <v>7.6</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2025-12-03T10:24:29Z</dcterms:created>
  <dcterms:modified xmlns:dcterms="http://purl.org/dc/terms/" xmlns:xsi="http://www.w3.org/2001/XMLSchema-instance" xsi:type="dcterms:W3CDTF">2025-12-03T10:24:29Z</dcterms:modified>
</cp:coreProperties>
</file>