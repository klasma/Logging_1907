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46003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46003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46003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46003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46003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46003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46003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46003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46003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46003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46003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46003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46003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46003</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46003</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46003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46003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46003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46003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46003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46003</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46003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46003</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46003</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46003</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46003</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46003</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46003</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46003</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46003</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42708-2022</t>
        </is>
      </c>
      <c r="B33" s="1" t="n">
        <v>44832</v>
      </c>
      <c r="C33" s="1" t="n">
        <v>46003</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46003</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39694-2025</t>
        </is>
      </c>
      <c r="B35" s="1" t="n">
        <v>45890</v>
      </c>
      <c r="C35" s="1" t="n">
        <v>46003</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42853-2022</t>
        </is>
      </c>
      <c r="B36" s="1" t="n">
        <v>44832</v>
      </c>
      <c r="C36" s="1" t="n">
        <v>46003</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8552-2022</t>
        </is>
      </c>
      <c r="B37" s="1" t="n">
        <v>44613</v>
      </c>
      <c r="C37" s="1" t="n">
        <v>46003</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29707-2025</t>
        </is>
      </c>
      <c r="B38" s="1" t="n">
        <v>45825.56100694444</v>
      </c>
      <c r="C38" s="1" t="n">
        <v>46003</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37801-2021</t>
        </is>
      </c>
      <c r="B39" s="1" t="n">
        <v>44402</v>
      </c>
      <c r="C39" s="1" t="n">
        <v>46003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4082-2025</t>
        </is>
      </c>
      <c r="B40" s="1" t="n">
        <v>45684</v>
      </c>
      <c r="C40" s="1" t="n">
        <v>46003</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62097-2024</t>
        </is>
      </c>
      <c r="B41" s="1" t="n">
        <v>45646</v>
      </c>
      <c r="C41" s="1" t="n">
        <v>46003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46003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21618-2025</t>
        </is>
      </c>
      <c r="B43" s="1" t="n">
        <v>45783</v>
      </c>
      <c r="C43" s="1" t="n">
        <v>46003</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40403-2025</t>
        </is>
      </c>
      <c r="B44" s="1" t="n">
        <v>45895</v>
      </c>
      <c r="C44" s="1" t="n">
        <v>46003</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37800-2021</t>
        </is>
      </c>
      <c r="B45" s="1" t="n">
        <v>44402</v>
      </c>
      <c r="C45" s="1" t="n">
        <v>46003</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38170-2021</t>
        </is>
      </c>
      <c r="B46" s="1" t="n">
        <v>44405.43472222222</v>
      </c>
      <c r="C46" s="1" t="n">
        <v>46003</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67611-2021</t>
        </is>
      </c>
      <c r="B47" s="1" t="n">
        <v>44524</v>
      </c>
      <c r="C47" s="1" t="n">
        <v>46003</v>
      </c>
      <c r="D47" t="inlineStr">
        <is>
          <t>VÄSTMANLANDS LÄN</t>
        </is>
      </c>
      <c r="E47" t="inlineStr">
        <is>
          <t>SURAHAMMAR</t>
        </is>
      </c>
      <c r="F47" t="inlineStr">
        <is>
          <t>Kommuner</t>
        </is>
      </c>
      <c r="G47" t="n">
        <v>3.8</v>
      </c>
      <c r="H47" t="n">
        <v>0</v>
      </c>
      <c r="I47" t="n">
        <v>0</v>
      </c>
      <c r="J47" t="n">
        <v>1</v>
      </c>
      <c r="K47" t="n">
        <v>0</v>
      </c>
      <c r="L47" t="n">
        <v>0</v>
      </c>
      <c r="M47" t="n">
        <v>0</v>
      </c>
      <c r="N47" t="n">
        <v>0</v>
      </c>
      <c r="O47" t="n">
        <v>1</v>
      </c>
      <c r="P47" t="n">
        <v>0</v>
      </c>
      <c r="Q47" t="n">
        <v>1</v>
      </c>
      <c r="R47" s="2" t="inlineStr">
        <is>
          <t>Brödmärgsticka</t>
        </is>
      </c>
      <c r="S47">
        <f>HYPERLINK("https://klasma.github.io/Logging_1907/artfynd/A 67611-2021 artfynd.xlsx", "A 67611-2021")</f>
        <v/>
      </c>
      <c r="T47">
        <f>HYPERLINK("https://klasma.github.io/Logging_1907/kartor/A 67611-2021 karta.png", "A 67611-2021")</f>
        <v/>
      </c>
      <c r="V47">
        <f>HYPERLINK("https://klasma.github.io/Logging_1907/klagomål/A 67611-2021 FSC-klagomål.docx", "A 67611-2021")</f>
        <v/>
      </c>
      <c r="W47">
        <f>HYPERLINK("https://klasma.github.io/Logging_1907/klagomålsmail/A 67611-2021 FSC-klagomål mail.docx", "A 67611-2021")</f>
        <v/>
      </c>
      <c r="X47">
        <f>HYPERLINK("https://klasma.github.io/Logging_1907/tillsyn/A 67611-2021 tillsynsbegäran.docx", "A 67611-2021")</f>
        <v/>
      </c>
      <c r="Y47">
        <f>HYPERLINK("https://klasma.github.io/Logging_1907/tillsynsmail/A 67611-2021 tillsynsbegäran mail.docx", "A 67611-2021")</f>
        <v/>
      </c>
    </row>
    <row r="48" ht="15" customHeight="1">
      <c r="A48" t="inlineStr">
        <is>
          <t>A 18717-2021</t>
        </is>
      </c>
      <c r="B48" s="1" t="n">
        <v>44306</v>
      </c>
      <c r="C48" s="1" t="n">
        <v>46003</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46003</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13971-2023</t>
        </is>
      </c>
      <c r="B50" s="1" t="n">
        <v>45007</v>
      </c>
      <c r="C50" s="1" t="n">
        <v>46003</v>
      </c>
      <c r="D50" t="inlineStr">
        <is>
          <t>VÄSTMANLANDS LÄN</t>
        </is>
      </c>
      <c r="E50" t="inlineStr">
        <is>
          <t>SURAHAMMAR</t>
        </is>
      </c>
      <c r="F50" t="inlineStr">
        <is>
          <t>Bergvik skog väst AB</t>
        </is>
      </c>
      <c r="G50" t="n">
        <v>2.9</v>
      </c>
      <c r="H50" t="n">
        <v>1</v>
      </c>
      <c r="I50" t="n">
        <v>0</v>
      </c>
      <c r="J50" t="n">
        <v>0</v>
      </c>
      <c r="K50" t="n">
        <v>0</v>
      </c>
      <c r="L50" t="n">
        <v>0</v>
      </c>
      <c r="M50" t="n">
        <v>0</v>
      </c>
      <c r="N50" t="n">
        <v>0</v>
      </c>
      <c r="O50" t="n">
        <v>0</v>
      </c>
      <c r="P50" t="n">
        <v>0</v>
      </c>
      <c r="Q50" t="n">
        <v>1</v>
      </c>
      <c r="R50" s="2" t="inlineStr">
        <is>
          <t>Fläcknycklar</t>
        </is>
      </c>
      <c r="S50">
        <f>HYPERLINK("https://klasma.github.io/Logging_1907/artfynd/A 13971-2023 artfynd.xlsx", "A 13971-2023")</f>
        <v/>
      </c>
      <c r="T50">
        <f>HYPERLINK("https://klasma.github.io/Logging_1907/kartor/A 13971-2023 karta.png", "A 13971-2023")</f>
        <v/>
      </c>
      <c r="V50">
        <f>HYPERLINK("https://klasma.github.io/Logging_1907/klagomål/A 13971-2023 FSC-klagomål.docx", "A 13971-2023")</f>
        <v/>
      </c>
      <c r="W50">
        <f>HYPERLINK("https://klasma.github.io/Logging_1907/klagomålsmail/A 13971-2023 FSC-klagomål mail.docx", "A 13971-2023")</f>
        <v/>
      </c>
      <c r="X50">
        <f>HYPERLINK("https://klasma.github.io/Logging_1907/tillsyn/A 13971-2023 tillsynsbegäran.docx", "A 13971-2023")</f>
        <v/>
      </c>
      <c r="Y50">
        <f>HYPERLINK("https://klasma.github.io/Logging_1907/tillsynsmail/A 13971-2023 tillsynsbegäran mail.docx", "A 13971-2023")</f>
        <v/>
      </c>
    </row>
    <row r="51" ht="15" customHeight="1">
      <c r="A51" t="inlineStr">
        <is>
          <t>A 47453-2024</t>
        </is>
      </c>
      <c r="B51" s="1" t="n">
        <v>45587.55017361111</v>
      </c>
      <c r="C51" s="1" t="n">
        <v>46003</v>
      </c>
      <c r="D51" t="inlineStr">
        <is>
          <t>VÄSTMANLANDS LÄN</t>
        </is>
      </c>
      <c r="E51" t="inlineStr">
        <is>
          <t>SURAHAMMAR</t>
        </is>
      </c>
      <c r="G51" t="n">
        <v>5.1</v>
      </c>
      <c r="H51" t="n">
        <v>1</v>
      </c>
      <c r="I51" t="n">
        <v>0</v>
      </c>
      <c r="J51" t="n">
        <v>0</v>
      </c>
      <c r="K51" t="n">
        <v>0</v>
      </c>
      <c r="L51" t="n">
        <v>0</v>
      </c>
      <c r="M51" t="n">
        <v>0</v>
      </c>
      <c r="N51" t="n">
        <v>0</v>
      </c>
      <c r="O51" t="n">
        <v>0</v>
      </c>
      <c r="P51" t="n">
        <v>0</v>
      </c>
      <c r="Q51" t="n">
        <v>1</v>
      </c>
      <c r="R51" s="2" t="inlineStr">
        <is>
          <t>Göktyta</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42765-2022</t>
        </is>
      </c>
      <c r="B52" s="1" t="n">
        <v>44832</v>
      </c>
      <c r="C52" s="1" t="n">
        <v>46003</v>
      </c>
      <c r="D52" t="inlineStr">
        <is>
          <t>VÄSTMANLANDS LÄN</t>
        </is>
      </c>
      <c r="E52" t="inlineStr">
        <is>
          <t>SURAHAMMAR</t>
        </is>
      </c>
      <c r="G52" t="n">
        <v>1.8</v>
      </c>
      <c r="H52" t="n">
        <v>1</v>
      </c>
      <c r="I52" t="n">
        <v>0</v>
      </c>
      <c r="J52" t="n">
        <v>0</v>
      </c>
      <c r="K52" t="n">
        <v>0</v>
      </c>
      <c r="L52" t="n">
        <v>0</v>
      </c>
      <c r="M52" t="n">
        <v>0</v>
      </c>
      <c r="N52" t="n">
        <v>0</v>
      </c>
      <c r="O52" t="n">
        <v>0</v>
      </c>
      <c r="P52" t="n">
        <v>0</v>
      </c>
      <c r="Q52" t="n">
        <v>1</v>
      </c>
      <c r="R52" s="2" t="inlineStr">
        <is>
          <t>Blåsippa</t>
        </is>
      </c>
      <c r="S52">
        <f>HYPERLINK("https://klasma.github.io/Logging_1907/artfynd/A 42765-2022 artfynd.xlsx", "A 42765-2022")</f>
        <v/>
      </c>
      <c r="T52">
        <f>HYPERLINK("https://klasma.github.io/Logging_1907/kartor/A 42765-2022 karta.png", "A 42765-2022")</f>
        <v/>
      </c>
      <c r="V52">
        <f>HYPERLINK("https://klasma.github.io/Logging_1907/klagomål/A 42765-2022 FSC-klagomål.docx", "A 42765-2022")</f>
        <v/>
      </c>
      <c r="W52">
        <f>HYPERLINK("https://klasma.github.io/Logging_1907/klagomålsmail/A 42765-2022 FSC-klagomål mail.docx", "A 42765-2022")</f>
        <v/>
      </c>
      <c r="X52">
        <f>HYPERLINK("https://klasma.github.io/Logging_1907/tillsyn/A 42765-2022 tillsynsbegäran.docx", "A 42765-2022")</f>
        <v/>
      </c>
      <c r="Y52">
        <f>HYPERLINK("https://klasma.github.io/Logging_1907/tillsynsmail/A 42765-2022 tillsynsbegäran mail.docx", "A 42765-2022")</f>
        <v/>
      </c>
    </row>
    <row r="53" ht="15" customHeight="1">
      <c r="A53" t="inlineStr">
        <is>
          <t>A 44356-2024</t>
        </is>
      </c>
      <c r="B53" s="1" t="n">
        <v>45573</v>
      </c>
      <c r="C53" s="1" t="n">
        <v>46003</v>
      </c>
      <c r="D53" t="inlineStr">
        <is>
          <t>VÄSTMANLANDS LÄN</t>
        </is>
      </c>
      <c r="E53" t="inlineStr">
        <is>
          <t>SURAHAMMAR</t>
        </is>
      </c>
      <c r="F53" t="inlineStr">
        <is>
          <t>Sveaskog</t>
        </is>
      </c>
      <c r="G53" t="n">
        <v>0.7</v>
      </c>
      <c r="H53" t="n">
        <v>1</v>
      </c>
      <c r="I53" t="n">
        <v>0</v>
      </c>
      <c r="J53" t="n">
        <v>0</v>
      </c>
      <c r="K53" t="n">
        <v>0</v>
      </c>
      <c r="L53" t="n">
        <v>0</v>
      </c>
      <c r="M53" t="n">
        <v>0</v>
      </c>
      <c r="N53" t="n">
        <v>0</v>
      </c>
      <c r="O53" t="n">
        <v>0</v>
      </c>
      <c r="P53" t="n">
        <v>0</v>
      </c>
      <c r="Q53" t="n">
        <v>1</v>
      </c>
      <c r="R53" s="2" t="inlineStr">
        <is>
          <t>Revlummer</t>
        </is>
      </c>
      <c r="S53">
        <f>HYPERLINK("https://klasma.github.io/Logging_1907/artfynd/A 44356-2024 artfynd.xlsx", "A 44356-2024")</f>
        <v/>
      </c>
      <c r="T53">
        <f>HYPERLINK("https://klasma.github.io/Logging_1907/kartor/A 44356-2024 karta.png", "A 44356-2024")</f>
        <v/>
      </c>
      <c r="V53">
        <f>HYPERLINK("https://klasma.github.io/Logging_1907/klagomål/A 44356-2024 FSC-klagomål.docx", "A 44356-2024")</f>
        <v/>
      </c>
      <c r="W53">
        <f>HYPERLINK("https://klasma.github.io/Logging_1907/klagomålsmail/A 44356-2024 FSC-klagomål mail.docx", "A 44356-2024")</f>
        <v/>
      </c>
      <c r="X53">
        <f>HYPERLINK("https://klasma.github.io/Logging_1907/tillsyn/A 44356-2024 tillsynsbegäran.docx", "A 44356-2024")</f>
        <v/>
      </c>
      <c r="Y53">
        <f>HYPERLINK("https://klasma.github.io/Logging_1907/tillsynsmail/A 44356-2024 tillsynsbegäran mail.docx", "A 44356-2024")</f>
        <v/>
      </c>
    </row>
    <row r="54" ht="15" customHeight="1">
      <c r="A54" t="inlineStr">
        <is>
          <t>A 56362-2023</t>
        </is>
      </c>
      <c r="B54" s="1" t="n">
        <v>45236</v>
      </c>
      <c r="C54" s="1" t="n">
        <v>46003</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10819-2024</t>
        </is>
      </c>
      <c r="B55" s="1" t="n">
        <v>45369.66049768519</v>
      </c>
      <c r="C55" s="1" t="n">
        <v>46003</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39099-2022</t>
        </is>
      </c>
      <c r="B56" s="1" t="n">
        <v>44817</v>
      </c>
      <c r="C56" s="1" t="n">
        <v>46003</v>
      </c>
      <c r="D56" t="inlineStr">
        <is>
          <t>VÄSTMANLANDS LÄN</t>
        </is>
      </c>
      <c r="E56" t="inlineStr">
        <is>
          <t>SURAHAMMAR</t>
        </is>
      </c>
      <c r="F56" t="inlineStr">
        <is>
          <t>Bergvik skog väst AB</t>
        </is>
      </c>
      <c r="G56" t="n">
        <v>7.4</v>
      </c>
      <c r="H56" t="n">
        <v>0</v>
      </c>
      <c r="I56" t="n">
        <v>1</v>
      </c>
      <c r="J56" t="n">
        <v>0</v>
      </c>
      <c r="K56" t="n">
        <v>0</v>
      </c>
      <c r="L56" t="n">
        <v>0</v>
      </c>
      <c r="M56" t="n">
        <v>0</v>
      </c>
      <c r="N56" t="n">
        <v>0</v>
      </c>
      <c r="O56" t="n">
        <v>0</v>
      </c>
      <c r="P56" t="n">
        <v>0</v>
      </c>
      <c r="Q56" t="n">
        <v>1</v>
      </c>
      <c r="R56" s="2" t="inlineStr">
        <is>
          <t>Stekelbock</t>
        </is>
      </c>
      <c r="S56">
        <f>HYPERLINK("https://klasma.github.io/Logging_1907/artfynd/A 39099-2022 artfynd.xlsx", "A 39099-2022")</f>
        <v/>
      </c>
      <c r="T56">
        <f>HYPERLINK("https://klasma.github.io/Logging_1907/kartor/A 39099-2022 karta.png", "A 39099-2022")</f>
        <v/>
      </c>
      <c r="V56">
        <f>HYPERLINK("https://klasma.github.io/Logging_1907/klagomål/A 39099-2022 FSC-klagomål.docx", "A 39099-2022")</f>
        <v/>
      </c>
      <c r="W56">
        <f>HYPERLINK("https://klasma.github.io/Logging_1907/klagomålsmail/A 39099-2022 FSC-klagomål mail.docx", "A 39099-2022")</f>
        <v/>
      </c>
      <c r="X56">
        <f>HYPERLINK("https://klasma.github.io/Logging_1907/tillsyn/A 39099-2022 tillsynsbegäran.docx", "A 39099-2022")</f>
        <v/>
      </c>
      <c r="Y56">
        <f>HYPERLINK("https://klasma.github.io/Logging_1907/tillsynsmail/A 39099-2022 tillsynsbegäran mail.docx", "A 39099-2022")</f>
        <v/>
      </c>
    </row>
    <row r="57" ht="15" customHeight="1">
      <c r="A57" t="inlineStr">
        <is>
          <t>A 43451-2024</t>
        </is>
      </c>
      <c r="B57" s="1" t="n">
        <v>45568</v>
      </c>
      <c r="C57" s="1" t="n">
        <v>46003</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69777-2021</t>
        </is>
      </c>
      <c r="B58" s="1" t="n">
        <v>44532</v>
      </c>
      <c r="C58" s="1" t="n">
        <v>46003</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46003</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17632-2022</t>
        </is>
      </c>
      <c r="B60" s="1" t="n">
        <v>44680</v>
      </c>
      <c r="C60" s="1" t="n">
        <v>46003</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40411-2021</t>
        </is>
      </c>
      <c r="B61" s="1" t="n">
        <v>44419</v>
      </c>
      <c r="C61" s="1" t="n">
        <v>46003</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46003</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46003</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31176-2024</t>
        </is>
      </c>
      <c r="B64" s="1" t="n">
        <v>45503</v>
      </c>
      <c r="C64" s="1" t="n">
        <v>46003</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22840-2023</t>
        </is>
      </c>
      <c r="B65" s="1" t="n">
        <v>45072</v>
      </c>
      <c r="C65" s="1" t="n">
        <v>46003</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25583-2024</t>
        </is>
      </c>
      <c r="B66" s="1" t="n">
        <v>45463</v>
      </c>
      <c r="C66" s="1" t="n">
        <v>46003</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42089-2025</t>
        </is>
      </c>
      <c r="B67" s="1" t="n">
        <v>45902</v>
      </c>
      <c r="C67" s="1" t="n">
        <v>46003</v>
      </c>
      <c r="D67" t="inlineStr">
        <is>
          <t>VÄSTMANLANDS LÄN</t>
        </is>
      </c>
      <c r="E67" t="inlineStr">
        <is>
          <t>SURAHAMMAR</t>
        </is>
      </c>
      <c r="G67" t="n">
        <v>2.2</v>
      </c>
      <c r="H67" t="n">
        <v>0</v>
      </c>
      <c r="I67" t="n">
        <v>0</v>
      </c>
      <c r="J67" t="n">
        <v>1</v>
      </c>
      <c r="K67" t="n">
        <v>0</v>
      </c>
      <c r="L67" t="n">
        <v>0</v>
      </c>
      <c r="M67" t="n">
        <v>0</v>
      </c>
      <c r="N67" t="n">
        <v>0</v>
      </c>
      <c r="O67" t="n">
        <v>1</v>
      </c>
      <c r="P67" t="n">
        <v>0</v>
      </c>
      <c r="Q67" t="n">
        <v>1</v>
      </c>
      <c r="R67" s="2" t="inlineStr">
        <is>
          <t>Motaggsvamp</t>
        </is>
      </c>
      <c r="S67">
        <f>HYPERLINK("https://klasma.github.io/Logging_1907/artfynd/A 42089-2025 artfynd.xlsx", "A 42089-2025")</f>
        <v/>
      </c>
      <c r="T67">
        <f>HYPERLINK("https://klasma.github.io/Logging_1907/kartor/A 42089-2025 karta.png", "A 42089-2025")</f>
        <v/>
      </c>
      <c r="V67">
        <f>HYPERLINK("https://klasma.github.io/Logging_1907/klagomål/A 42089-2025 FSC-klagomål.docx", "A 42089-2025")</f>
        <v/>
      </c>
      <c r="W67">
        <f>HYPERLINK("https://klasma.github.io/Logging_1907/klagomålsmail/A 42089-2025 FSC-klagomål mail.docx", "A 42089-2025")</f>
        <v/>
      </c>
      <c r="X67">
        <f>HYPERLINK("https://klasma.github.io/Logging_1907/tillsyn/A 42089-2025 tillsynsbegäran.docx", "A 42089-2025")</f>
        <v/>
      </c>
      <c r="Y67">
        <f>HYPERLINK("https://klasma.github.io/Logging_1907/tillsynsmail/A 42089-2025 tillsynsbegäran mail.docx", "A 42089-2025")</f>
        <v/>
      </c>
    </row>
    <row r="68" ht="15" customHeight="1">
      <c r="A68" t="inlineStr">
        <is>
          <t>A 55042-2025</t>
        </is>
      </c>
      <c r="B68" s="1" t="n">
        <v>45967.65858796296</v>
      </c>
      <c r="C68" s="1" t="n">
        <v>46003</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13788-2025</t>
        </is>
      </c>
      <c r="B69" s="1" t="n">
        <v>45737.45327546296</v>
      </c>
      <c r="C69" s="1" t="n">
        <v>46003</v>
      </c>
      <c r="D69" t="inlineStr">
        <is>
          <t>VÄSTMANLANDS LÄN</t>
        </is>
      </c>
      <c r="E69" t="inlineStr">
        <is>
          <t>SURAHAMMAR</t>
        </is>
      </c>
      <c r="G69" t="n">
        <v>9.699999999999999</v>
      </c>
      <c r="H69" t="n">
        <v>1</v>
      </c>
      <c r="I69" t="n">
        <v>0</v>
      </c>
      <c r="J69" t="n">
        <v>0</v>
      </c>
      <c r="K69" t="n">
        <v>0</v>
      </c>
      <c r="L69" t="n">
        <v>0</v>
      </c>
      <c r="M69" t="n">
        <v>0</v>
      </c>
      <c r="N69" t="n">
        <v>0</v>
      </c>
      <c r="O69" t="n">
        <v>0</v>
      </c>
      <c r="P69" t="n">
        <v>0</v>
      </c>
      <c r="Q69" t="n">
        <v>1</v>
      </c>
      <c r="R69" s="2" t="inlineStr">
        <is>
          <t>Sparvuggla</t>
        </is>
      </c>
      <c r="S69">
        <f>HYPERLINK("https://klasma.github.io/Logging_1907/artfynd/A 13788-2025 artfynd.xlsx", "A 13788-2025")</f>
        <v/>
      </c>
      <c r="T69">
        <f>HYPERLINK("https://klasma.github.io/Logging_1907/kartor/A 13788-2025 karta.png", "A 13788-2025")</f>
        <v/>
      </c>
      <c r="V69">
        <f>HYPERLINK("https://klasma.github.io/Logging_1907/klagomål/A 13788-2025 FSC-klagomål.docx", "A 13788-2025")</f>
        <v/>
      </c>
      <c r="W69">
        <f>HYPERLINK("https://klasma.github.io/Logging_1907/klagomålsmail/A 13788-2025 FSC-klagomål mail.docx", "A 13788-2025")</f>
        <v/>
      </c>
      <c r="X69">
        <f>HYPERLINK("https://klasma.github.io/Logging_1907/tillsyn/A 13788-2025 tillsynsbegäran.docx", "A 13788-2025")</f>
        <v/>
      </c>
      <c r="Y69">
        <f>HYPERLINK("https://klasma.github.io/Logging_1907/tillsynsmail/A 13788-2025 tillsynsbegäran mail.docx", "A 13788-2025")</f>
        <v/>
      </c>
      <c r="Z69">
        <f>HYPERLINK("https://klasma.github.io/Logging_1907/fåglar/A 13788-2025 prioriterade fågelarter.docx", "A 13788-2025")</f>
        <v/>
      </c>
    </row>
    <row r="70" ht="15" customHeight="1">
      <c r="A70" t="inlineStr">
        <is>
          <t>A 56768-2025</t>
        </is>
      </c>
      <c r="B70" s="1" t="n">
        <v>45978</v>
      </c>
      <c r="C70" s="1" t="n">
        <v>46003</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1492-2021</t>
        </is>
      </c>
      <c r="B71" s="1" t="n">
        <v>44209</v>
      </c>
      <c r="C71" s="1" t="n">
        <v>46003</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46003</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46003</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46003</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46003</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46003</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66350-2021</t>
        </is>
      </c>
      <c r="B77" s="1" t="n">
        <v>44518</v>
      </c>
      <c r="C77" s="1" t="n">
        <v>46003</v>
      </c>
      <c r="D77" t="inlineStr">
        <is>
          <t>VÄSTMANLANDS LÄN</t>
        </is>
      </c>
      <c r="E77" t="inlineStr">
        <is>
          <t>SURAHAMMAR</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46003</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46003</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46003</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46003</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46003</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46003</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46003</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46003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34957-2022</t>
        </is>
      </c>
      <c r="B86" s="1" t="n">
        <v>44796.64672453704</v>
      </c>
      <c r="C86" s="1" t="n">
        <v>46003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46003</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3595-2022</t>
        </is>
      </c>
      <c r="B88" s="1" t="n">
        <v>44586</v>
      </c>
      <c r="C88" s="1" t="n">
        <v>46003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13119-2022</t>
        </is>
      </c>
      <c r="B89" s="1" t="n">
        <v>44643</v>
      </c>
      <c r="C89" s="1" t="n">
        <v>46003</v>
      </c>
      <c r="D89" t="inlineStr">
        <is>
          <t>VÄSTMANLANDS LÄN</t>
        </is>
      </c>
      <c r="E89" t="inlineStr">
        <is>
          <t>SURAHAMMAR</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19782-2023</t>
        </is>
      </c>
      <c r="B90" s="1" t="n">
        <v>45050</v>
      </c>
      <c r="C90" s="1" t="n">
        <v>46003</v>
      </c>
      <c r="D90" t="inlineStr">
        <is>
          <t>VÄSTMANLANDS LÄN</t>
        </is>
      </c>
      <c r="E90" t="inlineStr">
        <is>
          <t>SURAHAMMAR</t>
        </is>
      </c>
      <c r="F90" t="inlineStr">
        <is>
          <t>Bergvik skog väst AB</t>
        </is>
      </c>
      <c r="G90" t="n">
        <v>5.2</v>
      </c>
      <c r="H90" t="n">
        <v>0</v>
      </c>
      <c r="I90" t="n">
        <v>0</v>
      </c>
      <c r="J90" t="n">
        <v>0</v>
      </c>
      <c r="K90" t="n">
        <v>0</v>
      </c>
      <c r="L90" t="n">
        <v>0</v>
      </c>
      <c r="M90" t="n">
        <v>0</v>
      </c>
      <c r="N90" t="n">
        <v>0</v>
      </c>
      <c r="O90" t="n">
        <v>0</v>
      </c>
      <c r="P90" t="n">
        <v>0</v>
      </c>
      <c r="Q90" t="n">
        <v>0</v>
      </c>
      <c r="R90" s="2" t="inlineStr"/>
    </row>
    <row r="91" ht="15" customHeight="1">
      <c r="A91" t="inlineStr">
        <is>
          <t>A 14626-2023</t>
        </is>
      </c>
      <c r="B91" s="1" t="n">
        <v>45012</v>
      </c>
      <c r="C91" s="1" t="n">
        <v>46003</v>
      </c>
      <c r="D91" t="inlineStr">
        <is>
          <t>VÄSTMANLANDS LÄN</t>
        </is>
      </c>
      <c r="E91" t="inlineStr">
        <is>
          <t>SURAHAMMAR</t>
        </is>
      </c>
      <c r="F91" t="inlineStr">
        <is>
          <t>Bergvik skog väst AB</t>
        </is>
      </c>
      <c r="G91" t="n">
        <v>5</v>
      </c>
      <c r="H91" t="n">
        <v>0</v>
      </c>
      <c r="I91" t="n">
        <v>0</v>
      </c>
      <c r="J91" t="n">
        <v>0</v>
      </c>
      <c r="K91" t="n">
        <v>0</v>
      </c>
      <c r="L91" t="n">
        <v>0</v>
      </c>
      <c r="M91" t="n">
        <v>0</v>
      </c>
      <c r="N91" t="n">
        <v>0</v>
      </c>
      <c r="O91" t="n">
        <v>0</v>
      </c>
      <c r="P91" t="n">
        <v>0</v>
      </c>
      <c r="Q91" t="n">
        <v>0</v>
      </c>
      <c r="R91" s="2" t="inlineStr"/>
    </row>
    <row r="92" ht="15" customHeight="1">
      <c r="A92" t="inlineStr">
        <is>
          <t>A 42714-2022</t>
        </is>
      </c>
      <c r="B92" s="1" t="n">
        <v>44832</v>
      </c>
      <c r="C92" s="1" t="n">
        <v>46003</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37287-2023</t>
        </is>
      </c>
      <c r="B93" s="1" t="n">
        <v>45156</v>
      </c>
      <c r="C93" s="1" t="n">
        <v>46003</v>
      </c>
      <c r="D93" t="inlineStr">
        <is>
          <t>VÄSTMANLANDS LÄN</t>
        </is>
      </c>
      <c r="E93" t="inlineStr">
        <is>
          <t>SURAHAMMAR</t>
        </is>
      </c>
      <c r="G93" t="n">
        <v>0.6</v>
      </c>
      <c r="H93" t="n">
        <v>0</v>
      </c>
      <c r="I93" t="n">
        <v>0</v>
      </c>
      <c r="J93" t="n">
        <v>0</v>
      </c>
      <c r="K93" t="n">
        <v>0</v>
      </c>
      <c r="L93" t="n">
        <v>0</v>
      </c>
      <c r="M93" t="n">
        <v>0</v>
      </c>
      <c r="N93" t="n">
        <v>0</v>
      </c>
      <c r="O93" t="n">
        <v>0</v>
      </c>
      <c r="P93" t="n">
        <v>0</v>
      </c>
      <c r="Q93" t="n">
        <v>0</v>
      </c>
      <c r="R93" s="2" t="inlineStr"/>
    </row>
    <row r="94" ht="15" customHeight="1">
      <c r="A94" t="inlineStr">
        <is>
          <t>A 3155-2022</t>
        </is>
      </c>
      <c r="B94" s="1" t="n">
        <v>44582</v>
      </c>
      <c r="C94" s="1" t="n">
        <v>46003</v>
      </c>
      <c r="D94" t="inlineStr">
        <is>
          <t>VÄSTMANLANDS LÄN</t>
        </is>
      </c>
      <c r="E94" t="inlineStr">
        <is>
          <t>SURAHAMMAR</t>
        </is>
      </c>
      <c r="G94" t="n">
        <v>5.5</v>
      </c>
      <c r="H94" t="n">
        <v>0</v>
      </c>
      <c r="I94" t="n">
        <v>0</v>
      </c>
      <c r="J94" t="n">
        <v>0</v>
      </c>
      <c r="K94" t="n">
        <v>0</v>
      </c>
      <c r="L94" t="n">
        <v>0</v>
      </c>
      <c r="M94" t="n">
        <v>0</v>
      </c>
      <c r="N94" t="n">
        <v>0</v>
      </c>
      <c r="O94" t="n">
        <v>0</v>
      </c>
      <c r="P94" t="n">
        <v>0</v>
      </c>
      <c r="Q94" t="n">
        <v>0</v>
      </c>
      <c r="R94" s="2" t="inlineStr"/>
    </row>
    <row r="95" ht="15" customHeight="1">
      <c r="A95" t="inlineStr">
        <is>
          <t>A 49058-2024</t>
        </is>
      </c>
      <c r="B95" s="1" t="n">
        <v>45594</v>
      </c>
      <c r="C95" s="1" t="n">
        <v>46003</v>
      </c>
      <c r="D95" t="inlineStr">
        <is>
          <t>VÄSTMANLANDS LÄN</t>
        </is>
      </c>
      <c r="E95" t="inlineStr">
        <is>
          <t>SURAHAMMAR</t>
        </is>
      </c>
      <c r="F95" t="inlineStr">
        <is>
          <t>Sveaskog</t>
        </is>
      </c>
      <c r="G95" t="n">
        <v>11.4</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46003</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49060-2024</t>
        </is>
      </c>
      <c r="B97" s="1" t="n">
        <v>45594</v>
      </c>
      <c r="C97" s="1" t="n">
        <v>46003</v>
      </c>
      <c r="D97" t="inlineStr">
        <is>
          <t>VÄSTMANLANDS LÄN</t>
        </is>
      </c>
      <c r="E97" t="inlineStr">
        <is>
          <t>SURAHAMMAR</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56378-2023</t>
        </is>
      </c>
      <c r="B98" s="1" t="n">
        <v>45236</v>
      </c>
      <c r="C98" s="1" t="n">
        <v>46003</v>
      </c>
      <c r="D98" t="inlineStr">
        <is>
          <t>VÄSTMANLANDS LÄN</t>
        </is>
      </c>
      <c r="E98" t="inlineStr">
        <is>
          <t>SURAHAMMAR</t>
        </is>
      </c>
      <c r="F98" t="inlineStr">
        <is>
          <t>Bergvik skog väst AB</t>
        </is>
      </c>
      <c r="G98" t="n">
        <v>4.6</v>
      </c>
      <c r="H98" t="n">
        <v>0</v>
      </c>
      <c r="I98" t="n">
        <v>0</v>
      </c>
      <c r="J98" t="n">
        <v>0</v>
      </c>
      <c r="K98" t="n">
        <v>0</v>
      </c>
      <c r="L98" t="n">
        <v>0</v>
      </c>
      <c r="M98" t="n">
        <v>0</v>
      </c>
      <c r="N98" t="n">
        <v>0</v>
      </c>
      <c r="O98" t="n">
        <v>0</v>
      </c>
      <c r="P98" t="n">
        <v>0</v>
      </c>
      <c r="Q98" t="n">
        <v>0</v>
      </c>
      <c r="R98" s="2" t="inlineStr"/>
    </row>
    <row r="99" ht="15" customHeight="1">
      <c r="A99" t="inlineStr">
        <is>
          <t>A 21509-2024</t>
        </is>
      </c>
      <c r="B99" s="1" t="n">
        <v>45441</v>
      </c>
      <c r="C99" s="1" t="n">
        <v>46003</v>
      </c>
      <c r="D99" t="inlineStr">
        <is>
          <t>VÄSTMANLANDS LÄN</t>
        </is>
      </c>
      <c r="E99" t="inlineStr">
        <is>
          <t>SURAHAMMAR</t>
        </is>
      </c>
      <c r="F99" t="inlineStr">
        <is>
          <t>Bergvik skog väst AB</t>
        </is>
      </c>
      <c r="G99" t="n">
        <v>3.9</v>
      </c>
      <c r="H99" t="n">
        <v>0</v>
      </c>
      <c r="I99" t="n">
        <v>0</v>
      </c>
      <c r="J99" t="n">
        <v>0</v>
      </c>
      <c r="K99" t="n">
        <v>0</v>
      </c>
      <c r="L99" t="n">
        <v>0</v>
      </c>
      <c r="M99" t="n">
        <v>0</v>
      </c>
      <c r="N99" t="n">
        <v>0</v>
      </c>
      <c r="O99" t="n">
        <v>0</v>
      </c>
      <c r="P99" t="n">
        <v>0</v>
      </c>
      <c r="Q99" t="n">
        <v>0</v>
      </c>
      <c r="R99" s="2" t="inlineStr"/>
    </row>
    <row r="100" ht="15" customHeight="1">
      <c r="A100" t="inlineStr">
        <is>
          <t>A 42832-2022</t>
        </is>
      </c>
      <c r="B100" s="1" t="n">
        <v>44832</v>
      </c>
      <c r="C100" s="1" t="n">
        <v>46003</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46003</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24158-2023</t>
        </is>
      </c>
      <c r="B102" s="1" t="n">
        <v>45079</v>
      </c>
      <c r="C102" s="1" t="n">
        <v>46003</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11728-2023</t>
        </is>
      </c>
      <c r="B103" s="1" t="n">
        <v>44993</v>
      </c>
      <c r="C103" s="1" t="n">
        <v>46003</v>
      </c>
      <c r="D103" t="inlineStr">
        <is>
          <t>VÄSTMANLANDS LÄN</t>
        </is>
      </c>
      <c r="E103" t="inlineStr">
        <is>
          <t>SURAHAMMAR</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19099-2022</t>
        </is>
      </c>
      <c r="B104" s="1" t="n">
        <v>44691</v>
      </c>
      <c r="C104" s="1" t="n">
        <v>46003</v>
      </c>
      <c r="D104" t="inlineStr">
        <is>
          <t>VÄSTMANLANDS LÄN</t>
        </is>
      </c>
      <c r="E104" t="inlineStr">
        <is>
          <t>SURAHAMMAR</t>
        </is>
      </c>
      <c r="F104" t="inlineStr">
        <is>
          <t>Övriga Aktiebolag</t>
        </is>
      </c>
      <c r="G104" t="n">
        <v>3.4</v>
      </c>
      <c r="H104" t="n">
        <v>0</v>
      </c>
      <c r="I104" t="n">
        <v>0</v>
      </c>
      <c r="J104" t="n">
        <v>0</v>
      </c>
      <c r="K104" t="n">
        <v>0</v>
      </c>
      <c r="L104" t="n">
        <v>0</v>
      </c>
      <c r="M104" t="n">
        <v>0</v>
      </c>
      <c r="N104" t="n">
        <v>0</v>
      </c>
      <c r="O104" t="n">
        <v>0</v>
      </c>
      <c r="P104" t="n">
        <v>0</v>
      </c>
      <c r="Q104" t="n">
        <v>0</v>
      </c>
      <c r="R104" s="2" t="inlineStr"/>
    </row>
    <row r="105" ht="15" customHeight="1">
      <c r="A105" t="inlineStr">
        <is>
          <t>A 25780-2023</t>
        </is>
      </c>
      <c r="B105" s="1" t="n">
        <v>45090.47523148148</v>
      </c>
      <c r="C105" s="1" t="n">
        <v>46003</v>
      </c>
      <c r="D105" t="inlineStr">
        <is>
          <t>VÄSTMANLANDS LÄN</t>
        </is>
      </c>
      <c r="E105" t="inlineStr">
        <is>
          <t>SURAHAMMAR</t>
        </is>
      </c>
      <c r="G105" t="n">
        <v>2.8</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46003</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46003</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46003</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46003</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42829-2022</t>
        </is>
      </c>
      <c r="B110" s="1" t="n">
        <v>44832</v>
      </c>
      <c r="C110" s="1" t="n">
        <v>46003</v>
      </c>
      <c r="D110" t="inlineStr">
        <is>
          <t>VÄSTMANLANDS LÄN</t>
        </is>
      </c>
      <c r="E110" t="inlineStr">
        <is>
          <t>SURAHAMMAR</t>
        </is>
      </c>
      <c r="G110" t="n">
        <v>1.6</v>
      </c>
      <c r="H110" t="n">
        <v>0</v>
      </c>
      <c r="I110" t="n">
        <v>0</v>
      </c>
      <c r="J110" t="n">
        <v>0</v>
      </c>
      <c r="K110" t="n">
        <v>0</v>
      </c>
      <c r="L110" t="n">
        <v>0</v>
      </c>
      <c r="M110" t="n">
        <v>0</v>
      </c>
      <c r="N110" t="n">
        <v>0</v>
      </c>
      <c r="O110" t="n">
        <v>0</v>
      </c>
      <c r="P110" t="n">
        <v>0</v>
      </c>
      <c r="Q110" t="n">
        <v>0</v>
      </c>
      <c r="R110" s="2" t="inlineStr"/>
    </row>
    <row r="111" ht="15" customHeight="1">
      <c r="A111" t="inlineStr">
        <is>
          <t>A 35682-2022</t>
        </is>
      </c>
      <c r="B111" s="1" t="n">
        <v>44799.60422453703</v>
      </c>
      <c r="C111" s="1" t="n">
        <v>46003</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34955-2022</t>
        </is>
      </c>
      <c r="B112" s="1" t="n">
        <v>44796</v>
      </c>
      <c r="C112" s="1" t="n">
        <v>46003</v>
      </c>
      <c r="D112" t="inlineStr">
        <is>
          <t>VÄSTMANLANDS LÄN</t>
        </is>
      </c>
      <c r="E112" t="inlineStr">
        <is>
          <t>SURAHAMMAR</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32808-2024</t>
        </is>
      </c>
      <c r="B113" s="1" t="n">
        <v>45516</v>
      </c>
      <c r="C113" s="1" t="n">
        <v>46003</v>
      </c>
      <c r="D113" t="inlineStr">
        <is>
          <t>VÄSTMANLANDS LÄN</t>
        </is>
      </c>
      <c r="E113" t="inlineStr">
        <is>
          <t>SURAHAMMAR</t>
        </is>
      </c>
      <c r="F113" t="inlineStr">
        <is>
          <t>Övriga Aktiebolag</t>
        </is>
      </c>
      <c r="G113" t="n">
        <v>1.9</v>
      </c>
      <c r="H113" t="n">
        <v>0</v>
      </c>
      <c r="I113" t="n">
        <v>0</v>
      </c>
      <c r="J113" t="n">
        <v>0</v>
      </c>
      <c r="K113" t="n">
        <v>0</v>
      </c>
      <c r="L113" t="n">
        <v>0</v>
      </c>
      <c r="M113" t="n">
        <v>0</v>
      </c>
      <c r="N113" t="n">
        <v>0</v>
      </c>
      <c r="O113" t="n">
        <v>0</v>
      </c>
      <c r="P113" t="n">
        <v>0</v>
      </c>
      <c r="Q113" t="n">
        <v>0</v>
      </c>
      <c r="R113" s="2" t="inlineStr"/>
    </row>
    <row r="114" ht="15" customHeight="1">
      <c r="A114" t="inlineStr">
        <is>
          <t>A 2867-2024</t>
        </is>
      </c>
      <c r="B114" s="1" t="n">
        <v>45315</v>
      </c>
      <c r="C114" s="1" t="n">
        <v>46003</v>
      </c>
      <c r="D114" t="inlineStr">
        <is>
          <t>VÄSTMANLANDS LÄN</t>
        </is>
      </c>
      <c r="E114" t="inlineStr">
        <is>
          <t>SURAHAMMAR</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37798-2021</t>
        </is>
      </c>
      <c r="B115" s="1" t="n">
        <v>44402</v>
      </c>
      <c r="C115" s="1" t="n">
        <v>46003</v>
      </c>
      <c r="D115" t="inlineStr">
        <is>
          <t>VÄSTMANLANDS LÄN</t>
        </is>
      </c>
      <c r="E115" t="inlineStr">
        <is>
          <t>SURAHAMMAR</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3818-2022</t>
        </is>
      </c>
      <c r="B116" s="1" t="n">
        <v>44587</v>
      </c>
      <c r="C116" s="1" t="n">
        <v>46003</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2660-2024</t>
        </is>
      </c>
      <c r="B117" s="1" t="n">
        <v>45310</v>
      </c>
      <c r="C117" s="1" t="n">
        <v>46003</v>
      </c>
      <c r="D117" t="inlineStr">
        <is>
          <t>VÄSTMANLANDS LÄN</t>
        </is>
      </c>
      <c r="E117" t="inlineStr">
        <is>
          <t>SURAHAMMAR</t>
        </is>
      </c>
      <c r="G117" t="n">
        <v>2.1</v>
      </c>
      <c r="H117" t="n">
        <v>0</v>
      </c>
      <c r="I117" t="n">
        <v>0</v>
      </c>
      <c r="J117" t="n">
        <v>0</v>
      </c>
      <c r="K117" t="n">
        <v>0</v>
      </c>
      <c r="L117" t="n">
        <v>0</v>
      </c>
      <c r="M117" t="n">
        <v>0</v>
      </c>
      <c r="N117" t="n">
        <v>0</v>
      </c>
      <c r="O117" t="n">
        <v>0</v>
      </c>
      <c r="P117" t="n">
        <v>0</v>
      </c>
      <c r="Q117" t="n">
        <v>0</v>
      </c>
      <c r="R117" s="2" t="inlineStr"/>
    </row>
    <row r="118" ht="15" customHeight="1">
      <c r="A118" t="inlineStr">
        <is>
          <t>A 7787-2024</t>
        </is>
      </c>
      <c r="B118" s="1" t="n">
        <v>45348</v>
      </c>
      <c r="C118" s="1" t="n">
        <v>46003</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46003</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41555-2022</t>
        </is>
      </c>
      <c r="B120" s="1" t="n">
        <v>44826</v>
      </c>
      <c r="C120" s="1" t="n">
        <v>46003</v>
      </c>
      <c r="D120" t="inlineStr">
        <is>
          <t>VÄSTMANLANDS LÄN</t>
        </is>
      </c>
      <c r="E120" t="inlineStr">
        <is>
          <t>SURAHAMMAR</t>
        </is>
      </c>
      <c r="F120" t="inlineStr">
        <is>
          <t>Bergvik skog väst AB</t>
        </is>
      </c>
      <c r="G120" t="n">
        <v>1.7</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46003</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46003</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41576-2022</t>
        </is>
      </c>
      <c r="B123" s="1" t="n">
        <v>44826</v>
      </c>
      <c r="C123" s="1" t="n">
        <v>46003</v>
      </c>
      <c r="D123" t="inlineStr">
        <is>
          <t>VÄSTMANLANDS LÄN</t>
        </is>
      </c>
      <c r="E123" t="inlineStr">
        <is>
          <t>SURAHAMMAR</t>
        </is>
      </c>
      <c r="F123" t="inlineStr">
        <is>
          <t>Bergvik skog väst AB</t>
        </is>
      </c>
      <c r="G123" t="n">
        <v>6.4</v>
      </c>
      <c r="H123" t="n">
        <v>0</v>
      </c>
      <c r="I123" t="n">
        <v>0</v>
      </c>
      <c r="J123" t="n">
        <v>0</v>
      </c>
      <c r="K123" t="n">
        <v>0</v>
      </c>
      <c r="L123" t="n">
        <v>0</v>
      </c>
      <c r="M123" t="n">
        <v>0</v>
      </c>
      <c r="N123" t="n">
        <v>0</v>
      </c>
      <c r="O123" t="n">
        <v>0</v>
      </c>
      <c r="P123" t="n">
        <v>0</v>
      </c>
      <c r="Q123" t="n">
        <v>0</v>
      </c>
      <c r="R123" s="2" t="inlineStr"/>
    </row>
    <row r="124" ht="15" customHeight="1">
      <c r="A124" t="inlineStr">
        <is>
          <t>A 22662-2023</t>
        </is>
      </c>
      <c r="B124" s="1" t="n">
        <v>45071</v>
      </c>
      <c r="C124" s="1" t="n">
        <v>46003</v>
      </c>
      <c r="D124" t="inlineStr">
        <is>
          <t>VÄSTMANLANDS LÄN</t>
        </is>
      </c>
      <c r="E124" t="inlineStr">
        <is>
          <t>SURAHAMMAR</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30076-2023</t>
        </is>
      </c>
      <c r="B125" s="1" t="n">
        <v>45110</v>
      </c>
      <c r="C125" s="1" t="n">
        <v>46003</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3085-2023</t>
        </is>
      </c>
      <c r="B126" s="1" t="n">
        <v>44946</v>
      </c>
      <c r="C126" s="1" t="n">
        <v>46003</v>
      </c>
      <c r="D126" t="inlineStr">
        <is>
          <t>VÄSTMANLANDS LÄN</t>
        </is>
      </c>
      <c r="E126" t="inlineStr">
        <is>
          <t>SURAHAMMAR</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7848-2022</t>
        </is>
      </c>
      <c r="B127" s="1" t="n">
        <v>44608.58400462963</v>
      </c>
      <c r="C127" s="1" t="n">
        <v>46003</v>
      </c>
      <c r="D127" t="inlineStr">
        <is>
          <t>VÄSTMANLANDS LÄN</t>
        </is>
      </c>
      <c r="E127" t="inlineStr">
        <is>
          <t>SURAHAMMAR</t>
        </is>
      </c>
      <c r="G127" t="n">
        <v>2.1</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46003</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46003</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16608-2022</t>
        </is>
      </c>
      <c r="B130" s="1" t="n">
        <v>44672</v>
      </c>
      <c r="C130" s="1" t="n">
        <v>46003</v>
      </c>
      <c r="D130" t="inlineStr">
        <is>
          <t>VÄSTMANLANDS LÄN</t>
        </is>
      </c>
      <c r="E130" t="inlineStr">
        <is>
          <t>SURAHAMMAR</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25450-2024</t>
        </is>
      </c>
      <c r="B131" s="1" t="n">
        <v>45463</v>
      </c>
      <c r="C131" s="1" t="n">
        <v>46003</v>
      </c>
      <c r="D131" t="inlineStr">
        <is>
          <t>VÄSTMANLANDS LÄN</t>
        </is>
      </c>
      <c r="E131" t="inlineStr">
        <is>
          <t>SURAHAMMAR</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42088-2025</t>
        </is>
      </c>
      <c r="B132" s="1" t="n">
        <v>45902</v>
      </c>
      <c r="C132" s="1" t="n">
        <v>46003</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10883-2023</t>
        </is>
      </c>
      <c r="B133" s="1" t="n">
        <v>44991</v>
      </c>
      <c r="C133" s="1" t="n">
        <v>46003</v>
      </c>
      <c r="D133" t="inlineStr">
        <is>
          <t>VÄSTMANLANDS LÄN</t>
        </is>
      </c>
      <c r="E133" t="inlineStr">
        <is>
          <t>SURAHAMMAR</t>
        </is>
      </c>
      <c r="F133" t="inlineStr">
        <is>
          <t>Övriga Aktiebolag</t>
        </is>
      </c>
      <c r="G133" t="n">
        <v>12.5</v>
      </c>
      <c r="H133" t="n">
        <v>0</v>
      </c>
      <c r="I133" t="n">
        <v>0</v>
      </c>
      <c r="J133" t="n">
        <v>0</v>
      </c>
      <c r="K133" t="n">
        <v>0</v>
      </c>
      <c r="L133" t="n">
        <v>0</v>
      </c>
      <c r="M133" t="n">
        <v>0</v>
      </c>
      <c r="N133" t="n">
        <v>0</v>
      </c>
      <c r="O133" t="n">
        <v>0</v>
      </c>
      <c r="P133" t="n">
        <v>0</v>
      </c>
      <c r="Q133" t="n">
        <v>0</v>
      </c>
      <c r="R133" s="2" t="inlineStr"/>
    </row>
    <row r="134" ht="15" customHeight="1">
      <c r="A134" t="inlineStr">
        <is>
          <t>A 24665-2023</t>
        </is>
      </c>
      <c r="B134" s="1" t="n">
        <v>45084.48592592592</v>
      </c>
      <c r="C134" s="1" t="n">
        <v>46003</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15743-2023</t>
        </is>
      </c>
      <c r="B135" s="1" t="n">
        <v>45021</v>
      </c>
      <c r="C135" s="1" t="n">
        <v>46003</v>
      </c>
      <c r="D135" t="inlineStr">
        <is>
          <t>VÄSTMANLANDS LÄN</t>
        </is>
      </c>
      <c r="E135" t="inlineStr">
        <is>
          <t>SURAHAMMAR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46003</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43255-2025</t>
        </is>
      </c>
      <c r="B137" s="1" t="n">
        <v>45910.55325231481</v>
      </c>
      <c r="C137" s="1" t="n">
        <v>46003</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31107-2025</t>
        </is>
      </c>
      <c r="B138" s="1" t="n">
        <v>45831</v>
      </c>
      <c r="C138" s="1" t="n">
        <v>46003</v>
      </c>
      <c r="D138" t="inlineStr">
        <is>
          <t>VÄSTMANLANDS LÄN</t>
        </is>
      </c>
      <c r="E138" t="inlineStr">
        <is>
          <t>SURAHAMMAR</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43249-2025</t>
        </is>
      </c>
      <c r="B139" s="1" t="n">
        <v>45910.55059027778</v>
      </c>
      <c r="C139" s="1" t="n">
        <v>46003</v>
      </c>
      <c r="D139" t="inlineStr">
        <is>
          <t>VÄSTMANLANDS LÄN</t>
        </is>
      </c>
      <c r="E139" t="inlineStr">
        <is>
          <t>SURAHAMMAR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46003</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15739-2023</t>
        </is>
      </c>
      <c r="B141" s="1" t="n">
        <v>45021</v>
      </c>
      <c r="C141" s="1" t="n">
        <v>46003</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15637-2022</t>
        </is>
      </c>
      <c r="B142" s="1" t="n">
        <v>44662.89638888889</v>
      </c>
      <c r="C142" s="1" t="n">
        <v>46003</v>
      </c>
      <c r="D142" t="inlineStr">
        <is>
          <t>VÄSTMANLANDS LÄN</t>
        </is>
      </c>
      <c r="E142" t="inlineStr">
        <is>
          <t>SURAHAMMAR</t>
        </is>
      </c>
      <c r="G142" t="n">
        <v>2.2</v>
      </c>
      <c r="H142" t="n">
        <v>0</v>
      </c>
      <c r="I142" t="n">
        <v>0</v>
      </c>
      <c r="J142" t="n">
        <v>0</v>
      </c>
      <c r="K142" t="n">
        <v>0</v>
      </c>
      <c r="L142" t="n">
        <v>0</v>
      </c>
      <c r="M142" t="n">
        <v>0</v>
      </c>
      <c r="N142" t="n">
        <v>0</v>
      </c>
      <c r="O142" t="n">
        <v>0</v>
      </c>
      <c r="P142" t="n">
        <v>0</v>
      </c>
      <c r="Q142" t="n">
        <v>0</v>
      </c>
      <c r="R142" s="2" t="inlineStr"/>
    </row>
    <row r="143" ht="15" customHeight="1">
      <c r="A143" t="inlineStr">
        <is>
          <t>A 19786-2023</t>
        </is>
      </c>
      <c r="B143" s="1" t="n">
        <v>45050</v>
      </c>
      <c r="C143" s="1" t="n">
        <v>46003</v>
      </c>
      <c r="D143" t="inlineStr">
        <is>
          <t>VÄSTMANLANDS LÄN</t>
        </is>
      </c>
      <c r="E143" t="inlineStr">
        <is>
          <t>SURAHAMMAR</t>
        </is>
      </c>
      <c r="F143" t="inlineStr">
        <is>
          <t>Bergvik skog väst AB</t>
        </is>
      </c>
      <c r="G143" t="n">
        <v>8.1</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44405.42373842592</v>
      </c>
      <c r="C144" s="1" t="n">
        <v>46003</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55868-2025</t>
        </is>
      </c>
      <c r="B145" s="1" t="n">
        <v>45973.35263888889</v>
      </c>
      <c r="C145" s="1" t="n">
        <v>46003</v>
      </c>
      <c r="D145" t="inlineStr">
        <is>
          <t>VÄSTMANLANDS LÄN</t>
        </is>
      </c>
      <c r="E145" t="inlineStr">
        <is>
          <t>SURAHAMMAR</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55873-2025</t>
        </is>
      </c>
      <c r="B146" s="1" t="n">
        <v>45973.35608796297</v>
      </c>
      <c r="C146" s="1" t="n">
        <v>46003</v>
      </c>
      <c r="D146" t="inlineStr">
        <is>
          <t>VÄSTMANLANDS LÄN</t>
        </is>
      </c>
      <c r="E146" t="inlineStr">
        <is>
          <t>SURAHAMMAR</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55874-2025</t>
        </is>
      </c>
      <c r="B147" s="1" t="n">
        <v>45973.3569212963</v>
      </c>
      <c r="C147" s="1" t="n">
        <v>46003</v>
      </c>
      <c r="D147" t="inlineStr">
        <is>
          <t>VÄSTMANLANDS LÄN</t>
        </is>
      </c>
      <c r="E147" t="inlineStr">
        <is>
          <t>SURAHAMMAR</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55871-2025</t>
        </is>
      </c>
      <c r="B148" s="1" t="n">
        <v>45973.35452546296</v>
      </c>
      <c r="C148" s="1" t="n">
        <v>46003</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56543-2025</t>
        </is>
      </c>
      <c r="B149" s="1" t="n">
        <v>45975</v>
      </c>
      <c r="C149" s="1" t="n">
        <v>46003</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34584-2025</t>
        </is>
      </c>
      <c r="B150" s="1" t="n">
        <v>45846</v>
      </c>
      <c r="C150" s="1" t="n">
        <v>46003</v>
      </c>
      <c r="D150" t="inlineStr">
        <is>
          <t>VÄSTMANLANDS LÄN</t>
        </is>
      </c>
      <c r="E150" t="inlineStr">
        <is>
          <t>SURAHAMMAR</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59399-2025</t>
        </is>
      </c>
      <c r="B151" s="1" t="n">
        <v>45989</v>
      </c>
      <c r="C151" s="1" t="n">
        <v>46003</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56541-2025</t>
        </is>
      </c>
      <c r="B152" s="1" t="n">
        <v>45975</v>
      </c>
      <c r="C152" s="1" t="n">
        <v>46003</v>
      </c>
      <c r="D152" t="inlineStr">
        <is>
          <t>VÄSTMANLANDS LÄN</t>
        </is>
      </c>
      <c r="E152" t="inlineStr">
        <is>
          <t>SURAHAMMAR</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32910-2025</t>
        </is>
      </c>
      <c r="B153" s="1" t="n">
        <v>45839</v>
      </c>
      <c r="C153" s="1" t="n">
        <v>46003</v>
      </c>
      <c r="D153" t="inlineStr">
        <is>
          <t>VÄSTMANLANDS LÄN</t>
        </is>
      </c>
      <c r="E153" t="inlineStr">
        <is>
          <t>SURAHAMMAR</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32916-2025</t>
        </is>
      </c>
      <c r="B154" s="1" t="n">
        <v>45839</v>
      </c>
      <c r="C154" s="1" t="n">
        <v>46003</v>
      </c>
      <c r="D154" t="inlineStr">
        <is>
          <t>VÄSTMANLANDS LÄN</t>
        </is>
      </c>
      <c r="E154" t="inlineStr">
        <is>
          <t>SURAHAMMAR</t>
        </is>
      </c>
      <c r="F154" t="inlineStr">
        <is>
          <t>Kommuner</t>
        </is>
      </c>
      <c r="G154" t="n">
        <v>4.9</v>
      </c>
      <c r="H154" t="n">
        <v>0</v>
      </c>
      <c r="I154" t="n">
        <v>0</v>
      </c>
      <c r="J154" t="n">
        <v>0</v>
      </c>
      <c r="K154" t="n">
        <v>0</v>
      </c>
      <c r="L154" t="n">
        <v>0</v>
      </c>
      <c r="M154" t="n">
        <v>0</v>
      </c>
      <c r="N154" t="n">
        <v>0</v>
      </c>
      <c r="O154" t="n">
        <v>0</v>
      </c>
      <c r="P154" t="n">
        <v>0</v>
      </c>
      <c r="Q154" t="n">
        <v>0</v>
      </c>
      <c r="R154" s="2" t="inlineStr"/>
    </row>
    <row r="155" ht="15" customHeight="1">
      <c r="A155" t="inlineStr">
        <is>
          <t>A 37013-2025</t>
        </is>
      </c>
      <c r="B155" s="1" t="n">
        <v>45874</v>
      </c>
      <c r="C155" s="1" t="n">
        <v>46003</v>
      </c>
      <c r="D155" t="inlineStr">
        <is>
          <t>VÄSTMANLANDS LÄN</t>
        </is>
      </c>
      <c r="E155" t="inlineStr">
        <is>
          <t>SURAHAMMAR</t>
        </is>
      </c>
      <c r="F155" t="inlineStr">
        <is>
          <t>Bergvik skog väst AB</t>
        </is>
      </c>
      <c r="G155" t="n">
        <v>10.7</v>
      </c>
      <c r="H155" t="n">
        <v>0</v>
      </c>
      <c r="I155" t="n">
        <v>0</v>
      </c>
      <c r="J155" t="n">
        <v>0</v>
      </c>
      <c r="K155" t="n">
        <v>0</v>
      </c>
      <c r="L155" t="n">
        <v>0</v>
      </c>
      <c r="M155" t="n">
        <v>0</v>
      </c>
      <c r="N155" t="n">
        <v>0</v>
      </c>
      <c r="O155" t="n">
        <v>0</v>
      </c>
      <c r="P155" t="n">
        <v>0</v>
      </c>
      <c r="Q155" t="n">
        <v>0</v>
      </c>
      <c r="R155" s="2" t="inlineStr"/>
    </row>
    <row r="156">
      <c r="A156" t="inlineStr">
        <is>
          <t>A 37954-2025</t>
        </is>
      </c>
      <c r="B156" s="1" t="n">
        <v>45881</v>
      </c>
      <c r="C156" s="1" t="n">
        <v>46003</v>
      </c>
      <c r="D156" t="inlineStr">
        <is>
          <t>VÄSTMANLANDS LÄN</t>
        </is>
      </c>
      <c r="E156" t="inlineStr">
        <is>
          <t>SURAHAMMAR</t>
        </is>
      </c>
      <c r="G156" t="n">
        <v>9.5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2025-12-12T10:31:18Z</dcterms:created>
  <dcterms:modified xmlns:dcterms="http://purl.org/dc/terms/" xmlns:xsi="http://www.w3.org/2001/XMLSchema-instance" xsi:type="dcterms:W3CDTF">2025-12-12T10:31:19Z</dcterms:modified>
</cp:coreProperties>
</file>