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45474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45474</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45474</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45474</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45474</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45474</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45474</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45474</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12116-2023</t>
        </is>
      </c>
      <c r="B10" s="1" t="n">
        <v>44995</v>
      </c>
      <c r="C10" s="1" t="n">
        <v>45474</v>
      </c>
      <c r="D10" t="inlineStr">
        <is>
          <t>VÄSTMANLANDS LÄN</t>
        </is>
      </c>
      <c r="E10" t="inlineStr">
        <is>
          <t>SURAHAMMAR</t>
        </is>
      </c>
      <c r="G10" t="n">
        <v>9.300000000000001</v>
      </c>
      <c r="H10" t="n">
        <v>12</v>
      </c>
      <c r="I10" t="n">
        <v>0</v>
      </c>
      <c r="J10" t="n">
        <v>4</v>
      </c>
      <c r="K10" t="n">
        <v>1</v>
      </c>
      <c r="L10" t="n">
        <v>1</v>
      </c>
      <c r="M10" t="n">
        <v>0</v>
      </c>
      <c r="N10" t="n">
        <v>0</v>
      </c>
      <c r="O10" t="n">
        <v>6</v>
      </c>
      <c r="P10" t="n">
        <v>2</v>
      </c>
      <c r="Q10" t="n">
        <v>12</v>
      </c>
      <c r="R10" s="2" t="inlineStr">
        <is>
          <t>Tornseglare
Stare
Duvhök
Rosenfink
Spillkråka
Stenfalk
Enkelbeckasin
Gråspett
Gröngöling
Göktyta
Nattskärra
Skogsduva</t>
        </is>
      </c>
      <c r="S10">
        <f>HYPERLINK("https://klasma.github.io/Logging_1907/artfynd/A 12116-2023 artfynd.xlsx", "A 12116-2023")</f>
        <v/>
      </c>
      <c r="T10">
        <f>HYPERLINK("https://klasma.github.io/Logging_1907/kartor/A 12116-2023 karta.png", "A 12116-2023")</f>
        <v/>
      </c>
      <c r="V10">
        <f>HYPERLINK("https://klasma.github.io/Logging_1907/klagomål/A 12116-2023 FSC-klagomål.docx", "A 12116-2023")</f>
        <v/>
      </c>
      <c r="W10">
        <f>HYPERLINK("https://klasma.github.io/Logging_1907/klagomålsmail/A 12116-2023 FSC-klagomål mail.docx", "A 12116-2023")</f>
        <v/>
      </c>
      <c r="X10">
        <f>HYPERLINK("https://klasma.github.io/Logging_1907/tillsyn/A 12116-2023 tillsynsbegäran.docx", "A 12116-2023")</f>
        <v/>
      </c>
      <c r="Y10">
        <f>HYPERLINK("https://klasma.github.io/Logging_1907/tillsynsmail/A 12116-2023 tillsynsbegäran mail.docx", "A 12116-2023")</f>
        <v/>
      </c>
      <c r="Z10">
        <f>HYPERLINK("https://klasma.github.io/Logging_1907/fåglar/A 12116-2023 prioriterade fågelarter.docx", "A 12116-2023")</f>
        <v/>
      </c>
    </row>
    <row r="11" ht="15" customHeight="1">
      <c r="A11" t="inlineStr">
        <is>
          <t>A 21236-2021</t>
        </is>
      </c>
      <c r="B11" s="1" t="n">
        <v>44314</v>
      </c>
      <c r="C11" s="1" t="n">
        <v>45474</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45474</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45474</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45474</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65022-2023</t>
        </is>
      </c>
      <c r="B15" s="1" t="n">
        <v>45282</v>
      </c>
      <c r="C15" s="1" t="n">
        <v>45474</v>
      </c>
      <c r="D15" t="inlineStr">
        <is>
          <t>VÄSTMANLANDS LÄN</t>
        </is>
      </c>
      <c r="E15" t="inlineStr">
        <is>
          <t>SURAHAMMAR</t>
        </is>
      </c>
      <c r="F15" t="inlineStr">
        <is>
          <t>Bergvik skog väst AB</t>
        </is>
      </c>
      <c r="G15" t="n">
        <v>11</v>
      </c>
      <c r="H15" t="n">
        <v>5</v>
      </c>
      <c r="I15" t="n">
        <v>4</v>
      </c>
      <c r="J15" t="n">
        <v>1</v>
      </c>
      <c r="K15" t="n">
        <v>1</v>
      </c>
      <c r="L15" t="n">
        <v>0</v>
      </c>
      <c r="M15" t="n">
        <v>0</v>
      </c>
      <c r="N15" t="n">
        <v>0</v>
      </c>
      <c r="O15" t="n">
        <v>2</v>
      </c>
      <c r="P15" t="n">
        <v>1</v>
      </c>
      <c r="Q15" t="n">
        <v>8</v>
      </c>
      <c r="R15" s="2" t="inlineStr">
        <is>
          <t>Knärot
Spillkråka
Bronshjon
Grovticka
Grönpyrola
Plattlummer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25573-2024</t>
        </is>
      </c>
      <c r="B16" s="1" t="n">
        <v>45463</v>
      </c>
      <c r="C16" s="1" t="n">
        <v>45474</v>
      </c>
      <c r="D16" t="inlineStr">
        <is>
          <t>VÄSTMANLANDS LÄN</t>
        </is>
      </c>
      <c r="E16" t="inlineStr">
        <is>
          <t>SURAHAMMAR</t>
        </is>
      </c>
      <c r="F16" t="inlineStr">
        <is>
          <t>Bergvik skog väst AB</t>
        </is>
      </c>
      <c r="G16" t="n">
        <v>20.3</v>
      </c>
      <c r="H16" t="n">
        <v>1</v>
      </c>
      <c r="I16" t="n">
        <v>3</v>
      </c>
      <c r="J16" t="n">
        <v>3</v>
      </c>
      <c r="K16" t="n">
        <v>2</v>
      </c>
      <c r="L16" t="n">
        <v>0</v>
      </c>
      <c r="M16" t="n">
        <v>0</v>
      </c>
      <c r="N16" t="n">
        <v>0</v>
      </c>
      <c r="O16" t="n">
        <v>5</v>
      </c>
      <c r="P16" t="n">
        <v>2</v>
      </c>
      <c r="Q16" t="n">
        <v>8</v>
      </c>
      <c r="R16" s="2" t="inlineStr">
        <is>
          <t>Knärot
Vågticka
Krusfrö
Motaggsvamp
Skrovlig taggsvamp
Blodticka
Dropptaggsvamp
Mindre märgborre</t>
        </is>
      </c>
      <c r="S16">
        <f>HYPERLINK("https://klasma.github.io/Logging_1907/artfynd/A 25573-2024 artfynd.xlsx", "A 25573-2024")</f>
        <v/>
      </c>
      <c r="T16">
        <f>HYPERLINK("https://klasma.github.io/Logging_1907/kartor/A 25573-2024 karta.png", "A 25573-2024")</f>
        <v/>
      </c>
      <c r="U16">
        <f>HYPERLINK("https://klasma.github.io/Logging_1907/knärot/A 25573-2024 karta knärot.png", "A 25573-2024")</f>
        <v/>
      </c>
      <c r="V16">
        <f>HYPERLINK("https://klasma.github.io/Logging_1907/klagomål/A 25573-2024 FSC-klagomål.docx", "A 25573-2024")</f>
        <v/>
      </c>
      <c r="W16">
        <f>HYPERLINK("https://klasma.github.io/Logging_1907/klagomålsmail/A 25573-2024 FSC-klagomål mail.docx", "A 25573-2024")</f>
        <v/>
      </c>
      <c r="X16">
        <f>HYPERLINK("https://klasma.github.io/Logging_1907/tillsyn/A 25573-2024 tillsynsbegäran.docx", "A 25573-2024")</f>
        <v/>
      </c>
      <c r="Y16">
        <f>HYPERLINK("https://klasma.github.io/Logging_1907/tillsynsmail/A 25573-2024 tillsynsbegäran mail.docx", "A 25573-2024")</f>
        <v/>
      </c>
    </row>
    <row r="17" ht="15" customHeight="1">
      <c r="A17" t="inlineStr">
        <is>
          <t>A 66349-2021</t>
        </is>
      </c>
      <c r="B17" s="1" t="n">
        <v>44518</v>
      </c>
      <c r="C17" s="1" t="n">
        <v>45474</v>
      </c>
      <c r="D17" t="inlineStr">
        <is>
          <t>VÄSTMANLANDS LÄN</t>
        </is>
      </c>
      <c r="E17" t="inlineStr">
        <is>
          <t>SURAHAMMAR</t>
        </is>
      </c>
      <c r="F17" t="inlineStr">
        <is>
          <t>Sveaskog</t>
        </is>
      </c>
      <c r="G17" t="n">
        <v>6</v>
      </c>
      <c r="H17" t="n">
        <v>3</v>
      </c>
      <c r="I17" t="n">
        <v>2</v>
      </c>
      <c r="J17" t="n">
        <v>3</v>
      </c>
      <c r="K17" t="n">
        <v>0</v>
      </c>
      <c r="L17" t="n">
        <v>0</v>
      </c>
      <c r="M17" t="n">
        <v>0</v>
      </c>
      <c r="N17" t="n">
        <v>0</v>
      </c>
      <c r="O17" t="n">
        <v>3</v>
      </c>
      <c r="P17" t="n">
        <v>0</v>
      </c>
      <c r="Q17" t="n">
        <v>6</v>
      </c>
      <c r="R17" s="2" t="inlineStr">
        <is>
          <t>Krusfrö
Spillkråka
Talltita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7791-2024</t>
        </is>
      </c>
      <c r="B18" s="1" t="n">
        <v>45348</v>
      </c>
      <c r="C18" s="1" t="n">
        <v>45474</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45474</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13994-2023</t>
        </is>
      </c>
      <c r="B20" s="1" t="n">
        <v>45007</v>
      </c>
      <c r="C20" s="1" t="n">
        <v>45474</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45474</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45474</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48891-2023</t>
        </is>
      </c>
      <c r="B23" s="1" t="n">
        <v>45203</v>
      </c>
      <c r="C23" s="1" t="n">
        <v>45474</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20707-2024</t>
        </is>
      </c>
      <c r="B24" s="1" t="n">
        <v>45436</v>
      </c>
      <c r="C24" s="1" t="n">
        <v>45474</v>
      </c>
      <c r="D24" t="inlineStr">
        <is>
          <t>VÄSTMANLANDS LÄN</t>
        </is>
      </c>
      <c r="E24" t="inlineStr">
        <is>
          <t>SURAHAMMAR</t>
        </is>
      </c>
      <c r="F24" t="inlineStr">
        <is>
          <t>Bergvik skog väst AB</t>
        </is>
      </c>
      <c r="G24" t="n">
        <v>4.3</v>
      </c>
      <c r="H24" t="n">
        <v>2</v>
      </c>
      <c r="I24" t="n">
        <v>0</v>
      </c>
      <c r="J24" t="n">
        <v>2</v>
      </c>
      <c r="K24" t="n">
        <v>0</v>
      </c>
      <c r="L24" t="n">
        <v>0</v>
      </c>
      <c r="M24" t="n">
        <v>0</v>
      </c>
      <c r="N24" t="n">
        <v>0</v>
      </c>
      <c r="O24" t="n">
        <v>2</v>
      </c>
      <c r="P24" t="n">
        <v>0</v>
      </c>
      <c r="Q24" t="n">
        <v>4</v>
      </c>
      <c r="R24" s="2" t="inlineStr">
        <is>
          <t>Dofttaggsvamp
Orange taggsvamp
Fläcknycklar
Mattlummer</t>
        </is>
      </c>
      <c r="S24">
        <f>HYPERLINK("https://klasma.github.io/Logging_1907/artfynd/A 20707-2024 artfynd.xlsx", "A 20707-2024")</f>
        <v/>
      </c>
      <c r="T24">
        <f>HYPERLINK("https://klasma.github.io/Logging_1907/kartor/A 20707-2024 karta.png", "A 20707-2024")</f>
        <v/>
      </c>
      <c r="V24">
        <f>HYPERLINK("https://klasma.github.io/Logging_1907/klagomål/A 20707-2024 FSC-klagomål.docx", "A 20707-2024")</f>
        <v/>
      </c>
      <c r="W24">
        <f>HYPERLINK("https://klasma.github.io/Logging_1907/klagomålsmail/A 20707-2024 FSC-klagomål mail.docx", "A 20707-2024")</f>
        <v/>
      </c>
      <c r="X24">
        <f>HYPERLINK("https://klasma.github.io/Logging_1907/tillsyn/A 20707-2024 tillsynsbegäran.docx", "A 20707-2024")</f>
        <v/>
      </c>
      <c r="Y24">
        <f>HYPERLINK("https://klasma.github.io/Logging_1907/tillsynsmail/A 20707-2024 tillsynsbegäran mail.docx", "A 20707-2024")</f>
        <v/>
      </c>
    </row>
    <row r="25" ht="15" customHeight="1">
      <c r="A25" t="inlineStr">
        <is>
          <t>A 8552-2022</t>
        </is>
      </c>
      <c r="B25" s="1" t="n">
        <v>44613</v>
      </c>
      <c r="C25" s="1" t="n">
        <v>45474</v>
      </c>
      <c r="D25" t="inlineStr">
        <is>
          <t>VÄSTMANLANDS LÄN</t>
        </is>
      </c>
      <c r="E25" t="inlineStr">
        <is>
          <t>SURAHAMMAR</t>
        </is>
      </c>
      <c r="F25" t="inlineStr">
        <is>
          <t>Bergvik skog väst AB</t>
        </is>
      </c>
      <c r="G25" t="n">
        <v>3.2</v>
      </c>
      <c r="H25" t="n">
        <v>2</v>
      </c>
      <c r="I25" t="n">
        <v>1</v>
      </c>
      <c r="J25" t="n">
        <v>2</v>
      </c>
      <c r="K25" t="n">
        <v>0</v>
      </c>
      <c r="L25" t="n">
        <v>0</v>
      </c>
      <c r="M25" t="n">
        <v>0</v>
      </c>
      <c r="N25" t="n">
        <v>0</v>
      </c>
      <c r="O25" t="n">
        <v>2</v>
      </c>
      <c r="P25" t="n">
        <v>0</v>
      </c>
      <c r="Q25" t="n">
        <v>3</v>
      </c>
      <c r="R25" s="2" t="inlineStr">
        <is>
          <t>Spillkråka
Talltita
Mindre märgborre</t>
        </is>
      </c>
      <c r="S25">
        <f>HYPERLINK("https://klasma.github.io/Logging_1907/artfynd/A 8552-2022 artfynd.xlsx", "A 8552-2022")</f>
        <v/>
      </c>
      <c r="T25">
        <f>HYPERLINK("https://klasma.github.io/Logging_1907/kartor/A 8552-2022 karta.png", "A 8552-2022")</f>
        <v/>
      </c>
      <c r="V25">
        <f>HYPERLINK("https://klasma.github.io/Logging_1907/klagomål/A 8552-2022 FSC-klagomål.docx", "A 8552-2022")</f>
        <v/>
      </c>
      <c r="W25">
        <f>HYPERLINK("https://klasma.github.io/Logging_1907/klagomålsmail/A 8552-2022 FSC-klagomål mail.docx", "A 8552-2022")</f>
        <v/>
      </c>
      <c r="X25">
        <f>HYPERLINK("https://klasma.github.io/Logging_1907/tillsyn/A 8552-2022 tillsynsbegäran.docx", "A 8552-2022")</f>
        <v/>
      </c>
      <c r="Y25">
        <f>HYPERLINK("https://klasma.github.io/Logging_1907/tillsynsmail/A 8552-2022 tillsynsbegäran mail.docx", "A 8552-2022")</f>
        <v/>
      </c>
      <c r="Z25">
        <f>HYPERLINK("https://klasma.github.io/Logging_1907/fåglar/A 8552-2022 prioriterade fågelarter.docx", "A 8552-2022")</f>
        <v/>
      </c>
    </row>
    <row r="26" ht="15" customHeight="1">
      <c r="A26" t="inlineStr">
        <is>
          <t>A 42708-2022</t>
        </is>
      </c>
      <c r="B26" s="1" t="n">
        <v>44832</v>
      </c>
      <c r="C26" s="1" t="n">
        <v>45474</v>
      </c>
      <c r="D26" t="inlineStr">
        <is>
          <t>VÄSTMANLANDS LÄN</t>
        </is>
      </c>
      <c r="E26" t="inlineStr">
        <is>
          <t>SURAHAMMAR</t>
        </is>
      </c>
      <c r="G26" t="n">
        <v>27.2</v>
      </c>
      <c r="H26" t="n">
        <v>3</v>
      </c>
      <c r="I26" t="n">
        <v>0</v>
      </c>
      <c r="J26" t="n">
        <v>2</v>
      </c>
      <c r="K26" t="n">
        <v>0</v>
      </c>
      <c r="L26" t="n">
        <v>0</v>
      </c>
      <c r="M26" t="n">
        <v>0</v>
      </c>
      <c r="N26" t="n">
        <v>0</v>
      </c>
      <c r="O26" t="n">
        <v>2</v>
      </c>
      <c r="P26" t="n">
        <v>0</v>
      </c>
      <c r="Q26" t="n">
        <v>3</v>
      </c>
      <c r="R26" s="2" t="inlineStr">
        <is>
          <t>Entita
Spillkråka
Blåsippa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42853-2022</t>
        </is>
      </c>
      <c r="B27" s="1" t="n">
        <v>44832</v>
      </c>
      <c r="C27" s="1" t="n">
        <v>45474</v>
      </c>
      <c r="D27" t="inlineStr">
        <is>
          <t>VÄSTMANLANDS LÄN</t>
        </is>
      </c>
      <c r="E27" t="inlineStr">
        <is>
          <t>SURAHAMMAR</t>
        </is>
      </c>
      <c r="G27" t="n">
        <v>7.4</v>
      </c>
      <c r="H27" t="n">
        <v>1</v>
      </c>
      <c r="I27" t="n">
        <v>1</v>
      </c>
      <c r="J27" t="n">
        <v>1</v>
      </c>
      <c r="K27" t="n">
        <v>0</v>
      </c>
      <c r="L27" t="n">
        <v>1</v>
      </c>
      <c r="M27" t="n">
        <v>0</v>
      </c>
      <c r="N27" t="n">
        <v>0</v>
      </c>
      <c r="O27" t="n">
        <v>2</v>
      </c>
      <c r="P27" t="n">
        <v>1</v>
      </c>
      <c r="Q27" t="n">
        <v>3</v>
      </c>
      <c r="R27" s="2" t="inlineStr">
        <is>
          <t>Ask
Kandelabersvamp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row>
    <row r="28" ht="15" customHeight="1">
      <c r="A28" t="inlineStr">
        <is>
          <t>A 42860-2022</t>
        </is>
      </c>
      <c r="B28" s="1" t="n">
        <v>44832</v>
      </c>
      <c r="C28" s="1" t="n">
        <v>45474</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3012-2023</t>
        </is>
      </c>
      <c r="B29" s="1" t="n">
        <v>44945</v>
      </c>
      <c r="C29" s="1" t="n">
        <v>45474</v>
      </c>
      <c r="D29" t="inlineStr">
        <is>
          <t>VÄSTMANLANDS LÄN</t>
        </is>
      </c>
      <c r="E29" t="inlineStr">
        <is>
          <t>SURAHAMMAR</t>
        </is>
      </c>
      <c r="F29" t="inlineStr">
        <is>
          <t>Sveaskog</t>
        </is>
      </c>
      <c r="G29" t="n">
        <v>5.7</v>
      </c>
      <c r="H29" t="n">
        <v>0</v>
      </c>
      <c r="I29" t="n">
        <v>1</v>
      </c>
      <c r="J29" t="n">
        <v>0</v>
      </c>
      <c r="K29" t="n">
        <v>0</v>
      </c>
      <c r="L29" t="n">
        <v>1</v>
      </c>
      <c r="M29" t="n">
        <v>1</v>
      </c>
      <c r="N29" t="n">
        <v>0</v>
      </c>
      <c r="O29" t="n">
        <v>2</v>
      </c>
      <c r="P29" t="n">
        <v>2</v>
      </c>
      <c r="Q29" t="n">
        <v>3</v>
      </c>
      <c r="R29" s="2" t="inlineStr">
        <is>
          <t>Skogsalm
Ask
Svart trolldruva</t>
        </is>
      </c>
      <c r="S29">
        <f>HYPERLINK("https://klasma.github.io/Logging_1907/artfynd/A 3012-2023 artfynd.xlsx", "A 3012-2023")</f>
        <v/>
      </c>
      <c r="T29">
        <f>HYPERLINK("https://klasma.github.io/Logging_1907/kartor/A 3012-2023 karta.png", "A 3012-2023")</f>
        <v/>
      </c>
      <c r="V29">
        <f>HYPERLINK("https://klasma.github.io/Logging_1907/klagomål/A 3012-2023 FSC-klagomål.docx", "A 3012-2023")</f>
        <v/>
      </c>
      <c r="W29">
        <f>HYPERLINK("https://klasma.github.io/Logging_1907/klagomålsmail/A 3012-2023 FSC-klagomål mail.docx", "A 3012-2023")</f>
        <v/>
      </c>
      <c r="X29">
        <f>HYPERLINK("https://klasma.github.io/Logging_1907/tillsyn/A 3012-2023 tillsynsbegäran.docx", "A 3012-2023")</f>
        <v/>
      </c>
      <c r="Y29">
        <f>HYPERLINK("https://klasma.github.io/Logging_1907/tillsynsmail/A 3012-2023 tillsynsbegäran mail.docx", "A 3012-2023")</f>
        <v/>
      </c>
    </row>
    <row r="30" ht="15" customHeight="1">
      <c r="A30" t="inlineStr">
        <is>
          <t>A 14587-2023</t>
        </is>
      </c>
      <c r="B30" s="1" t="n">
        <v>45013</v>
      </c>
      <c r="C30" s="1" t="n">
        <v>45474</v>
      </c>
      <c r="D30" t="inlineStr">
        <is>
          <t>VÄSTMANLANDS LÄN</t>
        </is>
      </c>
      <c r="E30" t="inlineStr">
        <is>
          <t>SURAHAMMAR</t>
        </is>
      </c>
      <c r="G30" t="n">
        <v>14.8</v>
      </c>
      <c r="H30" t="n">
        <v>1</v>
      </c>
      <c r="I30" t="n">
        <v>1</v>
      </c>
      <c r="J30" t="n">
        <v>1</v>
      </c>
      <c r="K30" t="n">
        <v>0</v>
      </c>
      <c r="L30" t="n">
        <v>0</v>
      </c>
      <c r="M30" t="n">
        <v>0</v>
      </c>
      <c r="N30" t="n">
        <v>0</v>
      </c>
      <c r="O30" t="n">
        <v>1</v>
      </c>
      <c r="P30" t="n">
        <v>0</v>
      </c>
      <c r="Q30" t="n">
        <v>3</v>
      </c>
      <c r="R30" s="2" t="inlineStr">
        <is>
          <t>Skogshare
Vedticka
Mattlummer</t>
        </is>
      </c>
      <c r="S30">
        <f>HYPERLINK("https://klasma.github.io/Logging_1907/artfynd/A 14587-2023 artfynd.xlsx", "A 14587-2023")</f>
        <v/>
      </c>
      <c r="T30">
        <f>HYPERLINK("https://klasma.github.io/Logging_1907/kartor/A 14587-2023 karta.png", "A 14587-2023")</f>
        <v/>
      </c>
      <c r="V30">
        <f>HYPERLINK("https://klasma.github.io/Logging_1907/klagomål/A 14587-2023 FSC-klagomål.docx", "A 14587-2023")</f>
        <v/>
      </c>
      <c r="W30">
        <f>HYPERLINK("https://klasma.github.io/Logging_1907/klagomålsmail/A 14587-2023 FSC-klagomål mail.docx", "A 14587-2023")</f>
        <v/>
      </c>
      <c r="X30">
        <f>HYPERLINK("https://klasma.github.io/Logging_1907/tillsyn/A 14587-2023 tillsynsbegäran.docx", "A 14587-2023")</f>
        <v/>
      </c>
      <c r="Y30">
        <f>HYPERLINK("https://klasma.github.io/Logging_1907/tillsynsmail/A 14587-2023 tillsynsbegäran mail.docx", "A 14587-2023")</f>
        <v/>
      </c>
    </row>
    <row r="31" ht="15" customHeight="1">
      <c r="A31" t="inlineStr">
        <is>
          <t>A 24222-2023</t>
        </is>
      </c>
      <c r="B31" s="1" t="n">
        <v>45079</v>
      </c>
      <c r="C31" s="1" t="n">
        <v>45474</v>
      </c>
      <c r="D31" t="inlineStr">
        <is>
          <t>VÄSTMANLANDS LÄN</t>
        </is>
      </c>
      <c r="E31" t="inlineStr">
        <is>
          <t>SURAHAMMAR</t>
        </is>
      </c>
      <c r="F31" t="inlineStr">
        <is>
          <t>Sveaskog</t>
        </is>
      </c>
      <c r="G31" t="n">
        <v>9.699999999999999</v>
      </c>
      <c r="H31" t="n">
        <v>1</v>
      </c>
      <c r="I31" t="n">
        <v>1</v>
      </c>
      <c r="J31" t="n">
        <v>1</v>
      </c>
      <c r="K31" t="n">
        <v>0</v>
      </c>
      <c r="L31" t="n">
        <v>0</v>
      </c>
      <c r="M31" t="n">
        <v>0</v>
      </c>
      <c r="N31" t="n">
        <v>0</v>
      </c>
      <c r="O31" t="n">
        <v>1</v>
      </c>
      <c r="P31" t="n">
        <v>0</v>
      </c>
      <c r="Q31" t="n">
        <v>3</v>
      </c>
      <c r="R31" s="2" t="inlineStr">
        <is>
          <t>Svinrot
Blodticka
Revlummer</t>
        </is>
      </c>
      <c r="S31">
        <f>HYPERLINK("https://klasma.github.io/Logging_1907/artfynd/A 24222-2023 artfynd.xlsx", "A 24222-2023")</f>
        <v/>
      </c>
      <c r="T31">
        <f>HYPERLINK("https://klasma.github.io/Logging_1907/kartor/A 24222-2023 karta.png", "A 24222-2023")</f>
        <v/>
      </c>
      <c r="V31">
        <f>HYPERLINK("https://klasma.github.io/Logging_1907/klagomål/A 24222-2023 FSC-klagomål.docx", "A 24222-2023")</f>
        <v/>
      </c>
      <c r="W31">
        <f>HYPERLINK("https://klasma.github.io/Logging_1907/klagomålsmail/A 24222-2023 FSC-klagomål mail.docx", "A 24222-2023")</f>
        <v/>
      </c>
      <c r="X31">
        <f>HYPERLINK("https://klasma.github.io/Logging_1907/tillsyn/A 24222-2023 tillsynsbegäran.docx", "A 24222-2023")</f>
        <v/>
      </c>
      <c r="Y31">
        <f>HYPERLINK("https://klasma.github.io/Logging_1907/tillsynsmail/A 24222-2023 tillsynsbegäran mail.docx", "A 24222-2023")</f>
        <v/>
      </c>
    </row>
    <row r="32" ht="15" customHeight="1">
      <c r="A32" t="inlineStr">
        <is>
          <t>A 48128-2023</t>
        </is>
      </c>
      <c r="B32" s="1" t="n">
        <v>45205</v>
      </c>
      <c r="C32" s="1" t="n">
        <v>45474</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49718-2023</t>
        </is>
      </c>
      <c r="B33" s="1" t="n">
        <v>45212</v>
      </c>
      <c r="C33" s="1" t="n">
        <v>45474</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65024-2023</t>
        </is>
      </c>
      <c r="B34" s="1" t="n">
        <v>45282</v>
      </c>
      <c r="C34" s="1" t="n">
        <v>45474</v>
      </c>
      <c r="D34" t="inlineStr">
        <is>
          <t>VÄSTMANLANDS LÄN</t>
        </is>
      </c>
      <c r="E34" t="inlineStr">
        <is>
          <t>SURAHAMMAR</t>
        </is>
      </c>
      <c r="F34" t="inlineStr">
        <is>
          <t>Bergvik skog väst AB</t>
        </is>
      </c>
      <c r="G34" t="n">
        <v>14.9</v>
      </c>
      <c r="H34" t="n">
        <v>1</v>
      </c>
      <c r="I34" t="n">
        <v>1</v>
      </c>
      <c r="J34" t="n">
        <v>2</v>
      </c>
      <c r="K34" t="n">
        <v>0</v>
      </c>
      <c r="L34" t="n">
        <v>0</v>
      </c>
      <c r="M34" t="n">
        <v>0</v>
      </c>
      <c r="N34" t="n">
        <v>0</v>
      </c>
      <c r="O34" t="n">
        <v>2</v>
      </c>
      <c r="P34" t="n">
        <v>0</v>
      </c>
      <c r="Q34" t="n">
        <v>3</v>
      </c>
      <c r="R34" s="2" t="inlineStr">
        <is>
          <t>Gropticka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20391-2024</t>
        </is>
      </c>
      <c r="B35" s="1" t="n">
        <v>45435</v>
      </c>
      <c r="C35" s="1" t="n">
        <v>45474</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24561-2024</t>
        </is>
      </c>
      <c r="B36" s="1" t="n">
        <v>45460</v>
      </c>
      <c r="C36" s="1" t="n">
        <v>45474</v>
      </c>
      <c r="D36" t="inlineStr">
        <is>
          <t>VÄSTMANLANDS LÄN</t>
        </is>
      </c>
      <c r="E36" t="inlineStr">
        <is>
          <t>SURAHAMMAR</t>
        </is>
      </c>
      <c r="G36" t="n">
        <v>2.6</v>
      </c>
      <c r="H36" t="n">
        <v>2</v>
      </c>
      <c r="I36" t="n">
        <v>1</v>
      </c>
      <c r="J36" t="n">
        <v>0</v>
      </c>
      <c r="K36" t="n">
        <v>1</v>
      </c>
      <c r="L36" t="n">
        <v>0</v>
      </c>
      <c r="M36" t="n">
        <v>0</v>
      </c>
      <c r="N36" t="n">
        <v>0</v>
      </c>
      <c r="O36" t="n">
        <v>1</v>
      </c>
      <c r="P36" t="n">
        <v>1</v>
      </c>
      <c r="Q36" t="n">
        <v>3</v>
      </c>
      <c r="R36" s="2" t="inlineStr">
        <is>
          <t>Knärot
Grönpyrola
Revlummer</t>
        </is>
      </c>
      <c r="S36">
        <f>HYPERLINK("https://klasma.github.io/Logging_1907/artfynd/A 24561-2024 artfynd.xlsx", "A 24561-2024")</f>
        <v/>
      </c>
      <c r="T36">
        <f>HYPERLINK("https://klasma.github.io/Logging_1907/kartor/A 24561-2024 karta.png", "A 24561-2024")</f>
        <v/>
      </c>
      <c r="U36">
        <f>HYPERLINK("https://klasma.github.io/Logging_1907/knärot/A 24561-2024 karta knärot.png", "A 24561-2024")</f>
        <v/>
      </c>
      <c r="V36">
        <f>HYPERLINK("https://klasma.github.io/Logging_1907/klagomål/A 24561-2024 FSC-klagomål.docx", "A 24561-2024")</f>
        <v/>
      </c>
      <c r="W36">
        <f>HYPERLINK("https://klasma.github.io/Logging_1907/klagomålsmail/A 24561-2024 FSC-klagomål mail.docx", "A 24561-2024")</f>
        <v/>
      </c>
      <c r="X36">
        <f>HYPERLINK("https://klasma.github.io/Logging_1907/tillsyn/A 24561-2024 tillsynsbegäran.docx", "A 24561-2024")</f>
        <v/>
      </c>
      <c r="Y36">
        <f>HYPERLINK("https://klasma.github.io/Logging_1907/tillsynsmail/A 24561-2024 tillsynsbegäran mail.docx", "A 24561-2024")</f>
        <v/>
      </c>
    </row>
    <row r="37" ht="15" customHeight="1">
      <c r="A37" t="inlineStr">
        <is>
          <t>A 25548-2024</t>
        </is>
      </c>
      <c r="B37" s="1" t="n">
        <v>45463</v>
      </c>
      <c r="C37" s="1" t="n">
        <v>45474</v>
      </c>
      <c r="D37" t="inlineStr">
        <is>
          <t>VÄSTMANLANDS LÄN</t>
        </is>
      </c>
      <c r="E37" t="inlineStr">
        <is>
          <t>SURAHAMMAR</t>
        </is>
      </c>
      <c r="F37" t="inlineStr">
        <is>
          <t>Bergvik skog väst AB</t>
        </is>
      </c>
      <c r="G37" t="n">
        <v>5.1</v>
      </c>
      <c r="H37" t="n">
        <v>2</v>
      </c>
      <c r="I37" t="n">
        <v>1</v>
      </c>
      <c r="J37" t="n">
        <v>0</v>
      </c>
      <c r="K37" t="n">
        <v>1</v>
      </c>
      <c r="L37" t="n">
        <v>0</v>
      </c>
      <c r="M37" t="n">
        <v>0</v>
      </c>
      <c r="N37" t="n">
        <v>0</v>
      </c>
      <c r="O37" t="n">
        <v>1</v>
      </c>
      <c r="P37" t="n">
        <v>1</v>
      </c>
      <c r="Q37" t="n">
        <v>3</v>
      </c>
      <c r="R37" s="2" t="inlineStr">
        <is>
          <t>Knärot
Vedticka
Fläcknycklar</t>
        </is>
      </c>
      <c r="S37">
        <f>HYPERLINK("https://klasma.github.io/Logging_1907/artfynd/A 25548-2024 artfynd.xlsx", "A 25548-2024")</f>
        <v/>
      </c>
      <c r="T37">
        <f>HYPERLINK("https://klasma.github.io/Logging_1907/kartor/A 25548-2024 karta.png", "A 25548-2024")</f>
        <v/>
      </c>
      <c r="U37">
        <f>HYPERLINK("https://klasma.github.io/Logging_1907/knärot/A 25548-2024 karta knärot.png", "A 25548-2024")</f>
        <v/>
      </c>
      <c r="V37">
        <f>HYPERLINK("https://klasma.github.io/Logging_1907/klagomål/A 25548-2024 FSC-klagomål.docx", "A 25548-2024")</f>
        <v/>
      </c>
      <c r="W37">
        <f>HYPERLINK("https://klasma.github.io/Logging_1907/klagomålsmail/A 25548-2024 FSC-klagomål mail.docx", "A 25548-2024")</f>
        <v/>
      </c>
      <c r="X37">
        <f>HYPERLINK("https://klasma.github.io/Logging_1907/tillsyn/A 25548-2024 tillsynsbegäran.docx", "A 25548-2024")</f>
        <v/>
      </c>
      <c r="Y37">
        <f>HYPERLINK("https://klasma.github.io/Logging_1907/tillsynsmail/A 25548-2024 tillsynsbegäran mail.docx", "A 25548-2024")</f>
        <v/>
      </c>
    </row>
    <row r="38" ht="15" customHeight="1">
      <c r="A38" t="inlineStr">
        <is>
          <t>A 43169-2020</t>
        </is>
      </c>
      <c r="B38" s="1" t="n">
        <v>44081</v>
      </c>
      <c r="C38" s="1" t="n">
        <v>45474</v>
      </c>
      <c r="D38" t="inlineStr">
        <is>
          <t>VÄSTMANLANDS LÄN</t>
        </is>
      </c>
      <c r="E38" t="inlineStr">
        <is>
          <t>SURAHAMMAR</t>
        </is>
      </c>
      <c r="F38" t="inlineStr">
        <is>
          <t>Sveaskog</t>
        </is>
      </c>
      <c r="G38" t="n">
        <v>6.4</v>
      </c>
      <c r="H38" t="n">
        <v>0</v>
      </c>
      <c r="I38" t="n">
        <v>0</v>
      </c>
      <c r="J38" t="n">
        <v>1</v>
      </c>
      <c r="K38" t="n">
        <v>1</v>
      </c>
      <c r="L38" t="n">
        <v>0</v>
      </c>
      <c r="M38" t="n">
        <v>0</v>
      </c>
      <c r="N38" t="n">
        <v>0</v>
      </c>
      <c r="O38" t="n">
        <v>2</v>
      </c>
      <c r="P38" t="n">
        <v>1</v>
      </c>
      <c r="Q38" t="n">
        <v>2</v>
      </c>
      <c r="R38" s="2" t="inlineStr">
        <is>
          <t>Hängticka
Kandelabersvamp</t>
        </is>
      </c>
      <c r="S38">
        <f>HYPERLINK("https://klasma.github.io/Logging_1907/artfynd/A 43169-2020 artfynd.xlsx", "A 43169-2020")</f>
        <v/>
      </c>
      <c r="T38">
        <f>HYPERLINK("https://klasma.github.io/Logging_1907/kartor/A 43169-2020 karta.png", "A 43169-2020")</f>
        <v/>
      </c>
      <c r="V38">
        <f>HYPERLINK("https://klasma.github.io/Logging_1907/klagomål/A 43169-2020 FSC-klagomål.docx", "A 43169-2020")</f>
        <v/>
      </c>
      <c r="W38">
        <f>HYPERLINK("https://klasma.github.io/Logging_1907/klagomålsmail/A 43169-2020 FSC-klagomål mail.docx", "A 43169-2020")</f>
        <v/>
      </c>
      <c r="X38">
        <f>HYPERLINK("https://klasma.github.io/Logging_1907/tillsyn/A 43169-2020 tillsynsbegäran.docx", "A 43169-2020")</f>
        <v/>
      </c>
      <c r="Y38">
        <f>HYPERLINK("https://klasma.github.io/Logging_1907/tillsynsmail/A 43169-2020 tillsynsbegäran mail.docx", "A 43169-2020")</f>
        <v/>
      </c>
    </row>
    <row r="39" ht="15" customHeight="1">
      <c r="A39" t="inlineStr">
        <is>
          <t>A 59550-2020</t>
        </is>
      </c>
      <c r="B39" s="1" t="n">
        <v>44148</v>
      </c>
      <c r="C39" s="1" t="n">
        <v>45474</v>
      </c>
      <c r="D39" t="inlineStr">
        <is>
          <t>VÄSTMANLANDS LÄN</t>
        </is>
      </c>
      <c r="E39" t="inlineStr">
        <is>
          <t>SURAHAMMAR</t>
        </is>
      </c>
      <c r="G39" t="n">
        <v>0.8</v>
      </c>
      <c r="H39" t="n">
        <v>1</v>
      </c>
      <c r="I39" t="n">
        <v>0</v>
      </c>
      <c r="J39" t="n">
        <v>1</v>
      </c>
      <c r="K39" t="n">
        <v>0</v>
      </c>
      <c r="L39" t="n">
        <v>0</v>
      </c>
      <c r="M39" t="n">
        <v>0</v>
      </c>
      <c r="N39" t="n">
        <v>0</v>
      </c>
      <c r="O39" t="n">
        <v>1</v>
      </c>
      <c r="P39" t="n">
        <v>0</v>
      </c>
      <c r="Q39" t="n">
        <v>2</v>
      </c>
      <c r="R39" s="2" t="inlineStr">
        <is>
          <t>Ljusskivig lerskivling
Blåsippa</t>
        </is>
      </c>
      <c r="S39">
        <f>HYPERLINK("https://klasma.github.io/Logging_1907/artfynd/A 59550-2020 artfynd.xlsx", "A 59550-2020")</f>
        <v/>
      </c>
      <c r="T39">
        <f>HYPERLINK("https://klasma.github.io/Logging_1907/kartor/A 59550-2020 karta.png", "A 59550-2020")</f>
        <v/>
      </c>
      <c r="V39">
        <f>HYPERLINK("https://klasma.github.io/Logging_1907/klagomål/A 59550-2020 FSC-klagomål.docx", "A 59550-2020")</f>
        <v/>
      </c>
      <c r="W39">
        <f>HYPERLINK("https://klasma.github.io/Logging_1907/klagomålsmail/A 59550-2020 FSC-klagomål mail.docx", "A 59550-2020")</f>
        <v/>
      </c>
      <c r="X39">
        <f>HYPERLINK("https://klasma.github.io/Logging_1907/tillsyn/A 59550-2020 tillsynsbegäran.docx", "A 59550-2020")</f>
        <v/>
      </c>
      <c r="Y39">
        <f>HYPERLINK("https://klasma.github.io/Logging_1907/tillsynsmail/A 59550-2020 tillsynsbegäran mail.docx", "A 59550-2020")</f>
        <v/>
      </c>
    </row>
    <row r="40" ht="15" customHeight="1">
      <c r="A40" t="inlineStr">
        <is>
          <t>A 18717-2021</t>
        </is>
      </c>
      <c r="B40" s="1" t="n">
        <v>44306</v>
      </c>
      <c r="C40" s="1" t="n">
        <v>45474</v>
      </c>
      <c r="D40" t="inlineStr">
        <is>
          <t>VÄSTMANLANDS LÄN</t>
        </is>
      </c>
      <c r="E40" t="inlineStr">
        <is>
          <t>SURAHAMMAR</t>
        </is>
      </c>
      <c r="F40" t="inlineStr">
        <is>
          <t>Bergvik skog väst AB</t>
        </is>
      </c>
      <c r="G40" t="n">
        <v>18</v>
      </c>
      <c r="H40" t="n">
        <v>2</v>
      </c>
      <c r="I40" t="n">
        <v>0</v>
      </c>
      <c r="J40" t="n">
        <v>0</v>
      </c>
      <c r="K40" t="n">
        <v>0</v>
      </c>
      <c r="L40" t="n">
        <v>0</v>
      </c>
      <c r="M40" t="n">
        <v>0</v>
      </c>
      <c r="N40" t="n">
        <v>0</v>
      </c>
      <c r="O40" t="n">
        <v>0</v>
      </c>
      <c r="P40" t="n">
        <v>0</v>
      </c>
      <c r="Q40" t="n">
        <v>2</v>
      </c>
      <c r="R40" s="2" t="inlineStr">
        <is>
          <t>Lopplummer
Revlummer</t>
        </is>
      </c>
      <c r="S40">
        <f>HYPERLINK("https://klasma.github.io/Logging_1907/artfynd/A 18717-2021 artfynd.xlsx", "A 18717-2021")</f>
        <v/>
      </c>
      <c r="T40">
        <f>HYPERLINK("https://klasma.github.io/Logging_1907/kartor/A 18717-2021 karta.png", "A 18717-2021")</f>
        <v/>
      </c>
      <c r="V40">
        <f>HYPERLINK("https://klasma.github.io/Logging_1907/klagomål/A 18717-2021 FSC-klagomål.docx", "A 18717-2021")</f>
        <v/>
      </c>
      <c r="W40">
        <f>HYPERLINK("https://klasma.github.io/Logging_1907/klagomålsmail/A 18717-2021 FSC-klagomål mail.docx", "A 18717-2021")</f>
        <v/>
      </c>
      <c r="X40">
        <f>HYPERLINK("https://klasma.github.io/Logging_1907/tillsyn/A 18717-2021 tillsynsbegäran.docx", "A 18717-2021")</f>
        <v/>
      </c>
      <c r="Y40">
        <f>HYPERLINK("https://klasma.github.io/Logging_1907/tillsynsmail/A 18717-2021 tillsynsbegäran mail.docx", "A 18717-2021")</f>
        <v/>
      </c>
    </row>
    <row r="41" ht="15" customHeight="1">
      <c r="A41" t="inlineStr">
        <is>
          <t>A 21825-2021</t>
        </is>
      </c>
      <c r="B41" s="1" t="n">
        <v>44322</v>
      </c>
      <c r="C41" s="1" t="n">
        <v>45474</v>
      </c>
      <c r="D41" t="inlineStr">
        <is>
          <t>VÄSTMANLANDS LÄN</t>
        </is>
      </c>
      <c r="E41" t="inlineStr">
        <is>
          <t>SURAHAMMAR</t>
        </is>
      </c>
      <c r="G41" t="n">
        <v>4.7</v>
      </c>
      <c r="H41" t="n">
        <v>1</v>
      </c>
      <c r="I41" t="n">
        <v>0</v>
      </c>
      <c r="J41" t="n">
        <v>1</v>
      </c>
      <c r="K41" t="n">
        <v>0</v>
      </c>
      <c r="L41" t="n">
        <v>0</v>
      </c>
      <c r="M41" t="n">
        <v>0</v>
      </c>
      <c r="N41" t="n">
        <v>0</v>
      </c>
      <c r="O41" t="n">
        <v>1</v>
      </c>
      <c r="P41" t="n">
        <v>0</v>
      </c>
      <c r="Q41" t="n">
        <v>2</v>
      </c>
      <c r="R41" s="2" t="inlineStr">
        <is>
          <t>Svinrot
Blåsippa</t>
        </is>
      </c>
      <c r="S41">
        <f>HYPERLINK("https://klasma.github.io/Logging_1907/artfynd/A 21825-2021 artfynd.xlsx", "A 21825-2021")</f>
        <v/>
      </c>
      <c r="T41">
        <f>HYPERLINK("https://klasma.github.io/Logging_1907/kartor/A 21825-2021 karta.png", "A 21825-2021")</f>
        <v/>
      </c>
      <c r="V41">
        <f>HYPERLINK("https://klasma.github.io/Logging_1907/klagomål/A 21825-2021 FSC-klagomål.docx", "A 21825-2021")</f>
        <v/>
      </c>
      <c r="W41">
        <f>HYPERLINK("https://klasma.github.io/Logging_1907/klagomålsmail/A 21825-2021 FSC-klagomål mail.docx", "A 21825-2021")</f>
        <v/>
      </c>
      <c r="X41">
        <f>HYPERLINK("https://klasma.github.io/Logging_1907/tillsyn/A 21825-2021 tillsynsbegäran.docx", "A 21825-2021")</f>
        <v/>
      </c>
      <c r="Y41">
        <f>HYPERLINK("https://klasma.github.io/Logging_1907/tillsynsmail/A 21825-2021 tillsynsbegäran mail.docx", "A 21825-2021")</f>
        <v/>
      </c>
    </row>
    <row r="42" ht="15" customHeight="1">
      <c r="A42" t="inlineStr">
        <is>
          <t>A 37801-2021</t>
        </is>
      </c>
      <c r="B42" s="1" t="n">
        <v>44402</v>
      </c>
      <c r="C42" s="1" t="n">
        <v>45474</v>
      </c>
      <c r="D42" t="inlineStr">
        <is>
          <t>VÄSTMANLANDS LÄN</t>
        </is>
      </c>
      <c r="E42" t="inlineStr">
        <is>
          <t>SURAHAMMAR</t>
        </is>
      </c>
      <c r="F42" t="inlineStr">
        <is>
          <t>Kommuner</t>
        </is>
      </c>
      <c r="G42" t="n">
        <v>2.3</v>
      </c>
      <c r="H42" t="n">
        <v>1</v>
      </c>
      <c r="I42" t="n">
        <v>0</v>
      </c>
      <c r="J42" t="n">
        <v>1</v>
      </c>
      <c r="K42" t="n">
        <v>0</v>
      </c>
      <c r="L42" t="n">
        <v>0</v>
      </c>
      <c r="M42" t="n">
        <v>0</v>
      </c>
      <c r="N42" t="n">
        <v>0</v>
      </c>
      <c r="O42" t="n">
        <v>1</v>
      </c>
      <c r="P42" t="n">
        <v>0</v>
      </c>
      <c r="Q42" t="n">
        <v>2</v>
      </c>
      <c r="R42" s="2" t="inlineStr">
        <is>
          <t>Veckticka
Nattviol</t>
        </is>
      </c>
      <c r="S42">
        <f>HYPERLINK("https://klasma.github.io/Logging_1907/artfynd/A 37801-2021 artfynd.xlsx", "A 37801-2021")</f>
        <v/>
      </c>
      <c r="T42">
        <f>HYPERLINK("https://klasma.github.io/Logging_1907/kartor/A 37801-2021 karta.png", "A 37801-2021")</f>
        <v/>
      </c>
      <c r="V42">
        <f>HYPERLINK("https://klasma.github.io/Logging_1907/klagomål/A 37801-2021 FSC-klagomål.docx", "A 37801-2021")</f>
        <v/>
      </c>
      <c r="W42">
        <f>HYPERLINK("https://klasma.github.io/Logging_1907/klagomålsmail/A 37801-2021 FSC-klagomål mail.docx", "A 37801-2021")</f>
        <v/>
      </c>
      <c r="X42">
        <f>HYPERLINK("https://klasma.github.io/Logging_1907/tillsyn/A 37801-2021 tillsynsbegäran.docx", "A 37801-2021")</f>
        <v/>
      </c>
      <c r="Y42">
        <f>HYPERLINK("https://klasma.github.io/Logging_1907/tillsynsmail/A 37801-2021 tillsynsbegäran mail.docx", "A 37801-2021")</f>
        <v/>
      </c>
    </row>
    <row r="43" ht="15" customHeight="1">
      <c r="A43" t="inlineStr">
        <is>
          <t>A 37800-2021</t>
        </is>
      </c>
      <c r="B43" s="1" t="n">
        <v>44402</v>
      </c>
      <c r="C43" s="1" t="n">
        <v>45474</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38200-2021</t>
        </is>
      </c>
      <c r="B44" s="1" t="n">
        <v>44405</v>
      </c>
      <c r="C44" s="1" t="n">
        <v>45474</v>
      </c>
      <c r="D44" t="inlineStr">
        <is>
          <t>VÄSTMANLANDS LÄN</t>
        </is>
      </c>
      <c r="E44" t="inlineStr">
        <is>
          <t>SURAHAMMAR</t>
        </is>
      </c>
      <c r="F44" t="inlineStr">
        <is>
          <t>Sveaskog</t>
        </is>
      </c>
      <c r="G44" t="n">
        <v>1.5</v>
      </c>
      <c r="H44" t="n">
        <v>0</v>
      </c>
      <c r="I44" t="n">
        <v>0</v>
      </c>
      <c r="J44" t="n">
        <v>1</v>
      </c>
      <c r="K44" t="n">
        <v>1</v>
      </c>
      <c r="L44" t="n">
        <v>0</v>
      </c>
      <c r="M44" t="n">
        <v>0</v>
      </c>
      <c r="N44" t="n">
        <v>0</v>
      </c>
      <c r="O44" t="n">
        <v>2</v>
      </c>
      <c r="P44" t="n">
        <v>1</v>
      </c>
      <c r="Q44" t="n">
        <v>2</v>
      </c>
      <c r="R44" s="2" t="inlineStr">
        <is>
          <t>Vågticka
Svinrot</t>
        </is>
      </c>
      <c r="S44">
        <f>HYPERLINK("https://klasma.github.io/Logging_1907/artfynd/A 38200-2021 artfynd.xlsx", "A 38200-2021")</f>
        <v/>
      </c>
      <c r="T44">
        <f>HYPERLINK("https://klasma.github.io/Logging_1907/kartor/A 38200-2021 karta.png", "A 38200-2021")</f>
        <v/>
      </c>
      <c r="V44">
        <f>HYPERLINK("https://klasma.github.io/Logging_1907/klagomål/A 38200-2021 FSC-klagomål.docx", "A 38200-2021")</f>
        <v/>
      </c>
      <c r="W44">
        <f>HYPERLINK("https://klasma.github.io/Logging_1907/klagomålsmail/A 38200-2021 FSC-klagomål mail.docx", "A 38200-2021")</f>
        <v/>
      </c>
      <c r="X44">
        <f>HYPERLINK("https://klasma.github.io/Logging_1907/tillsyn/A 38200-2021 tillsynsbegäran.docx", "A 38200-2021")</f>
        <v/>
      </c>
      <c r="Y44">
        <f>HYPERLINK("https://klasma.github.io/Logging_1907/tillsynsmail/A 38200-2021 tillsynsbegäran mail.docx", "A 38200-2021")</f>
        <v/>
      </c>
    </row>
    <row r="45" ht="15" customHeight="1">
      <c r="A45" t="inlineStr">
        <is>
          <t>A 57168-2021</t>
        </is>
      </c>
      <c r="B45" s="1" t="n">
        <v>44482</v>
      </c>
      <c r="C45" s="1" t="n">
        <v>45474</v>
      </c>
      <c r="D45" t="inlineStr">
        <is>
          <t>VÄSTMANLANDS LÄN</t>
        </is>
      </c>
      <c r="E45" t="inlineStr">
        <is>
          <t>SURAHAMMAR</t>
        </is>
      </c>
      <c r="G45" t="n">
        <v>1.7</v>
      </c>
      <c r="H45" t="n">
        <v>0</v>
      </c>
      <c r="I45" t="n">
        <v>0</v>
      </c>
      <c r="J45" t="n">
        <v>1</v>
      </c>
      <c r="K45" t="n">
        <v>0</v>
      </c>
      <c r="L45" t="n">
        <v>1</v>
      </c>
      <c r="M45" t="n">
        <v>0</v>
      </c>
      <c r="N45" t="n">
        <v>0</v>
      </c>
      <c r="O45" t="n">
        <v>2</v>
      </c>
      <c r="P45" t="n">
        <v>1</v>
      </c>
      <c r="Q45" t="n">
        <v>2</v>
      </c>
      <c r="R45" s="2" t="inlineStr">
        <is>
          <t>Ask
Svartöra</t>
        </is>
      </c>
      <c r="S45">
        <f>HYPERLINK("https://klasma.github.io/Logging_1907/artfynd/A 57168-2021 artfynd.xlsx", "A 57168-2021")</f>
        <v/>
      </c>
      <c r="T45">
        <f>HYPERLINK("https://klasma.github.io/Logging_1907/kartor/A 57168-2021 karta.png", "A 57168-2021")</f>
        <v/>
      </c>
      <c r="V45">
        <f>HYPERLINK("https://klasma.github.io/Logging_1907/klagomål/A 57168-2021 FSC-klagomål.docx", "A 57168-2021")</f>
        <v/>
      </c>
      <c r="W45">
        <f>HYPERLINK("https://klasma.github.io/Logging_1907/klagomålsmail/A 57168-2021 FSC-klagomål mail.docx", "A 57168-2021")</f>
        <v/>
      </c>
      <c r="X45">
        <f>HYPERLINK("https://klasma.github.io/Logging_1907/tillsyn/A 57168-2021 tillsynsbegäran.docx", "A 57168-2021")</f>
        <v/>
      </c>
      <c r="Y45">
        <f>HYPERLINK("https://klasma.github.io/Logging_1907/tillsynsmail/A 57168-2021 tillsynsbegäran mail.docx", "A 57168-2021")</f>
        <v/>
      </c>
    </row>
    <row r="46" ht="15" customHeight="1">
      <c r="A46" t="inlineStr">
        <is>
          <t>A 7845-2022</t>
        </is>
      </c>
      <c r="B46" s="1" t="n">
        <v>44608</v>
      </c>
      <c r="C46" s="1" t="n">
        <v>45474</v>
      </c>
      <c r="D46" t="inlineStr">
        <is>
          <t>VÄSTMANLANDS LÄN</t>
        </is>
      </c>
      <c r="E46" t="inlineStr">
        <is>
          <t>SURAHAMMAR</t>
        </is>
      </c>
      <c r="G46" t="n">
        <v>3</v>
      </c>
      <c r="H46" t="n">
        <v>1</v>
      </c>
      <c r="I46" t="n">
        <v>1</v>
      </c>
      <c r="J46" t="n">
        <v>0</v>
      </c>
      <c r="K46" t="n">
        <v>1</v>
      </c>
      <c r="L46" t="n">
        <v>0</v>
      </c>
      <c r="M46" t="n">
        <v>0</v>
      </c>
      <c r="N46" t="n">
        <v>0</v>
      </c>
      <c r="O46" t="n">
        <v>1</v>
      </c>
      <c r="P46" t="n">
        <v>1</v>
      </c>
      <c r="Q46" t="n">
        <v>2</v>
      </c>
      <c r="R46" s="2" t="inlineStr">
        <is>
          <t>Knärot
Vedticka</t>
        </is>
      </c>
      <c r="S46">
        <f>HYPERLINK("https://klasma.github.io/Logging_1907/artfynd/A 7845-2022 artfynd.xlsx", "A 7845-2022")</f>
        <v/>
      </c>
      <c r="T46">
        <f>HYPERLINK("https://klasma.github.io/Logging_1907/kartor/A 7845-2022 karta.png", "A 7845-2022")</f>
        <v/>
      </c>
      <c r="U46">
        <f>HYPERLINK("https://klasma.github.io/Logging_1907/knärot/A 7845-2022 karta knärot.png", "A 7845-2022")</f>
        <v/>
      </c>
      <c r="V46">
        <f>HYPERLINK("https://klasma.github.io/Logging_1907/klagomål/A 7845-2022 FSC-klagomål.docx", "A 7845-2022")</f>
        <v/>
      </c>
      <c r="W46">
        <f>HYPERLINK("https://klasma.github.io/Logging_1907/klagomålsmail/A 7845-2022 FSC-klagomål mail.docx", "A 7845-2022")</f>
        <v/>
      </c>
      <c r="X46">
        <f>HYPERLINK("https://klasma.github.io/Logging_1907/tillsyn/A 7845-2022 tillsynsbegäran.docx", "A 7845-2022")</f>
        <v/>
      </c>
      <c r="Y46">
        <f>HYPERLINK("https://klasma.github.io/Logging_1907/tillsynsmail/A 7845-2022 tillsynsbegäran mail.docx", "A 7845-2022")</f>
        <v/>
      </c>
    </row>
    <row r="47" ht="15" customHeight="1">
      <c r="A47" t="inlineStr">
        <is>
          <t>A 16217-2023</t>
        </is>
      </c>
      <c r="B47" s="1" t="n">
        <v>45022</v>
      </c>
      <c r="C47" s="1" t="n">
        <v>45474</v>
      </c>
      <c r="D47" t="inlineStr">
        <is>
          <t>VÄSTMANLANDS LÄN</t>
        </is>
      </c>
      <c r="E47" t="inlineStr">
        <is>
          <t>SURAHAMMAR</t>
        </is>
      </c>
      <c r="G47" t="n">
        <v>2.6</v>
      </c>
      <c r="H47" t="n">
        <v>1</v>
      </c>
      <c r="I47" t="n">
        <v>1</v>
      </c>
      <c r="J47" t="n">
        <v>1</v>
      </c>
      <c r="K47" t="n">
        <v>0</v>
      </c>
      <c r="L47" t="n">
        <v>0</v>
      </c>
      <c r="M47" t="n">
        <v>0</v>
      </c>
      <c r="N47" t="n">
        <v>0</v>
      </c>
      <c r="O47" t="n">
        <v>1</v>
      </c>
      <c r="P47" t="n">
        <v>0</v>
      </c>
      <c r="Q47" t="n">
        <v>2</v>
      </c>
      <c r="R47" s="2" t="inlineStr">
        <is>
          <t>Tretåig hackspett
Gullgröppa</t>
        </is>
      </c>
      <c r="S47">
        <f>HYPERLINK("https://klasma.github.io/Logging_1907/artfynd/A 16217-2023 artfynd.xlsx", "A 16217-2023")</f>
        <v/>
      </c>
      <c r="T47">
        <f>HYPERLINK("https://klasma.github.io/Logging_1907/kartor/A 16217-2023 karta.png", "A 16217-2023")</f>
        <v/>
      </c>
      <c r="V47">
        <f>HYPERLINK("https://klasma.github.io/Logging_1907/klagomål/A 16217-2023 FSC-klagomål.docx", "A 16217-2023")</f>
        <v/>
      </c>
      <c r="W47">
        <f>HYPERLINK("https://klasma.github.io/Logging_1907/klagomålsmail/A 16217-2023 FSC-klagomål mail.docx", "A 16217-2023")</f>
        <v/>
      </c>
      <c r="X47">
        <f>HYPERLINK("https://klasma.github.io/Logging_1907/tillsyn/A 16217-2023 tillsynsbegäran.docx", "A 16217-2023")</f>
        <v/>
      </c>
      <c r="Y47">
        <f>HYPERLINK("https://klasma.github.io/Logging_1907/tillsynsmail/A 16217-2023 tillsynsbegäran mail.docx", "A 16217-2023")</f>
        <v/>
      </c>
      <c r="Z47">
        <f>HYPERLINK("https://klasma.github.io/Logging_1907/fåglar/A 16217-2023 prioriterade fågelarter.docx", "A 16217-2023")</f>
        <v/>
      </c>
    </row>
    <row r="48" ht="15" customHeight="1">
      <c r="A48" t="inlineStr">
        <is>
          <t>A 23734-2023</t>
        </is>
      </c>
      <c r="B48" s="1" t="n">
        <v>45077</v>
      </c>
      <c r="C48" s="1" t="n">
        <v>45474</v>
      </c>
      <c r="D48" t="inlineStr">
        <is>
          <t>VÄSTMANLANDS LÄN</t>
        </is>
      </c>
      <c r="E48" t="inlineStr">
        <is>
          <t>SURAHAMMAR</t>
        </is>
      </c>
      <c r="F48" t="inlineStr">
        <is>
          <t>Sveaskog</t>
        </is>
      </c>
      <c r="G48" t="n">
        <v>6.7</v>
      </c>
      <c r="H48" t="n">
        <v>0</v>
      </c>
      <c r="I48" t="n">
        <v>0</v>
      </c>
      <c r="J48" t="n">
        <v>1</v>
      </c>
      <c r="K48" t="n">
        <v>1</v>
      </c>
      <c r="L48" t="n">
        <v>0</v>
      </c>
      <c r="M48" t="n">
        <v>0</v>
      </c>
      <c r="N48" t="n">
        <v>0</v>
      </c>
      <c r="O48" t="n">
        <v>2</v>
      </c>
      <c r="P48" t="n">
        <v>1</v>
      </c>
      <c r="Q48" t="n">
        <v>2</v>
      </c>
      <c r="R48" s="2" t="inlineStr">
        <is>
          <t>Hängticka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row>
    <row r="49" ht="15" customHeight="1">
      <c r="A49" t="inlineStr">
        <is>
          <t>A 28043-2023</t>
        </is>
      </c>
      <c r="B49" s="1" t="n">
        <v>45099</v>
      </c>
      <c r="C49" s="1" t="n">
        <v>45474</v>
      </c>
      <c r="D49" t="inlineStr">
        <is>
          <t>VÄSTMANLANDS LÄN</t>
        </is>
      </c>
      <c r="E49" t="inlineStr">
        <is>
          <t>SURAHAMMAR</t>
        </is>
      </c>
      <c r="F49" t="inlineStr">
        <is>
          <t>Allmännings- och besparingsskogar</t>
        </is>
      </c>
      <c r="G49" t="n">
        <v>23.9</v>
      </c>
      <c r="H49" t="n">
        <v>1</v>
      </c>
      <c r="I49" t="n">
        <v>0</v>
      </c>
      <c r="J49" t="n">
        <v>1</v>
      </c>
      <c r="K49" t="n">
        <v>0</v>
      </c>
      <c r="L49" t="n">
        <v>0</v>
      </c>
      <c r="M49" t="n">
        <v>0</v>
      </c>
      <c r="N49" t="n">
        <v>0</v>
      </c>
      <c r="O49" t="n">
        <v>1</v>
      </c>
      <c r="P49" t="n">
        <v>0</v>
      </c>
      <c r="Q49" t="n">
        <v>2</v>
      </c>
      <c r="R49" s="2" t="inlineStr">
        <is>
          <t>Gropticka
Revlummer</t>
        </is>
      </c>
      <c r="S49">
        <f>HYPERLINK("https://klasma.github.io/Logging_1907/artfynd/A 28043-2023 artfynd.xlsx", "A 28043-2023")</f>
        <v/>
      </c>
      <c r="T49">
        <f>HYPERLINK("https://klasma.github.io/Logging_1907/kartor/A 28043-2023 karta.png", "A 28043-2023")</f>
        <v/>
      </c>
      <c r="V49">
        <f>HYPERLINK("https://klasma.github.io/Logging_1907/klagomål/A 28043-2023 FSC-klagomål.docx", "A 28043-2023")</f>
        <v/>
      </c>
      <c r="W49">
        <f>HYPERLINK("https://klasma.github.io/Logging_1907/klagomålsmail/A 28043-2023 FSC-klagomål mail.docx", "A 28043-2023")</f>
        <v/>
      </c>
      <c r="X49">
        <f>HYPERLINK("https://klasma.github.io/Logging_1907/tillsyn/A 28043-2023 tillsynsbegäran.docx", "A 28043-2023")</f>
        <v/>
      </c>
      <c r="Y49">
        <f>HYPERLINK("https://klasma.github.io/Logging_1907/tillsynsmail/A 28043-2023 tillsynsbegäran mail.docx", "A 28043-2023")</f>
        <v/>
      </c>
    </row>
    <row r="50" ht="15" customHeight="1">
      <c r="A50" t="inlineStr">
        <is>
          <t>A 41204-2023</t>
        </is>
      </c>
      <c r="B50" s="1" t="n">
        <v>45174</v>
      </c>
      <c r="C50" s="1" t="n">
        <v>45474</v>
      </c>
      <c r="D50" t="inlineStr">
        <is>
          <t>VÄSTMANLANDS LÄN</t>
        </is>
      </c>
      <c r="E50" t="inlineStr">
        <is>
          <t>SURAHAMMAR</t>
        </is>
      </c>
      <c r="G50" t="n">
        <v>1</v>
      </c>
      <c r="H50" t="n">
        <v>1</v>
      </c>
      <c r="I50" t="n">
        <v>0</v>
      </c>
      <c r="J50" t="n">
        <v>1</v>
      </c>
      <c r="K50" t="n">
        <v>1</v>
      </c>
      <c r="L50" t="n">
        <v>0</v>
      </c>
      <c r="M50" t="n">
        <v>0</v>
      </c>
      <c r="N50" t="n">
        <v>0</v>
      </c>
      <c r="O50" t="n">
        <v>2</v>
      </c>
      <c r="P50" t="n">
        <v>1</v>
      </c>
      <c r="Q50" t="n">
        <v>2</v>
      </c>
      <c r="R50" s="2" t="inlineStr">
        <is>
          <t>Knärot
Vedtrappmossa</t>
        </is>
      </c>
      <c r="S50">
        <f>HYPERLINK("https://klasma.github.io/Logging_1907/artfynd/A 41204-2023 artfynd.xlsx", "A 41204-2023")</f>
        <v/>
      </c>
      <c r="T50">
        <f>HYPERLINK("https://klasma.github.io/Logging_1907/kartor/A 41204-2023 karta.png", "A 41204-2023")</f>
        <v/>
      </c>
      <c r="U50">
        <f>HYPERLINK("https://klasma.github.io/Logging_1907/knärot/A 41204-2023 karta knärot.png", "A 41204-2023")</f>
        <v/>
      </c>
      <c r="V50">
        <f>HYPERLINK("https://klasma.github.io/Logging_1907/klagomål/A 41204-2023 FSC-klagomål.docx", "A 41204-2023")</f>
        <v/>
      </c>
      <c r="W50">
        <f>HYPERLINK("https://klasma.github.io/Logging_1907/klagomålsmail/A 41204-2023 FSC-klagomål mail.docx", "A 41204-2023")</f>
        <v/>
      </c>
      <c r="X50">
        <f>HYPERLINK("https://klasma.github.io/Logging_1907/tillsyn/A 41204-2023 tillsynsbegäran.docx", "A 41204-2023")</f>
        <v/>
      </c>
      <c r="Y50">
        <f>HYPERLINK("https://klasma.github.io/Logging_1907/tillsynsmail/A 41204-2023 tillsynsbegäran mail.docx", "A 41204-2023")</f>
        <v/>
      </c>
    </row>
    <row r="51" ht="15" customHeight="1">
      <c r="A51" t="inlineStr">
        <is>
          <t>A 7796-2024</t>
        </is>
      </c>
      <c r="B51" s="1" t="n">
        <v>45348</v>
      </c>
      <c r="C51" s="1" t="n">
        <v>45474</v>
      </c>
      <c r="D51" t="inlineStr">
        <is>
          <t>VÄSTMANLANDS LÄN</t>
        </is>
      </c>
      <c r="E51" t="inlineStr">
        <is>
          <t>SURAHAMMAR</t>
        </is>
      </c>
      <c r="G51" t="n">
        <v>10.5</v>
      </c>
      <c r="H51" t="n">
        <v>1</v>
      </c>
      <c r="I51" t="n">
        <v>1</v>
      </c>
      <c r="J51" t="n">
        <v>1</v>
      </c>
      <c r="K51" t="n">
        <v>0</v>
      </c>
      <c r="L51" t="n">
        <v>0</v>
      </c>
      <c r="M51" t="n">
        <v>0</v>
      </c>
      <c r="N51" t="n">
        <v>0</v>
      </c>
      <c r="O51" t="n">
        <v>1</v>
      </c>
      <c r="P51" t="n">
        <v>0</v>
      </c>
      <c r="Q51" t="n">
        <v>2</v>
      </c>
      <c r="R51" s="2" t="inlineStr">
        <is>
          <t>Ullticka
Plattlummer</t>
        </is>
      </c>
      <c r="S51">
        <f>HYPERLINK("https://klasma.github.io/Logging_1907/artfynd/A 7796-2024 artfynd.xlsx", "A 7796-2024")</f>
        <v/>
      </c>
      <c r="T51">
        <f>HYPERLINK("https://klasma.github.io/Logging_1907/kartor/A 7796-2024 karta.png", "A 7796-2024")</f>
        <v/>
      </c>
      <c r="V51">
        <f>HYPERLINK("https://klasma.github.io/Logging_1907/klagomål/A 7796-2024 FSC-klagomål.docx", "A 7796-2024")</f>
        <v/>
      </c>
      <c r="W51">
        <f>HYPERLINK("https://klasma.github.io/Logging_1907/klagomålsmail/A 7796-2024 FSC-klagomål mail.docx", "A 7796-2024")</f>
        <v/>
      </c>
      <c r="X51">
        <f>HYPERLINK("https://klasma.github.io/Logging_1907/tillsyn/A 7796-2024 tillsynsbegäran.docx", "A 7796-2024")</f>
        <v/>
      </c>
      <c r="Y51">
        <f>HYPERLINK("https://klasma.github.io/Logging_1907/tillsynsmail/A 7796-2024 tillsynsbegäran mail.docx", "A 7796-2024")</f>
        <v/>
      </c>
    </row>
    <row r="52" ht="15" customHeight="1">
      <c r="A52" t="inlineStr">
        <is>
          <t>A 19120-2024</t>
        </is>
      </c>
      <c r="B52" s="1" t="n">
        <v>45428</v>
      </c>
      <c r="C52" s="1" t="n">
        <v>45474</v>
      </c>
      <c r="D52" t="inlineStr">
        <is>
          <t>VÄSTMANLANDS LÄN</t>
        </is>
      </c>
      <c r="E52" t="inlineStr">
        <is>
          <t>SURAHAMMAR</t>
        </is>
      </c>
      <c r="F52" t="inlineStr">
        <is>
          <t>Allmännings- och besparingsskogar</t>
        </is>
      </c>
      <c r="G52" t="n">
        <v>17.5</v>
      </c>
      <c r="H52" t="n">
        <v>0</v>
      </c>
      <c r="I52" t="n">
        <v>1</v>
      </c>
      <c r="J52" t="n">
        <v>1</v>
      </c>
      <c r="K52" t="n">
        <v>0</v>
      </c>
      <c r="L52" t="n">
        <v>0</v>
      </c>
      <c r="M52" t="n">
        <v>0</v>
      </c>
      <c r="N52" t="n">
        <v>0</v>
      </c>
      <c r="O52" t="n">
        <v>1</v>
      </c>
      <c r="P52" t="n">
        <v>0</v>
      </c>
      <c r="Q52" t="n">
        <v>2</v>
      </c>
      <c r="R52" s="2" t="inlineStr">
        <is>
          <t>Tallticka
Vedticka</t>
        </is>
      </c>
      <c r="S52">
        <f>HYPERLINK("https://klasma.github.io/Logging_1907/artfynd/A 19120-2024 artfynd.xlsx", "A 19120-2024")</f>
        <v/>
      </c>
      <c r="T52">
        <f>HYPERLINK("https://klasma.github.io/Logging_1907/kartor/A 19120-2024 karta.png", "A 19120-2024")</f>
        <v/>
      </c>
      <c r="V52">
        <f>HYPERLINK("https://klasma.github.io/Logging_1907/klagomål/A 19120-2024 FSC-klagomål.docx", "A 19120-2024")</f>
        <v/>
      </c>
      <c r="W52">
        <f>HYPERLINK("https://klasma.github.io/Logging_1907/klagomålsmail/A 19120-2024 FSC-klagomål mail.docx", "A 19120-2024")</f>
        <v/>
      </c>
      <c r="X52">
        <f>HYPERLINK("https://klasma.github.io/Logging_1907/tillsyn/A 19120-2024 tillsynsbegäran.docx", "A 19120-2024")</f>
        <v/>
      </c>
      <c r="Y52">
        <f>HYPERLINK("https://klasma.github.io/Logging_1907/tillsynsmail/A 19120-2024 tillsynsbegäran mail.docx", "A 19120-2024")</f>
        <v/>
      </c>
    </row>
    <row r="53" ht="15" customHeight="1">
      <c r="A53" t="inlineStr">
        <is>
          <t>A 24538-2024</t>
        </is>
      </c>
      <c r="B53" s="1" t="n">
        <v>45460</v>
      </c>
      <c r="C53" s="1" t="n">
        <v>45474</v>
      </c>
      <c r="D53" t="inlineStr">
        <is>
          <t>VÄSTMANLANDS LÄN</t>
        </is>
      </c>
      <c r="E53" t="inlineStr">
        <is>
          <t>SURAHAMMAR</t>
        </is>
      </c>
      <c r="G53" t="n">
        <v>2.5</v>
      </c>
      <c r="H53" t="n">
        <v>1</v>
      </c>
      <c r="I53" t="n">
        <v>1</v>
      </c>
      <c r="J53" t="n">
        <v>0</v>
      </c>
      <c r="K53" t="n">
        <v>1</v>
      </c>
      <c r="L53" t="n">
        <v>0</v>
      </c>
      <c r="M53" t="n">
        <v>0</v>
      </c>
      <c r="N53" t="n">
        <v>0</v>
      </c>
      <c r="O53" t="n">
        <v>1</v>
      </c>
      <c r="P53" t="n">
        <v>1</v>
      </c>
      <c r="Q53" t="n">
        <v>2</v>
      </c>
      <c r="R53" s="2" t="inlineStr">
        <is>
          <t>Knärot
Vedticka</t>
        </is>
      </c>
      <c r="S53">
        <f>HYPERLINK("https://klasma.github.io/Logging_1907/artfynd/A 24538-2024 artfynd.xlsx", "A 24538-2024")</f>
        <v/>
      </c>
      <c r="T53">
        <f>HYPERLINK("https://klasma.github.io/Logging_1907/kartor/A 24538-2024 karta.png", "A 24538-2024")</f>
        <v/>
      </c>
      <c r="U53">
        <f>HYPERLINK("https://klasma.github.io/Logging_1907/knärot/A 24538-2024 karta knärot.png", "A 24538-2024")</f>
        <v/>
      </c>
      <c r="V53">
        <f>HYPERLINK("https://klasma.github.io/Logging_1907/klagomål/A 24538-2024 FSC-klagomål.docx", "A 24538-2024")</f>
        <v/>
      </c>
      <c r="W53">
        <f>HYPERLINK("https://klasma.github.io/Logging_1907/klagomålsmail/A 24538-2024 FSC-klagomål mail.docx", "A 24538-2024")</f>
        <v/>
      </c>
      <c r="X53">
        <f>HYPERLINK("https://klasma.github.io/Logging_1907/tillsyn/A 24538-2024 tillsynsbegäran.docx", "A 24538-2024")</f>
        <v/>
      </c>
      <c r="Y53">
        <f>HYPERLINK("https://klasma.github.io/Logging_1907/tillsynsmail/A 24538-2024 tillsynsbegäran mail.docx", "A 24538-2024")</f>
        <v/>
      </c>
    </row>
    <row r="54" ht="15" customHeight="1">
      <c r="A54" t="inlineStr">
        <is>
          <t>A 18948-2019</t>
        </is>
      </c>
      <c r="B54" s="1" t="n">
        <v>43563</v>
      </c>
      <c r="C54" s="1" t="n">
        <v>45474</v>
      </c>
      <c r="D54" t="inlineStr">
        <is>
          <t>VÄSTMANLANDS LÄN</t>
        </is>
      </c>
      <c r="E54" t="inlineStr">
        <is>
          <t>SURAHAMMAR</t>
        </is>
      </c>
      <c r="F54" t="inlineStr">
        <is>
          <t>Övriga Aktiebolag</t>
        </is>
      </c>
      <c r="G54" t="n">
        <v>1.9</v>
      </c>
      <c r="H54" t="n">
        <v>0</v>
      </c>
      <c r="I54" t="n">
        <v>0</v>
      </c>
      <c r="J54" t="n">
        <v>0</v>
      </c>
      <c r="K54" t="n">
        <v>0</v>
      </c>
      <c r="L54" t="n">
        <v>1</v>
      </c>
      <c r="M54" t="n">
        <v>0</v>
      </c>
      <c r="N54" t="n">
        <v>0</v>
      </c>
      <c r="O54" t="n">
        <v>1</v>
      </c>
      <c r="P54" t="n">
        <v>1</v>
      </c>
      <c r="Q54" t="n">
        <v>1</v>
      </c>
      <c r="R54" s="2" t="inlineStr">
        <is>
          <t>Ask</t>
        </is>
      </c>
      <c r="S54">
        <f>HYPERLINK("https://klasma.github.io/Logging_1907/artfynd/A 18948-2019 artfynd.xlsx", "A 18948-2019")</f>
        <v/>
      </c>
      <c r="T54">
        <f>HYPERLINK("https://klasma.github.io/Logging_1907/kartor/A 18948-2019 karta.png", "A 18948-2019")</f>
        <v/>
      </c>
      <c r="V54">
        <f>HYPERLINK("https://klasma.github.io/Logging_1907/klagomål/A 18948-2019 FSC-klagomål.docx", "A 18948-2019")</f>
        <v/>
      </c>
      <c r="W54">
        <f>HYPERLINK("https://klasma.github.io/Logging_1907/klagomålsmail/A 18948-2019 FSC-klagomål mail.docx", "A 18948-2019")</f>
        <v/>
      </c>
      <c r="X54">
        <f>HYPERLINK("https://klasma.github.io/Logging_1907/tillsyn/A 18948-2019 tillsynsbegäran.docx", "A 18948-2019")</f>
        <v/>
      </c>
      <c r="Y54">
        <f>HYPERLINK("https://klasma.github.io/Logging_1907/tillsynsmail/A 18948-2019 tillsynsbegäran mail.docx", "A 18948-2019")</f>
        <v/>
      </c>
    </row>
    <row r="55" ht="15" customHeight="1">
      <c r="A55" t="inlineStr">
        <is>
          <t>A 28276-2019</t>
        </is>
      </c>
      <c r="B55" s="1" t="n">
        <v>43623</v>
      </c>
      <c r="C55" s="1" t="n">
        <v>45474</v>
      </c>
      <c r="D55" t="inlineStr">
        <is>
          <t>VÄSTMANLANDS LÄN</t>
        </is>
      </c>
      <c r="E55" t="inlineStr">
        <is>
          <t>SURAHAMMAR</t>
        </is>
      </c>
      <c r="F55" t="inlineStr">
        <is>
          <t>Allmännings- och besparingsskogar</t>
        </is>
      </c>
      <c r="G55" t="n">
        <v>8.4</v>
      </c>
      <c r="H55" t="n">
        <v>0</v>
      </c>
      <c r="I55" t="n">
        <v>0</v>
      </c>
      <c r="J55" t="n">
        <v>1</v>
      </c>
      <c r="K55" t="n">
        <v>0</v>
      </c>
      <c r="L55" t="n">
        <v>0</v>
      </c>
      <c r="M55" t="n">
        <v>0</v>
      </c>
      <c r="N55" t="n">
        <v>0</v>
      </c>
      <c r="O55" t="n">
        <v>1</v>
      </c>
      <c r="P55" t="n">
        <v>0</v>
      </c>
      <c r="Q55" t="n">
        <v>1</v>
      </c>
      <c r="R55" s="2" t="inlineStr">
        <is>
          <t>Hapalopilus aurantiacus</t>
        </is>
      </c>
      <c r="S55">
        <f>HYPERLINK("https://klasma.github.io/Logging_1907/artfynd/A 28276-2019 artfynd.xlsx", "A 28276-2019")</f>
        <v/>
      </c>
      <c r="T55">
        <f>HYPERLINK("https://klasma.github.io/Logging_1907/kartor/A 28276-2019 karta.png", "A 28276-2019")</f>
        <v/>
      </c>
      <c r="V55">
        <f>HYPERLINK("https://klasma.github.io/Logging_1907/klagomål/A 28276-2019 FSC-klagomål.docx", "A 28276-2019")</f>
        <v/>
      </c>
      <c r="W55">
        <f>HYPERLINK("https://klasma.github.io/Logging_1907/klagomålsmail/A 28276-2019 FSC-klagomål mail.docx", "A 28276-2019")</f>
        <v/>
      </c>
      <c r="X55">
        <f>HYPERLINK("https://klasma.github.io/Logging_1907/tillsyn/A 28276-2019 tillsynsbegäran.docx", "A 28276-2019")</f>
        <v/>
      </c>
      <c r="Y55">
        <f>HYPERLINK("https://klasma.github.io/Logging_1907/tillsynsmail/A 28276-2019 tillsynsbegäran mail.docx", "A 28276-2019")</f>
        <v/>
      </c>
    </row>
    <row r="56" ht="15" customHeight="1">
      <c r="A56" t="inlineStr">
        <is>
          <t>A 33879-2019</t>
        </is>
      </c>
      <c r="B56" s="1" t="n">
        <v>43653</v>
      </c>
      <c r="C56" s="1" t="n">
        <v>45474</v>
      </c>
      <c r="D56" t="inlineStr">
        <is>
          <t>VÄSTMANLANDS LÄN</t>
        </is>
      </c>
      <c r="E56" t="inlineStr">
        <is>
          <t>SURAHAMMAR</t>
        </is>
      </c>
      <c r="F56" t="inlineStr">
        <is>
          <t>Kyrkan</t>
        </is>
      </c>
      <c r="G56" t="n">
        <v>1.8</v>
      </c>
      <c r="H56" t="n">
        <v>1</v>
      </c>
      <c r="I56" t="n">
        <v>0</v>
      </c>
      <c r="J56" t="n">
        <v>0</v>
      </c>
      <c r="K56" t="n">
        <v>1</v>
      </c>
      <c r="L56" t="n">
        <v>0</v>
      </c>
      <c r="M56" t="n">
        <v>0</v>
      </c>
      <c r="N56" t="n">
        <v>0</v>
      </c>
      <c r="O56" t="n">
        <v>1</v>
      </c>
      <c r="P56" t="n">
        <v>1</v>
      </c>
      <c r="Q56" t="n">
        <v>1</v>
      </c>
      <c r="R56" s="2" t="inlineStr">
        <is>
          <t>Bombmurkla</t>
        </is>
      </c>
      <c r="S56">
        <f>HYPERLINK("https://klasma.github.io/Logging_1907/artfynd/A 33879-2019 artfynd.xlsx", "A 33879-2019")</f>
        <v/>
      </c>
      <c r="T56">
        <f>HYPERLINK("https://klasma.github.io/Logging_1907/kartor/A 33879-2019 karta.png", "A 33879-2019")</f>
        <v/>
      </c>
      <c r="V56">
        <f>HYPERLINK("https://klasma.github.io/Logging_1907/klagomål/A 33879-2019 FSC-klagomål.docx", "A 33879-2019")</f>
        <v/>
      </c>
      <c r="W56">
        <f>HYPERLINK("https://klasma.github.io/Logging_1907/klagomålsmail/A 33879-2019 FSC-klagomål mail.docx", "A 33879-2019")</f>
        <v/>
      </c>
      <c r="X56">
        <f>HYPERLINK("https://klasma.github.io/Logging_1907/tillsyn/A 33879-2019 tillsynsbegäran.docx", "A 33879-2019")</f>
        <v/>
      </c>
      <c r="Y56">
        <f>HYPERLINK("https://klasma.github.io/Logging_1907/tillsynsmail/A 33879-2019 tillsynsbegäran mail.docx", "A 33879-2019")</f>
        <v/>
      </c>
    </row>
    <row r="57" ht="15" customHeight="1">
      <c r="A57" t="inlineStr">
        <is>
          <t>A 39755-2019</t>
        </is>
      </c>
      <c r="B57" s="1" t="n">
        <v>43692</v>
      </c>
      <c r="C57" s="1" t="n">
        <v>45474</v>
      </c>
      <c r="D57" t="inlineStr">
        <is>
          <t>VÄSTMANLANDS LÄN</t>
        </is>
      </c>
      <c r="E57" t="inlineStr">
        <is>
          <t>SURAHAMMAR</t>
        </is>
      </c>
      <c r="F57" t="inlineStr">
        <is>
          <t>Övriga Aktiebolag</t>
        </is>
      </c>
      <c r="G57" t="n">
        <v>11.8</v>
      </c>
      <c r="H57" t="n">
        <v>1</v>
      </c>
      <c r="I57" t="n">
        <v>0</v>
      </c>
      <c r="J57" t="n">
        <v>0</v>
      </c>
      <c r="K57" t="n">
        <v>0</v>
      </c>
      <c r="L57" t="n">
        <v>0</v>
      </c>
      <c r="M57" t="n">
        <v>0</v>
      </c>
      <c r="N57" t="n">
        <v>0</v>
      </c>
      <c r="O57" t="n">
        <v>0</v>
      </c>
      <c r="P57" t="n">
        <v>0</v>
      </c>
      <c r="Q57" t="n">
        <v>1</v>
      </c>
      <c r="R57" s="2" t="inlineStr">
        <is>
          <t>Kopparödla</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2708-2020</t>
        </is>
      </c>
      <c r="B58" s="1" t="n">
        <v>43850</v>
      </c>
      <c r="C58" s="1" t="n">
        <v>45474</v>
      </c>
      <c r="D58" t="inlineStr">
        <is>
          <t>VÄSTMANLANDS LÄN</t>
        </is>
      </c>
      <c r="E58" t="inlineStr">
        <is>
          <t>SURAHAMMAR</t>
        </is>
      </c>
      <c r="F58" t="inlineStr">
        <is>
          <t>Övriga Aktiebolag</t>
        </is>
      </c>
      <c r="G58" t="n">
        <v>29.7</v>
      </c>
      <c r="H58" t="n">
        <v>0</v>
      </c>
      <c r="I58" t="n">
        <v>0</v>
      </c>
      <c r="J58" t="n">
        <v>1</v>
      </c>
      <c r="K58" t="n">
        <v>0</v>
      </c>
      <c r="L58" t="n">
        <v>0</v>
      </c>
      <c r="M58" t="n">
        <v>0</v>
      </c>
      <c r="N58" t="n">
        <v>0</v>
      </c>
      <c r="O58" t="n">
        <v>1</v>
      </c>
      <c r="P58" t="n">
        <v>0</v>
      </c>
      <c r="Q58" t="n">
        <v>1</v>
      </c>
      <c r="R58" s="2" t="inlineStr">
        <is>
          <t>Ullticka</t>
        </is>
      </c>
      <c r="S58">
        <f>HYPERLINK("https://klasma.github.io/Logging_1907/artfynd/A 2708-2020 artfynd.xlsx", "A 2708-2020")</f>
        <v/>
      </c>
      <c r="T58">
        <f>HYPERLINK("https://klasma.github.io/Logging_1907/kartor/A 2708-2020 karta.png", "A 2708-2020")</f>
        <v/>
      </c>
      <c r="V58">
        <f>HYPERLINK("https://klasma.github.io/Logging_1907/klagomål/A 2708-2020 FSC-klagomål.docx", "A 2708-2020")</f>
        <v/>
      </c>
      <c r="W58">
        <f>HYPERLINK("https://klasma.github.io/Logging_1907/klagomålsmail/A 2708-2020 FSC-klagomål mail.docx", "A 2708-2020")</f>
        <v/>
      </c>
      <c r="X58">
        <f>HYPERLINK("https://klasma.github.io/Logging_1907/tillsyn/A 2708-2020 tillsynsbegäran.docx", "A 2708-2020")</f>
        <v/>
      </c>
      <c r="Y58">
        <f>HYPERLINK("https://klasma.github.io/Logging_1907/tillsynsmail/A 2708-2020 tillsynsbegäran mail.docx", "A 2708-2020")</f>
        <v/>
      </c>
    </row>
    <row r="59" ht="15" customHeight="1">
      <c r="A59" t="inlineStr">
        <is>
          <t>A 6514-2020</t>
        </is>
      </c>
      <c r="B59" s="1" t="n">
        <v>43867</v>
      </c>
      <c r="C59" s="1" t="n">
        <v>45474</v>
      </c>
      <c r="D59" t="inlineStr">
        <is>
          <t>VÄSTMANLANDS LÄN</t>
        </is>
      </c>
      <c r="E59" t="inlineStr">
        <is>
          <t>SURAHAMMAR</t>
        </is>
      </c>
      <c r="G59" t="n">
        <v>2.2</v>
      </c>
      <c r="H59" t="n">
        <v>1</v>
      </c>
      <c r="I59" t="n">
        <v>0</v>
      </c>
      <c r="J59" t="n">
        <v>0</v>
      </c>
      <c r="K59" t="n">
        <v>1</v>
      </c>
      <c r="L59" t="n">
        <v>0</v>
      </c>
      <c r="M59" t="n">
        <v>0</v>
      </c>
      <c r="N59" t="n">
        <v>0</v>
      </c>
      <c r="O59" t="n">
        <v>1</v>
      </c>
      <c r="P59" t="n">
        <v>1</v>
      </c>
      <c r="Q59" t="n">
        <v>1</v>
      </c>
      <c r="R59" s="2" t="inlineStr">
        <is>
          <t>Bombmurkla</t>
        </is>
      </c>
      <c r="S59">
        <f>HYPERLINK("https://klasma.github.io/Logging_1907/artfynd/A 6514-2020 artfynd.xlsx", "A 6514-2020")</f>
        <v/>
      </c>
      <c r="T59">
        <f>HYPERLINK("https://klasma.github.io/Logging_1907/kartor/A 6514-2020 karta.png", "A 6514-2020")</f>
        <v/>
      </c>
      <c r="V59">
        <f>HYPERLINK("https://klasma.github.io/Logging_1907/klagomål/A 6514-2020 FSC-klagomål.docx", "A 6514-2020")</f>
        <v/>
      </c>
      <c r="W59">
        <f>HYPERLINK("https://klasma.github.io/Logging_1907/klagomålsmail/A 6514-2020 FSC-klagomål mail.docx", "A 6514-2020")</f>
        <v/>
      </c>
      <c r="X59">
        <f>HYPERLINK("https://klasma.github.io/Logging_1907/tillsyn/A 6514-2020 tillsynsbegäran.docx", "A 6514-2020")</f>
        <v/>
      </c>
      <c r="Y59">
        <f>HYPERLINK("https://klasma.github.io/Logging_1907/tillsynsmail/A 6514-2020 tillsynsbegäran mail.docx", "A 6514-2020")</f>
        <v/>
      </c>
    </row>
    <row r="60" ht="15" customHeight="1">
      <c r="A60" t="inlineStr">
        <is>
          <t>A 57412-2020</t>
        </is>
      </c>
      <c r="B60" s="1" t="n">
        <v>44138</v>
      </c>
      <c r="C60" s="1" t="n">
        <v>45474</v>
      </c>
      <c r="D60" t="inlineStr">
        <is>
          <t>VÄSTMANLANDS LÄN</t>
        </is>
      </c>
      <c r="E60" t="inlineStr">
        <is>
          <t>SURAHAMMAR</t>
        </is>
      </c>
      <c r="G60" t="n">
        <v>2.9</v>
      </c>
      <c r="H60" t="n">
        <v>1</v>
      </c>
      <c r="I60" t="n">
        <v>0</v>
      </c>
      <c r="J60" t="n">
        <v>1</v>
      </c>
      <c r="K60" t="n">
        <v>0</v>
      </c>
      <c r="L60" t="n">
        <v>0</v>
      </c>
      <c r="M60" t="n">
        <v>0</v>
      </c>
      <c r="N60" t="n">
        <v>0</v>
      </c>
      <c r="O60" t="n">
        <v>1</v>
      </c>
      <c r="P60" t="n">
        <v>0</v>
      </c>
      <c r="Q60" t="n">
        <v>1</v>
      </c>
      <c r="R60" s="2" t="inlineStr">
        <is>
          <t>Gulsparv</t>
        </is>
      </c>
      <c r="S60">
        <f>HYPERLINK("https://klasma.github.io/Logging_1907/artfynd/A 57412-2020 artfynd.xlsx", "A 57412-2020")</f>
        <v/>
      </c>
      <c r="T60">
        <f>HYPERLINK("https://klasma.github.io/Logging_1907/kartor/A 57412-2020 karta.png", "A 57412-2020")</f>
        <v/>
      </c>
      <c r="V60">
        <f>HYPERLINK("https://klasma.github.io/Logging_1907/klagomål/A 57412-2020 FSC-klagomål.docx", "A 57412-2020")</f>
        <v/>
      </c>
      <c r="W60">
        <f>HYPERLINK("https://klasma.github.io/Logging_1907/klagomålsmail/A 57412-2020 FSC-klagomål mail.docx", "A 57412-2020")</f>
        <v/>
      </c>
      <c r="X60">
        <f>HYPERLINK("https://klasma.github.io/Logging_1907/tillsyn/A 57412-2020 tillsynsbegäran.docx", "A 57412-2020")</f>
        <v/>
      </c>
      <c r="Y60">
        <f>HYPERLINK("https://klasma.github.io/Logging_1907/tillsynsmail/A 57412-2020 tillsynsbegäran mail.docx", "A 57412-2020")</f>
        <v/>
      </c>
      <c r="Z60">
        <f>HYPERLINK("https://klasma.github.io/Logging_1907/fåglar/A 57412-2020 prioriterade fågelarter.docx", "A 57412-2020")</f>
        <v/>
      </c>
    </row>
    <row r="61" ht="15" customHeight="1">
      <c r="A61" t="inlineStr">
        <is>
          <t>A 20479-2021</t>
        </is>
      </c>
      <c r="B61" s="1" t="n">
        <v>44315</v>
      </c>
      <c r="C61" s="1" t="n">
        <v>45474</v>
      </c>
      <c r="D61" t="inlineStr">
        <is>
          <t>VÄSTMANLANDS LÄN</t>
        </is>
      </c>
      <c r="E61" t="inlineStr">
        <is>
          <t>SURAHAMMAR</t>
        </is>
      </c>
      <c r="F61" t="inlineStr">
        <is>
          <t>Sveaskog</t>
        </is>
      </c>
      <c r="G61" t="n">
        <v>3.8</v>
      </c>
      <c r="H61" t="n">
        <v>0</v>
      </c>
      <c r="I61" t="n">
        <v>1</v>
      </c>
      <c r="J61" t="n">
        <v>0</v>
      </c>
      <c r="K61" t="n">
        <v>0</v>
      </c>
      <c r="L61" t="n">
        <v>0</v>
      </c>
      <c r="M61" t="n">
        <v>0</v>
      </c>
      <c r="N61" t="n">
        <v>0</v>
      </c>
      <c r="O61" t="n">
        <v>0</v>
      </c>
      <c r="P61" t="n">
        <v>0</v>
      </c>
      <c r="Q61" t="n">
        <v>1</v>
      </c>
      <c r="R61" s="2" t="inlineStr">
        <is>
          <t>Grönpyrola</t>
        </is>
      </c>
      <c r="S61">
        <f>HYPERLINK("https://klasma.github.io/Logging_1907/artfynd/A 20479-2021 artfynd.xlsx", "A 20479-2021")</f>
        <v/>
      </c>
      <c r="T61">
        <f>HYPERLINK("https://klasma.github.io/Logging_1907/kartor/A 20479-2021 karta.png", "A 20479-2021")</f>
        <v/>
      </c>
      <c r="V61">
        <f>HYPERLINK("https://klasma.github.io/Logging_1907/klagomål/A 20479-2021 FSC-klagomål.docx", "A 20479-2021")</f>
        <v/>
      </c>
      <c r="W61">
        <f>HYPERLINK("https://klasma.github.io/Logging_1907/klagomålsmail/A 20479-2021 FSC-klagomål mail.docx", "A 20479-2021")</f>
        <v/>
      </c>
      <c r="X61">
        <f>HYPERLINK("https://klasma.github.io/Logging_1907/tillsyn/A 20479-2021 tillsynsbegäran.docx", "A 20479-2021")</f>
        <v/>
      </c>
      <c r="Y61">
        <f>HYPERLINK("https://klasma.github.io/Logging_1907/tillsynsmail/A 20479-2021 tillsynsbegäran mail.docx", "A 20479-2021")</f>
        <v/>
      </c>
    </row>
    <row r="62" ht="15" customHeight="1">
      <c r="A62" t="inlineStr">
        <is>
          <t>A 38170-2021</t>
        </is>
      </c>
      <c r="B62" s="1" t="n">
        <v>44405</v>
      </c>
      <c r="C62" s="1" t="n">
        <v>45474</v>
      </c>
      <c r="D62" t="inlineStr">
        <is>
          <t>VÄSTMANLANDS LÄN</t>
        </is>
      </c>
      <c r="E62" t="inlineStr">
        <is>
          <t>SURAHAMMAR</t>
        </is>
      </c>
      <c r="F62" t="inlineStr">
        <is>
          <t>Sveaskog</t>
        </is>
      </c>
      <c r="G62" t="n">
        <v>1.2</v>
      </c>
      <c r="H62" t="n">
        <v>1</v>
      </c>
      <c r="I62" t="n">
        <v>0</v>
      </c>
      <c r="J62" t="n">
        <v>0</v>
      </c>
      <c r="K62" t="n">
        <v>0</v>
      </c>
      <c r="L62" t="n">
        <v>0</v>
      </c>
      <c r="M62" t="n">
        <v>0</v>
      </c>
      <c r="N62" t="n">
        <v>0</v>
      </c>
      <c r="O62" t="n">
        <v>0</v>
      </c>
      <c r="P62" t="n">
        <v>0</v>
      </c>
      <c r="Q62" t="n">
        <v>1</v>
      </c>
      <c r="R62" s="2" t="inlineStr">
        <is>
          <t>Revlummer</t>
        </is>
      </c>
      <c r="S62">
        <f>HYPERLINK("https://klasma.github.io/Logging_1907/artfynd/A 38170-2021 artfynd.xlsx", "A 38170-2021")</f>
        <v/>
      </c>
      <c r="T62">
        <f>HYPERLINK("https://klasma.github.io/Logging_1907/kartor/A 38170-2021 karta.png", "A 38170-2021")</f>
        <v/>
      </c>
      <c r="V62">
        <f>HYPERLINK("https://klasma.github.io/Logging_1907/klagomål/A 38170-2021 FSC-klagomål.docx", "A 38170-2021")</f>
        <v/>
      </c>
      <c r="W62">
        <f>HYPERLINK("https://klasma.github.io/Logging_1907/klagomålsmail/A 38170-2021 FSC-klagomål mail.docx", "A 38170-2021")</f>
        <v/>
      </c>
      <c r="X62">
        <f>HYPERLINK("https://klasma.github.io/Logging_1907/tillsyn/A 38170-2021 tillsynsbegäran.docx", "A 38170-2021")</f>
        <v/>
      </c>
      <c r="Y62">
        <f>HYPERLINK("https://klasma.github.io/Logging_1907/tillsynsmail/A 38170-2021 tillsynsbegäran mail.docx", "A 38170-2021")</f>
        <v/>
      </c>
    </row>
    <row r="63" ht="15" customHeight="1">
      <c r="A63" t="inlineStr">
        <is>
          <t>A 38175-2021</t>
        </is>
      </c>
      <c r="B63" s="1" t="n">
        <v>44405</v>
      </c>
      <c r="C63" s="1" t="n">
        <v>45474</v>
      </c>
      <c r="D63" t="inlineStr">
        <is>
          <t>VÄSTMANLANDS LÄN</t>
        </is>
      </c>
      <c r="E63" t="inlineStr">
        <is>
          <t>SURAHAMMAR</t>
        </is>
      </c>
      <c r="F63" t="inlineStr">
        <is>
          <t>Sveaskog</t>
        </is>
      </c>
      <c r="G63" t="n">
        <v>3.1</v>
      </c>
      <c r="H63" t="n">
        <v>0</v>
      </c>
      <c r="I63" t="n">
        <v>0</v>
      </c>
      <c r="J63" t="n">
        <v>1</v>
      </c>
      <c r="K63" t="n">
        <v>0</v>
      </c>
      <c r="L63" t="n">
        <v>0</v>
      </c>
      <c r="M63" t="n">
        <v>0</v>
      </c>
      <c r="N63" t="n">
        <v>0</v>
      </c>
      <c r="O63" t="n">
        <v>1</v>
      </c>
      <c r="P63" t="n">
        <v>0</v>
      </c>
      <c r="Q63" t="n">
        <v>1</v>
      </c>
      <c r="R63" s="2" t="inlineStr">
        <is>
          <t>Ullticka</t>
        </is>
      </c>
      <c r="S63">
        <f>HYPERLINK("https://klasma.github.io/Logging_1907/artfynd/A 38175-2021 artfynd.xlsx", "A 38175-2021")</f>
        <v/>
      </c>
      <c r="T63">
        <f>HYPERLINK("https://klasma.github.io/Logging_1907/kartor/A 38175-2021 karta.png", "A 38175-2021")</f>
        <v/>
      </c>
      <c r="V63">
        <f>HYPERLINK("https://klasma.github.io/Logging_1907/klagomål/A 38175-2021 FSC-klagomål.docx", "A 38175-2021")</f>
        <v/>
      </c>
      <c r="W63">
        <f>HYPERLINK("https://klasma.github.io/Logging_1907/klagomålsmail/A 38175-2021 FSC-klagomål mail.docx", "A 38175-2021")</f>
        <v/>
      </c>
      <c r="X63">
        <f>HYPERLINK("https://klasma.github.io/Logging_1907/tillsyn/A 38175-2021 tillsynsbegäran.docx", "A 38175-2021")</f>
        <v/>
      </c>
      <c r="Y63">
        <f>HYPERLINK("https://klasma.github.io/Logging_1907/tillsynsmail/A 38175-2021 tillsynsbegäran mail.docx", "A 38175-2021")</f>
        <v/>
      </c>
    </row>
    <row r="64" ht="15" customHeight="1">
      <c r="A64" t="inlineStr">
        <is>
          <t>A 40411-2021</t>
        </is>
      </c>
      <c r="B64" s="1" t="n">
        <v>44419</v>
      </c>
      <c r="C64" s="1" t="n">
        <v>45474</v>
      </c>
      <c r="D64" t="inlineStr">
        <is>
          <t>VÄSTMANLANDS LÄN</t>
        </is>
      </c>
      <c r="E64" t="inlineStr">
        <is>
          <t>SURAHAMMAR</t>
        </is>
      </c>
      <c r="F64" t="inlineStr">
        <is>
          <t>Sveaskog</t>
        </is>
      </c>
      <c r="G64" t="n">
        <v>2.4</v>
      </c>
      <c r="H64" t="n">
        <v>1</v>
      </c>
      <c r="I64" t="n">
        <v>0</v>
      </c>
      <c r="J64" t="n">
        <v>0</v>
      </c>
      <c r="K64" t="n">
        <v>0</v>
      </c>
      <c r="L64" t="n">
        <v>0</v>
      </c>
      <c r="M64" t="n">
        <v>0</v>
      </c>
      <c r="N64" t="n">
        <v>0</v>
      </c>
      <c r="O64" t="n">
        <v>0</v>
      </c>
      <c r="P64" t="n">
        <v>0</v>
      </c>
      <c r="Q64" t="n">
        <v>1</v>
      </c>
      <c r="R64" s="2" t="inlineStr">
        <is>
          <t>Kopparödla</t>
        </is>
      </c>
      <c r="S64">
        <f>HYPERLINK("https://klasma.github.io/Logging_1907/artfynd/A 40411-2021 artfynd.xlsx", "A 40411-2021")</f>
        <v/>
      </c>
      <c r="T64">
        <f>HYPERLINK("https://klasma.github.io/Logging_1907/kartor/A 40411-2021 karta.png", "A 40411-2021")</f>
        <v/>
      </c>
      <c r="V64">
        <f>HYPERLINK("https://klasma.github.io/Logging_1907/klagomål/A 40411-2021 FSC-klagomål.docx", "A 40411-2021")</f>
        <v/>
      </c>
      <c r="W64">
        <f>HYPERLINK("https://klasma.github.io/Logging_1907/klagomålsmail/A 40411-2021 FSC-klagomål mail.docx", "A 40411-2021")</f>
        <v/>
      </c>
      <c r="X64">
        <f>HYPERLINK("https://klasma.github.io/Logging_1907/tillsyn/A 40411-2021 tillsynsbegäran.docx", "A 40411-2021")</f>
        <v/>
      </c>
      <c r="Y64">
        <f>HYPERLINK("https://klasma.github.io/Logging_1907/tillsynsmail/A 40411-2021 tillsynsbegäran mail.docx", "A 40411-2021")</f>
        <v/>
      </c>
    </row>
    <row r="65" ht="15" customHeight="1">
      <c r="A65" t="inlineStr">
        <is>
          <t>A 69777-2021</t>
        </is>
      </c>
      <c r="B65" s="1" t="n">
        <v>44532</v>
      </c>
      <c r="C65" s="1" t="n">
        <v>45474</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7655-2022</t>
        </is>
      </c>
      <c r="B66" s="1" t="n">
        <v>44607</v>
      </c>
      <c r="C66" s="1" t="n">
        <v>45474</v>
      </c>
      <c r="D66" t="inlineStr">
        <is>
          <t>VÄSTMANLANDS LÄN</t>
        </is>
      </c>
      <c r="E66" t="inlineStr">
        <is>
          <t>SURAHAMMAR</t>
        </is>
      </c>
      <c r="G66" t="n">
        <v>1.1</v>
      </c>
      <c r="H66" t="n">
        <v>1</v>
      </c>
      <c r="I66" t="n">
        <v>0</v>
      </c>
      <c r="J66" t="n">
        <v>0</v>
      </c>
      <c r="K66" t="n">
        <v>1</v>
      </c>
      <c r="L66" t="n">
        <v>0</v>
      </c>
      <c r="M66" t="n">
        <v>0</v>
      </c>
      <c r="N66" t="n">
        <v>0</v>
      </c>
      <c r="O66" t="n">
        <v>1</v>
      </c>
      <c r="P66" t="n">
        <v>1</v>
      </c>
      <c r="Q66" t="n">
        <v>1</v>
      </c>
      <c r="R66" s="2" t="inlineStr">
        <is>
          <t>Bombmurkla</t>
        </is>
      </c>
      <c r="S66">
        <f>HYPERLINK("https://klasma.github.io/Logging_1907/artfynd/A 7655-2022 artfynd.xlsx", "A 7655-2022")</f>
        <v/>
      </c>
      <c r="T66">
        <f>HYPERLINK("https://klasma.github.io/Logging_1907/kartor/A 7655-2022 karta.png", "A 7655-2022")</f>
        <v/>
      </c>
      <c r="V66">
        <f>HYPERLINK("https://klasma.github.io/Logging_1907/klagomål/A 7655-2022 FSC-klagomål.docx", "A 7655-2022")</f>
        <v/>
      </c>
      <c r="W66">
        <f>HYPERLINK("https://klasma.github.io/Logging_1907/klagomålsmail/A 7655-2022 FSC-klagomål mail.docx", "A 7655-2022")</f>
        <v/>
      </c>
      <c r="X66">
        <f>HYPERLINK("https://klasma.github.io/Logging_1907/tillsyn/A 7655-2022 tillsynsbegäran.docx", "A 7655-2022")</f>
        <v/>
      </c>
      <c r="Y66">
        <f>HYPERLINK("https://klasma.github.io/Logging_1907/tillsynsmail/A 7655-2022 tillsynsbegäran mail.docx", "A 7655-2022")</f>
        <v/>
      </c>
    </row>
    <row r="67" ht="15" customHeight="1">
      <c r="A67" t="inlineStr">
        <is>
          <t>A 17632-2022</t>
        </is>
      </c>
      <c r="B67" s="1" t="n">
        <v>44680</v>
      </c>
      <c r="C67" s="1" t="n">
        <v>45474</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39099-2022</t>
        </is>
      </c>
      <c r="B68" s="1" t="n">
        <v>44817</v>
      </c>
      <c r="C68" s="1" t="n">
        <v>45474</v>
      </c>
      <c r="D68" t="inlineStr">
        <is>
          <t>VÄSTMANLANDS LÄN</t>
        </is>
      </c>
      <c r="E68" t="inlineStr">
        <is>
          <t>SURAHAMMAR</t>
        </is>
      </c>
      <c r="F68" t="inlineStr">
        <is>
          <t>Bergvik skog väst AB</t>
        </is>
      </c>
      <c r="G68" t="n">
        <v>7.4</v>
      </c>
      <c r="H68" t="n">
        <v>0</v>
      </c>
      <c r="I68" t="n">
        <v>1</v>
      </c>
      <c r="J68" t="n">
        <v>0</v>
      </c>
      <c r="K68" t="n">
        <v>0</v>
      </c>
      <c r="L68" t="n">
        <v>0</v>
      </c>
      <c r="M68" t="n">
        <v>0</v>
      </c>
      <c r="N68" t="n">
        <v>0</v>
      </c>
      <c r="O68" t="n">
        <v>0</v>
      </c>
      <c r="P68" t="n">
        <v>0</v>
      </c>
      <c r="Q68" t="n">
        <v>1</v>
      </c>
      <c r="R68" s="2" t="inlineStr">
        <is>
          <t>Stekelbock</t>
        </is>
      </c>
      <c r="S68">
        <f>HYPERLINK("https://klasma.github.io/Logging_1907/artfynd/A 39099-2022 artfynd.xlsx", "A 39099-2022")</f>
        <v/>
      </c>
      <c r="T68">
        <f>HYPERLINK("https://klasma.github.io/Logging_1907/kartor/A 39099-2022 karta.png", "A 39099-2022")</f>
        <v/>
      </c>
      <c r="V68">
        <f>HYPERLINK("https://klasma.github.io/Logging_1907/klagomål/A 39099-2022 FSC-klagomål.docx", "A 39099-2022")</f>
        <v/>
      </c>
      <c r="W68">
        <f>HYPERLINK("https://klasma.github.io/Logging_1907/klagomålsmail/A 39099-2022 FSC-klagomål mail.docx", "A 39099-2022")</f>
        <v/>
      </c>
      <c r="X68">
        <f>HYPERLINK("https://klasma.github.io/Logging_1907/tillsyn/A 39099-2022 tillsynsbegäran.docx", "A 39099-2022")</f>
        <v/>
      </c>
      <c r="Y68">
        <f>HYPERLINK("https://klasma.github.io/Logging_1907/tillsynsmail/A 39099-2022 tillsynsbegäran mail.docx", "A 39099-2022")</f>
        <v/>
      </c>
    </row>
    <row r="69" ht="15" customHeight="1">
      <c r="A69" t="inlineStr">
        <is>
          <t>A 42765-2022</t>
        </is>
      </c>
      <c r="B69" s="1" t="n">
        <v>44832</v>
      </c>
      <c r="C69" s="1" t="n">
        <v>45474</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47207-2022</t>
        </is>
      </c>
      <c r="B70" s="1" t="n">
        <v>44852</v>
      </c>
      <c r="C70" s="1" t="n">
        <v>45474</v>
      </c>
      <c r="D70" t="inlineStr">
        <is>
          <t>VÄSTMANLANDS LÄN</t>
        </is>
      </c>
      <c r="E70" t="inlineStr">
        <is>
          <t>SURAHAMMAR</t>
        </is>
      </c>
      <c r="G70" t="n">
        <v>3.2</v>
      </c>
      <c r="H70" t="n">
        <v>0</v>
      </c>
      <c r="I70" t="n">
        <v>0</v>
      </c>
      <c r="J70" t="n">
        <v>1</v>
      </c>
      <c r="K70" t="n">
        <v>0</v>
      </c>
      <c r="L70" t="n">
        <v>0</v>
      </c>
      <c r="M70" t="n">
        <v>0</v>
      </c>
      <c r="N70" t="n">
        <v>0</v>
      </c>
      <c r="O70" t="n">
        <v>1</v>
      </c>
      <c r="P70" t="n">
        <v>0</v>
      </c>
      <c r="Q70" t="n">
        <v>1</v>
      </c>
      <c r="R70" s="2" t="inlineStr">
        <is>
          <t>Veckticka</t>
        </is>
      </c>
      <c r="S70">
        <f>HYPERLINK("https://klasma.github.io/Logging_1907/artfynd/A 47207-2022 artfynd.xlsx", "A 47207-2022")</f>
        <v/>
      </c>
      <c r="T70">
        <f>HYPERLINK("https://klasma.github.io/Logging_1907/kartor/A 47207-2022 karta.png", "A 47207-2022")</f>
        <v/>
      </c>
      <c r="V70">
        <f>HYPERLINK("https://klasma.github.io/Logging_1907/klagomål/A 47207-2022 FSC-klagomål.docx", "A 47207-2022")</f>
        <v/>
      </c>
      <c r="W70">
        <f>HYPERLINK("https://klasma.github.io/Logging_1907/klagomålsmail/A 47207-2022 FSC-klagomål mail.docx", "A 47207-2022")</f>
        <v/>
      </c>
      <c r="X70">
        <f>HYPERLINK("https://klasma.github.io/Logging_1907/tillsyn/A 47207-2022 tillsynsbegäran.docx", "A 47207-2022")</f>
        <v/>
      </c>
      <c r="Y70">
        <f>HYPERLINK("https://klasma.github.io/Logging_1907/tillsynsmail/A 47207-2022 tillsynsbegäran mail.docx", "A 47207-2022")</f>
        <v/>
      </c>
    </row>
    <row r="71" ht="15" customHeight="1">
      <c r="A71" t="inlineStr">
        <is>
          <t>A 11259-2023</t>
        </is>
      </c>
      <c r="B71" s="1" t="n">
        <v>44991</v>
      </c>
      <c r="C71" s="1" t="n">
        <v>45474</v>
      </c>
      <c r="D71" t="inlineStr">
        <is>
          <t>VÄSTMANLANDS LÄN</t>
        </is>
      </c>
      <c r="E71" t="inlineStr">
        <is>
          <t>SURAHAMMAR</t>
        </is>
      </c>
      <c r="G71" t="n">
        <v>2.4</v>
      </c>
      <c r="H71" t="n">
        <v>1</v>
      </c>
      <c r="I71" t="n">
        <v>0</v>
      </c>
      <c r="J71" t="n">
        <v>1</v>
      </c>
      <c r="K71" t="n">
        <v>0</v>
      </c>
      <c r="L71" t="n">
        <v>0</v>
      </c>
      <c r="M71" t="n">
        <v>0</v>
      </c>
      <c r="N71" t="n">
        <v>0</v>
      </c>
      <c r="O71" t="n">
        <v>1</v>
      </c>
      <c r="P71" t="n">
        <v>0</v>
      </c>
      <c r="Q71" t="n">
        <v>1</v>
      </c>
      <c r="R71" s="2" t="inlineStr">
        <is>
          <t>Spillkråka</t>
        </is>
      </c>
      <c r="S71">
        <f>HYPERLINK("https://klasma.github.io/Logging_1907/artfynd/A 11259-2023 artfynd.xlsx", "A 11259-2023")</f>
        <v/>
      </c>
      <c r="T71">
        <f>HYPERLINK("https://klasma.github.io/Logging_1907/kartor/A 11259-2023 karta.png", "A 11259-2023")</f>
        <v/>
      </c>
      <c r="V71">
        <f>HYPERLINK("https://klasma.github.io/Logging_1907/klagomål/A 11259-2023 FSC-klagomål.docx", "A 11259-2023")</f>
        <v/>
      </c>
      <c r="W71">
        <f>HYPERLINK("https://klasma.github.io/Logging_1907/klagomålsmail/A 11259-2023 FSC-klagomål mail.docx", "A 11259-2023")</f>
        <v/>
      </c>
      <c r="X71">
        <f>HYPERLINK("https://klasma.github.io/Logging_1907/tillsyn/A 11259-2023 tillsynsbegäran.docx", "A 11259-2023")</f>
        <v/>
      </c>
      <c r="Y71">
        <f>HYPERLINK("https://klasma.github.io/Logging_1907/tillsynsmail/A 11259-2023 tillsynsbegäran mail.docx", "A 11259-2023")</f>
        <v/>
      </c>
      <c r="Z71">
        <f>HYPERLINK("https://klasma.github.io/Logging_1907/fåglar/A 11259-2023 prioriterade fågelarter.docx", "A 11259-2023")</f>
        <v/>
      </c>
    </row>
    <row r="72" ht="15" customHeight="1">
      <c r="A72" t="inlineStr">
        <is>
          <t>A 13971-2023</t>
        </is>
      </c>
      <c r="B72" s="1" t="n">
        <v>45007</v>
      </c>
      <c r="C72" s="1" t="n">
        <v>45474</v>
      </c>
      <c r="D72" t="inlineStr">
        <is>
          <t>VÄSTMANLANDS LÄN</t>
        </is>
      </c>
      <c r="E72" t="inlineStr">
        <is>
          <t>SURAHAMMAR</t>
        </is>
      </c>
      <c r="F72" t="inlineStr">
        <is>
          <t>Bergvik skog väst AB</t>
        </is>
      </c>
      <c r="G72" t="n">
        <v>2.9</v>
      </c>
      <c r="H72" t="n">
        <v>1</v>
      </c>
      <c r="I72" t="n">
        <v>0</v>
      </c>
      <c r="J72" t="n">
        <v>0</v>
      </c>
      <c r="K72" t="n">
        <v>0</v>
      </c>
      <c r="L72" t="n">
        <v>0</v>
      </c>
      <c r="M72" t="n">
        <v>0</v>
      </c>
      <c r="N72" t="n">
        <v>0</v>
      </c>
      <c r="O72" t="n">
        <v>0</v>
      </c>
      <c r="P72" t="n">
        <v>0</v>
      </c>
      <c r="Q72" t="n">
        <v>1</v>
      </c>
      <c r="R72" s="2" t="inlineStr">
        <is>
          <t>Fläcknycklar</t>
        </is>
      </c>
      <c r="S72">
        <f>HYPERLINK("https://klasma.github.io/Logging_1907/artfynd/A 13971-2023 artfynd.xlsx", "A 13971-2023")</f>
        <v/>
      </c>
      <c r="T72">
        <f>HYPERLINK("https://klasma.github.io/Logging_1907/kartor/A 13971-2023 karta.png", "A 13971-2023")</f>
        <v/>
      </c>
      <c r="V72">
        <f>HYPERLINK("https://klasma.github.io/Logging_1907/klagomål/A 13971-2023 FSC-klagomål.docx", "A 13971-2023")</f>
        <v/>
      </c>
      <c r="W72">
        <f>HYPERLINK("https://klasma.github.io/Logging_1907/klagomålsmail/A 13971-2023 FSC-klagomål mail.docx", "A 13971-2023")</f>
        <v/>
      </c>
      <c r="X72">
        <f>HYPERLINK("https://klasma.github.io/Logging_1907/tillsyn/A 13971-2023 tillsynsbegäran.docx", "A 13971-2023")</f>
        <v/>
      </c>
      <c r="Y72">
        <f>HYPERLINK("https://klasma.github.io/Logging_1907/tillsynsmail/A 13971-2023 tillsynsbegäran mail.docx", "A 13971-2023")</f>
        <v/>
      </c>
    </row>
    <row r="73" ht="15" customHeight="1">
      <c r="A73" t="inlineStr">
        <is>
          <t>A 14001-2023</t>
        </is>
      </c>
      <c r="B73" s="1" t="n">
        <v>45007</v>
      </c>
      <c r="C73" s="1" t="n">
        <v>45474</v>
      </c>
      <c r="D73" t="inlineStr">
        <is>
          <t>VÄSTMANLANDS LÄN</t>
        </is>
      </c>
      <c r="E73" t="inlineStr">
        <is>
          <t>SURAHAMMAR</t>
        </is>
      </c>
      <c r="F73" t="inlineStr">
        <is>
          <t>Bergvik skog väst AB</t>
        </is>
      </c>
      <c r="G73" t="n">
        <v>1</v>
      </c>
      <c r="H73" t="n">
        <v>0</v>
      </c>
      <c r="I73" t="n">
        <v>0</v>
      </c>
      <c r="J73" t="n">
        <v>1</v>
      </c>
      <c r="K73" t="n">
        <v>0</v>
      </c>
      <c r="L73" t="n">
        <v>0</v>
      </c>
      <c r="M73" t="n">
        <v>0</v>
      </c>
      <c r="N73" t="n">
        <v>0</v>
      </c>
      <c r="O73" t="n">
        <v>1</v>
      </c>
      <c r="P73" t="n">
        <v>0</v>
      </c>
      <c r="Q73" t="n">
        <v>1</v>
      </c>
      <c r="R73" s="2" t="inlineStr">
        <is>
          <t>Motaggsvamp</t>
        </is>
      </c>
      <c r="S73">
        <f>HYPERLINK("https://klasma.github.io/Logging_1907/artfynd/A 14001-2023 artfynd.xlsx", "A 14001-2023")</f>
        <v/>
      </c>
      <c r="T73">
        <f>HYPERLINK("https://klasma.github.io/Logging_1907/kartor/A 14001-2023 karta.png", "A 14001-2023")</f>
        <v/>
      </c>
      <c r="V73">
        <f>HYPERLINK("https://klasma.github.io/Logging_1907/klagomål/A 14001-2023 FSC-klagomål.docx", "A 14001-2023")</f>
        <v/>
      </c>
      <c r="W73">
        <f>HYPERLINK("https://klasma.github.io/Logging_1907/klagomålsmail/A 14001-2023 FSC-klagomål mail.docx", "A 14001-2023")</f>
        <v/>
      </c>
      <c r="X73">
        <f>HYPERLINK("https://klasma.github.io/Logging_1907/tillsyn/A 14001-2023 tillsynsbegäran.docx", "A 14001-2023")</f>
        <v/>
      </c>
      <c r="Y73">
        <f>HYPERLINK("https://klasma.github.io/Logging_1907/tillsynsmail/A 14001-2023 tillsynsbegäran mail.docx", "A 14001-2023")</f>
        <v/>
      </c>
    </row>
    <row r="74" ht="15" customHeight="1">
      <c r="A74" t="inlineStr">
        <is>
          <t>A 16219-2023</t>
        </is>
      </c>
      <c r="B74" s="1" t="n">
        <v>45022</v>
      </c>
      <c r="C74" s="1" t="n">
        <v>45474</v>
      </c>
      <c r="D74" t="inlineStr">
        <is>
          <t>VÄSTMANLANDS LÄN</t>
        </is>
      </c>
      <c r="E74" t="inlineStr">
        <is>
          <t>SURAHAMMAR</t>
        </is>
      </c>
      <c r="G74" t="n">
        <v>5.9</v>
      </c>
      <c r="H74" t="n">
        <v>1</v>
      </c>
      <c r="I74" t="n">
        <v>0</v>
      </c>
      <c r="J74" t="n">
        <v>1</v>
      </c>
      <c r="K74" t="n">
        <v>0</v>
      </c>
      <c r="L74" t="n">
        <v>0</v>
      </c>
      <c r="M74" t="n">
        <v>0</v>
      </c>
      <c r="N74" t="n">
        <v>0</v>
      </c>
      <c r="O74" t="n">
        <v>1</v>
      </c>
      <c r="P74" t="n">
        <v>0</v>
      </c>
      <c r="Q74" t="n">
        <v>1</v>
      </c>
      <c r="R74" s="2" t="inlineStr">
        <is>
          <t>Talltita</t>
        </is>
      </c>
      <c r="S74">
        <f>HYPERLINK("https://klasma.github.io/Logging_1907/artfynd/A 16219-2023 artfynd.xlsx", "A 16219-2023")</f>
        <v/>
      </c>
      <c r="T74">
        <f>HYPERLINK("https://klasma.github.io/Logging_1907/kartor/A 16219-2023 karta.png", "A 16219-2023")</f>
        <v/>
      </c>
      <c r="V74">
        <f>HYPERLINK("https://klasma.github.io/Logging_1907/klagomål/A 16219-2023 FSC-klagomål.docx", "A 16219-2023")</f>
        <v/>
      </c>
      <c r="W74">
        <f>HYPERLINK("https://klasma.github.io/Logging_1907/klagomålsmail/A 16219-2023 FSC-klagomål mail.docx", "A 16219-2023")</f>
        <v/>
      </c>
      <c r="X74">
        <f>HYPERLINK("https://klasma.github.io/Logging_1907/tillsyn/A 16219-2023 tillsynsbegäran.docx", "A 16219-2023")</f>
        <v/>
      </c>
      <c r="Y74">
        <f>HYPERLINK("https://klasma.github.io/Logging_1907/tillsynsmail/A 16219-2023 tillsynsbegäran mail.docx", "A 16219-2023")</f>
        <v/>
      </c>
      <c r="Z74">
        <f>HYPERLINK("https://klasma.github.io/Logging_1907/fåglar/A 16219-2023 prioriterade fågelarter.docx", "A 16219-2023")</f>
        <v/>
      </c>
    </row>
    <row r="75" ht="15" customHeight="1">
      <c r="A75" t="inlineStr">
        <is>
          <t>A 22840-2023</t>
        </is>
      </c>
      <c r="B75" s="1" t="n">
        <v>45072</v>
      </c>
      <c r="C75" s="1" t="n">
        <v>45474</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24920-2023</t>
        </is>
      </c>
      <c r="B76" s="1" t="n">
        <v>45085</v>
      </c>
      <c r="C76" s="1" t="n">
        <v>45474</v>
      </c>
      <c r="D76" t="inlineStr">
        <is>
          <t>VÄSTMANLANDS LÄN</t>
        </is>
      </c>
      <c r="E76" t="inlineStr">
        <is>
          <t>SURAHAMMAR</t>
        </is>
      </c>
      <c r="F76" t="inlineStr">
        <is>
          <t>Allmännings- och besparingsskogar</t>
        </is>
      </c>
      <c r="G76" t="n">
        <v>16.2</v>
      </c>
      <c r="H76" t="n">
        <v>1</v>
      </c>
      <c r="I76" t="n">
        <v>0</v>
      </c>
      <c r="J76" t="n">
        <v>1</v>
      </c>
      <c r="K76" t="n">
        <v>0</v>
      </c>
      <c r="L76" t="n">
        <v>0</v>
      </c>
      <c r="M76" t="n">
        <v>0</v>
      </c>
      <c r="N76" t="n">
        <v>0</v>
      </c>
      <c r="O76" t="n">
        <v>1</v>
      </c>
      <c r="P76" t="n">
        <v>0</v>
      </c>
      <c r="Q76" t="n">
        <v>1</v>
      </c>
      <c r="R76" s="2" t="inlineStr">
        <is>
          <t>Talltita</t>
        </is>
      </c>
      <c r="S76">
        <f>HYPERLINK("https://klasma.github.io/Logging_1907/artfynd/A 24920-2023 artfynd.xlsx", "A 24920-2023")</f>
        <v/>
      </c>
      <c r="T76">
        <f>HYPERLINK("https://klasma.github.io/Logging_1907/kartor/A 24920-2023 karta.png", "A 24920-2023")</f>
        <v/>
      </c>
      <c r="V76">
        <f>HYPERLINK("https://klasma.github.io/Logging_1907/klagomål/A 24920-2023 FSC-klagomål.docx", "A 24920-2023")</f>
        <v/>
      </c>
      <c r="W76">
        <f>HYPERLINK("https://klasma.github.io/Logging_1907/klagomålsmail/A 24920-2023 FSC-klagomål mail.docx", "A 24920-2023")</f>
        <v/>
      </c>
      <c r="X76">
        <f>HYPERLINK("https://klasma.github.io/Logging_1907/tillsyn/A 24920-2023 tillsynsbegäran.docx", "A 24920-2023")</f>
        <v/>
      </c>
      <c r="Y76">
        <f>HYPERLINK("https://klasma.github.io/Logging_1907/tillsynsmail/A 24920-2023 tillsynsbegäran mail.docx", "A 24920-2023")</f>
        <v/>
      </c>
      <c r="Z76">
        <f>HYPERLINK("https://klasma.github.io/Logging_1907/fåglar/A 24920-2023 prioriterade fågelarter.docx", "A 24920-2023")</f>
        <v/>
      </c>
    </row>
    <row r="77" ht="15" customHeight="1">
      <c r="A77" t="inlineStr">
        <is>
          <t>A 27170-2023</t>
        </is>
      </c>
      <c r="B77" s="1" t="n">
        <v>45096</v>
      </c>
      <c r="C77" s="1" t="n">
        <v>45474</v>
      </c>
      <c r="D77" t="inlineStr">
        <is>
          <t>VÄSTMANLANDS LÄN</t>
        </is>
      </c>
      <c r="E77" t="inlineStr">
        <is>
          <t>SURAHAMMAR</t>
        </is>
      </c>
      <c r="F77" t="inlineStr">
        <is>
          <t>Sveaskog</t>
        </is>
      </c>
      <c r="G77" t="n">
        <v>11.3</v>
      </c>
      <c r="H77" t="n">
        <v>0</v>
      </c>
      <c r="I77" t="n">
        <v>1</v>
      </c>
      <c r="J77" t="n">
        <v>0</v>
      </c>
      <c r="K77" t="n">
        <v>0</v>
      </c>
      <c r="L77" t="n">
        <v>0</v>
      </c>
      <c r="M77" t="n">
        <v>0</v>
      </c>
      <c r="N77" t="n">
        <v>0</v>
      </c>
      <c r="O77" t="n">
        <v>0</v>
      </c>
      <c r="P77" t="n">
        <v>0</v>
      </c>
      <c r="Q77" t="n">
        <v>1</v>
      </c>
      <c r="R77" s="2" t="inlineStr">
        <is>
          <t>Vedticka</t>
        </is>
      </c>
      <c r="S77">
        <f>HYPERLINK("https://klasma.github.io/Logging_1907/artfynd/A 27170-2023 artfynd.xlsx", "A 27170-2023")</f>
        <v/>
      </c>
      <c r="T77">
        <f>HYPERLINK("https://klasma.github.io/Logging_1907/kartor/A 27170-2023 karta.png", "A 27170-2023")</f>
        <v/>
      </c>
      <c r="V77">
        <f>HYPERLINK("https://klasma.github.io/Logging_1907/klagomål/A 27170-2023 FSC-klagomål.docx", "A 27170-2023")</f>
        <v/>
      </c>
      <c r="W77">
        <f>HYPERLINK("https://klasma.github.io/Logging_1907/klagomålsmail/A 27170-2023 FSC-klagomål mail.docx", "A 27170-2023")</f>
        <v/>
      </c>
      <c r="X77">
        <f>HYPERLINK("https://klasma.github.io/Logging_1907/tillsyn/A 27170-2023 tillsynsbegäran.docx", "A 27170-2023")</f>
        <v/>
      </c>
      <c r="Y77">
        <f>HYPERLINK("https://klasma.github.io/Logging_1907/tillsynsmail/A 27170-2023 tillsynsbegäran mail.docx", "A 27170-2023")</f>
        <v/>
      </c>
    </row>
    <row r="78" ht="15" customHeight="1">
      <c r="A78" t="inlineStr">
        <is>
          <t>A 30074-2023</t>
        </is>
      </c>
      <c r="B78" s="1" t="n">
        <v>45110</v>
      </c>
      <c r="C78" s="1" t="n">
        <v>45474</v>
      </c>
      <c r="D78" t="inlineStr">
        <is>
          <t>VÄSTMANLANDS LÄN</t>
        </is>
      </c>
      <c r="E78" t="inlineStr">
        <is>
          <t>SURAHAMMAR</t>
        </is>
      </c>
      <c r="F78" t="inlineStr">
        <is>
          <t>Sveaskog</t>
        </is>
      </c>
      <c r="G78" t="n">
        <v>1.1</v>
      </c>
      <c r="H78" t="n">
        <v>1</v>
      </c>
      <c r="I78" t="n">
        <v>0</v>
      </c>
      <c r="J78" t="n">
        <v>0</v>
      </c>
      <c r="K78" t="n">
        <v>0</v>
      </c>
      <c r="L78" t="n">
        <v>0</v>
      </c>
      <c r="M78" t="n">
        <v>0</v>
      </c>
      <c r="N78" t="n">
        <v>0</v>
      </c>
      <c r="O78" t="n">
        <v>0</v>
      </c>
      <c r="P78" t="n">
        <v>0</v>
      </c>
      <c r="Q78" t="n">
        <v>1</v>
      </c>
      <c r="R78" s="2" t="inlineStr">
        <is>
          <t>Revlummer</t>
        </is>
      </c>
      <c r="S78">
        <f>HYPERLINK("https://klasma.github.io/Logging_1907/artfynd/A 30074-2023 artfynd.xlsx", "A 30074-2023")</f>
        <v/>
      </c>
      <c r="T78">
        <f>HYPERLINK("https://klasma.github.io/Logging_1907/kartor/A 30074-2023 karta.png", "A 30074-2023")</f>
        <v/>
      </c>
      <c r="V78">
        <f>HYPERLINK("https://klasma.github.io/Logging_1907/klagomål/A 30074-2023 FSC-klagomål.docx", "A 30074-2023")</f>
        <v/>
      </c>
      <c r="W78">
        <f>HYPERLINK("https://klasma.github.io/Logging_1907/klagomålsmail/A 30074-2023 FSC-klagomål mail.docx", "A 30074-2023")</f>
        <v/>
      </c>
      <c r="X78">
        <f>HYPERLINK("https://klasma.github.io/Logging_1907/tillsyn/A 30074-2023 tillsynsbegäran.docx", "A 30074-2023")</f>
        <v/>
      </c>
      <c r="Y78">
        <f>HYPERLINK("https://klasma.github.io/Logging_1907/tillsynsmail/A 30074-2023 tillsynsbegäran mail.docx", "A 30074-2023")</f>
        <v/>
      </c>
    </row>
    <row r="79" ht="15" customHeight="1">
      <c r="A79" t="inlineStr">
        <is>
          <t>A 30073-2023</t>
        </is>
      </c>
      <c r="B79" s="1" t="n">
        <v>45110</v>
      </c>
      <c r="C79" s="1" t="n">
        <v>45474</v>
      </c>
      <c r="D79" t="inlineStr">
        <is>
          <t>VÄSTMANLANDS LÄN</t>
        </is>
      </c>
      <c r="E79" t="inlineStr">
        <is>
          <t>SURAHAMMAR</t>
        </is>
      </c>
      <c r="F79" t="inlineStr">
        <is>
          <t>Sveaskog</t>
        </is>
      </c>
      <c r="G79" t="n">
        <v>4.7</v>
      </c>
      <c r="H79" t="n">
        <v>0</v>
      </c>
      <c r="I79" t="n">
        <v>1</v>
      </c>
      <c r="J79" t="n">
        <v>0</v>
      </c>
      <c r="K79" t="n">
        <v>0</v>
      </c>
      <c r="L79" t="n">
        <v>0</v>
      </c>
      <c r="M79" t="n">
        <v>0</v>
      </c>
      <c r="N79" t="n">
        <v>0</v>
      </c>
      <c r="O79" t="n">
        <v>0</v>
      </c>
      <c r="P79" t="n">
        <v>0</v>
      </c>
      <c r="Q79" t="n">
        <v>1</v>
      </c>
      <c r="R79" s="2" t="inlineStr">
        <is>
          <t>Grönpyrola</t>
        </is>
      </c>
      <c r="S79">
        <f>HYPERLINK("https://klasma.github.io/Logging_1907/artfynd/A 30073-2023 artfynd.xlsx", "A 30073-2023")</f>
        <v/>
      </c>
      <c r="T79">
        <f>HYPERLINK("https://klasma.github.io/Logging_1907/kartor/A 30073-2023 karta.png", "A 30073-2023")</f>
        <v/>
      </c>
      <c r="V79">
        <f>HYPERLINK("https://klasma.github.io/Logging_1907/klagomål/A 30073-2023 FSC-klagomål.docx", "A 30073-2023")</f>
        <v/>
      </c>
      <c r="W79">
        <f>HYPERLINK("https://klasma.github.io/Logging_1907/klagomålsmail/A 30073-2023 FSC-klagomål mail.docx", "A 30073-2023")</f>
        <v/>
      </c>
      <c r="X79">
        <f>HYPERLINK("https://klasma.github.io/Logging_1907/tillsyn/A 30073-2023 tillsynsbegäran.docx", "A 30073-2023")</f>
        <v/>
      </c>
      <c r="Y79">
        <f>HYPERLINK("https://klasma.github.io/Logging_1907/tillsynsmail/A 30073-2023 tillsynsbegäran mail.docx", "A 30073-2023")</f>
        <v/>
      </c>
    </row>
    <row r="80" ht="15" customHeight="1">
      <c r="A80" t="inlineStr">
        <is>
          <t>A 37277-2023</t>
        </is>
      </c>
      <c r="B80" s="1" t="n">
        <v>45156</v>
      </c>
      <c r="C80" s="1" t="n">
        <v>45474</v>
      </c>
      <c r="D80" t="inlineStr">
        <is>
          <t>VÄSTMANLANDS LÄN</t>
        </is>
      </c>
      <c r="E80" t="inlineStr">
        <is>
          <t>SURAHAMMAR</t>
        </is>
      </c>
      <c r="G80" t="n">
        <v>4.3</v>
      </c>
      <c r="H80" t="n">
        <v>1</v>
      </c>
      <c r="I80" t="n">
        <v>0</v>
      </c>
      <c r="J80" t="n">
        <v>0</v>
      </c>
      <c r="K80" t="n">
        <v>1</v>
      </c>
      <c r="L80" t="n">
        <v>0</v>
      </c>
      <c r="M80" t="n">
        <v>0</v>
      </c>
      <c r="N80" t="n">
        <v>0</v>
      </c>
      <c r="O80" t="n">
        <v>1</v>
      </c>
      <c r="P80" t="n">
        <v>1</v>
      </c>
      <c r="Q80" t="n">
        <v>1</v>
      </c>
      <c r="R80" s="2" t="inlineStr">
        <is>
          <t>Bombmurkla</t>
        </is>
      </c>
      <c r="S80">
        <f>HYPERLINK("https://klasma.github.io/Logging_1907/artfynd/A 37277-2023 artfynd.xlsx", "A 37277-2023")</f>
        <v/>
      </c>
      <c r="T80">
        <f>HYPERLINK("https://klasma.github.io/Logging_1907/kartor/A 37277-2023 karta.png", "A 37277-2023")</f>
        <v/>
      </c>
      <c r="V80">
        <f>HYPERLINK("https://klasma.github.io/Logging_1907/klagomål/A 37277-2023 FSC-klagomål.docx", "A 37277-2023")</f>
        <v/>
      </c>
      <c r="W80">
        <f>HYPERLINK("https://klasma.github.io/Logging_1907/klagomålsmail/A 37277-2023 FSC-klagomål mail.docx", "A 37277-2023")</f>
        <v/>
      </c>
      <c r="X80">
        <f>HYPERLINK("https://klasma.github.io/Logging_1907/tillsyn/A 37277-2023 tillsynsbegäran.docx", "A 37277-2023")</f>
        <v/>
      </c>
      <c r="Y80">
        <f>HYPERLINK("https://klasma.github.io/Logging_1907/tillsynsmail/A 37277-2023 tillsynsbegäran mail.docx", "A 37277-2023")</f>
        <v/>
      </c>
    </row>
    <row r="81" ht="15" customHeight="1">
      <c r="A81" t="inlineStr">
        <is>
          <t>A 41622-2023</t>
        </is>
      </c>
      <c r="B81" s="1" t="n">
        <v>45175</v>
      </c>
      <c r="C81" s="1" t="n">
        <v>45474</v>
      </c>
      <c r="D81" t="inlineStr">
        <is>
          <t>VÄSTMANLANDS LÄN</t>
        </is>
      </c>
      <c r="E81" t="inlineStr">
        <is>
          <t>SURAHAMMAR</t>
        </is>
      </c>
      <c r="G81" t="n">
        <v>0.6</v>
      </c>
      <c r="H81" t="n">
        <v>1</v>
      </c>
      <c r="I81" t="n">
        <v>0</v>
      </c>
      <c r="J81" t="n">
        <v>0</v>
      </c>
      <c r="K81" t="n">
        <v>1</v>
      </c>
      <c r="L81" t="n">
        <v>0</v>
      </c>
      <c r="M81" t="n">
        <v>0</v>
      </c>
      <c r="N81" t="n">
        <v>0</v>
      </c>
      <c r="O81" t="n">
        <v>1</v>
      </c>
      <c r="P81" t="n">
        <v>1</v>
      </c>
      <c r="Q81" t="n">
        <v>1</v>
      </c>
      <c r="R81" s="2" t="inlineStr">
        <is>
          <t>Knärot</t>
        </is>
      </c>
      <c r="S81">
        <f>HYPERLINK("https://klasma.github.io/Logging_1907/artfynd/A 41622-2023 artfynd.xlsx", "A 41622-2023")</f>
        <v/>
      </c>
      <c r="T81">
        <f>HYPERLINK("https://klasma.github.io/Logging_1907/kartor/A 41622-2023 karta.png", "A 41622-2023")</f>
        <v/>
      </c>
      <c r="U81">
        <f>HYPERLINK("https://klasma.github.io/Logging_1907/knärot/A 41622-2023 karta knärot.png", "A 41622-2023")</f>
        <v/>
      </c>
      <c r="V81">
        <f>HYPERLINK("https://klasma.github.io/Logging_1907/klagomål/A 41622-2023 FSC-klagomål.docx", "A 41622-2023")</f>
        <v/>
      </c>
      <c r="W81">
        <f>HYPERLINK("https://klasma.github.io/Logging_1907/klagomålsmail/A 41622-2023 FSC-klagomål mail.docx", "A 41622-2023")</f>
        <v/>
      </c>
      <c r="X81">
        <f>HYPERLINK("https://klasma.github.io/Logging_1907/tillsyn/A 41622-2023 tillsynsbegäran.docx", "A 41622-2023")</f>
        <v/>
      </c>
      <c r="Y81">
        <f>HYPERLINK("https://klasma.github.io/Logging_1907/tillsynsmail/A 41622-2023 tillsynsbegäran mail.docx", "A 41622-2023")</f>
        <v/>
      </c>
    </row>
    <row r="82" ht="15" customHeight="1">
      <c r="A82" t="inlineStr">
        <is>
          <t>A 56362-2023</t>
        </is>
      </c>
      <c r="B82" s="1" t="n">
        <v>45236</v>
      </c>
      <c r="C82" s="1" t="n">
        <v>45474</v>
      </c>
      <c r="D82" t="inlineStr">
        <is>
          <t>VÄSTMANLANDS LÄN</t>
        </is>
      </c>
      <c r="E82" t="inlineStr">
        <is>
          <t>SURAHAMMAR</t>
        </is>
      </c>
      <c r="F82" t="inlineStr">
        <is>
          <t>Bergvik skog väst AB</t>
        </is>
      </c>
      <c r="G82" t="n">
        <v>15.2</v>
      </c>
      <c r="H82" t="n">
        <v>0</v>
      </c>
      <c r="I82" t="n">
        <v>1</v>
      </c>
      <c r="J82" t="n">
        <v>0</v>
      </c>
      <c r="K82" t="n">
        <v>0</v>
      </c>
      <c r="L82" t="n">
        <v>0</v>
      </c>
      <c r="M82" t="n">
        <v>0</v>
      </c>
      <c r="N82" t="n">
        <v>0</v>
      </c>
      <c r="O82" t="n">
        <v>0</v>
      </c>
      <c r="P82" t="n">
        <v>0</v>
      </c>
      <c r="Q82" t="n">
        <v>1</v>
      </c>
      <c r="R82" s="2" t="inlineStr">
        <is>
          <t>Grönpyrola</t>
        </is>
      </c>
      <c r="S82">
        <f>HYPERLINK("https://klasma.github.io/Logging_1907/artfynd/A 56362-2023 artfynd.xlsx", "A 56362-2023")</f>
        <v/>
      </c>
      <c r="T82">
        <f>HYPERLINK("https://klasma.github.io/Logging_1907/kartor/A 56362-2023 karta.png", "A 56362-2023")</f>
        <v/>
      </c>
      <c r="V82">
        <f>HYPERLINK("https://klasma.github.io/Logging_1907/klagomål/A 56362-2023 FSC-klagomål.docx", "A 56362-2023")</f>
        <v/>
      </c>
      <c r="W82">
        <f>HYPERLINK("https://klasma.github.io/Logging_1907/klagomålsmail/A 56362-2023 FSC-klagomål mail.docx", "A 56362-2023")</f>
        <v/>
      </c>
      <c r="X82">
        <f>HYPERLINK("https://klasma.github.io/Logging_1907/tillsyn/A 56362-2023 tillsynsbegäran.docx", "A 56362-2023")</f>
        <v/>
      </c>
      <c r="Y82">
        <f>HYPERLINK("https://klasma.github.io/Logging_1907/tillsynsmail/A 56362-2023 tillsynsbegäran mail.docx", "A 56362-2023")</f>
        <v/>
      </c>
    </row>
    <row r="83" ht="15" customHeight="1">
      <c r="A83" t="inlineStr">
        <is>
          <t>A 3649-2024</t>
        </is>
      </c>
      <c r="B83" s="1" t="n">
        <v>45321</v>
      </c>
      <c r="C83" s="1" t="n">
        <v>45474</v>
      </c>
      <c r="D83" t="inlineStr">
        <is>
          <t>VÄSTMANLANDS LÄN</t>
        </is>
      </c>
      <c r="E83" t="inlineStr">
        <is>
          <t>SURAHAMMAR</t>
        </is>
      </c>
      <c r="F83" t="inlineStr">
        <is>
          <t>Övriga Aktiebolag</t>
        </is>
      </c>
      <c r="G83" t="n">
        <v>9.300000000000001</v>
      </c>
      <c r="H83" t="n">
        <v>1</v>
      </c>
      <c r="I83" t="n">
        <v>0</v>
      </c>
      <c r="J83" t="n">
        <v>0</v>
      </c>
      <c r="K83" t="n">
        <v>1</v>
      </c>
      <c r="L83" t="n">
        <v>0</v>
      </c>
      <c r="M83" t="n">
        <v>0</v>
      </c>
      <c r="N83" t="n">
        <v>0</v>
      </c>
      <c r="O83" t="n">
        <v>1</v>
      </c>
      <c r="P83" t="n">
        <v>1</v>
      </c>
      <c r="Q83" t="n">
        <v>1</v>
      </c>
      <c r="R83" s="2" t="inlineStr">
        <is>
          <t>Väddnätfjäril</t>
        </is>
      </c>
      <c r="S83">
        <f>HYPERLINK("https://klasma.github.io/Logging_1907/artfynd/A 3649-2024 artfynd.xlsx", "A 3649-2024")</f>
        <v/>
      </c>
      <c r="T83">
        <f>HYPERLINK("https://klasma.github.io/Logging_1907/kartor/A 3649-2024 karta.png", "A 3649-2024")</f>
        <v/>
      </c>
      <c r="V83">
        <f>HYPERLINK("https://klasma.github.io/Logging_1907/klagomål/A 3649-2024 FSC-klagomål.docx", "A 3649-2024")</f>
        <v/>
      </c>
      <c r="W83">
        <f>HYPERLINK("https://klasma.github.io/Logging_1907/klagomålsmail/A 3649-2024 FSC-klagomål mail.docx", "A 3649-2024")</f>
        <v/>
      </c>
      <c r="X83">
        <f>HYPERLINK("https://klasma.github.io/Logging_1907/tillsyn/A 3649-2024 tillsynsbegäran.docx", "A 3649-2024")</f>
        <v/>
      </c>
      <c r="Y83">
        <f>HYPERLINK("https://klasma.github.io/Logging_1907/tillsynsmail/A 3649-2024 tillsynsbegäran mail.docx", "A 3649-2024")</f>
        <v/>
      </c>
    </row>
    <row r="84" ht="15" customHeight="1">
      <c r="A84" t="inlineStr">
        <is>
          <t>A 10819-2024</t>
        </is>
      </c>
      <c r="B84" s="1" t="n">
        <v>45369</v>
      </c>
      <c r="C84" s="1" t="n">
        <v>45474</v>
      </c>
      <c r="D84" t="inlineStr">
        <is>
          <t>VÄSTMANLANDS LÄN</t>
        </is>
      </c>
      <c r="E84" t="inlineStr">
        <is>
          <t>SURAHAMMAR</t>
        </is>
      </c>
      <c r="G84" t="n">
        <v>2</v>
      </c>
      <c r="H84" t="n">
        <v>0</v>
      </c>
      <c r="I84" t="n">
        <v>1</v>
      </c>
      <c r="J84" t="n">
        <v>0</v>
      </c>
      <c r="K84" t="n">
        <v>0</v>
      </c>
      <c r="L84" t="n">
        <v>0</v>
      </c>
      <c r="M84" t="n">
        <v>0</v>
      </c>
      <c r="N84" t="n">
        <v>0</v>
      </c>
      <c r="O84" t="n">
        <v>0</v>
      </c>
      <c r="P84" t="n">
        <v>0</v>
      </c>
      <c r="Q84" t="n">
        <v>1</v>
      </c>
      <c r="R84" s="2" t="inlineStr">
        <is>
          <t>Tibast</t>
        </is>
      </c>
      <c r="S84">
        <f>HYPERLINK("https://klasma.github.io/Logging_1907/artfynd/A 10819-2024 artfynd.xlsx", "A 10819-2024")</f>
        <v/>
      </c>
      <c r="T84">
        <f>HYPERLINK("https://klasma.github.io/Logging_1907/kartor/A 10819-2024 karta.png", "A 10819-2024")</f>
        <v/>
      </c>
      <c r="V84">
        <f>HYPERLINK("https://klasma.github.io/Logging_1907/klagomål/A 10819-2024 FSC-klagomål.docx", "A 10819-2024")</f>
        <v/>
      </c>
      <c r="W84">
        <f>HYPERLINK("https://klasma.github.io/Logging_1907/klagomålsmail/A 10819-2024 FSC-klagomål mail.docx", "A 10819-2024")</f>
        <v/>
      </c>
      <c r="X84">
        <f>HYPERLINK("https://klasma.github.io/Logging_1907/tillsyn/A 10819-2024 tillsynsbegäran.docx", "A 10819-2024")</f>
        <v/>
      </c>
      <c r="Y84">
        <f>HYPERLINK("https://klasma.github.io/Logging_1907/tillsynsmail/A 10819-2024 tillsynsbegäran mail.docx", "A 10819-2024")</f>
        <v/>
      </c>
    </row>
    <row r="85" ht="15" customHeight="1">
      <c r="A85" t="inlineStr">
        <is>
          <t>A 20389-2024</t>
        </is>
      </c>
      <c r="B85" s="1" t="n">
        <v>45435</v>
      </c>
      <c r="C85" s="1" t="n">
        <v>45474</v>
      </c>
      <c r="D85" t="inlineStr">
        <is>
          <t>VÄSTMANLANDS LÄN</t>
        </is>
      </c>
      <c r="E85" t="inlineStr">
        <is>
          <t>SURAHAMMAR</t>
        </is>
      </c>
      <c r="G85" t="n">
        <v>1.5</v>
      </c>
      <c r="H85" t="n">
        <v>1</v>
      </c>
      <c r="I85" t="n">
        <v>0</v>
      </c>
      <c r="J85" t="n">
        <v>0</v>
      </c>
      <c r="K85" t="n">
        <v>1</v>
      </c>
      <c r="L85" t="n">
        <v>0</v>
      </c>
      <c r="M85" t="n">
        <v>0</v>
      </c>
      <c r="N85" t="n">
        <v>0</v>
      </c>
      <c r="O85" t="n">
        <v>1</v>
      </c>
      <c r="P85" t="n">
        <v>1</v>
      </c>
      <c r="Q85" t="n">
        <v>1</v>
      </c>
      <c r="R85" s="2" t="inlineStr">
        <is>
          <t>Knärot</t>
        </is>
      </c>
      <c r="S85">
        <f>HYPERLINK("https://klasma.github.io/Logging_1907/artfynd/A 20389-2024 artfynd.xlsx", "A 20389-2024")</f>
        <v/>
      </c>
      <c r="T85">
        <f>HYPERLINK("https://klasma.github.io/Logging_1907/kartor/A 20389-2024 karta.png", "A 20389-2024")</f>
        <v/>
      </c>
      <c r="U85">
        <f>HYPERLINK("https://klasma.github.io/Logging_1907/knärot/A 20389-2024 karta knärot.png", "A 20389-2024")</f>
        <v/>
      </c>
      <c r="V85">
        <f>HYPERLINK("https://klasma.github.io/Logging_1907/klagomål/A 20389-2024 FSC-klagomål.docx", "A 20389-2024")</f>
        <v/>
      </c>
      <c r="W85">
        <f>HYPERLINK("https://klasma.github.io/Logging_1907/klagomålsmail/A 20389-2024 FSC-klagomål mail.docx", "A 20389-2024")</f>
        <v/>
      </c>
      <c r="X85">
        <f>HYPERLINK("https://klasma.github.io/Logging_1907/tillsyn/A 20389-2024 tillsynsbegäran.docx", "A 20389-2024")</f>
        <v/>
      </c>
      <c r="Y85">
        <f>HYPERLINK("https://klasma.github.io/Logging_1907/tillsynsmail/A 20389-2024 tillsynsbegäran mail.docx", "A 20389-2024")</f>
        <v/>
      </c>
    </row>
    <row r="86" ht="15" customHeight="1">
      <c r="A86" t="inlineStr">
        <is>
          <t>A 25583-2024</t>
        </is>
      </c>
      <c r="B86" s="1" t="n">
        <v>45463</v>
      </c>
      <c r="C86" s="1" t="n">
        <v>45474</v>
      </c>
      <c r="D86" t="inlineStr">
        <is>
          <t>VÄSTMANLANDS LÄN</t>
        </is>
      </c>
      <c r="E86" t="inlineStr">
        <is>
          <t>SURAHAMMAR</t>
        </is>
      </c>
      <c r="F86" t="inlineStr">
        <is>
          <t>Bergvik skog väst AB</t>
        </is>
      </c>
      <c r="G86" t="n">
        <v>7.8</v>
      </c>
      <c r="H86" t="n">
        <v>1</v>
      </c>
      <c r="I86" t="n">
        <v>0</v>
      </c>
      <c r="J86" t="n">
        <v>0</v>
      </c>
      <c r="K86" t="n">
        <v>0</v>
      </c>
      <c r="L86" t="n">
        <v>0</v>
      </c>
      <c r="M86" t="n">
        <v>0</v>
      </c>
      <c r="N86" t="n">
        <v>0</v>
      </c>
      <c r="O86" t="n">
        <v>0</v>
      </c>
      <c r="P86" t="n">
        <v>0</v>
      </c>
      <c r="Q86" t="n">
        <v>1</v>
      </c>
      <c r="R86" s="2" t="inlineStr">
        <is>
          <t>Blåsippa</t>
        </is>
      </c>
      <c r="S86">
        <f>HYPERLINK("https://klasma.github.io/Logging_1907/artfynd/A 25583-2024 artfynd.xlsx", "A 25583-2024")</f>
        <v/>
      </c>
      <c r="T86">
        <f>HYPERLINK("https://klasma.github.io/Logging_1907/kartor/A 25583-2024 karta.png", "A 25583-2024")</f>
        <v/>
      </c>
      <c r="V86">
        <f>HYPERLINK("https://klasma.github.io/Logging_1907/klagomål/A 25583-2024 FSC-klagomål.docx", "A 25583-2024")</f>
        <v/>
      </c>
      <c r="W86">
        <f>HYPERLINK("https://klasma.github.io/Logging_1907/klagomålsmail/A 25583-2024 FSC-klagomål mail.docx", "A 25583-2024")</f>
        <v/>
      </c>
      <c r="X86">
        <f>HYPERLINK("https://klasma.github.io/Logging_1907/tillsyn/A 25583-2024 tillsynsbegäran.docx", "A 25583-2024")</f>
        <v/>
      </c>
      <c r="Y86">
        <f>HYPERLINK("https://klasma.github.io/Logging_1907/tillsynsmail/A 25583-2024 tillsynsbegäran mail.docx", "A 25583-2024")</f>
        <v/>
      </c>
    </row>
    <row r="87" ht="15" customHeight="1">
      <c r="A87" t="inlineStr">
        <is>
          <t>A 17946-2019</t>
        </is>
      </c>
      <c r="B87" s="1" t="n">
        <v>43557</v>
      </c>
      <c r="C87" s="1" t="n">
        <v>45474</v>
      </c>
      <c r="D87" t="inlineStr">
        <is>
          <t>VÄSTMANLANDS LÄN</t>
        </is>
      </c>
      <c r="E87" t="inlineStr">
        <is>
          <t>SURAHAMMAR</t>
        </is>
      </c>
      <c r="G87" t="n">
        <v>9.9</v>
      </c>
      <c r="H87" t="n">
        <v>0</v>
      </c>
      <c r="I87" t="n">
        <v>0</v>
      </c>
      <c r="J87" t="n">
        <v>0</v>
      </c>
      <c r="K87" t="n">
        <v>0</v>
      </c>
      <c r="L87" t="n">
        <v>0</v>
      </c>
      <c r="M87" t="n">
        <v>0</v>
      </c>
      <c r="N87" t="n">
        <v>0</v>
      </c>
      <c r="O87" t="n">
        <v>0</v>
      </c>
      <c r="P87" t="n">
        <v>0</v>
      </c>
      <c r="Q87" t="n">
        <v>0</v>
      </c>
      <c r="R87" s="2" t="inlineStr"/>
    </row>
    <row r="88" ht="15" customHeight="1">
      <c r="A88" t="inlineStr">
        <is>
          <t>A 18953-2019</t>
        </is>
      </c>
      <c r="B88" s="1" t="n">
        <v>43563</v>
      </c>
      <c r="C88" s="1" t="n">
        <v>45474</v>
      </c>
      <c r="D88" t="inlineStr">
        <is>
          <t>VÄSTMANLANDS LÄN</t>
        </is>
      </c>
      <c r="E88" t="inlineStr">
        <is>
          <t>SURAHAMMAR</t>
        </is>
      </c>
      <c r="F88" t="inlineStr">
        <is>
          <t>Övriga Aktiebolag</t>
        </is>
      </c>
      <c r="G88" t="n">
        <v>2.2</v>
      </c>
      <c r="H88" t="n">
        <v>0</v>
      </c>
      <c r="I88" t="n">
        <v>0</v>
      </c>
      <c r="J88" t="n">
        <v>0</v>
      </c>
      <c r="K88" t="n">
        <v>0</v>
      </c>
      <c r="L88" t="n">
        <v>0</v>
      </c>
      <c r="M88" t="n">
        <v>0</v>
      </c>
      <c r="N88" t="n">
        <v>0</v>
      </c>
      <c r="O88" t="n">
        <v>0</v>
      </c>
      <c r="P88" t="n">
        <v>0</v>
      </c>
      <c r="Q88" t="n">
        <v>0</v>
      </c>
      <c r="R88" s="2" t="inlineStr"/>
    </row>
    <row r="89" ht="15" customHeight="1">
      <c r="A89" t="inlineStr">
        <is>
          <t>A 18960-2019</t>
        </is>
      </c>
      <c r="B89" s="1" t="n">
        <v>43563</v>
      </c>
      <c r="C89" s="1" t="n">
        <v>45474</v>
      </c>
      <c r="D89" t="inlineStr">
        <is>
          <t>VÄSTMANLANDS LÄN</t>
        </is>
      </c>
      <c r="E89" t="inlineStr">
        <is>
          <t>SURAHAMMAR</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19659-2019</t>
        </is>
      </c>
      <c r="B90" s="1" t="n">
        <v>43566</v>
      </c>
      <c r="C90" s="1" t="n">
        <v>45474</v>
      </c>
      <c r="D90" t="inlineStr">
        <is>
          <t>VÄSTMANLANDS LÄN</t>
        </is>
      </c>
      <c r="E90" t="inlineStr">
        <is>
          <t>SURAHAMMAR</t>
        </is>
      </c>
      <c r="F90" t="inlineStr">
        <is>
          <t>Sveaskog</t>
        </is>
      </c>
      <c r="G90" t="n">
        <v>1.6</v>
      </c>
      <c r="H90" t="n">
        <v>0</v>
      </c>
      <c r="I90" t="n">
        <v>0</v>
      </c>
      <c r="J90" t="n">
        <v>0</v>
      </c>
      <c r="K90" t="n">
        <v>0</v>
      </c>
      <c r="L90" t="n">
        <v>0</v>
      </c>
      <c r="M90" t="n">
        <v>0</v>
      </c>
      <c r="N90" t="n">
        <v>0</v>
      </c>
      <c r="O90" t="n">
        <v>0</v>
      </c>
      <c r="P90" t="n">
        <v>0</v>
      </c>
      <c r="Q90" t="n">
        <v>0</v>
      </c>
      <c r="R90" s="2" t="inlineStr"/>
    </row>
    <row r="91" ht="15" customHeight="1">
      <c r="A91" t="inlineStr">
        <is>
          <t>A 20127-2019</t>
        </is>
      </c>
      <c r="B91" s="1" t="n">
        <v>43570</v>
      </c>
      <c r="C91" s="1" t="n">
        <v>45474</v>
      </c>
      <c r="D91" t="inlineStr">
        <is>
          <t>VÄSTMANLANDS LÄN</t>
        </is>
      </c>
      <c r="E91" t="inlineStr">
        <is>
          <t>SURAHAMMAR</t>
        </is>
      </c>
      <c r="G91" t="n">
        <v>2.6</v>
      </c>
      <c r="H91" t="n">
        <v>0</v>
      </c>
      <c r="I91" t="n">
        <v>0</v>
      </c>
      <c r="J91" t="n">
        <v>0</v>
      </c>
      <c r="K91" t="n">
        <v>0</v>
      </c>
      <c r="L91" t="n">
        <v>0</v>
      </c>
      <c r="M91" t="n">
        <v>0</v>
      </c>
      <c r="N91" t="n">
        <v>0</v>
      </c>
      <c r="O91" t="n">
        <v>0</v>
      </c>
      <c r="P91" t="n">
        <v>0</v>
      </c>
      <c r="Q91" t="n">
        <v>0</v>
      </c>
      <c r="R91" s="2" t="inlineStr"/>
    </row>
    <row r="92" ht="15" customHeight="1">
      <c r="A92" t="inlineStr">
        <is>
          <t>A 20904-2019</t>
        </is>
      </c>
      <c r="B92" s="1" t="n">
        <v>43578</v>
      </c>
      <c r="C92" s="1" t="n">
        <v>45474</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22834-2019</t>
        </is>
      </c>
      <c r="B93" s="1" t="n">
        <v>43591</v>
      </c>
      <c r="C93" s="1" t="n">
        <v>45474</v>
      </c>
      <c r="D93" t="inlineStr">
        <is>
          <t>VÄSTMANLANDS LÄN</t>
        </is>
      </c>
      <c r="E93" t="inlineStr">
        <is>
          <t>SURAHAMMAR</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28274-2019</t>
        </is>
      </c>
      <c r="B94" s="1" t="n">
        <v>43623</v>
      </c>
      <c r="C94" s="1" t="n">
        <v>45474</v>
      </c>
      <c r="D94" t="inlineStr">
        <is>
          <t>VÄSTMANLANDS LÄN</t>
        </is>
      </c>
      <c r="E94" t="inlineStr">
        <is>
          <t>SURAHAMMAR</t>
        </is>
      </c>
      <c r="F94" t="inlineStr">
        <is>
          <t>Allmännings- och besparingsskogar</t>
        </is>
      </c>
      <c r="G94" t="n">
        <v>0.7</v>
      </c>
      <c r="H94" t="n">
        <v>0</v>
      </c>
      <c r="I94" t="n">
        <v>0</v>
      </c>
      <c r="J94" t="n">
        <v>0</v>
      </c>
      <c r="K94" t="n">
        <v>0</v>
      </c>
      <c r="L94" t="n">
        <v>0</v>
      </c>
      <c r="M94" t="n">
        <v>0</v>
      </c>
      <c r="N94" t="n">
        <v>0</v>
      </c>
      <c r="O94" t="n">
        <v>0</v>
      </c>
      <c r="P94" t="n">
        <v>0</v>
      </c>
      <c r="Q94" t="n">
        <v>0</v>
      </c>
      <c r="R94" s="2" t="inlineStr"/>
    </row>
    <row r="95" ht="15" customHeight="1">
      <c r="A95" t="inlineStr">
        <is>
          <t>A 29523-2019</t>
        </is>
      </c>
      <c r="B95" s="1" t="n">
        <v>43630</v>
      </c>
      <c r="C95" s="1" t="n">
        <v>45474</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31008-2019</t>
        </is>
      </c>
      <c r="B96" s="1" t="n">
        <v>43640</v>
      </c>
      <c r="C96" s="1" t="n">
        <v>45474</v>
      </c>
      <c r="D96" t="inlineStr">
        <is>
          <t>VÄSTMANLANDS LÄN</t>
        </is>
      </c>
      <c r="E96" t="inlineStr">
        <is>
          <t>SURAHAMMAR</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39552-2019</t>
        </is>
      </c>
      <c r="B97" s="1" t="n">
        <v>43691</v>
      </c>
      <c r="C97" s="1" t="n">
        <v>45474</v>
      </c>
      <c r="D97" t="inlineStr">
        <is>
          <t>VÄSTMANLANDS LÄN</t>
        </is>
      </c>
      <c r="E97" t="inlineStr">
        <is>
          <t>SURAHAMMAR</t>
        </is>
      </c>
      <c r="F97" t="inlineStr">
        <is>
          <t>Övriga Aktiebolag</t>
        </is>
      </c>
      <c r="G97" t="n">
        <v>4.4</v>
      </c>
      <c r="H97" t="n">
        <v>0</v>
      </c>
      <c r="I97" t="n">
        <v>0</v>
      </c>
      <c r="J97" t="n">
        <v>0</v>
      </c>
      <c r="K97" t="n">
        <v>0</v>
      </c>
      <c r="L97" t="n">
        <v>0</v>
      </c>
      <c r="M97" t="n">
        <v>0</v>
      </c>
      <c r="N97" t="n">
        <v>0</v>
      </c>
      <c r="O97" t="n">
        <v>0</v>
      </c>
      <c r="P97" t="n">
        <v>0</v>
      </c>
      <c r="Q97" t="n">
        <v>0</v>
      </c>
      <c r="R97" s="2" t="inlineStr"/>
    </row>
    <row r="98" ht="15" customHeight="1">
      <c r="A98" t="inlineStr">
        <is>
          <t>A 39754-2019</t>
        </is>
      </c>
      <c r="B98" s="1" t="n">
        <v>43692</v>
      </c>
      <c r="C98" s="1" t="n">
        <v>45474</v>
      </c>
      <c r="D98" t="inlineStr">
        <is>
          <t>VÄSTMANLANDS LÄN</t>
        </is>
      </c>
      <c r="E98" t="inlineStr">
        <is>
          <t>SURAHAMMAR</t>
        </is>
      </c>
      <c r="F98" t="inlineStr">
        <is>
          <t>Övriga Aktiebolag</t>
        </is>
      </c>
      <c r="G98" t="n">
        <v>5.7</v>
      </c>
      <c r="H98" t="n">
        <v>0</v>
      </c>
      <c r="I98" t="n">
        <v>0</v>
      </c>
      <c r="J98" t="n">
        <v>0</v>
      </c>
      <c r="K98" t="n">
        <v>0</v>
      </c>
      <c r="L98" t="n">
        <v>0</v>
      </c>
      <c r="M98" t="n">
        <v>0</v>
      </c>
      <c r="N98" t="n">
        <v>0</v>
      </c>
      <c r="O98" t="n">
        <v>0</v>
      </c>
      <c r="P98" t="n">
        <v>0</v>
      </c>
      <c r="Q98" t="n">
        <v>0</v>
      </c>
      <c r="R98" s="2" t="inlineStr"/>
    </row>
    <row r="99" ht="15" customHeight="1">
      <c r="A99" t="inlineStr">
        <is>
          <t>A 40191-2019</t>
        </is>
      </c>
      <c r="B99" s="1" t="n">
        <v>43693</v>
      </c>
      <c r="C99" s="1" t="n">
        <v>45474</v>
      </c>
      <c r="D99" t="inlineStr">
        <is>
          <t>VÄSTMANLANDS LÄN</t>
        </is>
      </c>
      <c r="E99" t="inlineStr">
        <is>
          <t>SURAHAMMAR</t>
        </is>
      </c>
      <c r="F99" t="inlineStr">
        <is>
          <t>Bergvik skog väst AB</t>
        </is>
      </c>
      <c r="G99" t="n">
        <v>3.5</v>
      </c>
      <c r="H99" t="n">
        <v>0</v>
      </c>
      <c r="I99" t="n">
        <v>0</v>
      </c>
      <c r="J99" t="n">
        <v>0</v>
      </c>
      <c r="K99" t="n">
        <v>0</v>
      </c>
      <c r="L99" t="n">
        <v>0</v>
      </c>
      <c r="M99" t="n">
        <v>0</v>
      </c>
      <c r="N99" t="n">
        <v>0</v>
      </c>
      <c r="O99" t="n">
        <v>0</v>
      </c>
      <c r="P99" t="n">
        <v>0</v>
      </c>
      <c r="Q99" t="n">
        <v>0</v>
      </c>
      <c r="R99" s="2" t="inlineStr"/>
    </row>
    <row r="100" ht="15" customHeight="1">
      <c r="A100" t="inlineStr">
        <is>
          <t>A 60343-2019</t>
        </is>
      </c>
      <c r="B100" s="1" t="n">
        <v>43780</v>
      </c>
      <c r="C100" s="1" t="n">
        <v>45474</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64772-2019</t>
        </is>
      </c>
      <c r="B101" s="1" t="n">
        <v>43801</v>
      </c>
      <c r="C101" s="1" t="n">
        <v>45474</v>
      </c>
      <c r="D101" t="inlineStr">
        <is>
          <t>VÄSTMANLANDS LÄN</t>
        </is>
      </c>
      <c r="E101" t="inlineStr">
        <is>
          <t>SURAHAMMAR</t>
        </is>
      </c>
      <c r="F101" t="inlineStr">
        <is>
          <t>Övriga Aktiebolag</t>
        </is>
      </c>
      <c r="G101" t="n">
        <v>7</v>
      </c>
      <c r="H101" t="n">
        <v>0</v>
      </c>
      <c r="I101" t="n">
        <v>0</v>
      </c>
      <c r="J101" t="n">
        <v>0</v>
      </c>
      <c r="K101" t="n">
        <v>0</v>
      </c>
      <c r="L101" t="n">
        <v>0</v>
      </c>
      <c r="M101" t="n">
        <v>0</v>
      </c>
      <c r="N101" t="n">
        <v>0</v>
      </c>
      <c r="O101" t="n">
        <v>0</v>
      </c>
      <c r="P101" t="n">
        <v>0</v>
      </c>
      <c r="Q101" t="n">
        <v>0</v>
      </c>
      <c r="R101" s="2" t="inlineStr"/>
    </row>
    <row r="102" ht="15" customHeight="1">
      <c r="A102" t="inlineStr">
        <is>
          <t>A 66269-2019</t>
        </is>
      </c>
      <c r="B102" s="1" t="n">
        <v>43802</v>
      </c>
      <c r="C102" s="1" t="n">
        <v>45474</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65619-2019</t>
        </is>
      </c>
      <c r="B103" s="1" t="n">
        <v>43804</v>
      </c>
      <c r="C103" s="1" t="n">
        <v>45474</v>
      </c>
      <c r="D103" t="inlineStr">
        <is>
          <t>VÄSTMANLANDS LÄN</t>
        </is>
      </c>
      <c r="E103" t="inlineStr">
        <is>
          <t>SURAHAMMAR</t>
        </is>
      </c>
      <c r="F103" t="inlineStr">
        <is>
          <t>Övriga Aktiebolag</t>
        </is>
      </c>
      <c r="G103" t="n">
        <v>1.6</v>
      </c>
      <c r="H103" t="n">
        <v>0</v>
      </c>
      <c r="I103" t="n">
        <v>0</v>
      </c>
      <c r="J103" t="n">
        <v>0</v>
      </c>
      <c r="K103" t="n">
        <v>0</v>
      </c>
      <c r="L103" t="n">
        <v>0</v>
      </c>
      <c r="M103" t="n">
        <v>0</v>
      </c>
      <c r="N103" t="n">
        <v>0</v>
      </c>
      <c r="O103" t="n">
        <v>0</v>
      </c>
      <c r="P103" t="n">
        <v>0</v>
      </c>
      <c r="Q103" t="n">
        <v>0</v>
      </c>
      <c r="R103" s="2" t="inlineStr"/>
    </row>
    <row r="104" ht="15" customHeight="1">
      <c r="A104" t="inlineStr">
        <is>
          <t>A 2039-2020</t>
        </is>
      </c>
      <c r="B104" s="1" t="n">
        <v>43839</v>
      </c>
      <c r="C104" s="1" t="n">
        <v>45474</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5804-2020</t>
        </is>
      </c>
      <c r="B105" s="1" t="n">
        <v>43864</v>
      </c>
      <c r="C105" s="1" t="n">
        <v>45474</v>
      </c>
      <c r="D105" t="inlineStr">
        <is>
          <t>VÄSTMANLANDS LÄN</t>
        </is>
      </c>
      <c r="E105" t="inlineStr">
        <is>
          <t>SURAHAMMAR</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8608-2020</t>
        </is>
      </c>
      <c r="B106" s="1" t="n">
        <v>43878</v>
      </c>
      <c r="C106" s="1" t="n">
        <v>45474</v>
      </c>
      <c r="D106" t="inlineStr">
        <is>
          <t>VÄSTMANLANDS LÄN</t>
        </is>
      </c>
      <c r="E106" t="inlineStr">
        <is>
          <t>SURAHAMMAR</t>
        </is>
      </c>
      <c r="F106" t="inlineStr">
        <is>
          <t>Övriga Aktiebolag</t>
        </is>
      </c>
      <c r="G106" t="n">
        <v>20.2</v>
      </c>
      <c r="H106" t="n">
        <v>0</v>
      </c>
      <c r="I106" t="n">
        <v>0</v>
      </c>
      <c r="J106" t="n">
        <v>0</v>
      </c>
      <c r="K106" t="n">
        <v>0</v>
      </c>
      <c r="L106" t="n">
        <v>0</v>
      </c>
      <c r="M106" t="n">
        <v>0</v>
      </c>
      <c r="N106" t="n">
        <v>0</v>
      </c>
      <c r="O106" t="n">
        <v>0</v>
      </c>
      <c r="P106" t="n">
        <v>0</v>
      </c>
      <c r="Q106" t="n">
        <v>0</v>
      </c>
      <c r="R106" s="2" t="inlineStr"/>
    </row>
    <row r="107" ht="15" customHeight="1">
      <c r="A107" t="inlineStr">
        <is>
          <t>A 40660-2020</t>
        </is>
      </c>
      <c r="B107" s="1" t="n">
        <v>44069</v>
      </c>
      <c r="C107" s="1" t="n">
        <v>45474</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43171-2020</t>
        </is>
      </c>
      <c r="B108" s="1" t="n">
        <v>44081</v>
      </c>
      <c r="C108" s="1" t="n">
        <v>45474</v>
      </c>
      <c r="D108" t="inlineStr">
        <is>
          <t>VÄSTMANLANDS LÄN</t>
        </is>
      </c>
      <c r="E108" t="inlineStr">
        <is>
          <t>SURAHAMMAR</t>
        </is>
      </c>
      <c r="F108" t="inlineStr">
        <is>
          <t>Sveaskog</t>
        </is>
      </c>
      <c r="G108" t="n">
        <v>2.6</v>
      </c>
      <c r="H108" t="n">
        <v>0</v>
      </c>
      <c r="I108" t="n">
        <v>0</v>
      </c>
      <c r="J108" t="n">
        <v>0</v>
      </c>
      <c r="K108" t="n">
        <v>0</v>
      </c>
      <c r="L108" t="n">
        <v>0</v>
      </c>
      <c r="M108" t="n">
        <v>0</v>
      </c>
      <c r="N108" t="n">
        <v>0</v>
      </c>
      <c r="O108" t="n">
        <v>0</v>
      </c>
      <c r="P108" t="n">
        <v>0</v>
      </c>
      <c r="Q108" t="n">
        <v>0</v>
      </c>
      <c r="R108" s="2" t="inlineStr"/>
    </row>
    <row r="109" ht="15" customHeight="1">
      <c r="A109" t="inlineStr">
        <is>
          <t>A 43174-2020</t>
        </is>
      </c>
      <c r="B109" s="1" t="n">
        <v>44081</v>
      </c>
      <c r="C109" s="1" t="n">
        <v>45474</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43177-2020</t>
        </is>
      </c>
      <c r="B110" s="1" t="n">
        <v>44081</v>
      </c>
      <c r="C110" s="1" t="n">
        <v>45474</v>
      </c>
      <c r="D110" t="inlineStr">
        <is>
          <t>VÄSTMANLANDS LÄN</t>
        </is>
      </c>
      <c r="E110" t="inlineStr">
        <is>
          <t>SURAHAMMAR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43590-2020</t>
        </is>
      </c>
      <c r="B111" s="1" t="n">
        <v>44082</v>
      </c>
      <c r="C111" s="1" t="n">
        <v>45474</v>
      </c>
      <c r="D111" t="inlineStr">
        <is>
          <t>VÄSTMANLANDS LÄN</t>
        </is>
      </c>
      <c r="E111" t="inlineStr">
        <is>
          <t>SURAHAMMAR</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47997-2020</t>
        </is>
      </c>
      <c r="B112" s="1" t="n">
        <v>44099</v>
      </c>
      <c r="C112" s="1" t="n">
        <v>45474</v>
      </c>
      <c r="D112" t="inlineStr">
        <is>
          <t>VÄSTMANLANDS LÄN</t>
        </is>
      </c>
      <c r="E112" t="inlineStr">
        <is>
          <t>SURAHAMMAR</t>
        </is>
      </c>
      <c r="G112" t="n">
        <v>4.8</v>
      </c>
      <c r="H112" t="n">
        <v>0</v>
      </c>
      <c r="I112" t="n">
        <v>0</v>
      </c>
      <c r="J112" t="n">
        <v>0</v>
      </c>
      <c r="K112" t="n">
        <v>0</v>
      </c>
      <c r="L112" t="n">
        <v>0</v>
      </c>
      <c r="M112" t="n">
        <v>0</v>
      </c>
      <c r="N112" t="n">
        <v>0</v>
      </c>
      <c r="O112" t="n">
        <v>0</v>
      </c>
      <c r="P112" t="n">
        <v>0</v>
      </c>
      <c r="Q112" t="n">
        <v>0</v>
      </c>
      <c r="R112" s="2" t="inlineStr"/>
    </row>
    <row r="113" ht="15" customHeight="1">
      <c r="A113" t="inlineStr">
        <is>
          <t>A 52076-2020</t>
        </is>
      </c>
      <c r="B113" s="1" t="n">
        <v>44117</v>
      </c>
      <c r="C113" s="1" t="n">
        <v>45474</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52074-2020</t>
        </is>
      </c>
      <c r="B114" s="1" t="n">
        <v>44117</v>
      </c>
      <c r="C114" s="1" t="n">
        <v>45474</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54962-2020</t>
        </is>
      </c>
      <c r="B115" s="1" t="n">
        <v>44130</v>
      </c>
      <c r="C115" s="1" t="n">
        <v>45474</v>
      </c>
      <c r="D115" t="inlineStr">
        <is>
          <t>VÄSTMANLANDS LÄN</t>
        </is>
      </c>
      <c r="E115" t="inlineStr">
        <is>
          <t>SURAHAMMAR</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55397-2020</t>
        </is>
      </c>
      <c r="B116" s="1" t="n">
        <v>44131</v>
      </c>
      <c r="C116" s="1" t="n">
        <v>45474</v>
      </c>
      <c r="D116" t="inlineStr">
        <is>
          <t>VÄSTMANLANDS LÄN</t>
        </is>
      </c>
      <c r="E116" t="inlineStr">
        <is>
          <t>SURAHAMMAR</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59543-2020</t>
        </is>
      </c>
      <c r="B117" s="1" t="n">
        <v>44148</v>
      </c>
      <c r="C117" s="1" t="n">
        <v>45474</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59740-2020</t>
        </is>
      </c>
      <c r="B118" s="1" t="n">
        <v>44151</v>
      </c>
      <c r="C118" s="1" t="n">
        <v>45474</v>
      </c>
      <c r="D118" t="inlineStr">
        <is>
          <t>VÄSTMANLANDS LÄN</t>
        </is>
      </c>
      <c r="E118" t="inlineStr">
        <is>
          <t>SURAHAMMAR</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59727-2020</t>
        </is>
      </c>
      <c r="B119" s="1" t="n">
        <v>44151</v>
      </c>
      <c r="C119" s="1" t="n">
        <v>45474</v>
      </c>
      <c r="D119" t="inlineStr">
        <is>
          <t>VÄSTMANLANDS LÄN</t>
        </is>
      </c>
      <c r="E119" t="inlineStr">
        <is>
          <t>SURAHAMMAR</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1492-2021</t>
        </is>
      </c>
      <c r="B120" s="1" t="n">
        <v>44209</v>
      </c>
      <c r="C120" s="1" t="n">
        <v>45474</v>
      </c>
      <c r="D120" t="inlineStr">
        <is>
          <t>VÄSTMANLANDS LÄN</t>
        </is>
      </c>
      <c r="E120" t="inlineStr">
        <is>
          <t>SURAHAMMAR</t>
        </is>
      </c>
      <c r="G120" t="n">
        <v>1.2</v>
      </c>
      <c r="H120" t="n">
        <v>0</v>
      </c>
      <c r="I120" t="n">
        <v>0</v>
      </c>
      <c r="J120" t="n">
        <v>0</v>
      </c>
      <c r="K120" t="n">
        <v>0</v>
      </c>
      <c r="L120" t="n">
        <v>0</v>
      </c>
      <c r="M120" t="n">
        <v>0</v>
      </c>
      <c r="N120" t="n">
        <v>0</v>
      </c>
      <c r="O120" t="n">
        <v>0</v>
      </c>
      <c r="P120" t="n">
        <v>0</v>
      </c>
      <c r="Q120" t="n">
        <v>0</v>
      </c>
      <c r="R120" s="2" t="inlineStr"/>
    </row>
    <row r="121" ht="15" customHeight="1">
      <c r="A121" t="inlineStr">
        <is>
          <t>A 18723-2021</t>
        </is>
      </c>
      <c r="B121" s="1" t="n">
        <v>44306</v>
      </c>
      <c r="C121" s="1" t="n">
        <v>45474</v>
      </c>
      <c r="D121" t="inlineStr">
        <is>
          <t>VÄSTMANLANDS LÄN</t>
        </is>
      </c>
      <c r="E121" t="inlineStr">
        <is>
          <t>SURAHAMMAR</t>
        </is>
      </c>
      <c r="F121" t="inlineStr">
        <is>
          <t>Bergvik skog väst AB</t>
        </is>
      </c>
      <c r="G121" t="n">
        <v>3.9</v>
      </c>
      <c r="H121" t="n">
        <v>0</v>
      </c>
      <c r="I121" t="n">
        <v>0</v>
      </c>
      <c r="J121" t="n">
        <v>0</v>
      </c>
      <c r="K121" t="n">
        <v>0</v>
      </c>
      <c r="L121" t="n">
        <v>0</v>
      </c>
      <c r="M121" t="n">
        <v>0</v>
      </c>
      <c r="N121" t="n">
        <v>0</v>
      </c>
      <c r="O121" t="n">
        <v>0</v>
      </c>
      <c r="P121" t="n">
        <v>0</v>
      </c>
      <c r="Q121" t="n">
        <v>0</v>
      </c>
      <c r="R121" s="2" t="inlineStr"/>
    </row>
    <row r="122" ht="15" customHeight="1">
      <c r="A122" t="inlineStr">
        <is>
          <t>A 20478-2021</t>
        </is>
      </c>
      <c r="B122" s="1" t="n">
        <v>44315</v>
      </c>
      <c r="C122" s="1" t="n">
        <v>45474</v>
      </c>
      <c r="D122" t="inlineStr">
        <is>
          <t>VÄSTMANLANDS LÄN</t>
        </is>
      </c>
      <c r="E122" t="inlineStr">
        <is>
          <t>SURAHAMMAR</t>
        </is>
      </c>
      <c r="F122" t="inlineStr">
        <is>
          <t>Sveaskog</t>
        </is>
      </c>
      <c r="G122" t="n">
        <v>6.2</v>
      </c>
      <c r="H122" t="n">
        <v>0</v>
      </c>
      <c r="I122" t="n">
        <v>0</v>
      </c>
      <c r="J122" t="n">
        <v>0</v>
      </c>
      <c r="K122" t="n">
        <v>0</v>
      </c>
      <c r="L122" t="n">
        <v>0</v>
      </c>
      <c r="M122" t="n">
        <v>0</v>
      </c>
      <c r="N122" t="n">
        <v>0</v>
      </c>
      <c r="O122" t="n">
        <v>0</v>
      </c>
      <c r="P122" t="n">
        <v>0</v>
      </c>
      <c r="Q122" t="n">
        <v>0</v>
      </c>
      <c r="R122" s="2" t="inlineStr"/>
    </row>
    <row r="123" ht="15" customHeight="1">
      <c r="A123" t="inlineStr">
        <is>
          <t>A 21839-2021</t>
        </is>
      </c>
      <c r="B123" s="1" t="n">
        <v>44322</v>
      </c>
      <c r="C123" s="1" t="n">
        <v>45474</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24804-2021</t>
        </is>
      </c>
      <c r="B124" s="1" t="n">
        <v>44340</v>
      </c>
      <c r="C124" s="1" t="n">
        <v>45474</v>
      </c>
      <c r="D124" t="inlineStr">
        <is>
          <t>VÄSTMANLANDS LÄN</t>
        </is>
      </c>
      <c r="E124" t="inlineStr">
        <is>
          <t>SURAHAMMAR</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31468-2021</t>
        </is>
      </c>
      <c r="B125" s="1" t="n">
        <v>44369</v>
      </c>
      <c r="C125" s="1" t="n">
        <v>45474</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33998-2021</t>
        </is>
      </c>
      <c r="B126" s="1" t="n">
        <v>44378</v>
      </c>
      <c r="C126" s="1" t="n">
        <v>45474</v>
      </c>
      <c r="D126" t="inlineStr">
        <is>
          <t>VÄSTMANLANDS LÄN</t>
        </is>
      </c>
      <c r="E126" t="inlineStr">
        <is>
          <t>SURAHAMMAR</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34001-2021</t>
        </is>
      </c>
      <c r="B127" s="1" t="n">
        <v>44378</v>
      </c>
      <c r="C127" s="1" t="n">
        <v>45474</v>
      </c>
      <c r="D127" t="inlineStr">
        <is>
          <t>VÄSTMANLANDS LÄN</t>
        </is>
      </c>
      <c r="E127" t="inlineStr">
        <is>
          <t>SURAHAMMAR</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37798-2021</t>
        </is>
      </c>
      <c r="B128" s="1" t="n">
        <v>44402</v>
      </c>
      <c r="C128" s="1" t="n">
        <v>45474</v>
      </c>
      <c r="D128" t="inlineStr">
        <is>
          <t>VÄSTMANLANDS LÄN</t>
        </is>
      </c>
      <c r="E128" t="inlineStr">
        <is>
          <t>SURAHAMMAR</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37799-2021</t>
        </is>
      </c>
      <c r="B129" s="1" t="n">
        <v>44402</v>
      </c>
      <c r="C129" s="1" t="n">
        <v>45474</v>
      </c>
      <c r="D129" t="inlineStr">
        <is>
          <t>VÄSTMANLANDS LÄN</t>
        </is>
      </c>
      <c r="E129" t="inlineStr">
        <is>
          <t>SURAHAMMAR</t>
        </is>
      </c>
      <c r="F129" t="inlineStr">
        <is>
          <t>Kommuner</t>
        </is>
      </c>
      <c r="G129" t="n">
        <v>2.1</v>
      </c>
      <c r="H129" t="n">
        <v>0</v>
      </c>
      <c r="I129" t="n">
        <v>0</v>
      </c>
      <c r="J129" t="n">
        <v>0</v>
      </c>
      <c r="K129" t="n">
        <v>0</v>
      </c>
      <c r="L129" t="n">
        <v>0</v>
      </c>
      <c r="M129" t="n">
        <v>0</v>
      </c>
      <c r="N129" t="n">
        <v>0</v>
      </c>
      <c r="O129" t="n">
        <v>0</v>
      </c>
      <c r="P129" t="n">
        <v>0</v>
      </c>
      <c r="Q129" t="n">
        <v>0</v>
      </c>
      <c r="R129" s="2" t="inlineStr"/>
    </row>
    <row r="130" ht="15" customHeight="1">
      <c r="A130" t="inlineStr">
        <is>
          <t>A 38150-2021</t>
        </is>
      </c>
      <c r="B130" s="1" t="n">
        <v>44405</v>
      </c>
      <c r="C130" s="1" t="n">
        <v>45474</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38178-2021</t>
        </is>
      </c>
      <c r="B131" s="1" t="n">
        <v>44405</v>
      </c>
      <c r="C131" s="1" t="n">
        <v>45474</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38149-2021</t>
        </is>
      </c>
      <c r="B132" s="1" t="n">
        <v>44405</v>
      </c>
      <c r="C132" s="1" t="n">
        <v>45474</v>
      </c>
      <c r="D132" t="inlineStr">
        <is>
          <t>VÄSTMANLANDS LÄN</t>
        </is>
      </c>
      <c r="E132" t="inlineStr">
        <is>
          <t>SURAHAMMAR</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38163-2021</t>
        </is>
      </c>
      <c r="B133" s="1" t="n">
        <v>44405</v>
      </c>
      <c r="C133" s="1" t="n">
        <v>45474</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v>
      </c>
      <c r="C134" s="1" t="n">
        <v>45474</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47852-2021</t>
        </is>
      </c>
      <c r="B135" s="1" t="n">
        <v>44448</v>
      </c>
      <c r="C135" s="1" t="n">
        <v>45474</v>
      </c>
      <c r="D135" t="inlineStr">
        <is>
          <t>VÄSTMANLANDS LÄN</t>
        </is>
      </c>
      <c r="E135" t="inlineStr">
        <is>
          <t>SURAHAMMAR</t>
        </is>
      </c>
      <c r="G135" t="n">
        <v>4.1</v>
      </c>
      <c r="H135" t="n">
        <v>0</v>
      </c>
      <c r="I135" t="n">
        <v>0</v>
      </c>
      <c r="J135" t="n">
        <v>0</v>
      </c>
      <c r="K135" t="n">
        <v>0</v>
      </c>
      <c r="L135" t="n">
        <v>0</v>
      </c>
      <c r="M135" t="n">
        <v>0</v>
      </c>
      <c r="N135" t="n">
        <v>0</v>
      </c>
      <c r="O135" t="n">
        <v>0</v>
      </c>
      <c r="P135" t="n">
        <v>0</v>
      </c>
      <c r="Q135" t="n">
        <v>0</v>
      </c>
      <c r="R135" s="2" t="inlineStr"/>
    </row>
    <row r="136" ht="15" customHeight="1">
      <c r="A136" t="inlineStr">
        <is>
          <t>A 47785-2021</t>
        </is>
      </c>
      <c r="B136" s="1" t="n">
        <v>44448</v>
      </c>
      <c r="C136" s="1" t="n">
        <v>45474</v>
      </c>
      <c r="D136" t="inlineStr">
        <is>
          <t>VÄSTMANLANDS LÄN</t>
        </is>
      </c>
      <c r="E136" t="inlineStr">
        <is>
          <t>SURAHAMMAR</t>
        </is>
      </c>
      <c r="F136" t="inlineStr">
        <is>
          <t>Kommuner</t>
        </is>
      </c>
      <c r="G136" t="n">
        <v>3.3</v>
      </c>
      <c r="H136" t="n">
        <v>0</v>
      </c>
      <c r="I136" t="n">
        <v>0</v>
      </c>
      <c r="J136" t="n">
        <v>0</v>
      </c>
      <c r="K136" t="n">
        <v>0</v>
      </c>
      <c r="L136" t="n">
        <v>0</v>
      </c>
      <c r="M136" t="n">
        <v>0</v>
      </c>
      <c r="N136" t="n">
        <v>0</v>
      </c>
      <c r="O136" t="n">
        <v>0</v>
      </c>
      <c r="P136" t="n">
        <v>0</v>
      </c>
      <c r="Q136" t="n">
        <v>0</v>
      </c>
      <c r="R136" s="2" t="inlineStr"/>
    </row>
    <row r="137" ht="15" customHeight="1">
      <c r="A137" t="inlineStr">
        <is>
          <t>A 64073-2021</t>
        </is>
      </c>
      <c r="B137" s="1" t="n">
        <v>44509</v>
      </c>
      <c r="C137" s="1" t="n">
        <v>45474</v>
      </c>
      <c r="D137" t="inlineStr">
        <is>
          <t>VÄSTMANLANDS LÄN</t>
        </is>
      </c>
      <c r="E137" t="inlineStr">
        <is>
          <t>SURAHAMMAR</t>
        </is>
      </c>
      <c r="G137" t="n">
        <v>0.4</v>
      </c>
      <c r="H137" t="n">
        <v>0</v>
      </c>
      <c r="I137" t="n">
        <v>0</v>
      </c>
      <c r="J137" t="n">
        <v>0</v>
      </c>
      <c r="K137" t="n">
        <v>0</v>
      </c>
      <c r="L137" t="n">
        <v>0</v>
      </c>
      <c r="M137" t="n">
        <v>0</v>
      </c>
      <c r="N137" t="n">
        <v>0</v>
      </c>
      <c r="O137" t="n">
        <v>0</v>
      </c>
      <c r="P137" t="n">
        <v>0</v>
      </c>
      <c r="Q137" t="n">
        <v>0</v>
      </c>
      <c r="R137" s="2" t="inlineStr"/>
    </row>
    <row r="138" ht="15" customHeight="1">
      <c r="A138" t="inlineStr">
        <is>
          <t>A 66343-2021</t>
        </is>
      </c>
      <c r="B138" s="1" t="n">
        <v>44518</v>
      </c>
      <c r="C138" s="1" t="n">
        <v>45474</v>
      </c>
      <c r="D138" t="inlineStr">
        <is>
          <t>VÄSTMANLANDS LÄN</t>
        </is>
      </c>
      <c r="E138" t="inlineStr">
        <is>
          <t>SURAHAMMAR</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66342-2021</t>
        </is>
      </c>
      <c r="B139" s="1" t="n">
        <v>44518</v>
      </c>
      <c r="C139" s="1" t="n">
        <v>45474</v>
      </c>
      <c r="D139" t="inlineStr">
        <is>
          <t>VÄSTMANLANDS LÄN</t>
        </is>
      </c>
      <c r="E139" t="inlineStr">
        <is>
          <t>SURAHAMMAR</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66350-2021</t>
        </is>
      </c>
      <c r="B140" s="1" t="n">
        <v>44518</v>
      </c>
      <c r="C140" s="1" t="n">
        <v>45474</v>
      </c>
      <c r="D140" t="inlineStr">
        <is>
          <t>VÄSTMANLANDS LÄN</t>
        </is>
      </c>
      <c r="E140" t="inlineStr">
        <is>
          <t>SURAHAMMAR</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67611-2021</t>
        </is>
      </c>
      <c r="B141" s="1" t="n">
        <v>44524</v>
      </c>
      <c r="C141" s="1" t="n">
        <v>45474</v>
      </c>
      <c r="D141" t="inlineStr">
        <is>
          <t>VÄSTMANLANDS LÄN</t>
        </is>
      </c>
      <c r="E141" t="inlineStr">
        <is>
          <t>SURAHAMMAR</t>
        </is>
      </c>
      <c r="F141" t="inlineStr">
        <is>
          <t>Kommuner</t>
        </is>
      </c>
      <c r="G141" t="n">
        <v>3.8</v>
      </c>
      <c r="H141" t="n">
        <v>0</v>
      </c>
      <c r="I141" t="n">
        <v>0</v>
      </c>
      <c r="J141" t="n">
        <v>0</v>
      </c>
      <c r="K141" t="n">
        <v>0</v>
      </c>
      <c r="L141" t="n">
        <v>0</v>
      </c>
      <c r="M141" t="n">
        <v>0</v>
      </c>
      <c r="N141" t="n">
        <v>0</v>
      </c>
      <c r="O141" t="n">
        <v>0</v>
      </c>
      <c r="P141" t="n">
        <v>0</v>
      </c>
      <c r="Q141" t="n">
        <v>0</v>
      </c>
      <c r="R141" s="2" t="inlineStr"/>
    </row>
    <row r="142" ht="15" customHeight="1">
      <c r="A142" t="inlineStr">
        <is>
          <t>A 72367-2021</t>
        </is>
      </c>
      <c r="B142" s="1" t="n">
        <v>44545</v>
      </c>
      <c r="C142" s="1" t="n">
        <v>45474</v>
      </c>
      <c r="D142" t="inlineStr">
        <is>
          <t>VÄSTMANLANDS LÄN</t>
        </is>
      </c>
      <c r="E142" t="inlineStr">
        <is>
          <t>SURAHAMMAR</t>
        </is>
      </c>
      <c r="G142" t="n">
        <v>2.5</v>
      </c>
      <c r="H142" t="n">
        <v>0</v>
      </c>
      <c r="I142" t="n">
        <v>0</v>
      </c>
      <c r="J142" t="n">
        <v>0</v>
      </c>
      <c r="K142" t="n">
        <v>0</v>
      </c>
      <c r="L142" t="n">
        <v>0</v>
      </c>
      <c r="M142" t="n">
        <v>0</v>
      </c>
      <c r="N142" t="n">
        <v>0</v>
      </c>
      <c r="O142" t="n">
        <v>0</v>
      </c>
      <c r="P142" t="n">
        <v>0</v>
      </c>
      <c r="Q142" t="n">
        <v>0</v>
      </c>
      <c r="R142" s="2" t="inlineStr"/>
    </row>
    <row r="143" ht="15" customHeight="1">
      <c r="A143" t="inlineStr">
        <is>
          <t>A 73156-2021</t>
        </is>
      </c>
      <c r="B143" s="1" t="n">
        <v>44550</v>
      </c>
      <c r="C143" s="1" t="n">
        <v>45474</v>
      </c>
      <c r="D143" t="inlineStr">
        <is>
          <t>VÄSTMANLANDS LÄN</t>
        </is>
      </c>
      <c r="E143" t="inlineStr">
        <is>
          <t>SURAHAMMAR</t>
        </is>
      </c>
      <c r="F143" t="inlineStr">
        <is>
          <t>Övriga Aktiebolag</t>
        </is>
      </c>
      <c r="G143" t="n">
        <v>2.5</v>
      </c>
      <c r="H143" t="n">
        <v>0</v>
      </c>
      <c r="I143" t="n">
        <v>0</v>
      </c>
      <c r="J143" t="n">
        <v>0</v>
      </c>
      <c r="K143" t="n">
        <v>0</v>
      </c>
      <c r="L143" t="n">
        <v>0</v>
      </c>
      <c r="M143" t="n">
        <v>0</v>
      </c>
      <c r="N143" t="n">
        <v>0</v>
      </c>
      <c r="O143" t="n">
        <v>0</v>
      </c>
      <c r="P143" t="n">
        <v>0</v>
      </c>
      <c r="Q143" t="n">
        <v>0</v>
      </c>
      <c r="R143" s="2" t="inlineStr"/>
    </row>
    <row r="144" ht="15" customHeight="1">
      <c r="A144" t="inlineStr">
        <is>
          <t>A 3155-2022</t>
        </is>
      </c>
      <c r="B144" s="1" t="n">
        <v>44582</v>
      </c>
      <c r="C144" s="1" t="n">
        <v>45474</v>
      </c>
      <c r="D144" t="inlineStr">
        <is>
          <t>VÄSTMANLANDS LÄN</t>
        </is>
      </c>
      <c r="E144" t="inlineStr">
        <is>
          <t>SURAHAMMAR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3595-2022</t>
        </is>
      </c>
      <c r="B145" s="1" t="n">
        <v>44586</v>
      </c>
      <c r="C145" s="1" t="n">
        <v>45474</v>
      </c>
      <c r="D145" t="inlineStr">
        <is>
          <t>VÄSTMANLANDS LÄN</t>
        </is>
      </c>
      <c r="E145" t="inlineStr">
        <is>
          <t>SURAHAMMAR</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3818-2022</t>
        </is>
      </c>
      <c r="B146" s="1" t="n">
        <v>44587</v>
      </c>
      <c r="C146" s="1" t="n">
        <v>45474</v>
      </c>
      <c r="D146" t="inlineStr">
        <is>
          <t>VÄSTMANLANDS LÄN</t>
        </is>
      </c>
      <c r="E146" t="inlineStr">
        <is>
          <t>SURAHAMMAR</t>
        </is>
      </c>
      <c r="G146" t="n">
        <v>2.6</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45474</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v>
      </c>
      <c r="C148" s="1" t="n">
        <v>45474</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13119-2022</t>
        </is>
      </c>
      <c r="B149" s="1" t="n">
        <v>44643</v>
      </c>
      <c r="C149" s="1" t="n">
        <v>45474</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13070-2022</t>
        </is>
      </c>
      <c r="B150" s="1" t="n">
        <v>44643</v>
      </c>
      <c r="C150" s="1" t="n">
        <v>45474</v>
      </c>
      <c r="D150" t="inlineStr">
        <is>
          <t>VÄSTMANLANDS LÄN</t>
        </is>
      </c>
      <c r="E150" t="inlineStr">
        <is>
          <t>SURAHAMMAR</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15637-2022</t>
        </is>
      </c>
      <c r="B151" s="1" t="n">
        <v>44662</v>
      </c>
      <c r="C151" s="1" t="n">
        <v>45474</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45474</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45474</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19637-2022</t>
        </is>
      </c>
      <c r="B154" s="1" t="n">
        <v>44694</v>
      </c>
      <c r="C154" s="1" t="n">
        <v>45474</v>
      </c>
      <c r="D154" t="inlineStr">
        <is>
          <t>VÄSTMANLANDS LÄN</t>
        </is>
      </c>
      <c r="E154" t="inlineStr">
        <is>
          <t>SURAHAMMAR</t>
        </is>
      </c>
      <c r="F154" t="inlineStr">
        <is>
          <t>Bergvik skog väst AB</t>
        </is>
      </c>
      <c r="G154" t="n">
        <v>0.7</v>
      </c>
      <c r="H154" t="n">
        <v>0</v>
      </c>
      <c r="I154" t="n">
        <v>0</v>
      </c>
      <c r="J154" t="n">
        <v>0</v>
      </c>
      <c r="K154" t="n">
        <v>0</v>
      </c>
      <c r="L154" t="n">
        <v>0</v>
      </c>
      <c r="M154" t="n">
        <v>0</v>
      </c>
      <c r="N154" t="n">
        <v>0</v>
      </c>
      <c r="O154" t="n">
        <v>0</v>
      </c>
      <c r="P154" t="n">
        <v>0</v>
      </c>
      <c r="Q154" t="n">
        <v>0</v>
      </c>
      <c r="R154" s="2" t="inlineStr"/>
    </row>
    <row r="155" ht="15" customHeight="1">
      <c r="A155" t="inlineStr">
        <is>
          <t>A 19844-2022</t>
        </is>
      </c>
      <c r="B155" s="1" t="n">
        <v>44696</v>
      </c>
      <c r="C155" s="1" t="n">
        <v>45474</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19845-2022</t>
        </is>
      </c>
      <c r="B156" s="1" t="n">
        <v>44696</v>
      </c>
      <c r="C156" s="1" t="n">
        <v>45474</v>
      </c>
      <c r="D156" t="inlineStr">
        <is>
          <t>VÄSTMANLANDS LÄN</t>
        </is>
      </c>
      <c r="E156" t="inlineStr">
        <is>
          <t>SURAHAMMAR</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19846-2022</t>
        </is>
      </c>
      <c r="B157" s="1" t="n">
        <v>44696</v>
      </c>
      <c r="C157" s="1" t="n">
        <v>45474</v>
      </c>
      <c r="D157" t="inlineStr">
        <is>
          <t>VÄSTMANLANDS LÄN</t>
        </is>
      </c>
      <c r="E157" t="inlineStr">
        <is>
          <t>SURAHAMMAR</t>
        </is>
      </c>
      <c r="F157" t="inlineStr">
        <is>
          <t>Kommuner</t>
        </is>
      </c>
      <c r="G157" t="n">
        <v>3.4</v>
      </c>
      <c r="H157" t="n">
        <v>0</v>
      </c>
      <c r="I157" t="n">
        <v>0</v>
      </c>
      <c r="J157" t="n">
        <v>0</v>
      </c>
      <c r="K157" t="n">
        <v>0</v>
      </c>
      <c r="L157" t="n">
        <v>0</v>
      </c>
      <c r="M157" t="n">
        <v>0</v>
      </c>
      <c r="N157" t="n">
        <v>0</v>
      </c>
      <c r="O157" t="n">
        <v>0</v>
      </c>
      <c r="P157" t="n">
        <v>0</v>
      </c>
      <c r="Q157" t="n">
        <v>0</v>
      </c>
      <c r="R157" s="2" t="inlineStr"/>
    </row>
    <row r="158" ht="15" customHeight="1">
      <c r="A158" t="inlineStr">
        <is>
          <t>A 26700-2022</t>
        </is>
      </c>
      <c r="B158" s="1" t="n">
        <v>44739</v>
      </c>
      <c r="C158" s="1" t="n">
        <v>45474</v>
      </c>
      <c r="D158" t="inlineStr">
        <is>
          <t>VÄSTMANLANDS LÄN</t>
        </is>
      </c>
      <c r="E158" t="inlineStr">
        <is>
          <t>SURAHAMMAR</t>
        </is>
      </c>
      <c r="F158" t="inlineStr">
        <is>
          <t>Kommuner</t>
        </is>
      </c>
      <c r="G158" t="n">
        <v>3.1</v>
      </c>
      <c r="H158" t="n">
        <v>0</v>
      </c>
      <c r="I158" t="n">
        <v>0</v>
      </c>
      <c r="J158" t="n">
        <v>0</v>
      </c>
      <c r="K158" t="n">
        <v>0</v>
      </c>
      <c r="L158" t="n">
        <v>0</v>
      </c>
      <c r="M158" t="n">
        <v>0</v>
      </c>
      <c r="N158" t="n">
        <v>0</v>
      </c>
      <c r="O158" t="n">
        <v>0</v>
      </c>
      <c r="P158" t="n">
        <v>0</v>
      </c>
      <c r="Q158" t="n">
        <v>0</v>
      </c>
      <c r="R158" s="2" t="inlineStr"/>
    </row>
    <row r="159" ht="15" customHeight="1">
      <c r="A159" t="inlineStr">
        <is>
          <t>A 32475-2022</t>
        </is>
      </c>
      <c r="B159" s="1" t="n">
        <v>44782</v>
      </c>
      <c r="C159" s="1" t="n">
        <v>45474</v>
      </c>
      <c r="D159" t="inlineStr">
        <is>
          <t>VÄSTMANLANDS LÄN</t>
        </is>
      </c>
      <c r="E159" t="inlineStr">
        <is>
          <t>SURAHAMMAR</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32491-2022</t>
        </is>
      </c>
      <c r="B160" s="1" t="n">
        <v>44782</v>
      </c>
      <c r="C160" s="1" t="n">
        <v>45474</v>
      </c>
      <c r="D160" t="inlineStr">
        <is>
          <t>VÄSTMANLANDS LÄN</t>
        </is>
      </c>
      <c r="E160" t="inlineStr">
        <is>
          <t>SURAHAMMAR</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32492-2022</t>
        </is>
      </c>
      <c r="B161" s="1" t="n">
        <v>44782</v>
      </c>
      <c r="C161" s="1" t="n">
        <v>45474</v>
      </c>
      <c r="D161" t="inlineStr">
        <is>
          <t>VÄSTMANLANDS LÄN</t>
        </is>
      </c>
      <c r="E161" t="inlineStr">
        <is>
          <t>SURAHAMMAR</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33931-2022</t>
        </is>
      </c>
      <c r="B162" s="1" t="n">
        <v>44790</v>
      </c>
      <c r="C162" s="1" t="n">
        <v>45474</v>
      </c>
      <c r="D162" t="inlineStr">
        <is>
          <t>VÄSTMANLANDS LÄN</t>
        </is>
      </c>
      <c r="E162" t="inlineStr">
        <is>
          <t>SURAHAMMAR</t>
        </is>
      </c>
      <c r="G162" t="n">
        <v>2.2</v>
      </c>
      <c r="H162" t="n">
        <v>0</v>
      </c>
      <c r="I162" t="n">
        <v>0</v>
      </c>
      <c r="J162" t="n">
        <v>0</v>
      </c>
      <c r="K162" t="n">
        <v>0</v>
      </c>
      <c r="L162" t="n">
        <v>0</v>
      </c>
      <c r="M162" t="n">
        <v>0</v>
      </c>
      <c r="N162" t="n">
        <v>0</v>
      </c>
      <c r="O162" t="n">
        <v>0</v>
      </c>
      <c r="P162" t="n">
        <v>0</v>
      </c>
      <c r="Q162" t="n">
        <v>0</v>
      </c>
      <c r="R162" s="2" t="inlineStr"/>
    </row>
    <row r="163" ht="15" customHeight="1">
      <c r="A163" t="inlineStr">
        <is>
          <t>A 33946-2022</t>
        </is>
      </c>
      <c r="B163" s="1" t="n">
        <v>44790</v>
      </c>
      <c r="C163" s="1" t="n">
        <v>45474</v>
      </c>
      <c r="D163" t="inlineStr">
        <is>
          <t>VÄSTMANLANDS LÄN</t>
        </is>
      </c>
      <c r="E163" t="inlineStr">
        <is>
          <t>SURAHAMMAR</t>
        </is>
      </c>
      <c r="G163" t="n">
        <v>2.3</v>
      </c>
      <c r="H163" t="n">
        <v>0</v>
      </c>
      <c r="I163" t="n">
        <v>0</v>
      </c>
      <c r="J163" t="n">
        <v>0</v>
      </c>
      <c r="K163" t="n">
        <v>0</v>
      </c>
      <c r="L163" t="n">
        <v>0</v>
      </c>
      <c r="M163" t="n">
        <v>0</v>
      </c>
      <c r="N163" t="n">
        <v>0</v>
      </c>
      <c r="O163" t="n">
        <v>0</v>
      </c>
      <c r="P163" t="n">
        <v>0</v>
      </c>
      <c r="Q163" t="n">
        <v>0</v>
      </c>
      <c r="R163" s="2" t="inlineStr"/>
    </row>
    <row r="164" ht="15" customHeight="1">
      <c r="A164" t="inlineStr">
        <is>
          <t>A 33953-2022</t>
        </is>
      </c>
      <c r="B164" s="1" t="n">
        <v>44790</v>
      </c>
      <c r="C164" s="1" t="n">
        <v>45474</v>
      </c>
      <c r="D164" t="inlineStr">
        <is>
          <t>VÄSTMANLANDS LÄN</t>
        </is>
      </c>
      <c r="E164" t="inlineStr">
        <is>
          <t>SURAHAMMAR</t>
        </is>
      </c>
      <c r="G164" t="n">
        <v>3</v>
      </c>
      <c r="H164" t="n">
        <v>0</v>
      </c>
      <c r="I164" t="n">
        <v>0</v>
      </c>
      <c r="J164" t="n">
        <v>0</v>
      </c>
      <c r="K164" t="n">
        <v>0</v>
      </c>
      <c r="L164" t="n">
        <v>0</v>
      </c>
      <c r="M164" t="n">
        <v>0</v>
      </c>
      <c r="N164" t="n">
        <v>0</v>
      </c>
      <c r="O164" t="n">
        <v>0</v>
      </c>
      <c r="P164" t="n">
        <v>0</v>
      </c>
      <c r="Q164" t="n">
        <v>0</v>
      </c>
      <c r="R164" s="2" t="inlineStr"/>
    </row>
    <row r="165" ht="15" customHeight="1">
      <c r="A165" t="inlineStr">
        <is>
          <t>A 34957-2022</t>
        </is>
      </c>
      <c r="B165" s="1" t="n">
        <v>44796</v>
      </c>
      <c r="C165" s="1" t="n">
        <v>45474</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34955-2022</t>
        </is>
      </c>
      <c r="B166" s="1" t="n">
        <v>44796</v>
      </c>
      <c r="C166" s="1" t="n">
        <v>45474</v>
      </c>
      <c r="D166" t="inlineStr">
        <is>
          <t>VÄSTMANLANDS LÄN</t>
        </is>
      </c>
      <c r="E166" t="inlineStr">
        <is>
          <t>SURAHAMMAR</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34956-2022</t>
        </is>
      </c>
      <c r="B167" s="1" t="n">
        <v>44796</v>
      </c>
      <c r="C167" s="1" t="n">
        <v>45474</v>
      </c>
      <c r="D167" t="inlineStr">
        <is>
          <t>VÄSTMANLANDS LÄN</t>
        </is>
      </c>
      <c r="E167" t="inlineStr">
        <is>
          <t>SURAHAMMAR</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35677-2022</t>
        </is>
      </c>
      <c r="B168" s="1" t="n">
        <v>44799</v>
      </c>
      <c r="C168" s="1" t="n">
        <v>45474</v>
      </c>
      <c r="D168" t="inlineStr">
        <is>
          <t>VÄSTMANLANDS LÄN</t>
        </is>
      </c>
      <c r="E168" t="inlineStr">
        <is>
          <t>SURAHAMMAR</t>
        </is>
      </c>
      <c r="F168" t="inlineStr">
        <is>
          <t>Sveaskog</t>
        </is>
      </c>
      <c r="G168" t="n">
        <v>4.5</v>
      </c>
      <c r="H168" t="n">
        <v>0</v>
      </c>
      <c r="I168" t="n">
        <v>0</v>
      </c>
      <c r="J168" t="n">
        <v>0</v>
      </c>
      <c r="K168" t="n">
        <v>0</v>
      </c>
      <c r="L168" t="n">
        <v>0</v>
      </c>
      <c r="M168" t="n">
        <v>0</v>
      </c>
      <c r="N168" t="n">
        <v>0</v>
      </c>
      <c r="O168" t="n">
        <v>0</v>
      </c>
      <c r="P168" t="n">
        <v>0</v>
      </c>
      <c r="Q168" t="n">
        <v>0</v>
      </c>
      <c r="R168" s="2" t="inlineStr"/>
    </row>
    <row r="169" ht="15" customHeight="1">
      <c r="A169" t="inlineStr">
        <is>
          <t>A 35682-2022</t>
        </is>
      </c>
      <c r="B169" s="1" t="n">
        <v>44799</v>
      </c>
      <c r="C169" s="1" t="n">
        <v>45474</v>
      </c>
      <c r="D169" t="inlineStr">
        <is>
          <t>VÄSTMANLANDS LÄN</t>
        </is>
      </c>
      <c r="E169" t="inlineStr">
        <is>
          <t>SURAHAMMAR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35679-2022</t>
        </is>
      </c>
      <c r="B170" s="1" t="n">
        <v>44799</v>
      </c>
      <c r="C170" s="1" t="n">
        <v>45474</v>
      </c>
      <c r="D170" t="inlineStr">
        <is>
          <t>VÄSTMANLANDS LÄN</t>
        </is>
      </c>
      <c r="E170" t="inlineStr">
        <is>
          <t>SURAHAMMAR</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41576-2022</t>
        </is>
      </c>
      <c r="B171" s="1" t="n">
        <v>44826</v>
      </c>
      <c r="C171" s="1" t="n">
        <v>45474</v>
      </c>
      <c r="D171" t="inlineStr">
        <is>
          <t>VÄSTMANLANDS LÄN</t>
        </is>
      </c>
      <c r="E171" t="inlineStr">
        <is>
          <t>SURAHAMMAR</t>
        </is>
      </c>
      <c r="F171" t="inlineStr">
        <is>
          <t>Bergvik skog väst AB</t>
        </is>
      </c>
      <c r="G171" t="n">
        <v>6.4</v>
      </c>
      <c r="H171" t="n">
        <v>0</v>
      </c>
      <c r="I171" t="n">
        <v>0</v>
      </c>
      <c r="J171" t="n">
        <v>0</v>
      </c>
      <c r="K171" t="n">
        <v>0</v>
      </c>
      <c r="L171" t="n">
        <v>0</v>
      </c>
      <c r="M171" t="n">
        <v>0</v>
      </c>
      <c r="N171" t="n">
        <v>0</v>
      </c>
      <c r="O171" t="n">
        <v>0</v>
      </c>
      <c r="P171" t="n">
        <v>0</v>
      </c>
      <c r="Q171" t="n">
        <v>0</v>
      </c>
      <c r="R171" s="2" t="inlineStr"/>
    </row>
    <row r="172" ht="15" customHeight="1">
      <c r="A172" t="inlineStr">
        <is>
          <t>A 41555-2022</t>
        </is>
      </c>
      <c r="B172" s="1" t="n">
        <v>44826</v>
      </c>
      <c r="C172" s="1" t="n">
        <v>45474</v>
      </c>
      <c r="D172" t="inlineStr">
        <is>
          <t>VÄSTMANLANDS LÄN</t>
        </is>
      </c>
      <c r="E172" t="inlineStr">
        <is>
          <t>SURAHAMMAR</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42714-2022</t>
        </is>
      </c>
      <c r="B173" s="1" t="n">
        <v>44832</v>
      </c>
      <c r="C173" s="1" t="n">
        <v>45474</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42832-2022</t>
        </is>
      </c>
      <c r="B174" s="1" t="n">
        <v>44832</v>
      </c>
      <c r="C174" s="1" t="n">
        <v>45474</v>
      </c>
      <c r="D174" t="inlineStr">
        <is>
          <t>VÄSTMANLANDS LÄN</t>
        </is>
      </c>
      <c r="E174" t="inlineStr">
        <is>
          <t>SURAHAMMAR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42841-2022</t>
        </is>
      </c>
      <c r="B175" s="1" t="n">
        <v>44832</v>
      </c>
      <c r="C175" s="1" t="n">
        <v>45474</v>
      </c>
      <c r="D175" t="inlineStr">
        <is>
          <t>VÄSTMANLANDS LÄN</t>
        </is>
      </c>
      <c r="E175" t="inlineStr">
        <is>
          <t>SURAHAMMAR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42829-2022</t>
        </is>
      </c>
      <c r="B176" s="1" t="n">
        <v>44832</v>
      </c>
      <c r="C176" s="1" t="n">
        <v>45474</v>
      </c>
      <c r="D176" t="inlineStr">
        <is>
          <t>VÄSTMANLANDS LÄN</t>
        </is>
      </c>
      <c r="E176" t="inlineStr">
        <is>
          <t>SURAHAMMAR</t>
        </is>
      </c>
      <c r="G176" t="n">
        <v>1.6</v>
      </c>
      <c r="H176" t="n">
        <v>0</v>
      </c>
      <c r="I176" t="n">
        <v>0</v>
      </c>
      <c r="J176" t="n">
        <v>0</v>
      </c>
      <c r="K176" t="n">
        <v>0</v>
      </c>
      <c r="L176" t="n">
        <v>0</v>
      </c>
      <c r="M176" t="n">
        <v>0</v>
      </c>
      <c r="N176" t="n">
        <v>0</v>
      </c>
      <c r="O176" t="n">
        <v>0</v>
      </c>
      <c r="P176" t="n">
        <v>0</v>
      </c>
      <c r="Q176" t="n">
        <v>0</v>
      </c>
      <c r="R176" s="2" t="inlineStr"/>
    </row>
    <row r="177" ht="15" customHeight="1">
      <c r="A177" t="inlineStr">
        <is>
          <t>A 48581-2022</t>
        </is>
      </c>
      <c r="B177" s="1" t="n">
        <v>44859</v>
      </c>
      <c r="C177" s="1" t="n">
        <v>45474</v>
      </c>
      <c r="D177" t="inlineStr">
        <is>
          <t>VÄSTMANLANDS LÄN</t>
        </is>
      </c>
      <c r="E177" t="inlineStr">
        <is>
          <t>SURAHAMMAR</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49686-2022</t>
        </is>
      </c>
      <c r="B178" s="1" t="n">
        <v>44862</v>
      </c>
      <c r="C178" s="1" t="n">
        <v>45474</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3085-2023</t>
        </is>
      </c>
      <c r="B179" s="1" t="n">
        <v>44946</v>
      </c>
      <c r="C179" s="1" t="n">
        <v>45474</v>
      </c>
      <c r="D179" t="inlineStr">
        <is>
          <t>VÄSTMANLANDS LÄN</t>
        </is>
      </c>
      <c r="E179" t="inlineStr">
        <is>
          <t>SURAHAMMAR</t>
        </is>
      </c>
      <c r="F179" t="inlineStr">
        <is>
          <t>Kyrkan</t>
        </is>
      </c>
      <c r="G179" t="n">
        <v>13</v>
      </c>
      <c r="H179" t="n">
        <v>0</v>
      </c>
      <c r="I179" t="n">
        <v>0</v>
      </c>
      <c r="J179" t="n">
        <v>0</v>
      </c>
      <c r="K179" t="n">
        <v>0</v>
      </c>
      <c r="L179" t="n">
        <v>0</v>
      </c>
      <c r="M179" t="n">
        <v>0</v>
      </c>
      <c r="N179" t="n">
        <v>0</v>
      </c>
      <c r="O179" t="n">
        <v>0</v>
      </c>
      <c r="P179" t="n">
        <v>0</v>
      </c>
      <c r="Q179" t="n">
        <v>0</v>
      </c>
      <c r="R179" s="2" t="inlineStr"/>
    </row>
    <row r="180" ht="15" customHeight="1">
      <c r="A180" t="inlineStr">
        <is>
          <t>A 8553-2023</t>
        </is>
      </c>
      <c r="B180" s="1" t="n">
        <v>44977</v>
      </c>
      <c r="C180" s="1" t="n">
        <v>45474</v>
      </c>
      <c r="D180" t="inlineStr">
        <is>
          <t>VÄSTMANLANDS LÄN</t>
        </is>
      </c>
      <c r="E180" t="inlineStr">
        <is>
          <t>SURAHAMMAR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10877-2023</t>
        </is>
      </c>
      <c r="B181" s="1" t="n">
        <v>44991</v>
      </c>
      <c r="C181" s="1" t="n">
        <v>45474</v>
      </c>
      <c r="D181" t="inlineStr">
        <is>
          <t>VÄSTMANLANDS LÄN</t>
        </is>
      </c>
      <c r="E181" t="inlineStr">
        <is>
          <t>SURAHAMMAR</t>
        </is>
      </c>
      <c r="F181" t="inlineStr">
        <is>
          <t>Övriga Aktiebolag</t>
        </is>
      </c>
      <c r="G181" t="n">
        <v>1.4</v>
      </c>
      <c r="H181" t="n">
        <v>0</v>
      </c>
      <c r="I181" t="n">
        <v>0</v>
      </c>
      <c r="J181" t="n">
        <v>0</v>
      </c>
      <c r="K181" t="n">
        <v>0</v>
      </c>
      <c r="L181" t="n">
        <v>0</v>
      </c>
      <c r="M181" t="n">
        <v>0</v>
      </c>
      <c r="N181" t="n">
        <v>0</v>
      </c>
      <c r="O181" t="n">
        <v>0</v>
      </c>
      <c r="P181" t="n">
        <v>0</v>
      </c>
      <c r="Q181" t="n">
        <v>0</v>
      </c>
      <c r="R181" s="2" t="inlineStr"/>
    </row>
    <row r="182" ht="15" customHeight="1">
      <c r="A182" t="inlineStr">
        <is>
          <t>A 10883-2023</t>
        </is>
      </c>
      <c r="B182" s="1" t="n">
        <v>44991</v>
      </c>
      <c r="C182" s="1" t="n">
        <v>45474</v>
      </c>
      <c r="D182" t="inlineStr">
        <is>
          <t>VÄSTMANLANDS LÄN</t>
        </is>
      </c>
      <c r="E182" t="inlineStr">
        <is>
          <t>SURAHAMMAR</t>
        </is>
      </c>
      <c r="F182" t="inlineStr">
        <is>
          <t>Övriga Aktiebolag</t>
        </is>
      </c>
      <c r="G182" t="n">
        <v>12.5</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45474</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45474</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45474</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45474</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45474</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45474</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45474</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45474</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45474</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45474</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45474</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45474</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45474</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45474</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45474</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45474</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45474</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45474</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45474</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45474</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45474</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45474</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45474</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45474</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45474</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45474</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45474</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45474</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45474</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45474</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45474</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45474</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45474</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45474</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45474</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45474</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45474</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45474</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45474</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45474</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45474</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45474</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45474</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45474</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45474</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45474</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45474</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45474</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45474</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45474</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45474</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45474</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45474</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45474</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45474</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45474</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45474</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45474</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45474</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45474</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45474</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45474</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7787-2024</t>
        </is>
      </c>
      <c r="B245" s="1" t="n">
        <v>45348</v>
      </c>
      <c r="C245" s="1" t="n">
        <v>45474</v>
      </c>
      <c r="D245" t="inlineStr">
        <is>
          <t>VÄSTMANLANDS LÄN</t>
        </is>
      </c>
      <c r="E245" t="inlineStr">
        <is>
          <t>SURAHAMMAR</t>
        </is>
      </c>
      <c r="G245" t="n">
        <v>1</v>
      </c>
      <c r="H245" t="n">
        <v>0</v>
      </c>
      <c r="I245" t="n">
        <v>0</v>
      </c>
      <c r="J245" t="n">
        <v>0</v>
      </c>
      <c r="K245" t="n">
        <v>0</v>
      </c>
      <c r="L245" t="n">
        <v>0</v>
      </c>
      <c r="M245" t="n">
        <v>0</v>
      </c>
      <c r="N245" t="n">
        <v>0</v>
      </c>
      <c r="O245" t="n">
        <v>0</v>
      </c>
      <c r="P245" t="n">
        <v>0</v>
      </c>
      <c r="Q245" t="n">
        <v>0</v>
      </c>
      <c r="R245" s="2" t="inlineStr"/>
    </row>
    <row r="246" ht="15" customHeight="1">
      <c r="A246" t="inlineStr">
        <is>
          <t>A 7782-2024</t>
        </is>
      </c>
      <c r="B246" s="1" t="n">
        <v>45349</v>
      </c>
      <c r="C246" s="1" t="n">
        <v>45474</v>
      </c>
      <c r="D246" t="inlineStr">
        <is>
          <t>VÄSTMANLANDS LÄN</t>
        </is>
      </c>
      <c r="E246" t="inlineStr">
        <is>
          <t>SURAHAMMAR</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8066-2024</t>
        </is>
      </c>
      <c r="B247" s="1" t="n">
        <v>45351</v>
      </c>
      <c r="C247" s="1" t="n">
        <v>45474</v>
      </c>
      <c r="D247" t="inlineStr">
        <is>
          <t>VÄSTMANLANDS LÄN</t>
        </is>
      </c>
      <c r="E247" t="inlineStr">
        <is>
          <t>SURAHAMMAR</t>
        </is>
      </c>
      <c r="G247" t="n">
        <v>12.7</v>
      </c>
      <c r="H247" t="n">
        <v>0</v>
      </c>
      <c r="I247" t="n">
        <v>0</v>
      </c>
      <c r="J247" t="n">
        <v>0</v>
      </c>
      <c r="K247" t="n">
        <v>0</v>
      </c>
      <c r="L247" t="n">
        <v>0</v>
      </c>
      <c r="M247" t="n">
        <v>0</v>
      </c>
      <c r="N247" t="n">
        <v>0</v>
      </c>
      <c r="O247" t="n">
        <v>0</v>
      </c>
      <c r="P247" t="n">
        <v>0</v>
      </c>
      <c r="Q247" t="n">
        <v>0</v>
      </c>
      <c r="R247" s="2" t="inlineStr"/>
    </row>
    <row r="248" ht="15" customHeight="1">
      <c r="A248" t="inlineStr">
        <is>
          <t>A 9741-2024</t>
        </is>
      </c>
      <c r="B248" s="1" t="n">
        <v>45362</v>
      </c>
      <c r="C248" s="1" t="n">
        <v>45474</v>
      </c>
      <c r="D248" t="inlineStr">
        <is>
          <t>VÄSTMANLANDS LÄN</t>
        </is>
      </c>
      <c r="E248" t="inlineStr">
        <is>
          <t>SURAHAMMAR</t>
        </is>
      </c>
      <c r="G248" t="n">
        <v>4.6</v>
      </c>
      <c r="H248" t="n">
        <v>0</v>
      </c>
      <c r="I248" t="n">
        <v>0</v>
      </c>
      <c r="J248" t="n">
        <v>0</v>
      </c>
      <c r="K248" t="n">
        <v>0</v>
      </c>
      <c r="L248" t="n">
        <v>0</v>
      </c>
      <c r="M248" t="n">
        <v>0</v>
      </c>
      <c r="N248" t="n">
        <v>0</v>
      </c>
      <c r="O248" t="n">
        <v>0</v>
      </c>
      <c r="P248" t="n">
        <v>0</v>
      </c>
      <c r="Q248" t="n">
        <v>0</v>
      </c>
      <c r="R248" s="2" t="inlineStr"/>
    </row>
    <row r="249" ht="15" customHeight="1">
      <c r="A249" t="inlineStr">
        <is>
          <t>A 20705-2024</t>
        </is>
      </c>
      <c r="B249" s="1" t="n">
        <v>45436</v>
      </c>
      <c r="C249" s="1" t="n">
        <v>45474</v>
      </c>
      <c r="D249" t="inlineStr">
        <is>
          <t>VÄSTMANLANDS LÄN</t>
        </is>
      </c>
      <c r="E249" t="inlineStr">
        <is>
          <t>SURAHAMMAR</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21509-2024</t>
        </is>
      </c>
      <c r="B250" s="1" t="n">
        <v>45441</v>
      </c>
      <c r="C250" s="1" t="n">
        <v>45474</v>
      </c>
      <c r="D250" t="inlineStr">
        <is>
          <t>VÄSTMANLANDS LÄN</t>
        </is>
      </c>
      <c r="E250" t="inlineStr">
        <is>
          <t>SURAHAMMAR</t>
        </is>
      </c>
      <c r="F250" t="inlineStr">
        <is>
          <t>Bergvik skog väst AB</t>
        </is>
      </c>
      <c r="G250" t="n">
        <v>3.9</v>
      </c>
      <c r="H250" t="n">
        <v>0</v>
      </c>
      <c r="I250" t="n">
        <v>0</v>
      </c>
      <c r="J250" t="n">
        <v>0</v>
      </c>
      <c r="K250" t="n">
        <v>0</v>
      </c>
      <c r="L250" t="n">
        <v>0</v>
      </c>
      <c r="M250" t="n">
        <v>0</v>
      </c>
      <c r="N250" t="n">
        <v>0</v>
      </c>
      <c r="O250" t="n">
        <v>0</v>
      </c>
      <c r="P250" t="n">
        <v>0</v>
      </c>
      <c r="Q250" t="n">
        <v>0</v>
      </c>
      <c r="R250" s="2" t="inlineStr"/>
    </row>
    <row r="251" ht="15" customHeight="1">
      <c r="A251" t="inlineStr">
        <is>
          <t>A 24168-2024</t>
        </is>
      </c>
      <c r="B251" s="1" t="n">
        <v>45456</v>
      </c>
      <c r="C251" s="1" t="n">
        <v>45474</v>
      </c>
      <c r="D251" t="inlineStr">
        <is>
          <t>VÄSTMANLANDS LÄN</t>
        </is>
      </c>
      <c r="E251" t="inlineStr">
        <is>
          <t>SURAHAMMAR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24167-2024</t>
        </is>
      </c>
      <c r="B252" s="1" t="n">
        <v>45456</v>
      </c>
      <c r="C252" s="1" t="n">
        <v>45474</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24530-2024</t>
        </is>
      </c>
      <c r="B253" s="1" t="n">
        <v>45460</v>
      </c>
      <c r="C253" s="1" t="n">
        <v>45474</v>
      </c>
      <c r="D253" t="inlineStr">
        <is>
          <t>VÄSTMANLANDS LÄN</t>
        </is>
      </c>
      <c r="E253" t="inlineStr">
        <is>
          <t>SURAHAMMAR</t>
        </is>
      </c>
      <c r="G253" t="n">
        <v>1.5</v>
      </c>
      <c r="H253" t="n">
        <v>0</v>
      </c>
      <c r="I253" t="n">
        <v>0</v>
      </c>
      <c r="J253" t="n">
        <v>0</v>
      </c>
      <c r="K253" t="n">
        <v>0</v>
      </c>
      <c r="L253" t="n">
        <v>0</v>
      </c>
      <c r="M253" t="n">
        <v>0</v>
      </c>
      <c r="N253" t="n">
        <v>0</v>
      </c>
      <c r="O253" t="n">
        <v>0</v>
      </c>
      <c r="P253" t="n">
        <v>0</v>
      </c>
      <c r="Q253" t="n">
        <v>0</v>
      </c>
      <c r="R253" s="2" t="inlineStr"/>
    </row>
    <row r="254" ht="15" customHeight="1">
      <c r="A254" t="inlineStr">
        <is>
          <t>A 24570-2024</t>
        </is>
      </c>
      <c r="B254" s="1" t="n">
        <v>45460</v>
      </c>
      <c r="C254" s="1" t="n">
        <v>45474</v>
      </c>
      <c r="D254" t="inlineStr">
        <is>
          <t>VÄSTMANLANDS LÄN</t>
        </is>
      </c>
      <c r="E254" t="inlineStr">
        <is>
          <t>SURAHAMMAR</t>
        </is>
      </c>
      <c r="G254" t="n">
        <v>0.8</v>
      </c>
      <c r="H254" t="n">
        <v>0</v>
      </c>
      <c r="I254" t="n">
        <v>0</v>
      </c>
      <c r="J254" t="n">
        <v>0</v>
      </c>
      <c r="K254" t="n">
        <v>0</v>
      </c>
      <c r="L254" t="n">
        <v>0</v>
      </c>
      <c r="M254" t="n">
        <v>0</v>
      </c>
      <c r="N254" t="n">
        <v>0</v>
      </c>
      <c r="O254" t="n">
        <v>0</v>
      </c>
      <c r="P254" t="n">
        <v>0</v>
      </c>
      <c r="Q254" t="n">
        <v>0</v>
      </c>
      <c r="R254" s="2" t="inlineStr"/>
    </row>
    <row r="255" ht="15" customHeight="1">
      <c r="A255" t="inlineStr">
        <is>
          <t>A 25417-2024</t>
        </is>
      </c>
      <c r="B255" s="1" t="n">
        <v>45463</v>
      </c>
      <c r="C255" s="1" t="n">
        <v>45474</v>
      </c>
      <c r="D255" t="inlineStr">
        <is>
          <t>VÄSTMANLANDS LÄN</t>
        </is>
      </c>
      <c r="E255" t="inlineStr">
        <is>
          <t>SURAHAMMAR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25450-2024</t>
        </is>
      </c>
      <c r="B256" s="1" t="n">
        <v>45463</v>
      </c>
      <c r="C256" s="1" t="n">
        <v>45474</v>
      </c>
      <c r="D256" t="inlineStr">
        <is>
          <t>VÄSTMANLANDS LÄN</t>
        </is>
      </c>
      <c r="E256" t="inlineStr">
        <is>
          <t>SURAHAMMAR</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c r="A257" t="inlineStr">
        <is>
          <t>A 26878-2024</t>
        </is>
      </c>
      <c r="B257" s="1" t="n">
        <v>45470</v>
      </c>
      <c r="C257" s="1" t="n">
        <v>45474</v>
      </c>
      <c r="D257" t="inlineStr">
        <is>
          <t>VÄSTMANLANDS LÄN</t>
        </is>
      </c>
      <c r="E257" t="inlineStr">
        <is>
          <t>SURAHAMMAR</t>
        </is>
      </c>
      <c r="F257" t="inlineStr">
        <is>
          <t>Sveaskog</t>
        </is>
      </c>
      <c r="G257" t="n">
        <v>6.1</v>
      </c>
      <c r="H257" t="n">
        <v>0</v>
      </c>
      <c r="I257" t="n">
        <v>0</v>
      </c>
      <c r="J257" t="n">
        <v>0</v>
      </c>
      <c r="K257" t="n">
        <v>0</v>
      </c>
      <c r="L257" t="n">
        <v>0</v>
      </c>
      <c r="M257" t="n">
        <v>0</v>
      </c>
      <c r="N257" t="n">
        <v>0</v>
      </c>
      <c r="O257" t="n">
        <v>0</v>
      </c>
      <c r="P257" t="n">
        <v>0</v>
      </c>
      <c r="Q257" t="n">
        <v>0</v>
      </c>
      <c r="R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2024-07-01T10:09:50Z</dcterms:created>
  <dcterms:modified xmlns:dcterms="http://purl.org/dc/terms/" xmlns:xsi="http://www.w3.org/2001/XMLSchema-instance" xsi:type="dcterms:W3CDTF">2024-07-01T10:09:50Z</dcterms:modified>
</cp:coreProperties>
</file>