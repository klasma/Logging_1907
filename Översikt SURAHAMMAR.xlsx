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46232</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46232</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46232</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46232</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46232</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46232</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t="n">
        <v>10</v>
      </c>
      <c r="V15" s="2" t="inlineStr">
        <is>
          <t>Brunlångöra
Dropptaggsvamp
Gropticka
Nordfladdermus
Talltita
Bronshjon
Gullgröppa
Vedticka
Järpe
Tjäder
Dvärgpipistrell</t>
        </is>
      </c>
      <c r="W15">
        <f>HYPERLINK("https://klasma.github.io/Logging_1907/artfynd/A 39594-2025 artfynd.xlsx", "A 39594-2025")</f>
        <v/>
      </c>
      <c r="X15">
        <f>HYPERLINK("https://klasma.github.io/Logging_1907/kartor/A 39594-2025 karta.png", "A 39594-2025")</f>
        <v/>
      </c>
      <c r="Y15">
        <f>HYPERLINK("https://klasma.github.io/Logging_1907/kartor_geotiff/A 39594-2025 georefererad karta.tif", "A 39594-2025")</f>
        <v/>
      </c>
      <c r="AA15">
        <f>HYPERLINK("https://klasma.github.io/Logging_1907/klagomål/A 39594-2025 FSC-klagomål.docx", "A 39594-2025")</f>
        <v/>
      </c>
      <c r="AB15">
        <f>HYPERLINK("https://klasma.github.io/Logging_1907/klagomålsmail/A 39594-2025 FSC-klagomål mail.docx", "A 39594-2025")</f>
        <v/>
      </c>
      <c r="AC15">
        <f>HYPERLINK("https://klasma.github.io/Logging_1907/tillsyn/A 39594-2025 tillsynsbegäran.docx", "A 39594-2025")</f>
        <v/>
      </c>
      <c r="AD15">
        <f>HYPERLINK("https://klasma.github.io/Logging_1907/tillsynsmail/A 39594-2025 tillsynsbegäran mail.docx", "A 39594-2025")</f>
        <v/>
      </c>
      <c r="AE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46232</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46232</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46232</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t="n">
        <v>9</v>
      </c>
      <c r="V18" s="2" t="inlineStr">
        <is>
          <t>Slåtterfibbla
Svinrot
Talltita
Barkticka
Mattlummer
Spillkråka
Kungsfågel
Fläcknycklar
Grönvit nattviol
Revlummer</t>
        </is>
      </c>
      <c r="W18">
        <f>HYPERLINK("https://klasma.github.io/Logging_1907/artfynd/A 22907-2023 artfynd.xlsx", "A 22907-2023")</f>
        <v/>
      </c>
      <c r="X18">
        <f>HYPERLINK("https://klasma.github.io/Logging_1907/kartor/A 22907-2023 karta.png", "A 22907-2023")</f>
        <v/>
      </c>
      <c r="Y18">
        <f>HYPERLINK("https://klasma.github.io/Logging_1907/kartor_geotiff/A 22907-2023 georefererad karta.tif", "A 22907-2023")</f>
        <v/>
      </c>
      <c r="AA18">
        <f>HYPERLINK("https://klasma.github.io/Logging_1907/klagomål/A 22907-2023 FSC-klagomål.docx", "A 22907-2023")</f>
        <v/>
      </c>
      <c r="AB18">
        <f>HYPERLINK("https://klasma.github.io/Logging_1907/klagomålsmail/A 22907-2023 FSC-klagomål mail.docx", "A 22907-2023")</f>
        <v/>
      </c>
      <c r="AC18">
        <f>HYPERLINK("https://klasma.github.io/Logging_1907/tillsyn/A 22907-2023 tillsynsbegäran.docx", "A 22907-2023")</f>
        <v/>
      </c>
      <c r="AD18">
        <f>HYPERLINK("https://klasma.github.io/Logging_1907/tillsynsmail/A 22907-2023 tillsynsbegäran mail.docx", "A 22907-2023")</f>
        <v/>
      </c>
      <c r="AE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46232</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46232</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46232</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46232</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46232</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46232</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46232</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46232</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46232</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46232</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46232</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46232</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t="n">
        <v>0</v>
      </c>
      <c r="V30" s="2" t="inlineStr">
        <is>
          <t>Gullpudra
Vågticka
Brandticka
Strutbräken
Lopplummer (aggregat)
Revlummer</t>
        </is>
      </c>
      <c r="W30">
        <f>HYPERLINK("https://klasma.github.io/Logging_1907/artfynd/A 10236-2026 artfynd.xlsx", "A 10236-2026")</f>
        <v/>
      </c>
      <c r="X30">
        <f>HYPERLINK("https://klasma.github.io/Logging_1907/kartor/A 10236-2026 karta.png", "A 10236-2026")</f>
        <v/>
      </c>
      <c r="Y30">
        <f>HYPERLINK("https://klasma.github.io/Logging_1907/kartor_geotiff/A 10236-2026 georefererad karta.tif", "A 10236-2026")</f>
        <v/>
      </c>
      <c r="AA30">
        <f>HYPERLINK("https://klasma.github.io/Logging_1907/klagomål/A 10236-2026 FSC-klagomål.docx", "A 10236-2026")</f>
        <v/>
      </c>
      <c r="AB30">
        <f>HYPERLINK("https://klasma.github.io/Logging_1907/klagomålsmail/A 10236-2026 FSC-klagomål mail.docx", "A 10236-2026")</f>
        <v/>
      </c>
      <c r="AC30">
        <f>HYPERLINK("https://klasma.github.io/Logging_1907/tillsyn/A 10236-2026 tillsynsbegäran.docx", "A 10236-2026")</f>
        <v/>
      </c>
      <c r="AD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46232</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t="n">
        <v>0</v>
      </c>
      <c r="V31" s="2" t="inlineStr">
        <is>
          <t>Väddnätfjäril
Mindre hackspett
Talltita
Svart trolldruva
Kungsfågel
Nattviol</t>
        </is>
      </c>
      <c r="W31">
        <f>HYPERLINK("https://klasma.github.io/Logging_1907/artfynd/A 63145-2025 artfynd.xlsx", "A 63145-2025")</f>
        <v/>
      </c>
      <c r="X31">
        <f>HYPERLINK("https://klasma.github.io/Logging_1907/kartor/A 63145-2025 karta.png", "A 63145-2025")</f>
        <v/>
      </c>
      <c r="Y31">
        <f>HYPERLINK("https://klasma.github.io/Logging_1907/kartor_geotiff/A 63145-2025 georefererad karta.tif", "A 63145-2025")</f>
        <v/>
      </c>
      <c r="AA31">
        <f>HYPERLINK("https://klasma.github.io/Logging_1907/klagomål/A 63145-2025 FSC-klagomål.docx", "A 63145-2025")</f>
        <v/>
      </c>
      <c r="AB31">
        <f>HYPERLINK("https://klasma.github.io/Logging_1907/klagomålsmail/A 63145-2025 FSC-klagomål mail.docx", "A 63145-2025")</f>
        <v/>
      </c>
      <c r="AC31">
        <f>HYPERLINK("https://klasma.github.io/Logging_1907/tillsyn/A 63145-2025 tillsynsbegäran.docx", "A 63145-2025")</f>
        <v/>
      </c>
      <c r="AD31">
        <f>HYPERLINK("https://klasma.github.io/Logging_1907/tillsynsmail/A 63145-2025 tillsynsbegäran mail.docx", "A 63145-2025")</f>
        <v/>
      </c>
      <c r="AE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46232</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46232</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46232</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46232</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46232</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40411-2021</t>
        </is>
      </c>
      <c r="B37" t="inlineStr">
        <is>
          <t>avverkningsanmälan</t>
        </is>
      </c>
      <c r="C37" t="inlineStr">
        <is>
          <t>Föryngringsavverkning</t>
        </is>
      </c>
      <c r="D37" s="1" t="n">
        <v>44419</v>
      </c>
      <c r="E37" s="1" t="n">
        <v>46232</v>
      </c>
      <c r="F37" t="inlineStr">
        <is>
          <t>VÄSTMANLANDS LÄN</t>
        </is>
      </c>
      <c r="G37" t="inlineStr">
        <is>
          <t>SURAHAMMAR</t>
        </is>
      </c>
      <c r="H37" t="inlineStr">
        <is>
          <t>Sveaskog</t>
        </is>
      </c>
      <c r="I37" t="n">
        <v>2.4</v>
      </c>
      <c r="J37" t="n">
        <v>1</v>
      </c>
      <c r="K37" t="n">
        <v>0</v>
      </c>
      <c r="L37" t="n">
        <v>1</v>
      </c>
      <c r="M37" t="n">
        <v>1</v>
      </c>
      <c r="N37" t="n">
        <v>0</v>
      </c>
      <c r="O37" t="n">
        <v>0</v>
      </c>
      <c r="P37" t="n">
        <v>0</v>
      </c>
      <c r="Q37" t="n">
        <v>2</v>
      </c>
      <c r="R37" t="n">
        <v>1</v>
      </c>
      <c r="S37" t="n">
        <v>4</v>
      </c>
      <c r="T37" t="n">
        <v>4</v>
      </c>
      <c r="U37" t="n">
        <v>1</v>
      </c>
      <c r="V37" s="2" t="inlineStr">
        <is>
          <t>Brunfläckig pärlemorfjäril
Pilblad
Hässlebrodd
Kopparödla</t>
        </is>
      </c>
      <c r="W37">
        <f>HYPERLINK("https://klasma.github.io/Logging_1907/artfynd/A 40411-2021 artfynd.xlsx", "A 40411-2021")</f>
        <v/>
      </c>
      <c r="X37">
        <f>HYPERLINK("https://klasma.github.io/Logging_1907/kartor/A 40411-2021 karta.png", "A 40411-2021")</f>
        <v/>
      </c>
      <c r="Y37">
        <f>HYPERLINK("https://klasma.github.io/Logging_1907/kartor_geotiff/A 40411-2021 georefererad karta.tif", "A 40411-2021")</f>
        <v/>
      </c>
      <c r="AA37">
        <f>HYPERLINK("https://klasma.github.io/Logging_1907/klagomål/A 40411-2021 FSC-klagomål.docx", "A 40411-2021")</f>
        <v/>
      </c>
      <c r="AB37">
        <f>HYPERLINK("https://klasma.github.io/Logging_1907/klagomålsmail/A 40411-2021 FSC-klagomål mail.docx", "A 40411-2021")</f>
        <v/>
      </c>
      <c r="AC37">
        <f>HYPERLINK("https://klasma.github.io/Logging_1907/tillsyn/A 40411-2021 tillsynsbegäran.docx", "A 40411-2021")</f>
        <v/>
      </c>
      <c r="AD37">
        <f>HYPERLINK("https://klasma.github.io/Logging_1907/tillsynsmail/A 40411-2021 tillsynsbegäran mail.docx", "A 40411-2021")</f>
        <v/>
      </c>
    </row>
    <row r="38" ht="15" customHeight="1">
      <c r="A38" t="inlineStr">
        <is>
          <t>A 10819-2024</t>
        </is>
      </c>
      <c r="B38" t="inlineStr">
        <is>
          <t>avverkningsanmälan</t>
        </is>
      </c>
      <c r="C38" t="inlineStr">
        <is>
          <t>Föryngringsavverkning</t>
        </is>
      </c>
      <c r="D38" s="1" t="n">
        <v>45369</v>
      </c>
      <c r="E38" s="1" t="n">
        <v>46232</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46232</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46232</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46232</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46232</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49718-2023</t>
        </is>
      </c>
      <c r="B43" t="inlineStr">
        <is>
          <t>avverkningsanmälan</t>
        </is>
      </c>
      <c r="C43" t="inlineStr">
        <is>
          <t>Föryngringsavverkning</t>
        </is>
      </c>
      <c r="D43" s="1" t="n">
        <v>45212</v>
      </c>
      <c r="E43" s="1" t="n">
        <v>46232</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46232</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69777-2021</t>
        </is>
      </c>
      <c r="B45" t="inlineStr">
        <is>
          <t>avverkningsanmälan</t>
        </is>
      </c>
      <c r="C45" t="inlineStr">
        <is>
          <t>Föryngringsavverkning</t>
        </is>
      </c>
      <c r="D45" s="1" t="n">
        <v>44532</v>
      </c>
      <c r="E45" s="1" t="n">
        <v>46232</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63146-2025</t>
        </is>
      </c>
      <c r="B46" t="inlineStr">
        <is>
          <t>avverkningsanmälan</t>
        </is>
      </c>
      <c r="C46" t="inlineStr">
        <is>
          <t>Föryngringsavverkning</t>
        </is>
      </c>
      <c r="D46" s="1" t="n">
        <v>46009</v>
      </c>
      <c r="E46" s="1" t="n">
        <v>46232</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46232</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46232</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S 1450-2022</t>
        </is>
      </c>
      <c r="B49" t="inlineStr">
        <is>
          <t>samrådsanmälan</t>
        </is>
      </c>
      <c r="C49" t="inlineStr">
        <is>
          <t>Skogsgödsling</t>
        </is>
      </c>
      <c r="D49" s="1" t="n">
        <v>44635</v>
      </c>
      <c r="E49" s="1" t="n">
        <v>46232</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46232</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46232</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30074-2023</t>
        </is>
      </c>
      <c r="B52" t="inlineStr">
        <is>
          <t>avverkningsanmälan</t>
        </is>
      </c>
      <c r="C52" t="inlineStr">
        <is>
          <t>Föryngringsavverkning</t>
        </is>
      </c>
      <c r="D52" s="1" t="n">
        <v>45110</v>
      </c>
      <c r="E52" s="1" t="n">
        <v>46232</v>
      </c>
      <c r="F52" t="inlineStr">
        <is>
          <t>VÄSTMANLANDS LÄN</t>
        </is>
      </c>
      <c r="G52" t="inlineStr">
        <is>
          <t>SURAHAMMAR</t>
        </is>
      </c>
      <c r="H52" t="inlineStr">
        <is>
          <t>Sveaskog</t>
        </is>
      </c>
      <c r="I52" t="n">
        <v>1.1</v>
      </c>
      <c r="J52" t="n">
        <v>1</v>
      </c>
      <c r="K52" t="n">
        <v>1</v>
      </c>
      <c r="L52" t="n">
        <v>0</v>
      </c>
      <c r="M52" t="n">
        <v>0</v>
      </c>
      <c r="N52" t="n">
        <v>0</v>
      </c>
      <c r="O52" t="n">
        <v>0</v>
      </c>
      <c r="P52" t="n">
        <v>0</v>
      </c>
      <c r="Q52" t="n">
        <v>0</v>
      </c>
      <c r="R52" t="n">
        <v>0</v>
      </c>
      <c r="S52" t="n">
        <v>2</v>
      </c>
      <c r="T52" t="n">
        <v>2</v>
      </c>
      <c r="U52" t="n">
        <v>0</v>
      </c>
      <c r="V52" s="2" t="inlineStr">
        <is>
          <t>Grönpyrola
Revlummer</t>
        </is>
      </c>
      <c r="W52">
        <f>HYPERLINK("https://klasma.github.io/Logging_1907/artfynd/A 30074-2023 artfynd.xlsx", "A 30074-2023")</f>
        <v/>
      </c>
      <c r="X52">
        <f>HYPERLINK("https://klasma.github.io/Logging_1907/kartor/A 30074-2023 karta.png", "A 30074-2023")</f>
        <v/>
      </c>
      <c r="Y52">
        <f>HYPERLINK("https://klasma.github.io/Logging_1907/kartor_geotiff/A 30074-2023 georefererad karta.tif", "A 30074-2023")</f>
        <v/>
      </c>
      <c r="AA52">
        <f>HYPERLINK("https://klasma.github.io/Logging_1907/klagomål/A 30074-2023 FSC-klagomål.docx", "A 30074-2023")</f>
        <v/>
      </c>
      <c r="AB52">
        <f>HYPERLINK("https://klasma.github.io/Logging_1907/klagomålsmail/A 30074-2023 FSC-klagomål mail.docx", "A 30074-2023")</f>
        <v/>
      </c>
      <c r="AC52">
        <f>HYPERLINK("https://klasma.github.io/Logging_1907/tillsyn/A 30074-2023 tillsynsbegäran.docx", "A 30074-2023")</f>
        <v/>
      </c>
      <c r="AD52">
        <f>HYPERLINK("https://klasma.github.io/Logging_1907/tillsynsmail/A 30074-2023 tillsynsbegäran mail.docx", "A 30074-2023")</f>
        <v/>
      </c>
    </row>
    <row r="53" ht="15" customHeight="1">
      <c r="A53" t="inlineStr">
        <is>
          <t>A 56362-2023</t>
        </is>
      </c>
      <c r="B53" t="inlineStr">
        <is>
          <t>avverkningsanmälan</t>
        </is>
      </c>
      <c r="C53" t="inlineStr">
        <is>
          <t>Föryngringsavverkning</t>
        </is>
      </c>
      <c r="D53" s="1" t="n">
        <v>45236</v>
      </c>
      <c r="E53" s="1" t="n">
        <v>46232</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13788-2025</t>
        </is>
      </c>
      <c r="B54" t="inlineStr">
        <is>
          <t>avverkningsanmälan</t>
        </is>
      </c>
      <c r="C54" t="inlineStr">
        <is>
          <t>Föryngringsavverkning</t>
        </is>
      </c>
      <c r="D54" s="1" t="n">
        <v>45737</v>
      </c>
      <c r="E54" s="1" t="n">
        <v>46232</v>
      </c>
      <c r="F54" t="inlineStr">
        <is>
          <t>VÄSTMANLANDS LÄN</t>
        </is>
      </c>
      <c r="G54" t="inlineStr">
        <is>
          <t>SURAHAMMAR</t>
        </is>
      </c>
      <c r="I54" t="n">
        <v>9.699999999999999</v>
      </c>
      <c r="J54" t="n">
        <v>2</v>
      </c>
      <c r="K54" t="n">
        <v>0</v>
      </c>
      <c r="L54" t="n">
        <v>1</v>
      </c>
      <c r="M54" t="n">
        <v>0</v>
      </c>
      <c r="N54" t="n">
        <v>0</v>
      </c>
      <c r="O54" t="n">
        <v>0</v>
      </c>
      <c r="P54" t="n">
        <v>0</v>
      </c>
      <c r="Q54" t="n">
        <v>1</v>
      </c>
      <c r="R54" t="n">
        <v>0</v>
      </c>
      <c r="S54" t="n">
        <v>2</v>
      </c>
      <c r="T54" t="n">
        <v>2</v>
      </c>
      <c r="U54" t="n">
        <v>2</v>
      </c>
      <c r="V54" s="2" t="inlineStr">
        <is>
          <t>Sparvuggla
Nattskärra</t>
        </is>
      </c>
      <c r="W54">
        <f>HYPERLINK("https://klasma.github.io/Logging_1907/artfynd/A 13788-2025 artfynd.xlsx", "A 13788-2025")</f>
        <v/>
      </c>
      <c r="X54">
        <f>HYPERLINK("https://klasma.github.io/Logging_1907/kartor/A 13788-2025 karta.png", "A 13788-2025")</f>
        <v/>
      </c>
      <c r="Y54">
        <f>HYPERLINK("https://klasma.github.io/Logging_1907/kartor_geotiff/A 13788-2025 georefererad karta.tif", "A 13788-2025")</f>
        <v/>
      </c>
      <c r="AA54">
        <f>HYPERLINK("https://klasma.github.io/Logging_1907/klagomål/A 13788-2025 FSC-klagomål.docx", "A 13788-2025")</f>
        <v/>
      </c>
      <c r="AB54">
        <f>HYPERLINK("https://klasma.github.io/Logging_1907/klagomålsmail/A 13788-2025 FSC-klagomål mail.docx", "A 13788-2025")</f>
        <v/>
      </c>
      <c r="AC54">
        <f>HYPERLINK("https://klasma.github.io/Logging_1907/tillsyn/A 13788-2025 tillsynsbegäran.docx", "A 13788-2025")</f>
        <v/>
      </c>
      <c r="AD54">
        <f>HYPERLINK("https://klasma.github.io/Logging_1907/tillsynsmail/A 13788-2025 tillsynsbegäran mail.docx", "A 13788-2025")</f>
        <v/>
      </c>
      <c r="AE54">
        <f>HYPERLINK("https://klasma.github.io/Logging_1907/fåglar/A 13788-2025 prioriterade fågelarter.docx", "A 13788-2025")</f>
        <v/>
      </c>
    </row>
    <row r="55" ht="15" customHeight="1">
      <c r="A55" t="inlineStr">
        <is>
          <t>A 47453-2024</t>
        </is>
      </c>
      <c r="B55" t="inlineStr">
        <is>
          <t>avverkningsanmälan</t>
        </is>
      </c>
      <c r="C55" t="inlineStr">
        <is>
          <t>Föryngringsavverkning</t>
        </is>
      </c>
      <c r="D55" s="1" t="n">
        <v>45587</v>
      </c>
      <c r="E55" s="1" t="n">
        <v>46232</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40403-2025</t>
        </is>
      </c>
      <c r="B56" t="inlineStr">
        <is>
          <t>avverkningsanmälan</t>
        </is>
      </c>
      <c r="C56" t="inlineStr">
        <is>
          <t>Föryngringsavverkning</t>
        </is>
      </c>
      <c r="D56" s="1" t="n">
        <v>45895</v>
      </c>
      <c r="E56" s="1" t="n">
        <v>46232</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37013-2025</t>
        </is>
      </c>
      <c r="B57" t="inlineStr">
        <is>
          <t>avverkningsanmälan</t>
        </is>
      </c>
      <c r="C57" t="inlineStr">
        <is>
          <t>Föryngringsavverkning</t>
        </is>
      </c>
      <c r="D57" s="1" t="n">
        <v>45874</v>
      </c>
      <c r="E57" s="1" t="n">
        <v>46232</v>
      </c>
      <c r="F57" t="inlineStr">
        <is>
          <t>VÄSTMANLANDS LÄN</t>
        </is>
      </c>
      <c r="G57" t="inlineStr">
        <is>
          <t>SURAHAMMAR</t>
        </is>
      </c>
      <c r="H57" t="inlineStr">
        <is>
          <t>Bergvik skog väst AB</t>
        </is>
      </c>
      <c r="I57" t="n">
        <v>10.7</v>
      </c>
      <c r="J57" t="n">
        <v>0</v>
      </c>
      <c r="K57" t="n">
        <v>0</v>
      </c>
      <c r="L57" t="n">
        <v>0</v>
      </c>
      <c r="M57" t="n">
        <v>2</v>
      </c>
      <c r="N57" t="n">
        <v>0</v>
      </c>
      <c r="O57" t="n">
        <v>0</v>
      </c>
      <c r="P57" t="n">
        <v>0</v>
      </c>
      <c r="Q57" t="n">
        <v>2</v>
      </c>
      <c r="R57" t="n">
        <v>2</v>
      </c>
      <c r="S57" t="n">
        <v>2</v>
      </c>
      <c r="T57" t="n">
        <v>2</v>
      </c>
      <c r="U57" t="n">
        <v>0</v>
      </c>
      <c r="V57" s="2" t="inlineStr">
        <is>
          <t>Brunfläckig pärlemorfjäril
Fältgentiana</t>
        </is>
      </c>
      <c r="W57">
        <f>HYPERLINK("https://klasma.github.io/Logging_1907/artfynd/A 37013-2025 artfynd.xlsx", "A 37013-2025")</f>
        <v/>
      </c>
      <c r="X57">
        <f>HYPERLINK("https://klasma.github.io/Logging_1907/kartor/A 37013-2025 karta.png", "A 37013-2025")</f>
        <v/>
      </c>
      <c r="Y57">
        <f>HYPERLINK("https://klasma.github.io/Logging_1907/kartor_geotiff/A 37013-2025 georefererad karta.tif", "A 37013-2025")</f>
        <v/>
      </c>
      <c r="AA57">
        <f>HYPERLINK("https://klasma.github.io/Logging_1907/klagomål/A 37013-2025 FSC-klagomål.docx", "A 37013-2025")</f>
        <v/>
      </c>
      <c r="AB57">
        <f>HYPERLINK("https://klasma.github.io/Logging_1907/klagomålsmail/A 37013-2025 FSC-klagomål mail.docx", "A 37013-2025")</f>
        <v/>
      </c>
      <c r="AC57">
        <f>HYPERLINK("https://klasma.github.io/Logging_1907/tillsyn/A 37013-2025 tillsynsbegäran.docx", "A 37013-2025")</f>
        <v/>
      </c>
      <c r="AD57">
        <f>HYPERLINK("https://klasma.github.io/Logging_1907/tillsynsmail/A 37013-2025 tillsynsbegäran mail.docx", "A 37013-2025")</f>
        <v/>
      </c>
    </row>
    <row r="58" ht="15" customHeight="1">
      <c r="A58" t="inlineStr">
        <is>
          <t>A 63138-2025</t>
        </is>
      </c>
      <c r="B58" t="inlineStr">
        <is>
          <t>avverkningsanmälan</t>
        </is>
      </c>
      <c r="C58" t="inlineStr">
        <is>
          <t>Föryngringsavverkning</t>
        </is>
      </c>
      <c r="D58" s="1" t="n">
        <v>46009</v>
      </c>
      <c r="E58" s="1" t="n">
        <v>46232</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41204-2023</t>
        </is>
      </c>
      <c r="B59" t="inlineStr">
        <is>
          <t>avverkningsanmälan</t>
        </is>
      </c>
      <c r="C59" t="inlineStr">
        <is>
          <t>Föryngringsavverkning</t>
        </is>
      </c>
      <c r="D59" s="1" t="n">
        <v>45174</v>
      </c>
      <c r="E59" s="1" t="n">
        <v>46232</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11501-2023</t>
        </is>
      </c>
      <c r="B60" t="inlineStr">
        <is>
          <t>avverkningsanmälan</t>
        </is>
      </c>
      <c r="C60" t="inlineStr">
        <is>
          <t>Föryngringsavverkning</t>
        </is>
      </c>
      <c r="D60" s="1" t="n">
        <v>44991</v>
      </c>
      <c r="E60" s="1" t="n">
        <v>46232</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t="n">
        <v>2</v>
      </c>
      <c r="V60" s="2" t="inlineStr">
        <is>
          <t>Svart trolldruva
Nattviol</t>
        </is>
      </c>
      <c r="W60">
        <f>HYPERLINK("https://klasma.github.io/Logging_1907/artfynd/A 11501-2023 artfynd.xlsx", "A 11501-2023")</f>
        <v/>
      </c>
      <c r="X60">
        <f>HYPERLINK("https://klasma.github.io/Logging_1907/kartor/A 11501-2023 karta.png", "A 11501-2023")</f>
        <v/>
      </c>
      <c r="Y60">
        <f>HYPERLINK("https://klasma.github.io/Logging_1907/kartor_geotiff/A 11501-2023 georefererad karta.tif", "A 11501-2023")</f>
        <v/>
      </c>
      <c r="AA60">
        <f>HYPERLINK("https://klasma.github.io/Logging_1907/klagomål/A 11501-2023 FSC-klagomål.docx", "A 11501-2023")</f>
        <v/>
      </c>
      <c r="AB60">
        <f>HYPERLINK("https://klasma.github.io/Logging_1907/klagomålsmail/A 11501-2023 FSC-klagomål mail.docx", "A 11501-2023")</f>
        <v/>
      </c>
      <c r="AC60">
        <f>HYPERLINK("https://klasma.github.io/Logging_1907/tillsyn/A 11501-2023 tillsynsbegäran.docx", "A 11501-2023")</f>
        <v/>
      </c>
      <c r="AD60">
        <f>HYPERLINK("https://klasma.github.io/Logging_1907/tillsynsmail/A 11501-2023 tillsynsbegäran mail.docx", "A 11501-2023")</f>
        <v/>
      </c>
    </row>
    <row r="61" ht="15" customHeight="1">
      <c r="A61" t="inlineStr">
        <is>
          <t>A 14001-2023</t>
        </is>
      </c>
      <c r="B61" t="inlineStr">
        <is>
          <t>avverkningsanmälan</t>
        </is>
      </c>
      <c r="C61" t="inlineStr">
        <is>
          <t>Föryngringsavverkning</t>
        </is>
      </c>
      <c r="D61" s="1" t="n">
        <v>45007</v>
      </c>
      <c r="E61" s="1" t="n">
        <v>46232</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t="n">
        <v>0</v>
      </c>
      <c r="V61" s="2" t="inlineStr">
        <is>
          <t>Garnlav
Motaggsvamp</t>
        </is>
      </c>
      <c r="W61">
        <f>HYPERLINK("https://klasma.github.io/Logging_1907/artfynd/A 14001-2023 artfynd.xlsx", "A 14001-2023")</f>
        <v/>
      </c>
      <c r="X61">
        <f>HYPERLINK("https://klasma.github.io/Logging_1907/kartor/A 14001-2023 karta.png", "A 14001-2023")</f>
        <v/>
      </c>
      <c r="Y61">
        <f>HYPERLINK("https://klasma.github.io/Logging_1907/kartor_geotiff/A 14001-2023 georefererad karta.tif", "A 14001-2023")</f>
        <v/>
      </c>
      <c r="AA61">
        <f>HYPERLINK("https://klasma.github.io/Logging_1907/klagomål/A 14001-2023 FSC-klagomål.docx", "A 14001-2023")</f>
        <v/>
      </c>
      <c r="AB61">
        <f>HYPERLINK("https://klasma.github.io/Logging_1907/klagomålsmail/A 14001-2023 FSC-klagomål mail.docx", "A 14001-2023")</f>
        <v/>
      </c>
      <c r="AC61">
        <f>HYPERLINK("https://klasma.github.io/Logging_1907/tillsyn/A 14001-2023 tillsynsbegäran.docx", "A 14001-2023")</f>
        <v/>
      </c>
      <c r="AD61">
        <f>HYPERLINK("https://klasma.github.io/Logging_1907/tillsynsmail/A 14001-2023 tillsynsbegäran mail.docx", "A 14001-2023")</f>
        <v/>
      </c>
    </row>
    <row r="62" ht="15" customHeight="1">
      <c r="A62" t="inlineStr">
        <is>
          <t>A 13971-2023</t>
        </is>
      </c>
      <c r="B62" t="inlineStr">
        <is>
          <t>avverkningsanmälan</t>
        </is>
      </c>
      <c r="C62" t="inlineStr">
        <is>
          <t>Föryngringsavverkning</t>
        </is>
      </c>
      <c r="D62" s="1" t="n">
        <v>45007</v>
      </c>
      <c r="E62" s="1" t="n">
        <v>46232</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S 703-2025</t>
        </is>
      </c>
      <c r="B63" t="inlineStr">
        <is>
          <t>samrådsanmälan</t>
        </is>
      </c>
      <c r="C63" t="inlineStr">
        <is>
          <t>Skogsgödsling</t>
        </is>
      </c>
      <c r="D63" s="1" t="n">
        <v>45720</v>
      </c>
      <c r="E63" s="1" t="n">
        <v>46232</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46232</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46232</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46232</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46232</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30076-2023</t>
        </is>
      </c>
      <c r="B68" t="inlineStr">
        <is>
          <t>avverkningsanmälan</t>
        </is>
      </c>
      <c r="C68" t="inlineStr">
        <is>
          <t>Föryngringsavverkning</t>
        </is>
      </c>
      <c r="D68" s="1" t="n">
        <v>45110</v>
      </c>
      <c r="E68" s="1" t="n">
        <v>46232</v>
      </c>
      <c r="F68" t="inlineStr">
        <is>
          <t>VÄSTMANLANDS LÄN</t>
        </is>
      </c>
      <c r="G68" t="inlineStr">
        <is>
          <t>SURAHAMMAR</t>
        </is>
      </c>
      <c r="H68" t="inlineStr">
        <is>
          <t>Sveaskog</t>
        </is>
      </c>
      <c r="I68" t="n">
        <v>1.1</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HYPERLINK("https://klasma.github.io/Logging_1907/artfynd/A 30076-2023 artfynd.xlsx", "A 30076-2023")</f>
        <v/>
      </c>
      <c r="X68">
        <f>HYPERLINK("https://klasma.github.io/Logging_1907/kartor/A 30076-2023 karta.png", "A 30076-2023")</f>
        <v/>
      </c>
      <c r="Y68">
        <f>HYPERLINK("https://klasma.github.io/Logging_1907/kartor_geotiff/A 30076-2023 georefererad karta.tif", "A 30076-2023")</f>
        <v/>
      </c>
      <c r="AA68">
        <f>HYPERLINK("https://klasma.github.io/Logging_1907/klagomål/A 30076-2023 FSC-klagomål.docx", "A 30076-2023")</f>
        <v/>
      </c>
      <c r="AB68">
        <f>HYPERLINK("https://klasma.github.io/Logging_1907/klagomålsmail/A 30076-2023 FSC-klagomål mail.docx", "A 30076-2023")</f>
        <v/>
      </c>
      <c r="AC68">
        <f>HYPERLINK("https://klasma.github.io/Logging_1907/tillsyn/A 30076-2023 tillsynsbegäran.docx", "A 30076-2023")</f>
        <v/>
      </c>
      <c r="AD68">
        <f>HYPERLINK("https://klasma.github.io/Logging_1907/tillsynsmail/A 30076-2023 tillsynsbegäran mail.docx", "A 30076-2023")</f>
        <v/>
      </c>
    </row>
    <row r="69" ht="15" customHeight="1">
      <c r="A69" t="inlineStr">
        <is>
          <t>A 8553-2023</t>
        </is>
      </c>
      <c r="B69" t="inlineStr">
        <is>
          <t>avverkningsanmälan</t>
        </is>
      </c>
      <c r="C69" t="inlineStr">
        <is>
          <t>Avverkning för att bevara och utveckla /försöksver</t>
        </is>
      </c>
      <c r="D69" s="1" t="n">
        <v>44977</v>
      </c>
      <c r="E69" s="1" t="n">
        <v>46232</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37287-2023</t>
        </is>
      </c>
      <c r="B70" t="inlineStr">
        <is>
          <t>avverkningsanmälan</t>
        </is>
      </c>
      <c r="C70" t="inlineStr">
        <is>
          <t>Föryngringsavverkning</t>
        </is>
      </c>
      <c r="D70" s="1" t="n">
        <v>45156</v>
      </c>
      <c r="E70" s="1" t="n">
        <v>46232</v>
      </c>
      <c r="F70" t="inlineStr">
        <is>
          <t>VÄSTMANLANDS LÄN</t>
        </is>
      </c>
      <c r="G70" t="inlineStr">
        <is>
          <t>SURAHAMMAR</t>
        </is>
      </c>
      <c r="I70" t="n">
        <v>0.6</v>
      </c>
      <c r="J70" t="n">
        <v>0</v>
      </c>
      <c r="K70" t="n">
        <v>0</v>
      </c>
      <c r="L70" t="n">
        <v>1</v>
      </c>
      <c r="M70" t="n">
        <v>0</v>
      </c>
      <c r="N70" t="n">
        <v>0</v>
      </c>
      <c r="O70" t="n">
        <v>0</v>
      </c>
      <c r="P70" t="n">
        <v>0</v>
      </c>
      <c r="Q70" t="n">
        <v>1</v>
      </c>
      <c r="R70" t="n">
        <v>0</v>
      </c>
      <c r="S70" t="n">
        <v>1</v>
      </c>
      <c r="T70" t="n">
        <v>1</v>
      </c>
      <c r="U70" t="n">
        <v>0</v>
      </c>
      <c r="V70" s="2" t="inlineStr">
        <is>
          <t>Mindre tåtelsmygare</t>
        </is>
      </c>
      <c r="W70">
        <f>HYPERLINK("https://klasma.github.io/Logging_1907/artfynd/A 37287-2023 artfynd.xlsx", "A 37287-2023")</f>
        <v/>
      </c>
      <c r="X70">
        <f>HYPERLINK("https://klasma.github.io/Logging_1907/kartor/A 37287-2023 karta.png", "A 37287-2023")</f>
        <v/>
      </c>
      <c r="Y70">
        <f>HYPERLINK("https://klasma.github.io/Logging_1907/kartor_geotiff/A 37287-2023 georefererad karta.tif", "A 37287-2023")</f>
        <v/>
      </c>
      <c r="AA70">
        <f>HYPERLINK("https://klasma.github.io/Logging_1907/klagomål/A 37287-2023 FSC-klagomål.docx", "A 37287-2023")</f>
        <v/>
      </c>
      <c r="AB70">
        <f>HYPERLINK("https://klasma.github.io/Logging_1907/klagomålsmail/A 37287-2023 FSC-klagomål mail.docx", "A 37287-2023")</f>
        <v/>
      </c>
      <c r="AC70">
        <f>HYPERLINK("https://klasma.github.io/Logging_1907/tillsyn/A 37287-2023 tillsynsbegäran.docx", "A 37287-2023")</f>
        <v/>
      </c>
      <c r="AD70">
        <f>HYPERLINK("https://klasma.github.io/Logging_1907/tillsynsmail/A 37287-2023 tillsynsbegäran mail.docx", "A 37287-2023")</f>
        <v/>
      </c>
    </row>
    <row r="71" ht="15" customHeight="1">
      <c r="A71" t="inlineStr">
        <is>
          <t>A 34584-2025</t>
        </is>
      </c>
      <c r="B71" t="inlineStr">
        <is>
          <t>avverkningsanmälan</t>
        </is>
      </c>
      <c r="C71" t="inlineStr">
        <is>
          <t>Föryngringsavverkning</t>
        </is>
      </c>
      <c r="D71" s="1" t="n">
        <v>45846</v>
      </c>
      <c r="E71" s="1" t="n">
        <v>46232</v>
      </c>
      <c r="F71" t="inlineStr">
        <is>
          <t>VÄSTMANLANDS LÄN</t>
        </is>
      </c>
      <c r="G71" t="inlineStr">
        <is>
          <t>SURAHAMMAR</t>
        </is>
      </c>
      <c r="H71" t="inlineStr">
        <is>
          <t>Bergvik skog väst AB</t>
        </is>
      </c>
      <c r="I71" t="n">
        <v>2.7</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HYPERLINK("https://klasma.github.io/Logging_1907/artfynd/A 34584-2025 artfynd.xlsx", "A 34584-2025")</f>
        <v/>
      </c>
      <c r="X71">
        <f>HYPERLINK("https://klasma.github.io/Logging_1907/kartor/A 34584-2025 karta.png", "A 34584-2025")</f>
        <v/>
      </c>
      <c r="Y71">
        <f>HYPERLINK("https://klasma.github.io/Logging_1907/kartor_geotiff/A 34584-2025 georefererad karta.tif", "A 34584-2025")</f>
        <v/>
      </c>
      <c r="AA71">
        <f>HYPERLINK("https://klasma.github.io/Logging_1907/klagomål/A 34584-2025 FSC-klagomål.docx", "A 34584-2025")</f>
        <v/>
      </c>
      <c r="AB71">
        <f>HYPERLINK("https://klasma.github.io/Logging_1907/klagomålsmail/A 34584-2025 FSC-klagomål mail.docx", "A 34584-2025")</f>
        <v/>
      </c>
      <c r="AC71">
        <f>HYPERLINK("https://klasma.github.io/Logging_1907/tillsyn/A 34584-2025 tillsynsbegäran.docx", "A 34584-2025")</f>
        <v/>
      </c>
      <c r="AD71">
        <f>HYPERLINK("https://klasma.github.io/Logging_1907/tillsynsmail/A 34584-2025 tillsynsbegäran mail.docx", "A 34584-2025")</f>
        <v/>
      </c>
      <c r="AE71">
        <f>HYPERLINK("https://klasma.github.io/Logging_1907/fåglar/A 34584-2025 prioriterade fågelarter.docx", "A 34584-2025")</f>
        <v/>
      </c>
    </row>
    <row r="72" ht="15" customHeight="1">
      <c r="A72" t="inlineStr">
        <is>
          <t>A 39099-2022</t>
        </is>
      </c>
      <c r="B72" t="inlineStr">
        <is>
          <t>avverkningsanmälan</t>
        </is>
      </c>
      <c r="C72" t="inlineStr">
        <is>
          <t>Föryngringsavverkning</t>
        </is>
      </c>
      <c r="D72" s="1" t="n">
        <v>44817</v>
      </c>
      <c r="E72" s="1" t="n">
        <v>46232</v>
      </c>
      <c r="F72" t="inlineStr">
        <is>
          <t>VÄSTMANLANDS LÄN</t>
        </is>
      </c>
      <c r="G72" t="inlineStr">
        <is>
          <t>SURAHAMMAR</t>
        </is>
      </c>
      <c r="H72" t="inlineStr">
        <is>
          <t>Bergvik skog väst AB</t>
        </is>
      </c>
      <c r="I72" t="n">
        <v>7.4</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HYPERLINK("https://klasma.github.io/Logging_1907/artfynd/A 39099-2022 artfynd.xlsx", "A 39099-2022")</f>
        <v/>
      </c>
      <c r="X72">
        <f>HYPERLINK("https://klasma.github.io/Logging_1907/kartor/A 39099-2022 karta.png", "A 39099-2022")</f>
        <v/>
      </c>
      <c r="Y72">
        <f>HYPERLINK("https://klasma.github.io/Logging_1907/kartor_geotiff/A 39099-2022 georefererad karta.tif", "A 39099-2022")</f>
        <v/>
      </c>
      <c r="AA72">
        <f>HYPERLINK("https://klasma.github.io/Logging_1907/klagomål/A 39099-2022 FSC-klagomål.docx", "A 39099-2022")</f>
        <v/>
      </c>
      <c r="AB72">
        <f>HYPERLINK("https://klasma.github.io/Logging_1907/klagomålsmail/A 39099-2022 FSC-klagomål mail.docx", "A 39099-2022")</f>
        <v/>
      </c>
      <c r="AC72">
        <f>HYPERLINK("https://klasma.github.io/Logging_1907/tillsyn/A 39099-2022 tillsynsbegäran.docx", "A 39099-2022")</f>
        <v/>
      </c>
      <c r="AD72">
        <f>HYPERLINK("https://klasma.github.io/Logging_1907/tillsynsmail/A 39099-2022 tillsynsbegäran mail.docx", "A 39099-2022")</f>
        <v/>
      </c>
    </row>
    <row r="73" ht="15" customHeight="1">
      <c r="A73" t="inlineStr">
        <is>
          <t>A 17632-2022</t>
        </is>
      </c>
      <c r="B73" t="inlineStr">
        <is>
          <t>avverkningsanmälan</t>
        </is>
      </c>
      <c r="C73" t="inlineStr">
        <is>
          <t>Föryngringsavverkning</t>
        </is>
      </c>
      <c r="D73" s="1" t="n">
        <v>44680</v>
      </c>
      <c r="E73" s="1" t="n">
        <v>46232</v>
      </c>
      <c r="F73" t="inlineStr">
        <is>
          <t>VÄSTMANLANDS LÄN</t>
        </is>
      </c>
      <c r="G73" t="inlineStr">
        <is>
          <t>SURAHAMMAR</t>
        </is>
      </c>
      <c r="I73" t="n">
        <v>5.2</v>
      </c>
      <c r="J73" t="n">
        <v>0</v>
      </c>
      <c r="K73" t="n">
        <v>1</v>
      </c>
      <c r="L73" t="n">
        <v>0</v>
      </c>
      <c r="M73" t="n">
        <v>0</v>
      </c>
      <c r="N73" t="n">
        <v>0</v>
      </c>
      <c r="O73" t="n">
        <v>0</v>
      </c>
      <c r="P73" t="n">
        <v>0</v>
      </c>
      <c r="Q73" t="n">
        <v>0</v>
      </c>
      <c r="R73" t="n">
        <v>0</v>
      </c>
      <c r="S73" t="n">
        <v>1</v>
      </c>
      <c r="T73" t="n">
        <v>1</v>
      </c>
      <c r="U73" t="n">
        <v>0</v>
      </c>
      <c r="V73" s="2" t="inlineStr">
        <is>
          <t>Blodticka</t>
        </is>
      </c>
      <c r="W73">
        <f>HYPERLINK("https://klasma.github.io/Logging_1907/artfynd/A 17632-2022 artfynd.xlsx", "A 17632-2022")</f>
        <v/>
      </c>
      <c r="X73">
        <f>HYPERLINK("https://klasma.github.io/Logging_1907/kartor/A 17632-2022 karta.png", "A 17632-2022")</f>
        <v/>
      </c>
      <c r="Y73">
        <f>HYPERLINK("https://klasma.github.io/Logging_1907/kartor_geotiff/A 17632-2022 georefererad karta.tif", "A 17632-2022")</f>
        <v/>
      </c>
      <c r="AA73">
        <f>HYPERLINK("https://klasma.github.io/Logging_1907/klagomål/A 17632-2022 FSC-klagomål.docx", "A 17632-2022")</f>
        <v/>
      </c>
      <c r="AB73">
        <f>HYPERLINK("https://klasma.github.io/Logging_1907/klagomålsmail/A 17632-2022 FSC-klagomål mail.docx", "A 17632-2022")</f>
        <v/>
      </c>
      <c r="AC73">
        <f>HYPERLINK("https://klasma.github.io/Logging_1907/tillsyn/A 17632-2022 tillsynsbegäran.docx", "A 17632-2022")</f>
        <v/>
      </c>
      <c r="AD73">
        <f>HYPERLINK("https://klasma.github.io/Logging_1907/tillsynsmail/A 17632-2022 tillsynsbegäran mail.docx", "A 17632-2022")</f>
        <v/>
      </c>
    </row>
    <row r="74" ht="15" customHeight="1">
      <c r="A74" t="inlineStr">
        <is>
          <t>A 34955-2022</t>
        </is>
      </c>
      <c r="B74" t="inlineStr">
        <is>
          <t>avverkningsanmälan</t>
        </is>
      </c>
      <c r="C74" t="inlineStr">
        <is>
          <t>Föryngringsavverkning</t>
        </is>
      </c>
      <c r="D74" s="1" t="n">
        <v>44796</v>
      </c>
      <c r="E74" s="1" t="n">
        <v>46232</v>
      </c>
      <c r="F74" t="inlineStr">
        <is>
          <t>VÄSTMANLANDS LÄN</t>
        </is>
      </c>
      <c r="G74" t="inlineStr">
        <is>
          <t>SURAHAMMAR</t>
        </is>
      </c>
      <c r="H74" t="inlineStr">
        <is>
          <t>Sveaskog</t>
        </is>
      </c>
      <c r="I74" t="n">
        <v>4.6</v>
      </c>
      <c r="J74" t="n">
        <v>0</v>
      </c>
      <c r="K74" t="n">
        <v>0</v>
      </c>
      <c r="L74" t="n">
        <v>1</v>
      </c>
      <c r="M74" t="n">
        <v>0</v>
      </c>
      <c r="N74" t="n">
        <v>0</v>
      </c>
      <c r="O74" t="n">
        <v>0</v>
      </c>
      <c r="P74" t="n">
        <v>0</v>
      </c>
      <c r="Q74" t="n">
        <v>1</v>
      </c>
      <c r="R74" t="n">
        <v>0</v>
      </c>
      <c r="S74" t="n">
        <v>1</v>
      </c>
      <c r="T74" t="n">
        <v>1</v>
      </c>
      <c r="U74" t="n">
        <v>1</v>
      </c>
      <c r="V74" s="2" t="inlineStr">
        <is>
          <t>Svinrot</t>
        </is>
      </c>
      <c r="W74">
        <f>HYPERLINK("https://klasma.github.io/Logging_1907/artfynd/A 34955-2022 artfynd.xlsx", "A 34955-2022")</f>
        <v/>
      </c>
      <c r="X74">
        <f>HYPERLINK("https://klasma.github.io/Logging_1907/kartor/A 34955-2022 karta.png", "A 34955-2022")</f>
        <v/>
      </c>
      <c r="Y74">
        <f>HYPERLINK("https://klasma.github.io/Logging_1907/kartor_geotiff/A 34955-2022 georefererad karta.tif", "A 34955-2022")</f>
        <v/>
      </c>
      <c r="AA74">
        <f>HYPERLINK("https://klasma.github.io/Logging_1907/klagomål/A 34955-2022 FSC-klagomål.docx", "A 34955-2022")</f>
        <v/>
      </c>
      <c r="AB74">
        <f>HYPERLINK("https://klasma.github.io/Logging_1907/klagomålsmail/A 34955-2022 FSC-klagomål mail.docx", "A 34955-2022")</f>
        <v/>
      </c>
      <c r="AC74">
        <f>HYPERLINK("https://klasma.github.io/Logging_1907/tillsyn/A 34955-2022 tillsynsbegäran.docx", "A 34955-2022")</f>
        <v/>
      </c>
      <c r="AD74">
        <f>HYPERLINK("https://klasma.github.io/Logging_1907/tillsynsmail/A 34955-2022 tillsynsbegäran mail.docx", "A 34955-2022")</f>
        <v/>
      </c>
    </row>
    <row r="75" ht="15" customHeight="1">
      <c r="A75" t="inlineStr">
        <is>
          <t>A 10883-2023</t>
        </is>
      </c>
      <c r="B75" t="inlineStr">
        <is>
          <t>avverkningsanmälan</t>
        </is>
      </c>
      <c r="C75" t="inlineStr">
        <is>
          <t>Föryngringsavverkning</t>
        </is>
      </c>
      <c r="D75" s="1" t="n">
        <v>44991</v>
      </c>
      <c r="E75" s="1" t="n">
        <v>46232</v>
      </c>
      <c r="F75" t="inlineStr">
        <is>
          <t>VÄSTMANLANDS LÄN</t>
        </is>
      </c>
      <c r="G75" t="inlineStr">
        <is>
          <t>SURAHAMMAR</t>
        </is>
      </c>
      <c r="H75" t="inlineStr">
        <is>
          <t>Övriga Aktiebolag</t>
        </is>
      </c>
      <c r="I75" t="n">
        <v>12.5</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HYPERLINK("https://klasma.github.io/Logging_1907/artfynd/A 10883-2023 artfynd.xlsx", "A 10883-2023")</f>
        <v/>
      </c>
      <c r="X75">
        <f>HYPERLINK("https://klasma.github.io/Logging_1907/kartor/A 10883-2023 karta.png", "A 10883-2023")</f>
        <v/>
      </c>
      <c r="Y75">
        <f>HYPERLINK("https://klasma.github.io/Logging_1907/kartor_geotiff/A 10883-2023 georefererad karta.tif", "A 10883-2023")</f>
        <v/>
      </c>
      <c r="AA75">
        <f>HYPERLINK("https://klasma.github.io/Logging_1907/klagomål/A 10883-2023 FSC-klagomål.docx", "A 10883-2023")</f>
        <v/>
      </c>
      <c r="AB75">
        <f>HYPERLINK("https://klasma.github.io/Logging_1907/klagomålsmail/A 10883-2023 FSC-klagomål mail.docx", "A 10883-2023")</f>
        <v/>
      </c>
      <c r="AC75">
        <f>HYPERLINK("https://klasma.github.io/Logging_1907/tillsyn/A 10883-2023 tillsynsbegäran.docx", "A 10883-2023")</f>
        <v/>
      </c>
      <c r="AD75">
        <f>HYPERLINK("https://klasma.github.io/Logging_1907/tillsynsmail/A 10883-2023 tillsynsbegäran mail.docx", "A 10883-2023")</f>
        <v/>
      </c>
      <c r="AE75">
        <f>HYPERLINK("https://klasma.github.io/Logging_1907/fåglar/A 10883-2023 prioriterade fågelarter.docx", "A 10883-2023")</f>
        <v/>
      </c>
    </row>
    <row r="76" ht="15" customHeight="1">
      <c r="A76" t="inlineStr">
        <is>
          <t>A 44356-2024</t>
        </is>
      </c>
      <c r="B76" t="inlineStr">
        <is>
          <t>avverkningsanmälan</t>
        </is>
      </c>
      <c r="C76" t="inlineStr">
        <is>
          <t>Föryngringsavverkning</t>
        </is>
      </c>
      <c r="D76" s="1" t="n">
        <v>45573</v>
      </c>
      <c r="E76" s="1" t="n">
        <v>46232</v>
      </c>
      <c r="F76" t="inlineStr">
        <is>
          <t>VÄSTMANLANDS LÄN</t>
        </is>
      </c>
      <c r="G76" t="inlineStr">
        <is>
          <t>SURAHAMMAR</t>
        </is>
      </c>
      <c r="H76" t="inlineStr">
        <is>
          <t>Sveaskog</t>
        </is>
      </c>
      <c r="I76" t="n">
        <v>0.7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HYPERLINK("https://klasma.github.io/Logging_1907/artfynd/A 44356-2024 artfynd.xlsx", "A 44356-2024")</f>
        <v/>
      </c>
      <c r="X76">
        <f>HYPERLINK("https://klasma.github.io/Logging_1907/kartor/A 44356-2024 karta.png", "A 44356-2024")</f>
        <v/>
      </c>
      <c r="Y76">
        <f>HYPERLINK("https://klasma.github.io/Logging_1907/kartor_geotiff/A 44356-2024 georefererad karta.tif", "A 44356-2024")</f>
        <v/>
      </c>
      <c r="AA76">
        <f>HYPERLINK("https://klasma.github.io/Logging_1907/klagomål/A 44356-2024 FSC-klagomål.docx", "A 44356-2024")</f>
        <v/>
      </c>
      <c r="AB76">
        <f>HYPERLINK("https://klasma.github.io/Logging_1907/klagomålsmail/A 44356-2024 FSC-klagomål mail.docx", "A 44356-2024")</f>
        <v/>
      </c>
      <c r="AC76">
        <f>HYPERLINK("https://klasma.github.io/Logging_1907/tillsyn/A 44356-2024 tillsynsbegäran.docx", "A 44356-2024")</f>
        <v/>
      </c>
      <c r="AD76">
        <f>HYPERLINK("https://klasma.github.io/Logging_1907/tillsynsmail/A 44356-2024 tillsynsbegäran mail.docx", "A 44356-2024")</f>
        <v/>
      </c>
    </row>
    <row r="77" ht="15" customHeight="1">
      <c r="A77" t="inlineStr">
        <is>
          <t>A 33231-2024</t>
        </is>
      </c>
      <c r="B77" t="inlineStr">
        <is>
          <t>avverkningsanmälan</t>
        </is>
      </c>
      <c r="C77" t="inlineStr">
        <is>
          <t>Föryngringsavverkning</t>
        </is>
      </c>
      <c r="D77" s="1" t="n">
        <v>45518</v>
      </c>
      <c r="E77" s="1" t="n">
        <v>46232</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24167-2024</t>
        </is>
      </c>
      <c r="B78" t="inlineStr">
        <is>
          <t>avverkningsanmälan</t>
        </is>
      </c>
      <c r="C78" t="inlineStr">
        <is>
          <t>Avverkning för annat ändamål</t>
        </is>
      </c>
      <c r="D78" s="1" t="n">
        <v>45456</v>
      </c>
      <c r="E78" s="1" t="n">
        <v>46232</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31589-2026</t>
        </is>
      </c>
      <c r="B79" t="inlineStr">
        <is>
          <t>avverkningsanmälan</t>
        </is>
      </c>
      <c r="C79" t="inlineStr">
        <is>
          <t>Föryngringsavverkning</t>
        </is>
      </c>
      <c r="D79" s="1" t="n">
        <v>46224</v>
      </c>
      <c r="E79" s="1" t="n">
        <v>46232</v>
      </c>
      <c r="F79" t="inlineStr">
        <is>
          <t>VÄSTMANLANDS LÄN</t>
        </is>
      </c>
      <c r="G79" t="inlineStr">
        <is>
          <t>SURAHAMMAR</t>
        </is>
      </c>
      <c r="H79" t="inlineStr">
        <is>
          <t>Allmännings- och besparingsskogar</t>
        </is>
      </c>
      <c r="I79" t="n">
        <v>7</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HYPERLINK("https://klasma.github.io/Logging_1907/artfynd/A 31589-2026 artfynd.xlsx", "A 31589-2026")</f>
        <v/>
      </c>
      <c r="X79">
        <f>HYPERLINK("https://klasma.github.io/Logging_1907/kartor/A 31589-2026 karta.png", "A 31589-2026")</f>
        <v/>
      </c>
      <c r="Y79">
        <f>HYPERLINK("https://klasma.github.io/Logging_1907/kartor_geotiff/A 31589-2026 georefererad karta.tif", "A 31589-2026")</f>
        <v/>
      </c>
      <c r="AA79">
        <f>HYPERLINK("https://klasma.github.io/Logging_1907/klagomål/A 31589-2026 FSC-klagomål.docx", "A 31589-2026")</f>
        <v/>
      </c>
      <c r="AB79">
        <f>HYPERLINK("https://klasma.github.io/Logging_1907/klagomålsmail/A 31589-2026 FSC-klagomål mail.docx", "A 31589-2026")</f>
        <v/>
      </c>
      <c r="AC79">
        <f>HYPERLINK("https://klasma.github.io/Logging_1907/tillsyn/A 31589-2026 tillsynsbegäran.docx", "A 31589-2026")</f>
        <v/>
      </c>
      <c r="AD79">
        <f>HYPERLINK("https://klasma.github.io/Logging_1907/tillsynsmail/A 31589-2026 tillsynsbegäran mail.docx", "A 31589-2026")</f>
        <v/>
      </c>
    </row>
    <row r="80" ht="15" customHeight="1">
      <c r="A80" t="inlineStr">
        <is>
          <t>A 16013-2023</t>
        </is>
      </c>
      <c r="B80" t="inlineStr">
        <is>
          <t>avverkningsanmälan</t>
        </is>
      </c>
      <c r="C80" t="inlineStr">
        <is>
          <t>Föryngringsavverkning</t>
        </is>
      </c>
      <c r="D80" s="1" t="n">
        <v>45026</v>
      </c>
      <c r="E80" s="1" t="n">
        <v>46232</v>
      </c>
      <c r="F80" t="inlineStr">
        <is>
          <t>VÄSTMANLANDS LÄN</t>
        </is>
      </c>
      <c r="G80" t="inlineStr">
        <is>
          <t>SURAHAMMAR</t>
        </is>
      </c>
      <c r="I80" t="n">
        <v>3.9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HYPERLINK("https://klasma.github.io/Logging_1907/artfynd/A 16013-2023 artfynd.xlsx", "A 16013-2023")</f>
        <v/>
      </c>
      <c r="X80">
        <f>HYPERLINK("https://klasma.github.io/Logging_1907/kartor/A 16013-2023 karta.png", "A 16013-2023")</f>
        <v/>
      </c>
      <c r="Y80">
        <f>HYPERLINK("https://klasma.github.io/Logging_1907/kartor_geotiff/A 16013-2023 georefererad karta.tif", "A 16013-2023")</f>
        <v/>
      </c>
      <c r="AA80">
        <f>HYPERLINK("https://klasma.github.io/Logging_1907/klagomål/A 16013-2023 FSC-klagomål.docx", "A 16013-2023")</f>
        <v/>
      </c>
      <c r="AB80">
        <f>HYPERLINK("https://klasma.github.io/Logging_1907/klagomålsmail/A 16013-2023 FSC-klagomål mail.docx", "A 16013-2023")</f>
        <v/>
      </c>
      <c r="AC80">
        <f>HYPERLINK("https://klasma.github.io/Logging_1907/tillsyn/A 16013-2023 tillsynsbegäran.docx", "A 16013-2023")</f>
        <v/>
      </c>
      <c r="AD80">
        <f>HYPERLINK("https://klasma.github.io/Logging_1907/tillsynsmail/A 16013-2023 tillsynsbegäran mail.docx", "A 16013-2023")</f>
        <v/>
      </c>
    </row>
    <row r="81" ht="15" customHeight="1">
      <c r="A81" t="inlineStr">
        <is>
          <t>A 47785-2021</t>
        </is>
      </c>
      <c r="B81" t="inlineStr">
        <is>
          <t>avverkningsanmälan</t>
        </is>
      </c>
      <c r="C81" t="inlineStr">
        <is>
          <t>Föryngringsavverkning</t>
        </is>
      </c>
      <c r="D81" s="1" t="n">
        <v>44448</v>
      </c>
      <c r="E81" s="1" t="n">
        <v>46232</v>
      </c>
      <c r="F81" t="inlineStr">
        <is>
          <t>VÄSTMANLANDS LÄN</t>
        </is>
      </c>
      <c r="G81" t="inlineStr">
        <is>
          <t>SURAHAMMAR</t>
        </is>
      </c>
      <c r="H81" t="inlineStr">
        <is>
          <t>Kommuner</t>
        </is>
      </c>
      <c r="I81" t="n">
        <v>3.3</v>
      </c>
      <c r="J81" t="n">
        <v>0</v>
      </c>
      <c r="K81" t="n">
        <v>0</v>
      </c>
      <c r="L81" t="n">
        <v>1</v>
      </c>
      <c r="M81" t="n">
        <v>0</v>
      </c>
      <c r="N81" t="n">
        <v>0</v>
      </c>
      <c r="O81" t="n">
        <v>0</v>
      </c>
      <c r="P81" t="n">
        <v>0</v>
      </c>
      <c r="Q81" t="n">
        <v>1</v>
      </c>
      <c r="R81" t="n">
        <v>0</v>
      </c>
      <c r="S81" t="n">
        <v>1</v>
      </c>
      <c r="T81" t="n">
        <v>1</v>
      </c>
      <c r="U81" t="n">
        <v>1</v>
      </c>
      <c r="V81" s="2" t="inlineStr">
        <is>
          <t>Motaggsvamp</t>
        </is>
      </c>
      <c r="W81">
        <f>HYPERLINK("https://klasma.github.io/Logging_1907/artfynd/A 47785-2021 artfynd.xlsx", "A 47785-2021")</f>
        <v/>
      </c>
      <c r="X81">
        <f>HYPERLINK("https://klasma.github.io/Logging_1907/kartor/A 47785-2021 karta.png", "A 47785-2021")</f>
        <v/>
      </c>
      <c r="Y81">
        <f>HYPERLINK("https://klasma.github.io/Logging_1907/kartor_geotiff/A 47785-2021 georefererad karta.tif", "A 47785-2021")</f>
        <v/>
      </c>
      <c r="AA81">
        <f>HYPERLINK("https://klasma.github.io/Logging_1907/klagomål/A 47785-2021 FSC-klagomål.docx", "A 47785-2021")</f>
        <v/>
      </c>
      <c r="AB81">
        <f>HYPERLINK("https://klasma.github.io/Logging_1907/klagomålsmail/A 47785-2021 FSC-klagomål mail.docx", "A 47785-2021")</f>
        <v/>
      </c>
      <c r="AC81">
        <f>HYPERLINK("https://klasma.github.io/Logging_1907/tillsyn/A 47785-2021 tillsynsbegäran.docx", "A 47785-2021")</f>
        <v/>
      </c>
      <c r="AD81">
        <f>HYPERLINK("https://klasma.github.io/Logging_1907/tillsynsmail/A 47785-2021 tillsynsbegäran mail.docx", "A 47785-2021")</f>
        <v/>
      </c>
    </row>
    <row r="82" ht="15" customHeight="1">
      <c r="A82" t="inlineStr">
        <is>
          <t>A 64073-2021</t>
        </is>
      </c>
      <c r="B82" t="inlineStr">
        <is>
          <t>avverkningsanmälan</t>
        </is>
      </c>
      <c r="C82" t="inlineStr">
        <is>
          <t>Avverkning för annat ändamål</t>
        </is>
      </c>
      <c r="D82" s="1" t="n">
        <v>44509</v>
      </c>
      <c r="E82" s="1" t="n">
        <v>46232</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46232</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46232</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46232</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46232</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46232</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46232</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46232</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46232</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48205-2023</t>
        </is>
      </c>
      <c r="B91" t="inlineStr">
        <is>
          <t>avverkningsanmälan</t>
        </is>
      </c>
      <c r="C91" t="inlineStr">
        <is>
          <t>Föryngringsavverkning</t>
        </is>
      </c>
      <c r="D91" s="1" t="n">
        <v>45205</v>
      </c>
      <c r="E91" s="1" t="n">
        <v>46232</v>
      </c>
      <c r="F91" t="inlineStr">
        <is>
          <t>VÄSTMANLANDS LÄN</t>
        </is>
      </c>
      <c r="G91" t="inlineStr">
        <is>
          <t>SURAHAMMAR</t>
        </is>
      </c>
      <c r="H91" t="inlineStr">
        <is>
          <t>Allmännings- och besparingsskogar</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15743-2023</t>
        </is>
      </c>
      <c r="B92" t="inlineStr">
        <is>
          <t>avverkningsanmälan</t>
        </is>
      </c>
      <c r="C92" t="inlineStr">
        <is>
          <t>Föryngringsavverkning</t>
        </is>
      </c>
      <c r="D92" s="1" t="n">
        <v>45021</v>
      </c>
      <c r="E92" s="1" t="n">
        <v>46232</v>
      </c>
      <c r="F92" t="inlineStr">
        <is>
          <t>VÄSTMANLANDS LÄN</t>
        </is>
      </c>
      <c r="G92" t="inlineStr">
        <is>
          <t>SURAHAMMAR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15637-2022</t>
        </is>
      </c>
      <c r="B93" t="inlineStr">
        <is>
          <t>avverkningsanmälan</t>
        </is>
      </c>
      <c r="C93" t="inlineStr">
        <is>
          <t>Föryngringsavverkning</t>
        </is>
      </c>
      <c r="D93" s="1" t="n">
        <v>44662</v>
      </c>
      <c r="E93" s="1" t="n">
        <v>46232</v>
      </c>
      <c r="F93" t="inlineStr">
        <is>
          <t>VÄSTMANLANDS LÄN</t>
        </is>
      </c>
      <c r="G93" t="inlineStr">
        <is>
          <t>SURAHAMMAR</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19786-2023</t>
        </is>
      </c>
      <c r="B94" t="inlineStr">
        <is>
          <t>avverkningsanmälan</t>
        </is>
      </c>
      <c r="C94" t="inlineStr">
        <is>
          <t>Föryngringsavverkning</t>
        </is>
      </c>
      <c r="D94" s="1" t="n">
        <v>45050</v>
      </c>
      <c r="E94" s="1" t="n">
        <v>46232</v>
      </c>
      <c r="F94" t="inlineStr">
        <is>
          <t>VÄSTMANLANDS LÄN</t>
        </is>
      </c>
      <c r="G94" t="inlineStr">
        <is>
          <t>SURAHAMMAR</t>
        </is>
      </c>
      <c r="H94" t="inlineStr">
        <is>
          <t>Bergvik skog väst AB</t>
        </is>
      </c>
      <c r="I94" t="n">
        <v>8.1</v>
      </c>
      <c r="J94" t="n">
        <v>0</v>
      </c>
      <c r="K94" t="n">
        <v>0</v>
      </c>
      <c r="L94" t="n">
        <v>0</v>
      </c>
      <c r="M94" t="n">
        <v>0</v>
      </c>
      <c r="N94" t="n">
        <v>0</v>
      </c>
      <c r="O94" t="n">
        <v>0</v>
      </c>
      <c r="P94" t="n">
        <v>0</v>
      </c>
      <c r="Q94" t="n">
        <v>0</v>
      </c>
      <c r="R94" t="n">
        <v>0</v>
      </c>
      <c r="S94" t="n">
        <v>0</v>
      </c>
      <c r="T94" t="n">
        <v>0</v>
      </c>
      <c r="U94" t="n">
        <v>0</v>
      </c>
      <c r="V94" s="2" t="inlineStr"/>
    </row>
    <row r="95" ht="15" customHeight="1">
      <c r="A95" t="inlineStr">
        <is>
          <t>A 7787-2024</t>
        </is>
      </c>
      <c r="B95" t="inlineStr">
        <is>
          <t>avverkningsanmälan</t>
        </is>
      </c>
      <c r="C95" t="inlineStr">
        <is>
          <t>Föryngringsavverkning</t>
        </is>
      </c>
      <c r="D95" s="1" t="n">
        <v>45348</v>
      </c>
      <c r="E95" s="1" t="n">
        <v>46232</v>
      </c>
      <c r="F95" t="inlineStr">
        <is>
          <t>VÄSTMANLANDS LÄN</t>
        </is>
      </c>
      <c r="G95" t="inlineStr">
        <is>
          <t>SURAHAMMAR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72367-2021</t>
        </is>
      </c>
      <c r="B96" t="inlineStr">
        <is>
          <t>avverkningsanmälan</t>
        </is>
      </c>
      <c r="C96" t="inlineStr">
        <is>
          <t>Föryngringsavverkning</t>
        </is>
      </c>
      <c r="D96" s="1" t="n">
        <v>44545</v>
      </c>
      <c r="E96" s="1" t="n">
        <v>46232</v>
      </c>
      <c r="F96" t="inlineStr">
        <is>
          <t>VÄSTMANLANDS LÄN</t>
        </is>
      </c>
      <c r="G96" t="inlineStr">
        <is>
          <t>SURAHAMMAR</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33931-2022</t>
        </is>
      </c>
      <c r="B97" t="inlineStr">
        <is>
          <t>avverkningsanmälan</t>
        </is>
      </c>
      <c r="C97" t="inlineStr">
        <is>
          <t>Föryngringsavverkning</t>
        </is>
      </c>
      <c r="D97" s="1" t="n">
        <v>44790</v>
      </c>
      <c r="E97" s="1" t="n">
        <v>46232</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46232</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4724-2026</t>
        </is>
      </c>
      <c r="B99" t="inlineStr">
        <is>
          <t>avverkningsanmälan</t>
        </is>
      </c>
      <c r="C99" t="inlineStr">
        <is>
          <t>Föryngringsavverkning</t>
        </is>
      </c>
      <c r="D99" s="1" t="n">
        <v>46048</v>
      </c>
      <c r="E99" s="1" t="n">
        <v>46232</v>
      </c>
      <c r="F99" t="inlineStr">
        <is>
          <t>VÄSTMANLANDS LÄN</t>
        </is>
      </c>
      <c r="G99" t="inlineStr">
        <is>
          <t>SURAHAMMAR</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4734-2026</t>
        </is>
      </c>
      <c r="B100" t="inlineStr">
        <is>
          <t>avverkningsanmälan</t>
        </is>
      </c>
      <c r="C100" t="inlineStr">
        <is>
          <t>Föryngringsavverkning</t>
        </is>
      </c>
      <c r="D100" s="1" t="n">
        <v>46048</v>
      </c>
      <c r="E100" s="1" t="n">
        <v>46232</v>
      </c>
      <c r="F100" t="inlineStr">
        <is>
          <t>VÄSTMANLANDS LÄN</t>
        </is>
      </c>
      <c r="G100" t="inlineStr">
        <is>
          <t>SURAHAMMAR</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37954-2025</t>
        </is>
      </c>
      <c r="B101" t="inlineStr">
        <is>
          <t>avverkningsanmälan</t>
        </is>
      </c>
      <c r="C101" t="inlineStr">
        <is>
          <t>Föryngringsavverkning</t>
        </is>
      </c>
      <c r="D101" s="1" t="n">
        <v>45881</v>
      </c>
      <c r="E101" s="1" t="n">
        <v>46232</v>
      </c>
      <c r="F101" t="inlineStr">
        <is>
          <t>VÄSTMANLANDS LÄN</t>
        </is>
      </c>
      <c r="G101" t="inlineStr">
        <is>
          <t>SURAHAMMAR</t>
        </is>
      </c>
      <c r="I101" t="n">
        <v>9.5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42714-2022</t>
        </is>
      </c>
      <c r="B102" t="inlineStr">
        <is>
          <t>avverkningsanmälan</t>
        </is>
      </c>
      <c r="C102" t="inlineStr">
        <is>
          <t>Föryngringsavverkning</t>
        </is>
      </c>
      <c r="D102" s="1" t="n">
        <v>44832</v>
      </c>
      <c r="E102" s="1" t="n">
        <v>46232</v>
      </c>
      <c r="F102" t="inlineStr">
        <is>
          <t>VÄSTMANLANDS LÄN</t>
        </is>
      </c>
      <c r="G102" t="inlineStr">
        <is>
          <t>SURAHAMMAR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35682-2022</t>
        </is>
      </c>
      <c r="B103" t="inlineStr">
        <is>
          <t>avverkningsanmälan</t>
        </is>
      </c>
      <c r="C103" t="inlineStr">
        <is>
          <t>Föryngringsavverkning</t>
        </is>
      </c>
      <c r="D103" s="1" t="n">
        <v>44799</v>
      </c>
      <c r="E103" s="1" t="n">
        <v>46232</v>
      </c>
      <c r="F103" t="inlineStr">
        <is>
          <t>VÄSTMANLANDS LÄN</t>
        </is>
      </c>
      <c r="G103" t="inlineStr">
        <is>
          <t>SURAHAMMAR</t>
        </is>
      </c>
      <c r="H103" t="inlineStr">
        <is>
          <t>Sveaskog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11728-2023</t>
        </is>
      </c>
      <c r="B104" t="inlineStr">
        <is>
          <t>avverkningsanmälan</t>
        </is>
      </c>
      <c r="C104" t="inlineStr">
        <is>
          <t>Avverkning för att bevara och utveckla /försöksver</t>
        </is>
      </c>
      <c r="D104" s="1" t="n">
        <v>44993</v>
      </c>
      <c r="E104" s="1" t="n">
        <v>46232</v>
      </c>
      <c r="F104" t="inlineStr">
        <is>
          <t>VÄSTMANLANDS LÄN</t>
        </is>
      </c>
      <c r="G104" t="inlineStr">
        <is>
          <t>SURAHAMMAR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5567-2022</t>
        </is>
      </c>
      <c r="B105" t="inlineStr">
        <is>
          <t>avverkningsanmälan</t>
        </is>
      </c>
      <c r="C105" t="inlineStr">
        <is>
          <t>Föryngringsavverkning</t>
        </is>
      </c>
      <c r="D105" s="1" t="n">
        <v>44595</v>
      </c>
      <c r="E105" s="1" t="n">
        <v>46232</v>
      </c>
      <c r="F105" t="inlineStr">
        <is>
          <t>VÄSTMANLANDS LÄN</t>
        </is>
      </c>
      <c r="G105" t="inlineStr">
        <is>
          <t>SURAHAMMAR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42832-2022</t>
        </is>
      </c>
      <c r="B106" t="inlineStr">
        <is>
          <t>avverkningsanmälan</t>
        </is>
      </c>
      <c r="C106" t="inlineStr">
        <is>
          <t>Avverkning för annat ändamål</t>
        </is>
      </c>
      <c r="D106" s="1" t="n">
        <v>44832</v>
      </c>
      <c r="E106" s="1" t="n">
        <v>46232</v>
      </c>
      <c r="F106" t="inlineStr">
        <is>
          <t>VÄSTMANLANDS LÄN</t>
        </is>
      </c>
      <c r="G106" t="inlineStr">
        <is>
          <t>SURAHAMMAR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24665-2023</t>
        </is>
      </c>
      <c r="B107" t="inlineStr">
        <is>
          <t>avverkningsanmälan</t>
        </is>
      </c>
      <c r="C107" t="inlineStr">
        <is>
          <t>Föryngringsavverkning</t>
        </is>
      </c>
      <c r="D107" s="1" t="n">
        <v>45084</v>
      </c>
      <c r="E107" s="1" t="n">
        <v>46232</v>
      </c>
      <c r="F107" t="inlineStr">
        <is>
          <t>VÄSTMANLANDS LÄN</t>
        </is>
      </c>
      <c r="G107" t="inlineStr">
        <is>
          <t>SURAHAMMAR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10249-2026</t>
        </is>
      </c>
      <c r="B108" t="inlineStr">
        <is>
          <t>avverkningsanmälan</t>
        </is>
      </c>
      <c r="C108" t="inlineStr">
        <is>
          <t>Föryngringsavverkning</t>
        </is>
      </c>
      <c r="D108" s="1" t="n">
        <v>46076</v>
      </c>
      <c r="E108" s="1" t="n">
        <v>46232</v>
      </c>
      <c r="F108" t="inlineStr">
        <is>
          <t>VÄSTMANLANDS LÄN</t>
        </is>
      </c>
      <c r="G108" t="inlineStr">
        <is>
          <t>SURAHAMMAR</t>
        </is>
      </c>
      <c r="H108" t="inlineStr">
        <is>
          <t>Allmännings- och besparingsskogar</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55873-2025</t>
        </is>
      </c>
      <c r="B109" t="inlineStr">
        <is>
          <t>avverkningsanmälan</t>
        </is>
      </c>
      <c r="C109" t="inlineStr">
        <is>
          <t>Föryngringsavverkning</t>
        </is>
      </c>
      <c r="D109" s="1" t="n">
        <v>45973</v>
      </c>
      <c r="E109" s="1" t="n">
        <v>46232</v>
      </c>
      <c r="F109" t="inlineStr">
        <is>
          <t>VÄSTMANLANDS LÄN</t>
        </is>
      </c>
      <c r="G109" t="inlineStr">
        <is>
          <t>SURAHAMMAR</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10244-2026</t>
        </is>
      </c>
      <c r="B110" t="inlineStr">
        <is>
          <t>avverkningsanmälan</t>
        </is>
      </c>
      <c r="C110" t="inlineStr">
        <is>
          <t>Föryngringsavverkning</t>
        </is>
      </c>
      <c r="D110" s="1" t="n">
        <v>46076</v>
      </c>
      <c r="E110" s="1" t="n">
        <v>46232</v>
      </c>
      <c r="F110" t="inlineStr">
        <is>
          <t>VÄSTMANLANDS LÄN</t>
        </is>
      </c>
      <c r="G110" t="inlineStr">
        <is>
          <t>SURAHAMMAR</t>
        </is>
      </c>
      <c r="H110" t="inlineStr">
        <is>
          <t>Allmännings- och besparingsskogar</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10562-2026</t>
        </is>
      </c>
      <c r="B111" t="inlineStr">
        <is>
          <t>avverkningsanmälan</t>
        </is>
      </c>
      <c r="C111" t="inlineStr">
        <is>
          <t>Föryngringsavverkning</t>
        </is>
      </c>
      <c r="D111" s="1" t="n">
        <v>46077</v>
      </c>
      <c r="E111" s="1" t="n">
        <v>46232</v>
      </c>
      <c r="F111" t="inlineStr">
        <is>
          <t>VÄSTMANLANDS LÄN</t>
        </is>
      </c>
      <c r="G111" t="inlineStr">
        <is>
          <t>SURAHAMMAR</t>
        </is>
      </c>
      <c r="H111" t="inlineStr">
        <is>
          <t>Övriga Aktiebolag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42841-2022</t>
        </is>
      </c>
      <c r="B112" t="inlineStr">
        <is>
          <t>avverkningsanmälan</t>
        </is>
      </c>
      <c r="C112" t="inlineStr">
        <is>
          <t>Avverkning för annat ändamål</t>
        </is>
      </c>
      <c r="D112" s="1" t="n">
        <v>44832</v>
      </c>
      <c r="E112" s="1" t="n">
        <v>46232</v>
      </c>
      <c r="F112" t="inlineStr">
        <is>
          <t>VÄSTMANLANDS LÄN</t>
        </is>
      </c>
      <c r="G112" t="inlineStr">
        <is>
          <t>SURAHAMMAR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42829-2022</t>
        </is>
      </c>
      <c r="B113" t="inlineStr">
        <is>
          <t>avverkningsanmälan</t>
        </is>
      </c>
      <c r="C113" t="inlineStr">
        <is>
          <t>Avverkning för annat ändamål</t>
        </is>
      </c>
      <c r="D113" s="1" t="n">
        <v>44832</v>
      </c>
      <c r="E113" s="1" t="n">
        <v>46232</v>
      </c>
      <c r="F113" t="inlineStr">
        <is>
          <t>VÄSTMANLANDS LÄN</t>
        </is>
      </c>
      <c r="G113" t="inlineStr">
        <is>
          <t>SURAHAMMAR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10347-2026</t>
        </is>
      </c>
      <c r="B114" t="inlineStr">
        <is>
          <t>avverkningsanmälan</t>
        </is>
      </c>
      <c r="C114" t="inlineStr">
        <is>
          <t>Föryngringsavverkning</t>
        </is>
      </c>
      <c r="D114" s="1" t="n">
        <v>46076</v>
      </c>
      <c r="E114" s="1" t="n">
        <v>46232</v>
      </c>
      <c r="F114" t="inlineStr">
        <is>
          <t>VÄSTMANLANDS LÄN</t>
        </is>
      </c>
      <c r="G114" t="inlineStr">
        <is>
          <t>SURAHAMMAR</t>
        </is>
      </c>
      <c r="H114" t="inlineStr">
        <is>
          <t>Allmännings- och besparingsskogar</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2867-2024</t>
        </is>
      </c>
      <c r="B115" t="inlineStr">
        <is>
          <t>avverkningsanmälan</t>
        </is>
      </c>
      <c r="C115" t="inlineStr">
        <is>
          <t>Föryngringsavverkning</t>
        </is>
      </c>
      <c r="D115" s="1" t="n">
        <v>45315</v>
      </c>
      <c r="E115" s="1" t="n">
        <v>46232</v>
      </c>
      <c r="F115" t="inlineStr">
        <is>
          <t>VÄSTMANLANDS LÄN</t>
        </is>
      </c>
      <c r="G115" t="inlineStr">
        <is>
          <t>SURAHAMMAR</t>
        </is>
      </c>
      <c r="H115" t="inlineStr">
        <is>
          <t>Bergvik skog väst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12841-2026</t>
        </is>
      </c>
      <c r="B116" t="inlineStr">
        <is>
          <t>avverkningsanmälan</t>
        </is>
      </c>
      <c r="C116" t="inlineStr">
        <is>
          <t>Föryngringsavverkning</t>
        </is>
      </c>
      <c r="D116" s="1" t="n">
        <v>46091</v>
      </c>
      <c r="E116" s="1" t="n">
        <v>46232</v>
      </c>
      <c r="F116" t="inlineStr">
        <is>
          <t>VÄSTMANLANDS LÄN</t>
        </is>
      </c>
      <c r="G116" t="inlineStr">
        <is>
          <t>SURAHAMMAR</t>
        </is>
      </c>
      <c r="H116" t="inlineStr">
        <is>
          <t>Bergvik skog väst AB</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3085-2023</t>
        </is>
      </c>
      <c r="B117" t="inlineStr">
        <is>
          <t>avverkningsanmälan</t>
        </is>
      </c>
      <c r="C117" t="inlineStr">
        <is>
          <t>Föryngringsavverkning</t>
        </is>
      </c>
      <c r="D117" s="1" t="n">
        <v>44946</v>
      </c>
      <c r="E117" s="1" t="n">
        <v>46232</v>
      </c>
      <c r="F117" t="inlineStr">
        <is>
          <t>VÄSTMANLANDS LÄN</t>
        </is>
      </c>
      <c r="G117" t="inlineStr">
        <is>
          <t>SURAHAMMAR</t>
        </is>
      </c>
      <c r="H117" t="inlineStr">
        <is>
          <t>Kyrkan</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20904-2023</t>
        </is>
      </c>
      <c r="B118" t="inlineStr">
        <is>
          <t>avverkningsanmälan</t>
        </is>
      </c>
      <c r="C118" t="inlineStr">
        <is>
          <t>Avverkning för att bevara och utveckla /försöksver</t>
        </is>
      </c>
      <c r="D118" s="1" t="n">
        <v>45060</v>
      </c>
      <c r="E118" s="1" t="n">
        <v>46232</v>
      </c>
      <c r="F118" t="inlineStr">
        <is>
          <t>VÄSTMANLANDS LÄN</t>
        </is>
      </c>
      <c r="G118" t="inlineStr">
        <is>
          <t>SURAHAMMAR</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46232</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19246-2026</t>
        </is>
      </c>
      <c r="B120" t="inlineStr">
        <is>
          <t>avverkningsanmälan</t>
        </is>
      </c>
      <c r="C120" t="inlineStr">
        <is>
          <t>Avverkning för annat ändamål</t>
        </is>
      </c>
      <c r="D120" s="1" t="n">
        <v>46132</v>
      </c>
      <c r="E120" s="1" t="n">
        <v>46232</v>
      </c>
      <c r="F120" t="inlineStr">
        <is>
          <t>VÄSTMANLANDS LÄN</t>
        </is>
      </c>
      <c r="G120" t="inlineStr">
        <is>
          <t>SURAHAMMAR</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46232</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14626-2023</t>
        </is>
      </c>
      <c r="B122" t="inlineStr">
        <is>
          <t>avverkningsanmälan</t>
        </is>
      </c>
      <c r="C122" t="inlineStr">
        <is>
          <t>Föryngringsavverkning</t>
        </is>
      </c>
      <c r="D122" s="1" t="n">
        <v>45012</v>
      </c>
      <c r="E122" s="1" t="n">
        <v>46232</v>
      </c>
      <c r="F122" t="inlineStr">
        <is>
          <t>VÄSTMANLANDS LÄN</t>
        </is>
      </c>
      <c r="G122" t="inlineStr">
        <is>
          <t>SURAHAMMAR</t>
        </is>
      </c>
      <c r="H122" t="inlineStr">
        <is>
          <t>Bergvik skog väst AB</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49058-2024</t>
        </is>
      </c>
      <c r="B123" t="inlineStr">
        <is>
          <t>avverkningsanmälan</t>
        </is>
      </c>
      <c r="C123" t="inlineStr">
        <is>
          <t>Föryngringsavverkning</t>
        </is>
      </c>
      <c r="D123" s="1" t="n">
        <v>45594</v>
      </c>
      <c r="E123" s="1" t="n">
        <v>46232</v>
      </c>
      <c r="F123" t="inlineStr">
        <is>
          <t>VÄSTMANLANDS LÄN</t>
        </is>
      </c>
      <c r="G123" t="inlineStr">
        <is>
          <t>SURAHAMMAR</t>
        </is>
      </c>
      <c r="H123" t="inlineStr">
        <is>
          <t>Sveaskog</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20535-2026</t>
        </is>
      </c>
      <c r="B124" t="inlineStr">
        <is>
          <t>avverkningsanmälan</t>
        </is>
      </c>
      <c r="C124" t="inlineStr">
        <is>
          <t>Avverkning för annat ändamål</t>
        </is>
      </c>
      <c r="D124" s="1" t="n">
        <v>46140</v>
      </c>
      <c r="E124" s="1" t="n">
        <v>46232</v>
      </c>
      <c r="F124" t="inlineStr">
        <is>
          <t>VÄSTMANLANDS LÄN</t>
        </is>
      </c>
      <c r="G124" t="inlineStr">
        <is>
          <t>SURAHAMMAR</t>
        </is>
      </c>
      <c r="H124" t="inlineStr">
        <is>
          <t>Bergvik skog väst AB</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25450-2024</t>
        </is>
      </c>
      <c r="B125" t="inlineStr">
        <is>
          <t>avverkningsanmälan</t>
        </is>
      </c>
      <c r="C125" t="inlineStr">
        <is>
          <t>Föryngringsavverkning</t>
        </is>
      </c>
      <c r="D125" s="1" t="n">
        <v>45463</v>
      </c>
      <c r="E125" s="1" t="n">
        <v>46232</v>
      </c>
      <c r="F125" t="inlineStr">
        <is>
          <t>VÄSTMANLANDS LÄN</t>
        </is>
      </c>
      <c r="G125" t="inlineStr">
        <is>
          <t>SURAHAMMAR</t>
        </is>
      </c>
      <c r="H125" t="inlineStr">
        <is>
          <t>Bergvik skog väst AB</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19782-2023</t>
        </is>
      </c>
      <c r="B126" t="inlineStr">
        <is>
          <t>avverkningsanmälan</t>
        </is>
      </c>
      <c r="C126" t="inlineStr">
        <is>
          <t>Föryngringsavverkning</t>
        </is>
      </c>
      <c r="D126" s="1" t="n">
        <v>45050</v>
      </c>
      <c r="E126" s="1" t="n">
        <v>46232</v>
      </c>
      <c r="F126" t="inlineStr">
        <is>
          <t>VÄSTMANLANDS LÄN</t>
        </is>
      </c>
      <c r="G126" t="inlineStr">
        <is>
          <t>SURAHAMMAR</t>
        </is>
      </c>
      <c r="H126" t="inlineStr">
        <is>
          <t>Bergvik skog väst AB</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7848-2022</t>
        </is>
      </c>
      <c r="B127" t="inlineStr">
        <is>
          <t>avverkningsanmälan</t>
        </is>
      </c>
      <c r="C127" t="inlineStr">
        <is>
          <t>Föryngringsavverkning</t>
        </is>
      </c>
      <c r="D127" s="1" t="n">
        <v>44608</v>
      </c>
      <c r="E127" s="1" t="n">
        <v>46232</v>
      </c>
      <c r="F127" t="inlineStr">
        <is>
          <t>VÄSTMANLANDS LÄN</t>
        </is>
      </c>
      <c r="G127" t="inlineStr">
        <is>
          <t>SURAHAMMAR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22626-2026</t>
        </is>
      </c>
      <c r="B128" t="inlineStr">
        <is>
          <t>avverkningsanmälan</t>
        </is>
      </c>
      <c r="C128" t="inlineStr">
        <is>
          <t>Föryngringsavverkning</t>
        </is>
      </c>
      <c r="D128" s="1" t="n">
        <v>46155</v>
      </c>
      <c r="E128" s="1" t="n">
        <v>46232</v>
      </c>
      <c r="F128" t="inlineStr">
        <is>
          <t>VÄSTMANLANDS LÄN</t>
        </is>
      </c>
      <c r="G128" t="inlineStr">
        <is>
          <t>SURAHAMMAR</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22630-2026</t>
        </is>
      </c>
      <c r="B129" t="inlineStr">
        <is>
          <t>avverkningsanmälan</t>
        </is>
      </c>
      <c r="C129" t="inlineStr">
        <is>
          <t>Föryngringsavverkning</t>
        </is>
      </c>
      <c r="D129" s="1" t="n">
        <v>46155</v>
      </c>
      <c r="E129" s="1" t="n">
        <v>46232</v>
      </c>
      <c r="F129" t="inlineStr">
        <is>
          <t>VÄSTMANLANDS LÄN</t>
        </is>
      </c>
      <c r="G129" t="inlineStr">
        <is>
          <t>SURAHAMMAR</t>
        </is>
      </c>
      <c r="H129" t="inlineStr">
        <is>
          <t>Sveaskog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22628-2026</t>
        </is>
      </c>
      <c r="B130" t="inlineStr">
        <is>
          <t>avverkningsanmälan</t>
        </is>
      </c>
      <c r="C130" t="inlineStr">
        <is>
          <t>Föryngringsavverkning</t>
        </is>
      </c>
      <c r="D130" s="1" t="n">
        <v>46155</v>
      </c>
      <c r="E130" s="1" t="n">
        <v>46232</v>
      </c>
      <c r="F130" t="inlineStr">
        <is>
          <t>VÄSTMANLANDS LÄN</t>
        </is>
      </c>
      <c r="G130" t="inlineStr">
        <is>
          <t>SURAHAMMAR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56378-2023</t>
        </is>
      </c>
      <c r="B131" t="inlineStr">
        <is>
          <t>avverkningsanmälan</t>
        </is>
      </c>
      <c r="C131" t="inlineStr">
        <is>
          <t>Föryngringsavverkning</t>
        </is>
      </c>
      <c r="D131" s="1" t="n">
        <v>45236</v>
      </c>
      <c r="E131" s="1" t="n">
        <v>46232</v>
      </c>
      <c r="F131" t="inlineStr">
        <is>
          <t>VÄSTMANLANDS LÄN</t>
        </is>
      </c>
      <c r="G131" t="inlineStr">
        <is>
          <t>SURAHAMMAR</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19099-2022</t>
        </is>
      </c>
      <c r="B132" t="inlineStr">
        <is>
          <t>avverkningsanmälan</t>
        </is>
      </c>
      <c r="C132" t="inlineStr">
        <is>
          <t>Föryngringsavverkning</t>
        </is>
      </c>
      <c r="D132" s="1" t="n">
        <v>44691</v>
      </c>
      <c r="E132" s="1" t="n">
        <v>46232</v>
      </c>
      <c r="F132" t="inlineStr">
        <is>
          <t>VÄSTMANLANDS LÄN</t>
        </is>
      </c>
      <c r="G132" t="inlineStr">
        <is>
          <t>SURAHAMMAR</t>
        </is>
      </c>
      <c r="H132" t="inlineStr">
        <is>
          <t>Övriga Aktiebolag</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3818-2022</t>
        </is>
      </c>
      <c r="B133" t="inlineStr">
        <is>
          <t>avverkningsanmälan</t>
        </is>
      </c>
      <c r="C133" t="inlineStr">
        <is>
          <t>Föryngringsavverkning</t>
        </is>
      </c>
      <c r="D133" s="1" t="n">
        <v>44587</v>
      </c>
      <c r="E133" s="1" t="n">
        <v>46232</v>
      </c>
      <c r="F133" t="inlineStr">
        <is>
          <t>VÄSTMANLANDS LÄN</t>
        </is>
      </c>
      <c r="G133" t="inlineStr">
        <is>
          <t>SURAHAMMAR</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24201-2026</t>
        </is>
      </c>
      <c r="B134" t="inlineStr">
        <is>
          <t>avverkningsanmälan</t>
        </is>
      </c>
      <c r="C134" t="inlineStr">
        <is>
          <t>Föryngringsavverkning</t>
        </is>
      </c>
      <c r="D134" s="1" t="n">
        <v>46168</v>
      </c>
      <c r="E134" s="1" t="n">
        <v>46232</v>
      </c>
      <c r="F134" t="inlineStr">
        <is>
          <t>VÄSTMANLANDS LÄN</t>
        </is>
      </c>
      <c r="G134" t="inlineStr">
        <is>
          <t>SURAHAMMAR</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31061-2026</t>
        </is>
      </c>
      <c r="B135" t="inlineStr">
        <is>
          <t>avverkningsanmälan</t>
        </is>
      </c>
      <c r="C135" t="inlineStr">
        <is>
          <t>Föryngringsavverkning</t>
        </is>
      </c>
      <c r="D135" s="1" t="n">
        <v>46215</v>
      </c>
      <c r="E135" s="1" t="n">
        <v>46232</v>
      </c>
      <c r="F135" t="inlineStr">
        <is>
          <t>VÄSTMANLANDS LÄN</t>
        </is>
      </c>
      <c r="G135" t="inlineStr">
        <is>
          <t>SURAHAMMAR</t>
        </is>
      </c>
      <c r="H135" t="inlineStr">
        <is>
          <t>Sveaskog</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21509-2024</t>
        </is>
      </c>
      <c r="B136" t="inlineStr">
        <is>
          <t>avverkningsanmälan</t>
        </is>
      </c>
      <c r="C136" t="inlineStr">
        <is>
          <t>Föryngringsavverkning</t>
        </is>
      </c>
      <c r="D136" s="1" t="n">
        <v>45441</v>
      </c>
      <c r="E136" s="1" t="n">
        <v>46232</v>
      </c>
      <c r="F136" t="inlineStr">
        <is>
          <t>VÄSTMANLANDS LÄN</t>
        </is>
      </c>
      <c r="G136" t="inlineStr">
        <is>
          <t>SURAHAMMAR</t>
        </is>
      </c>
      <c r="H136" t="inlineStr">
        <is>
          <t>Bergvik skog väst AB</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46232</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25780-2023</t>
        </is>
      </c>
      <c r="B138" t="inlineStr">
        <is>
          <t>avverkningsanmälan</t>
        </is>
      </c>
      <c r="C138" t="inlineStr">
        <is>
          <t>Föryngringsavverkning</t>
        </is>
      </c>
      <c r="D138" s="1" t="n">
        <v>45090</v>
      </c>
      <c r="E138" s="1" t="n">
        <v>46232</v>
      </c>
      <c r="F138" t="inlineStr">
        <is>
          <t>VÄSTMANLANDS LÄN</t>
        </is>
      </c>
      <c r="G138" t="inlineStr">
        <is>
          <t>SURAHAMMAR</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15739-2023</t>
        </is>
      </c>
      <c r="B139" t="inlineStr">
        <is>
          <t>avverkningsanmälan</t>
        </is>
      </c>
      <c r="C139" t="inlineStr">
        <is>
          <t>Föryngringsavverkning</t>
        </is>
      </c>
      <c r="D139" s="1" t="n">
        <v>45021</v>
      </c>
      <c r="E139" s="1" t="n">
        <v>46232</v>
      </c>
      <c r="F139" t="inlineStr">
        <is>
          <t>VÄSTMANLANDS LÄN</t>
        </is>
      </c>
      <c r="G139" t="inlineStr">
        <is>
          <t>SURAHAMMAR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3543-2022</t>
        </is>
      </c>
      <c r="B140" t="inlineStr">
        <is>
          <t>samrådsanmälan</t>
        </is>
      </c>
      <c r="C140" t="inlineStr">
        <is>
          <t>Skogsbilväg</t>
        </is>
      </c>
      <c r="D140" s="1" t="n">
        <v>44734</v>
      </c>
      <c r="E140" s="1" t="n">
        <v>46232</v>
      </c>
      <c r="F140" t="inlineStr">
        <is>
          <t>VÄSTMANLANDS LÄN</t>
        </is>
      </c>
      <c r="G140" t="inlineStr">
        <is>
          <t>SURAHAMMAR</t>
        </is>
      </c>
      <c r="H140" t="inlineStr">
        <is>
          <t>Bergvik skog väst AB</t>
        </is>
      </c>
      <c r="I140" t="n">
        <v>1.1</v>
      </c>
      <c r="J140" t="n">
        <v>0</v>
      </c>
      <c r="K140" t="n">
        <v>0</v>
      </c>
      <c r="L140" t="n">
        <v>0</v>
      </c>
      <c r="M140" t="n">
        <v>0</v>
      </c>
      <c r="N140" t="n">
        <v>0</v>
      </c>
      <c r="O140" t="n">
        <v>0</v>
      </c>
      <c r="P140" t="n">
        <v>0</v>
      </c>
      <c r="Q140" t="n">
        <v>0</v>
      </c>
      <c r="R140" t="n">
        <v>0</v>
      </c>
      <c r="S140" t="n">
        <v>0</v>
      </c>
      <c r="T140" t="n">
        <v>0</v>
      </c>
      <c r="U140" t="n">
        <v>0</v>
      </c>
      <c r="V140" s="2" t="inlineStr"/>
    </row>
    <row r="141">
      <c r="A141" t="inlineStr">
        <is>
          <t>S 3542-2022</t>
        </is>
      </c>
      <c r="B141" t="inlineStr">
        <is>
          <t>samrådsanmälan</t>
        </is>
      </c>
      <c r="C141" t="inlineStr">
        <is>
          <t>Skogsbilväg</t>
        </is>
      </c>
      <c r="D141" s="1" t="n">
        <v>44734</v>
      </c>
      <c r="E141" s="1" t="n">
        <v>46232</v>
      </c>
      <c r="F141" t="inlineStr">
        <is>
          <t>VÄSTMANLANDS LÄN</t>
        </is>
      </c>
      <c r="G141" t="inlineStr">
        <is>
          <t>SURAHAMMAR</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2026-07-29T01:50:18Z</dcterms:created>
  <dcterms:modified xmlns:dcterms="http://purl.org/dc/terms/" xmlns:xsi="http://www.w3.org/2001/XMLSchema-instance" xsi:type="dcterms:W3CDTF">2026-07-29T01:50:18Z</dcterms:modified>
</cp:coreProperties>
</file>