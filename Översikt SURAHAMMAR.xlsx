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46064</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46064</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46064</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46064</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46064</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46064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46064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46064</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46064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46064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46064</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46064</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46064</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46064</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46064</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46064</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46064</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46064</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46064</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46064</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39694-2025</t>
        </is>
      </c>
      <c r="B29" s="1" t="n">
        <v>45890</v>
      </c>
      <c r="C29" s="1" t="n">
        <v>46064</v>
      </c>
      <c r="D29" t="inlineStr">
        <is>
          <t>VÄSTMANLANDS LÄN</t>
        </is>
      </c>
      <c r="E29" t="inlineStr">
        <is>
          <t>SURAHAMMAR</t>
        </is>
      </c>
      <c r="F29" t="inlineStr">
        <is>
          <t>Bergvik skog väst AB</t>
        </is>
      </c>
      <c r="G29" t="n">
        <v>2.9</v>
      </c>
      <c r="H29" t="n">
        <v>1</v>
      </c>
      <c r="I29" t="n">
        <v>1</v>
      </c>
      <c r="J29" t="n">
        <v>1</v>
      </c>
      <c r="K29" t="n">
        <v>0</v>
      </c>
      <c r="L29" t="n">
        <v>0</v>
      </c>
      <c r="M29" t="n">
        <v>0</v>
      </c>
      <c r="N29" t="n">
        <v>0</v>
      </c>
      <c r="O29" t="n">
        <v>1</v>
      </c>
      <c r="P29" t="n">
        <v>0</v>
      </c>
      <c r="Q29" t="n">
        <v>3</v>
      </c>
      <c r="R29" s="2" t="inlineStr">
        <is>
          <t>Motaggsvamp
Mindre märgborre
Tjäder</t>
        </is>
      </c>
      <c r="S29">
        <f>HYPERLINK("https://klasma.github.io/Logging_1907/artfynd/A 39694-2025 artfynd.xlsx", "A 39694-2025")</f>
        <v/>
      </c>
      <c r="T29">
        <f>HYPERLINK("https://klasma.github.io/Logging_1907/kartor/A 39694-2025 karta.png", "A 39694-2025")</f>
        <v/>
      </c>
      <c r="V29">
        <f>HYPERLINK("https://klasma.github.io/Logging_1907/klagomål/A 39694-2025 FSC-klagomål.docx", "A 39694-2025")</f>
        <v/>
      </c>
      <c r="W29">
        <f>HYPERLINK("https://klasma.github.io/Logging_1907/klagomålsmail/A 39694-2025 FSC-klagomål mail.docx", "A 39694-2025")</f>
        <v/>
      </c>
      <c r="X29">
        <f>HYPERLINK("https://klasma.github.io/Logging_1907/tillsyn/A 39694-2025 tillsynsbegäran.docx", "A 39694-2025")</f>
        <v/>
      </c>
      <c r="Y29">
        <f>HYPERLINK("https://klasma.github.io/Logging_1907/tillsynsmail/A 39694-2025 tillsynsbegäran mail.docx", "A 39694-2025")</f>
        <v/>
      </c>
      <c r="Z29">
        <f>HYPERLINK("https://klasma.github.io/Logging_1907/fåglar/A 39694-2025 prioriterade fågelarter.docx", "A 39694-2025")</f>
        <v/>
      </c>
    </row>
    <row r="30" ht="15" customHeight="1">
      <c r="A30" t="inlineStr">
        <is>
          <t>A 42860-2022</t>
        </is>
      </c>
      <c r="B30" s="1" t="n">
        <v>44832</v>
      </c>
      <c r="C30" s="1" t="n">
        <v>46064</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46064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46064</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46064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46064</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46064</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46064</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46064</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46064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46064</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21618-2025</t>
        </is>
      </c>
      <c r="B40" s="1" t="n">
        <v>45783</v>
      </c>
      <c r="C40" s="1" t="n">
        <v>46064</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41576-2022</t>
        </is>
      </c>
      <c r="B41" s="1" t="n">
        <v>44826</v>
      </c>
      <c r="C41" s="1" t="n">
        <v>46064</v>
      </c>
      <c r="D41" t="inlineStr">
        <is>
          <t>VÄSTMANLANDS LÄN</t>
        </is>
      </c>
      <c r="E41" t="inlineStr">
        <is>
          <t>SURAHAMMAR</t>
        </is>
      </c>
      <c r="F41" t="inlineStr">
        <is>
          <t>Bergvik skog väst AB</t>
        </is>
      </c>
      <c r="G41" t="n">
        <v>6.4</v>
      </c>
      <c r="H41" t="n">
        <v>2</v>
      </c>
      <c r="I41" t="n">
        <v>0</v>
      </c>
      <c r="J41" t="n">
        <v>1</v>
      </c>
      <c r="K41" t="n">
        <v>0</v>
      </c>
      <c r="L41" t="n">
        <v>0</v>
      </c>
      <c r="M41" t="n">
        <v>0</v>
      </c>
      <c r="N41" t="n">
        <v>0</v>
      </c>
      <c r="O41" t="n">
        <v>1</v>
      </c>
      <c r="P41" t="n">
        <v>0</v>
      </c>
      <c r="Q41" t="n">
        <v>2</v>
      </c>
      <c r="R41" s="2" t="inlineStr">
        <is>
          <t>Talltita
Kungsfågel</t>
        </is>
      </c>
      <c r="S41">
        <f>HYPERLINK("https://klasma.github.io/Logging_1907/artfynd/A 41576-2022 artfynd.xlsx", "A 41576-2022")</f>
        <v/>
      </c>
      <c r="T41">
        <f>HYPERLINK("https://klasma.github.io/Logging_1907/kartor/A 41576-2022 karta.png", "A 41576-2022")</f>
        <v/>
      </c>
      <c r="V41">
        <f>HYPERLINK("https://klasma.github.io/Logging_1907/klagomål/A 41576-2022 FSC-klagomål.docx", "A 41576-2022")</f>
        <v/>
      </c>
      <c r="W41">
        <f>HYPERLINK("https://klasma.github.io/Logging_1907/klagomålsmail/A 41576-2022 FSC-klagomål mail.docx", "A 41576-2022")</f>
        <v/>
      </c>
      <c r="X41">
        <f>HYPERLINK("https://klasma.github.io/Logging_1907/tillsyn/A 41576-2022 tillsynsbegäran.docx", "A 41576-2022")</f>
        <v/>
      </c>
      <c r="Y41">
        <f>HYPERLINK("https://klasma.github.io/Logging_1907/tillsynsmail/A 41576-2022 tillsynsbegäran mail.docx", "A 41576-2022")</f>
        <v/>
      </c>
      <c r="Z41">
        <f>HYPERLINK("https://klasma.github.io/Logging_1907/fåglar/A 41576-2022 prioriterade fågelarter.docx", "A 41576-2022")</f>
        <v/>
      </c>
    </row>
    <row r="42" ht="15" customHeight="1">
      <c r="A42" t="inlineStr">
        <is>
          <t>A 62097-2024</t>
        </is>
      </c>
      <c r="B42" s="1" t="n">
        <v>45646</v>
      </c>
      <c r="C42" s="1" t="n">
        <v>46064</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37800-2021</t>
        </is>
      </c>
      <c r="B43" s="1" t="n">
        <v>44402</v>
      </c>
      <c r="C43" s="1" t="n">
        <v>46064</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63146-2025</t>
        </is>
      </c>
      <c r="B44" s="1" t="n">
        <v>46009</v>
      </c>
      <c r="C44" s="1" t="n">
        <v>46064</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4082-2025</t>
        </is>
      </c>
      <c r="B45" s="1" t="n">
        <v>45684</v>
      </c>
      <c r="C45" s="1" t="n">
        <v>46064</v>
      </c>
      <c r="D45" t="inlineStr">
        <is>
          <t>VÄSTMANLANDS LÄN</t>
        </is>
      </c>
      <c r="E45" t="inlineStr">
        <is>
          <t>SURAHAMMAR</t>
        </is>
      </c>
      <c r="F45" t="inlineStr">
        <is>
          <t>Bergvik skog väst AB</t>
        </is>
      </c>
      <c r="G45" t="n">
        <v>11.6</v>
      </c>
      <c r="H45" t="n">
        <v>1</v>
      </c>
      <c r="I45" t="n">
        <v>2</v>
      </c>
      <c r="J45" t="n">
        <v>0</v>
      </c>
      <c r="K45" t="n">
        <v>0</v>
      </c>
      <c r="L45" t="n">
        <v>0</v>
      </c>
      <c r="M45" t="n">
        <v>0</v>
      </c>
      <c r="N45" t="n">
        <v>0</v>
      </c>
      <c r="O45" t="n">
        <v>0</v>
      </c>
      <c r="P45" t="n">
        <v>0</v>
      </c>
      <c r="Q45" t="n">
        <v>2</v>
      </c>
      <c r="R45" s="2" t="inlineStr">
        <is>
          <t>Grönpyrola
Plattlummer</t>
        </is>
      </c>
      <c r="S45">
        <f>HYPERLINK("https://klasma.github.io/Logging_1907/artfynd/A 4082-2025 artfynd.xlsx", "A 4082-2025")</f>
        <v/>
      </c>
      <c r="T45">
        <f>HYPERLINK("https://klasma.github.io/Logging_1907/kartor/A 4082-2025 karta.png", "A 4082-2025")</f>
        <v/>
      </c>
      <c r="V45">
        <f>HYPERLINK("https://klasma.github.io/Logging_1907/klagomål/A 4082-2025 FSC-klagomål.docx", "A 4082-2025")</f>
        <v/>
      </c>
      <c r="W45">
        <f>HYPERLINK("https://klasma.github.io/Logging_1907/klagomålsmail/A 4082-2025 FSC-klagomål mail.docx", "A 4082-2025")</f>
        <v/>
      </c>
      <c r="X45">
        <f>HYPERLINK("https://klasma.github.io/Logging_1907/tillsyn/A 4082-2025 tillsynsbegäran.docx", "A 4082-2025")</f>
        <v/>
      </c>
      <c r="Y45">
        <f>HYPERLINK("https://klasma.github.io/Logging_1907/tillsynsmail/A 4082-2025 tillsynsbegäran mail.docx", "A 4082-2025")</f>
        <v/>
      </c>
    </row>
    <row r="46" ht="15" customHeight="1">
      <c r="A46" t="inlineStr">
        <is>
          <t>A 41204-2023</t>
        </is>
      </c>
      <c r="B46" s="1" t="n">
        <v>45174</v>
      </c>
      <c r="C46" s="1" t="n">
        <v>46064</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38170-2021</t>
        </is>
      </c>
      <c r="B47" s="1" t="n">
        <v>44405.43472222222</v>
      </c>
      <c r="C47" s="1" t="n">
        <v>46064</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46064</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46064</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46064</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31176-2024</t>
        </is>
      </c>
      <c r="B51" s="1" t="n">
        <v>45503</v>
      </c>
      <c r="C51" s="1" t="n">
        <v>46064</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30074-2023</t>
        </is>
      </c>
      <c r="B52" s="1" t="n">
        <v>45110</v>
      </c>
      <c r="C52" s="1" t="n">
        <v>46064</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46064</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34582-2025</t>
        </is>
      </c>
      <c r="B54" s="1" t="n">
        <v>45846</v>
      </c>
      <c r="C54" s="1" t="n">
        <v>46064</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43451-2024</t>
        </is>
      </c>
      <c r="B55" s="1" t="n">
        <v>45568</v>
      </c>
      <c r="C55" s="1" t="n">
        <v>46064</v>
      </c>
      <c r="D55" t="inlineStr">
        <is>
          <t>VÄSTMANLANDS LÄN</t>
        </is>
      </c>
      <c r="E55" t="inlineStr">
        <is>
          <t>SURAHAMMAR</t>
        </is>
      </c>
      <c r="F55" t="inlineStr">
        <is>
          <t>Bergvik skog väst AB</t>
        </is>
      </c>
      <c r="G55" t="n">
        <v>2.9</v>
      </c>
      <c r="H55" t="n">
        <v>0</v>
      </c>
      <c r="I55" t="n">
        <v>0</v>
      </c>
      <c r="J55" t="n">
        <v>1</v>
      </c>
      <c r="K55" t="n">
        <v>0</v>
      </c>
      <c r="L55" t="n">
        <v>0</v>
      </c>
      <c r="M55" t="n">
        <v>0</v>
      </c>
      <c r="N55" t="n">
        <v>0</v>
      </c>
      <c r="O55" t="n">
        <v>1</v>
      </c>
      <c r="P55" t="n">
        <v>0</v>
      </c>
      <c r="Q55" t="n">
        <v>1</v>
      </c>
      <c r="R55" s="2" t="inlineStr">
        <is>
          <t>Ullticka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42089-2025</t>
        </is>
      </c>
      <c r="B56" s="1" t="n">
        <v>45902</v>
      </c>
      <c r="C56" s="1" t="n">
        <v>46064</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56362-2023</t>
        </is>
      </c>
      <c r="B57" s="1" t="n">
        <v>45236</v>
      </c>
      <c r="C57" s="1" t="n">
        <v>46064</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46064</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13788-2025</t>
        </is>
      </c>
      <c r="B59" s="1" t="n">
        <v>45737.45327546296</v>
      </c>
      <c r="C59" s="1" t="n">
        <v>46064</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25583-2024</t>
        </is>
      </c>
      <c r="B60" s="1" t="n">
        <v>45463</v>
      </c>
      <c r="C60" s="1" t="n">
        <v>46064</v>
      </c>
      <c r="D60" t="inlineStr">
        <is>
          <t>VÄSTMANLANDS LÄN</t>
        </is>
      </c>
      <c r="E60" t="inlineStr">
        <is>
          <t>SURAHAMMAR</t>
        </is>
      </c>
      <c r="F60" t="inlineStr">
        <is>
          <t>Bergvik skog väst AB</t>
        </is>
      </c>
      <c r="G60" t="n">
        <v>7.8</v>
      </c>
      <c r="H60" t="n">
        <v>1</v>
      </c>
      <c r="I60" t="n">
        <v>0</v>
      </c>
      <c r="J60" t="n">
        <v>0</v>
      </c>
      <c r="K60" t="n">
        <v>0</v>
      </c>
      <c r="L60" t="n">
        <v>0</v>
      </c>
      <c r="M60" t="n">
        <v>0</v>
      </c>
      <c r="N60" t="n">
        <v>0</v>
      </c>
      <c r="O60" t="n">
        <v>0</v>
      </c>
      <c r="P60" t="n">
        <v>0</v>
      </c>
      <c r="Q60" t="n">
        <v>1</v>
      </c>
      <c r="R60" s="2" t="inlineStr">
        <is>
          <t>Blåsippa</t>
        </is>
      </c>
      <c r="S60">
        <f>HYPERLINK("https://klasma.github.io/Logging_1907/artfynd/A 25583-2024 artfynd.xlsx", "A 25583-2024")</f>
        <v/>
      </c>
      <c r="T60">
        <f>HYPERLINK("https://klasma.github.io/Logging_1907/kartor/A 25583-2024 karta.png", "A 25583-2024")</f>
        <v/>
      </c>
      <c r="V60">
        <f>HYPERLINK("https://klasma.github.io/Logging_1907/klagomål/A 25583-2024 FSC-klagomål.docx", "A 25583-2024")</f>
        <v/>
      </c>
      <c r="W60">
        <f>HYPERLINK("https://klasma.github.io/Logging_1907/klagomålsmail/A 25583-2024 FSC-klagomål mail.docx", "A 25583-2024")</f>
        <v/>
      </c>
      <c r="X60">
        <f>HYPERLINK("https://klasma.github.io/Logging_1907/tillsyn/A 25583-2024 tillsynsbegäran.docx", "A 25583-2024")</f>
        <v/>
      </c>
      <c r="Y60">
        <f>HYPERLINK("https://klasma.github.io/Logging_1907/tillsynsmail/A 25583-2024 tillsynsbegäran mail.docx", "A 25583-2024")</f>
        <v/>
      </c>
    </row>
    <row r="61" ht="15" customHeight="1">
      <c r="A61" t="inlineStr">
        <is>
          <t>A 39099-2022</t>
        </is>
      </c>
      <c r="B61" s="1" t="n">
        <v>44817</v>
      </c>
      <c r="C61" s="1" t="n">
        <v>46064</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46064</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10819-2024</t>
        </is>
      </c>
      <c r="B63" s="1" t="n">
        <v>45369.66049768519</v>
      </c>
      <c r="C63" s="1" t="n">
        <v>46064</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69777-2021</t>
        </is>
      </c>
      <c r="B64" s="1" t="n">
        <v>44532</v>
      </c>
      <c r="C64" s="1" t="n">
        <v>46064</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17632-2022</t>
        </is>
      </c>
      <c r="B65" s="1" t="n">
        <v>44680</v>
      </c>
      <c r="C65" s="1" t="n">
        <v>46064</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55042-2025</t>
        </is>
      </c>
      <c r="B66" s="1" t="n">
        <v>45967.65858796296</v>
      </c>
      <c r="C66" s="1" t="n">
        <v>46064</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56768-2025</t>
        </is>
      </c>
      <c r="B67" s="1" t="n">
        <v>45978</v>
      </c>
      <c r="C67" s="1" t="n">
        <v>46064</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44356-2024</t>
        </is>
      </c>
      <c r="B68" s="1" t="n">
        <v>45573</v>
      </c>
      <c r="C68" s="1" t="n">
        <v>46064</v>
      </c>
      <c r="D68" t="inlineStr">
        <is>
          <t>VÄSTMANLANDS LÄN</t>
        </is>
      </c>
      <c r="E68" t="inlineStr">
        <is>
          <t>SURAHAMMAR</t>
        </is>
      </c>
      <c r="F68" t="inlineStr">
        <is>
          <t>Sveaskog</t>
        </is>
      </c>
      <c r="G68" t="n">
        <v>0.7</v>
      </c>
      <c r="H68" t="n">
        <v>1</v>
      </c>
      <c r="I68" t="n">
        <v>0</v>
      </c>
      <c r="J68" t="n">
        <v>0</v>
      </c>
      <c r="K68" t="n">
        <v>0</v>
      </c>
      <c r="L68" t="n">
        <v>0</v>
      </c>
      <c r="M68" t="n">
        <v>0</v>
      </c>
      <c r="N68" t="n">
        <v>0</v>
      </c>
      <c r="O68" t="n">
        <v>0</v>
      </c>
      <c r="P68" t="n">
        <v>0</v>
      </c>
      <c r="Q68" t="n">
        <v>1</v>
      </c>
      <c r="R68" s="2" t="inlineStr">
        <is>
          <t>Revlummer</t>
        </is>
      </c>
      <c r="S68">
        <f>HYPERLINK("https://klasma.github.io/Logging_1907/artfynd/A 44356-2024 artfynd.xlsx", "A 44356-2024")</f>
        <v/>
      </c>
      <c r="T68">
        <f>HYPERLINK("https://klasma.github.io/Logging_1907/kartor/A 44356-2024 karta.png", "A 44356-2024")</f>
        <v/>
      </c>
      <c r="V68">
        <f>HYPERLINK("https://klasma.github.io/Logging_1907/klagomål/A 44356-2024 FSC-klagomål.docx", "A 44356-2024")</f>
        <v/>
      </c>
      <c r="W68">
        <f>HYPERLINK("https://klasma.github.io/Logging_1907/klagomålsmail/A 44356-2024 FSC-klagomål mail.docx", "A 44356-2024")</f>
        <v/>
      </c>
      <c r="X68">
        <f>HYPERLINK("https://klasma.github.io/Logging_1907/tillsyn/A 44356-2024 tillsynsbegäran.docx", "A 44356-2024")</f>
        <v/>
      </c>
      <c r="Y68">
        <f>HYPERLINK("https://klasma.github.io/Logging_1907/tillsynsmail/A 44356-2024 tillsynsbegäran mail.docx", "A 44356-2024")</f>
        <v/>
      </c>
    </row>
    <row r="69" ht="15" customHeight="1">
      <c r="A69" t="inlineStr">
        <is>
          <t>A 22840-2023</t>
        </is>
      </c>
      <c r="B69" s="1" t="n">
        <v>45072</v>
      </c>
      <c r="C69" s="1" t="n">
        <v>46064</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33231-2024</t>
        </is>
      </c>
      <c r="B70" s="1" t="n">
        <v>45518</v>
      </c>
      <c r="C70" s="1" t="n">
        <v>46064</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63145-2025</t>
        </is>
      </c>
      <c r="B71" s="1" t="n">
        <v>46009</v>
      </c>
      <c r="C71" s="1" t="n">
        <v>46064</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14001-2023</t>
        </is>
      </c>
      <c r="B72" s="1" t="n">
        <v>45007</v>
      </c>
      <c r="C72" s="1" t="n">
        <v>46064</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46064</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64073-2021</t>
        </is>
      </c>
      <c r="B74" s="1" t="n">
        <v>44509</v>
      </c>
      <c r="C74" s="1" t="n">
        <v>46064</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46064</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46064</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46064</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46064</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46064</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46064</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46064</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46064</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46064</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46064</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46064</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46064</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22662-2023</t>
        </is>
      </c>
      <c r="B92" s="1" t="n">
        <v>45071</v>
      </c>
      <c r="C92" s="1" t="n">
        <v>46064</v>
      </c>
      <c r="D92" t="inlineStr">
        <is>
          <t>VÄSTMANLANDS LÄN</t>
        </is>
      </c>
      <c r="E92" t="inlineStr">
        <is>
          <t>SURAHAMMAR</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16013-2023</t>
        </is>
      </c>
      <c r="B93" s="1" t="n">
        <v>45026</v>
      </c>
      <c r="C93" s="1" t="n">
        <v>46064</v>
      </c>
      <c r="D93" t="inlineStr">
        <is>
          <t>VÄSTMANLANDS LÄN</t>
        </is>
      </c>
      <c r="E93" t="inlineStr">
        <is>
          <t>SURAHAMMAR</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46064</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46064</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41555-2022</t>
        </is>
      </c>
      <c r="B96" s="1" t="n">
        <v>44826</v>
      </c>
      <c r="C96" s="1" t="n">
        <v>46064</v>
      </c>
      <c r="D96" t="inlineStr">
        <is>
          <t>VÄSTMANLANDS LÄN</t>
        </is>
      </c>
      <c r="E96" t="inlineStr">
        <is>
          <t>SURAHAMMAR</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46064</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16608-2022</t>
        </is>
      </c>
      <c r="B98" s="1" t="n">
        <v>44672</v>
      </c>
      <c r="C98" s="1" t="n">
        <v>46064</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15637-2022</t>
        </is>
      </c>
      <c r="B99" s="1" t="n">
        <v>44662.89638888889</v>
      </c>
      <c r="C99" s="1" t="n">
        <v>46064</v>
      </c>
      <c r="D99" t="inlineStr">
        <is>
          <t>VÄSTMANLANDS LÄN</t>
        </is>
      </c>
      <c r="E99" t="inlineStr">
        <is>
          <t>SURAHAMMAR</t>
        </is>
      </c>
      <c r="G99" t="n">
        <v>2.2</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46064</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25780-2023</t>
        </is>
      </c>
      <c r="B101" s="1" t="n">
        <v>45090.47523148148</v>
      </c>
      <c r="C101" s="1" t="n">
        <v>46064</v>
      </c>
      <c r="D101" t="inlineStr">
        <is>
          <t>VÄSTMANLANDS LÄN</t>
        </is>
      </c>
      <c r="E101" t="inlineStr">
        <is>
          <t>SURAHAMMAR</t>
        </is>
      </c>
      <c r="G101" t="n">
        <v>2.8</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46064</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46064</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46064</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13386-2025</t>
        </is>
      </c>
      <c r="B105" s="1" t="n">
        <v>45735</v>
      </c>
      <c r="C105" s="1" t="n">
        <v>46064</v>
      </c>
      <c r="D105" t="inlineStr">
        <is>
          <t>VÄSTMANLANDS LÄN</t>
        </is>
      </c>
      <c r="E105" t="inlineStr">
        <is>
          <t>SURAHAMMAR</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46064</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46064</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46064</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43249-2025</t>
        </is>
      </c>
      <c r="B109" s="1" t="n">
        <v>45910.55059027778</v>
      </c>
      <c r="C109" s="1" t="n">
        <v>46064</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43255-2025</t>
        </is>
      </c>
      <c r="B110" s="1" t="n">
        <v>45910.55325231481</v>
      </c>
      <c r="C110" s="1" t="n">
        <v>46064</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15739-2023</t>
        </is>
      </c>
      <c r="B111" s="1" t="n">
        <v>45021</v>
      </c>
      <c r="C111" s="1" t="n">
        <v>46064</v>
      </c>
      <c r="D111" t="inlineStr">
        <is>
          <t>VÄSTMANLANDS LÄN</t>
        </is>
      </c>
      <c r="E111" t="inlineStr">
        <is>
          <t>SURAHAMMAR</t>
        </is>
      </c>
      <c r="G111" t="n">
        <v>1.3</v>
      </c>
      <c r="H111" t="n">
        <v>0</v>
      </c>
      <c r="I111" t="n">
        <v>0</v>
      </c>
      <c r="J111" t="n">
        <v>0</v>
      </c>
      <c r="K111" t="n">
        <v>0</v>
      </c>
      <c r="L111" t="n">
        <v>0</v>
      </c>
      <c r="M111" t="n">
        <v>0</v>
      </c>
      <c r="N111" t="n">
        <v>0</v>
      </c>
      <c r="O111" t="n">
        <v>0</v>
      </c>
      <c r="P111" t="n">
        <v>0</v>
      </c>
      <c r="Q111" t="n">
        <v>0</v>
      </c>
      <c r="R111" s="2" t="inlineStr"/>
    </row>
    <row r="112" ht="15" customHeight="1">
      <c r="A112" t="inlineStr">
        <is>
          <t>A 38154-2021</t>
        </is>
      </c>
      <c r="B112" s="1" t="n">
        <v>44405.42373842592</v>
      </c>
      <c r="C112" s="1" t="n">
        <v>46064</v>
      </c>
      <c r="D112" t="inlineStr">
        <is>
          <t>VÄSTMANLANDS LÄN</t>
        </is>
      </c>
      <c r="E112" t="inlineStr">
        <is>
          <t>SURAHAMMAR</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46064</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46064</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44790.65153935185</v>
      </c>
      <c r="C115" s="1" t="n">
        <v>46064</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24158-2023</t>
        </is>
      </c>
      <c r="B116" s="1" t="n">
        <v>45079</v>
      </c>
      <c r="C116" s="1" t="n">
        <v>46064</v>
      </c>
      <c r="D116" t="inlineStr">
        <is>
          <t>VÄSTMANLANDS LÄN</t>
        </is>
      </c>
      <c r="E116" t="inlineStr">
        <is>
          <t>SURAHAMMAR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42714-2022</t>
        </is>
      </c>
      <c r="B117" s="1" t="n">
        <v>44832</v>
      </c>
      <c r="C117" s="1" t="n">
        <v>46064</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46064</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34584-2025</t>
        </is>
      </c>
      <c r="B119" s="1" t="n">
        <v>45846</v>
      </c>
      <c r="C119" s="1" t="n">
        <v>46064</v>
      </c>
      <c r="D119" t="inlineStr">
        <is>
          <t>VÄSTMANLANDS LÄN</t>
        </is>
      </c>
      <c r="E119" t="inlineStr">
        <is>
          <t>SURAHAMMAR</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46064</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46064</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32916-2025</t>
        </is>
      </c>
      <c r="B122" s="1" t="n">
        <v>45839</v>
      </c>
      <c r="C122" s="1" t="n">
        <v>46064</v>
      </c>
      <c r="D122" t="inlineStr">
        <is>
          <t>VÄSTMANLANDS LÄN</t>
        </is>
      </c>
      <c r="E122" t="inlineStr">
        <is>
          <t>SURAHAMMAR</t>
        </is>
      </c>
      <c r="F122" t="inlineStr">
        <is>
          <t>Kommuner</t>
        </is>
      </c>
      <c r="G122" t="n">
        <v>4.9</v>
      </c>
      <c r="H122" t="n">
        <v>0</v>
      </c>
      <c r="I122" t="n">
        <v>0</v>
      </c>
      <c r="J122" t="n">
        <v>0</v>
      </c>
      <c r="K122" t="n">
        <v>0</v>
      </c>
      <c r="L122" t="n">
        <v>0</v>
      </c>
      <c r="M122" t="n">
        <v>0</v>
      </c>
      <c r="N122" t="n">
        <v>0</v>
      </c>
      <c r="O122" t="n">
        <v>0</v>
      </c>
      <c r="P122" t="n">
        <v>0</v>
      </c>
      <c r="Q122" t="n">
        <v>0</v>
      </c>
      <c r="R122" s="2" t="inlineStr"/>
    </row>
    <row r="123" ht="15" customHeight="1">
      <c r="A123" t="inlineStr">
        <is>
          <t>A 32910-2025</t>
        </is>
      </c>
      <c r="B123" s="1" t="n">
        <v>45839</v>
      </c>
      <c r="C123" s="1" t="n">
        <v>46064</v>
      </c>
      <c r="D123" t="inlineStr">
        <is>
          <t>VÄSTMANLANDS LÄN</t>
        </is>
      </c>
      <c r="E123" t="inlineStr">
        <is>
          <t>SURAHAMMAR</t>
        </is>
      </c>
      <c r="F123" t="inlineStr">
        <is>
          <t>Kommuner</t>
        </is>
      </c>
      <c r="G123" t="n">
        <v>1.1</v>
      </c>
      <c r="H123" t="n">
        <v>0</v>
      </c>
      <c r="I123" t="n">
        <v>0</v>
      </c>
      <c r="J123" t="n">
        <v>0</v>
      </c>
      <c r="K123" t="n">
        <v>0</v>
      </c>
      <c r="L123" t="n">
        <v>0</v>
      </c>
      <c r="M123" t="n">
        <v>0</v>
      </c>
      <c r="N123" t="n">
        <v>0</v>
      </c>
      <c r="O123" t="n">
        <v>0</v>
      </c>
      <c r="P123" t="n">
        <v>0</v>
      </c>
      <c r="Q123" t="n">
        <v>0</v>
      </c>
      <c r="R123" s="2" t="inlineStr"/>
    </row>
    <row r="124" ht="15" customHeight="1">
      <c r="A124" t="inlineStr">
        <is>
          <t>A 42832-2022</t>
        </is>
      </c>
      <c r="B124" s="1" t="n">
        <v>44832</v>
      </c>
      <c r="C124" s="1" t="n">
        <v>46064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24665-2023</t>
        </is>
      </c>
      <c r="B125" s="1" t="n">
        <v>45084.48592592592</v>
      </c>
      <c r="C125" s="1" t="n">
        <v>46064</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32808-2024</t>
        </is>
      </c>
      <c r="B126" s="1" t="n">
        <v>45516</v>
      </c>
      <c r="C126" s="1" t="n">
        <v>46064</v>
      </c>
      <c r="D126" t="inlineStr">
        <is>
          <t>VÄSTMANLANDS LÄN</t>
        </is>
      </c>
      <c r="E126" t="inlineStr">
        <is>
          <t>SURAHAMMAR</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46064</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46064</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37013-2025</t>
        </is>
      </c>
      <c r="B129" s="1" t="n">
        <v>45874</v>
      </c>
      <c r="C129" s="1" t="n">
        <v>46064</v>
      </c>
      <c r="D129" t="inlineStr">
        <is>
          <t>VÄSTMANLANDS LÄN</t>
        </is>
      </c>
      <c r="E129" t="inlineStr">
        <is>
          <t>SURAHAMMAR</t>
        </is>
      </c>
      <c r="F129" t="inlineStr">
        <is>
          <t>Bergvik skog väst AB</t>
        </is>
      </c>
      <c r="G129" t="n">
        <v>10.7</v>
      </c>
      <c r="H129" t="n">
        <v>0</v>
      </c>
      <c r="I129" t="n">
        <v>0</v>
      </c>
      <c r="J129" t="n">
        <v>0</v>
      </c>
      <c r="K129" t="n">
        <v>0</v>
      </c>
      <c r="L129" t="n">
        <v>0</v>
      </c>
      <c r="M129" t="n">
        <v>0</v>
      </c>
      <c r="N129" t="n">
        <v>0</v>
      </c>
      <c r="O129" t="n">
        <v>0</v>
      </c>
      <c r="P129" t="n">
        <v>0</v>
      </c>
      <c r="Q129" t="n">
        <v>0</v>
      </c>
      <c r="R129" s="2" t="inlineStr"/>
    </row>
    <row r="130" ht="15" customHeight="1">
      <c r="A130" t="inlineStr">
        <is>
          <t>A 37954-2025</t>
        </is>
      </c>
      <c r="B130" s="1" t="n">
        <v>45881</v>
      </c>
      <c r="C130" s="1" t="n">
        <v>46064</v>
      </c>
      <c r="D130" t="inlineStr">
        <is>
          <t>VÄSTMANLANDS LÄN</t>
        </is>
      </c>
      <c r="E130" t="inlineStr">
        <is>
          <t>SURAHAMMAR</t>
        </is>
      </c>
      <c r="G130" t="n">
        <v>9.5</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46064</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46064</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46064</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46064</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55868-2025</t>
        </is>
      </c>
      <c r="B135" s="1" t="n">
        <v>45973.35263888889</v>
      </c>
      <c r="C135" s="1" t="n">
        <v>46064</v>
      </c>
      <c r="D135" t="inlineStr">
        <is>
          <t>VÄSTMANLANDS LÄN</t>
        </is>
      </c>
      <c r="E135" t="inlineStr">
        <is>
          <t>SURAHAMMAR</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55874-2025</t>
        </is>
      </c>
      <c r="B136" s="1" t="n">
        <v>45973.3569212963</v>
      </c>
      <c r="C136" s="1" t="n">
        <v>46064</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55873-2025</t>
        </is>
      </c>
      <c r="B137" s="1" t="n">
        <v>45973.35608796297</v>
      </c>
      <c r="C137" s="1" t="n">
        <v>46064</v>
      </c>
      <c r="D137" t="inlineStr">
        <is>
          <t>VÄSTMANLANDS LÄN</t>
        </is>
      </c>
      <c r="E137" t="inlineStr">
        <is>
          <t>SURAHAMMAR</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55871-2025</t>
        </is>
      </c>
      <c r="B138" s="1" t="n">
        <v>45973.35452546296</v>
      </c>
      <c r="C138" s="1" t="n">
        <v>46064</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56543-2025</t>
        </is>
      </c>
      <c r="B139" s="1" t="n">
        <v>45975</v>
      </c>
      <c r="C139" s="1" t="n">
        <v>46064</v>
      </c>
      <c r="D139" t="inlineStr">
        <is>
          <t>VÄSTMANLANDS LÄN</t>
        </is>
      </c>
      <c r="E139" t="inlineStr">
        <is>
          <t>SURAHAMMAR</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34955-2022</t>
        </is>
      </c>
      <c r="B140" s="1" t="n">
        <v>44796</v>
      </c>
      <c r="C140" s="1" t="n">
        <v>46064</v>
      </c>
      <c r="D140" t="inlineStr">
        <is>
          <t>VÄSTMANLANDS LÄN</t>
        </is>
      </c>
      <c r="E140" t="inlineStr">
        <is>
          <t>SURAHAMMAR</t>
        </is>
      </c>
      <c r="F140" t="inlineStr">
        <is>
          <t>Sveaskog</t>
        </is>
      </c>
      <c r="G140" t="n">
        <v>4.6</v>
      </c>
      <c r="H140" t="n">
        <v>0</v>
      </c>
      <c r="I140" t="n">
        <v>0</v>
      </c>
      <c r="J140" t="n">
        <v>0</v>
      </c>
      <c r="K140" t="n">
        <v>0</v>
      </c>
      <c r="L140" t="n">
        <v>0</v>
      </c>
      <c r="M140" t="n">
        <v>0</v>
      </c>
      <c r="N140" t="n">
        <v>0</v>
      </c>
      <c r="O140" t="n">
        <v>0</v>
      </c>
      <c r="P140" t="n">
        <v>0</v>
      </c>
      <c r="Q140" t="n">
        <v>0</v>
      </c>
      <c r="R140" s="2" t="inlineStr"/>
    </row>
    <row r="141" ht="15" customHeight="1">
      <c r="A141" t="inlineStr">
        <is>
          <t>A 20904-2023</t>
        </is>
      </c>
      <c r="B141" s="1" t="n">
        <v>45060</v>
      </c>
      <c r="C141" s="1" t="n">
        <v>46064</v>
      </c>
      <c r="D141" t="inlineStr">
        <is>
          <t>VÄSTMANLANDS LÄN</t>
        </is>
      </c>
      <c r="E141" t="inlineStr">
        <is>
          <t>SURAHAMMAR</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46064</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2660-2024</t>
        </is>
      </c>
      <c r="B143" s="1" t="n">
        <v>45310</v>
      </c>
      <c r="C143" s="1" t="n">
        <v>46064</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59399-2025</t>
        </is>
      </c>
      <c r="B144" s="1" t="n">
        <v>45989</v>
      </c>
      <c r="C144" s="1" t="n">
        <v>46064</v>
      </c>
      <c r="D144" t="inlineStr">
        <is>
          <t>VÄSTMANLANDS LÄN</t>
        </is>
      </c>
      <c r="E144" t="inlineStr">
        <is>
          <t>SURAHAMMAR</t>
        </is>
      </c>
      <c r="F144" t="inlineStr">
        <is>
          <t>Kommuner</t>
        </is>
      </c>
      <c r="G144" t="n">
        <v>2.1</v>
      </c>
      <c r="H144" t="n">
        <v>0</v>
      </c>
      <c r="I144" t="n">
        <v>0</v>
      </c>
      <c r="J144" t="n">
        <v>0</v>
      </c>
      <c r="K144" t="n">
        <v>0</v>
      </c>
      <c r="L144" t="n">
        <v>0</v>
      </c>
      <c r="M144" t="n">
        <v>0</v>
      </c>
      <c r="N144" t="n">
        <v>0</v>
      </c>
      <c r="O144" t="n">
        <v>0</v>
      </c>
      <c r="P144" t="n">
        <v>0</v>
      </c>
      <c r="Q144" t="n">
        <v>0</v>
      </c>
      <c r="R144" s="2" t="inlineStr"/>
    </row>
    <row r="145" ht="15" customHeight="1">
      <c r="A145" t="inlineStr">
        <is>
          <t>A 56541-2025</t>
        </is>
      </c>
      <c r="B145" s="1" t="n">
        <v>45975</v>
      </c>
      <c r="C145" s="1" t="n">
        <v>46064</v>
      </c>
      <c r="D145" t="inlineStr">
        <is>
          <t>VÄSTMANLANDS LÄN</t>
        </is>
      </c>
      <c r="E145" t="inlineStr">
        <is>
          <t>SURAHAMMAR</t>
        </is>
      </c>
      <c r="F145" t="inlineStr">
        <is>
          <t>Sveaskog</t>
        </is>
      </c>
      <c r="G145" t="n">
        <v>7.6</v>
      </c>
      <c r="H145" t="n">
        <v>0</v>
      </c>
      <c r="I145" t="n">
        <v>0</v>
      </c>
      <c r="J145" t="n">
        <v>0</v>
      </c>
      <c r="K145" t="n">
        <v>0</v>
      </c>
      <c r="L145" t="n">
        <v>0</v>
      </c>
      <c r="M145" t="n">
        <v>0</v>
      </c>
      <c r="N145" t="n">
        <v>0</v>
      </c>
      <c r="O145" t="n">
        <v>0</v>
      </c>
      <c r="P145" t="n">
        <v>0</v>
      </c>
      <c r="Q145" t="n">
        <v>0</v>
      </c>
      <c r="R145" s="2" t="inlineStr"/>
    </row>
    <row r="146" ht="15" customHeight="1">
      <c r="A146" t="inlineStr">
        <is>
          <t>A 14626-2023</t>
        </is>
      </c>
      <c r="B146" s="1" t="n">
        <v>45012</v>
      </c>
      <c r="C146" s="1" t="n">
        <v>46064</v>
      </c>
      <c r="D146" t="inlineStr">
        <is>
          <t>VÄSTMANLANDS LÄN</t>
        </is>
      </c>
      <c r="E146" t="inlineStr">
        <is>
          <t>SURAHAMMAR</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4724-2026</t>
        </is>
      </c>
      <c r="B147" s="1" t="n">
        <v>46048</v>
      </c>
      <c r="C147" s="1" t="n">
        <v>46064</v>
      </c>
      <c r="D147" t="inlineStr">
        <is>
          <t>VÄSTMANLANDS LÄN</t>
        </is>
      </c>
      <c r="E147" t="inlineStr">
        <is>
          <t>SURAHAMMAR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46064</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46064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5697-2026</t>
        </is>
      </c>
      <c r="B150" s="1" t="n">
        <v>46051.50020833333</v>
      </c>
      <c r="C150" s="1" t="n">
        <v>46064</v>
      </c>
      <c r="D150" t="inlineStr">
        <is>
          <t>VÄSTMANLANDS LÄN</t>
        </is>
      </c>
      <c r="E150" t="inlineStr">
        <is>
          <t>SURAHAMMAR</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5698-2026</t>
        </is>
      </c>
      <c r="B151" s="1" t="n">
        <v>46051.50196759259</v>
      </c>
      <c r="C151" s="1" t="n">
        <v>46064</v>
      </c>
      <c r="D151" t="inlineStr">
        <is>
          <t>VÄSTMANLANDS LÄN</t>
        </is>
      </c>
      <c r="E151" t="inlineStr">
        <is>
          <t>SURAHAMMAR</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5696-2026</t>
        </is>
      </c>
      <c r="B152" s="1" t="n">
        <v>46051.4975</v>
      </c>
      <c r="C152" s="1" t="n">
        <v>46064</v>
      </c>
      <c r="D152" t="inlineStr">
        <is>
          <t>VÄSTMANLANDS LÄN</t>
        </is>
      </c>
      <c r="E152" t="inlineStr">
        <is>
          <t>SURAHAMMAR</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63138-2025</t>
        </is>
      </c>
      <c r="B153" s="1" t="n">
        <v>46009</v>
      </c>
      <c r="C153" s="1" t="n">
        <v>46064</v>
      </c>
      <c r="D153" t="inlineStr">
        <is>
          <t>VÄSTMANLANDS LÄN</t>
        </is>
      </c>
      <c r="E153" t="inlineStr">
        <is>
          <t>SURAHAMMAR</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25450-2024</t>
        </is>
      </c>
      <c r="B154" s="1" t="n">
        <v>45463</v>
      </c>
      <c r="C154" s="1" t="n">
        <v>46064</v>
      </c>
      <c r="D154" t="inlineStr">
        <is>
          <t>VÄSTMANLANDS LÄN</t>
        </is>
      </c>
      <c r="E154" t="inlineStr">
        <is>
          <t>SURAHAMMAR</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19782-2023</t>
        </is>
      </c>
      <c r="B155" s="1" t="n">
        <v>45050</v>
      </c>
      <c r="C155" s="1" t="n">
        <v>46064</v>
      </c>
      <c r="D155" t="inlineStr">
        <is>
          <t>VÄSTMANLANDS LÄN</t>
        </is>
      </c>
      <c r="E155" t="inlineStr">
        <is>
          <t>SURAHAMMAR</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46064</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24167-2024</t>
        </is>
      </c>
      <c r="B157" s="1" t="n">
        <v>45456</v>
      </c>
      <c r="C157" s="1" t="n">
        <v>46064</v>
      </c>
      <c r="D157" t="inlineStr">
        <is>
          <t>VÄSTMANLANDS LÄN</t>
        </is>
      </c>
      <c r="E157" t="inlineStr">
        <is>
          <t>SURAHAMMAR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46064</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46064</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11501-2023</t>
        </is>
      </c>
      <c r="B160" s="1" t="n">
        <v>44991</v>
      </c>
      <c r="C160" s="1" t="n">
        <v>46064</v>
      </c>
      <c r="D160" t="inlineStr">
        <is>
          <t>VÄSTMANLANDS LÄN</t>
        </is>
      </c>
      <c r="E160" t="inlineStr">
        <is>
          <t>SURAHAMMAR</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3818-2022</t>
        </is>
      </c>
      <c r="B161" s="1" t="n">
        <v>44587</v>
      </c>
      <c r="C161" s="1" t="n">
        <v>46064</v>
      </c>
      <c r="D161" t="inlineStr">
        <is>
          <t>VÄSTMANLANDS LÄN</t>
        </is>
      </c>
      <c r="E161" t="inlineStr">
        <is>
          <t>SURAHAMMAR</t>
        </is>
      </c>
      <c r="G161" t="n">
        <v>2.6</v>
      </c>
      <c r="H161" t="n">
        <v>0</v>
      </c>
      <c r="I161" t="n">
        <v>0</v>
      </c>
      <c r="J161" t="n">
        <v>0</v>
      </c>
      <c r="K161" t="n">
        <v>0</v>
      </c>
      <c r="L161" t="n">
        <v>0</v>
      </c>
      <c r="M161" t="n">
        <v>0</v>
      </c>
      <c r="N161" t="n">
        <v>0</v>
      </c>
      <c r="O161" t="n">
        <v>0</v>
      </c>
      <c r="P161" t="n">
        <v>0</v>
      </c>
      <c r="Q161" t="n">
        <v>0</v>
      </c>
      <c r="R161" s="2" t="inlineStr"/>
    </row>
    <row r="162">
      <c r="A162" t="inlineStr">
        <is>
          <t>A 21509-2024</t>
        </is>
      </c>
      <c r="B162" s="1" t="n">
        <v>45441</v>
      </c>
      <c r="C162" s="1" t="n">
        <v>46064</v>
      </c>
      <c r="D162" t="inlineStr">
        <is>
          <t>VÄSTMANLANDS LÄN</t>
        </is>
      </c>
      <c r="E162" t="inlineStr">
        <is>
          <t>SURAHAMMAR</t>
        </is>
      </c>
      <c r="F162" t="inlineStr">
        <is>
          <t>Bergvik skog väst AB</t>
        </is>
      </c>
      <c r="G162" t="n">
        <v>3.9</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2026-02-11T11:00:02Z</dcterms:created>
  <dcterms:modified xmlns:dcterms="http://purl.org/dc/terms/" xmlns:xsi="http://www.w3.org/2001/XMLSchema-instance" xsi:type="dcterms:W3CDTF">2026-02-11T11:00:03Z</dcterms:modified>
</cp:coreProperties>
</file>