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46304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46304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241</v>
      </c>
      <c r="U3" t="n">
        <v>105</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46304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45</v>
      </c>
      <c r="T4" t="n">
        <v>254</v>
      </c>
      <c r="U4" t="n">
        <v>118</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46304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46304</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46304</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46304</v>
      </c>
      <c r="F8" t="inlineStr">
        <is>
          <t>VÄSTMANLANDS LÄN</t>
        </is>
      </c>
      <c r="G8" t="inlineStr">
        <is>
          <t>SURAHAMMAR</t>
        </is>
      </c>
      <c r="H8" t="inlineStr">
        <is>
          <t>Bergvik skog väst AB</t>
        </is>
      </c>
      <c r="I8" t="n">
        <v>38.3</v>
      </c>
      <c r="J8" t="n">
        <v>8</v>
      </c>
      <c r="K8" t="n">
        <v>5</v>
      </c>
      <c r="L8" t="n">
        <v>8</v>
      </c>
      <c r="M8" t="n">
        <v>1</v>
      </c>
      <c r="N8" t="n">
        <v>0</v>
      </c>
      <c r="O8" t="n">
        <v>0</v>
      </c>
      <c r="P8" t="n">
        <v>0</v>
      </c>
      <c r="Q8" t="n">
        <v>9</v>
      </c>
      <c r="R8" t="n">
        <v>1</v>
      </c>
      <c r="S8" t="n">
        <v>19</v>
      </c>
      <c r="T8" t="n">
        <v>50</v>
      </c>
      <c r="U8" t="n">
        <v>34</v>
      </c>
      <c r="V8" s="2" t="inlineStr">
        <is>
          <t>Knärot
Blå taggsvamp
Dropptaggsvamp
Grantaggsvamp
Motaggsvamp
Skogshare
Sotvaxskivling
Sparvuggla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46304</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S 2048-2026</t>
        </is>
      </c>
      <c r="B10" t="inlineStr">
        <is>
          <t>samrådsanmälan</t>
        </is>
      </c>
      <c r="C10" t="inlineStr">
        <is>
          <t>Annan skogsbruksåtgärd</t>
        </is>
      </c>
      <c r="D10" s="1" t="n">
        <v>46216</v>
      </c>
      <c r="E10" s="1" t="n">
        <v>46304</v>
      </c>
      <c r="F10" t="inlineStr">
        <is>
          <t>VÄSTMANLANDS LÄN</t>
        </is>
      </c>
      <c r="G10" t="inlineStr">
        <is>
          <t>SURAHAMMAR</t>
        </is>
      </c>
      <c r="H10" t="inlineStr">
        <is>
          <t>Bergvik skog väst AB</t>
        </is>
      </c>
      <c r="I10" t="n">
        <v>25.7</v>
      </c>
      <c r="J10" t="n">
        <v>9</v>
      </c>
      <c r="K10" t="n">
        <v>4</v>
      </c>
      <c r="L10" t="n">
        <v>6</v>
      </c>
      <c r="M10" t="n">
        <v>1</v>
      </c>
      <c r="N10" t="n">
        <v>0</v>
      </c>
      <c r="O10" t="n">
        <v>0</v>
      </c>
      <c r="P10" t="n">
        <v>0</v>
      </c>
      <c r="Q10" t="n">
        <v>7</v>
      </c>
      <c r="R10" t="n">
        <v>1</v>
      </c>
      <c r="S10" t="n">
        <v>16</v>
      </c>
      <c r="T10" t="n">
        <v>28</v>
      </c>
      <c r="U10" t="n">
        <v>10</v>
      </c>
      <c r="V10" s="2" t="inlineStr">
        <is>
          <t>Knärot
Brunlångöra
Motaggsvamp
Nordfladdermus
Tallticka
Talltita
Vaddporing
Bollvitmossa
Mindre märgborre
Vedticka
Västlig hakmossa
Spillkråka
Tjäder
Dvärgpipistrell
Orre
Svartvit flugsnappare</t>
        </is>
      </c>
      <c r="W10">
        <f>HYPERLINK("https://klasma.github.io/Logging_1907/artfynd/S 2048-2026 artfynd.xlsx", "S 2048-2026")</f>
        <v/>
      </c>
      <c r="X10">
        <f>HYPERLINK("https://klasma.github.io/Logging_1907/kartor/S 2048-2026 karta.png", "S 2048-2026")</f>
        <v/>
      </c>
      <c r="Y10">
        <f>HYPERLINK("https://klasma.github.io/Logging_1907/kartor_geotiff/S 2048-2026 georefererad karta.tif", "S 2048-2026")</f>
        <v/>
      </c>
      <c r="Z10">
        <f>HYPERLINK("https://klasma.github.io/Logging_1907/knärot/S 2048-2026 karta knärot.png", "S 2048-2026")</f>
        <v/>
      </c>
      <c r="AA10">
        <f>HYPERLINK("https://klasma.github.io/Logging_1907/klagomål/S 2048-2026 FSC-klagomål.docx", "S 2048-2026")</f>
        <v/>
      </c>
      <c r="AB10">
        <f>HYPERLINK("https://klasma.github.io/Logging_1907/klagomålsmail/S 2048-2026 FSC-klagomål mail.docx", "S 2048-2026")</f>
        <v/>
      </c>
      <c r="AC10">
        <f>HYPERLINK("https://klasma.github.io/Logging_1907/tillsyn/S 2048-2026 tillsynsbegäran.docx", "S 2048-2026")</f>
        <v/>
      </c>
      <c r="AD10">
        <f>HYPERLINK("https://klasma.github.io/Logging_1907/tillsynsmail/S 2048-2026 tillsynsbegäran mail.docx", "S 2048-2026")</f>
        <v/>
      </c>
      <c r="AE10">
        <f>HYPERLINK("https://klasma.github.io/Logging_1907/fåglar/S 2048-2026 prioriterade fågelarter.docx", "S 2048-2026")</f>
        <v/>
      </c>
    </row>
    <row r="11" ht="15" customHeight="1">
      <c r="A11" t="inlineStr">
        <is>
          <t>A 65022-2023</t>
        </is>
      </c>
      <c r="B11" t="inlineStr">
        <is>
          <t>avverkningsanmälan</t>
        </is>
      </c>
      <c r="C11" t="inlineStr">
        <is>
          <t>Föryngringsavverkning</t>
        </is>
      </c>
      <c r="D11" s="1" t="n">
        <v>45282</v>
      </c>
      <c r="E11" s="1" t="n">
        <v>46304</v>
      </c>
      <c r="F11" t="inlineStr">
        <is>
          <t>VÄSTMANLANDS LÄN</t>
        </is>
      </c>
      <c r="G11" t="inlineStr">
        <is>
          <t>SURAHAMMAR</t>
        </is>
      </c>
      <c r="H11" t="inlineStr">
        <is>
          <t>Bergvik skog väst AB</t>
        </is>
      </c>
      <c r="I11" t="n">
        <v>11.3</v>
      </c>
      <c r="J11" t="n">
        <v>7</v>
      </c>
      <c r="K11" t="n">
        <v>6</v>
      </c>
      <c r="L11" t="n">
        <v>4</v>
      </c>
      <c r="M11" t="n">
        <v>1</v>
      </c>
      <c r="N11" t="n">
        <v>0</v>
      </c>
      <c r="O11" t="n">
        <v>0</v>
      </c>
      <c r="P11" t="n">
        <v>0</v>
      </c>
      <c r="Q11" t="n">
        <v>5</v>
      </c>
      <c r="R11" t="n">
        <v>1</v>
      </c>
      <c r="S11" t="n">
        <v>15</v>
      </c>
      <c r="T11" t="n">
        <v>95</v>
      </c>
      <c r="U11" t="n">
        <v>82</v>
      </c>
      <c r="V11" s="2" t="inlineStr">
        <is>
          <t>Knärot
Brunpudrad nållav
Talltita
Ullticka
Vedtrappmossa
Bronshjon
Grovticka
Grönpyrola
Plattlummer
Rödgul trumpetsvamp
Thomsons trägnagare
Mattlummer
Spillkråka
Fläcknycklar
Revlummer</t>
        </is>
      </c>
      <c r="W11">
        <f>HYPERLINK("https://klasma.github.io/Logging_1907/artfynd/A 65022-2023 artfynd.xlsx", "A 65022-2023")</f>
        <v/>
      </c>
      <c r="X11">
        <f>HYPERLINK("https://klasma.github.io/Logging_1907/kartor/A 65022-2023 karta.png", "A 65022-2023")</f>
        <v/>
      </c>
      <c r="Y11">
        <f>HYPERLINK("https://klasma.github.io/Logging_1907/kartor_geotiff/A 65022-2023 georefererad karta.tif", "A 65022-2023")</f>
        <v/>
      </c>
      <c r="Z11">
        <f>HYPERLINK("https://klasma.github.io/Logging_1907/knärot/A 65022-2023 karta knärot.png", "A 65022-2023")</f>
        <v/>
      </c>
      <c r="AA11">
        <f>HYPERLINK("https://klasma.github.io/Logging_1907/klagomål/A 65022-2023 FSC-klagomål.docx", "A 65022-2023")</f>
        <v/>
      </c>
      <c r="AB11">
        <f>HYPERLINK("https://klasma.github.io/Logging_1907/klagomålsmail/A 65022-2023 FSC-klagomål mail.docx", "A 65022-2023")</f>
        <v/>
      </c>
      <c r="AC11">
        <f>HYPERLINK("https://klasma.github.io/Logging_1907/tillsyn/A 65022-2023 tillsynsbegäran.docx", "A 65022-2023")</f>
        <v/>
      </c>
      <c r="AD11">
        <f>HYPERLINK("https://klasma.github.io/Logging_1907/tillsynsmail/A 65022-2023 tillsynsbegäran mail.docx", "A 65022-2023")</f>
        <v/>
      </c>
      <c r="AE11">
        <f>HYPERLINK("https://klasma.github.io/Logging_1907/fåglar/A 65022-2023 prioriterade fågelarter.docx", "A 65022-2023")</f>
        <v/>
      </c>
    </row>
    <row r="12" ht="15" customHeight="1">
      <c r="A12" t="inlineStr">
        <is>
          <t>S 920-2026</t>
        </is>
      </c>
      <c r="B12" t="inlineStr">
        <is>
          <t>samrådsanmälan</t>
        </is>
      </c>
      <c r="C12" t="inlineStr">
        <is>
          <t>Skogsgödsling</t>
        </is>
      </c>
      <c r="D12" s="1" t="n">
        <v>46111</v>
      </c>
      <c r="E12" s="1" t="n">
        <v>46304</v>
      </c>
      <c r="F12" t="inlineStr">
        <is>
          <t>VÄSTMANLANDS LÄN</t>
        </is>
      </c>
      <c r="G12" t="inlineStr">
        <is>
          <t>SURAHAMMAR</t>
        </is>
      </c>
      <c r="H12" t="inlineStr">
        <is>
          <t>Allmännings- och besparingsskogar</t>
        </is>
      </c>
      <c r="I12" t="n">
        <v>66.5</v>
      </c>
      <c r="J12" t="n">
        <v>7</v>
      </c>
      <c r="K12" t="n">
        <v>2</v>
      </c>
      <c r="L12" t="n">
        <v>5</v>
      </c>
      <c r="M12" t="n">
        <v>0</v>
      </c>
      <c r="N12" t="n">
        <v>0</v>
      </c>
      <c r="O12" t="n">
        <v>0</v>
      </c>
      <c r="P12" t="n">
        <v>0</v>
      </c>
      <c r="Q12" t="n">
        <v>5</v>
      </c>
      <c r="R12" t="n">
        <v>0</v>
      </c>
      <c r="S12" t="n">
        <v>15</v>
      </c>
      <c r="T12" t="n">
        <v>24</v>
      </c>
      <c r="U12" t="n">
        <v>3</v>
      </c>
      <c r="V12" s="2" t="inlineStr">
        <is>
          <t>Dofttaggsvamp
Motaggsvamp
Skogshare
Tallkötticka
Talltita
Bollvitmossa
Grönpyrola
Järpe
Kärrviol
Linnea
Mattlummer
Tjäder
Orre
Fläcknycklar
Revlummer</t>
        </is>
      </c>
      <c r="W12">
        <f>HYPERLINK("https://klasma.github.io/Logging_1907/artfynd/S 920-2026 artfynd.xlsx", "S 920-2026")</f>
        <v/>
      </c>
      <c r="X12">
        <f>HYPERLINK("https://klasma.github.io/Logging_1907/kartor/S 920-2026 karta.png", "S 920-2026")</f>
        <v/>
      </c>
      <c r="Y12">
        <f>HYPERLINK("https://klasma.github.io/Logging_1907/kartor_geotiff/S 920-2026 georefererad karta.tif", "S 920-2026")</f>
        <v/>
      </c>
      <c r="AA12">
        <f>HYPERLINK("https://klasma.github.io/Logging_1907/klagomål/S 920-2026 FSC-klagomål.docx", "S 920-2026")</f>
        <v/>
      </c>
      <c r="AB12">
        <f>HYPERLINK("https://klasma.github.io/Logging_1907/klagomålsmail/S 920-2026 FSC-klagomål mail.docx", "S 920-2026")</f>
        <v/>
      </c>
      <c r="AC12">
        <f>HYPERLINK("https://klasma.github.io/Logging_1907/tillsyn/S 920-2026 tillsynsbegäran.docx", "S 920-2026")</f>
        <v/>
      </c>
      <c r="AD12">
        <f>HYPERLINK("https://klasma.github.io/Logging_1907/tillsynsmail/S 920-2026 tillsynsbegäran mail.docx", "S 920-2026")</f>
        <v/>
      </c>
      <c r="AE12">
        <f>HYPERLINK("https://klasma.github.io/Logging_1907/fåglar/S 920-2026 prioriterade fågelarter.docx", "S 920-2026")</f>
        <v/>
      </c>
    </row>
    <row r="13" ht="15" customHeight="1">
      <c r="A13" t="inlineStr">
        <is>
          <t>S 2049-2026</t>
        </is>
      </c>
      <c r="B13" t="inlineStr">
        <is>
          <t>samrådsanmälan</t>
        </is>
      </c>
      <c r="C13" t="inlineStr">
        <is>
          <t>Annan skogsbruksåtgärd</t>
        </is>
      </c>
      <c r="D13" s="1" t="n">
        <v>46216</v>
      </c>
      <c r="E13" s="1" t="n">
        <v>46304</v>
      </c>
      <c r="F13" t="inlineStr">
        <is>
          <t>VÄSTMANLANDS LÄN</t>
        </is>
      </c>
      <c r="G13" t="inlineStr">
        <is>
          <t>SURAHAMMAR</t>
        </is>
      </c>
      <c r="H13" t="inlineStr">
        <is>
          <t>Bergvik skog väst AB</t>
        </is>
      </c>
      <c r="I13" t="n">
        <v>11.9</v>
      </c>
      <c r="J13" t="n">
        <v>10</v>
      </c>
      <c r="K13" t="n">
        <v>3</v>
      </c>
      <c r="L13" t="n">
        <v>5</v>
      </c>
      <c r="M13" t="n">
        <v>1</v>
      </c>
      <c r="N13" t="n">
        <v>0</v>
      </c>
      <c r="O13" t="n">
        <v>0</v>
      </c>
      <c r="P13" t="n">
        <v>0</v>
      </c>
      <c r="Q13" t="n">
        <v>6</v>
      </c>
      <c r="R13" t="n">
        <v>1</v>
      </c>
      <c r="S13" t="n">
        <v>15</v>
      </c>
      <c r="T13" t="n">
        <v>24</v>
      </c>
      <c r="U13" t="n">
        <v>9</v>
      </c>
      <c r="V13" s="2" t="inlineStr">
        <is>
          <t>Knärot
Brunlångöra
Dropptaggsvamp
Nordfladdermus
Orange taggsvamp
Talltita
Mindre märgborre
Vedticka
Västlig hakmossa
Stjärtmes
Tjäder
Tofsmes
Dvärgpipistrell
Svartvit flugsnappare
Revlummer</t>
        </is>
      </c>
      <c r="W13">
        <f>HYPERLINK("https://klasma.github.io/Logging_1907/artfynd/S 2049-2026 artfynd.xlsx", "S 2049-2026")</f>
        <v/>
      </c>
      <c r="X13">
        <f>HYPERLINK("https://klasma.github.io/Logging_1907/kartor/S 2049-2026 karta.png", "S 2049-2026")</f>
        <v/>
      </c>
      <c r="Y13">
        <f>HYPERLINK("https://klasma.github.io/Logging_1907/kartor_geotiff/S 2049-2026 georefererad karta.tif", "S 2049-2026")</f>
        <v/>
      </c>
      <c r="Z13">
        <f>HYPERLINK("https://klasma.github.io/Logging_1907/knärot/S 2049-2026 karta knärot.png", "S 2049-2026")</f>
        <v/>
      </c>
      <c r="AA13">
        <f>HYPERLINK("https://klasma.github.io/Logging_1907/klagomål/S 2049-2026 FSC-klagomål.docx", "S 2049-2026")</f>
        <v/>
      </c>
      <c r="AB13">
        <f>HYPERLINK("https://klasma.github.io/Logging_1907/klagomålsmail/S 2049-2026 FSC-klagomål mail.docx", "S 2049-2026")</f>
        <v/>
      </c>
      <c r="AC13">
        <f>HYPERLINK("https://klasma.github.io/Logging_1907/tillsyn/S 2049-2026 tillsynsbegäran.docx", "S 2049-2026")</f>
        <v/>
      </c>
      <c r="AD13">
        <f>HYPERLINK("https://klasma.github.io/Logging_1907/tillsynsmail/S 2049-2026 tillsynsbegäran mail.docx", "S 2049-2026")</f>
        <v/>
      </c>
      <c r="AE13">
        <f>HYPERLINK("https://klasma.github.io/Logging_1907/fåglar/S 2049-2026 prioriterade fågelarter.docx", "S 2049-2026")</f>
        <v/>
      </c>
    </row>
    <row r="14" ht="15" customHeight="1">
      <c r="A14" t="inlineStr">
        <is>
          <t>A 32212-2026</t>
        </is>
      </c>
      <c r="B14" t="inlineStr">
        <is>
          <t>avverkningsanmälan</t>
        </is>
      </c>
      <c r="C14" t="inlineStr">
        <is>
          <t>Föryngringsavverkning</t>
        </is>
      </c>
      <c r="D14" s="1" t="n">
        <v>46237</v>
      </c>
      <c r="E14" s="1" t="n">
        <v>46304</v>
      </c>
      <c r="F14" t="inlineStr">
        <is>
          <t>VÄSTMANLANDS LÄN</t>
        </is>
      </c>
      <c r="G14" t="inlineStr">
        <is>
          <t>SURAHAMMAR</t>
        </is>
      </c>
      <c r="H14" t="inlineStr">
        <is>
          <t>Allmännings- och besparingsskogar</t>
        </is>
      </c>
      <c r="I14" t="n">
        <v>9.6</v>
      </c>
      <c r="J14" t="n">
        <v>14</v>
      </c>
      <c r="K14" t="n">
        <v>0</v>
      </c>
      <c r="L14" t="n">
        <v>4</v>
      </c>
      <c r="M14" t="n">
        <v>0</v>
      </c>
      <c r="N14" t="n">
        <v>1</v>
      </c>
      <c r="O14" t="n">
        <v>0</v>
      </c>
      <c r="P14" t="n">
        <v>0</v>
      </c>
      <c r="Q14" t="n">
        <v>5</v>
      </c>
      <c r="R14" t="n">
        <v>1</v>
      </c>
      <c r="S14" t="n">
        <v>14</v>
      </c>
      <c r="T14" t="n">
        <v>15</v>
      </c>
      <c r="U14" t="n">
        <v>0</v>
      </c>
      <c r="V14" s="2" t="inlineStr">
        <is>
          <t>Pärluggla
Björktrast
Kungsörn
Nötkråka
Tretåig hackspett
Järpe
Nattskärra
Spillkråka
Tjäder
Buskskvätta
Fiskgjuse
Havsörn
Orre
Trädlärka</t>
        </is>
      </c>
      <c r="W14">
        <f>HYPERLINK("https://klasma.github.io/Logging_1907/artfynd/A 32212-2026 artfynd.xlsx", "A 32212-2026")</f>
        <v/>
      </c>
      <c r="X14">
        <f>HYPERLINK("https://klasma.github.io/Logging_1907/kartor/A 32212-2026 karta.png", "A 32212-2026")</f>
        <v/>
      </c>
      <c r="Y14">
        <f>HYPERLINK("https://klasma.github.io/Logging_1907/kartor_geotiff/A 32212-2026 georefererad karta.tif", "A 32212-2026")</f>
        <v/>
      </c>
      <c r="AA14">
        <f>HYPERLINK("https://klasma.github.io/Logging_1907/klagomål/A 32212-2026 FSC-klagomål.docx", "A 32212-2026")</f>
        <v/>
      </c>
      <c r="AB14">
        <f>HYPERLINK("https://klasma.github.io/Logging_1907/klagomålsmail/A 32212-2026 FSC-klagomål mail.docx", "A 32212-2026")</f>
        <v/>
      </c>
      <c r="AC14">
        <f>HYPERLINK("https://klasma.github.io/Logging_1907/tillsyn/A 32212-2026 tillsynsbegäran.docx", "A 32212-2026")</f>
        <v/>
      </c>
      <c r="AD14">
        <f>HYPERLINK("https://klasma.github.io/Logging_1907/tillsynsmail/A 32212-2026 tillsynsbegäran mail.docx", "A 32212-2026")</f>
        <v/>
      </c>
      <c r="AE14">
        <f>HYPERLINK("https://klasma.github.io/Logging_1907/fåglar/A 32212-2026 prioriterade fågelarter.docx", "A 32212-2026")</f>
        <v/>
      </c>
    </row>
    <row r="15" ht="15" customHeight="1">
      <c r="A15" t="inlineStr">
        <is>
          <t>S 1051-2022</t>
        </is>
      </c>
      <c r="B15" t="inlineStr">
        <is>
          <t>samrådsanmälan</t>
        </is>
      </c>
      <c r="C15" t="inlineStr">
        <is>
          <t>Annan skogsbruksåtgärd</t>
        </is>
      </c>
      <c r="D15" s="1" t="n">
        <v>44613</v>
      </c>
      <c r="E15" s="1" t="n">
        <v>46304</v>
      </c>
      <c r="F15" t="inlineStr">
        <is>
          <t>VÄSTMANLANDS LÄN</t>
        </is>
      </c>
      <c r="G15" t="inlineStr">
        <is>
          <t>SURAHAMMAR</t>
        </is>
      </c>
      <c r="H15" t="inlineStr">
        <is>
          <t>Bergvik skog väst AB</t>
        </is>
      </c>
      <c r="I15" t="n">
        <v>12.3</v>
      </c>
      <c r="J15" t="n">
        <v>1</v>
      </c>
      <c r="K15" t="n">
        <v>3</v>
      </c>
      <c r="L15" t="n">
        <v>9</v>
      </c>
      <c r="M15" t="n">
        <v>2</v>
      </c>
      <c r="N15" t="n">
        <v>0</v>
      </c>
      <c r="O15" t="n">
        <v>0</v>
      </c>
      <c r="P15" t="n">
        <v>0</v>
      </c>
      <c r="Q15" t="n">
        <v>11</v>
      </c>
      <c r="R15" t="n">
        <v>2</v>
      </c>
      <c r="S15" t="n">
        <v>14</v>
      </c>
      <c r="T15" t="n">
        <v>53</v>
      </c>
      <c r="U15" t="n">
        <v>1</v>
      </c>
      <c r="V15" s="2" t="inlineStr">
        <is>
          <t>Garnlav
Skrovlig taggsvamp
Blå taggsvamp
Dropptaggsvamp
Grantaggsvamp
Hängticka
Motaggsvamp
Orange taggsvamp
Sotvaxskivling
Svartvit taggsvamp
Vedskivlav
Blåmossa
Plattlummer
Vedticka</t>
        </is>
      </c>
      <c r="W15">
        <f>HYPERLINK("https://klasma.github.io/Logging_1907/artfynd/S 1051-2022 artfynd.xlsx", "S 1051-2022")</f>
        <v/>
      </c>
      <c r="X15">
        <f>HYPERLINK("https://klasma.github.io/Logging_1907/kartor/S 1051-2022 karta.png", "S 1051-2022")</f>
        <v/>
      </c>
      <c r="Y15">
        <f>HYPERLINK("https://klasma.github.io/Logging_1907/kartor_geotiff/S 1051-2022 georefererad karta.tif", "S 1051-2022")</f>
        <v/>
      </c>
      <c r="AA15">
        <f>HYPERLINK("https://klasma.github.io/Logging_1907/klagomål/S 1051-2022 FSC-klagomål.docx", "S 1051-2022")</f>
        <v/>
      </c>
      <c r="AB15">
        <f>HYPERLINK("https://klasma.github.io/Logging_1907/klagomålsmail/S 1051-2022 FSC-klagomål mail.docx", "S 1051-2022")</f>
        <v/>
      </c>
      <c r="AC15">
        <f>HYPERLINK("https://klasma.github.io/Logging_1907/tillsyn/S 1051-2022 tillsynsbegäran.docx", "S 1051-2022")</f>
        <v/>
      </c>
      <c r="AD15">
        <f>HYPERLINK("https://klasma.github.io/Logging_1907/tillsynsmail/S 1051-2022 tillsynsbegäran mail.docx", "S 1051-2022")</f>
        <v/>
      </c>
    </row>
    <row r="16" ht="15" customHeight="1">
      <c r="A16" t="inlineStr">
        <is>
          <t>S 610-2026</t>
        </is>
      </c>
      <c r="B16" t="inlineStr">
        <is>
          <t>samrådsanmälan</t>
        </is>
      </c>
      <c r="C16" t="inlineStr">
        <is>
          <t>Skogsgödsling</t>
        </is>
      </c>
      <c r="D16" s="1" t="n">
        <v>46085</v>
      </c>
      <c r="E16" s="1" t="n">
        <v>46304</v>
      </c>
      <c r="F16" t="inlineStr">
        <is>
          <t>VÄSTMANLANDS LÄN</t>
        </is>
      </c>
      <c r="G16" t="inlineStr">
        <is>
          <t>SURAHAMMAR</t>
        </is>
      </c>
      <c r="H16" t="inlineStr">
        <is>
          <t>Bergvik skog väst AB</t>
        </is>
      </c>
      <c r="I16" t="n">
        <v>74.90000000000001</v>
      </c>
      <c r="J16" t="n">
        <v>7</v>
      </c>
      <c r="K16" t="n">
        <v>2</v>
      </c>
      <c r="L16" t="n">
        <v>6</v>
      </c>
      <c r="M16" t="n">
        <v>1</v>
      </c>
      <c r="N16" t="n">
        <v>0</v>
      </c>
      <c r="O16" t="n">
        <v>0</v>
      </c>
      <c r="P16" t="n">
        <v>0</v>
      </c>
      <c r="Q16" t="n">
        <v>7</v>
      </c>
      <c r="R16" t="n">
        <v>1</v>
      </c>
      <c r="S16" t="n">
        <v>14</v>
      </c>
      <c r="T16" t="n">
        <v>37</v>
      </c>
      <c r="U16" t="n">
        <v>4</v>
      </c>
      <c r="V16" s="2" t="inlineStr">
        <is>
          <t>Brunfläckig pärlemorfjäril
Berggräsfjäril
Brunklöver
Motaggsvamp
Scharlakansvaxing
Svinrot
Talltita
Mindre märgborre
Plattlummer
Mattlummer
Tjäder
Buskmus
Törnskata
Revlummer</t>
        </is>
      </c>
      <c r="W16">
        <f>HYPERLINK("https://klasma.github.io/Logging_1907/artfynd/S 610-2026 artfynd.xlsx", "S 610-2026")</f>
        <v/>
      </c>
      <c r="X16">
        <f>HYPERLINK("https://klasma.github.io/Logging_1907/kartor/S 610-2026 karta.png", "S 610-2026")</f>
        <v/>
      </c>
      <c r="Y16">
        <f>HYPERLINK("https://klasma.github.io/Logging_1907/kartor_geotiff/S 610-2026 georefererad karta.tif", "S 610-2026")</f>
        <v/>
      </c>
      <c r="AA16">
        <f>HYPERLINK("https://klasma.github.io/Logging_1907/klagomål/S 610-2026 FSC-klagomål.docx", "S 610-2026")</f>
        <v/>
      </c>
      <c r="AB16">
        <f>HYPERLINK("https://klasma.github.io/Logging_1907/klagomålsmail/S 610-2026 FSC-klagomål mail.docx", "S 610-2026")</f>
        <v/>
      </c>
      <c r="AC16">
        <f>HYPERLINK("https://klasma.github.io/Logging_1907/tillsyn/S 610-2026 tillsynsbegäran.docx", "S 610-2026")</f>
        <v/>
      </c>
      <c r="AD16">
        <f>HYPERLINK("https://klasma.github.io/Logging_1907/tillsynsmail/S 610-2026 tillsynsbegäran mail.docx", "S 610-2026")</f>
        <v/>
      </c>
      <c r="AE16">
        <f>HYPERLINK("https://klasma.github.io/Logging_1907/fåglar/S 610-2026 prioriterade fågelarter.docx", "S 610-2026")</f>
        <v/>
      </c>
    </row>
    <row r="17" ht="15" customHeight="1">
      <c r="A17" t="inlineStr">
        <is>
          <t>A 20389-2024</t>
        </is>
      </c>
      <c r="B17" t="inlineStr">
        <is>
          <t>avverkningsanmälan</t>
        </is>
      </c>
      <c r="C17" t="inlineStr">
        <is>
          <t>Föryngringsavverkning</t>
        </is>
      </c>
      <c r="D17" s="1" t="n">
        <v>45435</v>
      </c>
      <c r="E17" s="1" t="n">
        <v>46304</v>
      </c>
      <c r="F17" t="inlineStr">
        <is>
          <t>VÄSTMANLANDS LÄN</t>
        </is>
      </c>
      <c r="G17" t="inlineStr">
        <is>
          <t>SURAHAMMAR</t>
        </is>
      </c>
      <c r="I17" t="n">
        <v>1.5</v>
      </c>
      <c r="J17" t="n">
        <v>3</v>
      </c>
      <c r="K17" t="n">
        <v>7</v>
      </c>
      <c r="L17" t="n">
        <v>4</v>
      </c>
      <c r="M17" t="n">
        <v>1</v>
      </c>
      <c r="N17" t="n">
        <v>0</v>
      </c>
      <c r="O17" t="n">
        <v>0</v>
      </c>
      <c r="P17" t="n">
        <v>0</v>
      </c>
      <c r="Q17" t="n">
        <v>5</v>
      </c>
      <c r="R17" t="n">
        <v>1</v>
      </c>
      <c r="S17" t="n">
        <v>13</v>
      </c>
      <c r="T17" t="n">
        <v>32</v>
      </c>
      <c r="U17" t="n">
        <v>29</v>
      </c>
      <c r="V17" s="2" t="inlineStr">
        <is>
          <t>Knärot
Gropticka
Kattfotslav
Ullticka
Vedtrappmossa
Blomkålssvamp
Bollvitmossa
Bronshjon
Grön sköldmossa
Rödgul trumpetsvamp
Vedticka
Vågbandad barkbock
Havsörn</t>
        </is>
      </c>
      <c r="W17">
        <f>HYPERLINK("https://klasma.github.io/Logging_1907/artfynd/A 20389-2024 artfynd.xlsx", "A 20389-2024")</f>
        <v/>
      </c>
      <c r="X17">
        <f>HYPERLINK("https://klasma.github.io/Logging_1907/kartor/A 20389-2024 karta.png", "A 20389-2024")</f>
        <v/>
      </c>
      <c r="Y17">
        <f>HYPERLINK("https://klasma.github.io/Logging_1907/kartor_geotiff/A 20389-2024 georefererad karta.tif", "A 20389-2024")</f>
        <v/>
      </c>
      <c r="Z17">
        <f>HYPERLINK("https://klasma.github.io/Logging_1907/knärot/A 20389-2024 karta knärot.png", "A 20389-2024")</f>
        <v/>
      </c>
      <c r="AA17">
        <f>HYPERLINK("https://klasma.github.io/Logging_1907/klagomål/A 20389-2024 FSC-klagomål.docx", "A 20389-2024")</f>
        <v/>
      </c>
      <c r="AB17">
        <f>HYPERLINK("https://klasma.github.io/Logging_1907/klagomålsmail/A 20389-2024 FSC-klagomål mail.docx", "A 20389-2024")</f>
        <v/>
      </c>
      <c r="AC17">
        <f>HYPERLINK("https://klasma.github.io/Logging_1907/tillsyn/A 20389-2024 tillsynsbegäran.docx", "A 20389-2024")</f>
        <v/>
      </c>
      <c r="AD17">
        <f>HYPERLINK("https://klasma.github.io/Logging_1907/tillsynsmail/A 20389-2024 tillsynsbegäran mail.docx", "A 20389-2024")</f>
        <v/>
      </c>
      <c r="AE17">
        <f>HYPERLINK("https://klasma.github.io/Logging_1907/fåglar/A 20389-2024 prioriterade fågelarter.docx", "A 20389-2024")</f>
        <v/>
      </c>
    </row>
    <row r="18" ht="15" customHeight="1">
      <c r="A18" t="inlineStr">
        <is>
          <t>A 31059-2026</t>
        </is>
      </c>
      <c r="B18" t="inlineStr">
        <is>
          <t>avverkningsanmälan</t>
        </is>
      </c>
      <c r="C18" t="inlineStr">
        <is>
          <t>Föryngringsavverkning</t>
        </is>
      </c>
      <c r="D18" s="1" t="n">
        <v>46215</v>
      </c>
      <c r="E18" s="1" t="n">
        <v>46304</v>
      </c>
      <c r="F18" t="inlineStr">
        <is>
          <t>VÄSTMANLANDS LÄN</t>
        </is>
      </c>
      <c r="G18" t="inlineStr">
        <is>
          <t>SURAHAMMAR</t>
        </is>
      </c>
      <c r="H18" t="inlineStr">
        <is>
          <t>Sveaskog</t>
        </is>
      </c>
      <c r="I18" t="n">
        <v>2</v>
      </c>
      <c r="J18" t="n">
        <v>11</v>
      </c>
      <c r="K18" t="n">
        <v>1</v>
      </c>
      <c r="L18" t="n">
        <v>5</v>
      </c>
      <c r="M18" t="n">
        <v>0</v>
      </c>
      <c r="N18" t="n">
        <v>1</v>
      </c>
      <c r="O18" t="n">
        <v>0</v>
      </c>
      <c r="P18" t="n">
        <v>0</v>
      </c>
      <c r="Q18" t="n">
        <v>6</v>
      </c>
      <c r="R18" t="n">
        <v>1</v>
      </c>
      <c r="S18" t="n">
        <v>13</v>
      </c>
      <c r="T18" t="n">
        <v>26</v>
      </c>
      <c r="U18" t="n">
        <v>3</v>
      </c>
      <c r="V18" s="2" t="inlineStr">
        <is>
          <t>Bombmurkla
Brunlångöra
Dofttaggsvamp
Nordfladdermus
Talltita
Vårärt
Grönkulla
Blåsippa
Dvärgpipistrell
Åkergroda
Nattviol
Lopplummer (aggregat)
Revlummer</t>
        </is>
      </c>
      <c r="W18">
        <f>HYPERLINK("https://klasma.github.io/Logging_1907/artfynd/A 31059-2026 artfynd.xlsx", "A 31059-2026")</f>
        <v/>
      </c>
      <c r="X18">
        <f>HYPERLINK("https://klasma.github.io/Logging_1907/kartor/A 31059-2026 karta.png", "A 31059-2026")</f>
        <v/>
      </c>
      <c r="Y18">
        <f>HYPERLINK("https://klasma.github.io/Logging_1907/kartor_geotiff/A 31059-2026 georefererad karta.tif", "A 31059-2026")</f>
        <v/>
      </c>
      <c r="AA18">
        <f>HYPERLINK("https://klasma.github.io/Logging_1907/klagomål/A 31059-2026 FSC-klagomål.docx", "A 31059-2026")</f>
        <v/>
      </c>
      <c r="AB18">
        <f>HYPERLINK("https://klasma.github.io/Logging_1907/klagomålsmail/A 31059-2026 FSC-klagomål mail.docx", "A 31059-2026")</f>
        <v/>
      </c>
      <c r="AC18">
        <f>HYPERLINK("https://klasma.github.io/Logging_1907/tillsyn/A 31059-2026 tillsynsbegäran.docx", "A 31059-2026")</f>
        <v/>
      </c>
      <c r="AD18">
        <f>HYPERLINK("https://klasma.github.io/Logging_1907/tillsynsmail/A 31059-2026 tillsynsbegäran mail.docx", "A 31059-2026")</f>
        <v/>
      </c>
      <c r="AE18">
        <f>HYPERLINK("https://klasma.github.io/Logging_1907/fåglar/A 31059-2026 prioriterade fågelarter.docx", "A 31059-2026")</f>
        <v/>
      </c>
    </row>
    <row r="19" ht="15" customHeight="1">
      <c r="A19" t="inlineStr">
        <is>
          <t>A 39594-2025</t>
        </is>
      </c>
      <c r="B19" t="inlineStr">
        <is>
          <t>avverkningsanmälan</t>
        </is>
      </c>
      <c r="C19" t="inlineStr">
        <is>
          <t>Föryngringsavverkning</t>
        </is>
      </c>
      <c r="D19" s="1" t="n">
        <v>45890</v>
      </c>
      <c r="E19" s="1" t="n">
        <v>46304</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46304</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46304</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46304</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46304</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20391-2024</t>
        </is>
      </c>
      <c r="B24" t="inlineStr">
        <is>
          <t>avverkningsanmälan</t>
        </is>
      </c>
      <c r="C24" t="inlineStr">
        <is>
          <t>Föryngringsavverkning</t>
        </is>
      </c>
      <c r="D24" s="1" t="n">
        <v>45435</v>
      </c>
      <c r="E24" s="1" t="n">
        <v>46304</v>
      </c>
      <c r="F24" t="inlineStr">
        <is>
          <t>VÄSTMANLANDS LÄN</t>
        </is>
      </c>
      <c r="G24" t="inlineStr">
        <is>
          <t>SURAHAMMAR</t>
        </is>
      </c>
      <c r="I24" t="n">
        <v>1.5</v>
      </c>
      <c r="J24" t="n">
        <v>5</v>
      </c>
      <c r="K24" t="n">
        <v>1</v>
      </c>
      <c r="L24" t="n">
        <v>6</v>
      </c>
      <c r="M24" t="n">
        <v>0</v>
      </c>
      <c r="N24" t="n">
        <v>0</v>
      </c>
      <c r="O24" t="n">
        <v>0</v>
      </c>
      <c r="P24" t="n">
        <v>0</v>
      </c>
      <c r="Q24" t="n">
        <v>6</v>
      </c>
      <c r="R24" t="n">
        <v>0</v>
      </c>
      <c r="S24" t="n">
        <v>9</v>
      </c>
      <c r="T24" t="n">
        <v>10</v>
      </c>
      <c r="U24" t="n">
        <v>1</v>
      </c>
      <c r="V24" s="2" t="inlineStr">
        <is>
          <t>Duvhök
Kattfotslav
Sparvuggla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31060-2026</t>
        </is>
      </c>
      <c r="B25" t="inlineStr">
        <is>
          <t>avverkningsanmälan</t>
        </is>
      </c>
      <c r="C25" t="inlineStr">
        <is>
          <t>Föryngringsavverkning</t>
        </is>
      </c>
      <c r="D25" s="1" t="n">
        <v>46215</v>
      </c>
      <c r="E25" s="1" t="n">
        <v>46304</v>
      </c>
      <c r="F25" t="inlineStr">
        <is>
          <t>VÄSTMANLANDS LÄN</t>
        </is>
      </c>
      <c r="G25" t="inlineStr">
        <is>
          <t>SURAHAMMAR</t>
        </is>
      </c>
      <c r="H25" t="inlineStr">
        <is>
          <t>Sveaskog</t>
        </is>
      </c>
      <c r="I25" t="n">
        <v>7.8</v>
      </c>
      <c r="J25" t="n">
        <v>7</v>
      </c>
      <c r="K25" t="n">
        <v>2</v>
      </c>
      <c r="L25" t="n">
        <v>2</v>
      </c>
      <c r="M25" t="n">
        <v>0</v>
      </c>
      <c r="N25" t="n">
        <v>1</v>
      </c>
      <c r="O25" t="n">
        <v>0</v>
      </c>
      <c r="P25" t="n">
        <v>0</v>
      </c>
      <c r="Q25" t="n">
        <v>3</v>
      </c>
      <c r="R25" t="n">
        <v>1</v>
      </c>
      <c r="S25" t="n">
        <v>9</v>
      </c>
      <c r="T25" t="n">
        <v>9</v>
      </c>
      <c r="U25" t="n">
        <v>3</v>
      </c>
      <c r="V25" s="2" t="inlineStr">
        <is>
          <t>Bombmurkla
Brunlångöra
Nordfladdermus
Springkorn
Vedticka
Spillkråka
Dvärgpipistrell
Åkergroda
Vanlig groda</t>
        </is>
      </c>
      <c r="W25">
        <f>HYPERLINK("https://klasma.github.io/Logging_1907/artfynd/A 31060-2026 artfynd.xlsx", "A 31060-2026")</f>
        <v/>
      </c>
      <c r="X25">
        <f>HYPERLINK("https://klasma.github.io/Logging_1907/kartor/A 31060-2026 karta.png", "A 31060-2026")</f>
        <v/>
      </c>
      <c r="Y25">
        <f>HYPERLINK("https://klasma.github.io/Logging_1907/kartor_geotiff/A 31060-2026 georefererad karta.tif", "A 31060-2026")</f>
        <v/>
      </c>
      <c r="AA25">
        <f>HYPERLINK("https://klasma.github.io/Logging_1907/klagomål/A 31060-2026 FSC-klagomål.docx", "A 31060-2026")</f>
        <v/>
      </c>
      <c r="AB25">
        <f>HYPERLINK("https://klasma.github.io/Logging_1907/klagomålsmail/A 31060-2026 FSC-klagomål mail.docx", "A 31060-2026")</f>
        <v/>
      </c>
      <c r="AC25">
        <f>HYPERLINK("https://klasma.github.io/Logging_1907/tillsyn/A 31060-2026 tillsynsbegäran.docx", "A 31060-2026")</f>
        <v/>
      </c>
      <c r="AD25">
        <f>HYPERLINK("https://klasma.github.io/Logging_1907/tillsynsmail/A 31060-2026 tillsynsbegäran mail.docx", "A 31060-2026")</f>
        <v/>
      </c>
      <c r="AE25">
        <f>HYPERLINK("https://klasma.github.io/Logging_1907/fåglar/A 31060-2026 prioriterade fågelarter.docx", "A 31060-2026")</f>
        <v/>
      </c>
    </row>
    <row r="26" ht="15" customHeight="1">
      <c r="A26" t="inlineStr">
        <is>
          <t>A 44798-2024</t>
        </is>
      </c>
      <c r="B26" t="inlineStr">
        <is>
          <t>avverkningsanmälan</t>
        </is>
      </c>
      <c r="C26" t="inlineStr">
        <is>
          <t>Föryngringsavverkning</t>
        </is>
      </c>
      <c r="D26" s="1" t="n">
        <v>45574</v>
      </c>
      <c r="E26" s="1" t="n">
        <v>46304</v>
      </c>
      <c r="F26" t="inlineStr">
        <is>
          <t>VÄSTMANLANDS LÄN</t>
        </is>
      </c>
      <c r="G26" t="inlineStr">
        <is>
          <t>SURAHAMMAR</t>
        </is>
      </c>
      <c r="H26" t="inlineStr">
        <is>
          <t>Bergvik skog väst AB</t>
        </is>
      </c>
      <c r="I26" t="n">
        <v>4.4</v>
      </c>
      <c r="J26" t="n">
        <v>0</v>
      </c>
      <c r="K26" t="n">
        <v>1</v>
      </c>
      <c r="L26" t="n">
        <v>7</v>
      </c>
      <c r="M26" t="n">
        <v>1</v>
      </c>
      <c r="N26" t="n">
        <v>0</v>
      </c>
      <c r="O26" t="n">
        <v>0</v>
      </c>
      <c r="P26" t="n">
        <v>0</v>
      </c>
      <c r="Q26" t="n">
        <v>8</v>
      </c>
      <c r="R26" t="n">
        <v>1</v>
      </c>
      <c r="S26" t="n">
        <v>9</v>
      </c>
      <c r="T26" t="n">
        <v>26</v>
      </c>
      <c r="U26" t="n">
        <v>10</v>
      </c>
      <c r="V26" s="2" t="inlineStr">
        <is>
          <t>Rosetticka
Brunklöver
Gropticka
Persiljespindling
Scharlakansvaxing
Svinrot
Ullticka
Vågticka
Brandticka</t>
        </is>
      </c>
      <c r="W26">
        <f>HYPERLINK("https://klasma.github.io/Logging_1907/artfynd/A 44798-2024 artfynd.xlsx", "A 44798-2024")</f>
        <v/>
      </c>
      <c r="X26">
        <f>HYPERLINK("https://klasma.github.io/Logging_1907/kartor/A 44798-2024 karta.png", "A 44798-2024")</f>
        <v/>
      </c>
      <c r="Y26">
        <f>HYPERLINK("https://klasma.github.io/Logging_1907/kartor_geotiff/A 44798-2024 georefererad karta.tif", "A 44798-2024")</f>
        <v/>
      </c>
      <c r="AA26">
        <f>HYPERLINK("https://klasma.github.io/Logging_1907/klagomål/A 44798-2024 FSC-klagomål.docx", "A 44798-2024")</f>
        <v/>
      </c>
      <c r="AB26">
        <f>HYPERLINK("https://klasma.github.io/Logging_1907/klagomålsmail/A 44798-2024 FSC-klagomål mail.docx", "A 44798-2024")</f>
        <v/>
      </c>
      <c r="AC26">
        <f>HYPERLINK("https://klasma.github.io/Logging_1907/tillsyn/A 44798-2024 tillsynsbegäran.docx", "A 44798-2024")</f>
        <v/>
      </c>
      <c r="AD26">
        <f>HYPERLINK("https://klasma.github.io/Logging_1907/tillsynsmail/A 44798-2024 tillsynsbegäran mail.docx", "A 44798-2024")</f>
        <v/>
      </c>
    </row>
    <row r="27" ht="15" customHeight="1">
      <c r="A27" t="inlineStr">
        <is>
          <t>A 38172-2024</t>
        </is>
      </c>
      <c r="B27" t="inlineStr">
        <is>
          <t>avverkningsanmälan</t>
        </is>
      </c>
      <c r="C27" t="inlineStr">
        <is>
          <t>Avverkning för att bevara och utveckla /försöksver</t>
        </is>
      </c>
      <c r="D27" s="1" t="n">
        <v>45545</v>
      </c>
      <c r="E27" s="1" t="n">
        <v>46304</v>
      </c>
      <c r="F27" t="inlineStr">
        <is>
          <t>VÄSTMANLANDS LÄN</t>
        </is>
      </c>
      <c r="G27" t="inlineStr">
        <is>
          <t>SURAHAMMAR</t>
        </is>
      </c>
      <c r="H27" t="inlineStr">
        <is>
          <t>Sveaskog</t>
        </is>
      </c>
      <c r="I27" t="n">
        <v>5.2</v>
      </c>
      <c r="J27" t="n">
        <v>6</v>
      </c>
      <c r="K27" t="n">
        <v>0</v>
      </c>
      <c r="L27" t="n">
        <v>3</v>
      </c>
      <c r="M27" t="n">
        <v>1</v>
      </c>
      <c r="N27" t="n">
        <v>0</v>
      </c>
      <c r="O27" t="n">
        <v>0</v>
      </c>
      <c r="P27" t="n">
        <v>0</v>
      </c>
      <c r="Q27" t="n">
        <v>4</v>
      </c>
      <c r="R27" t="n">
        <v>1</v>
      </c>
      <c r="S27" t="n">
        <v>8</v>
      </c>
      <c r="T27" t="n">
        <v>10</v>
      </c>
      <c r="U27" t="n">
        <v>4</v>
      </c>
      <c r="V27" s="2" t="inlineStr">
        <is>
          <t>Knärot
Gropticka
Sädesärla
Vedtrappmossa
Stjärtmes
Vanlig snok
Lopplummer (aggregat)
Revlummer</t>
        </is>
      </c>
      <c r="W27">
        <f>HYPERLINK("https://klasma.github.io/Logging_1907/artfynd/A 38172-2024 artfynd.xlsx", "A 38172-2024")</f>
        <v/>
      </c>
      <c r="X27">
        <f>HYPERLINK("https://klasma.github.io/Logging_1907/kartor/A 38172-2024 karta.png", "A 38172-2024")</f>
        <v/>
      </c>
      <c r="Y27">
        <f>HYPERLINK("https://klasma.github.io/Logging_1907/kartor_geotiff/A 38172-2024 georefererad karta.tif", "A 38172-2024")</f>
        <v/>
      </c>
      <c r="Z27">
        <f>HYPERLINK("https://klasma.github.io/Logging_1907/knärot/A 38172-2024 karta knärot.png", "A 38172-2024")</f>
        <v/>
      </c>
      <c r="AA27">
        <f>HYPERLINK("https://klasma.github.io/Logging_1907/klagomål/A 38172-2024 FSC-klagomål.docx", "A 38172-2024")</f>
        <v/>
      </c>
      <c r="AB27">
        <f>HYPERLINK("https://klasma.github.io/Logging_1907/klagomålsmail/A 38172-2024 FSC-klagomål mail.docx", "A 38172-2024")</f>
        <v/>
      </c>
      <c r="AC27">
        <f>HYPERLINK("https://klasma.github.io/Logging_1907/tillsyn/A 38172-2024 tillsynsbegäran.docx", "A 38172-2024")</f>
        <v/>
      </c>
      <c r="AD27">
        <f>HYPERLINK("https://klasma.github.io/Logging_1907/tillsynsmail/A 38172-2024 tillsynsbegäran mail.docx", "A 38172-2024")</f>
        <v/>
      </c>
      <c r="AE27">
        <f>HYPERLINK("https://klasma.github.io/Logging_1907/fåglar/A 38172-2024 prioriterade fågelarter.docx", "A 38172-2024")</f>
        <v/>
      </c>
    </row>
    <row r="28" ht="15" customHeight="1">
      <c r="A28" t="inlineStr">
        <is>
          <t>A 66349-2021</t>
        </is>
      </c>
      <c r="B28" t="inlineStr">
        <is>
          <t>avverkningsanmälan</t>
        </is>
      </c>
      <c r="C28" t="inlineStr">
        <is>
          <t>Föryngringsavverkning</t>
        </is>
      </c>
      <c r="D28" s="1" t="n">
        <v>44518</v>
      </c>
      <c r="E28" s="1" t="n">
        <v>46304</v>
      </c>
      <c r="F28" t="inlineStr">
        <is>
          <t>VÄSTMANLANDS LÄN</t>
        </is>
      </c>
      <c r="G28" t="inlineStr">
        <is>
          <t>SURAHAMMAR</t>
        </is>
      </c>
      <c r="H28" t="inlineStr">
        <is>
          <t>Sveaskog</t>
        </is>
      </c>
      <c r="I28" t="n">
        <v>6</v>
      </c>
      <c r="J28" t="n">
        <v>3</v>
      </c>
      <c r="K28" t="n">
        <v>1</v>
      </c>
      <c r="L28" t="n">
        <v>2</v>
      </c>
      <c r="M28" t="n">
        <v>2</v>
      </c>
      <c r="N28" t="n">
        <v>0</v>
      </c>
      <c r="O28" t="n">
        <v>0</v>
      </c>
      <c r="P28" t="n">
        <v>0</v>
      </c>
      <c r="Q28" t="n">
        <v>4</v>
      </c>
      <c r="R28" t="n">
        <v>2</v>
      </c>
      <c r="S28" t="n">
        <v>7</v>
      </c>
      <c r="T28" t="n">
        <v>10</v>
      </c>
      <c r="U28" t="n">
        <v>10</v>
      </c>
      <c r="V28" s="2" t="inlineStr">
        <is>
          <t>Silverblåvinge
Ängsblåvinge
Järnsparv
Krusfrö
Bronshjon
Kråka
Fläcknycklar</t>
        </is>
      </c>
      <c r="W28">
        <f>HYPERLINK("https://klasma.github.io/Logging_1907/artfynd/A 66349-2021 artfynd.xlsx", "A 66349-2021")</f>
        <v/>
      </c>
      <c r="X28">
        <f>HYPERLINK("https://klasma.github.io/Logging_1907/kartor/A 66349-2021 karta.png", "A 66349-2021")</f>
        <v/>
      </c>
      <c r="Y28">
        <f>HYPERLINK("https://klasma.github.io/Logging_1907/kartor_geotiff/A 66349-2021 georefererad karta.tif", "A 66349-2021")</f>
        <v/>
      </c>
      <c r="AA28">
        <f>HYPERLINK("https://klasma.github.io/Logging_1907/klagomål/A 66349-2021 FSC-klagomål.docx", "A 66349-2021")</f>
        <v/>
      </c>
      <c r="AB28">
        <f>HYPERLINK("https://klasma.github.io/Logging_1907/klagomålsmail/A 66349-2021 FSC-klagomål mail.docx", "A 66349-2021")</f>
        <v/>
      </c>
      <c r="AC28">
        <f>HYPERLINK("https://klasma.github.io/Logging_1907/tillsyn/A 66349-2021 tillsynsbegäran.docx", "A 66349-2021")</f>
        <v/>
      </c>
      <c r="AD28">
        <f>HYPERLINK("https://klasma.github.io/Logging_1907/tillsynsmail/A 66349-2021 tillsynsbegäran mail.docx", "A 66349-2021")</f>
        <v/>
      </c>
      <c r="AE28">
        <f>HYPERLINK("https://klasma.github.io/Logging_1907/fåglar/A 66349-2021 prioriterade fågelarter.docx", "A 66349-2021")</f>
        <v/>
      </c>
    </row>
    <row r="29" ht="15" customHeight="1">
      <c r="A29" t="inlineStr">
        <is>
          <t>A 48891-2023</t>
        </is>
      </c>
      <c r="B29" t="inlineStr">
        <is>
          <t>avverkningsanmälan</t>
        </is>
      </c>
      <c r="C29" t="inlineStr">
        <is>
          <t>Föryngringsavverkning</t>
        </is>
      </c>
      <c r="D29" s="1" t="n">
        <v>45203</v>
      </c>
      <c r="E29" s="1" t="n">
        <v>46304</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46304</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46304</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S 2882-2025</t>
        </is>
      </c>
      <c r="B32" t="inlineStr">
        <is>
          <t>samrådsanmälan</t>
        </is>
      </c>
      <c r="C32" t="inlineStr">
        <is>
          <t>Annan skogsbruksåtgärd</t>
        </is>
      </c>
      <c r="D32" s="1" t="n">
        <v>45945</v>
      </c>
      <c r="E32" s="1" t="n">
        <v>46304</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46304</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46304</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46304</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46304</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46304</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A 10819-2024</t>
        </is>
      </c>
      <c r="B38" t="inlineStr">
        <is>
          <t>avverkningsanmälan</t>
        </is>
      </c>
      <c r="C38" t="inlineStr">
        <is>
          <t>Föryngringsavverkning</t>
        </is>
      </c>
      <c r="D38" s="1" t="n">
        <v>45369</v>
      </c>
      <c r="E38" s="1" t="n">
        <v>46304</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46304</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25548-2024</t>
        </is>
      </c>
      <c r="B40" t="inlineStr">
        <is>
          <t>avverkningsanmälan</t>
        </is>
      </c>
      <c r="C40" t="inlineStr">
        <is>
          <t>Föryngringsavverkning</t>
        </is>
      </c>
      <c r="D40" s="1" t="n">
        <v>45463</v>
      </c>
      <c r="E40" s="1" t="n">
        <v>46304</v>
      </c>
      <c r="F40" t="inlineStr">
        <is>
          <t>VÄSTMANLANDS LÄN</t>
        </is>
      </c>
      <c r="G40" t="inlineStr">
        <is>
          <t>SURAHAMMAR</t>
        </is>
      </c>
      <c r="H40" t="inlineStr">
        <is>
          <t>Bergvik skog väst AB</t>
        </is>
      </c>
      <c r="I40" t="n">
        <v>5.1</v>
      </c>
      <c r="J40" t="n">
        <v>3</v>
      </c>
      <c r="K40" t="n">
        <v>1</v>
      </c>
      <c r="L40" t="n">
        <v>0</v>
      </c>
      <c r="M40" t="n">
        <v>1</v>
      </c>
      <c r="N40" t="n">
        <v>0</v>
      </c>
      <c r="O40" t="n">
        <v>0</v>
      </c>
      <c r="P40" t="n">
        <v>0</v>
      </c>
      <c r="Q40" t="n">
        <v>1</v>
      </c>
      <c r="R40" t="n">
        <v>1</v>
      </c>
      <c r="S40" t="n">
        <v>4</v>
      </c>
      <c r="T40" t="n">
        <v>9</v>
      </c>
      <c r="U40" t="n">
        <v>6</v>
      </c>
      <c r="V40" s="2" t="inlineStr">
        <is>
          <t>Knärot
Vedticka
Fläcknycklar
Nattviol</t>
        </is>
      </c>
      <c r="W40">
        <f>HYPERLINK("https://klasma.github.io/Logging_1907/artfynd/A 25548-2024 artfynd.xlsx", "A 25548-2024")</f>
        <v/>
      </c>
      <c r="X40">
        <f>HYPERLINK("https://klasma.github.io/Logging_1907/kartor/A 25548-2024 karta.png", "A 25548-2024")</f>
        <v/>
      </c>
      <c r="Y40">
        <f>HYPERLINK("https://klasma.github.io/Logging_1907/kartor_geotiff/A 25548-2024 georefererad karta.tif", "A 25548-2024")</f>
        <v/>
      </c>
      <c r="Z40">
        <f>HYPERLINK("https://klasma.github.io/Logging_1907/knärot/A 25548-2024 karta knärot.png", "A 25548-2024")</f>
        <v/>
      </c>
      <c r="AA40">
        <f>HYPERLINK("https://klasma.github.io/Logging_1907/klagomål/A 25548-2024 FSC-klagomål.docx", "A 25548-2024")</f>
        <v/>
      </c>
      <c r="AB40">
        <f>HYPERLINK("https://klasma.github.io/Logging_1907/klagomålsmail/A 25548-2024 FSC-klagomål mail.docx", "A 25548-2024")</f>
        <v/>
      </c>
      <c r="AC40">
        <f>HYPERLINK("https://klasma.github.io/Logging_1907/tillsyn/A 25548-2024 tillsynsbegäran.docx", "A 25548-2024")</f>
        <v/>
      </c>
      <c r="AD40">
        <f>HYPERLINK("https://klasma.github.io/Logging_1907/tillsynsmail/A 25548-2024 tillsynsbegäran mail.docx", "A 25548-2024")</f>
        <v/>
      </c>
    </row>
    <row r="41" ht="15" customHeight="1">
      <c r="A41" t="inlineStr">
        <is>
          <t>A 66350-2021</t>
        </is>
      </c>
      <c r="B41" t="inlineStr">
        <is>
          <t>avverkningsanmälan</t>
        </is>
      </c>
      <c r="C41" t="inlineStr">
        <is>
          <t>Föryngringsavverkning</t>
        </is>
      </c>
      <c r="D41" s="1" t="n">
        <v>44518</v>
      </c>
      <c r="E41" s="1" t="n">
        <v>46304</v>
      </c>
      <c r="F41" t="inlineStr">
        <is>
          <t>VÄSTMANLANDS LÄN</t>
        </is>
      </c>
      <c r="G41" t="inlineStr">
        <is>
          <t>SURAHAMMAR</t>
        </is>
      </c>
      <c r="H41" t="inlineStr">
        <is>
          <t>Sveaskog</t>
        </is>
      </c>
      <c r="I41" t="n">
        <v>3.5</v>
      </c>
      <c r="J41" t="n">
        <v>3</v>
      </c>
      <c r="K41" t="n">
        <v>0</v>
      </c>
      <c r="L41" t="n">
        <v>1</v>
      </c>
      <c r="M41" t="n">
        <v>0</v>
      </c>
      <c r="N41" t="n">
        <v>0</v>
      </c>
      <c r="O41" t="n">
        <v>0</v>
      </c>
      <c r="P41" t="n">
        <v>0</v>
      </c>
      <c r="Q41" t="n">
        <v>1</v>
      </c>
      <c r="R41" t="n">
        <v>0</v>
      </c>
      <c r="S41" t="n">
        <v>3</v>
      </c>
      <c r="T41" t="n">
        <v>3</v>
      </c>
      <c r="U41" t="n">
        <v>3</v>
      </c>
      <c r="V41" s="2" t="inlineStr">
        <is>
          <t>Järnsparv
Kråka
Skogsduva</t>
        </is>
      </c>
      <c r="W41">
        <f>HYPERLINK("https://klasma.github.io/Logging_1907/artfynd/A 66350-2021 artfynd.xlsx", "A 66350-2021")</f>
        <v/>
      </c>
      <c r="X41">
        <f>HYPERLINK("https://klasma.github.io/Logging_1907/kartor/A 66350-2021 karta.png", "A 66350-2021")</f>
        <v/>
      </c>
      <c r="Y41">
        <f>HYPERLINK("https://klasma.github.io/Logging_1907/kartor_geotiff/A 66350-2021 georefererad karta.tif", "A 66350-2021")</f>
        <v/>
      </c>
      <c r="AA41">
        <f>HYPERLINK("https://klasma.github.io/Logging_1907/klagomål/A 66350-2021 FSC-klagomål.docx", "A 66350-2021")</f>
        <v/>
      </c>
      <c r="AB41">
        <f>HYPERLINK("https://klasma.github.io/Logging_1907/klagomålsmail/A 66350-2021 FSC-klagomål mail.docx", "A 66350-2021")</f>
        <v/>
      </c>
      <c r="AC41">
        <f>HYPERLINK("https://klasma.github.io/Logging_1907/tillsyn/A 66350-2021 tillsynsbegäran.docx", "A 66350-2021")</f>
        <v/>
      </c>
      <c r="AD41">
        <f>HYPERLINK("https://klasma.github.io/Logging_1907/tillsynsmail/A 66350-2021 tillsynsbegäran mail.docx", "A 66350-2021")</f>
        <v/>
      </c>
      <c r="AE41">
        <f>HYPERLINK("https://klasma.github.io/Logging_1907/fåglar/A 66350-2021 prioriterade fågelarter.docx", "A 66350-2021")</f>
        <v/>
      </c>
    </row>
    <row r="42" ht="15" customHeight="1">
      <c r="A42" t="inlineStr">
        <is>
          <t>A 39694-2025</t>
        </is>
      </c>
      <c r="B42" t="inlineStr">
        <is>
          <t>avverkningsanmälan</t>
        </is>
      </c>
      <c r="C42" t="inlineStr">
        <is>
          <t>Föryngringsavverkning</t>
        </is>
      </c>
      <c r="D42" s="1" t="n">
        <v>45890</v>
      </c>
      <c r="E42" s="1" t="n">
        <v>46304</v>
      </c>
      <c r="F42" t="inlineStr">
        <is>
          <t>VÄSTMANLANDS LÄN</t>
        </is>
      </c>
      <c r="G42" t="inlineStr">
        <is>
          <t>SURAHAMMAR</t>
        </is>
      </c>
      <c r="H42" t="inlineStr">
        <is>
          <t>Bergvik skog väst AB</t>
        </is>
      </c>
      <c r="I42" t="n">
        <v>2.9</v>
      </c>
      <c r="J42" t="n">
        <v>1</v>
      </c>
      <c r="K42" t="n">
        <v>1</v>
      </c>
      <c r="L42" t="n">
        <v>1</v>
      </c>
      <c r="M42" t="n">
        <v>0</v>
      </c>
      <c r="N42" t="n">
        <v>0</v>
      </c>
      <c r="O42" t="n">
        <v>0</v>
      </c>
      <c r="P42" t="n">
        <v>0</v>
      </c>
      <c r="Q42" t="n">
        <v>1</v>
      </c>
      <c r="R42" t="n">
        <v>0</v>
      </c>
      <c r="S42" t="n">
        <v>3</v>
      </c>
      <c r="T42" t="n">
        <v>3</v>
      </c>
      <c r="U42" t="n">
        <v>2</v>
      </c>
      <c r="V42" s="2" t="inlineStr">
        <is>
          <t>Motaggsvamp
Mindre märgborre
Tjäder</t>
        </is>
      </c>
      <c r="W42">
        <f>HYPERLINK("https://klasma.github.io/Logging_1907/artfynd/A 39694-2025 artfynd.xlsx", "A 39694-2025")</f>
        <v/>
      </c>
      <c r="X42">
        <f>HYPERLINK("https://klasma.github.io/Logging_1907/kartor/A 39694-2025 karta.png", "A 39694-2025")</f>
        <v/>
      </c>
      <c r="Y42">
        <f>HYPERLINK("https://klasma.github.io/Logging_1907/kartor_geotiff/A 39694-2025 georefererad karta.tif", "A 39694-2025")</f>
        <v/>
      </c>
      <c r="AA42">
        <f>HYPERLINK("https://klasma.github.io/Logging_1907/klagomål/A 39694-2025 FSC-klagomål.docx", "A 39694-2025")</f>
        <v/>
      </c>
      <c r="AB42">
        <f>HYPERLINK("https://klasma.github.io/Logging_1907/klagomålsmail/A 39694-2025 FSC-klagomål mail.docx", "A 39694-2025")</f>
        <v/>
      </c>
      <c r="AC42">
        <f>HYPERLINK("https://klasma.github.io/Logging_1907/tillsyn/A 39694-2025 tillsynsbegäran.docx", "A 39694-2025")</f>
        <v/>
      </c>
      <c r="AD42">
        <f>HYPERLINK("https://klasma.github.io/Logging_1907/tillsynsmail/A 39694-2025 tillsynsbegäran mail.docx", "A 39694-2025")</f>
        <v/>
      </c>
      <c r="AE42">
        <f>HYPERLINK("https://klasma.github.io/Logging_1907/fåglar/A 39694-2025 prioriterade fågelarter.docx", "A 39694-2025")</f>
        <v/>
      </c>
    </row>
    <row r="43" ht="15" customHeight="1">
      <c r="A43" t="inlineStr">
        <is>
          <t>A 49718-2023</t>
        </is>
      </c>
      <c r="B43" t="inlineStr">
        <is>
          <t>avverkningsanmälan</t>
        </is>
      </c>
      <c r="C43" t="inlineStr">
        <is>
          <t>Föryngringsavverkning</t>
        </is>
      </c>
      <c r="D43" s="1" t="n">
        <v>45212</v>
      </c>
      <c r="E43" s="1" t="n">
        <v>46304</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46304</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46304</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63146-2025</t>
        </is>
      </c>
      <c r="B46" t="inlineStr">
        <is>
          <t>avverkningsanmälan</t>
        </is>
      </c>
      <c r="C46" t="inlineStr">
        <is>
          <t>Föryngringsavverkning</t>
        </is>
      </c>
      <c r="D46" s="1" t="n">
        <v>46009</v>
      </c>
      <c r="E46" s="1" t="n">
        <v>46304</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4082-2025</t>
        </is>
      </c>
      <c r="B47" t="inlineStr">
        <is>
          <t>avverkningsanmälan</t>
        </is>
      </c>
      <c r="C47" t="inlineStr">
        <is>
          <t>Föryngringsavverkning</t>
        </is>
      </c>
      <c r="D47" s="1" t="n">
        <v>45684</v>
      </c>
      <c r="E47" s="1" t="n">
        <v>46304</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t="n">
        <v>1</v>
      </c>
      <c r="V47" s="2" t="inlineStr">
        <is>
          <t>Grönpyrola
Plattlummer
Lopplummer (aggregat)</t>
        </is>
      </c>
      <c r="W47">
        <f>HYPERLINK("https://klasma.github.io/Logging_1907/artfynd/A 4082-2025 artfynd.xlsx", "A 4082-2025")</f>
        <v/>
      </c>
      <c r="X47">
        <f>HYPERLINK("https://klasma.github.io/Logging_1907/kartor/A 4082-2025 karta.png", "A 4082-2025")</f>
        <v/>
      </c>
      <c r="Y47">
        <f>HYPERLINK("https://klasma.github.io/Logging_1907/kartor_geotiff/A 4082-2025 georefererad karta.tif", "A 4082-2025")</f>
        <v/>
      </c>
      <c r="AA47">
        <f>HYPERLINK("https://klasma.github.io/Logging_1907/klagomål/A 4082-2025 FSC-klagomål.docx", "A 4082-2025")</f>
        <v/>
      </c>
      <c r="AB47">
        <f>HYPERLINK("https://klasma.github.io/Logging_1907/klagomålsmail/A 4082-2025 FSC-klagomål mail.docx", "A 4082-2025")</f>
        <v/>
      </c>
      <c r="AC47">
        <f>HYPERLINK("https://klasma.github.io/Logging_1907/tillsyn/A 4082-2025 tillsynsbegäran.docx", "A 4082-2025")</f>
        <v/>
      </c>
      <c r="AD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46304</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t="n">
        <v>0</v>
      </c>
      <c r="V48" s="2" t="inlineStr">
        <is>
          <t>Jungfrulin
Svinrot
Vedticka</t>
        </is>
      </c>
      <c r="W48">
        <f>HYPERLINK("https://klasma.github.io/Logging_1907/artfynd/A 48128-2023 artfynd.xlsx", "A 48128-2023")</f>
        <v/>
      </c>
      <c r="X48">
        <f>HYPERLINK("https://klasma.github.io/Logging_1907/kartor/A 48128-2023 karta.png", "A 48128-2023")</f>
        <v/>
      </c>
      <c r="Y48">
        <f>HYPERLINK("https://klasma.github.io/Logging_1907/kartor_geotiff/A 48128-2023 georefererad karta.tif", "A 48128-2023")</f>
        <v/>
      </c>
      <c r="AA48">
        <f>HYPERLINK("https://klasma.github.io/Logging_1907/klagomål/A 48128-2023 FSC-klagomål.docx", "A 48128-2023")</f>
        <v/>
      </c>
      <c r="AB48">
        <f>HYPERLINK("https://klasma.github.io/Logging_1907/klagomålsmail/A 48128-2023 FSC-klagomål mail.docx", "A 48128-2023")</f>
        <v/>
      </c>
      <c r="AC48">
        <f>HYPERLINK("https://klasma.github.io/Logging_1907/tillsyn/A 48128-2023 tillsynsbegäran.docx", "A 48128-2023")</f>
        <v/>
      </c>
      <c r="AD48">
        <f>HYPERLINK("https://klasma.github.io/Logging_1907/tillsynsmail/A 48128-2023 tillsynsbegäran mail.docx", "A 48128-2023")</f>
        <v/>
      </c>
    </row>
    <row r="49" ht="15" customHeight="1">
      <c r="A49" t="inlineStr">
        <is>
          <t>A 36264-2026</t>
        </is>
      </c>
      <c r="B49" t="inlineStr">
        <is>
          <t>avverkningsanmälan</t>
        </is>
      </c>
      <c r="C49" t="inlineStr">
        <is>
          <t>Föryngringsavverkning</t>
        </is>
      </c>
      <c r="D49" s="1" t="n">
        <v>46268</v>
      </c>
      <c r="E49" s="1" t="n">
        <v>46304</v>
      </c>
      <c r="F49" t="inlineStr">
        <is>
          <t>VÄSTMANLANDS LÄN</t>
        </is>
      </c>
      <c r="G49" t="inlineStr">
        <is>
          <t>SURAHAMMAR</t>
        </is>
      </c>
      <c r="H49" t="inlineStr">
        <is>
          <t>Sveaskog</t>
        </is>
      </c>
      <c r="I49" t="n">
        <v>2.4</v>
      </c>
      <c r="J49" t="n">
        <v>1</v>
      </c>
      <c r="K49" t="n">
        <v>0</v>
      </c>
      <c r="L49" t="n">
        <v>1</v>
      </c>
      <c r="M49" t="n">
        <v>1</v>
      </c>
      <c r="N49" t="n">
        <v>0</v>
      </c>
      <c r="O49" t="n">
        <v>0</v>
      </c>
      <c r="P49" t="n">
        <v>0</v>
      </c>
      <c r="Q49" t="n">
        <v>2</v>
      </c>
      <c r="R49" t="n">
        <v>1</v>
      </c>
      <c r="S49" t="n">
        <v>3</v>
      </c>
      <c r="T49" t="n">
        <v>3</v>
      </c>
      <c r="U49" t="n">
        <v>0</v>
      </c>
      <c r="V49" s="2" t="inlineStr">
        <is>
          <t>Grangråticka
Fjällig taggsvamp s.str.
Blåsippa</t>
        </is>
      </c>
      <c r="W49">
        <f>HYPERLINK("https://klasma.github.io/Logging_1907/artfynd/A 36264-2026 artfynd.xlsx", "A 36264-2026")</f>
        <v/>
      </c>
      <c r="X49">
        <f>HYPERLINK("https://klasma.github.io/Logging_1907/kartor/A 36264-2026 karta.png", "A 36264-2026")</f>
        <v/>
      </c>
      <c r="Y49">
        <f>HYPERLINK("https://klasma.github.io/Logging_1907/kartor_geotiff/A 36264-2026 georefererad karta.tif", "A 36264-2026")</f>
        <v/>
      </c>
      <c r="AA49">
        <f>HYPERLINK("https://klasma.github.io/Logging_1907/klagomål/A 36264-2026 FSC-klagomål.docx", "A 36264-2026")</f>
        <v/>
      </c>
      <c r="AB49">
        <f>HYPERLINK("https://klasma.github.io/Logging_1907/klagomålsmail/A 36264-2026 FSC-klagomål mail.docx", "A 36264-2026")</f>
        <v/>
      </c>
      <c r="AC49">
        <f>HYPERLINK("https://klasma.github.io/Logging_1907/tillsyn/A 36264-2026 tillsynsbegäran.docx", "A 36264-2026")</f>
        <v/>
      </c>
      <c r="AD49">
        <f>HYPERLINK("https://klasma.github.io/Logging_1907/tillsynsmail/A 36264-2026 tillsynsbegäran mail.docx", "A 36264-2026")</f>
        <v/>
      </c>
    </row>
    <row r="50" ht="15" customHeight="1">
      <c r="A50" t="inlineStr">
        <is>
          <t>A 32443-2026</t>
        </is>
      </c>
      <c r="B50" t="inlineStr">
        <is>
          <t>avverkningsanmälan</t>
        </is>
      </c>
      <c r="C50" t="inlineStr">
        <is>
          <t>Föryngringsavverkning</t>
        </is>
      </c>
      <c r="D50" s="1" t="n">
        <v>46239</v>
      </c>
      <c r="E50" s="1" t="n">
        <v>46304</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46304</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S 1450-2022</t>
        </is>
      </c>
      <c r="B52" t="inlineStr">
        <is>
          <t>samrådsanmälan</t>
        </is>
      </c>
      <c r="C52" t="inlineStr">
        <is>
          <t>Skogsgödsling</t>
        </is>
      </c>
      <c r="D52" s="1" t="n">
        <v>44635</v>
      </c>
      <c r="E52" s="1" t="n">
        <v>46304</v>
      </c>
      <c r="F52" t="inlineStr">
        <is>
          <t>VÄSTMANLANDS LÄN</t>
        </is>
      </c>
      <c r="G52" t="inlineStr">
        <is>
          <t>SURAHAMMAR</t>
        </is>
      </c>
      <c r="H52" t="inlineStr">
        <is>
          <t>Allmännings- och besparingsskogar</t>
        </is>
      </c>
      <c r="I52" t="n">
        <v>25</v>
      </c>
      <c r="J52" t="n">
        <v>3</v>
      </c>
      <c r="K52" t="n">
        <v>0</v>
      </c>
      <c r="L52" t="n">
        <v>1</v>
      </c>
      <c r="M52" t="n">
        <v>0</v>
      </c>
      <c r="N52" t="n">
        <v>0</v>
      </c>
      <c r="O52" t="n">
        <v>0</v>
      </c>
      <c r="P52" t="n">
        <v>0</v>
      </c>
      <c r="Q52" t="n">
        <v>1</v>
      </c>
      <c r="R52" t="n">
        <v>0</v>
      </c>
      <c r="S52" t="n">
        <v>3</v>
      </c>
      <c r="T52" t="n">
        <v>3</v>
      </c>
      <c r="U52" t="n">
        <v>1</v>
      </c>
      <c r="V52" s="2" t="inlineStr">
        <is>
          <t>Talltita
Nattskärra
Kungsfågel</t>
        </is>
      </c>
      <c r="W52">
        <f>HYPERLINK("https://klasma.github.io/Logging_1907/artfynd/S 1450-2022 artfynd.xlsx", "S 1450-2022")</f>
        <v/>
      </c>
      <c r="X52">
        <f>HYPERLINK("https://klasma.github.io/Logging_1907/kartor/S 1450-2022 karta.png", "S 1450-2022")</f>
        <v/>
      </c>
      <c r="Y52">
        <f>HYPERLINK("https://klasma.github.io/Logging_1907/kartor_geotiff/S 1450-2022 georefererad karta.tif", "S 1450-2022")</f>
        <v/>
      </c>
      <c r="AA52">
        <f>HYPERLINK("https://klasma.github.io/Logging_1907/klagomål/S 1450-2022 FSC-klagomål.docx", "S 1450-2022")</f>
        <v/>
      </c>
      <c r="AB52">
        <f>HYPERLINK("https://klasma.github.io/Logging_1907/klagomålsmail/S 1450-2022 FSC-klagomål mail.docx", "S 1450-2022")</f>
        <v/>
      </c>
      <c r="AC52">
        <f>HYPERLINK("https://klasma.github.io/Logging_1907/tillsyn/S 1450-2022 tillsynsbegäran.docx", "S 1450-2022")</f>
        <v/>
      </c>
      <c r="AD52">
        <f>HYPERLINK("https://klasma.github.io/Logging_1907/tillsynsmail/S 1450-2022 tillsynsbegäran mail.docx", "S 1450-2022")</f>
        <v/>
      </c>
      <c r="AE52">
        <f>HYPERLINK("https://klasma.github.io/Logging_1907/fåglar/S 1450-2022 prioriterade fågelarter.docx", "S 1450-2022")</f>
        <v/>
      </c>
    </row>
    <row r="53" ht="15" customHeight="1">
      <c r="A53" t="inlineStr">
        <is>
          <t>S 549-2025</t>
        </is>
      </c>
      <c r="B53" t="inlineStr">
        <is>
          <t>samrådsanmälan</t>
        </is>
      </c>
      <c r="C53" t="inlineStr">
        <is>
          <t>Skogsgödsling</t>
        </is>
      </c>
      <c r="D53" s="1" t="n">
        <v>45708</v>
      </c>
      <c r="E53" s="1" t="n">
        <v>46304</v>
      </c>
      <c r="F53" t="inlineStr">
        <is>
          <t>VÄSTMANLANDS LÄN</t>
        </is>
      </c>
      <c r="G53" t="inlineStr">
        <is>
          <t>SURAHAMMAR</t>
        </is>
      </c>
      <c r="H53" t="inlineStr">
        <is>
          <t>Allmännings- och besparingsskogar</t>
        </is>
      </c>
      <c r="I53" t="n">
        <v>54.2</v>
      </c>
      <c r="J53" t="n">
        <v>2</v>
      </c>
      <c r="K53" t="n">
        <v>0</v>
      </c>
      <c r="L53" t="n">
        <v>1</v>
      </c>
      <c r="M53" t="n">
        <v>1</v>
      </c>
      <c r="N53" t="n">
        <v>0</v>
      </c>
      <c r="O53" t="n">
        <v>0</v>
      </c>
      <c r="P53" t="n">
        <v>0</v>
      </c>
      <c r="Q53" t="n">
        <v>2</v>
      </c>
      <c r="R53" t="n">
        <v>1</v>
      </c>
      <c r="S53" t="n">
        <v>3</v>
      </c>
      <c r="T53" t="n">
        <v>9</v>
      </c>
      <c r="U53" t="n">
        <v>4</v>
      </c>
      <c r="V53" s="2" t="inlineStr">
        <is>
          <t>Knärot
Motaggsvamp
Tjäder</t>
        </is>
      </c>
      <c r="W53">
        <f>HYPERLINK("https://klasma.github.io/Logging_1907/artfynd/S 549-2025 artfynd.xlsx", "S 549-2025")</f>
        <v/>
      </c>
      <c r="X53">
        <f>HYPERLINK("https://klasma.github.io/Logging_1907/kartor/S 549-2025 karta.png", "S 549-2025")</f>
        <v/>
      </c>
      <c r="Y53">
        <f>HYPERLINK("https://klasma.github.io/Logging_1907/kartor_geotiff/S 549-2025 georefererad karta.tif", "S 549-2025")</f>
        <v/>
      </c>
      <c r="Z53">
        <f>HYPERLINK("https://klasma.github.io/Logging_1907/knärot/S 549-2025 karta knärot.png", "S 549-2025")</f>
        <v/>
      </c>
      <c r="AA53">
        <f>HYPERLINK("https://klasma.github.io/Logging_1907/klagomål/S 549-2025 FSC-klagomål.docx", "S 549-2025")</f>
        <v/>
      </c>
      <c r="AB53">
        <f>HYPERLINK("https://klasma.github.io/Logging_1907/klagomålsmail/S 549-2025 FSC-klagomål mail.docx", "S 549-2025")</f>
        <v/>
      </c>
      <c r="AC53">
        <f>HYPERLINK("https://klasma.github.io/Logging_1907/tillsyn/S 549-2025 tillsynsbegäran.docx", "S 549-2025")</f>
        <v/>
      </c>
      <c r="AD53">
        <f>HYPERLINK("https://klasma.github.io/Logging_1907/tillsynsmail/S 549-2025 tillsynsbegäran mail.docx", "S 549-2025")</f>
        <v/>
      </c>
      <c r="AE53">
        <f>HYPERLINK("https://klasma.github.io/Logging_1907/fåglar/S 549-2025 prioriterade fågelarter.docx", "S 549-2025")</f>
        <v/>
      </c>
    </row>
    <row r="54" ht="15" customHeight="1">
      <c r="A54" t="inlineStr">
        <is>
          <t>S 551-2025</t>
        </is>
      </c>
      <c r="B54" t="inlineStr">
        <is>
          <t>samrådsanmälan</t>
        </is>
      </c>
      <c r="C54" t="inlineStr">
        <is>
          <t>Skogsgödsling</t>
        </is>
      </c>
      <c r="D54" s="1" t="n">
        <v>45708</v>
      </c>
      <c r="E54" s="1" t="n">
        <v>46304</v>
      </c>
      <c r="F54" t="inlineStr">
        <is>
          <t>VÄSTMANLANDS LÄN</t>
        </is>
      </c>
      <c r="G54" t="inlineStr">
        <is>
          <t>SURAHAMMAR</t>
        </is>
      </c>
      <c r="H54" t="inlineStr">
        <is>
          <t>Allmännings- och besparingsskogar</t>
        </is>
      </c>
      <c r="I54" t="n">
        <v>47.5</v>
      </c>
      <c r="J54" t="n">
        <v>3</v>
      </c>
      <c r="K54" t="n">
        <v>0</v>
      </c>
      <c r="L54" t="n">
        <v>1</v>
      </c>
      <c r="M54" t="n">
        <v>0</v>
      </c>
      <c r="N54" t="n">
        <v>0</v>
      </c>
      <c r="O54" t="n">
        <v>0</v>
      </c>
      <c r="P54" t="n">
        <v>0</v>
      </c>
      <c r="Q54" t="n">
        <v>1</v>
      </c>
      <c r="R54" t="n">
        <v>0</v>
      </c>
      <c r="S54" t="n">
        <v>3</v>
      </c>
      <c r="T54" t="n">
        <v>4</v>
      </c>
      <c r="U54" t="n">
        <v>1</v>
      </c>
      <c r="V54" s="2" t="inlineStr">
        <is>
          <t>Talltita
Kungsfågel
Revlummer</t>
        </is>
      </c>
      <c r="W54">
        <f>HYPERLINK("https://klasma.github.io/Logging_1907/artfynd/S 551-2025 artfynd.xlsx", "S 551-2025")</f>
        <v/>
      </c>
      <c r="X54">
        <f>HYPERLINK("https://klasma.github.io/Logging_1907/kartor/S 551-2025 karta.png", "S 551-2025")</f>
        <v/>
      </c>
      <c r="Y54">
        <f>HYPERLINK("https://klasma.github.io/Logging_1907/kartor_geotiff/S 551-2025 georefererad karta.tif", "S 551-2025")</f>
        <v/>
      </c>
      <c r="AA54">
        <f>HYPERLINK("https://klasma.github.io/Logging_1907/klagomål/S 551-2025 FSC-klagomål.docx", "S 551-2025")</f>
        <v/>
      </c>
      <c r="AB54">
        <f>HYPERLINK("https://klasma.github.io/Logging_1907/klagomålsmail/S 551-2025 FSC-klagomål mail.docx", "S 551-2025")</f>
        <v/>
      </c>
      <c r="AC54">
        <f>HYPERLINK("https://klasma.github.io/Logging_1907/tillsyn/S 551-2025 tillsynsbegäran.docx", "S 551-2025")</f>
        <v/>
      </c>
      <c r="AD54">
        <f>HYPERLINK("https://klasma.github.io/Logging_1907/tillsynsmail/S 551-2025 tillsynsbegäran mail.docx", "S 551-2025")</f>
        <v/>
      </c>
      <c r="AE54">
        <f>HYPERLINK("https://klasma.github.io/Logging_1907/fåglar/S 551-2025 prioriterade fågelarter.docx", "S 551-2025")</f>
        <v/>
      </c>
    </row>
    <row r="55" ht="15" customHeight="1">
      <c r="A55" t="inlineStr">
        <is>
          <t>A 30074-2023</t>
        </is>
      </c>
      <c r="B55" t="inlineStr">
        <is>
          <t>avverkningsanmälan</t>
        </is>
      </c>
      <c r="C55" t="inlineStr">
        <is>
          <t>Föryngringsavverkning</t>
        </is>
      </c>
      <c r="D55" s="1" t="n">
        <v>45110</v>
      </c>
      <c r="E55" s="1" t="n">
        <v>46304</v>
      </c>
      <c r="F55" t="inlineStr">
        <is>
          <t>VÄSTMANLANDS LÄN</t>
        </is>
      </c>
      <c r="G55" t="inlineStr">
        <is>
          <t>SURAHAMMAR</t>
        </is>
      </c>
      <c r="H55" t="inlineStr">
        <is>
          <t>Sveaskog</t>
        </is>
      </c>
      <c r="I55" t="n">
        <v>1.1</v>
      </c>
      <c r="J55" t="n">
        <v>1</v>
      </c>
      <c r="K55" t="n">
        <v>1</v>
      </c>
      <c r="L55" t="n">
        <v>0</v>
      </c>
      <c r="M55" t="n">
        <v>0</v>
      </c>
      <c r="N55" t="n">
        <v>0</v>
      </c>
      <c r="O55" t="n">
        <v>0</v>
      </c>
      <c r="P55" t="n">
        <v>0</v>
      </c>
      <c r="Q55" t="n">
        <v>0</v>
      </c>
      <c r="R55" t="n">
        <v>0</v>
      </c>
      <c r="S55" t="n">
        <v>2</v>
      </c>
      <c r="T55" t="n">
        <v>2</v>
      </c>
      <c r="U55" t="n">
        <v>0</v>
      </c>
      <c r="V55" s="2" t="inlineStr">
        <is>
          <t>Grönpyrola
Revlummer</t>
        </is>
      </c>
      <c r="W55">
        <f>HYPERLINK("https://klasma.github.io/Logging_1907/artfynd/A 30074-2023 artfynd.xlsx", "A 30074-2023")</f>
        <v/>
      </c>
      <c r="X55">
        <f>HYPERLINK("https://klasma.github.io/Logging_1907/kartor/A 30074-2023 karta.png", "A 30074-2023")</f>
        <v/>
      </c>
      <c r="Y55">
        <f>HYPERLINK("https://klasma.github.io/Logging_1907/kartor_geotiff/A 30074-2023 georefererad karta.tif", "A 30074-2023")</f>
        <v/>
      </c>
      <c r="AA55">
        <f>HYPERLINK("https://klasma.github.io/Logging_1907/klagomål/A 30074-2023 FSC-klagomål.docx", "A 30074-2023")</f>
        <v/>
      </c>
      <c r="AB55">
        <f>HYPERLINK("https://klasma.github.io/Logging_1907/klagomålsmail/A 30074-2023 FSC-klagomål mail.docx", "A 30074-2023")</f>
        <v/>
      </c>
      <c r="AC55">
        <f>HYPERLINK("https://klasma.github.io/Logging_1907/tillsyn/A 30074-2023 tillsynsbegäran.docx", "A 30074-2023")</f>
        <v/>
      </c>
      <c r="AD55">
        <f>HYPERLINK("https://klasma.github.io/Logging_1907/tillsynsmail/A 30074-2023 tillsynsbegäran mail.docx", "A 30074-2023")</f>
        <v/>
      </c>
    </row>
    <row r="56" ht="15" customHeight="1">
      <c r="A56" t="inlineStr">
        <is>
          <t>A 56362-2023</t>
        </is>
      </c>
      <c r="B56" t="inlineStr">
        <is>
          <t>avverkningsanmälan</t>
        </is>
      </c>
      <c r="C56" t="inlineStr">
        <is>
          <t>Föryngringsavverkning</t>
        </is>
      </c>
      <c r="D56" s="1" t="n">
        <v>45236</v>
      </c>
      <c r="E56" s="1" t="n">
        <v>46304</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46304</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40403-2025</t>
        </is>
      </c>
      <c r="B58" t="inlineStr">
        <is>
          <t>avverkningsanmälan</t>
        </is>
      </c>
      <c r="C58" t="inlineStr">
        <is>
          <t>Föryngringsavverkning</t>
        </is>
      </c>
      <c r="D58" s="1" t="n">
        <v>45895</v>
      </c>
      <c r="E58" s="1" t="n">
        <v>46304</v>
      </c>
      <c r="F58" t="inlineStr">
        <is>
          <t>VÄSTMANLANDS LÄN</t>
        </is>
      </c>
      <c r="G58" t="inlineStr">
        <is>
          <t>SURAHAMMAR</t>
        </is>
      </c>
      <c r="H58" t="inlineStr">
        <is>
          <t>Kommuner</t>
        </is>
      </c>
      <c r="I58" t="n">
        <v>3.9</v>
      </c>
      <c r="J58" t="n">
        <v>1</v>
      </c>
      <c r="K58" t="n">
        <v>0</v>
      </c>
      <c r="L58" t="n">
        <v>0</v>
      </c>
      <c r="M58" t="n">
        <v>1</v>
      </c>
      <c r="N58" t="n">
        <v>0</v>
      </c>
      <c r="O58" t="n">
        <v>0</v>
      </c>
      <c r="P58" t="n">
        <v>0</v>
      </c>
      <c r="Q58" t="n">
        <v>1</v>
      </c>
      <c r="R58" t="n">
        <v>1</v>
      </c>
      <c r="S58" t="n">
        <v>2</v>
      </c>
      <c r="T58" t="n">
        <v>3</v>
      </c>
      <c r="U58" t="n">
        <v>1</v>
      </c>
      <c r="V58" s="2" t="inlineStr">
        <is>
          <t>Igelkott
Gröngöling</t>
        </is>
      </c>
      <c r="W58">
        <f>HYPERLINK("https://klasma.github.io/Logging_1907/artfynd/A 40403-2025 artfynd.xlsx", "A 40403-2025")</f>
        <v/>
      </c>
      <c r="X58">
        <f>HYPERLINK("https://klasma.github.io/Logging_1907/kartor/A 40403-2025 karta.png", "A 40403-2025")</f>
        <v/>
      </c>
      <c r="Y58">
        <f>HYPERLINK("https://klasma.github.io/Logging_1907/kartor_geotiff/A 40403-2025 georefererad karta.tif", "A 40403-2025")</f>
        <v/>
      </c>
      <c r="AA58">
        <f>HYPERLINK("https://klasma.github.io/Logging_1907/klagomål/A 40403-2025 FSC-klagomål.docx", "A 40403-2025")</f>
        <v/>
      </c>
      <c r="AB58">
        <f>HYPERLINK("https://klasma.github.io/Logging_1907/klagomålsmail/A 40403-2025 FSC-klagomål mail.docx", "A 40403-2025")</f>
        <v/>
      </c>
      <c r="AC58">
        <f>HYPERLINK("https://klasma.github.io/Logging_1907/tillsyn/A 40403-2025 tillsynsbegäran.docx", "A 40403-2025")</f>
        <v/>
      </c>
      <c r="AD58">
        <f>HYPERLINK("https://klasma.github.io/Logging_1907/tillsynsmail/A 40403-2025 tillsynsbegäran mail.docx", "A 40403-2025")</f>
        <v/>
      </c>
    </row>
    <row r="59" ht="15" customHeight="1">
      <c r="A59" t="inlineStr">
        <is>
          <t>A 37013-2025</t>
        </is>
      </c>
      <c r="B59" t="inlineStr">
        <is>
          <t>avverkningsanmälan</t>
        </is>
      </c>
      <c r="C59" t="inlineStr">
        <is>
          <t>Föryngringsavverkning</t>
        </is>
      </c>
      <c r="D59" s="1" t="n">
        <v>45874</v>
      </c>
      <c r="E59" s="1" t="n">
        <v>46304</v>
      </c>
      <c r="F59" t="inlineStr">
        <is>
          <t>VÄSTMANLANDS LÄN</t>
        </is>
      </c>
      <c r="G59" t="inlineStr">
        <is>
          <t>SURAHAMMAR</t>
        </is>
      </c>
      <c r="H59" t="inlineStr">
        <is>
          <t>Bergvik skog väst AB</t>
        </is>
      </c>
      <c r="I59" t="n">
        <v>10.7</v>
      </c>
      <c r="J59" t="n">
        <v>0</v>
      </c>
      <c r="K59" t="n">
        <v>0</v>
      </c>
      <c r="L59" t="n">
        <v>0</v>
      </c>
      <c r="M59" t="n">
        <v>2</v>
      </c>
      <c r="N59" t="n">
        <v>0</v>
      </c>
      <c r="O59" t="n">
        <v>0</v>
      </c>
      <c r="P59" t="n">
        <v>0</v>
      </c>
      <c r="Q59" t="n">
        <v>2</v>
      </c>
      <c r="R59" t="n">
        <v>2</v>
      </c>
      <c r="S59" t="n">
        <v>2</v>
      </c>
      <c r="T59" t="n">
        <v>2</v>
      </c>
      <c r="U59" t="n">
        <v>0</v>
      </c>
      <c r="V59" s="2" t="inlineStr">
        <is>
          <t>Brunfläckig pärlemorfjäril
Fältgentiana</t>
        </is>
      </c>
      <c r="W59">
        <f>HYPERLINK("https://klasma.github.io/Logging_1907/artfynd/A 37013-2025 artfynd.xlsx", "A 37013-2025")</f>
        <v/>
      </c>
      <c r="X59">
        <f>HYPERLINK("https://klasma.github.io/Logging_1907/kartor/A 37013-2025 karta.png", "A 37013-2025")</f>
        <v/>
      </c>
      <c r="Y59">
        <f>HYPERLINK("https://klasma.github.io/Logging_1907/kartor_geotiff/A 37013-2025 georefererad karta.tif", "A 37013-2025")</f>
        <v/>
      </c>
      <c r="AA59">
        <f>HYPERLINK("https://klasma.github.io/Logging_1907/klagomål/A 37013-2025 FSC-klagomål.docx", "A 37013-2025")</f>
        <v/>
      </c>
      <c r="AB59">
        <f>HYPERLINK("https://klasma.github.io/Logging_1907/klagomålsmail/A 37013-2025 FSC-klagomål mail.docx", "A 37013-2025")</f>
        <v/>
      </c>
      <c r="AC59">
        <f>HYPERLINK("https://klasma.github.io/Logging_1907/tillsyn/A 37013-2025 tillsynsbegäran.docx", "A 37013-2025")</f>
        <v/>
      </c>
      <c r="AD59">
        <f>HYPERLINK("https://klasma.github.io/Logging_1907/tillsynsmail/A 37013-2025 tillsynsbegäran mail.docx", "A 37013-2025")</f>
        <v/>
      </c>
    </row>
    <row r="60" ht="15" customHeight="1">
      <c r="A60" t="inlineStr">
        <is>
          <t>A 63138-2025</t>
        </is>
      </c>
      <c r="B60" t="inlineStr">
        <is>
          <t>avverkningsanmälan</t>
        </is>
      </c>
      <c r="C60" t="inlineStr">
        <is>
          <t>Föryngringsavverkning</t>
        </is>
      </c>
      <c r="D60" s="1" t="n">
        <v>46009</v>
      </c>
      <c r="E60" s="1" t="n">
        <v>46304</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46304</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11501-2023</t>
        </is>
      </c>
      <c r="B62" t="inlineStr">
        <is>
          <t>avverkningsanmälan</t>
        </is>
      </c>
      <c r="C62" t="inlineStr">
        <is>
          <t>Föryngringsavverkning</t>
        </is>
      </c>
      <c r="D62" s="1" t="n">
        <v>44991</v>
      </c>
      <c r="E62" s="1" t="n">
        <v>46304</v>
      </c>
      <c r="F62" t="inlineStr">
        <is>
          <t>VÄSTMANLANDS LÄN</t>
        </is>
      </c>
      <c r="G62" t="inlineStr">
        <is>
          <t>SURAHAMMAR</t>
        </is>
      </c>
      <c r="H62" t="inlineStr">
        <is>
          <t>Bergvik skog väst AB</t>
        </is>
      </c>
      <c r="I62" t="n">
        <v>1.1</v>
      </c>
      <c r="J62" t="n">
        <v>1</v>
      </c>
      <c r="K62" t="n">
        <v>1</v>
      </c>
      <c r="L62" t="n">
        <v>0</v>
      </c>
      <c r="M62" t="n">
        <v>0</v>
      </c>
      <c r="N62" t="n">
        <v>0</v>
      </c>
      <c r="O62" t="n">
        <v>0</v>
      </c>
      <c r="P62" t="n">
        <v>0</v>
      </c>
      <c r="Q62" t="n">
        <v>0</v>
      </c>
      <c r="R62" t="n">
        <v>0</v>
      </c>
      <c r="S62" t="n">
        <v>2</v>
      </c>
      <c r="T62" t="n">
        <v>2</v>
      </c>
      <c r="U62" t="n">
        <v>2</v>
      </c>
      <c r="V62" s="2" t="inlineStr">
        <is>
          <t>Svart trolldruva
Nattviol</t>
        </is>
      </c>
      <c r="W62">
        <f>HYPERLINK("https://klasma.github.io/Logging_1907/artfynd/A 11501-2023 artfynd.xlsx", "A 11501-2023")</f>
        <v/>
      </c>
      <c r="X62">
        <f>HYPERLINK("https://klasma.github.io/Logging_1907/kartor/A 11501-2023 karta.png", "A 11501-2023")</f>
        <v/>
      </c>
      <c r="Y62">
        <f>HYPERLINK("https://klasma.github.io/Logging_1907/kartor_geotiff/A 11501-2023 georefererad karta.tif", "A 11501-2023")</f>
        <v/>
      </c>
      <c r="AA62">
        <f>HYPERLINK("https://klasma.github.io/Logging_1907/klagomål/A 11501-2023 FSC-klagomål.docx", "A 11501-2023")</f>
        <v/>
      </c>
      <c r="AB62">
        <f>HYPERLINK("https://klasma.github.io/Logging_1907/klagomålsmail/A 11501-2023 FSC-klagomål mail.docx", "A 11501-2023")</f>
        <v/>
      </c>
      <c r="AC62">
        <f>HYPERLINK("https://klasma.github.io/Logging_1907/tillsyn/A 11501-2023 tillsynsbegäran.docx", "A 11501-2023")</f>
        <v/>
      </c>
      <c r="AD62">
        <f>HYPERLINK("https://klasma.github.io/Logging_1907/tillsynsmail/A 11501-2023 tillsynsbegäran mail.docx", "A 11501-2023")</f>
        <v/>
      </c>
    </row>
    <row r="63" ht="15" customHeight="1">
      <c r="A63" t="inlineStr">
        <is>
          <t>A 14001-2023</t>
        </is>
      </c>
      <c r="B63" t="inlineStr">
        <is>
          <t>avverkningsanmälan</t>
        </is>
      </c>
      <c r="C63" t="inlineStr">
        <is>
          <t>Föryngringsavverkning</t>
        </is>
      </c>
      <c r="D63" s="1" t="n">
        <v>45007</v>
      </c>
      <c r="E63" s="1" t="n">
        <v>46304</v>
      </c>
      <c r="F63" t="inlineStr">
        <is>
          <t>VÄSTMANLANDS LÄN</t>
        </is>
      </c>
      <c r="G63" t="inlineStr">
        <is>
          <t>SURAHAMMAR</t>
        </is>
      </c>
      <c r="H63" t="inlineStr">
        <is>
          <t>Bergvik skog väst AB</t>
        </is>
      </c>
      <c r="I63" t="n">
        <v>1</v>
      </c>
      <c r="J63" t="n">
        <v>0</v>
      </c>
      <c r="K63" t="n">
        <v>0</v>
      </c>
      <c r="L63" t="n">
        <v>1</v>
      </c>
      <c r="M63" t="n">
        <v>1</v>
      </c>
      <c r="N63" t="n">
        <v>0</v>
      </c>
      <c r="O63" t="n">
        <v>0</v>
      </c>
      <c r="P63" t="n">
        <v>0</v>
      </c>
      <c r="Q63" t="n">
        <v>2</v>
      </c>
      <c r="R63" t="n">
        <v>1</v>
      </c>
      <c r="S63" t="n">
        <v>2</v>
      </c>
      <c r="T63" t="n">
        <v>2</v>
      </c>
      <c r="U63" t="n">
        <v>0</v>
      </c>
      <c r="V63" s="2" t="inlineStr">
        <is>
          <t>Garnlav
Motaggsvamp</t>
        </is>
      </c>
      <c r="W63">
        <f>HYPERLINK("https://klasma.github.io/Logging_1907/artfynd/A 14001-2023 artfynd.xlsx", "A 14001-2023")</f>
        <v/>
      </c>
      <c r="X63">
        <f>HYPERLINK("https://klasma.github.io/Logging_1907/kartor/A 14001-2023 karta.png", "A 14001-2023")</f>
        <v/>
      </c>
      <c r="Y63">
        <f>HYPERLINK("https://klasma.github.io/Logging_1907/kartor_geotiff/A 14001-2023 georefererad karta.tif", "A 14001-2023")</f>
        <v/>
      </c>
      <c r="AA63">
        <f>HYPERLINK("https://klasma.github.io/Logging_1907/klagomål/A 14001-2023 FSC-klagomål.docx", "A 14001-2023")</f>
        <v/>
      </c>
      <c r="AB63">
        <f>HYPERLINK("https://klasma.github.io/Logging_1907/klagomålsmail/A 14001-2023 FSC-klagomål mail.docx", "A 14001-2023")</f>
        <v/>
      </c>
      <c r="AC63">
        <f>HYPERLINK("https://klasma.github.io/Logging_1907/tillsyn/A 14001-2023 tillsynsbegäran.docx", "A 14001-2023")</f>
        <v/>
      </c>
      <c r="AD63">
        <f>HYPERLINK("https://klasma.github.io/Logging_1907/tillsynsmail/A 14001-2023 tillsynsbegäran mail.docx", "A 14001-2023")</f>
        <v/>
      </c>
    </row>
    <row r="64" ht="15" customHeight="1">
      <c r="A64" t="inlineStr">
        <is>
          <t>A 13971-2023</t>
        </is>
      </c>
      <c r="B64" t="inlineStr">
        <is>
          <t>avverkningsanmälan</t>
        </is>
      </c>
      <c r="C64" t="inlineStr">
        <is>
          <t>Föryngringsavverkning</t>
        </is>
      </c>
      <c r="D64" s="1" t="n">
        <v>45007</v>
      </c>
      <c r="E64" s="1" t="n">
        <v>46304</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46304</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13788-2025</t>
        </is>
      </c>
      <c r="B66" t="inlineStr">
        <is>
          <t>avverkningsanmälan</t>
        </is>
      </c>
      <c r="C66" t="inlineStr">
        <is>
          <t>Föryngringsavverkning</t>
        </is>
      </c>
      <c r="D66" s="1" t="n">
        <v>45737</v>
      </c>
      <c r="E66" s="1" t="n">
        <v>46304</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41395-2026</t>
        </is>
      </c>
      <c r="B67" t="inlineStr">
        <is>
          <t>avverkningsanmälan</t>
        </is>
      </c>
      <c r="C67" t="inlineStr">
        <is>
          <t>Föryngringsavverkning</t>
        </is>
      </c>
      <c r="D67" s="1" t="n">
        <v>46301</v>
      </c>
      <c r="E67" s="1" t="n">
        <v>46304</v>
      </c>
      <c r="F67" t="inlineStr">
        <is>
          <t>VÄSTMANLANDS LÄN</t>
        </is>
      </c>
      <c r="G67" t="inlineStr">
        <is>
          <t>SURAHAMMAR</t>
        </is>
      </c>
      <c r="I67" t="n">
        <v>1.8</v>
      </c>
      <c r="J67" t="n">
        <v>1</v>
      </c>
      <c r="K67" t="n">
        <v>1</v>
      </c>
      <c r="L67" t="n">
        <v>0</v>
      </c>
      <c r="M67" t="n">
        <v>1</v>
      </c>
      <c r="N67" t="n">
        <v>0</v>
      </c>
      <c r="O67" t="n">
        <v>0</v>
      </c>
      <c r="P67" t="n">
        <v>0</v>
      </c>
      <c r="Q67" t="n">
        <v>1</v>
      </c>
      <c r="R67" t="n">
        <v>1</v>
      </c>
      <c r="S67" t="n">
        <v>2</v>
      </c>
      <c r="T67" t="n">
        <v>3</v>
      </c>
      <c r="U67" t="n">
        <v>0</v>
      </c>
      <c r="V67" s="2" t="inlineStr">
        <is>
          <t>Knärot
Grönpyrola</t>
        </is>
      </c>
      <c r="W67">
        <f>HYPERLINK("https://klasma.github.io/Logging_1907/artfynd/A 41395-2026 artfynd.xlsx", "A 41395-2026")</f>
        <v/>
      </c>
      <c r="X67">
        <f>HYPERLINK("https://klasma.github.io/Logging_1907/kartor/A 41395-2026 karta.png", "A 41395-2026")</f>
        <v/>
      </c>
      <c r="Y67">
        <f>HYPERLINK("https://klasma.github.io/Logging_1907/kartor_geotiff/A 41395-2026 georefererad karta.tif", "A 41395-2026")</f>
        <v/>
      </c>
      <c r="Z67">
        <f>HYPERLINK("https://klasma.github.io/Logging_1907/knärot/A 41395-2026 karta knärot.png", "A 41395-2026")</f>
        <v/>
      </c>
      <c r="AA67">
        <f>HYPERLINK("https://klasma.github.io/Logging_1907/klagomål/A 41395-2026 FSC-klagomål.docx", "A 41395-2026")</f>
        <v/>
      </c>
      <c r="AB67">
        <f>HYPERLINK("https://klasma.github.io/Logging_1907/klagomålsmail/A 41395-2026 FSC-klagomål mail.docx", "A 41395-2026")</f>
        <v/>
      </c>
      <c r="AC67">
        <f>HYPERLINK("https://klasma.github.io/Logging_1907/tillsyn/A 41395-2026 tillsynsbegäran.docx", "A 41395-2026")</f>
        <v/>
      </c>
      <c r="AD67">
        <f>HYPERLINK("https://klasma.github.io/Logging_1907/tillsynsmail/A 41395-2026 tillsynsbegäran mail.docx", "A 41395-2026")</f>
        <v/>
      </c>
    </row>
    <row r="68" ht="15" customHeight="1">
      <c r="A68" t="inlineStr">
        <is>
          <t>S 703-2025</t>
        </is>
      </c>
      <c r="B68" t="inlineStr">
        <is>
          <t>samrådsanmälan</t>
        </is>
      </c>
      <c r="C68" t="inlineStr">
        <is>
          <t>Skogsgödsling</t>
        </is>
      </c>
      <c r="D68" s="1" t="n">
        <v>45720</v>
      </c>
      <c r="E68" s="1" t="n">
        <v>46304</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46304</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46304</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46304</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46304</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46304</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46304</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46304</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46304</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46304</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46304</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46304</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46304</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46304</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46304</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46304</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46304</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46304</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46304</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46304</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46304</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46304</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46304</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46304</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46304</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46304</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46304</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46304</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46304</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46304</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46304</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46304</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46304</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46304</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12841-2026</t>
        </is>
      </c>
      <c r="B102" t="inlineStr">
        <is>
          <t>avverkningsanmälan</t>
        </is>
      </c>
      <c r="C102" t="inlineStr">
        <is>
          <t>Föryngringsavverkning</t>
        </is>
      </c>
      <c r="D102" s="1" t="n">
        <v>46091</v>
      </c>
      <c r="E102" s="1" t="n">
        <v>46304</v>
      </c>
      <c r="F102" t="inlineStr">
        <is>
          <t>VÄSTMANLANDS LÄN</t>
        </is>
      </c>
      <c r="G102" t="inlineStr">
        <is>
          <t>SURAHAMMAR</t>
        </is>
      </c>
      <c r="H102" t="inlineStr">
        <is>
          <t>Bergvik skog väst AB</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24158-2023</t>
        </is>
      </c>
      <c r="B103" t="inlineStr">
        <is>
          <t>avverkningsanmälan</t>
        </is>
      </c>
      <c r="C103" t="inlineStr">
        <is>
          <t>Föryngringsavverkning</t>
        </is>
      </c>
      <c r="D103" s="1" t="n">
        <v>45079</v>
      </c>
      <c r="E103" s="1" t="n">
        <v>46304</v>
      </c>
      <c r="F103" t="inlineStr">
        <is>
          <t>VÄSTMANLANDS LÄN</t>
        </is>
      </c>
      <c r="G103" t="inlineStr">
        <is>
          <t>SURAHAMMAR</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42714-2022</t>
        </is>
      </c>
      <c r="B104" t="inlineStr">
        <is>
          <t>avverkningsanmälan</t>
        </is>
      </c>
      <c r="C104" t="inlineStr">
        <is>
          <t>Föryngringsavverkning</t>
        </is>
      </c>
      <c r="D104" s="1" t="n">
        <v>44832</v>
      </c>
      <c r="E104" s="1" t="n">
        <v>46304</v>
      </c>
      <c r="F104" t="inlineStr">
        <is>
          <t>VÄSTMANLANDS LÄN</t>
        </is>
      </c>
      <c r="G104" t="inlineStr">
        <is>
          <t>SURAHAMMAR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35682-2022</t>
        </is>
      </c>
      <c r="B105" t="inlineStr">
        <is>
          <t>avverkningsanmälan</t>
        </is>
      </c>
      <c r="C105" t="inlineStr">
        <is>
          <t>Föryngringsavverkning</t>
        </is>
      </c>
      <c r="D105" s="1" t="n">
        <v>44799</v>
      </c>
      <c r="E105" s="1" t="n">
        <v>46304</v>
      </c>
      <c r="F105" t="inlineStr">
        <is>
          <t>VÄSTMANLANDS LÄN</t>
        </is>
      </c>
      <c r="G105" t="inlineStr">
        <is>
          <t>SURAHAMMAR</t>
        </is>
      </c>
      <c r="H105" t="inlineStr">
        <is>
          <t>Sveaskog</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11728-2023</t>
        </is>
      </c>
      <c r="B106" t="inlineStr">
        <is>
          <t>avverkningsanmälan</t>
        </is>
      </c>
      <c r="C106" t="inlineStr">
        <is>
          <t>Avverkning för att bevara och utveckla /försöksver</t>
        </is>
      </c>
      <c r="D106" s="1" t="n">
        <v>44993</v>
      </c>
      <c r="E106" s="1" t="n">
        <v>46304</v>
      </c>
      <c r="F106" t="inlineStr">
        <is>
          <t>VÄSTMANLANDS LÄN</t>
        </is>
      </c>
      <c r="G106" t="inlineStr">
        <is>
          <t>SURAHAMMAR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5567-2022</t>
        </is>
      </c>
      <c r="B107" t="inlineStr">
        <is>
          <t>avverkningsanmälan</t>
        </is>
      </c>
      <c r="C107" t="inlineStr">
        <is>
          <t>Föryngringsavverkning</t>
        </is>
      </c>
      <c r="D107" s="1" t="n">
        <v>44595</v>
      </c>
      <c r="E107" s="1" t="n">
        <v>46304</v>
      </c>
      <c r="F107" t="inlineStr">
        <is>
          <t>VÄSTMANLANDS LÄN</t>
        </is>
      </c>
      <c r="G107" t="inlineStr">
        <is>
          <t>SURAHAMMAR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42832-2022</t>
        </is>
      </c>
      <c r="B108" t="inlineStr">
        <is>
          <t>avverkningsanmälan</t>
        </is>
      </c>
      <c r="C108" t="inlineStr">
        <is>
          <t>Avverkning för annat ändamål</t>
        </is>
      </c>
      <c r="D108" s="1" t="n">
        <v>44832</v>
      </c>
      <c r="E108" s="1" t="n">
        <v>46304</v>
      </c>
      <c r="F108" t="inlineStr">
        <is>
          <t>VÄSTMANLANDS LÄN</t>
        </is>
      </c>
      <c r="G108" t="inlineStr">
        <is>
          <t>SURAHAMMAR</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24665-2023</t>
        </is>
      </c>
      <c r="B109" t="inlineStr">
        <is>
          <t>avverkningsanmälan</t>
        </is>
      </c>
      <c r="C109" t="inlineStr">
        <is>
          <t>Föryngringsavverkning</t>
        </is>
      </c>
      <c r="D109" s="1" t="n">
        <v>45084</v>
      </c>
      <c r="E109" s="1" t="n">
        <v>46304</v>
      </c>
      <c r="F109" t="inlineStr">
        <is>
          <t>VÄSTMANLANDS LÄN</t>
        </is>
      </c>
      <c r="G109" t="inlineStr">
        <is>
          <t>SURAHAMMAR</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42841-2022</t>
        </is>
      </c>
      <c r="B110" t="inlineStr">
        <is>
          <t>avverkningsanmälan</t>
        </is>
      </c>
      <c r="C110" t="inlineStr">
        <is>
          <t>Avverkning för annat ändamål</t>
        </is>
      </c>
      <c r="D110" s="1" t="n">
        <v>44832</v>
      </c>
      <c r="E110" s="1" t="n">
        <v>46304</v>
      </c>
      <c r="F110" t="inlineStr">
        <is>
          <t>VÄSTMANLANDS LÄN</t>
        </is>
      </c>
      <c r="G110" t="inlineStr">
        <is>
          <t>SURAHAMMAR</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42829-2022</t>
        </is>
      </c>
      <c r="B111" t="inlineStr">
        <is>
          <t>avverkningsanmälan</t>
        </is>
      </c>
      <c r="C111" t="inlineStr">
        <is>
          <t>Avverkning för annat ändamål</t>
        </is>
      </c>
      <c r="D111" s="1" t="n">
        <v>44832</v>
      </c>
      <c r="E111" s="1" t="n">
        <v>46304</v>
      </c>
      <c r="F111" t="inlineStr">
        <is>
          <t>VÄSTMANLANDS LÄN</t>
        </is>
      </c>
      <c r="G111" t="inlineStr">
        <is>
          <t>SURAHAMMAR</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2867-2024</t>
        </is>
      </c>
      <c r="B112" t="inlineStr">
        <is>
          <t>avverkningsanmälan</t>
        </is>
      </c>
      <c r="C112" t="inlineStr">
        <is>
          <t>Föryngringsavverkning</t>
        </is>
      </c>
      <c r="D112" s="1" t="n">
        <v>45315</v>
      </c>
      <c r="E112" s="1" t="n">
        <v>46304</v>
      </c>
      <c r="F112" t="inlineStr">
        <is>
          <t>VÄSTMANLANDS LÄN</t>
        </is>
      </c>
      <c r="G112" t="inlineStr">
        <is>
          <t>SURAHAMMAR</t>
        </is>
      </c>
      <c r="H112" t="inlineStr">
        <is>
          <t>Bergvik skog väst AB</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3085-2023</t>
        </is>
      </c>
      <c r="B113" t="inlineStr">
        <is>
          <t>avverkningsanmälan</t>
        </is>
      </c>
      <c r="C113" t="inlineStr">
        <is>
          <t>Föryngringsavverkning</t>
        </is>
      </c>
      <c r="D113" s="1" t="n">
        <v>44946</v>
      </c>
      <c r="E113" s="1" t="n">
        <v>46304</v>
      </c>
      <c r="F113" t="inlineStr">
        <is>
          <t>VÄSTMANLANDS LÄN</t>
        </is>
      </c>
      <c r="G113" t="inlineStr">
        <is>
          <t>SURAHAMMAR</t>
        </is>
      </c>
      <c r="H113" t="inlineStr">
        <is>
          <t>Kyrkan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46304</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19246-2026</t>
        </is>
      </c>
      <c r="B115" t="inlineStr">
        <is>
          <t>avverkningsanmälan</t>
        </is>
      </c>
      <c r="C115" t="inlineStr">
        <is>
          <t>Avverkning för annat ändamål</t>
        </is>
      </c>
      <c r="D115" s="1" t="n">
        <v>46132</v>
      </c>
      <c r="E115" s="1" t="n">
        <v>46304</v>
      </c>
      <c r="F115" t="inlineStr">
        <is>
          <t>VÄSTMANLANDS LÄN</t>
        </is>
      </c>
      <c r="G115" t="inlineStr">
        <is>
          <t>SURAHAMMAR</t>
        </is>
      </c>
      <c r="H115" t="inlineStr">
        <is>
          <t>Sveaskog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32808-2024</t>
        </is>
      </c>
      <c r="B116" t="inlineStr">
        <is>
          <t>avverkningsanmälan</t>
        </is>
      </c>
      <c r="C116" t="inlineStr">
        <is>
          <t>Föryngringsavverkning</t>
        </is>
      </c>
      <c r="D116" s="1" t="n">
        <v>45516</v>
      </c>
      <c r="E116" s="1" t="n">
        <v>46304</v>
      </c>
      <c r="F116" t="inlineStr">
        <is>
          <t>VÄSTMANLANDS LÄN</t>
        </is>
      </c>
      <c r="G116" t="inlineStr">
        <is>
          <t>SURAHAMMAR</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20904-2023</t>
        </is>
      </c>
      <c r="B117" t="inlineStr">
        <is>
          <t>avverkningsanmälan</t>
        </is>
      </c>
      <c r="C117" t="inlineStr">
        <is>
          <t>Avverkning för att bevara och utveckla /försöksver</t>
        </is>
      </c>
      <c r="D117" s="1" t="n">
        <v>45060</v>
      </c>
      <c r="E117" s="1" t="n">
        <v>46304</v>
      </c>
      <c r="F117" t="inlineStr">
        <is>
          <t>VÄSTMANLANDS LÄN</t>
        </is>
      </c>
      <c r="G117" t="inlineStr">
        <is>
          <t>SURAHAMMAR</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2660-2024</t>
        </is>
      </c>
      <c r="B118" t="inlineStr">
        <is>
          <t>avverkningsanmälan</t>
        </is>
      </c>
      <c r="C118" t="inlineStr">
        <is>
          <t>Föryngringsavverkning</t>
        </is>
      </c>
      <c r="D118" s="1" t="n">
        <v>45310</v>
      </c>
      <c r="E118" s="1" t="n">
        <v>46304</v>
      </c>
      <c r="F118" t="inlineStr">
        <is>
          <t>VÄSTMANLANDS LÄN</t>
        </is>
      </c>
      <c r="G118" t="inlineStr">
        <is>
          <t>SURAHAMMAR</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49058-2024</t>
        </is>
      </c>
      <c r="B119" t="inlineStr">
        <is>
          <t>avverkningsanmälan</t>
        </is>
      </c>
      <c r="C119" t="inlineStr">
        <is>
          <t>Föryngringsavverkning</t>
        </is>
      </c>
      <c r="D119" s="1" t="n">
        <v>45594</v>
      </c>
      <c r="E119" s="1" t="n">
        <v>46304</v>
      </c>
      <c r="F119" t="inlineStr">
        <is>
          <t>VÄSTMANLANDS LÄN</t>
        </is>
      </c>
      <c r="G119" t="inlineStr">
        <is>
          <t>SURAHAMMAR</t>
        </is>
      </c>
      <c r="H119" t="inlineStr">
        <is>
          <t>Sveaskog</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20535-2026</t>
        </is>
      </c>
      <c r="B120" t="inlineStr">
        <is>
          <t>avverkningsanmälan</t>
        </is>
      </c>
      <c r="C120" t="inlineStr">
        <is>
          <t>Avverkning för annat ändamål</t>
        </is>
      </c>
      <c r="D120" s="1" t="n">
        <v>46140</v>
      </c>
      <c r="E120" s="1" t="n">
        <v>46304</v>
      </c>
      <c r="F120" t="inlineStr">
        <is>
          <t>VÄSTMANLANDS LÄN</t>
        </is>
      </c>
      <c r="G120" t="inlineStr">
        <is>
          <t>SURAHAMMAR</t>
        </is>
      </c>
      <c r="H120" t="inlineStr">
        <is>
          <t>Bergvik skog väst AB</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4724-2026</t>
        </is>
      </c>
      <c r="B121" t="inlineStr">
        <is>
          <t>avverkningsanmälan</t>
        </is>
      </c>
      <c r="C121" t="inlineStr">
        <is>
          <t>Föryngringsavverkning</t>
        </is>
      </c>
      <c r="D121" s="1" t="n">
        <v>46048</v>
      </c>
      <c r="E121" s="1" t="n">
        <v>46304</v>
      </c>
      <c r="F121" t="inlineStr">
        <is>
          <t>VÄSTMANLANDS LÄN</t>
        </is>
      </c>
      <c r="G121" t="inlineStr">
        <is>
          <t>SURAHAMMAR</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4734-2026</t>
        </is>
      </c>
      <c r="B122" t="inlineStr">
        <is>
          <t>avverkningsanmälan</t>
        </is>
      </c>
      <c r="C122" t="inlineStr">
        <is>
          <t>Föryngringsavverkning</t>
        </is>
      </c>
      <c r="D122" s="1" t="n">
        <v>46048</v>
      </c>
      <c r="E122" s="1" t="n">
        <v>46304</v>
      </c>
      <c r="F122" t="inlineStr">
        <is>
          <t>VÄSTMANLANDS LÄN</t>
        </is>
      </c>
      <c r="G122" t="inlineStr">
        <is>
          <t>SURAHAMMAR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46304</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10244-2026</t>
        </is>
      </c>
      <c r="B124" t="inlineStr">
        <is>
          <t>avverkningsanmälan</t>
        </is>
      </c>
      <c r="C124" t="inlineStr">
        <is>
          <t>Föryngringsavverkning</t>
        </is>
      </c>
      <c r="D124" s="1" t="n">
        <v>46076</v>
      </c>
      <c r="E124" s="1" t="n">
        <v>46304</v>
      </c>
      <c r="F124" t="inlineStr">
        <is>
          <t>VÄSTMANLANDS LÄN</t>
        </is>
      </c>
      <c r="G124" t="inlineStr">
        <is>
          <t>SURAHAMMAR</t>
        </is>
      </c>
      <c r="H124" t="inlineStr">
        <is>
          <t>Allmännings- och besparingsskogar</t>
        </is>
      </c>
      <c r="I124" t="n">
        <v>8.699999999999999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10562-2026</t>
        </is>
      </c>
      <c r="B125" t="inlineStr">
        <is>
          <t>avverkningsanmälan</t>
        </is>
      </c>
      <c r="C125" t="inlineStr">
        <is>
          <t>Föryngringsavverkning</t>
        </is>
      </c>
      <c r="D125" s="1" t="n">
        <v>46077</v>
      </c>
      <c r="E125" s="1" t="n">
        <v>46304</v>
      </c>
      <c r="F125" t="inlineStr">
        <is>
          <t>VÄSTMANLANDS LÄN</t>
        </is>
      </c>
      <c r="G125" t="inlineStr">
        <is>
          <t>SURAHAMMAR</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25450-2024</t>
        </is>
      </c>
      <c r="B126" t="inlineStr">
        <is>
          <t>avverkningsanmälan</t>
        </is>
      </c>
      <c r="C126" t="inlineStr">
        <is>
          <t>Föryngringsavverkning</t>
        </is>
      </c>
      <c r="D126" s="1" t="n">
        <v>45463</v>
      </c>
      <c r="E126" s="1" t="n">
        <v>46304</v>
      </c>
      <c r="F126" t="inlineStr">
        <is>
          <t>VÄSTMANLANDS LÄN</t>
        </is>
      </c>
      <c r="G126" t="inlineStr">
        <is>
          <t>SURAHAMMAR</t>
        </is>
      </c>
      <c r="H126" t="inlineStr">
        <is>
          <t>Bergvik skog väst AB</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19782-2023</t>
        </is>
      </c>
      <c r="B127" t="inlineStr">
        <is>
          <t>avverkningsanmälan</t>
        </is>
      </c>
      <c r="C127" t="inlineStr">
        <is>
          <t>Föryngringsavverkning</t>
        </is>
      </c>
      <c r="D127" s="1" t="n">
        <v>45050</v>
      </c>
      <c r="E127" s="1" t="n">
        <v>46304</v>
      </c>
      <c r="F127" t="inlineStr">
        <is>
          <t>VÄSTMANLANDS LÄN</t>
        </is>
      </c>
      <c r="G127" t="inlineStr">
        <is>
          <t>SURAHAMMAR</t>
        </is>
      </c>
      <c r="H127" t="inlineStr">
        <is>
          <t>Bergvik skog väst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46304</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46304</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56378-2023</t>
        </is>
      </c>
      <c r="B130" t="inlineStr">
        <is>
          <t>avverkningsanmälan</t>
        </is>
      </c>
      <c r="C130" t="inlineStr">
        <is>
          <t>Föryngringsavverkning</t>
        </is>
      </c>
      <c r="D130" s="1" t="n">
        <v>45236</v>
      </c>
      <c r="E130" s="1" t="n">
        <v>46304</v>
      </c>
      <c r="F130" t="inlineStr">
        <is>
          <t>VÄSTMANLANDS LÄN</t>
        </is>
      </c>
      <c r="G130" t="inlineStr">
        <is>
          <t>SURAHAMMAR</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19099-2022</t>
        </is>
      </c>
      <c r="B131" t="inlineStr">
        <is>
          <t>avverkningsanmälan</t>
        </is>
      </c>
      <c r="C131" t="inlineStr">
        <is>
          <t>Föryngringsavverkning</t>
        </is>
      </c>
      <c r="D131" s="1" t="n">
        <v>44691</v>
      </c>
      <c r="E131" s="1" t="n">
        <v>46304</v>
      </c>
      <c r="F131" t="inlineStr">
        <is>
          <t>VÄSTMANLANDS LÄN</t>
        </is>
      </c>
      <c r="G131" t="inlineStr">
        <is>
          <t>SURAHAMMAR</t>
        </is>
      </c>
      <c r="H131" t="inlineStr">
        <is>
          <t>Övriga Aktiebolag</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3818-2022</t>
        </is>
      </c>
      <c r="B132" t="inlineStr">
        <is>
          <t>avverkningsanmälan</t>
        </is>
      </c>
      <c r="C132" t="inlineStr">
        <is>
          <t>Föryngringsavverkning</t>
        </is>
      </c>
      <c r="D132" s="1" t="n">
        <v>44587</v>
      </c>
      <c r="E132" s="1" t="n">
        <v>46304</v>
      </c>
      <c r="F132" t="inlineStr">
        <is>
          <t>VÄSTMANLANDS LÄN</t>
        </is>
      </c>
      <c r="G132" t="inlineStr">
        <is>
          <t>SURAHAMMAR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22628-2026</t>
        </is>
      </c>
      <c r="B133" t="inlineStr">
        <is>
          <t>avverkningsanmälan</t>
        </is>
      </c>
      <c r="C133" t="inlineStr">
        <is>
          <t>Föryngringsavverkning</t>
        </is>
      </c>
      <c r="D133" s="1" t="n">
        <v>46155</v>
      </c>
      <c r="E133" s="1" t="n">
        <v>46304</v>
      </c>
      <c r="F133" t="inlineStr">
        <is>
          <t>VÄSTMANLANDS LÄN</t>
        </is>
      </c>
      <c r="G133" t="inlineStr">
        <is>
          <t>SURAHAMMAR</t>
        </is>
      </c>
      <c r="H133" t="inlineStr">
        <is>
          <t>Sveaskog</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31061-2026</t>
        </is>
      </c>
      <c r="B134" t="inlineStr">
        <is>
          <t>avverkningsanmälan</t>
        </is>
      </c>
      <c r="C134" t="inlineStr">
        <is>
          <t>Föryngringsavverkning</t>
        </is>
      </c>
      <c r="D134" s="1" t="n">
        <v>46215</v>
      </c>
      <c r="E134" s="1" t="n">
        <v>46304</v>
      </c>
      <c r="F134" t="inlineStr">
        <is>
          <t>VÄSTMANLANDS LÄN</t>
        </is>
      </c>
      <c r="G134" t="inlineStr">
        <is>
          <t>SURAHAMMAR</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21509-2024</t>
        </is>
      </c>
      <c r="B135" t="inlineStr">
        <is>
          <t>avverkningsanmälan</t>
        </is>
      </c>
      <c r="C135" t="inlineStr">
        <is>
          <t>Föryngringsavverkning</t>
        </is>
      </c>
      <c r="D135" s="1" t="n">
        <v>45441</v>
      </c>
      <c r="E135" s="1" t="n">
        <v>46304</v>
      </c>
      <c r="F135" t="inlineStr">
        <is>
          <t>VÄSTMANLANDS LÄN</t>
        </is>
      </c>
      <c r="G135" t="inlineStr">
        <is>
          <t>SURAHAMMAR</t>
        </is>
      </c>
      <c r="H135" t="inlineStr">
        <is>
          <t>Bergvik skog väst AB</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22662-2023</t>
        </is>
      </c>
      <c r="B136" t="inlineStr">
        <is>
          <t>avverkningsanmälan</t>
        </is>
      </c>
      <c r="C136" t="inlineStr">
        <is>
          <t>Avverkning för att bevara och utveckla /försöksver</t>
        </is>
      </c>
      <c r="D136" s="1" t="n">
        <v>45071</v>
      </c>
      <c r="E136" s="1" t="n">
        <v>46304</v>
      </c>
      <c r="F136" t="inlineStr">
        <is>
          <t>VÄSTMANLANDS LÄN</t>
        </is>
      </c>
      <c r="G136" t="inlineStr">
        <is>
          <t>SURAHAMMAR</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25780-2023</t>
        </is>
      </c>
      <c r="B137" t="inlineStr">
        <is>
          <t>avverkningsanmälan</t>
        </is>
      </c>
      <c r="C137" t="inlineStr">
        <is>
          <t>Föryngringsavverkning</t>
        </is>
      </c>
      <c r="D137" s="1" t="n">
        <v>45090</v>
      </c>
      <c r="E137" s="1" t="n">
        <v>46304</v>
      </c>
      <c r="F137" t="inlineStr">
        <is>
          <t>VÄSTMANLANDS LÄN</t>
        </is>
      </c>
      <c r="G137" t="inlineStr">
        <is>
          <t>SURAHAMMAR</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32501-2026</t>
        </is>
      </c>
      <c r="B138" t="inlineStr">
        <is>
          <t>avverkningsanmälan</t>
        </is>
      </c>
      <c r="C138" t="inlineStr">
        <is>
          <t>Avverkning för annat ändamål</t>
        </is>
      </c>
      <c r="D138" s="1" t="n">
        <v>46239</v>
      </c>
      <c r="E138" s="1" t="n">
        <v>46304</v>
      </c>
      <c r="F138" t="inlineStr">
        <is>
          <t>VÄSTMANLANDS LÄN</t>
        </is>
      </c>
      <c r="G138" t="inlineStr">
        <is>
          <t>SURAHAMMAR</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32223-2026</t>
        </is>
      </c>
      <c r="B139" t="inlineStr">
        <is>
          <t>avverkningsanmälan</t>
        </is>
      </c>
      <c r="C139" t="inlineStr">
        <is>
          <t>Föryngringsavverkning</t>
        </is>
      </c>
      <c r="D139" s="1" t="n">
        <v>46237</v>
      </c>
      <c r="E139" s="1" t="n">
        <v>46304</v>
      </c>
      <c r="F139" t="inlineStr">
        <is>
          <t>VÄSTMANLANDS LÄN</t>
        </is>
      </c>
      <c r="G139" t="inlineStr">
        <is>
          <t>SURAHAMMAR</t>
        </is>
      </c>
      <c r="H139" t="inlineStr">
        <is>
          <t>Allmännings- och besparingsskogar</t>
        </is>
      </c>
      <c r="I139" t="n">
        <v>8.199999999999999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15739-2023</t>
        </is>
      </c>
      <c r="B140" t="inlineStr">
        <is>
          <t>avverkningsanmälan</t>
        </is>
      </c>
      <c r="C140" t="inlineStr">
        <is>
          <t>Föryngringsavverkning</t>
        </is>
      </c>
      <c r="D140" s="1" t="n">
        <v>45021</v>
      </c>
      <c r="E140" s="1" t="n">
        <v>46304</v>
      </c>
      <c r="F140" t="inlineStr">
        <is>
          <t>VÄSTMANLANDS LÄN</t>
        </is>
      </c>
      <c r="G140" t="inlineStr">
        <is>
          <t>SURAHAMMAR</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33933-2026</t>
        </is>
      </c>
      <c r="B141" t="inlineStr">
        <is>
          <t>avverkningsanmälan</t>
        </is>
      </c>
      <c r="C141" t="inlineStr">
        <is>
          <t>Föryngringsavverkning</t>
        </is>
      </c>
      <c r="D141" s="1" t="n">
        <v>46248</v>
      </c>
      <c r="E141" s="1" t="n">
        <v>46304</v>
      </c>
      <c r="F141" t="inlineStr">
        <is>
          <t>VÄSTMANLANDS LÄN</t>
        </is>
      </c>
      <c r="G141" t="inlineStr">
        <is>
          <t>SURAHAMMAR</t>
        </is>
      </c>
      <c r="H141" t="inlineStr">
        <is>
          <t>Bergvik skog väst AB</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37954-2025</t>
        </is>
      </c>
      <c r="B142" t="inlineStr">
        <is>
          <t>avverkningsanmälan</t>
        </is>
      </c>
      <c r="C142" t="inlineStr">
        <is>
          <t>Föryngringsavverkning</t>
        </is>
      </c>
      <c r="D142" s="1" t="n">
        <v>45881</v>
      </c>
      <c r="E142" s="1" t="n">
        <v>46304</v>
      </c>
      <c r="F142" t="inlineStr">
        <is>
          <t>VÄSTMANLANDS LÄN</t>
        </is>
      </c>
      <c r="G142" t="inlineStr">
        <is>
          <t>SURAHAMMAR</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3543-2022</t>
        </is>
      </c>
      <c r="B143" t="inlineStr">
        <is>
          <t>samrådsanmälan</t>
        </is>
      </c>
      <c r="C143" t="inlineStr">
        <is>
          <t>Skogsbilväg</t>
        </is>
      </c>
      <c r="D143" s="1" t="n">
        <v>44734</v>
      </c>
      <c r="E143" s="1" t="n">
        <v>46304</v>
      </c>
      <c r="F143" t="inlineStr">
        <is>
          <t>VÄSTMANLANDS LÄN</t>
        </is>
      </c>
      <c r="G143" t="inlineStr">
        <is>
          <t>SURAHAMMAR</t>
        </is>
      </c>
      <c r="H143" t="inlineStr">
        <is>
          <t>Bergvik skog väst AB</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3542-2022</t>
        </is>
      </c>
      <c r="B144" t="inlineStr">
        <is>
          <t>samrådsanmälan</t>
        </is>
      </c>
      <c r="C144" t="inlineStr">
        <is>
          <t>Skogsbilväg</t>
        </is>
      </c>
      <c r="D144" s="1" t="n">
        <v>44734</v>
      </c>
      <c r="E144" s="1" t="n">
        <v>46304</v>
      </c>
      <c r="F144" t="inlineStr">
        <is>
          <t>VÄSTMANLANDS LÄN</t>
        </is>
      </c>
      <c r="G144" t="inlineStr">
        <is>
          <t>SURAHAMMAR</t>
        </is>
      </c>
      <c r="H144" t="inlineStr">
        <is>
          <t>Bergvik skog väst AB</t>
        </is>
      </c>
      <c r="I144" t="n">
        <v>1</v>
      </c>
      <c r="J144" t="n">
        <v>0</v>
      </c>
      <c r="K144" t="n">
        <v>0</v>
      </c>
      <c r="L144" t="n">
        <v>0</v>
      </c>
      <c r="M144" t="n">
        <v>0</v>
      </c>
      <c r="N144" t="n">
        <v>0</v>
      </c>
      <c r="O144" t="n">
        <v>0</v>
      </c>
      <c r="P144" t="n">
        <v>0</v>
      </c>
      <c r="Q144" t="n">
        <v>0</v>
      </c>
      <c r="R144" t="n">
        <v>0</v>
      </c>
      <c r="S144" t="n">
        <v>0</v>
      </c>
      <c r="T144" t="n">
        <v>0</v>
      </c>
      <c r="U144" t="n">
        <v>0</v>
      </c>
      <c r="V144" s="2" t="inlineStr"/>
    </row>
    <row r="145">
      <c r="A145" t="inlineStr">
        <is>
          <t>S 2172-2026</t>
        </is>
      </c>
      <c r="B145" t="inlineStr">
        <is>
          <t>samrådsanmälan</t>
        </is>
      </c>
      <c r="C145" t="inlineStr">
        <is>
          <t>Annan skogsbruksåtgärd</t>
        </is>
      </c>
      <c r="D145" s="1" t="n">
        <v>46251</v>
      </c>
      <c r="E145" s="1" t="n">
        <v>46304</v>
      </c>
      <c r="F145" t="inlineStr">
        <is>
          <t>VÄSTMANLANDS LÄN</t>
        </is>
      </c>
      <c r="G145" t="inlineStr">
        <is>
          <t>SURAHAMMAR</t>
        </is>
      </c>
      <c r="I145" t="n">
        <v>0.4</v>
      </c>
      <c r="J145" t="n">
        <v>0</v>
      </c>
      <c r="K145" t="n">
        <v>0</v>
      </c>
      <c r="L145" t="n">
        <v>0</v>
      </c>
      <c r="M145" t="n">
        <v>0</v>
      </c>
      <c r="N145" t="n">
        <v>0</v>
      </c>
      <c r="O145" t="n">
        <v>0</v>
      </c>
      <c r="P145" t="n">
        <v>0</v>
      </c>
      <c r="Q145" t="n">
        <v>0</v>
      </c>
      <c r="R145" t="n">
        <v>0</v>
      </c>
      <c r="S145" t="n">
        <v>0</v>
      </c>
      <c r="T145" t="n">
        <v>0</v>
      </c>
      <c r="U145" t="n">
        <v>0</v>
      </c>
      <c r="V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2026-10-09T02:05:07Z</dcterms:created>
  <dcterms:modified xmlns:dcterms="http://purl.org/dc/terms/" xmlns:xsi="http://www.w3.org/2001/XMLSchema-instance" xsi:type="dcterms:W3CDTF">2026-10-09T02:05:07Z</dcterms:modified>
</cp:coreProperties>
</file>