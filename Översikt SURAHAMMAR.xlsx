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46038</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46038</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46038</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46038</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46038</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46038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46038</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46038</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46038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46038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46038</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46038</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46038</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46038</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46038</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46038</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46038</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46038</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46038</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46038</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46038</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46038</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46038</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49718-2023</t>
        </is>
      </c>
      <c r="B30" s="1" t="n">
        <v>45212</v>
      </c>
      <c r="C30" s="1" t="n">
        <v>46038</v>
      </c>
      <c r="D30" t="inlineStr">
        <is>
          <t>VÄSTMANLANDS LÄN</t>
        </is>
      </c>
      <c r="E30" t="inlineStr">
        <is>
          <t>SURAHAMMAR</t>
        </is>
      </c>
      <c r="G30" t="n">
        <v>3.4</v>
      </c>
      <c r="H30" t="n">
        <v>1</v>
      </c>
      <c r="I30" t="n">
        <v>1</v>
      </c>
      <c r="J30" t="n">
        <v>2</v>
      </c>
      <c r="K30" t="n">
        <v>0</v>
      </c>
      <c r="L30" t="n">
        <v>0</v>
      </c>
      <c r="M30" t="n">
        <v>0</v>
      </c>
      <c r="N30" t="n">
        <v>0</v>
      </c>
      <c r="O30" t="n">
        <v>2</v>
      </c>
      <c r="P30" t="n">
        <v>0</v>
      </c>
      <c r="Q30" t="n">
        <v>3</v>
      </c>
      <c r="R30" s="2" t="inlineStr">
        <is>
          <t>Motaggsvamp
Talltita
Zontaggsvamp</t>
        </is>
      </c>
      <c r="S30">
        <f>HYPERLINK("https://klasma.github.io/Logging_1907/artfynd/A 49718-2023 artfynd.xlsx", "A 49718-2023")</f>
        <v/>
      </c>
      <c r="T30">
        <f>HYPERLINK("https://klasma.github.io/Logging_1907/kartor/A 49718-2023 karta.png", "A 49718-2023")</f>
        <v/>
      </c>
      <c r="V30">
        <f>HYPERLINK("https://klasma.github.io/Logging_1907/klagomål/A 49718-2023 FSC-klagomål.docx", "A 49718-2023")</f>
        <v/>
      </c>
      <c r="W30">
        <f>HYPERLINK("https://klasma.github.io/Logging_1907/klagomålsmail/A 49718-2023 FSC-klagomål mail.docx", "A 49718-2023")</f>
        <v/>
      </c>
      <c r="X30">
        <f>HYPERLINK("https://klasma.github.io/Logging_1907/tillsyn/A 49718-2023 tillsynsbegäran.docx", "A 49718-2023")</f>
        <v/>
      </c>
      <c r="Y30">
        <f>HYPERLINK("https://klasma.github.io/Logging_1907/tillsynsmail/A 49718-2023 tillsynsbegäran mail.docx", "A 49718-2023")</f>
        <v/>
      </c>
      <c r="Z30">
        <f>HYPERLINK("https://klasma.github.io/Logging_1907/fåglar/A 49718-2023 prioriterade fågelarter.docx", "A 49718-2023")</f>
        <v/>
      </c>
    </row>
    <row r="31" ht="15" customHeight="1">
      <c r="A31" t="inlineStr">
        <is>
          <t>A 42708-2022</t>
        </is>
      </c>
      <c r="B31" s="1" t="n">
        <v>44832</v>
      </c>
      <c r="C31" s="1" t="n">
        <v>46038</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46038</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20391-2024</t>
        </is>
      </c>
      <c r="B33" s="1" t="n">
        <v>45435</v>
      </c>
      <c r="C33" s="1" t="n">
        <v>46038</v>
      </c>
      <c r="D33" t="inlineStr">
        <is>
          <t>VÄSTMANLANDS LÄN</t>
        </is>
      </c>
      <c r="E33" t="inlineStr">
        <is>
          <t>SURAHAMMAR</t>
        </is>
      </c>
      <c r="G33" t="n">
        <v>1.5</v>
      </c>
      <c r="H33" t="n">
        <v>0</v>
      </c>
      <c r="I33" t="n">
        <v>2</v>
      </c>
      <c r="J33" t="n">
        <v>1</v>
      </c>
      <c r="K33" t="n">
        <v>0</v>
      </c>
      <c r="L33" t="n">
        <v>0</v>
      </c>
      <c r="M33" t="n">
        <v>0</v>
      </c>
      <c r="N33" t="n">
        <v>0</v>
      </c>
      <c r="O33" t="n">
        <v>1</v>
      </c>
      <c r="P33" t="n">
        <v>0</v>
      </c>
      <c r="Q33" t="n">
        <v>3</v>
      </c>
      <c r="R33" s="2" t="inlineStr">
        <is>
          <t>Vedtrappmossa
Kattfotslav
Stubbspretmossa</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row>
    <row r="34" ht="15" customHeight="1">
      <c r="A34" t="inlineStr">
        <is>
          <t>A 42853-2022</t>
        </is>
      </c>
      <c r="B34" s="1" t="n">
        <v>44832</v>
      </c>
      <c r="C34" s="1" t="n">
        <v>46038</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8552-2022</t>
        </is>
      </c>
      <c r="B35" s="1" t="n">
        <v>44613</v>
      </c>
      <c r="C35" s="1" t="n">
        <v>46038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38200-2021</t>
        </is>
      </c>
      <c r="B36" s="1" t="n">
        <v>44405</v>
      </c>
      <c r="C36" s="1" t="n">
        <v>46038</v>
      </c>
      <c r="D36" t="inlineStr">
        <is>
          <t>VÄSTMANLANDS LÄN</t>
        </is>
      </c>
      <c r="E36" t="inlineStr">
        <is>
          <t>SURAHAMMAR</t>
        </is>
      </c>
      <c r="F36" t="inlineStr">
        <is>
          <t>Sveaskog</t>
        </is>
      </c>
      <c r="G36" t="n">
        <v>1.5</v>
      </c>
      <c r="H36" t="n">
        <v>1</v>
      </c>
      <c r="I36" t="n">
        <v>0</v>
      </c>
      <c r="J36" t="n">
        <v>1</v>
      </c>
      <c r="K36" t="n">
        <v>1</v>
      </c>
      <c r="L36" t="n">
        <v>0</v>
      </c>
      <c r="M36" t="n">
        <v>0</v>
      </c>
      <c r="N36" t="n">
        <v>0</v>
      </c>
      <c r="O36" t="n">
        <v>2</v>
      </c>
      <c r="P36" t="n">
        <v>1</v>
      </c>
      <c r="Q36" t="n">
        <v>3</v>
      </c>
      <c r="R36" s="2" t="inlineStr">
        <is>
          <t>Vågticka
Svinrot
Kopparödla</t>
        </is>
      </c>
      <c r="S36">
        <f>HYPERLINK("https://klasma.github.io/Logging_1907/artfynd/A 38200-2021 artfynd.xlsx", "A 38200-2021")</f>
        <v/>
      </c>
      <c r="T36">
        <f>HYPERLINK("https://klasma.github.io/Logging_1907/kartor/A 38200-2021 karta.png", "A 38200-2021")</f>
        <v/>
      </c>
      <c r="V36">
        <f>HYPERLINK("https://klasma.github.io/Logging_1907/klagomål/A 38200-2021 FSC-klagomål.docx", "A 38200-2021")</f>
        <v/>
      </c>
      <c r="W36">
        <f>HYPERLINK("https://klasma.github.io/Logging_1907/klagomålsmail/A 38200-2021 FSC-klagomål mail.docx", "A 38200-2021")</f>
        <v/>
      </c>
      <c r="X36">
        <f>HYPERLINK("https://klasma.github.io/Logging_1907/tillsyn/A 38200-2021 tillsynsbegäran.docx", "A 38200-2021")</f>
        <v/>
      </c>
      <c r="Y36">
        <f>HYPERLINK("https://klasma.github.io/Logging_1907/tillsynsmail/A 38200-2021 tillsynsbegäran mail.docx", "A 38200-2021")</f>
        <v/>
      </c>
    </row>
    <row r="37" ht="15" customHeight="1">
      <c r="A37" t="inlineStr">
        <is>
          <t>A 29707-2025</t>
        </is>
      </c>
      <c r="B37" s="1" t="n">
        <v>45825.56100694444</v>
      </c>
      <c r="C37" s="1" t="n">
        <v>46038</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37801-2021</t>
        </is>
      </c>
      <c r="B38" s="1" t="n">
        <v>44402</v>
      </c>
      <c r="C38" s="1" t="n">
        <v>46038</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62097-2024</t>
        </is>
      </c>
      <c r="B39" s="1" t="n">
        <v>45646</v>
      </c>
      <c r="C39" s="1" t="n">
        <v>46038</v>
      </c>
      <c r="D39" t="inlineStr">
        <is>
          <t>VÄSTMANLANDS LÄN</t>
        </is>
      </c>
      <c r="E39" t="inlineStr">
        <is>
          <t>SURAHAMMAR</t>
        </is>
      </c>
      <c r="F39" t="inlineStr">
        <is>
          <t>Bergvik skog väst AB</t>
        </is>
      </c>
      <c r="G39" t="n">
        <v>21.7</v>
      </c>
      <c r="H39" t="n">
        <v>2</v>
      </c>
      <c r="I39" t="n">
        <v>0</v>
      </c>
      <c r="J39" t="n">
        <v>0</v>
      </c>
      <c r="K39" t="n">
        <v>0</v>
      </c>
      <c r="L39" t="n">
        <v>0</v>
      </c>
      <c r="M39" t="n">
        <v>0</v>
      </c>
      <c r="N39" t="n">
        <v>0</v>
      </c>
      <c r="O39" t="n">
        <v>0</v>
      </c>
      <c r="P39" t="n">
        <v>0</v>
      </c>
      <c r="Q39" t="n">
        <v>2</v>
      </c>
      <c r="R39" s="2" t="inlineStr">
        <is>
          <t>Mattlummer
Revlummer</t>
        </is>
      </c>
      <c r="S39">
        <f>HYPERLINK("https://klasma.github.io/Logging_1907/artfynd/A 62097-2024 artfynd.xlsx", "A 62097-2024")</f>
        <v/>
      </c>
      <c r="T39">
        <f>HYPERLINK("https://klasma.github.io/Logging_1907/kartor/A 62097-2024 karta.png", "A 62097-2024")</f>
        <v/>
      </c>
      <c r="V39">
        <f>HYPERLINK("https://klasma.github.io/Logging_1907/klagomål/A 62097-2024 FSC-klagomål.docx", "A 62097-2024")</f>
        <v/>
      </c>
      <c r="W39">
        <f>HYPERLINK("https://klasma.github.io/Logging_1907/klagomålsmail/A 62097-2024 FSC-klagomål mail.docx", "A 62097-2024")</f>
        <v/>
      </c>
      <c r="X39">
        <f>HYPERLINK("https://klasma.github.io/Logging_1907/tillsyn/A 62097-2024 tillsynsbegäran.docx", "A 62097-2024")</f>
        <v/>
      </c>
      <c r="Y39">
        <f>HYPERLINK("https://klasma.github.io/Logging_1907/tillsynsmail/A 62097-2024 tillsynsbegäran mail.docx", "A 62097-2024")</f>
        <v/>
      </c>
    </row>
    <row r="40" ht="15" customHeight="1">
      <c r="A40" t="inlineStr">
        <is>
          <t>A 40403-2025</t>
        </is>
      </c>
      <c r="B40" s="1" t="n">
        <v>45895</v>
      </c>
      <c r="C40" s="1" t="n">
        <v>46038</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37800-2021</t>
        </is>
      </c>
      <c r="B41" s="1" t="n">
        <v>44402</v>
      </c>
      <c r="C41" s="1" t="n">
        <v>46038</v>
      </c>
      <c r="D41" t="inlineStr">
        <is>
          <t>VÄSTMANLANDS LÄN</t>
        </is>
      </c>
      <c r="E41" t="inlineStr">
        <is>
          <t>SURAHAMMAR</t>
        </is>
      </c>
      <c r="F41" t="inlineStr">
        <is>
          <t>Kommuner</t>
        </is>
      </c>
      <c r="G41" t="n">
        <v>1.3</v>
      </c>
      <c r="H41" t="n">
        <v>1</v>
      </c>
      <c r="I41" t="n">
        <v>0</v>
      </c>
      <c r="J41" t="n">
        <v>1</v>
      </c>
      <c r="K41" t="n">
        <v>0</v>
      </c>
      <c r="L41" t="n">
        <v>0</v>
      </c>
      <c r="M41" t="n">
        <v>0</v>
      </c>
      <c r="N41" t="n">
        <v>0</v>
      </c>
      <c r="O41" t="n">
        <v>1</v>
      </c>
      <c r="P41" t="n">
        <v>0</v>
      </c>
      <c r="Q41" t="n">
        <v>2</v>
      </c>
      <c r="R41" s="2" t="inlineStr">
        <is>
          <t>Svinrot
Grönvit nattviol</t>
        </is>
      </c>
      <c r="S41">
        <f>HYPERLINK("https://klasma.github.io/Logging_1907/artfynd/A 37800-2021 artfynd.xlsx", "A 37800-2021")</f>
        <v/>
      </c>
      <c r="T41">
        <f>HYPERLINK("https://klasma.github.io/Logging_1907/kartor/A 37800-2021 karta.png", "A 37800-2021")</f>
        <v/>
      </c>
      <c r="V41">
        <f>HYPERLINK("https://klasma.github.io/Logging_1907/klagomål/A 37800-2021 FSC-klagomål.docx", "A 37800-2021")</f>
        <v/>
      </c>
      <c r="W41">
        <f>HYPERLINK("https://klasma.github.io/Logging_1907/klagomålsmail/A 37800-2021 FSC-klagomål mail.docx", "A 37800-2021")</f>
        <v/>
      </c>
      <c r="X41">
        <f>HYPERLINK("https://klasma.github.io/Logging_1907/tillsyn/A 37800-2021 tillsynsbegäran.docx", "A 37800-2021")</f>
        <v/>
      </c>
      <c r="Y41">
        <f>HYPERLINK("https://klasma.github.io/Logging_1907/tillsynsmail/A 37800-2021 tillsynsbegäran mail.docx", "A 37800-2021")</f>
        <v/>
      </c>
    </row>
    <row r="42" ht="15" customHeight="1">
      <c r="A42" t="inlineStr">
        <is>
          <t>A 4082-2025</t>
        </is>
      </c>
      <c r="B42" s="1" t="n">
        <v>45684</v>
      </c>
      <c r="C42" s="1" t="n">
        <v>46038</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41204-2023</t>
        </is>
      </c>
      <c r="B43" s="1" t="n">
        <v>45174</v>
      </c>
      <c r="C43" s="1" t="n">
        <v>46038</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63146-2025</t>
        </is>
      </c>
      <c r="B44" s="1" t="n">
        <v>46009</v>
      </c>
      <c r="C44" s="1" t="n">
        <v>46038</v>
      </c>
      <c r="D44" t="inlineStr">
        <is>
          <t>VÄSTMANLANDS LÄN</t>
        </is>
      </c>
      <c r="E44" t="inlineStr">
        <is>
          <t>SURAHAMMAR</t>
        </is>
      </c>
      <c r="F44" t="inlineStr">
        <is>
          <t>Bergvik skog väst AB</t>
        </is>
      </c>
      <c r="G44" t="n">
        <v>10.2</v>
      </c>
      <c r="H44" t="n">
        <v>1</v>
      </c>
      <c r="I44" t="n">
        <v>1</v>
      </c>
      <c r="J44" t="n">
        <v>0</v>
      </c>
      <c r="K44" t="n">
        <v>0</v>
      </c>
      <c r="L44" t="n">
        <v>0</v>
      </c>
      <c r="M44" t="n">
        <v>0</v>
      </c>
      <c r="N44" t="n">
        <v>0</v>
      </c>
      <c r="O44" t="n">
        <v>0</v>
      </c>
      <c r="P44" t="n">
        <v>0</v>
      </c>
      <c r="Q44" t="n">
        <v>2</v>
      </c>
      <c r="R44" s="2" t="inlineStr">
        <is>
          <t>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21618-2025</t>
        </is>
      </c>
      <c r="B45" s="1" t="n">
        <v>45783</v>
      </c>
      <c r="C45" s="1" t="n">
        <v>46038</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46038</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46038</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46038</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46038</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25583-2024</t>
        </is>
      </c>
      <c r="B50" s="1" t="n">
        <v>45463</v>
      </c>
      <c r="C50" s="1" t="n">
        <v>46038</v>
      </c>
      <c r="D50" t="inlineStr">
        <is>
          <t>VÄSTMANLANDS LÄN</t>
        </is>
      </c>
      <c r="E50" t="inlineStr">
        <is>
          <t>SURAHAMMAR</t>
        </is>
      </c>
      <c r="F50" t="inlineStr">
        <is>
          <t>Bergvik skog väst AB</t>
        </is>
      </c>
      <c r="G50" t="n">
        <v>7.8</v>
      </c>
      <c r="H50" t="n">
        <v>1</v>
      </c>
      <c r="I50" t="n">
        <v>0</v>
      </c>
      <c r="J50" t="n">
        <v>0</v>
      </c>
      <c r="K50" t="n">
        <v>0</v>
      </c>
      <c r="L50" t="n">
        <v>0</v>
      </c>
      <c r="M50" t="n">
        <v>0</v>
      </c>
      <c r="N50" t="n">
        <v>0</v>
      </c>
      <c r="O50" t="n">
        <v>0</v>
      </c>
      <c r="P50" t="n">
        <v>0</v>
      </c>
      <c r="Q50" t="n">
        <v>1</v>
      </c>
      <c r="R50" s="2" t="inlineStr">
        <is>
          <t>Blåsippa</t>
        </is>
      </c>
      <c r="S50">
        <f>HYPERLINK("https://klasma.github.io/Logging_1907/artfynd/A 25583-2024 artfynd.xlsx", "A 25583-2024")</f>
        <v/>
      </c>
      <c r="T50">
        <f>HYPERLINK("https://klasma.github.io/Logging_1907/kartor/A 25583-2024 karta.png", "A 25583-2024")</f>
        <v/>
      </c>
      <c r="V50">
        <f>HYPERLINK("https://klasma.github.io/Logging_1907/klagomål/A 25583-2024 FSC-klagomål.docx", "A 25583-2024")</f>
        <v/>
      </c>
      <c r="W50">
        <f>HYPERLINK("https://klasma.github.io/Logging_1907/klagomålsmail/A 25583-2024 FSC-klagomål mail.docx", "A 25583-2024")</f>
        <v/>
      </c>
      <c r="X50">
        <f>HYPERLINK("https://klasma.github.io/Logging_1907/tillsyn/A 25583-2024 tillsynsbegäran.docx", "A 25583-2024")</f>
        <v/>
      </c>
      <c r="Y50">
        <f>HYPERLINK("https://klasma.github.io/Logging_1907/tillsynsmail/A 25583-2024 tillsynsbegäran mail.docx", "A 25583-2024")</f>
        <v/>
      </c>
    </row>
    <row r="51" ht="15" customHeight="1">
      <c r="A51" t="inlineStr">
        <is>
          <t>A 40411-2021</t>
        </is>
      </c>
      <c r="B51" s="1" t="n">
        <v>44419</v>
      </c>
      <c r="C51" s="1" t="n">
        <v>46038</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30074-2023</t>
        </is>
      </c>
      <c r="B52" s="1" t="n">
        <v>45110</v>
      </c>
      <c r="C52" s="1" t="n">
        <v>46038</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39099-2022</t>
        </is>
      </c>
      <c r="B53" s="1" t="n">
        <v>44817</v>
      </c>
      <c r="C53" s="1" t="n">
        <v>46038</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42765-2022</t>
        </is>
      </c>
      <c r="B54" s="1" t="n">
        <v>44832</v>
      </c>
      <c r="C54" s="1" t="n">
        <v>46038</v>
      </c>
      <c r="D54" t="inlineStr">
        <is>
          <t>VÄSTMANLANDS LÄN</t>
        </is>
      </c>
      <c r="E54" t="inlineStr">
        <is>
          <t>SURAHAMMAR</t>
        </is>
      </c>
      <c r="G54" t="n">
        <v>1.8</v>
      </c>
      <c r="H54" t="n">
        <v>1</v>
      </c>
      <c r="I54" t="n">
        <v>0</v>
      </c>
      <c r="J54" t="n">
        <v>0</v>
      </c>
      <c r="K54" t="n">
        <v>0</v>
      </c>
      <c r="L54" t="n">
        <v>0</v>
      </c>
      <c r="M54" t="n">
        <v>0</v>
      </c>
      <c r="N54" t="n">
        <v>0</v>
      </c>
      <c r="O54" t="n">
        <v>0</v>
      </c>
      <c r="P54" t="n">
        <v>0</v>
      </c>
      <c r="Q54" t="n">
        <v>1</v>
      </c>
      <c r="R54" s="2" t="inlineStr">
        <is>
          <t>Blåsippa</t>
        </is>
      </c>
      <c r="S54">
        <f>HYPERLINK("https://klasma.github.io/Logging_1907/artfynd/A 42765-2022 artfynd.xlsx", "A 42765-2022")</f>
        <v/>
      </c>
      <c r="T54">
        <f>HYPERLINK("https://klasma.github.io/Logging_1907/kartor/A 42765-2022 karta.png", "A 42765-2022")</f>
        <v/>
      </c>
      <c r="V54">
        <f>HYPERLINK("https://klasma.github.io/Logging_1907/klagomål/A 42765-2022 FSC-klagomål.docx", "A 42765-2022")</f>
        <v/>
      </c>
      <c r="W54">
        <f>HYPERLINK("https://klasma.github.io/Logging_1907/klagomålsmail/A 42765-2022 FSC-klagomål mail.docx", "A 42765-2022")</f>
        <v/>
      </c>
      <c r="X54">
        <f>HYPERLINK("https://klasma.github.io/Logging_1907/tillsyn/A 42765-2022 tillsynsbegäran.docx", "A 42765-2022")</f>
        <v/>
      </c>
      <c r="Y54">
        <f>HYPERLINK("https://klasma.github.io/Logging_1907/tillsynsmail/A 42765-2022 tillsynsbegäran mail.docx", "A 42765-2022")</f>
        <v/>
      </c>
    </row>
    <row r="55" ht="15" customHeight="1">
      <c r="A55" t="inlineStr">
        <is>
          <t>A 10819-2024</t>
        </is>
      </c>
      <c r="B55" s="1" t="n">
        <v>45369.66049768519</v>
      </c>
      <c r="C55" s="1" t="n">
        <v>46038</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69777-2021</t>
        </is>
      </c>
      <c r="B56" s="1" t="n">
        <v>44532</v>
      </c>
      <c r="C56" s="1" t="n">
        <v>46038</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17632-2022</t>
        </is>
      </c>
      <c r="B57" s="1" t="n">
        <v>44680</v>
      </c>
      <c r="C57" s="1" t="n">
        <v>46038</v>
      </c>
      <c r="D57" t="inlineStr">
        <is>
          <t>VÄSTMANLANDS LÄN</t>
        </is>
      </c>
      <c r="E57" t="inlineStr">
        <is>
          <t>SURAHAMMAR</t>
        </is>
      </c>
      <c r="G57" t="n">
        <v>5.2</v>
      </c>
      <c r="H57" t="n">
        <v>0</v>
      </c>
      <c r="I57" t="n">
        <v>1</v>
      </c>
      <c r="J57" t="n">
        <v>0</v>
      </c>
      <c r="K57" t="n">
        <v>0</v>
      </c>
      <c r="L57" t="n">
        <v>0</v>
      </c>
      <c r="M57" t="n">
        <v>0</v>
      </c>
      <c r="N57" t="n">
        <v>0</v>
      </c>
      <c r="O57" t="n">
        <v>0</v>
      </c>
      <c r="P57" t="n">
        <v>0</v>
      </c>
      <c r="Q57" t="n">
        <v>1</v>
      </c>
      <c r="R57" s="2" t="inlineStr">
        <is>
          <t>Blodticka</t>
        </is>
      </c>
      <c r="S57">
        <f>HYPERLINK("https://klasma.github.io/Logging_1907/artfynd/A 17632-2022 artfynd.xlsx", "A 17632-2022")</f>
        <v/>
      </c>
      <c r="T57">
        <f>HYPERLINK("https://klasma.github.io/Logging_1907/kartor/A 17632-2022 karta.png", "A 17632-2022")</f>
        <v/>
      </c>
      <c r="V57">
        <f>HYPERLINK("https://klasma.github.io/Logging_1907/klagomål/A 17632-2022 FSC-klagomål.docx", "A 17632-2022")</f>
        <v/>
      </c>
      <c r="W57">
        <f>HYPERLINK("https://klasma.github.io/Logging_1907/klagomålsmail/A 17632-2022 FSC-klagomål mail.docx", "A 17632-2022")</f>
        <v/>
      </c>
      <c r="X57">
        <f>HYPERLINK("https://klasma.github.io/Logging_1907/tillsyn/A 17632-2022 tillsynsbegäran.docx", "A 17632-2022")</f>
        <v/>
      </c>
      <c r="Y57">
        <f>HYPERLINK("https://klasma.github.io/Logging_1907/tillsynsmail/A 17632-2022 tillsynsbegäran mail.docx", "A 17632-2022")</f>
        <v/>
      </c>
    </row>
    <row r="58" ht="15" customHeight="1">
      <c r="A58" t="inlineStr">
        <is>
          <t>A 56362-2023</t>
        </is>
      </c>
      <c r="B58" s="1" t="n">
        <v>45236</v>
      </c>
      <c r="C58" s="1" t="n">
        <v>46038</v>
      </c>
      <c r="D58" t="inlineStr">
        <is>
          <t>VÄSTMANLANDS LÄN</t>
        </is>
      </c>
      <c r="E58" t="inlineStr">
        <is>
          <t>SURAHAMMAR</t>
        </is>
      </c>
      <c r="F58" t="inlineStr">
        <is>
          <t>Bergvik skog väst AB</t>
        </is>
      </c>
      <c r="G58" t="n">
        <v>15.2</v>
      </c>
      <c r="H58" t="n">
        <v>0</v>
      </c>
      <c r="I58" t="n">
        <v>1</v>
      </c>
      <c r="J58" t="n">
        <v>0</v>
      </c>
      <c r="K58" t="n">
        <v>0</v>
      </c>
      <c r="L58" t="n">
        <v>0</v>
      </c>
      <c r="M58" t="n">
        <v>0</v>
      </c>
      <c r="N58" t="n">
        <v>0</v>
      </c>
      <c r="O58" t="n">
        <v>0</v>
      </c>
      <c r="P58" t="n">
        <v>0</v>
      </c>
      <c r="Q58" t="n">
        <v>1</v>
      </c>
      <c r="R58" s="2" t="inlineStr">
        <is>
          <t>Grönpyrola</t>
        </is>
      </c>
      <c r="S58">
        <f>HYPERLINK("https://klasma.github.io/Logging_1907/artfynd/A 56362-2023 artfynd.xlsx", "A 56362-2023")</f>
        <v/>
      </c>
      <c r="T58">
        <f>HYPERLINK("https://klasma.github.io/Logging_1907/kartor/A 56362-2023 karta.png", "A 56362-2023")</f>
        <v/>
      </c>
      <c r="V58">
        <f>HYPERLINK("https://klasma.github.io/Logging_1907/klagomål/A 56362-2023 FSC-klagomål.docx", "A 56362-2023")</f>
        <v/>
      </c>
      <c r="W58">
        <f>HYPERLINK("https://klasma.github.io/Logging_1907/klagomålsmail/A 56362-2023 FSC-klagomål mail.docx", "A 56362-2023")</f>
        <v/>
      </c>
      <c r="X58">
        <f>HYPERLINK("https://klasma.github.io/Logging_1907/tillsyn/A 56362-2023 tillsynsbegäran.docx", "A 56362-2023")</f>
        <v/>
      </c>
      <c r="Y58">
        <f>HYPERLINK("https://klasma.github.io/Logging_1907/tillsynsmail/A 56362-2023 tillsynsbegäran mail.docx", "A 56362-2023")</f>
        <v/>
      </c>
    </row>
    <row r="59" ht="15" customHeight="1">
      <c r="A59" t="inlineStr">
        <is>
          <t>A 47453-2024</t>
        </is>
      </c>
      <c r="B59" s="1" t="n">
        <v>45587.55017361111</v>
      </c>
      <c r="C59" s="1" t="n">
        <v>46038</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34582-2025</t>
        </is>
      </c>
      <c r="B60" s="1" t="n">
        <v>45846</v>
      </c>
      <c r="C60" s="1" t="n">
        <v>46038</v>
      </c>
      <c r="D60" t="inlineStr">
        <is>
          <t>VÄSTMANLANDS LÄN</t>
        </is>
      </c>
      <c r="E60" t="inlineStr">
        <is>
          <t>SURAHAMMAR</t>
        </is>
      </c>
      <c r="F60" t="inlineStr">
        <is>
          <t>Bergvik skog väst AB</t>
        </is>
      </c>
      <c r="G60" t="n">
        <v>2.6</v>
      </c>
      <c r="H60" t="n">
        <v>1</v>
      </c>
      <c r="I60" t="n">
        <v>0</v>
      </c>
      <c r="J60" t="n">
        <v>1</v>
      </c>
      <c r="K60" t="n">
        <v>0</v>
      </c>
      <c r="L60" t="n">
        <v>0</v>
      </c>
      <c r="M60" t="n">
        <v>0</v>
      </c>
      <c r="N60" t="n">
        <v>0</v>
      </c>
      <c r="O60" t="n">
        <v>1</v>
      </c>
      <c r="P60" t="n">
        <v>0</v>
      </c>
      <c r="Q60" t="n">
        <v>1</v>
      </c>
      <c r="R60" s="2" t="inlineStr">
        <is>
          <t>Järpe</t>
        </is>
      </c>
      <c r="S60">
        <f>HYPERLINK("https://klasma.github.io/Logging_1907/artfynd/A 34582-2025 artfynd.xlsx", "A 34582-2025")</f>
        <v/>
      </c>
      <c r="T60">
        <f>HYPERLINK("https://klasma.github.io/Logging_1907/kartor/A 34582-2025 karta.png", "A 34582-2025")</f>
        <v/>
      </c>
      <c r="V60">
        <f>HYPERLINK("https://klasma.github.io/Logging_1907/klagomål/A 34582-2025 FSC-klagomål.docx", "A 34582-2025")</f>
        <v/>
      </c>
      <c r="W60">
        <f>HYPERLINK("https://klasma.github.io/Logging_1907/klagomålsmail/A 34582-2025 FSC-klagomål mail.docx", "A 34582-2025")</f>
        <v/>
      </c>
      <c r="X60">
        <f>HYPERLINK("https://klasma.github.io/Logging_1907/tillsyn/A 34582-2025 tillsynsbegäran.docx", "A 34582-2025")</f>
        <v/>
      </c>
      <c r="Y60">
        <f>HYPERLINK("https://klasma.github.io/Logging_1907/tillsynsmail/A 34582-2025 tillsynsbegäran mail.docx", "A 34582-2025")</f>
        <v/>
      </c>
      <c r="Z60">
        <f>HYPERLINK("https://klasma.github.io/Logging_1907/fåglar/A 34582-2025 prioriterade fågelarter.docx", "A 34582-2025")</f>
        <v/>
      </c>
    </row>
    <row r="61" ht="15" customHeight="1">
      <c r="A61" t="inlineStr">
        <is>
          <t>A 42089-2025</t>
        </is>
      </c>
      <c r="B61" s="1" t="n">
        <v>45902</v>
      </c>
      <c r="C61" s="1" t="n">
        <v>46038</v>
      </c>
      <c r="D61" t="inlineStr">
        <is>
          <t>VÄSTMANLANDS LÄN</t>
        </is>
      </c>
      <c r="E61" t="inlineStr">
        <is>
          <t>SURAHAMMAR</t>
        </is>
      </c>
      <c r="G61" t="n">
        <v>2.2</v>
      </c>
      <c r="H61" t="n">
        <v>0</v>
      </c>
      <c r="I61" t="n">
        <v>0</v>
      </c>
      <c r="J61" t="n">
        <v>1</v>
      </c>
      <c r="K61" t="n">
        <v>0</v>
      </c>
      <c r="L61" t="n">
        <v>0</v>
      </c>
      <c r="M61" t="n">
        <v>0</v>
      </c>
      <c r="N61" t="n">
        <v>0</v>
      </c>
      <c r="O61" t="n">
        <v>1</v>
      </c>
      <c r="P61" t="n">
        <v>0</v>
      </c>
      <c r="Q61" t="n">
        <v>1</v>
      </c>
      <c r="R61" s="2" t="inlineStr">
        <is>
          <t>Motaggsvamp</t>
        </is>
      </c>
      <c r="S61">
        <f>HYPERLINK("https://klasma.github.io/Logging_1907/artfynd/A 42089-2025 artfynd.xlsx", "A 42089-2025")</f>
        <v/>
      </c>
      <c r="T61">
        <f>HYPERLINK("https://klasma.github.io/Logging_1907/kartor/A 42089-2025 karta.png", "A 42089-2025")</f>
        <v/>
      </c>
      <c r="V61">
        <f>HYPERLINK("https://klasma.github.io/Logging_1907/klagomål/A 42089-2025 FSC-klagomål.docx", "A 42089-2025")</f>
        <v/>
      </c>
      <c r="W61">
        <f>HYPERLINK("https://klasma.github.io/Logging_1907/klagomålsmail/A 42089-2025 FSC-klagomål mail.docx", "A 42089-2025")</f>
        <v/>
      </c>
      <c r="X61">
        <f>HYPERLINK("https://klasma.github.io/Logging_1907/tillsyn/A 42089-2025 tillsynsbegäran.docx", "A 42089-2025")</f>
        <v/>
      </c>
      <c r="Y61">
        <f>HYPERLINK("https://klasma.github.io/Logging_1907/tillsynsmail/A 42089-2025 tillsynsbegäran mail.docx", "A 42089-2025")</f>
        <v/>
      </c>
    </row>
    <row r="62" ht="15" customHeight="1">
      <c r="A62" t="inlineStr">
        <is>
          <t>A 44356-2024</t>
        </is>
      </c>
      <c r="B62" s="1" t="n">
        <v>45573</v>
      </c>
      <c r="C62" s="1" t="n">
        <v>46038</v>
      </c>
      <c r="D62" t="inlineStr">
        <is>
          <t>VÄSTMANLANDS LÄN</t>
        </is>
      </c>
      <c r="E62" t="inlineStr">
        <is>
          <t>SURAHAMMAR</t>
        </is>
      </c>
      <c r="F62" t="inlineStr">
        <is>
          <t>Sveaskog</t>
        </is>
      </c>
      <c r="G62" t="n">
        <v>0.7</v>
      </c>
      <c r="H62" t="n">
        <v>1</v>
      </c>
      <c r="I62" t="n">
        <v>0</v>
      </c>
      <c r="J62" t="n">
        <v>0</v>
      </c>
      <c r="K62" t="n">
        <v>0</v>
      </c>
      <c r="L62" t="n">
        <v>0</v>
      </c>
      <c r="M62" t="n">
        <v>0</v>
      </c>
      <c r="N62" t="n">
        <v>0</v>
      </c>
      <c r="O62" t="n">
        <v>0</v>
      </c>
      <c r="P62" t="n">
        <v>0</v>
      </c>
      <c r="Q62" t="n">
        <v>1</v>
      </c>
      <c r="R62" s="2" t="inlineStr">
        <is>
          <t>Revlummer</t>
        </is>
      </c>
      <c r="S62">
        <f>HYPERLINK("https://klasma.github.io/Logging_1907/artfynd/A 44356-2024 artfynd.xlsx", "A 44356-2024")</f>
        <v/>
      </c>
      <c r="T62">
        <f>HYPERLINK("https://klasma.github.io/Logging_1907/kartor/A 44356-2024 karta.png", "A 44356-2024")</f>
        <v/>
      </c>
      <c r="V62">
        <f>HYPERLINK("https://klasma.github.io/Logging_1907/klagomål/A 44356-2024 FSC-klagomål.docx", "A 44356-2024")</f>
        <v/>
      </c>
      <c r="W62">
        <f>HYPERLINK("https://klasma.github.io/Logging_1907/klagomålsmail/A 44356-2024 FSC-klagomål mail.docx", "A 44356-2024")</f>
        <v/>
      </c>
      <c r="X62">
        <f>HYPERLINK("https://klasma.github.io/Logging_1907/tillsyn/A 44356-2024 tillsynsbegäran.docx", "A 44356-2024")</f>
        <v/>
      </c>
      <c r="Y62">
        <f>HYPERLINK("https://klasma.github.io/Logging_1907/tillsynsmail/A 44356-2024 tillsynsbegäran mail.docx", "A 44356-2024")</f>
        <v/>
      </c>
    </row>
    <row r="63" ht="15" customHeight="1">
      <c r="A63" t="inlineStr">
        <is>
          <t>A 22840-2023</t>
        </is>
      </c>
      <c r="B63" s="1" t="n">
        <v>45072</v>
      </c>
      <c r="C63" s="1" t="n">
        <v>46038</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33231-2024</t>
        </is>
      </c>
      <c r="B64" s="1" t="n">
        <v>45518</v>
      </c>
      <c r="C64" s="1" t="n">
        <v>46038</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14001-2023</t>
        </is>
      </c>
      <c r="B65" s="1" t="n">
        <v>45007</v>
      </c>
      <c r="C65" s="1" t="n">
        <v>46038</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55042-2025</t>
        </is>
      </c>
      <c r="B66" s="1" t="n">
        <v>45967.65858796296</v>
      </c>
      <c r="C66" s="1" t="n">
        <v>46038</v>
      </c>
      <c r="D66" t="inlineStr">
        <is>
          <t>VÄSTMANLANDS LÄN</t>
        </is>
      </c>
      <c r="E66" t="inlineStr">
        <is>
          <t>SURAHAMMAR</t>
        </is>
      </c>
      <c r="F66" t="inlineStr">
        <is>
          <t>Sveaskog</t>
        </is>
      </c>
      <c r="G66" t="n">
        <v>7.2</v>
      </c>
      <c r="H66" t="n">
        <v>0</v>
      </c>
      <c r="I66" t="n">
        <v>0</v>
      </c>
      <c r="J66" t="n">
        <v>1</v>
      </c>
      <c r="K66" t="n">
        <v>0</v>
      </c>
      <c r="L66" t="n">
        <v>0</v>
      </c>
      <c r="M66" t="n">
        <v>0</v>
      </c>
      <c r="N66" t="n">
        <v>0</v>
      </c>
      <c r="O66" t="n">
        <v>1</v>
      </c>
      <c r="P66" t="n">
        <v>0</v>
      </c>
      <c r="Q66" t="n">
        <v>1</v>
      </c>
      <c r="R66" s="2" t="inlineStr">
        <is>
          <t>Motaggsvamp</t>
        </is>
      </c>
      <c r="S66">
        <f>HYPERLINK("https://klasma.github.io/Logging_1907/artfynd/A 55042-2025 artfynd.xlsx", "A 55042-2025")</f>
        <v/>
      </c>
      <c r="T66">
        <f>HYPERLINK("https://klasma.github.io/Logging_1907/kartor/A 55042-2025 karta.png", "A 55042-2025")</f>
        <v/>
      </c>
      <c r="V66">
        <f>HYPERLINK("https://klasma.github.io/Logging_1907/klagomål/A 55042-2025 FSC-klagomål.docx", "A 55042-2025")</f>
        <v/>
      </c>
      <c r="W66">
        <f>HYPERLINK("https://klasma.github.io/Logging_1907/klagomålsmail/A 55042-2025 FSC-klagomål mail.docx", "A 55042-2025")</f>
        <v/>
      </c>
      <c r="X66">
        <f>HYPERLINK("https://klasma.github.io/Logging_1907/tillsyn/A 55042-2025 tillsynsbegäran.docx", "A 55042-2025")</f>
        <v/>
      </c>
      <c r="Y66">
        <f>HYPERLINK("https://klasma.github.io/Logging_1907/tillsynsmail/A 55042-2025 tillsynsbegäran mail.docx", "A 55042-2025")</f>
        <v/>
      </c>
    </row>
    <row r="67" ht="15" customHeight="1">
      <c r="A67" t="inlineStr">
        <is>
          <t>A 63145-2025</t>
        </is>
      </c>
      <c r="B67" s="1" t="n">
        <v>46009</v>
      </c>
      <c r="C67" s="1" t="n">
        <v>46038</v>
      </c>
      <c r="D67" t="inlineStr">
        <is>
          <t>VÄSTMANLANDS LÄN</t>
        </is>
      </c>
      <c r="E67" t="inlineStr">
        <is>
          <t>SURAHAMMAR</t>
        </is>
      </c>
      <c r="F67" t="inlineStr">
        <is>
          <t>Bergvik skog väst AB</t>
        </is>
      </c>
      <c r="G67" t="n">
        <v>40.5</v>
      </c>
      <c r="H67" t="n">
        <v>0</v>
      </c>
      <c r="I67" t="n">
        <v>1</v>
      </c>
      <c r="J67" t="n">
        <v>0</v>
      </c>
      <c r="K67" t="n">
        <v>0</v>
      </c>
      <c r="L67" t="n">
        <v>0</v>
      </c>
      <c r="M67" t="n">
        <v>0</v>
      </c>
      <c r="N67" t="n">
        <v>0</v>
      </c>
      <c r="O67" t="n">
        <v>0</v>
      </c>
      <c r="P67" t="n">
        <v>0</v>
      </c>
      <c r="Q67" t="n">
        <v>1</v>
      </c>
      <c r="R67" s="2" t="inlineStr">
        <is>
          <t>Svart trolldruva</t>
        </is>
      </c>
      <c r="S67">
        <f>HYPERLINK("https://klasma.github.io/Logging_1907/artfynd/A 63145-2025 artfynd.xlsx", "A 63145-2025")</f>
        <v/>
      </c>
      <c r="T67">
        <f>HYPERLINK("https://klasma.github.io/Logging_1907/kartor/A 63145-2025 karta.png", "A 63145-2025")</f>
        <v/>
      </c>
      <c r="V67">
        <f>HYPERLINK("https://klasma.github.io/Logging_1907/klagomål/A 63145-2025 FSC-klagomål.docx", "A 63145-2025")</f>
        <v/>
      </c>
      <c r="W67">
        <f>HYPERLINK("https://klasma.github.io/Logging_1907/klagomålsmail/A 63145-2025 FSC-klagomål mail.docx", "A 63145-2025")</f>
        <v/>
      </c>
      <c r="X67">
        <f>HYPERLINK("https://klasma.github.io/Logging_1907/tillsyn/A 63145-2025 tillsynsbegäran.docx", "A 63145-2025")</f>
        <v/>
      </c>
      <c r="Y67">
        <f>HYPERLINK("https://klasma.github.io/Logging_1907/tillsynsmail/A 63145-2025 tillsynsbegäran mail.docx", "A 63145-2025")</f>
        <v/>
      </c>
    </row>
    <row r="68" ht="15" customHeight="1">
      <c r="A68" t="inlineStr">
        <is>
          <t>A 56768-2025</t>
        </is>
      </c>
      <c r="B68" s="1" t="n">
        <v>45978</v>
      </c>
      <c r="C68" s="1" t="n">
        <v>46038</v>
      </c>
      <c r="D68" t="inlineStr">
        <is>
          <t>VÄSTMANLANDS LÄN</t>
        </is>
      </c>
      <c r="E68" t="inlineStr">
        <is>
          <t>SURAHAMMAR</t>
        </is>
      </c>
      <c r="F68" t="inlineStr">
        <is>
          <t>Sveaskog</t>
        </is>
      </c>
      <c r="G68" t="n">
        <v>3.8</v>
      </c>
      <c r="H68" t="n">
        <v>0</v>
      </c>
      <c r="I68" t="n">
        <v>0</v>
      </c>
      <c r="J68" t="n">
        <v>1</v>
      </c>
      <c r="K68" t="n">
        <v>0</v>
      </c>
      <c r="L68" t="n">
        <v>0</v>
      </c>
      <c r="M68" t="n">
        <v>0</v>
      </c>
      <c r="N68" t="n">
        <v>0</v>
      </c>
      <c r="O68" t="n">
        <v>1</v>
      </c>
      <c r="P68" t="n">
        <v>0</v>
      </c>
      <c r="Q68" t="n">
        <v>1</v>
      </c>
      <c r="R68" s="2" t="inlineStr">
        <is>
          <t>Motaggsvamp</t>
        </is>
      </c>
      <c r="S68">
        <f>HYPERLINK("https://klasma.github.io/Logging_1907/artfynd/A 56768-2025 artfynd.xlsx", "A 56768-2025")</f>
        <v/>
      </c>
      <c r="T68">
        <f>HYPERLINK("https://klasma.github.io/Logging_1907/kartor/A 56768-2025 karta.png", "A 56768-2025")</f>
        <v/>
      </c>
      <c r="V68">
        <f>HYPERLINK("https://klasma.github.io/Logging_1907/klagomål/A 56768-2025 FSC-klagomål.docx", "A 56768-2025")</f>
        <v/>
      </c>
      <c r="W68">
        <f>HYPERLINK("https://klasma.github.io/Logging_1907/klagomålsmail/A 56768-2025 FSC-klagomål mail.docx", "A 56768-2025")</f>
        <v/>
      </c>
      <c r="X68">
        <f>HYPERLINK("https://klasma.github.io/Logging_1907/tillsyn/A 56768-2025 tillsynsbegäran.docx", "A 56768-2025")</f>
        <v/>
      </c>
      <c r="Y68">
        <f>HYPERLINK("https://klasma.github.io/Logging_1907/tillsynsmail/A 56768-2025 tillsynsbegäran mail.docx", "A 56768-2025")</f>
        <v/>
      </c>
    </row>
    <row r="69" ht="15" customHeight="1">
      <c r="A69" t="inlineStr">
        <is>
          <t>A 13971-2023</t>
        </is>
      </c>
      <c r="B69" s="1" t="n">
        <v>45007</v>
      </c>
      <c r="C69" s="1" t="n">
        <v>46038</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31176-2024</t>
        </is>
      </c>
      <c r="B70" s="1" t="n">
        <v>45503</v>
      </c>
      <c r="C70" s="1" t="n">
        <v>46038</v>
      </c>
      <c r="D70" t="inlineStr">
        <is>
          <t>VÄSTMANLANDS LÄN</t>
        </is>
      </c>
      <c r="E70" t="inlineStr">
        <is>
          <t>SURAHAMMAR</t>
        </is>
      </c>
      <c r="F70" t="inlineStr">
        <is>
          <t>Allmännings- och besparingsskogar</t>
        </is>
      </c>
      <c r="G70" t="n">
        <v>10.7</v>
      </c>
      <c r="H70" t="n">
        <v>0</v>
      </c>
      <c r="I70" t="n">
        <v>0</v>
      </c>
      <c r="J70" t="n">
        <v>1</v>
      </c>
      <c r="K70" t="n">
        <v>0</v>
      </c>
      <c r="L70" t="n">
        <v>0</v>
      </c>
      <c r="M70" t="n">
        <v>0</v>
      </c>
      <c r="N70" t="n">
        <v>0</v>
      </c>
      <c r="O70" t="n">
        <v>1</v>
      </c>
      <c r="P70" t="n">
        <v>0</v>
      </c>
      <c r="Q70" t="n">
        <v>1</v>
      </c>
      <c r="R70" s="2" t="inlineStr">
        <is>
          <t>Doftskinn</t>
        </is>
      </c>
      <c r="S70">
        <f>HYPERLINK("https://klasma.github.io/Logging_1907/artfynd/A 31176-2024 artfynd.xlsx", "A 31176-2024")</f>
        <v/>
      </c>
      <c r="T70">
        <f>HYPERLINK("https://klasma.github.io/Logging_1907/kartor/A 31176-2024 karta.png", "A 31176-2024")</f>
        <v/>
      </c>
      <c r="V70">
        <f>HYPERLINK("https://klasma.github.io/Logging_1907/klagomål/A 31176-2024 FSC-klagomål.docx", "A 31176-2024")</f>
        <v/>
      </c>
      <c r="W70">
        <f>HYPERLINK("https://klasma.github.io/Logging_1907/klagomålsmail/A 31176-2024 FSC-klagomål mail.docx", "A 31176-2024")</f>
        <v/>
      </c>
      <c r="X70">
        <f>HYPERLINK("https://klasma.github.io/Logging_1907/tillsyn/A 31176-2024 tillsynsbegäran.docx", "A 31176-2024")</f>
        <v/>
      </c>
      <c r="Y70">
        <f>HYPERLINK("https://klasma.github.io/Logging_1907/tillsynsmail/A 31176-2024 tillsynsbegäran mail.docx", "A 31176-2024")</f>
        <v/>
      </c>
    </row>
    <row r="71" ht="15" customHeight="1">
      <c r="A71" t="inlineStr">
        <is>
          <t>A 43451-2024</t>
        </is>
      </c>
      <c r="B71" s="1" t="n">
        <v>45568</v>
      </c>
      <c r="C71" s="1" t="n">
        <v>46038</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13788-2025</t>
        </is>
      </c>
      <c r="B72" s="1" t="n">
        <v>45737.45327546296</v>
      </c>
      <c r="C72" s="1" t="n">
        <v>46038</v>
      </c>
      <c r="D72" t="inlineStr">
        <is>
          <t>VÄSTMANLANDS LÄN</t>
        </is>
      </c>
      <c r="E72" t="inlineStr">
        <is>
          <t>SURAHAMMAR</t>
        </is>
      </c>
      <c r="G72" t="n">
        <v>9.699999999999999</v>
      </c>
      <c r="H72" t="n">
        <v>1</v>
      </c>
      <c r="I72" t="n">
        <v>0</v>
      </c>
      <c r="J72" t="n">
        <v>0</v>
      </c>
      <c r="K72" t="n">
        <v>0</v>
      </c>
      <c r="L72" t="n">
        <v>0</v>
      </c>
      <c r="M72" t="n">
        <v>0</v>
      </c>
      <c r="N72" t="n">
        <v>0</v>
      </c>
      <c r="O72" t="n">
        <v>0</v>
      </c>
      <c r="P72" t="n">
        <v>0</v>
      </c>
      <c r="Q72" t="n">
        <v>1</v>
      </c>
      <c r="R72" s="2" t="inlineStr">
        <is>
          <t>Sparvuggla</t>
        </is>
      </c>
      <c r="S72">
        <f>HYPERLINK("https://klasma.github.io/Logging_1907/artfynd/A 13788-2025 artfynd.xlsx", "A 13788-2025")</f>
        <v/>
      </c>
      <c r="T72">
        <f>HYPERLINK("https://klasma.github.io/Logging_1907/kartor/A 13788-2025 karta.png", "A 13788-2025")</f>
        <v/>
      </c>
      <c r="V72">
        <f>HYPERLINK("https://klasma.github.io/Logging_1907/klagomål/A 13788-2025 FSC-klagomål.docx", "A 13788-2025")</f>
        <v/>
      </c>
      <c r="W72">
        <f>HYPERLINK("https://klasma.github.io/Logging_1907/klagomålsmail/A 13788-2025 FSC-klagomål mail.docx", "A 13788-2025")</f>
        <v/>
      </c>
      <c r="X72">
        <f>HYPERLINK("https://klasma.github.io/Logging_1907/tillsyn/A 13788-2025 tillsynsbegäran.docx", "A 13788-2025")</f>
        <v/>
      </c>
      <c r="Y72">
        <f>HYPERLINK("https://klasma.github.io/Logging_1907/tillsynsmail/A 13788-2025 tillsynsbegäran mail.docx", "A 13788-2025")</f>
        <v/>
      </c>
      <c r="Z72">
        <f>HYPERLINK("https://klasma.github.io/Logging_1907/fåglar/A 13788-2025 prioriterade fågelarter.docx", "A 13788-2025")</f>
        <v/>
      </c>
    </row>
    <row r="73" ht="15" customHeight="1">
      <c r="A73" t="inlineStr">
        <is>
          <t>A 64073-2021</t>
        </is>
      </c>
      <c r="B73" s="1" t="n">
        <v>44509</v>
      </c>
      <c r="C73" s="1" t="n">
        <v>46038</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46038</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46038</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46038</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46038</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46038</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46038</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46038</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46038</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46038</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46038</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46038</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46038</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46038</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46038</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46038</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46038</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46038</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16608-2022</t>
        </is>
      </c>
      <c r="B91" s="1" t="n">
        <v>44672</v>
      </c>
      <c r="C91" s="1" t="n">
        <v>46038</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41576-2022</t>
        </is>
      </c>
      <c r="B92" s="1" t="n">
        <v>44826</v>
      </c>
      <c r="C92" s="1" t="n">
        <v>46038</v>
      </c>
      <c r="D92" t="inlineStr">
        <is>
          <t>VÄSTMANLANDS LÄN</t>
        </is>
      </c>
      <c r="E92" t="inlineStr">
        <is>
          <t>SURAHAMMAR</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46038</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46038</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8553-2023</t>
        </is>
      </c>
      <c r="B95" s="1" t="n">
        <v>44977</v>
      </c>
      <c r="C95" s="1" t="n">
        <v>46038</v>
      </c>
      <c r="D95" t="inlineStr">
        <is>
          <t>VÄSTMANLANDS LÄN</t>
        </is>
      </c>
      <c r="E95" t="inlineStr">
        <is>
          <t>SURAHAMMAR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46038</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48205-2023</t>
        </is>
      </c>
      <c r="B97" s="1" t="n">
        <v>45205</v>
      </c>
      <c r="C97" s="1" t="n">
        <v>46038</v>
      </c>
      <c r="D97" t="inlineStr">
        <is>
          <t>VÄSTMANLANDS LÄN</t>
        </is>
      </c>
      <c r="E97" t="inlineStr">
        <is>
          <t>SURAHAMMAR</t>
        </is>
      </c>
      <c r="F97" t="inlineStr">
        <is>
          <t>Allmännings- och besparingsskogar</t>
        </is>
      </c>
      <c r="G97" t="n">
        <v>7.6</v>
      </c>
      <c r="H97" t="n">
        <v>0</v>
      </c>
      <c r="I97" t="n">
        <v>0</v>
      </c>
      <c r="J97" t="n">
        <v>0</v>
      </c>
      <c r="K97" t="n">
        <v>0</v>
      </c>
      <c r="L97" t="n">
        <v>0</v>
      </c>
      <c r="M97" t="n">
        <v>0</v>
      </c>
      <c r="N97" t="n">
        <v>0</v>
      </c>
      <c r="O97" t="n">
        <v>0</v>
      </c>
      <c r="P97" t="n">
        <v>0</v>
      </c>
      <c r="Q97" t="n">
        <v>0</v>
      </c>
      <c r="R97" s="2" t="inlineStr"/>
    </row>
    <row r="98" ht="15" customHeight="1">
      <c r="A98" t="inlineStr">
        <is>
          <t>A 15743-2023</t>
        </is>
      </c>
      <c r="B98" s="1" t="n">
        <v>45021</v>
      </c>
      <c r="C98" s="1" t="n">
        <v>46038</v>
      </c>
      <c r="D98" t="inlineStr">
        <is>
          <t>VÄSTMANLANDS LÄN</t>
        </is>
      </c>
      <c r="E98" t="inlineStr">
        <is>
          <t>SURAHAMMAR</t>
        </is>
      </c>
      <c r="G98" t="n">
        <v>0.5</v>
      </c>
      <c r="H98" t="n">
        <v>0</v>
      </c>
      <c r="I98" t="n">
        <v>0</v>
      </c>
      <c r="J98" t="n">
        <v>0</v>
      </c>
      <c r="K98" t="n">
        <v>0</v>
      </c>
      <c r="L98" t="n">
        <v>0</v>
      </c>
      <c r="M98" t="n">
        <v>0</v>
      </c>
      <c r="N98" t="n">
        <v>0</v>
      </c>
      <c r="O98" t="n">
        <v>0</v>
      </c>
      <c r="P98" t="n">
        <v>0</v>
      </c>
      <c r="Q98" t="n">
        <v>0</v>
      </c>
      <c r="R98" s="2" t="inlineStr"/>
    </row>
    <row r="99" ht="15" customHeight="1">
      <c r="A99" t="inlineStr">
        <is>
          <t>A 30076-2023</t>
        </is>
      </c>
      <c r="B99" s="1" t="n">
        <v>45110</v>
      </c>
      <c r="C99" s="1" t="n">
        <v>46038</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24158-2023</t>
        </is>
      </c>
      <c r="B100" s="1" t="n">
        <v>45079</v>
      </c>
      <c r="C100" s="1" t="n">
        <v>46038</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72367-2021</t>
        </is>
      </c>
      <c r="B101" s="1" t="n">
        <v>44545</v>
      </c>
      <c r="C101" s="1" t="n">
        <v>46038</v>
      </c>
      <c r="D101" t="inlineStr">
        <is>
          <t>VÄSTMANLANDS LÄN</t>
        </is>
      </c>
      <c r="E101" t="inlineStr">
        <is>
          <t>SURAHAMMAR</t>
        </is>
      </c>
      <c r="G101" t="n">
        <v>2.5</v>
      </c>
      <c r="H101" t="n">
        <v>0</v>
      </c>
      <c r="I101" t="n">
        <v>0</v>
      </c>
      <c r="J101" t="n">
        <v>0</v>
      </c>
      <c r="K101" t="n">
        <v>0</v>
      </c>
      <c r="L101" t="n">
        <v>0</v>
      </c>
      <c r="M101" t="n">
        <v>0</v>
      </c>
      <c r="N101" t="n">
        <v>0</v>
      </c>
      <c r="O101" t="n">
        <v>0</v>
      </c>
      <c r="P101" t="n">
        <v>0</v>
      </c>
      <c r="Q101" t="n">
        <v>0</v>
      </c>
      <c r="R101" s="2" t="inlineStr"/>
    </row>
    <row r="102" ht="15" customHeight="1">
      <c r="A102" t="inlineStr">
        <is>
          <t>A 42714-2022</t>
        </is>
      </c>
      <c r="B102" s="1" t="n">
        <v>44832</v>
      </c>
      <c r="C102" s="1" t="n">
        <v>46038</v>
      </c>
      <c r="D102" t="inlineStr">
        <is>
          <t>VÄSTMANLANDS LÄN</t>
        </is>
      </c>
      <c r="E102" t="inlineStr">
        <is>
          <t>SURAHAMMAR</t>
        </is>
      </c>
      <c r="G102" t="n">
        <v>1.1</v>
      </c>
      <c r="H102" t="n">
        <v>0</v>
      </c>
      <c r="I102" t="n">
        <v>0</v>
      </c>
      <c r="J102" t="n">
        <v>0</v>
      </c>
      <c r="K102" t="n">
        <v>0</v>
      </c>
      <c r="L102" t="n">
        <v>0</v>
      </c>
      <c r="M102" t="n">
        <v>0</v>
      </c>
      <c r="N102" t="n">
        <v>0</v>
      </c>
      <c r="O102" t="n">
        <v>0</v>
      </c>
      <c r="P102" t="n">
        <v>0</v>
      </c>
      <c r="Q102" t="n">
        <v>0</v>
      </c>
      <c r="R102" s="2" t="inlineStr"/>
    </row>
    <row r="103" ht="15" customHeight="1">
      <c r="A103" t="inlineStr">
        <is>
          <t>A 33931-2022</t>
        </is>
      </c>
      <c r="B103" s="1" t="n">
        <v>44790.65153935185</v>
      </c>
      <c r="C103" s="1" t="n">
        <v>46038</v>
      </c>
      <c r="D103" t="inlineStr">
        <is>
          <t>VÄSTMANLANDS LÄN</t>
        </is>
      </c>
      <c r="E103" t="inlineStr">
        <is>
          <t>SURAHAMMAR</t>
        </is>
      </c>
      <c r="G103" t="n">
        <v>2.2</v>
      </c>
      <c r="H103" t="n">
        <v>0</v>
      </c>
      <c r="I103" t="n">
        <v>0</v>
      </c>
      <c r="J103" t="n">
        <v>0</v>
      </c>
      <c r="K103" t="n">
        <v>0</v>
      </c>
      <c r="L103" t="n">
        <v>0</v>
      </c>
      <c r="M103" t="n">
        <v>0</v>
      </c>
      <c r="N103" t="n">
        <v>0</v>
      </c>
      <c r="O103" t="n">
        <v>0</v>
      </c>
      <c r="P103" t="n">
        <v>0</v>
      </c>
      <c r="Q103" t="n">
        <v>0</v>
      </c>
      <c r="R103" s="2" t="inlineStr"/>
    </row>
    <row r="104" ht="15" customHeight="1">
      <c r="A104" t="inlineStr">
        <is>
          <t>A 7787-2024</t>
        </is>
      </c>
      <c r="B104" s="1" t="n">
        <v>45348</v>
      </c>
      <c r="C104" s="1" t="n">
        <v>46038</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35682-2022</t>
        </is>
      </c>
      <c r="B105" s="1" t="n">
        <v>44799.60422453703</v>
      </c>
      <c r="C105" s="1" t="n">
        <v>46038</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11728-2023</t>
        </is>
      </c>
      <c r="B106" s="1" t="n">
        <v>44993</v>
      </c>
      <c r="C106" s="1" t="n">
        <v>46038</v>
      </c>
      <c r="D106" t="inlineStr">
        <is>
          <t>VÄSTMANLANDS LÄN</t>
        </is>
      </c>
      <c r="E106" t="inlineStr">
        <is>
          <t>SURAHAMMAR</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42841-2022</t>
        </is>
      </c>
      <c r="B107" s="1" t="n">
        <v>44832</v>
      </c>
      <c r="C107" s="1" t="n">
        <v>46038</v>
      </c>
      <c r="D107" t="inlineStr">
        <is>
          <t>VÄSTMANLANDS LÄN</t>
        </is>
      </c>
      <c r="E107" t="inlineStr">
        <is>
          <t>SURAHAMMAR</t>
        </is>
      </c>
      <c r="G107" t="n">
        <v>1.8</v>
      </c>
      <c r="H107" t="n">
        <v>0</v>
      </c>
      <c r="I107" t="n">
        <v>0</v>
      </c>
      <c r="J107" t="n">
        <v>0</v>
      </c>
      <c r="K107" t="n">
        <v>0</v>
      </c>
      <c r="L107" t="n">
        <v>0</v>
      </c>
      <c r="M107" t="n">
        <v>0</v>
      </c>
      <c r="N107" t="n">
        <v>0</v>
      </c>
      <c r="O107" t="n">
        <v>0</v>
      </c>
      <c r="P107" t="n">
        <v>0</v>
      </c>
      <c r="Q107" t="n">
        <v>0</v>
      </c>
      <c r="R107" s="2" t="inlineStr"/>
    </row>
    <row r="108" ht="15" customHeight="1">
      <c r="A108" t="inlineStr">
        <is>
          <t>A 42829-2022</t>
        </is>
      </c>
      <c r="B108" s="1" t="n">
        <v>44832</v>
      </c>
      <c r="C108" s="1" t="n">
        <v>46038</v>
      </c>
      <c r="D108" t="inlineStr">
        <is>
          <t>VÄSTMANLANDS LÄN</t>
        </is>
      </c>
      <c r="E108" t="inlineStr">
        <is>
          <t>SURAHAMMAR</t>
        </is>
      </c>
      <c r="G108" t="n">
        <v>1.6</v>
      </c>
      <c r="H108" t="n">
        <v>0</v>
      </c>
      <c r="I108" t="n">
        <v>0</v>
      </c>
      <c r="J108" t="n">
        <v>0</v>
      </c>
      <c r="K108" t="n">
        <v>0</v>
      </c>
      <c r="L108" t="n">
        <v>0</v>
      </c>
      <c r="M108" t="n">
        <v>0</v>
      </c>
      <c r="N108" t="n">
        <v>0</v>
      </c>
      <c r="O108" t="n">
        <v>0</v>
      </c>
      <c r="P108" t="n">
        <v>0</v>
      </c>
      <c r="Q108" t="n">
        <v>0</v>
      </c>
      <c r="R108" s="2" t="inlineStr"/>
    </row>
    <row r="109" ht="15" customHeight="1">
      <c r="A109" t="inlineStr">
        <is>
          <t>A 5567-2022</t>
        </is>
      </c>
      <c r="B109" s="1" t="n">
        <v>44595</v>
      </c>
      <c r="C109" s="1" t="n">
        <v>46038</v>
      </c>
      <c r="D109" t="inlineStr">
        <is>
          <t>VÄSTMANLANDS LÄN</t>
        </is>
      </c>
      <c r="E109" t="inlineStr">
        <is>
          <t>SURAHAMMAR</t>
        </is>
      </c>
      <c r="G109" t="n">
        <v>1.3</v>
      </c>
      <c r="H109" t="n">
        <v>0</v>
      </c>
      <c r="I109" t="n">
        <v>0</v>
      </c>
      <c r="J109" t="n">
        <v>0</v>
      </c>
      <c r="K109" t="n">
        <v>0</v>
      </c>
      <c r="L109" t="n">
        <v>0</v>
      </c>
      <c r="M109" t="n">
        <v>0</v>
      </c>
      <c r="N109" t="n">
        <v>0</v>
      </c>
      <c r="O109" t="n">
        <v>0</v>
      </c>
      <c r="P109" t="n">
        <v>0</v>
      </c>
      <c r="Q109" t="n">
        <v>0</v>
      </c>
      <c r="R109" s="2" t="inlineStr"/>
    </row>
    <row r="110" ht="15" customHeight="1">
      <c r="A110" t="inlineStr">
        <is>
          <t>A 42832-2022</t>
        </is>
      </c>
      <c r="B110" s="1" t="n">
        <v>44832</v>
      </c>
      <c r="C110" s="1" t="n">
        <v>46038</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24665-2023</t>
        </is>
      </c>
      <c r="B111" s="1" t="n">
        <v>45084.48592592592</v>
      </c>
      <c r="C111" s="1" t="n">
        <v>46038</v>
      </c>
      <c r="D111" t="inlineStr">
        <is>
          <t>VÄSTMANLANDS LÄN</t>
        </is>
      </c>
      <c r="E111" t="inlineStr">
        <is>
          <t>SURAHAMMAR</t>
        </is>
      </c>
      <c r="G111" t="n">
        <v>0.9</v>
      </c>
      <c r="H111" t="n">
        <v>0</v>
      </c>
      <c r="I111" t="n">
        <v>0</v>
      </c>
      <c r="J111" t="n">
        <v>0</v>
      </c>
      <c r="K111" t="n">
        <v>0</v>
      </c>
      <c r="L111" t="n">
        <v>0</v>
      </c>
      <c r="M111" t="n">
        <v>0</v>
      </c>
      <c r="N111" t="n">
        <v>0</v>
      </c>
      <c r="O111" t="n">
        <v>0</v>
      </c>
      <c r="P111" t="n">
        <v>0</v>
      </c>
      <c r="Q111" t="n">
        <v>0</v>
      </c>
      <c r="R111" s="2" t="inlineStr"/>
    </row>
    <row r="112" ht="15" customHeight="1">
      <c r="A112" t="inlineStr">
        <is>
          <t>A 32808-2024</t>
        </is>
      </c>
      <c r="B112" s="1" t="n">
        <v>45516</v>
      </c>
      <c r="C112" s="1" t="n">
        <v>46038</v>
      </c>
      <c r="D112" t="inlineStr">
        <is>
          <t>VÄSTMANLANDS LÄN</t>
        </is>
      </c>
      <c r="E112" t="inlineStr">
        <is>
          <t>SURAHAMMAR</t>
        </is>
      </c>
      <c r="F112" t="inlineStr">
        <is>
          <t>Övriga Aktiebolag</t>
        </is>
      </c>
      <c r="G112" t="n">
        <v>1.9</v>
      </c>
      <c r="H112" t="n">
        <v>0</v>
      </c>
      <c r="I112" t="n">
        <v>0</v>
      </c>
      <c r="J112" t="n">
        <v>0</v>
      </c>
      <c r="K112" t="n">
        <v>0</v>
      </c>
      <c r="L112" t="n">
        <v>0</v>
      </c>
      <c r="M112" t="n">
        <v>0</v>
      </c>
      <c r="N112" t="n">
        <v>0</v>
      </c>
      <c r="O112" t="n">
        <v>0</v>
      </c>
      <c r="P112" t="n">
        <v>0</v>
      </c>
      <c r="Q112" t="n">
        <v>0</v>
      </c>
      <c r="R112" s="2" t="inlineStr"/>
    </row>
    <row r="113" ht="15" customHeight="1">
      <c r="A113" t="inlineStr">
        <is>
          <t>A 49058-2024</t>
        </is>
      </c>
      <c r="B113" s="1" t="n">
        <v>45594</v>
      </c>
      <c r="C113" s="1" t="n">
        <v>46038</v>
      </c>
      <c r="D113" t="inlineStr">
        <is>
          <t>VÄSTMANLANDS LÄN</t>
        </is>
      </c>
      <c r="E113" t="inlineStr">
        <is>
          <t>SURAHAMMAR</t>
        </is>
      </c>
      <c r="F113" t="inlineStr">
        <is>
          <t>Sveaskog</t>
        </is>
      </c>
      <c r="G113" t="n">
        <v>11.4</v>
      </c>
      <c r="H113" t="n">
        <v>0</v>
      </c>
      <c r="I113" t="n">
        <v>0</v>
      </c>
      <c r="J113" t="n">
        <v>0</v>
      </c>
      <c r="K113" t="n">
        <v>0</v>
      </c>
      <c r="L113" t="n">
        <v>0</v>
      </c>
      <c r="M113" t="n">
        <v>0</v>
      </c>
      <c r="N113" t="n">
        <v>0</v>
      </c>
      <c r="O113" t="n">
        <v>0</v>
      </c>
      <c r="P113" t="n">
        <v>0</v>
      </c>
      <c r="Q113" t="n">
        <v>0</v>
      </c>
      <c r="R113" s="2" t="inlineStr"/>
    </row>
    <row r="114" ht="15" customHeight="1">
      <c r="A114" t="inlineStr">
        <is>
          <t>A 49060-2024</t>
        </is>
      </c>
      <c r="B114" s="1" t="n">
        <v>45594</v>
      </c>
      <c r="C114" s="1" t="n">
        <v>46038</v>
      </c>
      <c r="D114" t="inlineStr">
        <is>
          <t>VÄSTMANLANDS LÄN</t>
        </is>
      </c>
      <c r="E114" t="inlineStr">
        <is>
          <t>SURAHAMMAR</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2867-2024</t>
        </is>
      </c>
      <c r="B115" s="1" t="n">
        <v>45315</v>
      </c>
      <c r="C115" s="1" t="n">
        <v>46038</v>
      </c>
      <c r="D115" t="inlineStr">
        <is>
          <t>VÄSTMANLANDS LÄN</t>
        </is>
      </c>
      <c r="E115" t="inlineStr">
        <is>
          <t>SURAHAMMAR</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34955-2022</t>
        </is>
      </c>
      <c r="B116" s="1" t="n">
        <v>44796</v>
      </c>
      <c r="C116" s="1" t="n">
        <v>46038</v>
      </c>
      <c r="D116" t="inlineStr">
        <is>
          <t>VÄSTMANLANDS LÄN</t>
        </is>
      </c>
      <c r="E116" t="inlineStr">
        <is>
          <t>SURAHAMMAR</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3085-2023</t>
        </is>
      </c>
      <c r="B117" s="1" t="n">
        <v>44946</v>
      </c>
      <c r="C117" s="1" t="n">
        <v>46038</v>
      </c>
      <c r="D117" t="inlineStr">
        <is>
          <t>VÄSTMANLANDS LÄN</t>
        </is>
      </c>
      <c r="E117" t="inlineStr">
        <is>
          <t>SURAHAMMAR</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46038</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10883-2023</t>
        </is>
      </c>
      <c r="B119" s="1" t="n">
        <v>44991</v>
      </c>
      <c r="C119" s="1" t="n">
        <v>46038</v>
      </c>
      <c r="D119" t="inlineStr">
        <is>
          <t>VÄSTMANLANDS LÄN</t>
        </is>
      </c>
      <c r="E119" t="inlineStr">
        <is>
          <t>SURAHAMMAR</t>
        </is>
      </c>
      <c r="F119" t="inlineStr">
        <is>
          <t>Övriga Aktiebolag</t>
        </is>
      </c>
      <c r="G119" t="n">
        <v>12.5</v>
      </c>
      <c r="H119" t="n">
        <v>0</v>
      </c>
      <c r="I119" t="n">
        <v>0</v>
      </c>
      <c r="J119" t="n">
        <v>0</v>
      </c>
      <c r="K119" t="n">
        <v>0</v>
      </c>
      <c r="L119" t="n">
        <v>0</v>
      </c>
      <c r="M119" t="n">
        <v>0</v>
      </c>
      <c r="N119" t="n">
        <v>0</v>
      </c>
      <c r="O119" t="n">
        <v>0</v>
      </c>
      <c r="P119" t="n">
        <v>0</v>
      </c>
      <c r="Q119" t="n">
        <v>0</v>
      </c>
      <c r="R119" s="2" t="inlineStr"/>
    </row>
    <row r="120" ht="15" customHeight="1">
      <c r="A120" t="inlineStr">
        <is>
          <t>A 2660-2024</t>
        </is>
      </c>
      <c r="B120" s="1" t="n">
        <v>45310</v>
      </c>
      <c r="C120" s="1" t="n">
        <v>46038</v>
      </c>
      <c r="D120" t="inlineStr">
        <is>
          <t>VÄSTMANLANDS LÄN</t>
        </is>
      </c>
      <c r="E120" t="inlineStr">
        <is>
          <t>SURAHAMMAR</t>
        </is>
      </c>
      <c r="G120" t="n">
        <v>2.1</v>
      </c>
      <c r="H120" t="n">
        <v>0</v>
      </c>
      <c r="I120" t="n">
        <v>0</v>
      </c>
      <c r="J120" t="n">
        <v>0</v>
      </c>
      <c r="K120" t="n">
        <v>0</v>
      </c>
      <c r="L120" t="n">
        <v>0</v>
      </c>
      <c r="M120" t="n">
        <v>0</v>
      </c>
      <c r="N120" t="n">
        <v>0</v>
      </c>
      <c r="O120" t="n">
        <v>0</v>
      </c>
      <c r="P120" t="n">
        <v>0</v>
      </c>
      <c r="Q120" t="n">
        <v>0</v>
      </c>
      <c r="R120" s="2" t="inlineStr"/>
    </row>
    <row r="121" ht="15" customHeight="1">
      <c r="A121" t="inlineStr">
        <is>
          <t>A 37287-2023</t>
        </is>
      </c>
      <c r="B121" s="1" t="n">
        <v>45156</v>
      </c>
      <c r="C121" s="1" t="n">
        <v>46038</v>
      </c>
      <c r="D121" t="inlineStr">
        <is>
          <t>VÄSTMANLANDS LÄN</t>
        </is>
      </c>
      <c r="E121" t="inlineStr">
        <is>
          <t>SURAHAMMAR</t>
        </is>
      </c>
      <c r="G121" t="n">
        <v>0.6</v>
      </c>
      <c r="H121" t="n">
        <v>0</v>
      </c>
      <c r="I121" t="n">
        <v>0</v>
      </c>
      <c r="J121" t="n">
        <v>0</v>
      </c>
      <c r="K121" t="n">
        <v>0</v>
      </c>
      <c r="L121" t="n">
        <v>0</v>
      </c>
      <c r="M121" t="n">
        <v>0</v>
      </c>
      <c r="N121" t="n">
        <v>0</v>
      </c>
      <c r="O121" t="n">
        <v>0</v>
      </c>
      <c r="P121" t="n">
        <v>0</v>
      </c>
      <c r="Q121" t="n">
        <v>0</v>
      </c>
      <c r="R121" s="2" t="inlineStr"/>
    </row>
    <row r="122" ht="15" customHeight="1">
      <c r="A122" t="inlineStr">
        <is>
          <t>A 42088-2025</t>
        </is>
      </c>
      <c r="B122" s="1" t="n">
        <v>45902</v>
      </c>
      <c r="C122" s="1" t="n">
        <v>46038</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31107-2025</t>
        </is>
      </c>
      <c r="B123" s="1" t="n">
        <v>45831</v>
      </c>
      <c r="C123" s="1" t="n">
        <v>46038</v>
      </c>
      <c r="D123" t="inlineStr">
        <is>
          <t>VÄSTMANLANDS LÄN</t>
        </is>
      </c>
      <c r="E123" t="inlineStr">
        <is>
          <t>SURAHAMMAR</t>
        </is>
      </c>
      <c r="F123" t="inlineStr">
        <is>
          <t>Kommuner</t>
        </is>
      </c>
      <c r="G123" t="n">
        <v>1.7</v>
      </c>
      <c r="H123" t="n">
        <v>0</v>
      </c>
      <c r="I123" t="n">
        <v>0</v>
      </c>
      <c r="J123" t="n">
        <v>0</v>
      </c>
      <c r="K123" t="n">
        <v>0</v>
      </c>
      <c r="L123" t="n">
        <v>0</v>
      </c>
      <c r="M123" t="n">
        <v>0</v>
      </c>
      <c r="N123" t="n">
        <v>0</v>
      </c>
      <c r="O123" t="n">
        <v>0</v>
      </c>
      <c r="P123" t="n">
        <v>0</v>
      </c>
      <c r="Q123" t="n">
        <v>0</v>
      </c>
      <c r="R123" s="2" t="inlineStr"/>
    </row>
    <row r="124" ht="15" customHeight="1">
      <c r="A124" t="inlineStr">
        <is>
          <t>A 43249-2025</t>
        </is>
      </c>
      <c r="B124" s="1" t="n">
        <v>45910.55059027778</v>
      </c>
      <c r="C124" s="1" t="n">
        <v>46038</v>
      </c>
      <c r="D124" t="inlineStr">
        <is>
          <t>VÄSTMANLANDS LÄN</t>
        </is>
      </c>
      <c r="E124" t="inlineStr">
        <is>
          <t>SURAHAMMAR</t>
        </is>
      </c>
      <c r="G124" t="n">
        <v>1.9</v>
      </c>
      <c r="H124" t="n">
        <v>0</v>
      </c>
      <c r="I124" t="n">
        <v>0</v>
      </c>
      <c r="J124" t="n">
        <v>0</v>
      </c>
      <c r="K124" t="n">
        <v>0</v>
      </c>
      <c r="L124" t="n">
        <v>0</v>
      </c>
      <c r="M124" t="n">
        <v>0</v>
      </c>
      <c r="N124" t="n">
        <v>0</v>
      </c>
      <c r="O124" t="n">
        <v>0</v>
      </c>
      <c r="P124" t="n">
        <v>0</v>
      </c>
      <c r="Q124" t="n">
        <v>0</v>
      </c>
      <c r="R124" s="2" t="inlineStr"/>
    </row>
    <row r="125" ht="15" customHeight="1">
      <c r="A125" t="inlineStr">
        <is>
          <t>A 43255-2025</t>
        </is>
      </c>
      <c r="B125" s="1" t="n">
        <v>45910.55325231481</v>
      </c>
      <c r="C125" s="1" t="n">
        <v>46038</v>
      </c>
      <c r="D125" t="inlineStr">
        <is>
          <t>VÄSTMANLANDS LÄN</t>
        </is>
      </c>
      <c r="E125" t="inlineStr">
        <is>
          <t>SURAHAMMAR</t>
        </is>
      </c>
      <c r="G125" t="n">
        <v>1.9</v>
      </c>
      <c r="H125" t="n">
        <v>0</v>
      </c>
      <c r="I125" t="n">
        <v>0</v>
      </c>
      <c r="J125" t="n">
        <v>0</v>
      </c>
      <c r="K125" t="n">
        <v>0</v>
      </c>
      <c r="L125" t="n">
        <v>0</v>
      </c>
      <c r="M125" t="n">
        <v>0</v>
      </c>
      <c r="N125" t="n">
        <v>0</v>
      </c>
      <c r="O125" t="n">
        <v>0</v>
      </c>
      <c r="P125" t="n">
        <v>0</v>
      </c>
      <c r="Q125" t="n">
        <v>0</v>
      </c>
      <c r="R125" s="2" t="inlineStr"/>
    </row>
    <row r="126" ht="15" customHeight="1">
      <c r="A126" t="inlineStr">
        <is>
          <t>A 14626-2023</t>
        </is>
      </c>
      <c r="B126" s="1" t="n">
        <v>45012</v>
      </c>
      <c r="C126" s="1" t="n">
        <v>46038</v>
      </c>
      <c r="D126" t="inlineStr">
        <is>
          <t>VÄSTMANLANDS LÄN</t>
        </is>
      </c>
      <c r="E126" t="inlineStr">
        <is>
          <t>SURAHAMMAR</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46038</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25450-2024</t>
        </is>
      </c>
      <c r="B128" s="1" t="n">
        <v>45463</v>
      </c>
      <c r="C128" s="1" t="n">
        <v>46038</v>
      </c>
      <c r="D128" t="inlineStr">
        <is>
          <t>VÄSTMANLANDS LÄN</t>
        </is>
      </c>
      <c r="E128" t="inlineStr">
        <is>
          <t>SURAHAMMAR</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19782-2023</t>
        </is>
      </c>
      <c r="B129" s="1" t="n">
        <v>45050</v>
      </c>
      <c r="C129" s="1" t="n">
        <v>46038</v>
      </c>
      <c r="D129" t="inlineStr">
        <is>
          <t>VÄSTMANLANDS LÄN</t>
        </is>
      </c>
      <c r="E129" t="inlineStr">
        <is>
          <t>SURAHAMMAR</t>
        </is>
      </c>
      <c r="F129" t="inlineStr">
        <is>
          <t>Bergvik skog väst AB</t>
        </is>
      </c>
      <c r="G129" t="n">
        <v>5.2</v>
      </c>
      <c r="H129" t="n">
        <v>0</v>
      </c>
      <c r="I129" t="n">
        <v>0</v>
      </c>
      <c r="J129" t="n">
        <v>0</v>
      </c>
      <c r="K129" t="n">
        <v>0</v>
      </c>
      <c r="L129" t="n">
        <v>0</v>
      </c>
      <c r="M129" t="n">
        <v>0</v>
      </c>
      <c r="N129" t="n">
        <v>0</v>
      </c>
      <c r="O129" t="n">
        <v>0</v>
      </c>
      <c r="P129" t="n">
        <v>0</v>
      </c>
      <c r="Q129" t="n">
        <v>0</v>
      </c>
      <c r="R129" s="2" t="inlineStr"/>
    </row>
    <row r="130" ht="15" customHeight="1">
      <c r="A130" t="inlineStr">
        <is>
          <t>A 7848-2022</t>
        </is>
      </c>
      <c r="B130" s="1" t="n">
        <v>44608.58400462963</v>
      </c>
      <c r="C130" s="1" t="n">
        <v>46038</v>
      </c>
      <c r="D130" t="inlineStr">
        <is>
          <t>VÄSTMANLANDS LÄN</t>
        </is>
      </c>
      <c r="E130" t="inlineStr">
        <is>
          <t>SURAHAMMAR</t>
        </is>
      </c>
      <c r="G130" t="n">
        <v>2.1</v>
      </c>
      <c r="H130" t="n">
        <v>0</v>
      </c>
      <c r="I130" t="n">
        <v>0</v>
      </c>
      <c r="J130" t="n">
        <v>0</v>
      </c>
      <c r="K130" t="n">
        <v>0</v>
      </c>
      <c r="L130" t="n">
        <v>0</v>
      </c>
      <c r="M130" t="n">
        <v>0</v>
      </c>
      <c r="N130" t="n">
        <v>0</v>
      </c>
      <c r="O130" t="n">
        <v>0</v>
      </c>
      <c r="P130" t="n">
        <v>0</v>
      </c>
      <c r="Q130" t="n">
        <v>0</v>
      </c>
      <c r="R130" s="2" t="inlineStr"/>
    </row>
    <row r="131" ht="15" customHeight="1">
      <c r="A131" t="inlineStr">
        <is>
          <t>A 24167-2024</t>
        </is>
      </c>
      <c r="B131" s="1" t="n">
        <v>45456</v>
      </c>
      <c r="C131" s="1" t="n">
        <v>46038</v>
      </c>
      <c r="D131" t="inlineStr">
        <is>
          <t>VÄSTMANLANDS LÄN</t>
        </is>
      </c>
      <c r="E131" t="inlineStr">
        <is>
          <t>SURAHAMMAR</t>
        </is>
      </c>
      <c r="G131" t="n">
        <v>0.6</v>
      </c>
      <c r="H131" t="n">
        <v>0</v>
      </c>
      <c r="I131" t="n">
        <v>0</v>
      </c>
      <c r="J131" t="n">
        <v>0</v>
      </c>
      <c r="K131" t="n">
        <v>0</v>
      </c>
      <c r="L131" t="n">
        <v>0</v>
      </c>
      <c r="M131" t="n">
        <v>0</v>
      </c>
      <c r="N131" t="n">
        <v>0</v>
      </c>
      <c r="O131" t="n">
        <v>0</v>
      </c>
      <c r="P131" t="n">
        <v>0</v>
      </c>
      <c r="Q131" t="n">
        <v>0</v>
      </c>
      <c r="R131" s="2" t="inlineStr"/>
    </row>
    <row r="132" ht="15" customHeight="1">
      <c r="A132" t="inlineStr">
        <is>
          <t>A 56378-2023</t>
        </is>
      </c>
      <c r="B132" s="1" t="n">
        <v>45236</v>
      </c>
      <c r="C132" s="1" t="n">
        <v>46038</v>
      </c>
      <c r="D132" t="inlineStr">
        <is>
          <t>VÄSTMANLANDS LÄN</t>
        </is>
      </c>
      <c r="E132" t="inlineStr">
        <is>
          <t>SURAHAMMAR</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19099-2022</t>
        </is>
      </c>
      <c r="B133" s="1" t="n">
        <v>44691</v>
      </c>
      <c r="C133" s="1" t="n">
        <v>46038</v>
      </c>
      <c r="D133" t="inlineStr">
        <is>
          <t>VÄSTMANLANDS LÄN</t>
        </is>
      </c>
      <c r="E133" t="inlineStr">
        <is>
          <t>SURAHAMMAR</t>
        </is>
      </c>
      <c r="F133" t="inlineStr">
        <is>
          <t>Övriga Aktiebolag</t>
        </is>
      </c>
      <c r="G133" t="n">
        <v>3.4</v>
      </c>
      <c r="H133" t="n">
        <v>0</v>
      </c>
      <c r="I133" t="n">
        <v>0</v>
      </c>
      <c r="J133" t="n">
        <v>0</v>
      </c>
      <c r="K133" t="n">
        <v>0</v>
      </c>
      <c r="L133" t="n">
        <v>0</v>
      </c>
      <c r="M133" t="n">
        <v>0</v>
      </c>
      <c r="N133" t="n">
        <v>0</v>
      </c>
      <c r="O133" t="n">
        <v>0</v>
      </c>
      <c r="P133" t="n">
        <v>0</v>
      </c>
      <c r="Q133" t="n">
        <v>0</v>
      </c>
      <c r="R133" s="2" t="inlineStr"/>
    </row>
    <row r="134" ht="15" customHeight="1">
      <c r="A134" t="inlineStr">
        <is>
          <t>A 11501-2023</t>
        </is>
      </c>
      <c r="B134" s="1" t="n">
        <v>44991</v>
      </c>
      <c r="C134" s="1" t="n">
        <v>46038</v>
      </c>
      <c r="D134" t="inlineStr">
        <is>
          <t>VÄSTMANLANDS LÄN</t>
        </is>
      </c>
      <c r="E134" t="inlineStr">
        <is>
          <t>SURAHAMMAR</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63138-2025</t>
        </is>
      </c>
      <c r="B135" s="1" t="n">
        <v>46009</v>
      </c>
      <c r="C135" s="1" t="n">
        <v>46038</v>
      </c>
      <c r="D135" t="inlineStr">
        <is>
          <t>VÄSTMANLANDS LÄN</t>
        </is>
      </c>
      <c r="E135" t="inlineStr">
        <is>
          <t>SURAHAMMAR</t>
        </is>
      </c>
      <c r="F135" t="inlineStr">
        <is>
          <t>Bergvik skog väst AB</t>
        </is>
      </c>
      <c r="G135" t="n">
        <v>2.5</v>
      </c>
      <c r="H135" t="n">
        <v>0</v>
      </c>
      <c r="I135" t="n">
        <v>0</v>
      </c>
      <c r="J135" t="n">
        <v>0</v>
      </c>
      <c r="K135" t="n">
        <v>0</v>
      </c>
      <c r="L135" t="n">
        <v>0</v>
      </c>
      <c r="M135" t="n">
        <v>0</v>
      </c>
      <c r="N135" t="n">
        <v>0</v>
      </c>
      <c r="O135" t="n">
        <v>0</v>
      </c>
      <c r="P135" t="n">
        <v>0</v>
      </c>
      <c r="Q135" t="n">
        <v>0</v>
      </c>
      <c r="R135" s="2" t="inlineStr"/>
    </row>
    <row r="136" ht="15" customHeight="1">
      <c r="A136" t="inlineStr">
        <is>
          <t>A 3818-2022</t>
        </is>
      </c>
      <c r="B136" s="1" t="n">
        <v>44587</v>
      </c>
      <c r="C136" s="1" t="n">
        <v>46038</v>
      </c>
      <c r="D136" t="inlineStr">
        <is>
          <t>VÄSTMANLANDS LÄN</t>
        </is>
      </c>
      <c r="E136" t="inlineStr">
        <is>
          <t>SURAHAMMAR</t>
        </is>
      </c>
      <c r="G136" t="n">
        <v>2.6</v>
      </c>
      <c r="H136" t="n">
        <v>0</v>
      </c>
      <c r="I136" t="n">
        <v>0</v>
      </c>
      <c r="J136" t="n">
        <v>0</v>
      </c>
      <c r="K136" t="n">
        <v>0</v>
      </c>
      <c r="L136" t="n">
        <v>0</v>
      </c>
      <c r="M136" t="n">
        <v>0</v>
      </c>
      <c r="N136" t="n">
        <v>0</v>
      </c>
      <c r="O136" t="n">
        <v>0</v>
      </c>
      <c r="P136" t="n">
        <v>0</v>
      </c>
      <c r="Q136" t="n">
        <v>0</v>
      </c>
      <c r="R136" s="2" t="inlineStr"/>
    </row>
    <row r="137" ht="15" customHeight="1">
      <c r="A137" t="inlineStr">
        <is>
          <t>A 55868-2025</t>
        </is>
      </c>
      <c r="B137" s="1" t="n">
        <v>45973.35263888889</v>
      </c>
      <c r="C137" s="1" t="n">
        <v>46038</v>
      </c>
      <c r="D137" t="inlineStr">
        <is>
          <t>VÄSTMANLANDS LÄN</t>
        </is>
      </c>
      <c r="E137" t="inlineStr">
        <is>
          <t>SURAHAMMAR</t>
        </is>
      </c>
      <c r="F137" t="inlineStr">
        <is>
          <t>Sveaskog</t>
        </is>
      </c>
      <c r="G137" t="n">
        <v>2.8</v>
      </c>
      <c r="H137" t="n">
        <v>0</v>
      </c>
      <c r="I137" t="n">
        <v>0</v>
      </c>
      <c r="J137" t="n">
        <v>0</v>
      </c>
      <c r="K137" t="n">
        <v>0</v>
      </c>
      <c r="L137" t="n">
        <v>0</v>
      </c>
      <c r="M137" t="n">
        <v>0</v>
      </c>
      <c r="N137" t="n">
        <v>0</v>
      </c>
      <c r="O137" t="n">
        <v>0</v>
      </c>
      <c r="P137" t="n">
        <v>0</v>
      </c>
      <c r="Q137" t="n">
        <v>0</v>
      </c>
      <c r="R137" s="2" t="inlineStr"/>
    </row>
    <row r="138" ht="15" customHeight="1">
      <c r="A138" t="inlineStr">
        <is>
          <t>A 55874-2025</t>
        </is>
      </c>
      <c r="B138" s="1" t="n">
        <v>45973.3569212963</v>
      </c>
      <c r="C138" s="1" t="n">
        <v>46038</v>
      </c>
      <c r="D138" t="inlineStr">
        <is>
          <t>VÄSTMANLANDS LÄN</t>
        </is>
      </c>
      <c r="E138" t="inlineStr">
        <is>
          <t>SURAHAMMAR</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55873-2025</t>
        </is>
      </c>
      <c r="B139" s="1" t="n">
        <v>45973.35608796297</v>
      </c>
      <c r="C139" s="1" t="n">
        <v>46038</v>
      </c>
      <c r="D139" t="inlineStr">
        <is>
          <t>VÄSTMANLANDS LÄN</t>
        </is>
      </c>
      <c r="E139" t="inlineStr">
        <is>
          <t>SURAHAMMAR</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55871-2025</t>
        </is>
      </c>
      <c r="B140" s="1" t="n">
        <v>45973.35452546296</v>
      </c>
      <c r="C140" s="1" t="n">
        <v>46038</v>
      </c>
      <c r="D140" t="inlineStr">
        <is>
          <t>VÄSTMANLANDS LÄN</t>
        </is>
      </c>
      <c r="E140" t="inlineStr">
        <is>
          <t>SURAHAMMAR</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56543-2025</t>
        </is>
      </c>
      <c r="B141" s="1" t="n">
        <v>45975</v>
      </c>
      <c r="C141" s="1" t="n">
        <v>46038</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59399-2025</t>
        </is>
      </c>
      <c r="B142" s="1" t="n">
        <v>45989</v>
      </c>
      <c r="C142" s="1" t="n">
        <v>46038</v>
      </c>
      <c r="D142" t="inlineStr">
        <is>
          <t>VÄSTMANLANDS LÄN</t>
        </is>
      </c>
      <c r="E142" t="inlineStr">
        <is>
          <t>SURAHAMMAR</t>
        </is>
      </c>
      <c r="F142" t="inlineStr">
        <is>
          <t>Kommuner</t>
        </is>
      </c>
      <c r="G142" t="n">
        <v>2.1</v>
      </c>
      <c r="H142" t="n">
        <v>0</v>
      </c>
      <c r="I142" t="n">
        <v>0</v>
      </c>
      <c r="J142" t="n">
        <v>0</v>
      </c>
      <c r="K142" t="n">
        <v>0</v>
      </c>
      <c r="L142" t="n">
        <v>0</v>
      </c>
      <c r="M142" t="n">
        <v>0</v>
      </c>
      <c r="N142" t="n">
        <v>0</v>
      </c>
      <c r="O142" t="n">
        <v>0</v>
      </c>
      <c r="P142" t="n">
        <v>0</v>
      </c>
      <c r="Q142" t="n">
        <v>0</v>
      </c>
      <c r="R142" s="2" t="inlineStr"/>
    </row>
    <row r="143" ht="15" customHeight="1">
      <c r="A143" t="inlineStr">
        <is>
          <t>A 21509-2024</t>
        </is>
      </c>
      <c r="B143" s="1" t="n">
        <v>45441</v>
      </c>
      <c r="C143" s="1" t="n">
        <v>46038</v>
      </c>
      <c r="D143" t="inlineStr">
        <is>
          <t>VÄSTMANLANDS LÄN</t>
        </is>
      </c>
      <c r="E143" t="inlineStr">
        <is>
          <t>SURAHAMMAR</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56541-2025</t>
        </is>
      </c>
      <c r="B144" s="1" t="n">
        <v>45975</v>
      </c>
      <c r="C144" s="1" t="n">
        <v>46038</v>
      </c>
      <c r="D144" t="inlineStr">
        <is>
          <t>VÄSTMANLANDS LÄN</t>
        </is>
      </c>
      <c r="E144" t="inlineStr">
        <is>
          <t>SURAHAMMAR</t>
        </is>
      </c>
      <c r="F144" t="inlineStr">
        <is>
          <t>Sveaskog</t>
        </is>
      </c>
      <c r="G144" t="n">
        <v>7.6</v>
      </c>
      <c r="H144" t="n">
        <v>0</v>
      </c>
      <c r="I144" t="n">
        <v>0</v>
      </c>
      <c r="J144" t="n">
        <v>0</v>
      </c>
      <c r="K144" t="n">
        <v>0</v>
      </c>
      <c r="L144" t="n">
        <v>0</v>
      </c>
      <c r="M144" t="n">
        <v>0</v>
      </c>
      <c r="N144" t="n">
        <v>0</v>
      </c>
      <c r="O144" t="n">
        <v>0</v>
      </c>
      <c r="P144" t="n">
        <v>0</v>
      </c>
      <c r="Q144" t="n">
        <v>0</v>
      </c>
      <c r="R144" s="2" t="inlineStr"/>
    </row>
    <row r="145" ht="15" customHeight="1">
      <c r="A145" t="inlineStr">
        <is>
          <t>A 22662-2023</t>
        </is>
      </c>
      <c r="B145" s="1" t="n">
        <v>45071</v>
      </c>
      <c r="C145" s="1" t="n">
        <v>46038</v>
      </c>
      <c r="D145" t="inlineStr">
        <is>
          <t>VÄSTMANLANDS LÄN</t>
        </is>
      </c>
      <c r="E145" t="inlineStr">
        <is>
          <t>SURAHAMMAR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16013-2023</t>
        </is>
      </c>
      <c r="B146" s="1" t="n">
        <v>45026</v>
      </c>
      <c r="C146" s="1" t="n">
        <v>46038</v>
      </c>
      <c r="D146" t="inlineStr">
        <is>
          <t>VÄSTMANLANDS LÄN</t>
        </is>
      </c>
      <c r="E146" t="inlineStr">
        <is>
          <t>SURAHAMMAR</t>
        </is>
      </c>
      <c r="G146" t="n">
        <v>3.9</v>
      </c>
      <c r="H146" t="n">
        <v>0</v>
      </c>
      <c r="I146" t="n">
        <v>0</v>
      </c>
      <c r="J146" t="n">
        <v>0</v>
      </c>
      <c r="K146" t="n">
        <v>0</v>
      </c>
      <c r="L146" t="n">
        <v>0</v>
      </c>
      <c r="M146" t="n">
        <v>0</v>
      </c>
      <c r="N146" t="n">
        <v>0</v>
      </c>
      <c r="O146" t="n">
        <v>0</v>
      </c>
      <c r="P146" t="n">
        <v>0</v>
      </c>
      <c r="Q146" t="n">
        <v>0</v>
      </c>
      <c r="R146" s="2" t="inlineStr"/>
    </row>
    <row r="147" ht="15" customHeight="1">
      <c r="A147" t="inlineStr">
        <is>
          <t>A 41555-2022</t>
        </is>
      </c>
      <c r="B147" s="1" t="n">
        <v>44826</v>
      </c>
      <c r="C147" s="1" t="n">
        <v>46038</v>
      </c>
      <c r="D147" t="inlineStr">
        <is>
          <t>VÄSTMANLANDS LÄN</t>
        </is>
      </c>
      <c r="E147" t="inlineStr">
        <is>
          <t>SURAHAMMAR</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46038</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13386-2025</t>
        </is>
      </c>
      <c r="B149" s="1" t="n">
        <v>45735</v>
      </c>
      <c r="C149" s="1" t="n">
        <v>46038</v>
      </c>
      <c r="D149" t="inlineStr">
        <is>
          <t>VÄSTMANLANDS LÄN</t>
        </is>
      </c>
      <c r="E149" t="inlineStr">
        <is>
          <t>SURAHAMMAR</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47785-2021</t>
        </is>
      </c>
      <c r="B150" s="1" t="n">
        <v>44448</v>
      </c>
      <c r="C150" s="1" t="n">
        <v>46038</v>
      </c>
      <c r="D150" t="inlineStr">
        <is>
          <t>VÄSTMANLANDS LÄN</t>
        </is>
      </c>
      <c r="E150" t="inlineStr">
        <is>
          <t>SURAHAMMAR</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15739-2023</t>
        </is>
      </c>
      <c r="B151" s="1" t="n">
        <v>45021</v>
      </c>
      <c r="C151" s="1" t="n">
        <v>46038</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44405.42373842592</v>
      </c>
      <c r="C152" s="1" t="n">
        <v>46038</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34584-2025</t>
        </is>
      </c>
      <c r="B153" s="1" t="n">
        <v>45846</v>
      </c>
      <c r="C153" s="1" t="n">
        <v>46038</v>
      </c>
      <c r="D153" t="inlineStr">
        <is>
          <t>VÄSTMANLANDS LÄN</t>
        </is>
      </c>
      <c r="E153" t="inlineStr">
        <is>
          <t>SURAHAMMAR</t>
        </is>
      </c>
      <c r="F153" t="inlineStr">
        <is>
          <t>Bergvik skog väst AB</t>
        </is>
      </c>
      <c r="G153" t="n">
        <v>2.7</v>
      </c>
      <c r="H153" t="n">
        <v>0</v>
      </c>
      <c r="I153" t="n">
        <v>0</v>
      </c>
      <c r="J153" t="n">
        <v>0</v>
      </c>
      <c r="K153" t="n">
        <v>0</v>
      </c>
      <c r="L153" t="n">
        <v>0</v>
      </c>
      <c r="M153" t="n">
        <v>0</v>
      </c>
      <c r="N153" t="n">
        <v>0</v>
      </c>
      <c r="O153" t="n">
        <v>0</v>
      </c>
      <c r="P153" t="n">
        <v>0</v>
      </c>
      <c r="Q153" t="n">
        <v>0</v>
      </c>
      <c r="R153" s="2" t="inlineStr"/>
    </row>
    <row r="154" ht="15" customHeight="1">
      <c r="A154" t="inlineStr">
        <is>
          <t>A 32916-2025</t>
        </is>
      </c>
      <c r="B154" s="1" t="n">
        <v>45839</v>
      </c>
      <c r="C154" s="1" t="n">
        <v>46038</v>
      </c>
      <c r="D154" t="inlineStr">
        <is>
          <t>VÄSTMANLANDS LÄN</t>
        </is>
      </c>
      <c r="E154" t="inlineStr">
        <is>
          <t>SURAHAMMAR</t>
        </is>
      </c>
      <c r="F154" t="inlineStr">
        <is>
          <t>Kommuner</t>
        </is>
      </c>
      <c r="G154" t="n">
        <v>4.9</v>
      </c>
      <c r="H154" t="n">
        <v>0</v>
      </c>
      <c r="I154" t="n">
        <v>0</v>
      </c>
      <c r="J154" t="n">
        <v>0</v>
      </c>
      <c r="K154" t="n">
        <v>0</v>
      </c>
      <c r="L154" t="n">
        <v>0</v>
      </c>
      <c r="M154" t="n">
        <v>0</v>
      </c>
      <c r="N154" t="n">
        <v>0</v>
      </c>
      <c r="O154" t="n">
        <v>0</v>
      </c>
      <c r="P154" t="n">
        <v>0</v>
      </c>
      <c r="Q154" t="n">
        <v>0</v>
      </c>
      <c r="R154" s="2" t="inlineStr"/>
    </row>
    <row r="155" ht="15" customHeight="1">
      <c r="A155" t="inlineStr">
        <is>
          <t>A 32910-2025</t>
        </is>
      </c>
      <c r="B155" s="1" t="n">
        <v>45839</v>
      </c>
      <c r="C155" s="1" t="n">
        <v>46038</v>
      </c>
      <c r="D155" t="inlineStr">
        <is>
          <t>VÄSTMANLANDS LÄN</t>
        </is>
      </c>
      <c r="E155" t="inlineStr">
        <is>
          <t>SURAHAMMAR</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37013-2025</t>
        </is>
      </c>
      <c r="B156" s="1" t="n">
        <v>45874</v>
      </c>
      <c r="C156" s="1" t="n">
        <v>46038</v>
      </c>
      <c r="D156" t="inlineStr">
        <is>
          <t>VÄSTMANLANDS LÄN</t>
        </is>
      </c>
      <c r="E156" t="inlineStr">
        <is>
          <t>SURAHAMMAR</t>
        </is>
      </c>
      <c r="F156" t="inlineStr">
        <is>
          <t>Bergvik skog väst AB</t>
        </is>
      </c>
      <c r="G156" t="n">
        <v>10.7</v>
      </c>
      <c r="H156" t="n">
        <v>0</v>
      </c>
      <c r="I156" t="n">
        <v>0</v>
      </c>
      <c r="J156" t="n">
        <v>0</v>
      </c>
      <c r="K156" t="n">
        <v>0</v>
      </c>
      <c r="L156" t="n">
        <v>0</v>
      </c>
      <c r="M156" t="n">
        <v>0</v>
      </c>
      <c r="N156" t="n">
        <v>0</v>
      </c>
      <c r="O156" t="n">
        <v>0</v>
      </c>
      <c r="P156" t="n">
        <v>0</v>
      </c>
      <c r="Q156" t="n">
        <v>0</v>
      </c>
      <c r="R156" s="2" t="inlineStr"/>
    </row>
    <row r="157">
      <c r="A157" t="inlineStr">
        <is>
          <t>A 37954-2025</t>
        </is>
      </c>
      <c r="B157" s="1" t="n">
        <v>45881</v>
      </c>
      <c r="C157" s="1" t="n">
        <v>46038</v>
      </c>
      <c r="D157" t="inlineStr">
        <is>
          <t>VÄSTMANLANDS LÄN</t>
        </is>
      </c>
      <c r="E157" t="inlineStr">
        <is>
          <t>SURAHAMMAR</t>
        </is>
      </c>
      <c r="G157" t="n">
        <v>9.5</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2026-01-16T11:01:44Z</dcterms:created>
  <dcterms:modified xmlns:dcterms="http://purl.org/dc/terms/" xmlns:xsi="http://www.w3.org/2001/XMLSchema-instance" xsi:type="dcterms:W3CDTF">2026-01-16T11:01:44Z</dcterms:modified>
</cp:coreProperties>
</file>