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45918</v>
      </c>
      <c r="D5" t="inlineStr">
        <is>
          <t>VÄSTMANLANDS LÄN</t>
        </is>
      </c>
      <c r="E5" t="inlineStr">
        <is>
          <t>SURAHAMMAR</t>
        </is>
      </c>
      <c r="F5" t="inlineStr">
        <is>
          <t>Bergvik skog väst AB</t>
        </is>
      </c>
      <c r="G5" t="n">
        <v>25.7</v>
      </c>
      <c r="H5" t="n">
        <v>14</v>
      </c>
      <c r="I5" t="n">
        <v>5</v>
      </c>
      <c r="J5" t="n">
        <v>5</v>
      </c>
      <c r="K5" t="n">
        <v>1</v>
      </c>
      <c r="L5" t="n">
        <v>1</v>
      </c>
      <c r="M5" t="n">
        <v>0</v>
      </c>
      <c r="N5" t="n">
        <v>0</v>
      </c>
      <c r="O5" t="n">
        <v>7</v>
      </c>
      <c r="P5" t="n">
        <v>2</v>
      </c>
      <c r="Q5" t="n">
        <v>21</v>
      </c>
      <c r="R5" s="2" t="inlineStr">
        <is>
          <t>Grönfink
Knärot
Järpe
Motaggsvamp
Skogshare
Spillkråka
Talltita
Dropptaggsvamp
Fjällig taggsvamp s.str.
Mindre märgborre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45918</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34759-2023</t>
        </is>
      </c>
      <c r="B7" s="1" t="n">
        <v>45139</v>
      </c>
      <c r="C7" s="1" t="n">
        <v>45918</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45918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45918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45918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45918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45918</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45918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45918</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45918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45918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44798-2024</t>
        </is>
      </c>
      <c r="B17" s="1" t="n">
        <v>45574</v>
      </c>
      <c r="C17" s="1" t="n">
        <v>45918</v>
      </c>
      <c r="D17" t="inlineStr">
        <is>
          <t>VÄSTMANLANDS LÄN</t>
        </is>
      </c>
      <c r="E17" t="inlineStr">
        <is>
          <t>SURAHAMMAR</t>
        </is>
      </c>
      <c r="F17" t="inlineStr">
        <is>
          <t>Bergvik skog väst AB</t>
        </is>
      </c>
      <c r="G17" t="n">
        <v>4.4</v>
      </c>
      <c r="H17" t="n">
        <v>0</v>
      </c>
      <c r="I17" t="n">
        <v>1</v>
      </c>
      <c r="J17" t="n">
        <v>4</v>
      </c>
      <c r="K17" t="n">
        <v>1</v>
      </c>
      <c r="L17" t="n">
        <v>0</v>
      </c>
      <c r="M17" t="n">
        <v>0</v>
      </c>
      <c r="N17" t="n">
        <v>0</v>
      </c>
      <c r="O17" t="n">
        <v>5</v>
      </c>
      <c r="P17" t="n">
        <v>1</v>
      </c>
      <c r="Q17" t="n">
        <v>6</v>
      </c>
      <c r="R17" s="2" t="inlineStr">
        <is>
          <t>Rosetticka
Brunklöver
Persiljespindling
Svinrot
Ullticka
Brandticka</t>
        </is>
      </c>
      <c r="S17">
        <f>HYPERLINK("https://klasma.github.io/Logging_1907/artfynd/A 44798-2024 artfynd.xlsx", "A 44798-2024")</f>
        <v/>
      </c>
      <c r="T17">
        <f>HYPERLINK("https://klasma.github.io/Logging_1907/kartor/A 44798-2024 karta.png", "A 44798-2024")</f>
        <v/>
      </c>
      <c r="V17">
        <f>HYPERLINK("https://klasma.github.io/Logging_1907/klagomål/A 44798-2024 FSC-klagomål.docx", "A 44798-2024")</f>
        <v/>
      </c>
      <c r="W17">
        <f>HYPERLINK("https://klasma.github.io/Logging_1907/klagomålsmail/A 44798-2024 FSC-klagomål mail.docx", "A 44798-2024")</f>
        <v/>
      </c>
      <c r="X17">
        <f>HYPERLINK("https://klasma.github.io/Logging_1907/tillsyn/A 44798-2024 tillsynsbegäran.docx", "A 44798-2024")</f>
        <v/>
      </c>
      <c r="Y17">
        <f>HYPERLINK("https://klasma.github.io/Logging_1907/tillsynsmail/A 44798-2024 tillsynsbegäran mail.docx", "A 44798-2024")</f>
        <v/>
      </c>
    </row>
    <row r="18" ht="15" customHeight="1">
      <c r="A18" t="inlineStr">
        <is>
          <t>A 14815-2025</t>
        </is>
      </c>
      <c r="B18" s="1" t="n">
        <v>45743.34931712963</v>
      </c>
      <c r="C18" s="1" t="n">
        <v>45918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45918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45918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4105-2025</t>
        </is>
      </c>
      <c r="B21" s="1" t="n">
        <v>45684</v>
      </c>
      <c r="C21" s="1" t="n">
        <v>45918</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48891-2023</t>
        </is>
      </c>
      <c r="B22" s="1" t="n">
        <v>45203</v>
      </c>
      <c r="C22" s="1" t="n">
        <v>45918</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21716-2025</t>
        </is>
      </c>
      <c r="B23" s="1" t="n">
        <v>45783.54804398148</v>
      </c>
      <c r="C23" s="1" t="n">
        <v>45918</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45918</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45918</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45918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45918</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45918</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48128-2023</t>
        </is>
      </c>
      <c r="B29" s="1" t="n">
        <v>45205</v>
      </c>
      <c r="C29" s="1" t="n">
        <v>45918</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20391-2024</t>
        </is>
      </c>
      <c r="B30" s="1" t="n">
        <v>45435</v>
      </c>
      <c r="C30" s="1" t="n">
        <v>45918</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42708-2022</t>
        </is>
      </c>
      <c r="B31" s="1" t="n">
        <v>44832</v>
      </c>
      <c r="C31" s="1" t="n">
        <v>45918</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42853-2022</t>
        </is>
      </c>
      <c r="B32" s="1" t="n">
        <v>44832</v>
      </c>
      <c r="C32" s="1" t="n">
        <v>45918</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38200-2021</t>
        </is>
      </c>
      <c r="B33" s="1" t="n">
        <v>44405</v>
      </c>
      <c r="C33" s="1" t="n">
        <v>45918</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49718-2023</t>
        </is>
      </c>
      <c r="B34" s="1" t="n">
        <v>45212</v>
      </c>
      <c r="C34" s="1" t="n">
        <v>45918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45918</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8552-2022</t>
        </is>
      </c>
      <c r="B36" s="1" t="n">
        <v>44613</v>
      </c>
      <c r="C36" s="1" t="n">
        <v>45918</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39594-2025</t>
        </is>
      </c>
      <c r="B37" s="1" t="n">
        <v>45890</v>
      </c>
      <c r="C37" s="1" t="n">
        <v>45918</v>
      </c>
      <c r="D37" t="inlineStr">
        <is>
          <t>VÄSTMANLANDS LÄN</t>
        </is>
      </c>
      <c r="E37" t="inlineStr">
        <is>
          <t>SURAHAMMAR</t>
        </is>
      </c>
      <c r="F37" t="inlineStr">
        <is>
          <t>Bergvik skog väst AB</t>
        </is>
      </c>
      <c r="G37" t="n">
        <v>7</v>
      </c>
      <c r="H37" t="n">
        <v>0</v>
      </c>
      <c r="I37" t="n">
        <v>2</v>
      </c>
      <c r="J37" t="n">
        <v>1</v>
      </c>
      <c r="K37" t="n">
        <v>0</v>
      </c>
      <c r="L37" t="n">
        <v>0</v>
      </c>
      <c r="M37" t="n">
        <v>0</v>
      </c>
      <c r="N37" t="n">
        <v>0</v>
      </c>
      <c r="O37" t="n">
        <v>1</v>
      </c>
      <c r="P37" t="n">
        <v>0</v>
      </c>
      <c r="Q37" t="n">
        <v>3</v>
      </c>
      <c r="R37" s="2" t="inlineStr">
        <is>
          <t>Gropticka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row>
    <row r="38" ht="15" customHeight="1">
      <c r="A38" t="inlineStr">
        <is>
          <t>A 37801-2021</t>
        </is>
      </c>
      <c r="B38" s="1" t="n">
        <v>44402</v>
      </c>
      <c r="C38" s="1" t="n">
        <v>45918</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45918</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45918</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4082-2025</t>
        </is>
      </c>
      <c r="B41" s="1" t="n">
        <v>45684</v>
      </c>
      <c r="C41" s="1" t="n">
        <v>45918</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21618-2025</t>
        </is>
      </c>
      <c r="B42" s="1" t="n">
        <v>45783</v>
      </c>
      <c r="C42" s="1" t="n">
        <v>45918</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41204-2023</t>
        </is>
      </c>
      <c r="B43" s="1" t="n">
        <v>45174</v>
      </c>
      <c r="C43" s="1" t="n">
        <v>45918</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45918</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18717-2021</t>
        </is>
      </c>
      <c r="B45" s="1" t="n">
        <v>44306</v>
      </c>
      <c r="C45" s="1" t="n">
        <v>45918</v>
      </c>
      <c r="D45" t="inlineStr">
        <is>
          <t>VÄSTMANLANDS LÄN</t>
        </is>
      </c>
      <c r="E45" t="inlineStr">
        <is>
          <t>SURAHAMMAR</t>
        </is>
      </c>
      <c r="F45" t="inlineStr">
        <is>
          <t>Bergvik skog väst AB</t>
        </is>
      </c>
      <c r="G45" t="n">
        <v>18</v>
      </c>
      <c r="H45" t="n">
        <v>1</v>
      </c>
      <c r="I45" t="n">
        <v>0</v>
      </c>
      <c r="J45" t="n">
        <v>0</v>
      </c>
      <c r="K45" t="n">
        <v>0</v>
      </c>
      <c r="L45" t="n">
        <v>0</v>
      </c>
      <c r="M45" t="n">
        <v>0</v>
      </c>
      <c r="N45" t="n">
        <v>0</v>
      </c>
      <c r="O45" t="n">
        <v>0</v>
      </c>
      <c r="P45" t="n">
        <v>0</v>
      </c>
      <c r="Q45" t="n">
        <v>1</v>
      </c>
      <c r="R45" s="2" t="inlineStr">
        <is>
          <t>Revlummer</t>
        </is>
      </c>
      <c r="S45">
        <f>HYPERLINK("https://klasma.github.io/Logging_1907/artfynd/A 18717-2021 artfynd.xlsx", "A 18717-2021")</f>
        <v/>
      </c>
      <c r="T45">
        <f>HYPERLINK("https://klasma.github.io/Logging_1907/kartor/A 18717-2021 karta.png", "A 18717-2021")</f>
        <v/>
      </c>
      <c r="V45">
        <f>HYPERLINK("https://klasma.github.io/Logging_1907/klagomål/A 18717-2021 FSC-klagomål.docx", "A 18717-2021")</f>
        <v/>
      </c>
      <c r="W45">
        <f>HYPERLINK("https://klasma.github.io/Logging_1907/klagomålsmail/A 18717-2021 FSC-klagomål mail.docx", "A 18717-2021")</f>
        <v/>
      </c>
      <c r="X45">
        <f>HYPERLINK("https://klasma.github.io/Logging_1907/tillsyn/A 18717-2021 tillsynsbegäran.docx", "A 18717-2021")</f>
        <v/>
      </c>
      <c r="Y45">
        <f>HYPERLINK("https://klasma.github.io/Logging_1907/tillsynsmail/A 18717-2021 tillsynsbegäran mail.docx", "A 18717-2021")</f>
        <v/>
      </c>
    </row>
    <row r="46" ht="15" customHeight="1">
      <c r="A46" t="inlineStr">
        <is>
          <t>A 26700-2022</t>
        </is>
      </c>
      <c r="B46" s="1" t="n">
        <v>44739</v>
      </c>
      <c r="C46" s="1" t="n">
        <v>45918</v>
      </c>
      <c r="D46" t="inlineStr">
        <is>
          <t>VÄSTMANLANDS LÄN</t>
        </is>
      </c>
      <c r="E46" t="inlineStr">
        <is>
          <t>SURAHAMMAR</t>
        </is>
      </c>
      <c r="F46" t="inlineStr">
        <is>
          <t>Kommuner</t>
        </is>
      </c>
      <c r="G46" t="n">
        <v>3.1</v>
      </c>
      <c r="H46" t="n">
        <v>1</v>
      </c>
      <c r="I46" t="n">
        <v>0</v>
      </c>
      <c r="J46" t="n">
        <v>0</v>
      </c>
      <c r="K46" t="n">
        <v>0</v>
      </c>
      <c r="L46" t="n">
        <v>0</v>
      </c>
      <c r="M46" t="n">
        <v>0</v>
      </c>
      <c r="N46" t="n">
        <v>0</v>
      </c>
      <c r="O46" t="n">
        <v>0</v>
      </c>
      <c r="P46" t="n">
        <v>0</v>
      </c>
      <c r="Q46" t="n">
        <v>1</v>
      </c>
      <c r="R46" s="2" t="inlineStr">
        <is>
          <t>Fläcknycklar</t>
        </is>
      </c>
      <c r="S46">
        <f>HYPERLINK("https://klasma.github.io/Logging_1907/artfynd/A 26700-2022 artfynd.xlsx", "A 26700-2022")</f>
        <v/>
      </c>
      <c r="T46">
        <f>HYPERLINK("https://klasma.github.io/Logging_1907/kartor/A 26700-2022 karta.png", "A 26700-2022")</f>
        <v/>
      </c>
      <c r="V46">
        <f>HYPERLINK("https://klasma.github.io/Logging_1907/klagomål/A 26700-2022 FSC-klagomål.docx", "A 26700-2022")</f>
        <v/>
      </c>
      <c r="W46">
        <f>HYPERLINK("https://klasma.github.io/Logging_1907/klagomålsmail/A 26700-2022 FSC-klagomål mail.docx", "A 26700-2022")</f>
        <v/>
      </c>
      <c r="X46">
        <f>HYPERLINK("https://klasma.github.io/Logging_1907/tillsyn/A 26700-2022 tillsynsbegäran.docx", "A 26700-2022")</f>
        <v/>
      </c>
      <c r="Y46">
        <f>HYPERLINK("https://klasma.github.io/Logging_1907/tillsynsmail/A 26700-2022 tillsynsbegäran mail.docx", "A 26700-2022")</f>
        <v/>
      </c>
    </row>
    <row r="47" ht="15" customHeight="1">
      <c r="A47" t="inlineStr">
        <is>
          <t>A 40411-2021</t>
        </is>
      </c>
      <c r="B47" s="1" t="n">
        <v>44419</v>
      </c>
      <c r="C47" s="1" t="n">
        <v>45918</v>
      </c>
      <c r="D47" t="inlineStr">
        <is>
          <t>VÄSTMANLANDS LÄN</t>
        </is>
      </c>
      <c r="E47" t="inlineStr">
        <is>
          <t>SURAHAMMAR</t>
        </is>
      </c>
      <c r="F47" t="inlineStr">
        <is>
          <t>Sveaskog</t>
        </is>
      </c>
      <c r="G47" t="n">
        <v>2.4</v>
      </c>
      <c r="H47" t="n">
        <v>1</v>
      </c>
      <c r="I47" t="n">
        <v>0</v>
      </c>
      <c r="J47" t="n">
        <v>0</v>
      </c>
      <c r="K47" t="n">
        <v>0</v>
      </c>
      <c r="L47" t="n">
        <v>0</v>
      </c>
      <c r="M47" t="n">
        <v>0</v>
      </c>
      <c r="N47" t="n">
        <v>0</v>
      </c>
      <c r="O47" t="n">
        <v>0</v>
      </c>
      <c r="P47" t="n">
        <v>0</v>
      </c>
      <c r="Q47" t="n">
        <v>1</v>
      </c>
      <c r="R47" s="2" t="inlineStr">
        <is>
          <t>Kopparödla</t>
        </is>
      </c>
      <c r="S47">
        <f>HYPERLINK("https://klasma.github.io/Logging_1907/artfynd/A 40411-2021 artfynd.xlsx", "A 40411-2021")</f>
        <v/>
      </c>
      <c r="T47">
        <f>HYPERLINK("https://klasma.github.io/Logging_1907/kartor/A 40411-2021 karta.png", "A 40411-2021")</f>
        <v/>
      </c>
      <c r="V47">
        <f>HYPERLINK("https://klasma.github.io/Logging_1907/klagomål/A 40411-2021 FSC-klagomål.docx", "A 40411-2021")</f>
        <v/>
      </c>
      <c r="W47">
        <f>HYPERLINK("https://klasma.github.io/Logging_1907/klagomålsmail/A 40411-2021 FSC-klagomål mail.docx", "A 40411-2021")</f>
        <v/>
      </c>
      <c r="X47">
        <f>HYPERLINK("https://klasma.github.io/Logging_1907/tillsyn/A 40411-2021 tillsynsbegäran.docx", "A 40411-2021")</f>
        <v/>
      </c>
      <c r="Y47">
        <f>HYPERLINK("https://klasma.github.io/Logging_1907/tillsynsmail/A 40411-2021 tillsynsbegäran mail.docx", "A 40411-2021")</f>
        <v/>
      </c>
    </row>
    <row r="48" ht="15" customHeight="1">
      <c r="A48" t="inlineStr">
        <is>
          <t>A 30074-2023</t>
        </is>
      </c>
      <c r="B48" s="1" t="n">
        <v>45110</v>
      </c>
      <c r="C48" s="1" t="n">
        <v>45918</v>
      </c>
      <c r="D48" t="inlineStr">
        <is>
          <t>VÄSTMANLANDS LÄN</t>
        </is>
      </c>
      <c r="E48" t="inlineStr">
        <is>
          <t>SURAHAMMAR</t>
        </is>
      </c>
      <c r="F48" t="inlineStr">
        <is>
          <t>Sveaskog</t>
        </is>
      </c>
      <c r="G48" t="n">
        <v>1.1</v>
      </c>
      <c r="H48" t="n">
        <v>1</v>
      </c>
      <c r="I48" t="n">
        <v>0</v>
      </c>
      <c r="J48" t="n">
        <v>0</v>
      </c>
      <c r="K48" t="n">
        <v>0</v>
      </c>
      <c r="L48" t="n">
        <v>0</v>
      </c>
      <c r="M48" t="n">
        <v>0</v>
      </c>
      <c r="N48" t="n">
        <v>0</v>
      </c>
      <c r="O48" t="n">
        <v>0</v>
      </c>
      <c r="P48" t="n">
        <v>0</v>
      </c>
      <c r="Q48" t="n">
        <v>1</v>
      </c>
      <c r="R48" s="2" t="inlineStr">
        <is>
          <t>Revlummer</t>
        </is>
      </c>
      <c r="S48">
        <f>HYPERLINK("https://klasma.github.io/Logging_1907/artfynd/A 30074-2023 artfynd.xlsx", "A 30074-2023")</f>
        <v/>
      </c>
      <c r="T48">
        <f>HYPERLINK("https://klasma.github.io/Logging_1907/kartor/A 30074-2023 karta.png", "A 30074-2023")</f>
        <v/>
      </c>
      <c r="V48">
        <f>HYPERLINK("https://klasma.github.io/Logging_1907/klagomål/A 30074-2023 FSC-klagomål.docx", "A 30074-2023")</f>
        <v/>
      </c>
      <c r="W48">
        <f>HYPERLINK("https://klasma.github.io/Logging_1907/klagomålsmail/A 30074-2023 FSC-klagomål mail.docx", "A 30074-2023")</f>
        <v/>
      </c>
      <c r="X48">
        <f>HYPERLINK("https://klasma.github.io/Logging_1907/tillsyn/A 30074-2023 tillsynsbegäran.docx", "A 30074-2023")</f>
        <v/>
      </c>
      <c r="Y48">
        <f>HYPERLINK("https://klasma.github.io/Logging_1907/tillsynsmail/A 30074-2023 tillsynsbegäran mail.docx", "A 30074-2023")</f>
        <v/>
      </c>
    </row>
    <row r="49" ht="15" customHeight="1">
      <c r="A49" t="inlineStr">
        <is>
          <t>A 31176-2024</t>
        </is>
      </c>
      <c r="B49" s="1" t="n">
        <v>45503</v>
      </c>
      <c r="C49" s="1" t="n">
        <v>45918</v>
      </c>
      <c r="D49" t="inlineStr">
        <is>
          <t>VÄSTMANLANDS LÄN</t>
        </is>
      </c>
      <c r="E49" t="inlineStr">
        <is>
          <t>SURAHAMMAR</t>
        </is>
      </c>
      <c r="F49" t="inlineStr">
        <is>
          <t>Allmännings- och besparingsskogar</t>
        </is>
      </c>
      <c r="G49" t="n">
        <v>10.7</v>
      </c>
      <c r="H49" t="n">
        <v>0</v>
      </c>
      <c r="I49" t="n">
        <v>0</v>
      </c>
      <c r="J49" t="n">
        <v>1</v>
      </c>
      <c r="K49" t="n">
        <v>0</v>
      </c>
      <c r="L49" t="n">
        <v>0</v>
      </c>
      <c r="M49" t="n">
        <v>0</v>
      </c>
      <c r="N49" t="n">
        <v>0</v>
      </c>
      <c r="O49" t="n">
        <v>1</v>
      </c>
      <c r="P49" t="n">
        <v>0</v>
      </c>
      <c r="Q49" t="n">
        <v>1</v>
      </c>
      <c r="R49" s="2" t="inlineStr">
        <is>
          <t>Doftskinn</t>
        </is>
      </c>
      <c r="S49">
        <f>HYPERLINK("https://klasma.github.io/Logging_1907/artfynd/A 31176-2024 artfynd.xlsx", "A 31176-2024")</f>
        <v/>
      </c>
      <c r="T49">
        <f>HYPERLINK("https://klasma.github.io/Logging_1907/kartor/A 31176-2024 karta.png", "A 31176-2024")</f>
        <v/>
      </c>
      <c r="V49">
        <f>HYPERLINK("https://klasma.github.io/Logging_1907/klagomål/A 31176-2024 FSC-klagomål.docx", "A 31176-2024")</f>
        <v/>
      </c>
      <c r="W49">
        <f>HYPERLINK("https://klasma.github.io/Logging_1907/klagomålsmail/A 31176-2024 FSC-klagomål mail.docx", "A 31176-2024")</f>
        <v/>
      </c>
      <c r="X49">
        <f>HYPERLINK("https://klasma.github.io/Logging_1907/tillsyn/A 31176-2024 tillsynsbegäran.docx", "A 31176-2024")</f>
        <v/>
      </c>
      <c r="Y49">
        <f>HYPERLINK("https://klasma.github.io/Logging_1907/tillsynsmail/A 31176-2024 tillsynsbegäran mail.docx", "A 31176-2024")</f>
        <v/>
      </c>
    </row>
    <row r="50" ht="15" customHeight="1">
      <c r="A50" t="inlineStr">
        <is>
          <t>A 44356-2024</t>
        </is>
      </c>
      <c r="B50" s="1" t="n">
        <v>45573</v>
      </c>
      <c r="C50" s="1" t="n">
        <v>45918</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56362-2023</t>
        </is>
      </c>
      <c r="B51" s="1" t="n">
        <v>45236</v>
      </c>
      <c r="C51" s="1" t="n">
        <v>45918</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47453-2024</t>
        </is>
      </c>
      <c r="B52" s="1" t="n">
        <v>45587.55017361111</v>
      </c>
      <c r="C52" s="1" t="n">
        <v>45918</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22840-2023</t>
        </is>
      </c>
      <c r="B53" s="1" t="n">
        <v>45072</v>
      </c>
      <c r="C53" s="1" t="n">
        <v>45918</v>
      </c>
      <c r="D53" t="inlineStr">
        <is>
          <t>VÄSTMANLANDS LÄN</t>
        </is>
      </c>
      <c r="E53" t="inlineStr">
        <is>
          <t>SURAHAMMAR</t>
        </is>
      </c>
      <c r="G53" t="n">
        <v>4.3</v>
      </c>
      <c r="H53" t="n">
        <v>1</v>
      </c>
      <c r="I53" t="n">
        <v>0</v>
      </c>
      <c r="J53" t="n">
        <v>0</v>
      </c>
      <c r="K53" t="n">
        <v>0</v>
      </c>
      <c r="L53" t="n">
        <v>0</v>
      </c>
      <c r="M53" t="n">
        <v>0</v>
      </c>
      <c r="N53" t="n">
        <v>0</v>
      </c>
      <c r="O53" t="n">
        <v>0</v>
      </c>
      <c r="P53" t="n">
        <v>0</v>
      </c>
      <c r="Q53" t="n">
        <v>1</v>
      </c>
      <c r="R53" s="2" t="inlineStr">
        <is>
          <t>Fläcknycklar</t>
        </is>
      </c>
      <c r="S53">
        <f>HYPERLINK("https://klasma.github.io/Logging_1907/artfynd/A 22840-2023 artfynd.xlsx", "A 22840-2023")</f>
        <v/>
      </c>
      <c r="T53">
        <f>HYPERLINK("https://klasma.github.io/Logging_1907/kartor/A 22840-2023 karta.png", "A 22840-2023")</f>
        <v/>
      </c>
      <c r="V53">
        <f>HYPERLINK("https://klasma.github.io/Logging_1907/klagomål/A 22840-2023 FSC-klagomål.docx", "A 22840-2023")</f>
        <v/>
      </c>
      <c r="W53">
        <f>HYPERLINK("https://klasma.github.io/Logging_1907/klagomålsmail/A 22840-2023 FSC-klagomål mail.docx", "A 22840-2023")</f>
        <v/>
      </c>
      <c r="X53">
        <f>HYPERLINK("https://klasma.github.io/Logging_1907/tillsyn/A 22840-2023 tillsynsbegäran.docx", "A 22840-2023")</f>
        <v/>
      </c>
      <c r="Y53">
        <f>HYPERLINK("https://klasma.github.io/Logging_1907/tillsynsmail/A 22840-2023 tillsynsbegäran mail.docx", "A 22840-2023")</f>
        <v/>
      </c>
    </row>
    <row r="54" ht="15" customHeight="1">
      <c r="A54" t="inlineStr">
        <is>
          <t>A 33231-2024</t>
        </is>
      </c>
      <c r="B54" s="1" t="n">
        <v>45518</v>
      </c>
      <c r="C54" s="1" t="n">
        <v>45918</v>
      </c>
      <c r="D54" t="inlineStr">
        <is>
          <t>VÄSTMANLANDS LÄN</t>
        </is>
      </c>
      <c r="E54" t="inlineStr">
        <is>
          <t>SURAHAMMAR</t>
        </is>
      </c>
      <c r="F54" t="inlineStr">
        <is>
          <t>Bergvik skog väst AB</t>
        </is>
      </c>
      <c r="G54" t="n">
        <v>1.5</v>
      </c>
      <c r="H54" t="n">
        <v>1</v>
      </c>
      <c r="I54" t="n">
        <v>0</v>
      </c>
      <c r="J54" t="n">
        <v>0</v>
      </c>
      <c r="K54" t="n">
        <v>0</v>
      </c>
      <c r="L54" t="n">
        <v>0</v>
      </c>
      <c r="M54" t="n">
        <v>0</v>
      </c>
      <c r="N54" t="n">
        <v>0</v>
      </c>
      <c r="O54" t="n">
        <v>0</v>
      </c>
      <c r="P54" t="n">
        <v>0</v>
      </c>
      <c r="Q54" t="n">
        <v>1</v>
      </c>
      <c r="R54" s="2" t="inlineStr">
        <is>
          <t>Mindre vattensalamander</t>
        </is>
      </c>
      <c r="S54">
        <f>HYPERLINK("https://klasma.github.io/Logging_1907/artfynd/A 33231-2024 artfynd.xlsx", "A 33231-2024")</f>
        <v/>
      </c>
      <c r="T54">
        <f>HYPERLINK("https://klasma.github.io/Logging_1907/kartor/A 33231-2024 karta.png", "A 33231-2024")</f>
        <v/>
      </c>
      <c r="V54">
        <f>HYPERLINK("https://klasma.github.io/Logging_1907/klagomål/A 33231-2024 FSC-klagomål.docx", "A 33231-2024")</f>
        <v/>
      </c>
      <c r="W54">
        <f>HYPERLINK("https://klasma.github.io/Logging_1907/klagomålsmail/A 33231-2024 FSC-klagomål mail.docx", "A 33231-2024")</f>
        <v/>
      </c>
      <c r="X54">
        <f>HYPERLINK("https://klasma.github.io/Logging_1907/tillsyn/A 33231-2024 tillsynsbegäran.docx", "A 33231-2024")</f>
        <v/>
      </c>
      <c r="Y54">
        <f>HYPERLINK("https://klasma.github.io/Logging_1907/tillsynsmail/A 33231-2024 tillsynsbegäran mail.docx", "A 33231-2024")</f>
        <v/>
      </c>
    </row>
    <row r="55" ht="15" customHeight="1">
      <c r="A55" t="inlineStr">
        <is>
          <t>A 43451-2024</t>
        </is>
      </c>
      <c r="B55" s="1" t="n">
        <v>45568</v>
      </c>
      <c r="C55" s="1" t="n">
        <v>45918</v>
      </c>
      <c r="D55" t="inlineStr">
        <is>
          <t>VÄSTMANLANDS LÄN</t>
        </is>
      </c>
      <c r="E55" t="inlineStr">
        <is>
          <t>SURAHAMMAR</t>
        </is>
      </c>
      <c r="F55" t="inlineStr">
        <is>
          <t>Bergvik skog väst AB</t>
        </is>
      </c>
      <c r="G55" t="n">
        <v>2.9</v>
      </c>
      <c r="H55" t="n">
        <v>0</v>
      </c>
      <c r="I55" t="n">
        <v>0</v>
      </c>
      <c r="J55" t="n">
        <v>1</v>
      </c>
      <c r="K55" t="n">
        <v>0</v>
      </c>
      <c r="L55" t="n">
        <v>0</v>
      </c>
      <c r="M55" t="n">
        <v>0</v>
      </c>
      <c r="N55" t="n">
        <v>0</v>
      </c>
      <c r="O55" t="n">
        <v>1</v>
      </c>
      <c r="P55" t="n">
        <v>0</v>
      </c>
      <c r="Q55" t="n">
        <v>1</v>
      </c>
      <c r="R55" s="2" t="inlineStr">
        <is>
          <t>Ullticka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25583-2024</t>
        </is>
      </c>
      <c r="B56" s="1" t="n">
        <v>45463</v>
      </c>
      <c r="C56" s="1" t="n">
        <v>45918</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62097-2024</t>
        </is>
      </c>
      <c r="B57" s="1" t="n">
        <v>45646</v>
      </c>
      <c r="C57" s="1" t="n">
        <v>45918</v>
      </c>
      <c r="D57" t="inlineStr">
        <is>
          <t>VÄSTMANLANDS LÄN</t>
        </is>
      </c>
      <c r="E57" t="inlineStr">
        <is>
          <t>SURAHAMMAR</t>
        </is>
      </c>
      <c r="F57" t="inlineStr">
        <is>
          <t>Bergvik skog väst AB</t>
        </is>
      </c>
      <c r="G57" t="n">
        <v>21.7</v>
      </c>
      <c r="H57" t="n">
        <v>1</v>
      </c>
      <c r="I57" t="n">
        <v>0</v>
      </c>
      <c r="J57" t="n">
        <v>0</v>
      </c>
      <c r="K57" t="n">
        <v>0</v>
      </c>
      <c r="L57" t="n">
        <v>0</v>
      </c>
      <c r="M57" t="n">
        <v>0</v>
      </c>
      <c r="N57" t="n">
        <v>0</v>
      </c>
      <c r="O57" t="n">
        <v>0</v>
      </c>
      <c r="P57" t="n">
        <v>0</v>
      </c>
      <c r="Q57" t="n">
        <v>1</v>
      </c>
      <c r="R57" s="2" t="inlineStr">
        <is>
          <t>Revlummer</t>
        </is>
      </c>
      <c r="S57">
        <f>HYPERLINK("https://klasma.github.io/Logging_1907/artfynd/A 62097-2024 artfynd.xlsx", "A 62097-2024")</f>
        <v/>
      </c>
      <c r="T57">
        <f>HYPERLINK("https://klasma.github.io/Logging_1907/kartor/A 62097-2024 karta.png", "A 62097-2024")</f>
        <v/>
      </c>
      <c r="V57">
        <f>HYPERLINK("https://klasma.github.io/Logging_1907/klagomål/A 62097-2024 FSC-klagomål.docx", "A 62097-2024")</f>
        <v/>
      </c>
      <c r="W57">
        <f>HYPERLINK("https://klasma.github.io/Logging_1907/klagomålsmail/A 62097-2024 FSC-klagomål mail.docx", "A 62097-2024")</f>
        <v/>
      </c>
      <c r="X57">
        <f>HYPERLINK("https://klasma.github.io/Logging_1907/tillsyn/A 62097-2024 tillsynsbegäran.docx", "A 62097-2024")</f>
        <v/>
      </c>
      <c r="Y57">
        <f>HYPERLINK("https://klasma.github.io/Logging_1907/tillsynsmail/A 62097-2024 tillsynsbegäran mail.docx", "A 62097-2024")</f>
        <v/>
      </c>
    </row>
    <row r="58" ht="15" customHeight="1">
      <c r="A58" t="inlineStr">
        <is>
          <t>A 39099-2022</t>
        </is>
      </c>
      <c r="B58" s="1" t="n">
        <v>44817</v>
      </c>
      <c r="C58" s="1" t="n">
        <v>45918</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13788-2025</t>
        </is>
      </c>
      <c r="B59" s="1" t="n">
        <v>45737.45327546296</v>
      </c>
      <c r="C59" s="1" t="n">
        <v>45918</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42765-2022</t>
        </is>
      </c>
      <c r="B60" s="1" t="n">
        <v>44832</v>
      </c>
      <c r="C60" s="1" t="n">
        <v>45918</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14001-2023</t>
        </is>
      </c>
      <c r="B61" s="1" t="n">
        <v>45007</v>
      </c>
      <c r="C61" s="1" t="n">
        <v>45918</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10819-2024</t>
        </is>
      </c>
      <c r="B62" s="1" t="n">
        <v>45369.66049768519</v>
      </c>
      <c r="C62" s="1" t="n">
        <v>45918</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45918</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17632-2022</t>
        </is>
      </c>
      <c r="B64" s="1" t="n">
        <v>44680</v>
      </c>
      <c r="C64" s="1" t="n">
        <v>45918</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13971-2023</t>
        </is>
      </c>
      <c r="B65" s="1" t="n">
        <v>45007</v>
      </c>
      <c r="C65" s="1" t="n">
        <v>45918</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40403-2025</t>
        </is>
      </c>
      <c r="B66" s="1" t="n">
        <v>45895</v>
      </c>
      <c r="C66" s="1" t="n">
        <v>45918</v>
      </c>
      <c r="D66" t="inlineStr">
        <is>
          <t>VÄSTMANLANDS LÄN</t>
        </is>
      </c>
      <c r="E66" t="inlineStr">
        <is>
          <t>SURAHAMMAR</t>
        </is>
      </c>
      <c r="F66" t="inlineStr">
        <is>
          <t>Kommuner</t>
        </is>
      </c>
      <c r="G66" t="n">
        <v>3.9</v>
      </c>
      <c r="H66" t="n">
        <v>0</v>
      </c>
      <c r="I66" t="n">
        <v>0</v>
      </c>
      <c r="J66" t="n">
        <v>1</v>
      </c>
      <c r="K66" t="n">
        <v>0</v>
      </c>
      <c r="L66" t="n">
        <v>0</v>
      </c>
      <c r="M66" t="n">
        <v>0</v>
      </c>
      <c r="N66" t="n">
        <v>0</v>
      </c>
      <c r="O66" t="n">
        <v>1</v>
      </c>
      <c r="P66" t="n">
        <v>0</v>
      </c>
      <c r="Q66" t="n">
        <v>1</v>
      </c>
      <c r="R66" s="2" t="inlineStr">
        <is>
          <t>Igelkott</t>
        </is>
      </c>
      <c r="S66">
        <f>HYPERLINK("https://klasma.github.io/Logging_1907/artfynd/A 40403-2025 artfynd.xlsx", "A 40403-2025")</f>
        <v/>
      </c>
      <c r="T66">
        <f>HYPERLINK("https://klasma.github.io/Logging_1907/kartor/A 40403-2025 karta.png", "A 40403-2025")</f>
        <v/>
      </c>
      <c r="V66">
        <f>HYPERLINK("https://klasma.github.io/Logging_1907/klagomål/A 40403-2025 FSC-klagomål.docx", "A 40403-2025")</f>
        <v/>
      </c>
      <c r="W66">
        <f>HYPERLINK("https://klasma.github.io/Logging_1907/klagomålsmail/A 40403-2025 FSC-klagomål mail.docx", "A 40403-2025")</f>
        <v/>
      </c>
      <c r="X66">
        <f>HYPERLINK("https://klasma.github.io/Logging_1907/tillsyn/A 40403-2025 tillsynsbegäran.docx", "A 40403-2025")</f>
        <v/>
      </c>
      <c r="Y66">
        <f>HYPERLINK("https://klasma.github.io/Logging_1907/tillsynsmail/A 40403-2025 tillsynsbegäran mail.docx", "A 40403-2025")</f>
        <v/>
      </c>
    </row>
    <row r="67" ht="15" customHeight="1">
      <c r="A67" t="inlineStr">
        <is>
          <t>A 42089-2025</t>
        </is>
      </c>
      <c r="B67" s="1" t="n">
        <v>45902</v>
      </c>
      <c r="C67" s="1" t="n">
        <v>45918</v>
      </c>
      <c r="D67" t="inlineStr">
        <is>
          <t>VÄSTMANLANDS LÄN</t>
        </is>
      </c>
      <c r="E67" t="inlineStr">
        <is>
          <t>SURAHAMMAR</t>
        </is>
      </c>
      <c r="G67" t="n">
        <v>2.2</v>
      </c>
      <c r="H67" t="n">
        <v>0</v>
      </c>
      <c r="I67" t="n">
        <v>0</v>
      </c>
      <c r="J67" t="n">
        <v>1</v>
      </c>
      <c r="K67" t="n">
        <v>0</v>
      </c>
      <c r="L67" t="n">
        <v>0</v>
      </c>
      <c r="M67" t="n">
        <v>0</v>
      </c>
      <c r="N67" t="n">
        <v>0</v>
      </c>
      <c r="O67" t="n">
        <v>1</v>
      </c>
      <c r="P67" t="n">
        <v>0</v>
      </c>
      <c r="Q67" t="n">
        <v>1</v>
      </c>
      <c r="R67" s="2" t="inlineStr">
        <is>
          <t>Motaggsvamp</t>
        </is>
      </c>
      <c r="S67">
        <f>HYPERLINK("https://klasma.github.io/Logging_1907/artfynd/A 42089-2025 artfynd.xlsx", "A 42089-2025")</f>
        <v/>
      </c>
      <c r="T67">
        <f>HYPERLINK("https://klasma.github.io/Logging_1907/kartor/A 42089-2025 karta.png", "A 42089-2025")</f>
        <v/>
      </c>
      <c r="V67">
        <f>HYPERLINK("https://klasma.github.io/Logging_1907/klagomål/A 42089-2025 FSC-klagomål.docx", "A 42089-2025")</f>
        <v/>
      </c>
      <c r="W67">
        <f>HYPERLINK("https://klasma.github.io/Logging_1907/klagomålsmail/A 42089-2025 FSC-klagomål mail.docx", "A 42089-2025")</f>
        <v/>
      </c>
      <c r="X67">
        <f>HYPERLINK("https://klasma.github.io/Logging_1907/tillsyn/A 42089-2025 tillsynsbegäran.docx", "A 42089-2025")</f>
        <v/>
      </c>
      <c r="Y67">
        <f>HYPERLINK("https://klasma.github.io/Logging_1907/tillsynsmail/A 42089-2025 tillsynsbegäran mail.docx", "A 42089-2025")</f>
        <v/>
      </c>
    </row>
    <row r="68" ht="15" customHeight="1">
      <c r="A68" t="inlineStr">
        <is>
          <t>A 39694-2025</t>
        </is>
      </c>
      <c r="B68" s="1" t="n">
        <v>45890</v>
      </c>
      <c r="C68" s="1" t="n">
        <v>45918</v>
      </c>
      <c r="D68" t="inlineStr">
        <is>
          <t>VÄSTMANLANDS LÄN</t>
        </is>
      </c>
      <c r="E68" t="inlineStr">
        <is>
          <t>SURAHAMMAR</t>
        </is>
      </c>
      <c r="F68" t="inlineStr">
        <is>
          <t>Bergvik skog väst AB</t>
        </is>
      </c>
      <c r="G68" t="n">
        <v>2.9</v>
      </c>
      <c r="H68" t="n">
        <v>0</v>
      </c>
      <c r="I68" t="n">
        <v>1</v>
      </c>
      <c r="J68" t="n">
        <v>0</v>
      </c>
      <c r="K68" t="n">
        <v>0</v>
      </c>
      <c r="L68" t="n">
        <v>0</v>
      </c>
      <c r="M68" t="n">
        <v>0</v>
      </c>
      <c r="N68" t="n">
        <v>0</v>
      </c>
      <c r="O68" t="n">
        <v>0</v>
      </c>
      <c r="P68" t="n">
        <v>0</v>
      </c>
      <c r="Q68" t="n">
        <v>1</v>
      </c>
      <c r="R68" s="2" t="inlineStr">
        <is>
          <t>Mindre märgborre</t>
        </is>
      </c>
      <c r="S68">
        <f>HYPERLINK("https://klasma.github.io/Logging_1907/artfynd/A 39694-2025 artfynd.xlsx", "A 39694-2025")</f>
        <v/>
      </c>
      <c r="T68">
        <f>HYPERLINK("https://klasma.github.io/Logging_1907/kartor/A 39694-2025 karta.png", "A 39694-2025")</f>
        <v/>
      </c>
      <c r="V68">
        <f>HYPERLINK("https://klasma.github.io/Logging_1907/klagomål/A 39694-2025 FSC-klagomål.docx", "A 39694-2025")</f>
        <v/>
      </c>
      <c r="W68">
        <f>HYPERLINK("https://klasma.github.io/Logging_1907/klagomålsmail/A 39694-2025 FSC-klagomål mail.docx", "A 39694-2025")</f>
        <v/>
      </c>
      <c r="X68">
        <f>HYPERLINK("https://klasma.github.io/Logging_1907/tillsyn/A 39694-2025 tillsynsbegäran.docx", "A 39694-2025")</f>
        <v/>
      </c>
      <c r="Y68">
        <f>HYPERLINK("https://klasma.github.io/Logging_1907/tillsynsmail/A 39694-2025 tillsynsbegäran mail.docx", "A 39694-2025")</f>
        <v/>
      </c>
    </row>
    <row r="69" ht="15" customHeight="1">
      <c r="A69" t="inlineStr">
        <is>
          <t>A 1492-2021</t>
        </is>
      </c>
      <c r="B69" s="1" t="n">
        <v>44209</v>
      </c>
      <c r="C69" s="1" t="n">
        <v>45918</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45918</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45918</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45918</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45918</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45918</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45918</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45918</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45918</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3155-2022</t>
        </is>
      </c>
      <c r="B78" s="1" t="n">
        <v>44582</v>
      </c>
      <c r="C78" s="1" t="n">
        <v>45918</v>
      </c>
      <c r="D78" t="inlineStr">
        <is>
          <t>VÄSTMANLANDS LÄN</t>
        </is>
      </c>
      <c r="E78" t="inlineStr">
        <is>
          <t>SURAHAMMAR</t>
        </is>
      </c>
      <c r="G78" t="n">
        <v>5.5</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45918</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45918</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45918</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67611-2021</t>
        </is>
      </c>
      <c r="B82" s="1" t="n">
        <v>44524</v>
      </c>
      <c r="C82" s="1" t="n">
        <v>45918</v>
      </c>
      <c r="D82" t="inlineStr">
        <is>
          <t>VÄSTMANLANDS LÄN</t>
        </is>
      </c>
      <c r="E82" t="inlineStr">
        <is>
          <t>SURAHAMMAR</t>
        </is>
      </c>
      <c r="F82" t="inlineStr">
        <is>
          <t>Kommuner</t>
        </is>
      </c>
      <c r="G82" t="n">
        <v>3.8</v>
      </c>
      <c r="H82" t="n">
        <v>0</v>
      </c>
      <c r="I82" t="n">
        <v>0</v>
      </c>
      <c r="J82" t="n">
        <v>0</v>
      </c>
      <c r="K82" t="n">
        <v>0</v>
      </c>
      <c r="L82" t="n">
        <v>0</v>
      </c>
      <c r="M82" t="n">
        <v>0</v>
      </c>
      <c r="N82" t="n">
        <v>0</v>
      </c>
      <c r="O82" t="n">
        <v>0</v>
      </c>
      <c r="P82" t="n">
        <v>0</v>
      </c>
      <c r="Q82" t="n">
        <v>0</v>
      </c>
      <c r="R82" s="2" t="inlineStr"/>
    </row>
    <row r="83" ht="15" customHeight="1">
      <c r="A83" t="inlineStr">
        <is>
          <t>A 19846-2022</t>
        </is>
      </c>
      <c r="B83" s="1" t="n">
        <v>44696.89327546296</v>
      </c>
      <c r="C83" s="1" t="n">
        <v>45918</v>
      </c>
      <c r="D83" t="inlineStr">
        <is>
          <t>VÄSTMANLANDS LÄN</t>
        </is>
      </c>
      <c r="E83" t="inlineStr">
        <is>
          <t>SURAHAMMAR</t>
        </is>
      </c>
      <c r="F83" t="inlineStr">
        <is>
          <t>Kommuner</t>
        </is>
      </c>
      <c r="G83" t="n">
        <v>3.4</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45918</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45918</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45918</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45918</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45918</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16608-2022</t>
        </is>
      </c>
      <c r="B89" s="1" t="n">
        <v>44672</v>
      </c>
      <c r="C89" s="1" t="n">
        <v>45918</v>
      </c>
      <c r="D89" t="inlineStr">
        <is>
          <t>VÄSTMANLANDS LÄN</t>
        </is>
      </c>
      <c r="E89" t="inlineStr">
        <is>
          <t>SURAHAMMAR</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3595-2022</t>
        </is>
      </c>
      <c r="B90" s="1" t="n">
        <v>44586</v>
      </c>
      <c r="C90" s="1" t="n">
        <v>45918</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15637-2022</t>
        </is>
      </c>
      <c r="B91" s="1" t="n">
        <v>44662.89638888889</v>
      </c>
      <c r="C91" s="1" t="n">
        <v>45918</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45918</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13119-2022</t>
        </is>
      </c>
      <c r="B93" s="1" t="n">
        <v>44643</v>
      </c>
      <c r="C93" s="1" t="n">
        <v>45918</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20904-2023</t>
        </is>
      </c>
      <c r="B94" s="1" t="n">
        <v>45060</v>
      </c>
      <c r="C94" s="1" t="n">
        <v>45918</v>
      </c>
      <c r="D94" t="inlineStr">
        <is>
          <t>VÄSTMANLANDS LÄN</t>
        </is>
      </c>
      <c r="E94" t="inlineStr">
        <is>
          <t>SURAHAMMAR</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45918</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45918</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45918</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52076-2020</t>
        </is>
      </c>
      <c r="B98" s="1" t="n">
        <v>44117</v>
      </c>
      <c r="C98" s="1" t="n">
        <v>45918</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2660-2024</t>
        </is>
      </c>
      <c r="B99" s="1" t="n">
        <v>45310</v>
      </c>
      <c r="C99" s="1" t="n">
        <v>45918</v>
      </c>
      <c r="D99" t="inlineStr">
        <is>
          <t>VÄSTMANLANDS LÄN</t>
        </is>
      </c>
      <c r="E99" t="inlineStr">
        <is>
          <t>SURAHAMMAR</t>
        </is>
      </c>
      <c r="G99" t="n">
        <v>2.1</v>
      </c>
      <c r="H99" t="n">
        <v>0</v>
      </c>
      <c r="I99" t="n">
        <v>0</v>
      </c>
      <c r="J99" t="n">
        <v>0</v>
      </c>
      <c r="K99" t="n">
        <v>0</v>
      </c>
      <c r="L99" t="n">
        <v>0</v>
      </c>
      <c r="M99" t="n">
        <v>0</v>
      </c>
      <c r="N99" t="n">
        <v>0</v>
      </c>
      <c r="O99" t="n">
        <v>0</v>
      </c>
      <c r="P99" t="n">
        <v>0</v>
      </c>
      <c r="Q99" t="n">
        <v>0</v>
      </c>
      <c r="R99" s="2" t="inlineStr"/>
    </row>
    <row r="100" ht="15" customHeight="1">
      <c r="A100" t="inlineStr">
        <is>
          <t>A 48205-2023</t>
        </is>
      </c>
      <c r="B100" s="1" t="n">
        <v>45205</v>
      </c>
      <c r="C100" s="1" t="n">
        <v>45918</v>
      </c>
      <c r="D100" t="inlineStr">
        <is>
          <t>VÄSTMANLANDS LÄN</t>
        </is>
      </c>
      <c r="E100" t="inlineStr">
        <is>
          <t>SURAHAMMAR</t>
        </is>
      </c>
      <c r="F100" t="inlineStr">
        <is>
          <t>Allmännings- och besparingsskogar</t>
        </is>
      </c>
      <c r="G100" t="n">
        <v>7.6</v>
      </c>
      <c r="H100" t="n">
        <v>0</v>
      </c>
      <c r="I100" t="n">
        <v>0</v>
      </c>
      <c r="J100" t="n">
        <v>0</v>
      </c>
      <c r="K100" t="n">
        <v>0</v>
      </c>
      <c r="L100" t="n">
        <v>0</v>
      </c>
      <c r="M100" t="n">
        <v>0</v>
      </c>
      <c r="N100" t="n">
        <v>0</v>
      </c>
      <c r="O100" t="n">
        <v>0</v>
      </c>
      <c r="P100" t="n">
        <v>0</v>
      </c>
      <c r="Q100" t="n">
        <v>0</v>
      </c>
      <c r="R100" s="2" t="inlineStr"/>
    </row>
    <row r="101" ht="15" customHeight="1">
      <c r="A101" t="inlineStr">
        <is>
          <t>A 15743-2023</t>
        </is>
      </c>
      <c r="B101" s="1" t="n">
        <v>45021</v>
      </c>
      <c r="C101" s="1" t="n">
        <v>45918</v>
      </c>
      <c r="D101" t="inlineStr">
        <is>
          <t>VÄSTMANLANDS LÄN</t>
        </is>
      </c>
      <c r="E101" t="inlineStr">
        <is>
          <t>SURAHAMMAR</t>
        </is>
      </c>
      <c r="G101" t="n">
        <v>0.5</v>
      </c>
      <c r="H101" t="n">
        <v>0</v>
      </c>
      <c r="I101" t="n">
        <v>0</v>
      </c>
      <c r="J101" t="n">
        <v>0</v>
      </c>
      <c r="K101" t="n">
        <v>0</v>
      </c>
      <c r="L101" t="n">
        <v>0</v>
      </c>
      <c r="M101" t="n">
        <v>0</v>
      </c>
      <c r="N101" t="n">
        <v>0</v>
      </c>
      <c r="O101" t="n">
        <v>0</v>
      </c>
      <c r="P101" t="n">
        <v>0</v>
      </c>
      <c r="Q101" t="n">
        <v>0</v>
      </c>
      <c r="R101" s="2" t="inlineStr"/>
    </row>
    <row r="102" ht="15" customHeight="1">
      <c r="A102" t="inlineStr">
        <is>
          <t>A 30076-2023</t>
        </is>
      </c>
      <c r="B102" s="1" t="n">
        <v>45110</v>
      </c>
      <c r="C102" s="1" t="n">
        <v>45918</v>
      </c>
      <c r="D102" t="inlineStr">
        <is>
          <t>VÄSTMANLANDS LÄN</t>
        </is>
      </c>
      <c r="E102" t="inlineStr">
        <is>
          <t>SURAHAMMAR</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22662-2023</t>
        </is>
      </c>
      <c r="B103" s="1" t="n">
        <v>45071</v>
      </c>
      <c r="C103" s="1" t="n">
        <v>45918</v>
      </c>
      <c r="D103" t="inlineStr">
        <is>
          <t>VÄSTMANLANDS LÄN</t>
        </is>
      </c>
      <c r="E103" t="inlineStr">
        <is>
          <t>SURAHAMMAR</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7787-2024</t>
        </is>
      </c>
      <c r="B104" s="1" t="n">
        <v>45348</v>
      </c>
      <c r="C104" s="1" t="n">
        <v>45918</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16013-2023</t>
        </is>
      </c>
      <c r="B105" s="1" t="n">
        <v>45026</v>
      </c>
      <c r="C105" s="1" t="n">
        <v>45918</v>
      </c>
      <c r="D105" t="inlineStr">
        <is>
          <t>VÄSTMANLANDS LÄN</t>
        </is>
      </c>
      <c r="E105" t="inlineStr">
        <is>
          <t>SURAHAMMAR</t>
        </is>
      </c>
      <c r="G105" t="n">
        <v>3.9</v>
      </c>
      <c r="H105" t="n">
        <v>0</v>
      </c>
      <c r="I105" t="n">
        <v>0</v>
      </c>
      <c r="J105" t="n">
        <v>0</v>
      </c>
      <c r="K105" t="n">
        <v>0</v>
      </c>
      <c r="L105" t="n">
        <v>0</v>
      </c>
      <c r="M105" t="n">
        <v>0</v>
      </c>
      <c r="N105" t="n">
        <v>0</v>
      </c>
      <c r="O105" t="n">
        <v>0</v>
      </c>
      <c r="P105" t="n">
        <v>0</v>
      </c>
      <c r="Q105" t="n">
        <v>0</v>
      </c>
      <c r="R105" s="2" t="inlineStr"/>
    </row>
    <row r="106" ht="15" customHeight="1">
      <c r="A106" t="inlineStr">
        <is>
          <t>A 59543-2020</t>
        </is>
      </c>
      <c r="B106" s="1" t="n">
        <v>44148</v>
      </c>
      <c r="C106" s="1" t="n">
        <v>45918</v>
      </c>
      <c r="D106" t="inlineStr">
        <is>
          <t>VÄSTMANLANDS LÄN</t>
        </is>
      </c>
      <c r="E106" t="inlineStr">
        <is>
          <t>SURAHAMMAR</t>
        </is>
      </c>
      <c r="G106" t="n">
        <v>1.3</v>
      </c>
      <c r="H106" t="n">
        <v>0</v>
      </c>
      <c r="I106" t="n">
        <v>0</v>
      </c>
      <c r="J106" t="n">
        <v>0</v>
      </c>
      <c r="K106" t="n">
        <v>0</v>
      </c>
      <c r="L106" t="n">
        <v>0</v>
      </c>
      <c r="M106" t="n">
        <v>0</v>
      </c>
      <c r="N106" t="n">
        <v>0</v>
      </c>
      <c r="O106" t="n">
        <v>0</v>
      </c>
      <c r="P106" t="n">
        <v>0</v>
      </c>
      <c r="Q106" t="n">
        <v>0</v>
      </c>
      <c r="R106" s="2" t="inlineStr"/>
    </row>
    <row r="107" ht="15" customHeight="1">
      <c r="A107" t="inlineStr">
        <is>
          <t>A 41555-2022</t>
        </is>
      </c>
      <c r="B107" s="1" t="n">
        <v>44826</v>
      </c>
      <c r="C107" s="1" t="n">
        <v>45918</v>
      </c>
      <c r="D107" t="inlineStr">
        <is>
          <t>VÄSTMANLANDS LÄN</t>
        </is>
      </c>
      <c r="E107" t="inlineStr">
        <is>
          <t>SURAHAMMAR</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45918</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25780-2023</t>
        </is>
      </c>
      <c r="B109" s="1" t="n">
        <v>45090.47523148148</v>
      </c>
      <c r="C109" s="1" t="n">
        <v>45918</v>
      </c>
      <c r="D109" t="inlineStr">
        <is>
          <t>VÄSTMANLANDS LÄN</t>
        </is>
      </c>
      <c r="E109" t="inlineStr">
        <is>
          <t>SURAHAMMAR</t>
        </is>
      </c>
      <c r="G109" t="n">
        <v>2.8</v>
      </c>
      <c r="H109" t="n">
        <v>0</v>
      </c>
      <c r="I109" t="n">
        <v>0</v>
      </c>
      <c r="J109" t="n">
        <v>0</v>
      </c>
      <c r="K109" t="n">
        <v>0</v>
      </c>
      <c r="L109" t="n">
        <v>0</v>
      </c>
      <c r="M109" t="n">
        <v>0</v>
      </c>
      <c r="N109" t="n">
        <v>0</v>
      </c>
      <c r="O109" t="n">
        <v>0</v>
      </c>
      <c r="P109" t="n">
        <v>0</v>
      </c>
      <c r="Q109" t="n">
        <v>0</v>
      </c>
      <c r="R109" s="2" t="inlineStr"/>
    </row>
    <row r="110" ht="15" customHeight="1">
      <c r="A110" t="inlineStr">
        <is>
          <t>A 37287-2023</t>
        </is>
      </c>
      <c r="B110" s="1" t="n">
        <v>45156</v>
      </c>
      <c r="C110" s="1" t="n">
        <v>45918</v>
      </c>
      <c r="D110" t="inlineStr">
        <is>
          <t>VÄSTMANLANDS LÄN</t>
        </is>
      </c>
      <c r="E110" t="inlineStr">
        <is>
          <t>SURAHAMMAR</t>
        </is>
      </c>
      <c r="G110" t="n">
        <v>0.6</v>
      </c>
      <c r="H110" t="n">
        <v>0</v>
      </c>
      <c r="I110" t="n">
        <v>0</v>
      </c>
      <c r="J110" t="n">
        <v>0</v>
      </c>
      <c r="K110" t="n">
        <v>0</v>
      </c>
      <c r="L110" t="n">
        <v>0</v>
      </c>
      <c r="M110" t="n">
        <v>0</v>
      </c>
      <c r="N110" t="n">
        <v>0</v>
      </c>
      <c r="O110" t="n">
        <v>0</v>
      </c>
      <c r="P110" t="n">
        <v>0</v>
      </c>
      <c r="Q110" t="n">
        <v>0</v>
      </c>
      <c r="R110" s="2" t="inlineStr"/>
    </row>
    <row r="111" ht="15" customHeight="1">
      <c r="A111" t="inlineStr">
        <is>
          <t>A 37798-2021</t>
        </is>
      </c>
      <c r="B111" s="1" t="n">
        <v>44402</v>
      </c>
      <c r="C111" s="1" t="n">
        <v>45918</v>
      </c>
      <c r="D111" t="inlineStr">
        <is>
          <t>VÄSTMANLANDS LÄN</t>
        </is>
      </c>
      <c r="E111" t="inlineStr">
        <is>
          <t>SURAHAMMAR</t>
        </is>
      </c>
      <c r="F111" t="inlineStr">
        <is>
          <t>Kommuner</t>
        </is>
      </c>
      <c r="G111" t="n">
        <v>1.2</v>
      </c>
      <c r="H111" t="n">
        <v>0</v>
      </c>
      <c r="I111" t="n">
        <v>0</v>
      </c>
      <c r="J111" t="n">
        <v>0</v>
      </c>
      <c r="K111" t="n">
        <v>0</v>
      </c>
      <c r="L111" t="n">
        <v>0</v>
      </c>
      <c r="M111" t="n">
        <v>0</v>
      </c>
      <c r="N111" t="n">
        <v>0</v>
      </c>
      <c r="O111" t="n">
        <v>0</v>
      </c>
      <c r="P111" t="n">
        <v>0</v>
      </c>
      <c r="Q111" t="n">
        <v>0</v>
      </c>
      <c r="R111" s="2" t="inlineStr"/>
    </row>
    <row r="112" ht="15" customHeight="1">
      <c r="A112" t="inlineStr">
        <is>
          <t>A 13386-2025</t>
        </is>
      </c>
      <c r="B112" s="1" t="n">
        <v>45735</v>
      </c>
      <c r="C112" s="1" t="n">
        <v>45918</v>
      </c>
      <c r="D112" t="inlineStr">
        <is>
          <t>VÄSTMANLANDS LÄN</t>
        </is>
      </c>
      <c r="E112" t="inlineStr">
        <is>
          <t>SURAHAMMAR</t>
        </is>
      </c>
      <c r="F112" t="inlineStr">
        <is>
          <t>Bergvik skog väst AB</t>
        </is>
      </c>
      <c r="G112" t="n">
        <v>4</v>
      </c>
      <c r="H112" t="n">
        <v>0</v>
      </c>
      <c r="I112" t="n">
        <v>0</v>
      </c>
      <c r="J112" t="n">
        <v>0</v>
      </c>
      <c r="K112" t="n">
        <v>0</v>
      </c>
      <c r="L112" t="n">
        <v>0</v>
      </c>
      <c r="M112" t="n">
        <v>0</v>
      </c>
      <c r="N112" t="n">
        <v>0</v>
      </c>
      <c r="O112" t="n">
        <v>0</v>
      </c>
      <c r="P112" t="n">
        <v>0</v>
      </c>
      <c r="Q112" t="n">
        <v>0</v>
      </c>
      <c r="R112" s="2" t="inlineStr"/>
    </row>
    <row r="113" ht="15" customHeight="1">
      <c r="A113" t="inlineStr">
        <is>
          <t>A 41576-2022</t>
        </is>
      </c>
      <c r="B113" s="1" t="n">
        <v>44826</v>
      </c>
      <c r="C113" s="1" t="n">
        <v>45918</v>
      </c>
      <c r="D113" t="inlineStr">
        <is>
          <t>VÄSTMANLANDS LÄN</t>
        </is>
      </c>
      <c r="E113" t="inlineStr">
        <is>
          <t>SURAHAMMAR</t>
        </is>
      </c>
      <c r="F113" t="inlineStr">
        <is>
          <t>Bergvik skog väst AB</t>
        </is>
      </c>
      <c r="G113" t="n">
        <v>6.4</v>
      </c>
      <c r="H113" t="n">
        <v>0</v>
      </c>
      <c r="I113" t="n">
        <v>0</v>
      </c>
      <c r="J113" t="n">
        <v>0</v>
      </c>
      <c r="K113" t="n">
        <v>0</v>
      </c>
      <c r="L113" t="n">
        <v>0</v>
      </c>
      <c r="M113" t="n">
        <v>0</v>
      </c>
      <c r="N113" t="n">
        <v>0</v>
      </c>
      <c r="O113" t="n">
        <v>0</v>
      </c>
      <c r="P113" t="n">
        <v>0</v>
      </c>
      <c r="Q113" t="n">
        <v>0</v>
      </c>
      <c r="R113" s="2" t="inlineStr"/>
    </row>
    <row r="114" ht="15" customHeight="1">
      <c r="A114" t="inlineStr">
        <is>
          <t>A 47785-2021</t>
        </is>
      </c>
      <c r="B114" s="1" t="n">
        <v>44448</v>
      </c>
      <c r="C114" s="1" t="n">
        <v>45918</v>
      </c>
      <c r="D114" t="inlineStr">
        <is>
          <t>VÄSTMANLANDS LÄN</t>
        </is>
      </c>
      <c r="E114" t="inlineStr">
        <is>
          <t>SURAHAMMAR</t>
        </is>
      </c>
      <c r="F114" t="inlineStr">
        <is>
          <t>Kommuner</t>
        </is>
      </c>
      <c r="G114" t="n">
        <v>3.3</v>
      </c>
      <c r="H114" t="n">
        <v>0</v>
      </c>
      <c r="I114" t="n">
        <v>0</v>
      </c>
      <c r="J114" t="n">
        <v>0</v>
      </c>
      <c r="K114" t="n">
        <v>0</v>
      </c>
      <c r="L114" t="n">
        <v>0</v>
      </c>
      <c r="M114" t="n">
        <v>0</v>
      </c>
      <c r="N114" t="n">
        <v>0</v>
      </c>
      <c r="O114" t="n">
        <v>0</v>
      </c>
      <c r="P114" t="n">
        <v>0</v>
      </c>
      <c r="Q114" t="n">
        <v>0</v>
      </c>
      <c r="R114" s="2" t="inlineStr"/>
    </row>
    <row r="115" ht="15" customHeight="1">
      <c r="A115" t="inlineStr">
        <is>
          <t>A 25450-2024</t>
        </is>
      </c>
      <c r="B115" s="1" t="n">
        <v>45463</v>
      </c>
      <c r="C115" s="1" t="n">
        <v>45918</v>
      </c>
      <c r="D115" t="inlineStr">
        <is>
          <t>VÄSTMANLANDS LÄN</t>
        </is>
      </c>
      <c r="E115" t="inlineStr">
        <is>
          <t>SURAHAMMAR</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45918</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19782-2023</t>
        </is>
      </c>
      <c r="B117" s="1" t="n">
        <v>45050</v>
      </c>
      <c r="C117" s="1" t="n">
        <v>45918</v>
      </c>
      <c r="D117" t="inlineStr">
        <is>
          <t>VÄSTMANLANDS LÄN</t>
        </is>
      </c>
      <c r="E117" t="inlineStr">
        <is>
          <t>SURAHAMMAR</t>
        </is>
      </c>
      <c r="F117" t="inlineStr">
        <is>
          <t>Bergvik skog väst AB</t>
        </is>
      </c>
      <c r="G117" t="n">
        <v>5.2</v>
      </c>
      <c r="H117" t="n">
        <v>0</v>
      </c>
      <c r="I117" t="n">
        <v>0</v>
      </c>
      <c r="J117" t="n">
        <v>0</v>
      </c>
      <c r="K117" t="n">
        <v>0</v>
      </c>
      <c r="L117" t="n">
        <v>0</v>
      </c>
      <c r="M117" t="n">
        <v>0</v>
      </c>
      <c r="N117" t="n">
        <v>0</v>
      </c>
      <c r="O117" t="n">
        <v>0</v>
      </c>
      <c r="P117" t="n">
        <v>0</v>
      </c>
      <c r="Q117" t="n">
        <v>0</v>
      </c>
      <c r="R117" s="2" t="inlineStr"/>
    </row>
    <row r="118" ht="15" customHeight="1">
      <c r="A118" t="inlineStr">
        <is>
          <t>A 33931-2022</t>
        </is>
      </c>
      <c r="B118" s="1" t="n">
        <v>44790.65153935185</v>
      </c>
      <c r="C118" s="1" t="n">
        <v>45918</v>
      </c>
      <c r="D118" t="inlineStr">
        <is>
          <t>VÄSTMANLANDS LÄN</t>
        </is>
      </c>
      <c r="E118" t="inlineStr">
        <is>
          <t>SURAHAMMAR</t>
        </is>
      </c>
      <c r="G118" t="n">
        <v>2.2</v>
      </c>
      <c r="H118" t="n">
        <v>0</v>
      </c>
      <c r="I118" t="n">
        <v>0</v>
      </c>
      <c r="J118" t="n">
        <v>0</v>
      </c>
      <c r="K118" t="n">
        <v>0</v>
      </c>
      <c r="L118" t="n">
        <v>0</v>
      </c>
      <c r="M118" t="n">
        <v>0</v>
      </c>
      <c r="N118" t="n">
        <v>0</v>
      </c>
      <c r="O118" t="n">
        <v>0</v>
      </c>
      <c r="P118" t="n">
        <v>0</v>
      </c>
      <c r="Q118" t="n">
        <v>0</v>
      </c>
      <c r="R118" s="2" t="inlineStr"/>
    </row>
    <row r="119" ht="15" customHeight="1">
      <c r="A119" t="inlineStr">
        <is>
          <t>A 7848-2022</t>
        </is>
      </c>
      <c r="B119" s="1" t="n">
        <v>44608.58400462963</v>
      </c>
      <c r="C119" s="1" t="n">
        <v>45918</v>
      </c>
      <c r="D119" t="inlineStr">
        <is>
          <t>VÄSTMANLANDS LÄN</t>
        </is>
      </c>
      <c r="E119" t="inlineStr">
        <is>
          <t>SURAHAMMAR</t>
        </is>
      </c>
      <c r="G119" t="n">
        <v>2.1</v>
      </c>
      <c r="H119" t="n">
        <v>0</v>
      </c>
      <c r="I119" t="n">
        <v>0</v>
      </c>
      <c r="J119" t="n">
        <v>0</v>
      </c>
      <c r="K119" t="n">
        <v>0</v>
      </c>
      <c r="L119" t="n">
        <v>0</v>
      </c>
      <c r="M119" t="n">
        <v>0</v>
      </c>
      <c r="N119" t="n">
        <v>0</v>
      </c>
      <c r="O119" t="n">
        <v>0</v>
      </c>
      <c r="P119" t="n">
        <v>0</v>
      </c>
      <c r="Q119" t="n">
        <v>0</v>
      </c>
      <c r="R119" s="2" t="inlineStr"/>
    </row>
    <row r="120" ht="15" customHeight="1">
      <c r="A120" t="inlineStr">
        <is>
          <t>A 15739-2023</t>
        </is>
      </c>
      <c r="B120" s="1" t="n">
        <v>45021</v>
      </c>
      <c r="C120" s="1" t="n">
        <v>45918</v>
      </c>
      <c r="D120" t="inlineStr">
        <is>
          <t>VÄSTMANLANDS LÄN</t>
        </is>
      </c>
      <c r="E120" t="inlineStr">
        <is>
          <t>SURAHAMMAR</t>
        </is>
      </c>
      <c r="G120" t="n">
        <v>1.3</v>
      </c>
      <c r="H120" t="n">
        <v>0</v>
      </c>
      <c r="I120" t="n">
        <v>0</v>
      </c>
      <c r="J120" t="n">
        <v>0</v>
      </c>
      <c r="K120" t="n">
        <v>0</v>
      </c>
      <c r="L120" t="n">
        <v>0</v>
      </c>
      <c r="M120" t="n">
        <v>0</v>
      </c>
      <c r="N120" t="n">
        <v>0</v>
      </c>
      <c r="O120" t="n">
        <v>0</v>
      </c>
      <c r="P120" t="n">
        <v>0</v>
      </c>
      <c r="Q120" t="n">
        <v>0</v>
      </c>
      <c r="R120" s="2" t="inlineStr"/>
    </row>
    <row r="121" ht="15" customHeight="1">
      <c r="A121" t="inlineStr">
        <is>
          <t>A 24158-2023</t>
        </is>
      </c>
      <c r="B121" s="1" t="n">
        <v>45079</v>
      </c>
      <c r="C121" s="1" t="n">
        <v>45918</v>
      </c>
      <c r="D121" t="inlineStr">
        <is>
          <t>VÄSTMANLANDS LÄN</t>
        </is>
      </c>
      <c r="E121" t="inlineStr">
        <is>
          <t>SURAHAMMAR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24167-2024</t>
        </is>
      </c>
      <c r="B122" s="1" t="n">
        <v>45456</v>
      </c>
      <c r="C122" s="1" t="n">
        <v>45918</v>
      </c>
      <c r="D122" t="inlineStr">
        <is>
          <t>VÄSTMANLANDS LÄN</t>
        </is>
      </c>
      <c r="E122" t="inlineStr">
        <is>
          <t>SURAHAMMAR</t>
        </is>
      </c>
      <c r="G122" t="n">
        <v>0.6</v>
      </c>
      <c r="H122" t="n">
        <v>0</v>
      </c>
      <c r="I122" t="n">
        <v>0</v>
      </c>
      <c r="J122" t="n">
        <v>0</v>
      </c>
      <c r="K122" t="n">
        <v>0</v>
      </c>
      <c r="L122" t="n">
        <v>0</v>
      </c>
      <c r="M122" t="n">
        <v>0</v>
      </c>
      <c r="N122" t="n">
        <v>0</v>
      </c>
      <c r="O122" t="n">
        <v>0</v>
      </c>
      <c r="P122" t="n">
        <v>0</v>
      </c>
      <c r="Q122" t="n">
        <v>0</v>
      </c>
      <c r="R122" s="2" t="inlineStr"/>
    </row>
    <row r="123" ht="15" customHeight="1">
      <c r="A123" t="inlineStr">
        <is>
          <t>A 38154-2021</t>
        </is>
      </c>
      <c r="B123" s="1" t="n">
        <v>44405.42373842592</v>
      </c>
      <c r="C123" s="1" t="n">
        <v>45918</v>
      </c>
      <c r="D123" t="inlineStr">
        <is>
          <t>VÄSTMANLANDS LÄN</t>
        </is>
      </c>
      <c r="E123" t="inlineStr">
        <is>
          <t>SURAHAMMAR</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56378-2023</t>
        </is>
      </c>
      <c r="B124" s="1" t="n">
        <v>45236</v>
      </c>
      <c r="C124" s="1" t="n">
        <v>45918</v>
      </c>
      <c r="D124" t="inlineStr">
        <is>
          <t>VÄSTMANLANDS LÄN</t>
        </is>
      </c>
      <c r="E124" t="inlineStr">
        <is>
          <t>SURAHAMMAR</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45918</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19099-2022</t>
        </is>
      </c>
      <c r="B126" s="1" t="n">
        <v>44691</v>
      </c>
      <c r="C126" s="1" t="n">
        <v>45918</v>
      </c>
      <c r="D126" t="inlineStr">
        <is>
          <t>VÄSTMANLANDS LÄN</t>
        </is>
      </c>
      <c r="E126" t="inlineStr">
        <is>
          <t>SURAHAMMAR</t>
        </is>
      </c>
      <c r="F126" t="inlineStr">
        <is>
          <t>Övriga Aktiebolag</t>
        </is>
      </c>
      <c r="G126" t="n">
        <v>3.4</v>
      </c>
      <c r="H126" t="n">
        <v>0</v>
      </c>
      <c r="I126" t="n">
        <v>0</v>
      </c>
      <c r="J126" t="n">
        <v>0</v>
      </c>
      <c r="K126" t="n">
        <v>0</v>
      </c>
      <c r="L126" t="n">
        <v>0</v>
      </c>
      <c r="M126" t="n">
        <v>0</v>
      </c>
      <c r="N126" t="n">
        <v>0</v>
      </c>
      <c r="O126" t="n">
        <v>0</v>
      </c>
      <c r="P126" t="n">
        <v>0</v>
      </c>
      <c r="Q126" t="n">
        <v>0</v>
      </c>
      <c r="R126" s="2" t="inlineStr"/>
    </row>
    <row r="127" ht="15" customHeight="1">
      <c r="A127" t="inlineStr">
        <is>
          <t>A 42714-2022</t>
        </is>
      </c>
      <c r="B127" s="1" t="n">
        <v>44832</v>
      </c>
      <c r="C127" s="1" t="n">
        <v>45918</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11501-2023</t>
        </is>
      </c>
      <c r="B128" s="1" t="n">
        <v>44991</v>
      </c>
      <c r="C128" s="1" t="n">
        <v>45918</v>
      </c>
      <c r="D128" t="inlineStr">
        <is>
          <t>VÄSTMANLANDS LÄN</t>
        </is>
      </c>
      <c r="E128" t="inlineStr">
        <is>
          <t>SURAHAMMAR</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10396-2025</t>
        </is>
      </c>
      <c r="B129" s="1" t="n">
        <v>45720.60721064815</v>
      </c>
      <c r="C129" s="1" t="n">
        <v>45918</v>
      </c>
      <c r="D129" t="inlineStr">
        <is>
          <t>VÄSTMANLANDS LÄN</t>
        </is>
      </c>
      <c r="E129" t="inlineStr">
        <is>
          <t>SURAHAMMAR</t>
        </is>
      </c>
      <c r="F129" t="inlineStr">
        <is>
          <t>Allmännings- och besparingsskogar</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35682-2022</t>
        </is>
      </c>
      <c r="B130" s="1" t="n">
        <v>44799.60422453703</v>
      </c>
      <c r="C130" s="1" t="n">
        <v>45918</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11728-2023</t>
        </is>
      </c>
      <c r="B131" s="1" t="n">
        <v>44993</v>
      </c>
      <c r="C131" s="1" t="n">
        <v>45918</v>
      </c>
      <c r="D131" t="inlineStr">
        <is>
          <t>VÄSTMANLANDS LÄN</t>
        </is>
      </c>
      <c r="E131" t="inlineStr">
        <is>
          <t>SURAHAMMAR</t>
        </is>
      </c>
      <c r="F131" t="inlineStr">
        <is>
          <t>Bergvik skog väst AB</t>
        </is>
      </c>
      <c r="G131" t="n">
        <v>0.4</v>
      </c>
      <c r="H131" t="n">
        <v>0</v>
      </c>
      <c r="I131" t="n">
        <v>0</v>
      </c>
      <c r="J131" t="n">
        <v>0</v>
      </c>
      <c r="K131" t="n">
        <v>0</v>
      </c>
      <c r="L131" t="n">
        <v>0</v>
      </c>
      <c r="M131" t="n">
        <v>0</v>
      </c>
      <c r="N131" t="n">
        <v>0</v>
      </c>
      <c r="O131" t="n">
        <v>0</v>
      </c>
      <c r="P131" t="n">
        <v>0</v>
      </c>
      <c r="Q131" t="n">
        <v>0</v>
      </c>
      <c r="R131" s="2" t="inlineStr"/>
    </row>
    <row r="132" ht="15" customHeight="1">
      <c r="A132" t="inlineStr">
        <is>
          <t>A 5567-2022</t>
        </is>
      </c>
      <c r="B132" s="1" t="n">
        <v>44595</v>
      </c>
      <c r="C132" s="1" t="n">
        <v>45918</v>
      </c>
      <c r="D132" t="inlineStr">
        <is>
          <t>VÄSTMANLANDS LÄN</t>
        </is>
      </c>
      <c r="E132" t="inlineStr">
        <is>
          <t>SURAHAMMAR</t>
        </is>
      </c>
      <c r="G132" t="n">
        <v>1.3</v>
      </c>
      <c r="H132" t="n">
        <v>0</v>
      </c>
      <c r="I132" t="n">
        <v>0</v>
      </c>
      <c r="J132" t="n">
        <v>0</v>
      </c>
      <c r="K132" t="n">
        <v>0</v>
      </c>
      <c r="L132" t="n">
        <v>0</v>
      </c>
      <c r="M132" t="n">
        <v>0</v>
      </c>
      <c r="N132" t="n">
        <v>0</v>
      </c>
      <c r="O132" t="n">
        <v>0</v>
      </c>
      <c r="P132" t="n">
        <v>0</v>
      </c>
      <c r="Q132" t="n">
        <v>0</v>
      </c>
      <c r="R132" s="2" t="inlineStr"/>
    </row>
    <row r="133" ht="15" customHeight="1">
      <c r="A133" t="inlineStr">
        <is>
          <t>A 42832-2022</t>
        </is>
      </c>
      <c r="B133" s="1" t="n">
        <v>44832</v>
      </c>
      <c r="C133" s="1" t="n">
        <v>45918</v>
      </c>
      <c r="D133" t="inlineStr">
        <is>
          <t>VÄSTMANLANDS LÄN</t>
        </is>
      </c>
      <c r="E133" t="inlineStr">
        <is>
          <t>SURAHAMMAR</t>
        </is>
      </c>
      <c r="G133" t="n">
        <v>1.1</v>
      </c>
      <c r="H133" t="n">
        <v>0</v>
      </c>
      <c r="I133" t="n">
        <v>0</v>
      </c>
      <c r="J133" t="n">
        <v>0</v>
      </c>
      <c r="K133" t="n">
        <v>0</v>
      </c>
      <c r="L133" t="n">
        <v>0</v>
      </c>
      <c r="M133" t="n">
        <v>0</v>
      </c>
      <c r="N133" t="n">
        <v>0</v>
      </c>
      <c r="O133" t="n">
        <v>0</v>
      </c>
      <c r="P133" t="n">
        <v>0</v>
      </c>
      <c r="Q133" t="n">
        <v>0</v>
      </c>
      <c r="R133" s="2" t="inlineStr"/>
    </row>
    <row r="134" ht="15" customHeight="1">
      <c r="A134" t="inlineStr">
        <is>
          <t>A 24665-2023</t>
        </is>
      </c>
      <c r="B134" s="1" t="n">
        <v>45084.48592592592</v>
      </c>
      <c r="C134" s="1" t="n">
        <v>45918</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32808-2024</t>
        </is>
      </c>
      <c r="B135" s="1" t="n">
        <v>45516</v>
      </c>
      <c r="C135" s="1" t="n">
        <v>45918</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3818-2022</t>
        </is>
      </c>
      <c r="B136" s="1" t="n">
        <v>44587</v>
      </c>
      <c r="C136" s="1" t="n">
        <v>45918</v>
      </c>
      <c r="D136" t="inlineStr">
        <is>
          <t>VÄSTMANLANDS LÄN</t>
        </is>
      </c>
      <c r="E136" t="inlineStr">
        <is>
          <t>SURAHAMMAR</t>
        </is>
      </c>
      <c r="G136" t="n">
        <v>2.6</v>
      </c>
      <c r="H136" t="n">
        <v>0</v>
      </c>
      <c r="I136" t="n">
        <v>0</v>
      </c>
      <c r="J136" t="n">
        <v>0</v>
      </c>
      <c r="K136" t="n">
        <v>0</v>
      </c>
      <c r="L136" t="n">
        <v>0</v>
      </c>
      <c r="M136" t="n">
        <v>0</v>
      </c>
      <c r="N136" t="n">
        <v>0</v>
      </c>
      <c r="O136" t="n">
        <v>0</v>
      </c>
      <c r="P136" t="n">
        <v>0</v>
      </c>
      <c r="Q136" t="n">
        <v>0</v>
      </c>
      <c r="R136" s="2" t="inlineStr"/>
    </row>
    <row r="137" ht="15" customHeight="1">
      <c r="A137" t="inlineStr">
        <is>
          <t>A 42841-2022</t>
        </is>
      </c>
      <c r="B137" s="1" t="n">
        <v>44832</v>
      </c>
      <c r="C137" s="1" t="n">
        <v>45918</v>
      </c>
      <c r="D137" t="inlineStr">
        <is>
          <t>VÄSTMANLANDS LÄN</t>
        </is>
      </c>
      <c r="E137" t="inlineStr">
        <is>
          <t>SURAHAMMAR</t>
        </is>
      </c>
      <c r="G137" t="n">
        <v>1.8</v>
      </c>
      <c r="H137" t="n">
        <v>0</v>
      </c>
      <c r="I137" t="n">
        <v>0</v>
      </c>
      <c r="J137" t="n">
        <v>0</v>
      </c>
      <c r="K137" t="n">
        <v>0</v>
      </c>
      <c r="L137" t="n">
        <v>0</v>
      </c>
      <c r="M137" t="n">
        <v>0</v>
      </c>
      <c r="N137" t="n">
        <v>0</v>
      </c>
      <c r="O137" t="n">
        <v>0</v>
      </c>
      <c r="P137" t="n">
        <v>0</v>
      </c>
      <c r="Q137" t="n">
        <v>0</v>
      </c>
      <c r="R137" s="2" t="inlineStr"/>
    </row>
    <row r="138" ht="15" customHeight="1">
      <c r="A138" t="inlineStr">
        <is>
          <t>A 42829-2022</t>
        </is>
      </c>
      <c r="B138" s="1" t="n">
        <v>44832</v>
      </c>
      <c r="C138" s="1" t="n">
        <v>45918</v>
      </c>
      <c r="D138" t="inlineStr">
        <is>
          <t>VÄSTMANLANDS LÄN</t>
        </is>
      </c>
      <c r="E138" t="inlineStr">
        <is>
          <t>SURAHAMMAR</t>
        </is>
      </c>
      <c r="G138" t="n">
        <v>1.6</v>
      </c>
      <c r="H138" t="n">
        <v>0</v>
      </c>
      <c r="I138" t="n">
        <v>0</v>
      </c>
      <c r="J138" t="n">
        <v>0</v>
      </c>
      <c r="K138" t="n">
        <v>0</v>
      </c>
      <c r="L138" t="n">
        <v>0</v>
      </c>
      <c r="M138" t="n">
        <v>0</v>
      </c>
      <c r="N138" t="n">
        <v>0</v>
      </c>
      <c r="O138" t="n">
        <v>0</v>
      </c>
      <c r="P138" t="n">
        <v>0</v>
      </c>
      <c r="Q138" t="n">
        <v>0</v>
      </c>
      <c r="R138" s="2" t="inlineStr"/>
    </row>
    <row r="139" ht="15" customHeight="1">
      <c r="A139" t="inlineStr">
        <is>
          <t>A 25417-2024</t>
        </is>
      </c>
      <c r="B139" s="1" t="n">
        <v>45463</v>
      </c>
      <c r="C139" s="1" t="n">
        <v>45918</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45918</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45918</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37954-2025</t>
        </is>
      </c>
      <c r="B142" s="1" t="n">
        <v>45881</v>
      </c>
      <c r="C142" s="1" t="n">
        <v>45918</v>
      </c>
      <c r="D142" t="inlineStr">
        <is>
          <t>VÄSTMANLANDS LÄN</t>
        </is>
      </c>
      <c r="E142" t="inlineStr">
        <is>
          <t>SURAHAMMAR</t>
        </is>
      </c>
      <c r="G142" t="n">
        <v>9.5</v>
      </c>
      <c r="H142" t="n">
        <v>0</v>
      </c>
      <c r="I142" t="n">
        <v>0</v>
      </c>
      <c r="J142" t="n">
        <v>0</v>
      </c>
      <c r="K142" t="n">
        <v>0</v>
      </c>
      <c r="L142" t="n">
        <v>0</v>
      </c>
      <c r="M142" t="n">
        <v>0</v>
      </c>
      <c r="N142" t="n">
        <v>0</v>
      </c>
      <c r="O142" t="n">
        <v>0</v>
      </c>
      <c r="P142" t="n">
        <v>0</v>
      </c>
      <c r="Q142" t="n">
        <v>0</v>
      </c>
      <c r="R142" s="2" t="inlineStr"/>
    </row>
    <row r="143" ht="15" customHeight="1">
      <c r="A143" t="inlineStr">
        <is>
          <t>A 44358-2024</t>
        </is>
      </c>
      <c r="B143" s="1" t="n">
        <v>45573</v>
      </c>
      <c r="C143" s="1" t="n">
        <v>45918</v>
      </c>
      <c r="D143" t="inlineStr">
        <is>
          <t>VÄSTMANLANDS LÄN</t>
        </is>
      </c>
      <c r="E143" t="inlineStr">
        <is>
          <t>SURAHAMMAR</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49058-2024</t>
        </is>
      </c>
      <c r="B144" s="1" t="n">
        <v>45594</v>
      </c>
      <c r="C144" s="1" t="n">
        <v>45918</v>
      </c>
      <c r="D144" t="inlineStr">
        <is>
          <t>VÄSTMANLANDS LÄN</t>
        </is>
      </c>
      <c r="E144" t="inlineStr">
        <is>
          <t>SURAHAMMAR</t>
        </is>
      </c>
      <c r="F144" t="inlineStr">
        <is>
          <t>Sveaskog</t>
        </is>
      </c>
      <c r="G144" t="n">
        <v>11.4</v>
      </c>
      <c r="H144" t="n">
        <v>0</v>
      </c>
      <c r="I144" t="n">
        <v>0</v>
      </c>
      <c r="J144" t="n">
        <v>0</v>
      </c>
      <c r="K144" t="n">
        <v>0</v>
      </c>
      <c r="L144" t="n">
        <v>0</v>
      </c>
      <c r="M144" t="n">
        <v>0</v>
      </c>
      <c r="N144" t="n">
        <v>0</v>
      </c>
      <c r="O144" t="n">
        <v>0</v>
      </c>
      <c r="P144" t="n">
        <v>0</v>
      </c>
      <c r="Q144" t="n">
        <v>0</v>
      </c>
      <c r="R144" s="2" t="inlineStr"/>
    </row>
    <row r="145" ht="15" customHeight="1">
      <c r="A145" t="inlineStr">
        <is>
          <t>A 49060-2024</t>
        </is>
      </c>
      <c r="B145" s="1" t="n">
        <v>45594</v>
      </c>
      <c r="C145" s="1" t="n">
        <v>45918</v>
      </c>
      <c r="D145" t="inlineStr">
        <is>
          <t>VÄSTMANLANDS LÄN</t>
        </is>
      </c>
      <c r="E145" t="inlineStr">
        <is>
          <t>SURAHAMMAR</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34582-2025</t>
        </is>
      </c>
      <c r="B146" s="1" t="n">
        <v>45846</v>
      </c>
      <c r="C146" s="1" t="n">
        <v>45918</v>
      </c>
      <c r="D146" t="inlineStr">
        <is>
          <t>VÄSTMANLANDS LÄN</t>
        </is>
      </c>
      <c r="E146" t="inlineStr">
        <is>
          <t>SURAHAMMAR</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34584-2025</t>
        </is>
      </c>
      <c r="B147" s="1" t="n">
        <v>45846</v>
      </c>
      <c r="C147" s="1" t="n">
        <v>45918</v>
      </c>
      <c r="D147" t="inlineStr">
        <is>
          <t>VÄSTMANLANDS LÄN</t>
        </is>
      </c>
      <c r="E147" t="inlineStr">
        <is>
          <t>SURAHAMMAR</t>
        </is>
      </c>
      <c r="F147" t="inlineStr">
        <is>
          <t>Bergvik skog väst AB</t>
        </is>
      </c>
      <c r="G147" t="n">
        <v>2.7</v>
      </c>
      <c r="H147" t="n">
        <v>0</v>
      </c>
      <c r="I147" t="n">
        <v>0</v>
      </c>
      <c r="J147" t="n">
        <v>0</v>
      </c>
      <c r="K147" t="n">
        <v>0</v>
      </c>
      <c r="L147" t="n">
        <v>0</v>
      </c>
      <c r="M147" t="n">
        <v>0</v>
      </c>
      <c r="N147" t="n">
        <v>0</v>
      </c>
      <c r="O147" t="n">
        <v>0</v>
      </c>
      <c r="P147" t="n">
        <v>0</v>
      </c>
      <c r="Q147" t="n">
        <v>0</v>
      </c>
      <c r="R147" s="2" t="inlineStr"/>
    </row>
    <row r="148" ht="15" customHeight="1">
      <c r="A148" t="inlineStr">
        <is>
          <t>A 21509-2024</t>
        </is>
      </c>
      <c r="B148" s="1" t="n">
        <v>45441</v>
      </c>
      <c r="C148" s="1" t="n">
        <v>45918</v>
      </c>
      <c r="D148" t="inlineStr">
        <is>
          <t>VÄSTMANLANDS LÄN</t>
        </is>
      </c>
      <c r="E148" t="inlineStr">
        <is>
          <t>SURAHAMMAR</t>
        </is>
      </c>
      <c r="F148" t="inlineStr">
        <is>
          <t>Bergvik skog väst AB</t>
        </is>
      </c>
      <c r="G148" t="n">
        <v>3.9</v>
      </c>
      <c r="H148" t="n">
        <v>0</v>
      </c>
      <c r="I148" t="n">
        <v>0</v>
      </c>
      <c r="J148" t="n">
        <v>0</v>
      </c>
      <c r="K148" t="n">
        <v>0</v>
      </c>
      <c r="L148" t="n">
        <v>0</v>
      </c>
      <c r="M148" t="n">
        <v>0</v>
      </c>
      <c r="N148" t="n">
        <v>0</v>
      </c>
      <c r="O148" t="n">
        <v>0</v>
      </c>
      <c r="P148" t="n">
        <v>0</v>
      </c>
      <c r="Q148" t="n">
        <v>0</v>
      </c>
      <c r="R148" s="2" t="inlineStr"/>
    </row>
    <row r="149" ht="15" customHeight="1">
      <c r="A149" t="inlineStr">
        <is>
          <t>A 34955-2022</t>
        </is>
      </c>
      <c r="B149" s="1" t="n">
        <v>44796</v>
      </c>
      <c r="C149" s="1" t="n">
        <v>45918</v>
      </c>
      <c r="D149" t="inlineStr">
        <is>
          <t>VÄSTMANLANDS LÄN</t>
        </is>
      </c>
      <c r="E149" t="inlineStr">
        <is>
          <t>SURAHAMMAR</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32916-2025</t>
        </is>
      </c>
      <c r="B150" s="1" t="n">
        <v>45839</v>
      </c>
      <c r="C150" s="1" t="n">
        <v>45918</v>
      </c>
      <c r="D150" t="inlineStr">
        <is>
          <t>VÄSTMANLANDS LÄN</t>
        </is>
      </c>
      <c r="E150" t="inlineStr">
        <is>
          <t>SURAHAMMAR</t>
        </is>
      </c>
      <c r="F150" t="inlineStr">
        <is>
          <t>Kommuner</t>
        </is>
      </c>
      <c r="G150" t="n">
        <v>4.9</v>
      </c>
      <c r="H150" t="n">
        <v>0</v>
      </c>
      <c r="I150" t="n">
        <v>0</v>
      </c>
      <c r="J150" t="n">
        <v>0</v>
      </c>
      <c r="K150" t="n">
        <v>0</v>
      </c>
      <c r="L150" t="n">
        <v>0</v>
      </c>
      <c r="M150" t="n">
        <v>0</v>
      </c>
      <c r="N150" t="n">
        <v>0</v>
      </c>
      <c r="O150" t="n">
        <v>0</v>
      </c>
      <c r="P150" t="n">
        <v>0</v>
      </c>
      <c r="Q150" t="n">
        <v>0</v>
      </c>
      <c r="R150" s="2" t="inlineStr"/>
    </row>
    <row r="151" ht="15" customHeight="1">
      <c r="A151" t="inlineStr">
        <is>
          <t>A 32910-2025</t>
        </is>
      </c>
      <c r="B151" s="1" t="n">
        <v>45839</v>
      </c>
      <c r="C151" s="1" t="n">
        <v>45918</v>
      </c>
      <c r="D151" t="inlineStr">
        <is>
          <t>VÄSTMANLANDS LÄN</t>
        </is>
      </c>
      <c r="E151" t="inlineStr">
        <is>
          <t>SURAHAMMAR</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42088-2025</t>
        </is>
      </c>
      <c r="B152" s="1" t="n">
        <v>45902</v>
      </c>
      <c r="C152" s="1" t="n">
        <v>45918</v>
      </c>
      <c r="D152" t="inlineStr">
        <is>
          <t>VÄSTMANLANDS LÄN</t>
        </is>
      </c>
      <c r="E152" t="inlineStr">
        <is>
          <t>SURAHAMMAR</t>
        </is>
      </c>
      <c r="G152" t="n">
        <v>1</v>
      </c>
      <c r="H152" t="n">
        <v>0</v>
      </c>
      <c r="I152" t="n">
        <v>0</v>
      </c>
      <c r="J152" t="n">
        <v>0</v>
      </c>
      <c r="K152" t="n">
        <v>0</v>
      </c>
      <c r="L152" t="n">
        <v>0</v>
      </c>
      <c r="M152" t="n">
        <v>0</v>
      </c>
      <c r="N152" t="n">
        <v>0</v>
      </c>
      <c r="O152" t="n">
        <v>0</v>
      </c>
      <c r="P152" t="n">
        <v>0</v>
      </c>
      <c r="Q152" t="n">
        <v>0</v>
      </c>
      <c r="R152" s="2" t="inlineStr"/>
    </row>
    <row r="153" ht="15" customHeight="1">
      <c r="A153" t="inlineStr">
        <is>
          <t>A 43255-2025</t>
        </is>
      </c>
      <c r="B153" s="1" t="n">
        <v>45910.55325231481</v>
      </c>
      <c r="C153" s="1" t="n">
        <v>45918</v>
      </c>
      <c r="D153" t="inlineStr">
        <is>
          <t>VÄSTMANLANDS LÄN</t>
        </is>
      </c>
      <c r="E153" t="inlineStr">
        <is>
          <t>SURAHAMMAR</t>
        </is>
      </c>
      <c r="G153" t="n">
        <v>1.9</v>
      </c>
      <c r="H153" t="n">
        <v>0</v>
      </c>
      <c r="I153" t="n">
        <v>0</v>
      </c>
      <c r="J153" t="n">
        <v>0</v>
      </c>
      <c r="K153" t="n">
        <v>0</v>
      </c>
      <c r="L153" t="n">
        <v>0</v>
      </c>
      <c r="M153" t="n">
        <v>0</v>
      </c>
      <c r="N153" t="n">
        <v>0</v>
      </c>
      <c r="O153" t="n">
        <v>0</v>
      </c>
      <c r="P153" t="n">
        <v>0</v>
      </c>
      <c r="Q153" t="n">
        <v>0</v>
      </c>
      <c r="R153" s="2" t="inlineStr"/>
    </row>
    <row r="154" ht="15" customHeight="1">
      <c r="A154" t="inlineStr">
        <is>
          <t>A 43249-2025</t>
        </is>
      </c>
      <c r="B154" s="1" t="n">
        <v>45910.55059027778</v>
      </c>
      <c r="C154" s="1" t="n">
        <v>45918</v>
      </c>
      <c r="D154" t="inlineStr">
        <is>
          <t>VÄSTMANLANDS LÄN</t>
        </is>
      </c>
      <c r="E154" t="inlineStr">
        <is>
          <t>SURAHAMMAR</t>
        </is>
      </c>
      <c r="G154" t="n">
        <v>1.9</v>
      </c>
      <c r="H154" t="n">
        <v>0</v>
      </c>
      <c r="I154" t="n">
        <v>0</v>
      </c>
      <c r="J154" t="n">
        <v>0</v>
      </c>
      <c r="K154" t="n">
        <v>0</v>
      </c>
      <c r="L154" t="n">
        <v>0</v>
      </c>
      <c r="M154" t="n">
        <v>0</v>
      </c>
      <c r="N154" t="n">
        <v>0</v>
      </c>
      <c r="O154" t="n">
        <v>0</v>
      </c>
      <c r="P154" t="n">
        <v>0</v>
      </c>
      <c r="Q154" t="n">
        <v>0</v>
      </c>
      <c r="R154" s="2" t="inlineStr"/>
    </row>
    <row r="155">
      <c r="A155" t="inlineStr">
        <is>
          <t>A 37013-2025</t>
        </is>
      </c>
      <c r="B155" s="1" t="n">
        <v>45874</v>
      </c>
      <c r="C155" s="1" t="n">
        <v>45918</v>
      </c>
      <c r="D155" t="inlineStr">
        <is>
          <t>VÄSTMANLANDS LÄN</t>
        </is>
      </c>
      <c r="E155" t="inlineStr">
        <is>
          <t>SURAHAMMAR</t>
        </is>
      </c>
      <c r="F155" t="inlineStr">
        <is>
          <t>Bergvik skog väst AB</t>
        </is>
      </c>
      <c r="G155" t="n">
        <v>10.7</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2025-09-18T09:01:05Z</dcterms:created>
  <dcterms:modified xmlns:dcterms="http://purl.org/dc/terms/" xmlns:xsi="http://www.w3.org/2001/XMLSchema-instance" xsi:type="dcterms:W3CDTF">2025-09-18T09:01:05Z</dcterms:modified>
</cp:coreProperties>
</file>