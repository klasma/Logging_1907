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45294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65027-2023</t>
        </is>
      </c>
      <c r="B3" s="1" t="n">
        <v>45282</v>
      </c>
      <c r="C3" s="1" t="n">
        <v>45294</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row>
    <row r="4" ht="15" customHeight="1">
      <c r="A4" t="inlineStr">
        <is>
          <t>A 34759-2023</t>
        </is>
      </c>
      <c r="B4" s="1" t="n">
        <v>45139</v>
      </c>
      <c r="C4" s="1" t="n">
        <v>45294</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row>
    <row r="5" ht="15" customHeight="1">
      <c r="A5" t="inlineStr">
        <is>
          <t>A 24725-2021</t>
        </is>
      </c>
      <c r="B5" s="1" t="n">
        <v>44340</v>
      </c>
      <c r="C5" s="1" t="n">
        <v>45294</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row>
    <row r="6" ht="15" customHeight="1">
      <c r="A6" t="inlineStr">
        <is>
          <t>A 22024-2020</t>
        </is>
      </c>
      <c r="B6" s="1" t="n">
        <v>43959</v>
      </c>
      <c r="C6" s="1" t="n">
        <v>45294</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45294</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row>
    <row r="8" ht="15" customHeight="1">
      <c r="A8" t="inlineStr">
        <is>
          <t>A 17626-2023</t>
        </is>
      </c>
      <c r="B8" s="1" t="n">
        <v>45036</v>
      </c>
      <c r="C8" s="1" t="n">
        <v>45294</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45294</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row>
    <row r="10" ht="15" customHeight="1">
      <c r="A10" t="inlineStr">
        <is>
          <t>A 21236-2021</t>
        </is>
      </c>
      <c r="B10" s="1" t="n">
        <v>44314</v>
      </c>
      <c r="C10" s="1" t="n">
        <v>45294</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row>
    <row r="11" ht="15" customHeight="1">
      <c r="A11" t="inlineStr">
        <is>
          <t>A 10224-2019</t>
        </is>
      </c>
      <c r="B11" s="1" t="n">
        <v>43510</v>
      </c>
      <c r="C11" s="1" t="n">
        <v>45294</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45294</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row>
    <row r="13" ht="15" customHeight="1">
      <c r="A13" t="inlineStr">
        <is>
          <t>A 33878-2019</t>
        </is>
      </c>
      <c r="B13" s="1" t="n">
        <v>43653</v>
      </c>
      <c r="C13" s="1" t="n">
        <v>45294</v>
      </c>
      <c r="D13" t="inlineStr">
        <is>
          <t>VÄSTMANLANDS LÄN</t>
        </is>
      </c>
      <c r="E13" t="inlineStr">
        <is>
          <t>SURAHAMMAR</t>
        </is>
      </c>
      <c r="F13" t="inlineStr">
        <is>
          <t>Kyrkan</t>
        </is>
      </c>
      <c r="G13" t="n">
        <v>0.7</v>
      </c>
      <c r="H13" t="n">
        <v>2</v>
      </c>
      <c r="I13" t="n">
        <v>5</v>
      </c>
      <c r="J13" t="n">
        <v>2</v>
      </c>
      <c r="K13" t="n">
        <v>0</v>
      </c>
      <c r="L13" t="n">
        <v>0</v>
      </c>
      <c r="M13" t="n">
        <v>0</v>
      </c>
      <c r="N13" t="n">
        <v>0</v>
      </c>
      <c r="O13" t="n">
        <v>2</v>
      </c>
      <c r="P13" t="n">
        <v>0</v>
      </c>
      <c r="Q13" t="n">
        <v>8</v>
      </c>
      <c r="R13" s="2" t="inlineStr">
        <is>
          <t>Sotnätfjäril
Spillkråka
Bollvitmossa
Kornig nållav
Stubbspretmossa
Svart trolldruva
Vårärt
Blåsippa</t>
        </is>
      </c>
      <c r="S13">
        <f>HYPERLINK("https://klasma.github.io/Logging_1907/artfynd/A 33878-2019 artfynd.xlsx", "A 33878-2019")</f>
        <v/>
      </c>
      <c r="T13">
        <f>HYPERLINK("https://klasma.github.io/Logging_1907/kartor/A 33878-2019 karta.png", "A 33878-2019")</f>
        <v/>
      </c>
      <c r="V13">
        <f>HYPERLINK("https://klasma.github.io/Logging_1907/klagomål/A 33878-2019 FSC-klagomål.docx", "A 33878-2019")</f>
        <v/>
      </c>
      <c r="W13">
        <f>HYPERLINK("https://klasma.github.io/Logging_1907/klagomålsmail/A 33878-2019 FSC-klagomål mail.docx", "A 33878-2019")</f>
        <v/>
      </c>
      <c r="X13">
        <f>HYPERLINK("https://klasma.github.io/Logging_1907/tillsyn/A 33878-2019 tillsynsbegäran.docx", "A 33878-2019")</f>
        <v/>
      </c>
      <c r="Y13">
        <f>HYPERLINK("https://klasma.github.io/Logging_1907/tillsynsmail/A 33878-2019 tillsynsbegäran mail.docx", "A 33878-2019")</f>
        <v/>
      </c>
    </row>
    <row r="14" ht="15" customHeight="1">
      <c r="A14" t="inlineStr">
        <is>
          <t>A 23039-2023</t>
        </is>
      </c>
      <c r="B14" s="1" t="n">
        <v>45074</v>
      </c>
      <c r="C14" s="1" t="n">
        <v>45294</v>
      </c>
      <c r="D14" t="inlineStr">
        <is>
          <t>VÄSTMANLANDS LÄN</t>
        </is>
      </c>
      <c r="E14" t="inlineStr">
        <is>
          <t>SURAHAMMAR</t>
        </is>
      </c>
      <c r="F14" t="inlineStr">
        <is>
          <t>Allmännings- och besparingsskogar</t>
        </is>
      </c>
      <c r="G14" t="n">
        <v>19.4</v>
      </c>
      <c r="H14" t="n">
        <v>7</v>
      </c>
      <c r="I14" t="n">
        <v>2</v>
      </c>
      <c r="J14" t="n">
        <v>1</v>
      </c>
      <c r="K14" t="n">
        <v>1</v>
      </c>
      <c r="L14" t="n">
        <v>0</v>
      </c>
      <c r="M14" t="n">
        <v>0</v>
      </c>
      <c r="N14" t="n">
        <v>0</v>
      </c>
      <c r="O14" t="n">
        <v>2</v>
      </c>
      <c r="P14" t="n">
        <v>1</v>
      </c>
      <c r="Q14" t="n">
        <v>8</v>
      </c>
      <c r="R14" s="2" t="inlineStr">
        <is>
          <t>Knärot
Spillkråka
Grönpyrola
Plattlummer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row>
    <row r="15" ht="15" customHeight="1">
      <c r="A15" t="inlineStr">
        <is>
          <t>A 69624-2018</t>
        </is>
      </c>
      <c r="B15" s="1" t="n">
        <v>43447</v>
      </c>
      <c r="C15" s="1" t="n">
        <v>45294</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45294</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row>
    <row r="17" ht="15" customHeight="1">
      <c r="A17" t="inlineStr">
        <is>
          <t>A 13994-2023</t>
        </is>
      </c>
      <c r="B17" s="1" t="n">
        <v>45007</v>
      </c>
      <c r="C17" s="1" t="n">
        <v>45294</v>
      </c>
      <c r="D17" t="inlineStr">
        <is>
          <t>VÄSTMANLANDS LÄN</t>
        </is>
      </c>
      <c r="E17" t="inlineStr">
        <is>
          <t>SURAHAMMAR</t>
        </is>
      </c>
      <c r="F17" t="inlineStr">
        <is>
          <t>Bergvik skog väst AB</t>
        </is>
      </c>
      <c r="G17" t="n">
        <v>14.2</v>
      </c>
      <c r="H17" t="n">
        <v>2</v>
      </c>
      <c r="I17" t="n">
        <v>2</v>
      </c>
      <c r="J17" t="n">
        <v>1</v>
      </c>
      <c r="K17" t="n">
        <v>1</v>
      </c>
      <c r="L17" t="n">
        <v>0</v>
      </c>
      <c r="M17" t="n">
        <v>0</v>
      </c>
      <c r="N17" t="n">
        <v>0</v>
      </c>
      <c r="O17" t="n">
        <v>2</v>
      </c>
      <c r="P17" t="n">
        <v>1</v>
      </c>
      <c r="Q17" t="n">
        <v>5</v>
      </c>
      <c r="R17" s="2" t="inlineStr">
        <is>
          <t>Knärot
Tallticka
Mindre märgborre
Vedticka
Mattlummer</t>
        </is>
      </c>
      <c r="S17">
        <f>HYPERLINK("https://klasma.github.io/Logging_1907/artfynd/A 13994-2023 artfynd.xlsx", "A 13994-2023")</f>
        <v/>
      </c>
      <c r="T17">
        <f>HYPERLINK("https://klasma.github.io/Logging_1907/kartor/A 13994-2023 karta.png", "A 13994-2023")</f>
        <v/>
      </c>
      <c r="U17">
        <f>HYPERLINK("https://klasma.github.io/Logging_1907/knärot/A 13994-2023 karta knärot.png", "A 13994-2023")</f>
        <v/>
      </c>
      <c r="V17">
        <f>HYPERLINK("https://klasma.github.io/Logging_1907/klagomål/A 13994-2023 FSC-klagomål.docx", "A 13994-2023")</f>
        <v/>
      </c>
      <c r="W17">
        <f>HYPERLINK("https://klasma.github.io/Logging_1907/klagomålsmail/A 13994-2023 FSC-klagomål mail.docx", "A 13994-2023")</f>
        <v/>
      </c>
      <c r="X17">
        <f>HYPERLINK("https://klasma.github.io/Logging_1907/tillsyn/A 13994-2023 tillsynsbegäran.docx", "A 13994-2023")</f>
        <v/>
      </c>
      <c r="Y17">
        <f>HYPERLINK("https://klasma.github.io/Logging_1907/tillsynsmail/A 13994-2023 tillsynsbegäran mail.docx", "A 13994-2023")</f>
        <v/>
      </c>
    </row>
    <row r="18" ht="15" customHeight="1">
      <c r="A18" t="inlineStr">
        <is>
          <t>A 35620-2023</t>
        </is>
      </c>
      <c r="B18" s="1" t="n">
        <v>45147</v>
      </c>
      <c r="C18" s="1" t="n">
        <v>45294</v>
      </c>
      <c r="D18" t="inlineStr">
        <is>
          <t>VÄSTMANLANDS LÄN</t>
        </is>
      </c>
      <c r="E18" t="inlineStr">
        <is>
          <t>SURAHAMMAR</t>
        </is>
      </c>
      <c r="G18" t="n">
        <v>20.3</v>
      </c>
      <c r="H18" t="n">
        <v>4</v>
      </c>
      <c r="I18" t="n">
        <v>1</v>
      </c>
      <c r="J18" t="n">
        <v>0</v>
      </c>
      <c r="K18" t="n">
        <v>1</v>
      </c>
      <c r="L18" t="n">
        <v>0</v>
      </c>
      <c r="M18" t="n">
        <v>0</v>
      </c>
      <c r="N18" t="n">
        <v>0</v>
      </c>
      <c r="O18" t="n">
        <v>1</v>
      </c>
      <c r="P18" t="n">
        <v>1</v>
      </c>
      <c r="Q18" t="n">
        <v>5</v>
      </c>
      <c r="R18" s="2" t="inlineStr">
        <is>
          <t>Knärot
Vedticka
Sparvuggla
Blåsippa
Lopplummer</t>
        </is>
      </c>
      <c r="S18">
        <f>HYPERLINK("https://klasma.github.io/Logging_1907/artfynd/A 35620-2023 artfynd.xlsx", "A 35620-2023")</f>
        <v/>
      </c>
      <c r="T18">
        <f>HYPERLINK("https://klasma.github.io/Logging_1907/kartor/A 35620-2023 karta.png", "A 35620-2023")</f>
        <v/>
      </c>
      <c r="U18">
        <f>HYPERLINK("https://klasma.github.io/Logging_1907/knärot/A 35620-2023 karta knärot.png", "A 35620-2023")</f>
        <v/>
      </c>
      <c r="V18">
        <f>HYPERLINK("https://klasma.github.io/Logging_1907/klagomål/A 35620-2023 FSC-klagomål.docx", "A 35620-2023")</f>
        <v/>
      </c>
      <c r="W18">
        <f>HYPERLINK("https://klasma.github.io/Logging_1907/klagomålsmail/A 35620-2023 FSC-klagomål mail.docx", "A 35620-2023")</f>
        <v/>
      </c>
      <c r="X18">
        <f>HYPERLINK("https://klasma.github.io/Logging_1907/tillsyn/A 35620-2023 tillsynsbegäran.docx", "A 35620-2023")</f>
        <v/>
      </c>
      <c r="Y18">
        <f>HYPERLINK("https://klasma.github.io/Logging_1907/tillsynsmail/A 35620-2023 tillsynsbegäran mail.docx", "A 35620-2023")</f>
        <v/>
      </c>
    </row>
    <row r="19" ht="15" customHeight="1">
      <c r="A19" t="inlineStr">
        <is>
          <t>A 22033-2020</t>
        </is>
      </c>
      <c r="B19" s="1" t="n">
        <v>43959</v>
      </c>
      <c r="C19" s="1" t="n">
        <v>45294</v>
      </c>
      <c r="D19" t="inlineStr">
        <is>
          <t>VÄSTMANLANDS LÄN</t>
        </is>
      </c>
      <c r="E19" t="inlineStr">
        <is>
          <t>SURAHAMMAR</t>
        </is>
      </c>
      <c r="G19" t="n">
        <v>0.5</v>
      </c>
      <c r="H19" t="n">
        <v>2</v>
      </c>
      <c r="I19" t="n">
        <v>1</v>
      </c>
      <c r="J19" t="n">
        <v>0</v>
      </c>
      <c r="K19" t="n">
        <v>3</v>
      </c>
      <c r="L19" t="n">
        <v>0</v>
      </c>
      <c r="M19" t="n">
        <v>0</v>
      </c>
      <c r="N19" t="n">
        <v>0</v>
      </c>
      <c r="O19" t="n">
        <v>3</v>
      </c>
      <c r="P19" t="n">
        <v>3</v>
      </c>
      <c r="Q19" t="n">
        <v>4</v>
      </c>
      <c r="R19" s="2" t="inlineStr">
        <is>
          <t>Bombmurkla
Knärot
Vågticka
Vedticka</t>
        </is>
      </c>
      <c r="S19">
        <f>HYPERLINK("https://klasma.github.io/Logging_1907/artfynd/A 22033-2020 artfynd.xlsx", "A 22033-2020")</f>
        <v/>
      </c>
      <c r="T19">
        <f>HYPERLINK("https://klasma.github.io/Logging_1907/kartor/A 22033-2020 karta.png", "A 22033-2020")</f>
        <v/>
      </c>
      <c r="U19">
        <f>HYPERLINK("https://klasma.github.io/Logging_1907/knärot/A 22033-2020 karta knärot.png", "A 22033-2020")</f>
        <v/>
      </c>
      <c r="V19">
        <f>HYPERLINK("https://klasma.github.io/Logging_1907/klagomål/A 22033-2020 FSC-klagomål.docx", "A 22033-2020")</f>
        <v/>
      </c>
      <c r="W19">
        <f>HYPERLINK("https://klasma.github.io/Logging_1907/klagomålsmail/A 22033-2020 FSC-klagomål mail.docx", "A 22033-2020")</f>
        <v/>
      </c>
      <c r="X19">
        <f>HYPERLINK("https://klasma.github.io/Logging_1907/tillsyn/A 22033-2020 tillsynsbegäran.docx", "A 22033-2020")</f>
        <v/>
      </c>
      <c r="Y19">
        <f>HYPERLINK("https://klasma.github.io/Logging_1907/tillsynsmail/A 22033-2020 tillsynsbegäran mail.docx", "A 22033-2020")</f>
        <v/>
      </c>
    </row>
    <row r="20" ht="15" customHeight="1">
      <c r="A20" t="inlineStr">
        <is>
          <t>A 66349-2021</t>
        </is>
      </c>
      <c r="B20" s="1" t="n">
        <v>44518</v>
      </c>
      <c r="C20" s="1" t="n">
        <v>45294</v>
      </c>
      <c r="D20" t="inlineStr">
        <is>
          <t>VÄSTMANLANDS LÄN</t>
        </is>
      </c>
      <c r="E20" t="inlineStr">
        <is>
          <t>SURAHAMMAR</t>
        </is>
      </c>
      <c r="F20" t="inlineStr">
        <is>
          <t>Sveaskog</t>
        </is>
      </c>
      <c r="G20" t="n">
        <v>6</v>
      </c>
      <c r="H20" t="n">
        <v>2</v>
      </c>
      <c r="I20" t="n">
        <v>1</v>
      </c>
      <c r="J20" t="n">
        <v>2</v>
      </c>
      <c r="K20" t="n">
        <v>0</v>
      </c>
      <c r="L20" t="n">
        <v>0</v>
      </c>
      <c r="M20" t="n">
        <v>0</v>
      </c>
      <c r="N20" t="n">
        <v>0</v>
      </c>
      <c r="O20" t="n">
        <v>2</v>
      </c>
      <c r="P20" t="n">
        <v>0</v>
      </c>
      <c r="Q20" t="n">
        <v>4</v>
      </c>
      <c r="R20" s="2" t="inlineStr">
        <is>
          <t>Krusfrö
Spillkråka
Björksplintborre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row>
    <row r="21" ht="15" customHeight="1">
      <c r="A21" t="inlineStr">
        <is>
          <t>A 8552-2022</t>
        </is>
      </c>
      <c r="B21" s="1" t="n">
        <v>44613</v>
      </c>
      <c r="C21" s="1" t="n">
        <v>45294</v>
      </c>
      <c r="D21" t="inlineStr">
        <is>
          <t>VÄSTMANLANDS LÄN</t>
        </is>
      </c>
      <c r="E21" t="inlineStr">
        <is>
          <t>SURAHAMMAR</t>
        </is>
      </c>
      <c r="F21" t="inlineStr">
        <is>
          <t>Bergvik skog väst AB</t>
        </is>
      </c>
      <c r="G21" t="n">
        <v>3.2</v>
      </c>
      <c r="H21" t="n">
        <v>2</v>
      </c>
      <c r="I21" t="n">
        <v>1</v>
      </c>
      <c r="J21" t="n">
        <v>2</v>
      </c>
      <c r="K21" t="n">
        <v>0</v>
      </c>
      <c r="L21" t="n">
        <v>0</v>
      </c>
      <c r="M21" t="n">
        <v>0</v>
      </c>
      <c r="N21" t="n">
        <v>0</v>
      </c>
      <c r="O21" t="n">
        <v>2</v>
      </c>
      <c r="P21" t="n">
        <v>0</v>
      </c>
      <c r="Q21" t="n">
        <v>3</v>
      </c>
      <c r="R21" s="2" t="inlineStr">
        <is>
          <t>Spillkråka
Talltita
Mindre märgborre</t>
        </is>
      </c>
      <c r="S21">
        <f>HYPERLINK("https://klasma.github.io/Logging_1907/artfynd/A 8552-2022 artfynd.xlsx", "A 8552-2022")</f>
        <v/>
      </c>
      <c r="T21">
        <f>HYPERLINK("https://klasma.github.io/Logging_1907/kartor/A 8552-2022 karta.png", "A 8552-2022")</f>
        <v/>
      </c>
      <c r="V21">
        <f>HYPERLINK("https://klasma.github.io/Logging_1907/klagomål/A 8552-2022 FSC-klagomål.docx", "A 8552-2022")</f>
        <v/>
      </c>
      <c r="W21">
        <f>HYPERLINK("https://klasma.github.io/Logging_1907/klagomålsmail/A 8552-2022 FSC-klagomål mail.docx", "A 8552-2022")</f>
        <v/>
      </c>
      <c r="X21">
        <f>HYPERLINK("https://klasma.github.io/Logging_1907/tillsyn/A 8552-2022 tillsynsbegäran.docx", "A 8552-2022")</f>
        <v/>
      </c>
      <c r="Y21">
        <f>HYPERLINK("https://klasma.github.io/Logging_1907/tillsynsmail/A 8552-2022 tillsynsbegäran mail.docx", "A 8552-2022")</f>
        <v/>
      </c>
    </row>
    <row r="22" ht="15" customHeight="1">
      <c r="A22" t="inlineStr">
        <is>
          <t>A 42708-2022</t>
        </is>
      </c>
      <c r="B22" s="1" t="n">
        <v>44832</v>
      </c>
      <c r="C22" s="1" t="n">
        <v>45294</v>
      </c>
      <c r="D22" t="inlineStr">
        <is>
          <t>VÄSTMANLANDS LÄN</t>
        </is>
      </c>
      <c r="E22" t="inlineStr">
        <is>
          <t>SURAHAMMAR</t>
        </is>
      </c>
      <c r="G22" t="n">
        <v>27.2</v>
      </c>
      <c r="H22" t="n">
        <v>3</v>
      </c>
      <c r="I22" t="n">
        <v>0</v>
      </c>
      <c r="J22" t="n">
        <v>2</v>
      </c>
      <c r="K22" t="n">
        <v>0</v>
      </c>
      <c r="L22" t="n">
        <v>0</v>
      </c>
      <c r="M22" t="n">
        <v>0</v>
      </c>
      <c r="N22" t="n">
        <v>0</v>
      </c>
      <c r="O22" t="n">
        <v>2</v>
      </c>
      <c r="P22" t="n">
        <v>0</v>
      </c>
      <c r="Q22" t="n">
        <v>3</v>
      </c>
      <c r="R22" s="2" t="inlineStr">
        <is>
          <t>Entita
Spillkråka
Blåsippa</t>
        </is>
      </c>
      <c r="S22">
        <f>HYPERLINK("https://klasma.github.io/Logging_1907/artfynd/A 42708-2022 artfynd.xlsx", "A 42708-2022")</f>
        <v/>
      </c>
      <c r="T22">
        <f>HYPERLINK("https://klasma.github.io/Logging_1907/kartor/A 42708-2022 karta.png", "A 42708-2022")</f>
        <v/>
      </c>
      <c r="V22">
        <f>HYPERLINK("https://klasma.github.io/Logging_1907/klagomål/A 42708-2022 FSC-klagomål.docx", "A 42708-2022")</f>
        <v/>
      </c>
      <c r="W22">
        <f>HYPERLINK("https://klasma.github.io/Logging_1907/klagomålsmail/A 42708-2022 FSC-klagomål mail.docx", "A 42708-2022")</f>
        <v/>
      </c>
      <c r="X22">
        <f>HYPERLINK("https://klasma.github.io/Logging_1907/tillsyn/A 42708-2022 tillsynsbegäran.docx", "A 42708-2022")</f>
        <v/>
      </c>
      <c r="Y22">
        <f>HYPERLINK("https://klasma.github.io/Logging_1907/tillsynsmail/A 42708-2022 tillsynsbegäran mail.docx", "A 42708-2022")</f>
        <v/>
      </c>
    </row>
    <row r="23" ht="15" customHeight="1">
      <c r="A23" t="inlineStr">
        <is>
          <t>A 42853-2022</t>
        </is>
      </c>
      <c r="B23" s="1" t="n">
        <v>44832</v>
      </c>
      <c r="C23" s="1" t="n">
        <v>45294</v>
      </c>
      <c r="D23" t="inlineStr">
        <is>
          <t>VÄSTMANLANDS LÄN</t>
        </is>
      </c>
      <c r="E23" t="inlineStr">
        <is>
          <t>SURAHAMMAR</t>
        </is>
      </c>
      <c r="G23" t="n">
        <v>7.4</v>
      </c>
      <c r="H23" t="n">
        <v>1</v>
      </c>
      <c r="I23" t="n">
        <v>1</v>
      </c>
      <c r="J23" t="n">
        <v>1</v>
      </c>
      <c r="K23" t="n">
        <v>0</v>
      </c>
      <c r="L23" t="n">
        <v>1</v>
      </c>
      <c r="M23" t="n">
        <v>0</v>
      </c>
      <c r="N23" t="n">
        <v>0</v>
      </c>
      <c r="O23" t="n">
        <v>2</v>
      </c>
      <c r="P23" t="n">
        <v>1</v>
      </c>
      <c r="Q23" t="n">
        <v>3</v>
      </c>
      <c r="R23" s="2" t="inlineStr">
        <is>
          <t>Ask
Kandelabersvamp
Tvåblad</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row>
    <row r="24" ht="15" customHeight="1">
      <c r="A24" t="inlineStr">
        <is>
          <t>A 42860-2022</t>
        </is>
      </c>
      <c r="B24" s="1" t="n">
        <v>44832</v>
      </c>
      <c r="C24" s="1" t="n">
        <v>45294</v>
      </c>
      <c r="D24" t="inlineStr">
        <is>
          <t>VÄSTMANLANDS LÄN</t>
        </is>
      </c>
      <c r="E24" t="inlineStr">
        <is>
          <t>SURAHAMMAR</t>
        </is>
      </c>
      <c r="G24" t="n">
        <v>0.9</v>
      </c>
      <c r="H24" t="n">
        <v>0</v>
      </c>
      <c r="I24" t="n">
        <v>1</v>
      </c>
      <c r="J24" t="n">
        <v>0</v>
      </c>
      <c r="K24" t="n">
        <v>0</v>
      </c>
      <c r="L24" t="n">
        <v>1</v>
      </c>
      <c r="M24" t="n">
        <v>1</v>
      </c>
      <c r="N24" t="n">
        <v>0</v>
      </c>
      <c r="O24" t="n">
        <v>2</v>
      </c>
      <c r="P24" t="n">
        <v>2</v>
      </c>
      <c r="Q24" t="n">
        <v>3</v>
      </c>
      <c r="R24" s="2" t="inlineStr">
        <is>
          <t>Skogsalm
Ask
Scharlakansvårskål agg.</t>
        </is>
      </c>
      <c r="S24">
        <f>HYPERLINK("https://klasma.github.io/Logging_1907/artfynd/A 42860-2022 artfynd.xlsx", "A 42860-2022")</f>
        <v/>
      </c>
      <c r="T24">
        <f>HYPERLINK("https://klasma.github.io/Logging_1907/kartor/A 42860-2022 karta.png", "A 42860-2022")</f>
        <v/>
      </c>
      <c r="V24">
        <f>HYPERLINK("https://klasma.github.io/Logging_1907/klagomål/A 42860-2022 FSC-klagomål.docx", "A 42860-2022")</f>
        <v/>
      </c>
      <c r="W24">
        <f>HYPERLINK("https://klasma.github.io/Logging_1907/klagomålsmail/A 42860-2022 FSC-klagomål mail.docx", "A 42860-2022")</f>
        <v/>
      </c>
      <c r="X24">
        <f>HYPERLINK("https://klasma.github.io/Logging_1907/tillsyn/A 42860-2022 tillsynsbegäran.docx", "A 42860-2022")</f>
        <v/>
      </c>
      <c r="Y24">
        <f>HYPERLINK("https://klasma.github.io/Logging_1907/tillsynsmail/A 42860-2022 tillsynsbegäran mail.docx", "A 42860-2022")</f>
        <v/>
      </c>
    </row>
    <row r="25" ht="15" customHeight="1">
      <c r="A25" t="inlineStr">
        <is>
          <t>A 3012-2023</t>
        </is>
      </c>
      <c r="B25" s="1" t="n">
        <v>44945</v>
      </c>
      <c r="C25" s="1" t="n">
        <v>45294</v>
      </c>
      <c r="D25" t="inlineStr">
        <is>
          <t>VÄSTMANLANDS LÄN</t>
        </is>
      </c>
      <c r="E25" t="inlineStr">
        <is>
          <t>SURAHAMMAR</t>
        </is>
      </c>
      <c r="F25" t="inlineStr">
        <is>
          <t>Sveaskog</t>
        </is>
      </c>
      <c r="G25" t="n">
        <v>5.7</v>
      </c>
      <c r="H25" t="n">
        <v>0</v>
      </c>
      <c r="I25" t="n">
        <v>1</v>
      </c>
      <c r="J25" t="n">
        <v>0</v>
      </c>
      <c r="K25" t="n">
        <v>0</v>
      </c>
      <c r="L25" t="n">
        <v>1</v>
      </c>
      <c r="M25" t="n">
        <v>1</v>
      </c>
      <c r="N25" t="n">
        <v>0</v>
      </c>
      <c r="O25" t="n">
        <v>2</v>
      </c>
      <c r="P25" t="n">
        <v>2</v>
      </c>
      <c r="Q25" t="n">
        <v>3</v>
      </c>
      <c r="R25" s="2" t="inlineStr">
        <is>
          <t>Skogsalm
Ask
Svart trolldruva</t>
        </is>
      </c>
      <c r="S25">
        <f>HYPERLINK("https://klasma.github.io/Logging_1907/artfynd/A 3012-2023 artfynd.xlsx", "A 3012-2023")</f>
        <v/>
      </c>
      <c r="T25">
        <f>HYPERLINK("https://klasma.github.io/Logging_1907/kartor/A 3012-2023 karta.png", "A 3012-2023")</f>
        <v/>
      </c>
      <c r="V25">
        <f>HYPERLINK("https://klasma.github.io/Logging_1907/klagomål/A 3012-2023 FSC-klagomål.docx", "A 3012-2023")</f>
        <v/>
      </c>
      <c r="W25">
        <f>HYPERLINK("https://klasma.github.io/Logging_1907/klagomålsmail/A 3012-2023 FSC-klagomål mail.docx", "A 3012-2023")</f>
        <v/>
      </c>
      <c r="X25">
        <f>HYPERLINK("https://klasma.github.io/Logging_1907/tillsyn/A 3012-2023 tillsynsbegäran.docx", "A 3012-2023")</f>
        <v/>
      </c>
      <c r="Y25">
        <f>HYPERLINK("https://klasma.github.io/Logging_1907/tillsynsmail/A 3012-2023 tillsynsbegäran mail.docx", "A 3012-2023")</f>
        <v/>
      </c>
    </row>
    <row r="26" ht="15" customHeight="1">
      <c r="A26" t="inlineStr">
        <is>
          <t>A 14587-2023</t>
        </is>
      </c>
      <c r="B26" s="1" t="n">
        <v>45013</v>
      </c>
      <c r="C26" s="1" t="n">
        <v>45294</v>
      </c>
      <c r="D26" t="inlineStr">
        <is>
          <t>VÄSTMANLANDS LÄN</t>
        </is>
      </c>
      <c r="E26" t="inlineStr">
        <is>
          <t>SURAHAMMAR</t>
        </is>
      </c>
      <c r="G26" t="n">
        <v>14.8</v>
      </c>
      <c r="H26" t="n">
        <v>1</v>
      </c>
      <c r="I26" t="n">
        <v>1</v>
      </c>
      <c r="J26" t="n">
        <v>1</v>
      </c>
      <c r="K26" t="n">
        <v>0</v>
      </c>
      <c r="L26" t="n">
        <v>0</v>
      </c>
      <c r="M26" t="n">
        <v>0</v>
      </c>
      <c r="N26" t="n">
        <v>0</v>
      </c>
      <c r="O26" t="n">
        <v>1</v>
      </c>
      <c r="P26" t="n">
        <v>0</v>
      </c>
      <c r="Q26" t="n">
        <v>3</v>
      </c>
      <c r="R26" s="2" t="inlineStr">
        <is>
          <t>Skogshare
Vedticka
Mattlummer</t>
        </is>
      </c>
      <c r="S26">
        <f>HYPERLINK("https://klasma.github.io/Logging_1907/artfynd/A 14587-2023 artfynd.xlsx", "A 14587-2023")</f>
        <v/>
      </c>
      <c r="T26">
        <f>HYPERLINK("https://klasma.github.io/Logging_1907/kartor/A 14587-2023 karta.png", "A 14587-2023")</f>
        <v/>
      </c>
      <c r="V26">
        <f>HYPERLINK("https://klasma.github.io/Logging_1907/klagomål/A 14587-2023 FSC-klagomål.docx", "A 14587-2023")</f>
        <v/>
      </c>
      <c r="W26">
        <f>HYPERLINK("https://klasma.github.io/Logging_1907/klagomålsmail/A 14587-2023 FSC-klagomål mail.docx", "A 14587-2023")</f>
        <v/>
      </c>
      <c r="X26">
        <f>HYPERLINK("https://klasma.github.io/Logging_1907/tillsyn/A 14587-2023 tillsynsbegäran.docx", "A 14587-2023")</f>
        <v/>
      </c>
      <c r="Y26">
        <f>HYPERLINK("https://klasma.github.io/Logging_1907/tillsynsmail/A 14587-2023 tillsynsbegäran mail.docx", "A 14587-2023")</f>
        <v/>
      </c>
    </row>
    <row r="27" ht="15" customHeight="1">
      <c r="A27" t="inlineStr">
        <is>
          <t>A 24222-2023</t>
        </is>
      </c>
      <c r="B27" s="1" t="n">
        <v>45079</v>
      </c>
      <c r="C27" s="1" t="n">
        <v>45294</v>
      </c>
      <c r="D27" t="inlineStr">
        <is>
          <t>VÄSTMANLANDS LÄN</t>
        </is>
      </c>
      <c r="E27" t="inlineStr">
        <is>
          <t>SURAHAMMAR</t>
        </is>
      </c>
      <c r="F27" t="inlineStr">
        <is>
          <t>Sveaskog</t>
        </is>
      </c>
      <c r="G27" t="n">
        <v>9.699999999999999</v>
      </c>
      <c r="H27" t="n">
        <v>1</v>
      </c>
      <c r="I27" t="n">
        <v>1</v>
      </c>
      <c r="J27" t="n">
        <v>1</v>
      </c>
      <c r="K27" t="n">
        <v>0</v>
      </c>
      <c r="L27" t="n">
        <v>0</v>
      </c>
      <c r="M27" t="n">
        <v>0</v>
      </c>
      <c r="N27" t="n">
        <v>0</v>
      </c>
      <c r="O27" t="n">
        <v>1</v>
      </c>
      <c r="P27" t="n">
        <v>0</v>
      </c>
      <c r="Q27" t="n">
        <v>3</v>
      </c>
      <c r="R27" s="2" t="inlineStr">
        <is>
          <t>Svinrot
Blodticka
Revlummer</t>
        </is>
      </c>
      <c r="S27">
        <f>HYPERLINK("https://klasma.github.io/Logging_1907/artfynd/A 24222-2023 artfynd.xlsx", "A 24222-2023")</f>
        <v/>
      </c>
      <c r="T27">
        <f>HYPERLINK("https://klasma.github.io/Logging_1907/kartor/A 24222-2023 karta.png", "A 24222-2023")</f>
        <v/>
      </c>
      <c r="V27">
        <f>HYPERLINK("https://klasma.github.io/Logging_1907/klagomål/A 24222-2023 FSC-klagomål.docx", "A 24222-2023")</f>
        <v/>
      </c>
      <c r="W27">
        <f>HYPERLINK("https://klasma.github.io/Logging_1907/klagomålsmail/A 24222-2023 FSC-klagomål mail.docx", "A 24222-2023")</f>
        <v/>
      </c>
      <c r="X27">
        <f>HYPERLINK("https://klasma.github.io/Logging_1907/tillsyn/A 24222-2023 tillsynsbegäran.docx", "A 24222-2023")</f>
        <v/>
      </c>
      <c r="Y27">
        <f>HYPERLINK("https://klasma.github.io/Logging_1907/tillsynsmail/A 24222-2023 tillsynsbegäran mail.docx", "A 24222-2023")</f>
        <v/>
      </c>
    </row>
    <row r="28" ht="15" customHeight="1">
      <c r="A28" t="inlineStr">
        <is>
          <t>A 48128-2023</t>
        </is>
      </c>
      <c r="B28" s="1" t="n">
        <v>45205</v>
      </c>
      <c r="C28" s="1" t="n">
        <v>45294</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49718-2023</t>
        </is>
      </c>
      <c r="B29" s="1" t="n">
        <v>45212</v>
      </c>
      <c r="C29" s="1" t="n">
        <v>45294</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row>
    <row r="30" ht="15" customHeight="1">
      <c r="A30" t="inlineStr">
        <is>
          <t>A 65024-2023</t>
        </is>
      </c>
      <c r="B30" s="1" t="n">
        <v>45282</v>
      </c>
      <c r="C30" s="1" t="n">
        <v>45294</v>
      </c>
      <c r="D30" t="inlineStr">
        <is>
          <t>VÄSTMANLANDS LÄN</t>
        </is>
      </c>
      <c r="E30" t="inlineStr">
        <is>
          <t>SURAHAMMAR</t>
        </is>
      </c>
      <c r="F30" t="inlineStr">
        <is>
          <t>Bergvik skog väst AB</t>
        </is>
      </c>
      <c r="G30" t="n">
        <v>14.9</v>
      </c>
      <c r="H30" t="n">
        <v>1</v>
      </c>
      <c r="I30" t="n">
        <v>1</v>
      </c>
      <c r="J30" t="n">
        <v>2</v>
      </c>
      <c r="K30" t="n">
        <v>0</v>
      </c>
      <c r="L30" t="n">
        <v>0</v>
      </c>
      <c r="M30" t="n">
        <v>0</v>
      </c>
      <c r="N30" t="n">
        <v>0</v>
      </c>
      <c r="O30" t="n">
        <v>2</v>
      </c>
      <c r="P30" t="n">
        <v>0</v>
      </c>
      <c r="Q30" t="n">
        <v>3</v>
      </c>
      <c r="R30" s="2" t="inlineStr">
        <is>
          <t>Gropticka
Talltita
Blodticka</t>
        </is>
      </c>
      <c r="S30">
        <f>HYPERLINK("https://klasma.github.io/Logging_1907/artfynd/A 65024-2023 artfynd.xlsx", "A 65024-2023")</f>
        <v/>
      </c>
      <c r="T30">
        <f>HYPERLINK("https://klasma.github.io/Logging_1907/kartor/A 65024-2023 karta.png", "A 65024-2023")</f>
        <v/>
      </c>
      <c r="V30">
        <f>HYPERLINK("https://klasma.github.io/Logging_1907/klagomål/A 65024-2023 FSC-klagomål.docx", "A 65024-2023")</f>
        <v/>
      </c>
      <c r="W30">
        <f>HYPERLINK("https://klasma.github.io/Logging_1907/klagomålsmail/A 65024-2023 FSC-klagomål mail.docx", "A 65024-2023")</f>
        <v/>
      </c>
      <c r="X30">
        <f>HYPERLINK("https://klasma.github.io/Logging_1907/tillsyn/A 65024-2023 tillsynsbegäran.docx", "A 65024-2023")</f>
        <v/>
      </c>
      <c r="Y30">
        <f>HYPERLINK("https://klasma.github.io/Logging_1907/tillsynsmail/A 65024-2023 tillsynsbegäran mail.docx", "A 65024-2023")</f>
        <v/>
      </c>
    </row>
    <row r="31" ht="15" customHeight="1">
      <c r="A31" t="inlineStr">
        <is>
          <t>A 65022-2023</t>
        </is>
      </c>
      <c r="B31" s="1" t="n">
        <v>45282</v>
      </c>
      <c r="C31" s="1" t="n">
        <v>45294</v>
      </c>
      <c r="D31" t="inlineStr">
        <is>
          <t>VÄSTMANLANDS LÄN</t>
        </is>
      </c>
      <c r="E31" t="inlineStr">
        <is>
          <t>SURAHAMMAR</t>
        </is>
      </c>
      <c r="F31" t="inlineStr">
        <is>
          <t>Bergvik skog väst AB</t>
        </is>
      </c>
      <c r="G31" t="n">
        <v>11</v>
      </c>
      <c r="H31" t="n">
        <v>2</v>
      </c>
      <c r="I31" t="n">
        <v>2</v>
      </c>
      <c r="J31" t="n">
        <v>0</v>
      </c>
      <c r="K31" t="n">
        <v>1</v>
      </c>
      <c r="L31" t="n">
        <v>0</v>
      </c>
      <c r="M31" t="n">
        <v>0</v>
      </c>
      <c r="N31" t="n">
        <v>0</v>
      </c>
      <c r="O31" t="n">
        <v>1</v>
      </c>
      <c r="P31" t="n">
        <v>1</v>
      </c>
      <c r="Q31" t="n">
        <v>3</v>
      </c>
      <c r="R31" s="2" t="inlineStr">
        <is>
          <t>Knärot
Bronshjon
Plattlummer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row>
    <row r="32" ht="15" customHeight="1">
      <c r="A32" t="inlineStr">
        <is>
          <t>A 43169-2020</t>
        </is>
      </c>
      <c r="B32" s="1" t="n">
        <v>44081</v>
      </c>
      <c r="C32" s="1" t="n">
        <v>45294</v>
      </c>
      <c r="D32" t="inlineStr">
        <is>
          <t>VÄSTMANLANDS LÄN</t>
        </is>
      </c>
      <c r="E32" t="inlineStr">
        <is>
          <t>SURAHAMMAR</t>
        </is>
      </c>
      <c r="F32" t="inlineStr">
        <is>
          <t>Sveaskog</t>
        </is>
      </c>
      <c r="G32" t="n">
        <v>6.4</v>
      </c>
      <c r="H32" t="n">
        <v>0</v>
      </c>
      <c r="I32" t="n">
        <v>0</v>
      </c>
      <c r="J32" t="n">
        <v>1</v>
      </c>
      <c r="K32" t="n">
        <v>1</v>
      </c>
      <c r="L32" t="n">
        <v>0</v>
      </c>
      <c r="M32" t="n">
        <v>0</v>
      </c>
      <c r="N32" t="n">
        <v>0</v>
      </c>
      <c r="O32" t="n">
        <v>2</v>
      </c>
      <c r="P32" t="n">
        <v>1</v>
      </c>
      <c r="Q32" t="n">
        <v>2</v>
      </c>
      <c r="R32" s="2" t="inlineStr">
        <is>
          <t>Hängticka
Kandelabersvamp</t>
        </is>
      </c>
      <c r="S32">
        <f>HYPERLINK("https://klasma.github.io/Logging_1907/artfynd/A 43169-2020 artfynd.xlsx", "A 43169-2020")</f>
        <v/>
      </c>
      <c r="T32">
        <f>HYPERLINK("https://klasma.github.io/Logging_1907/kartor/A 43169-2020 karta.png", "A 43169-2020")</f>
        <v/>
      </c>
      <c r="V32">
        <f>HYPERLINK("https://klasma.github.io/Logging_1907/klagomål/A 43169-2020 FSC-klagomål.docx", "A 43169-2020")</f>
        <v/>
      </c>
      <c r="W32">
        <f>HYPERLINK("https://klasma.github.io/Logging_1907/klagomålsmail/A 43169-2020 FSC-klagomål mail.docx", "A 43169-2020")</f>
        <v/>
      </c>
      <c r="X32">
        <f>HYPERLINK("https://klasma.github.io/Logging_1907/tillsyn/A 43169-2020 tillsynsbegäran.docx", "A 43169-2020")</f>
        <v/>
      </c>
      <c r="Y32">
        <f>HYPERLINK("https://klasma.github.io/Logging_1907/tillsynsmail/A 43169-2020 tillsynsbegäran mail.docx", "A 43169-2020")</f>
        <v/>
      </c>
    </row>
    <row r="33" ht="15" customHeight="1">
      <c r="A33" t="inlineStr">
        <is>
          <t>A 18717-2021</t>
        </is>
      </c>
      <c r="B33" s="1" t="n">
        <v>44306</v>
      </c>
      <c r="C33" s="1" t="n">
        <v>45294</v>
      </c>
      <c r="D33" t="inlineStr">
        <is>
          <t>VÄSTMANLANDS LÄN</t>
        </is>
      </c>
      <c r="E33" t="inlineStr">
        <is>
          <t>SURAHAMMAR</t>
        </is>
      </c>
      <c r="F33" t="inlineStr">
        <is>
          <t>Bergvik skog väst AB</t>
        </is>
      </c>
      <c r="G33" t="n">
        <v>18</v>
      </c>
      <c r="H33" t="n">
        <v>2</v>
      </c>
      <c r="I33" t="n">
        <v>0</v>
      </c>
      <c r="J33" t="n">
        <v>0</v>
      </c>
      <c r="K33" t="n">
        <v>0</v>
      </c>
      <c r="L33" t="n">
        <v>0</v>
      </c>
      <c r="M33" t="n">
        <v>0</v>
      </c>
      <c r="N33" t="n">
        <v>0</v>
      </c>
      <c r="O33" t="n">
        <v>0</v>
      </c>
      <c r="P33" t="n">
        <v>0</v>
      </c>
      <c r="Q33" t="n">
        <v>2</v>
      </c>
      <c r="R33" s="2" t="inlineStr">
        <is>
          <t>Lopplummer
Revlummer</t>
        </is>
      </c>
      <c r="S33">
        <f>HYPERLINK("https://klasma.github.io/Logging_1907/artfynd/A 18717-2021 artfynd.xlsx", "A 18717-2021")</f>
        <v/>
      </c>
      <c r="T33">
        <f>HYPERLINK("https://klasma.github.io/Logging_1907/kartor/A 18717-2021 karta.png", "A 18717-2021")</f>
        <v/>
      </c>
      <c r="V33">
        <f>HYPERLINK("https://klasma.github.io/Logging_1907/klagomål/A 18717-2021 FSC-klagomål.docx", "A 18717-2021")</f>
        <v/>
      </c>
      <c r="W33">
        <f>HYPERLINK("https://klasma.github.io/Logging_1907/klagomålsmail/A 18717-2021 FSC-klagomål mail.docx", "A 18717-2021")</f>
        <v/>
      </c>
      <c r="X33">
        <f>HYPERLINK("https://klasma.github.io/Logging_1907/tillsyn/A 18717-2021 tillsynsbegäran.docx", "A 18717-2021")</f>
        <v/>
      </c>
      <c r="Y33">
        <f>HYPERLINK("https://klasma.github.io/Logging_1907/tillsynsmail/A 18717-2021 tillsynsbegäran mail.docx", "A 18717-2021")</f>
        <v/>
      </c>
    </row>
    <row r="34" ht="15" customHeight="1">
      <c r="A34" t="inlineStr">
        <is>
          <t>A 21825-2021</t>
        </is>
      </c>
      <c r="B34" s="1" t="n">
        <v>44322</v>
      </c>
      <c r="C34" s="1" t="n">
        <v>45294</v>
      </c>
      <c r="D34" t="inlineStr">
        <is>
          <t>VÄSTMANLANDS LÄN</t>
        </is>
      </c>
      <c r="E34" t="inlineStr">
        <is>
          <t>SURAHAMMAR</t>
        </is>
      </c>
      <c r="G34" t="n">
        <v>4.7</v>
      </c>
      <c r="H34" t="n">
        <v>1</v>
      </c>
      <c r="I34" t="n">
        <v>0</v>
      </c>
      <c r="J34" t="n">
        <v>1</v>
      </c>
      <c r="K34" t="n">
        <v>0</v>
      </c>
      <c r="L34" t="n">
        <v>0</v>
      </c>
      <c r="M34" t="n">
        <v>0</v>
      </c>
      <c r="N34" t="n">
        <v>0</v>
      </c>
      <c r="O34" t="n">
        <v>1</v>
      </c>
      <c r="P34" t="n">
        <v>0</v>
      </c>
      <c r="Q34" t="n">
        <v>2</v>
      </c>
      <c r="R34" s="2" t="inlineStr">
        <is>
          <t>Svinrot
Blåsippa</t>
        </is>
      </c>
      <c r="S34">
        <f>HYPERLINK("https://klasma.github.io/Logging_1907/artfynd/A 21825-2021 artfynd.xlsx", "A 21825-2021")</f>
        <v/>
      </c>
      <c r="T34">
        <f>HYPERLINK("https://klasma.github.io/Logging_1907/kartor/A 21825-2021 karta.png", "A 21825-2021")</f>
        <v/>
      </c>
      <c r="V34">
        <f>HYPERLINK("https://klasma.github.io/Logging_1907/klagomål/A 21825-2021 FSC-klagomål.docx", "A 21825-2021")</f>
        <v/>
      </c>
      <c r="W34">
        <f>HYPERLINK("https://klasma.github.io/Logging_1907/klagomålsmail/A 21825-2021 FSC-klagomål mail.docx", "A 21825-2021")</f>
        <v/>
      </c>
      <c r="X34">
        <f>HYPERLINK("https://klasma.github.io/Logging_1907/tillsyn/A 21825-2021 tillsynsbegäran.docx", "A 21825-2021")</f>
        <v/>
      </c>
      <c r="Y34">
        <f>HYPERLINK("https://klasma.github.io/Logging_1907/tillsynsmail/A 21825-2021 tillsynsbegäran mail.docx", "A 21825-2021")</f>
        <v/>
      </c>
    </row>
    <row r="35" ht="15" customHeight="1">
      <c r="A35" t="inlineStr">
        <is>
          <t>A 37801-2021</t>
        </is>
      </c>
      <c r="B35" s="1" t="n">
        <v>44402</v>
      </c>
      <c r="C35" s="1" t="n">
        <v>45294</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37800-2021</t>
        </is>
      </c>
      <c r="B36" s="1" t="n">
        <v>44402</v>
      </c>
      <c r="C36" s="1" t="n">
        <v>45294</v>
      </c>
      <c r="D36" t="inlineStr">
        <is>
          <t>VÄSTMANLANDS LÄN</t>
        </is>
      </c>
      <c r="E36" t="inlineStr">
        <is>
          <t>SURAHAMMAR</t>
        </is>
      </c>
      <c r="F36" t="inlineStr">
        <is>
          <t>Kommuner</t>
        </is>
      </c>
      <c r="G36" t="n">
        <v>1.3</v>
      </c>
      <c r="H36" t="n">
        <v>1</v>
      </c>
      <c r="I36" t="n">
        <v>0</v>
      </c>
      <c r="J36" t="n">
        <v>1</v>
      </c>
      <c r="K36" t="n">
        <v>0</v>
      </c>
      <c r="L36" t="n">
        <v>0</v>
      </c>
      <c r="M36" t="n">
        <v>0</v>
      </c>
      <c r="N36" t="n">
        <v>0</v>
      </c>
      <c r="O36" t="n">
        <v>1</v>
      </c>
      <c r="P36" t="n">
        <v>0</v>
      </c>
      <c r="Q36" t="n">
        <v>2</v>
      </c>
      <c r="R36" s="2" t="inlineStr">
        <is>
          <t>Svinrot
Grönvit nattviol</t>
        </is>
      </c>
      <c r="S36">
        <f>HYPERLINK("https://klasma.github.io/Logging_1907/artfynd/A 37800-2021 artfynd.xlsx", "A 37800-2021")</f>
        <v/>
      </c>
      <c r="T36">
        <f>HYPERLINK("https://klasma.github.io/Logging_1907/kartor/A 37800-2021 karta.png", "A 37800-2021")</f>
        <v/>
      </c>
      <c r="V36">
        <f>HYPERLINK("https://klasma.github.io/Logging_1907/klagomål/A 37800-2021 FSC-klagomål.docx", "A 37800-2021")</f>
        <v/>
      </c>
      <c r="W36">
        <f>HYPERLINK("https://klasma.github.io/Logging_1907/klagomålsmail/A 37800-2021 FSC-klagomål mail.docx", "A 37800-2021")</f>
        <v/>
      </c>
      <c r="X36">
        <f>HYPERLINK("https://klasma.github.io/Logging_1907/tillsyn/A 37800-2021 tillsynsbegäran.docx", "A 37800-2021")</f>
        <v/>
      </c>
      <c r="Y36">
        <f>HYPERLINK("https://klasma.github.io/Logging_1907/tillsynsmail/A 37800-2021 tillsynsbegäran mail.docx", "A 37800-2021")</f>
        <v/>
      </c>
    </row>
    <row r="37" ht="15" customHeight="1">
      <c r="A37" t="inlineStr">
        <is>
          <t>A 38200-2021</t>
        </is>
      </c>
      <c r="B37" s="1" t="n">
        <v>44405</v>
      </c>
      <c r="C37" s="1" t="n">
        <v>45294</v>
      </c>
      <c r="D37" t="inlineStr">
        <is>
          <t>VÄSTMANLANDS LÄN</t>
        </is>
      </c>
      <c r="E37" t="inlineStr">
        <is>
          <t>SURAHAMMAR</t>
        </is>
      </c>
      <c r="F37" t="inlineStr">
        <is>
          <t>Sveaskog</t>
        </is>
      </c>
      <c r="G37" t="n">
        <v>1.5</v>
      </c>
      <c r="H37" t="n">
        <v>0</v>
      </c>
      <c r="I37" t="n">
        <v>0</v>
      </c>
      <c r="J37" t="n">
        <v>1</v>
      </c>
      <c r="K37" t="n">
        <v>1</v>
      </c>
      <c r="L37" t="n">
        <v>0</v>
      </c>
      <c r="M37" t="n">
        <v>0</v>
      </c>
      <c r="N37" t="n">
        <v>0</v>
      </c>
      <c r="O37" t="n">
        <v>2</v>
      </c>
      <c r="P37" t="n">
        <v>1</v>
      </c>
      <c r="Q37" t="n">
        <v>2</v>
      </c>
      <c r="R37" s="2" t="inlineStr">
        <is>
          <t>Vågticka
Svinrot</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7845-2022</t>
        </is>
      </c>
      <c r="B38" s="1" t="n">
        <v>44608</v>
      </c>
      <c r="C38" s="1" t="n">
        <v>45294</v>
      </c>
      <c r="D38" t="inlineStr">
        <is>
          <t>VÄSTMANLANDS LÄN</t>
        </is>
      </c>
      <c r="E38" t="inlineStr">
        <is>
          <t>SURAHAMMAR</t>
        </is>
      </c>
      <c r="G38" t="n">
        <v>3</v>
      </c>
      <c r="H38" t="n">
        <v>1</v>
      </c>
      <c r="I38" t="n">
        <v>1</v>
      </c>
      <c r="J38" t="n">
        <v>0</v>
      </c>
      <c r="K38" t="n">
        <v>1</v>
      </c>
      <c r="L38" t="n">
        <v>0</v>
      </c>
      <c r="M38" t="n">
        <v>0</v>
      </c>
      <c r="N38" t="n">
        <v>0</v>
      </c>
      <c r="O38" t="n">
        <v>1</v>
      </c>
      <c r="P38" t="n">
        <v>1</v>
      </c>
      <c r="Q38" t="n">
        <v>2</v>
      </c>
      <c r="R38" s="2" t="inlineStr">
        <is>
          <t>Knärot
Vedticka</t>
        </is>
      </c>
      <c r="S38">
        <f>HYPERLINK("https://klasma.github.io/Logging_1907/artfynd/A 7845-2022 artfynd.xlsx", "A 7845-2022")</f>
        <v/>
      </c>
      <c r="T38">
        <f>HYPERLINK("https://klasma.github.io/Logging_1907/kartor/A 7845-2022 karta.png", "A 7845-2022")</f>
        <v/>
      </c>
      <c r="U38">
        <f>HYPERLINK("https://klasma.github.io/Logging_1907/knärot/A 7845-2022 karta knärot.png", "A 7845-2022")</f>
        <v/>
      </c>
      <c r="V38">
        <f>HYPERLINK("https://klasma.github.io/Logging_1907/klagomål/A 7845-2022 FSC-klagomål.docx", "A 7845-2022")</f>
        <v/>
      </c>
      <c r="W38">
        <f>HYPERLINK("https://klasma.github.io/Logging_1907/klagomålsmail/A 7845-2022 FSC-klagomål mail.docx", "A 7845-2022")</f>
        <v/>
      </c>
      <c r="X38">
        <f>HYPERLINK("https://klasma.github.io/Logging_1907/tillsyn/A 7845-2022 tillsynsbegäran.docx", "A 7845-2022")</f>
        <v/>
      </c>
      <c r="Y38">
        <f>HYPERLINK("https://klasma.github.io/Logging_1907/tillsynsmail/A 7845-2022 tillsynsbegäran mail.docx", "A 7845-2022")</f>
        <v/>
      </c>
    </row>
    <row r="39" ht="15" customHeight="1">
      <c r="A39" t="inlineStr">
        <is>
          <t>A 12116-2023</t>
        </is>
      </c>
      <c r="B39" s="1" t="n">
        <v>44995</v>
      </c>
      <c r="C39" s="1" t="n">
        <v>45294</v>
      </c>
      <c r="D39" t="inlineStr">
        <is>
          <t>VÄSTMANLANDS LÄN</t>
        </is>
      </c>
      <c r="E39" t="inlineStr">
        <is>
          <t>SURAHAMMAR</t>
        </is>
      </c>
      <c r="G39" t="n">
        <v>9.300000000000001</v>
      </c>
      <c r="H39" t="n">
        <v>2</v>
      </c>
      <c r="I39" t="n">
        <v>0</v>
      </c>
      <c r="J39" t="n">
        <v>1</v>
      </c>
      <c r="K39" t="n">
        <v>0</v>
      </c>
      <c r="L39" t="n">
        <v>1</v>
      </c>
      <c r="M39" t="n">
        <v>0</v>
      </c>
      <c r="N39" t="n">
        <v>0</v>
      </c>
      <c r="O39" t="n">
        <v>2</v>
      </c>
      <c r="P39" t="n">
        <v>1</v>
      </c>
      <c r="Q39" t="n">
        <v>2</v>
      </c>
      <c r="R39" s="2" t="inlineStr">
        <is>
          <t>Tornseglare
Spillkråka</t>
        </is>
      </c>
      <c r="S39">
        <f>HYPERLINK("https://klasma.github.io/Logging_1907/artfynd/A 12116-2023 artfynd.xlsx", "A 12116-2023")</f>
        <v/>
      </c>
      <c r="T39">
        <f>HYPERLINK("https://klasma.github.io/Logging_1907/kartor/A 12116-2023 karta.png", "A 12116-2023")</f>
        <v/>
      </c>
      <c r="V39">
        <f>HYPERLINK("https://klasma.github.io/Logging_1907/klagomål/A 12116-2023 FSC-klagomål.docx", "A 12116-2023")</f>
        <v/>
      </c>
      <c r="W39">
        <f>HYPERLINK("https://klasma.github.io/Logging_1907/klagomålsmail/A 12116-2023 FSC-klagomål mail.docx", "A 12116-2023")</f>
        <v/>
      </c>
      <c r="X39">
        <f>HYPERLINK("https://klasma.github.io/Logging_1907/tillsyn/A 12116-2023 tillsynsbegäran.docx", "A 12116-2023")</f>
        <v/>
      </c>
      <c r="Y39">
        <f>HYPERLINK("https://klasma.github.io/Logging_1907/tillsynsmail/A 12116-2023 tillsynsbegäran mail.docx", "A 12116-2023")</f>
        <v/>
      </c>
    </row>
    <row r="40" ht="15" customHeight="1">
      <c r="A40" t="inlineStr">
        <is>
          <t>A 16217-2023</t>
        </is>
      </c>
      <c r="B40" s="1" t="n">
        <v>45022</v>
      </c>
      <c r="C40" s="1" t="n">
        <v>45294</v>
      </c>
      <c r="D40" t="inlineStr">
        <is>
          <t>VÄSTMANLANDS LÄN</t>
        </is>
      </c>
      <c r="E40" t="inlineStr">
        <is>
          <t>SURAHAMMAR</t>
        </is>
      </c>
      <c r="G40" t="n">
        <v>2.6</v>
      </c>
      <c r="H40" t="n">
        <v>1</v>
      </c>
      <c r="I40" t="n">
        <v>1</v>
      </c>
      <c r="J40" t="n">
        <v>1</v>
      </c>
      <c r="K40" t="n">
        <v>0</v>
      </c>
      <c r="L40" t="n">
        <v>0</v>
      </c>
      <c r="M40" t="n">
        <v>0</v>
      </c>
      <c r="N40" t="n">
        <v>0</v>
      </c>
      <c r="O40" t="n">
        <v>1</v>
      </c>
      <c r="P40" t="n">
        <v>0</v>
      </c>
      <c r="Q40" t="n">
        <v>2</v>
      </c>
      <c r="R40" s="2" t="inlineStr">
        <is>
          <t>Tretåig hackspett
Gullgröppa</t>
        </is>
      </c>
      <c r="S40">
        <f>HYPERLINK("https://klasma.github.io/Logging_1907/artfynd/A 16217-2023 artfynd.xlsx", "A 16217-2023")</f>
        <v/>
      </c>
      <c r="T40">
        <f>HYPERLINK("https://klasma.github.io/Logging_1907/kartor/A 16217-2023 karta.png", "A 16217-2023")</f>
        <v/>
      </c>
      <c r="V40">
        <f>HYPERLINK("https://klasma.github.io/Logging_1907/klagomål/A 16217-2023 FSC-klagomål.docx", "A 16217-2023")</f>
        <v/>
      </c>
      <c r="W40">
        <f>HYPERLINK("https://klasma.github.io/Logging_1907/klagomålsmail/A 16217-2023 FSC-klagomål mail.docx", "A 16217-2023")</f>
        <v/>
      </c>
      <c r="X40">
        <f>HYPERLINK("https://klasma.github.io/Logging_1907/tillsyn/A 16217-2023 tillsynsbegäran.docx", "A 16217-2023")</f>
        <v/>
      </c>
      <c r="Y40">
        <f>HYPERLINK("https://klasma.github.io/Logging_1907/tillsynsmail/A 16217-2023 tillsynsbegäran mail.docx", "A 16217-2023")</f>
        <v/>
      </c>
    </row>
    <row r="41" ht="15" customHeight="1">
      <c r="A41" t="inlineStr">
        <is>
          <t>A 23734-2023</t>
        </is>
      </c>
      <c r="B41" s="1" t="n">
        <v>45077</v>
      </c>
      <c r="C41" s="1" t="n">
        <v>45294</v>
      </c>
      <c r="D41" t="inlineStr">
        <is>
          <t>VÄSTMANLANDS LÄN</t>
        </is>
      </c>
      <c r="E41" t="inlineStr">
        <is>
          <t>SURAHAMMAR</t>
        </is>
      </c>
      <c r="F41" t="inlineStr">
        <is>
          <t>Sveaskog</t>
        </is>
      </c>
      <c r="G41" t="n">
        <v>6.7</v>
      </c>
      <c r="H41" t="n">
        <v>0</v>
      </c>
      <c r="I41" t="n">
        <v>0</v>
      </c>
      <c r="J41" t="n">
        <v>1</v>
      </c>
      <c r="K41" t="n">
        <v>1</v>
      </c>
      <c r="L41" t="n">
        <v>0</v>
      </c>
      <c r="M41" t="n">
        <v>0</v>
      </c>
      <c r="N41" t="n">
        <v>0</v>
      </c>
      <c r="O41" t="n">
        <v>2</v>
      </c>
      <c r="P41" t="n">
        <v>1</v>
      </c>
      <c r="Q41" t="n">
        <v>2</v>
      </c>
      <c r="R41" s="2" t="inlineStr">
        <is>
          <t>Hängticka
Kandelabersvamp</t>
        </is>
      </c>
      <c r="S41">
        <f>HYPERLINK("https://klasma.github.io/Logging_1907/artfynd/A 23734-2023 artfynd.xlsx", "A 23734-2023")</f>
        <v/>
      </c>
      <c r="T41">
        <f>HYPERLINK("https://klasma.github.io/Logging_1907/kartor/A 23734-2023 karta.png", "A 23734-2023")</f>
        <v/>
      </c>
      <c r="V41">
        <f>HYPERLINK("https://klasma.github.io/Logging_1907/klagomål/A 23734-2023 FSC-klagomål.docx", "A 23734-2023")</f>
        <v/>
      </c>
      <c r="W41">
        <f>HYPERLINK("https://klasma.github.io/Logging_1907/klagomålsmail/A 23734-2023 FSC-klagomål mail.docx", "A 23734-2023")</f>
        <v/>
      </c>
      <c r="X41">
        <f>HYPERLINK("https://klasma.github.io/Logging_1907/tillsyn/A 23734-2023 tillsynsbegäran.docx", "A 23734-2023")</f>
        <v/>
      </c>
      <c r="Y41">
        <f>HYPERLINK("https://klasma.github.io/Logging_1907/tillsynsmail/A 23734-2023 tillsynsbegäran mail.docx", "A 23734-2023")</f>
        <v/>
      </c>
    </row>
    <row r="42" ht="15" customHeight="1">
      <c r="A42" t="inlineStr">
        <is>
          <t>A 28043-2023</t>
        </is>
      </c>
      <c r="B42" s="1" t="n">
        <v>45099</v>
      </c>
      <c r="C42" s="1" t="n">
        <v>45294</v>
      </c>
      <c r="D42" t="inlineStr">
        <is>
          <t>VÄSTMANLANDS LÄN</t>
        </is>
      </c>
      <c r="E42" t="inlineStr">
        <is>
          <t>SURAHAMMAR</t>
        </is>
      </c>
      <c r="F42" t="inlineStr">
        <is>
          <t>Allmännings- och besparingsskogar</t>
        </is>
      </c>
      <c r="G42" t="n">
        <v>23.9</v>
      </c>
      <c r="H42" t="n">
        <v>1</v>
      </c>
      <c r="I42" t="n">
        <v>0</v>
      </c>
      <c r="J42" t="n">
        <v>1</v>
      </c>
      <c r="K42" t="n">
        <v>0</v>
      </c>
      <c r="L42" t="n">
        <v>0</v>
      </c>
      <c r="M42" t="n">
        <v>0</v>
      </c>
      <c r="N42" t="n">
        <v>0</v>
      </c>
      <c r="O42" t="n">
        <v>1</v>
      </c>
      <c r="P42" t="n">
        <v>0</v>
      </c>
      <c r="Q42" t="n">
        <v>2</v>
      </c>
      <c r="R42" s="2" t="inlineStr">
        <is>
          <t>Gropticka
Revlummer</t>
        </is>
      </c>
      <c r="S42">
        <f>HYPERLINK("https://klasma.github.io/Logging_1907/artfynd/A 28043-2023 artfynd.xlsx", "A 28043-2023")</f>
        <v/>
      </c>
      <c r="T42">
        <f>HYPERLINK("https://klasma.github.io/Logging_1907/kartor/A 28043-2023 karta.png", "A 28043-2023")</f>
        <v/>
      </c>
      <c r="V42">
        <f>HYPERLINK("https://klasma.github.io/Logging_1907/klagomål/A 28043-2023 FSC-klagomål.docx", "A 28043-2023")</f>
        <v/>
      </c>
      <c r="W42">
        <f>HYPERLINK("https://klasma.github.io/Logging_1907/klagomålsmail/A 28043-2023 FSC-klagomål mail.docx", "A 28043-2023")</f>
        <v/>
      </c>
      <c r="X42">
        <f>HYPERLINK("https://klasma.github.io/Logging_1907/tillsyn/A 28043-2023 tillsynsbegäran.docx", "A 28043-2023")</f>
        <v/>
      </c>
      <c r="Y42">
        <f>HYPERLINK("https://klasma.github.io/Logging_1907/tillsynsmail/A 28043-2023 tillsynsbegäran mail.docx", "A 28043-2023")</f>
        <v/>
      </c>
    </row>
    <row r="43" ht="15" customHeight="1">
      <c r="A43" t="inlineStr">
        <is>
          <t>A 41204-2023</t>
        </is>
      </c>
      <c r="B43" s="1" t="n">
        <v>45174</v>
      </c>
      <c r="C43" s="1" t="n">
        <v>45294</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48891-2023</t>
        </is>
      </c>
      <c r="B44" s="1" t="n">
        <v>45203</v>
      </c>
      <c r="C44" s="1" t="n">
        <v>45294</v>
      </c>
      <c r="D44" t="inlineStr">
        <is>
          <t>VÄSTMANLANDS LÄN</t>
        </is>
      </c>
      <c r="E44" t="inlineStr">
        <is>
          <t>SURAHAMMAR</t>
        </is>
      </c>
      <c r="F44" t="inlineStr">
        <is>
          <t>Bergvik skog väst AB</t>
        </is>
      </c>
      <c r="G44" t="n">
        <v>2.9</v>
      </c>
      <c r="H44" t="n">
        <v>1</v>
      </c>
      <c r="I44" t="n">
        <v>1</v>
      </c>
      <c r="J44" t="n">
        <v>1</v>
      </c>
      <c r="K44" t="n">
        <v>0</v>
      </c>
      <c r="L44" t="n">
        <v>0</v>
      </c>
      <c r="M44" t="n">
        <v>0</v>
      </c>
      <c r="N44" t="n">
        <v>0</v>
      </c>
      <c r="O44" t="n">
        <v>1</v>
      </c>
      <c r="P44" t="n">
        <v>0</v>
      </c>
      <c r="Q44" t="n">
        <v>2</v>
      </c>
      <c r="R44" s="2" t="inlineStr">
        <is>
          <t>Spillkråka
Flagellkvastmossa</t>
        </is>
      </c>
      <c r="S44">
        <f>HYPERLINK("https://klasma.github.io/Logging_1907/artfynd/A 48891-2023 artfynd.xlsx", "A 48891-2023")</f>
        <v/>
      </c>
      <c r="T44">
        <f>HYPERLINK("https://klasma.github.io/Logging_1907/kartor/A 48891-2023 karta.png", "A 48891-2023")</f>
        <v/>
      </c>
      <c r="V44">
        <f>HYPERLINK("https://klasma.github.io/Logging_1907/klagomål/A 48891-2023 FSC-klagomål.docx", "A 48891-2023")</f>
        <v/>
      </c>
      <c r="W44">
        <f>HYPERLINK("https://klasma.github.io/Logging_1907/klagomålsmail/A 48891-2023 FSC-klagomål mail.docx", "A 48891-2023")</f>
        <v/>
      </c>
      <c r="X44">
        <f>HYPERLINK("https://klasma.github.io/Logging_1907/tillsyn/A 48891-2023 tillsynsbegäran.docx", "A 48891-2023")</f>
        <v/>
      </c>
      <c r="Y44">
        <f>HYPERLINK("https://klasma.github.io/Logging_1907/tillsynsmail/A 48891-2023 tillsynsbegäran mail.docx", "A 48891-2023")</f>
        <v/>
      </c>
    </row>
    <row r="45" ht="15" customHeight="1">
      <c r="A45" t="inlineStr">
        <is>
          <t>A 4575-2019</t>
        </is>
      </c>
      <c r="B45" s="1" t="n">
        <v>43486</v>
      </c>
      <c r="C45" s="1" t="n">
        <v>45294</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45294</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45294</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45294</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45294</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45294</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45294</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45294</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45294</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45294</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45294</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45294</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45294</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45294</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45294</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45294</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45294</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45294</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45294</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45294</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45294</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45294</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45294</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45294</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45294</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row>
    <row r="70" ht="15" customHeight="1">
      <c r="A70" t="inlineStr">
        <is>
          <t>A 22840-2023</t>
        </is>
      </c>
      <c r="B70" s="1" t="n">
        <v>45072</v>
      </c>
      <c r="C70" s="1" t="n">
        <v>45294</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45294</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row>
    <row r="72" ht="15" customHeight="1">
      <c r="A72" t="inlineStr">
        <is>
          <t>A 27170-2023</t>
        </is>
      </c>
      <c r="B72" s="1" t="n">
        <v>45096</v>
      </c>
      <c r="C72" s="1" t="n">
        <v>45294</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45294</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45294</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45294</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45294</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59303-2018</t>
        </is>
      </c>
      <c r="B77" s="1" t="n">
        <v>43418</v>
      </c>
      <c r="C77" s="1" t="n">
        <v>45294</v>
      </c>
      <c r="D77" t="inlineStr">
        <is>
          <t>VÄSTMANLANDS LÄN</t>
        </is>
      </c>
      <c r="E77" t="inlineStr">
        <is>
          <t>SURAHAMMAR</t>
        </is>
      </c>
      <c r="G77" t="n">
        <v>3.2</v>
      </c>
      <c r="H77" t="n">
        <v>0</v>
      </c>
      <c r="I77" t="n">
        <v>0</v>
      </c>
      <c r="J77" t="n">
        <v>0</v>
      </c>
      <c r="K77" t="n">
        <v>0</v>
      </c>
      <c r="L77" t="n">
        <v>0</v>
      </c>
      <c r="M77" t="n">
        <v>0</v>
      </c>
      <c r="N77" t="n">
        <v>0</v>
      </c>
      <c r="O77" t="n">
        <v>0</v>
      </c>
      <c r="P77" t="n">
        <v>0</v>
      </c>
      <c r="Q77" t="n">
        <v>0</v>
      </c>
      <c r="R77" s="2" t="inlineStr"/>
    </row>
    <row r="78" ht="15" customHeight="1">
      <c r="A78" t="inlineStr">
        <is>
          <t>A 69582-2018</t>
        </is>
      </c>
      <c r="B78" s="1" t="n">
        <v>43446</v>
      </c>
      <c r="C78" s="1" t="n">
        <v>45294</v>
      </c>
      <c r="D78" t="inlineStr">
        <is>
          <t>VÄSTMANLANDS LÄN</t>
        </is>
      </c>
      <c r="E78" t="inlineStr">
        <is>
          <t>SURAHAMMAR</t>
        </is>
      </c>
      <c r="G78" t="n">
        <v>1.3</v>
      </c>
      <c r="H78" t="n">
        <v>0</v>
      </c>
      <c r="I78" t="n">
        <v>0</v>
      </c>
      <c r="J78" t="n">
        <v>0</v>
      </c>
      <c r="K78" t="n">
        <v>0</v>
      </c>
      <c r="L78" t="n">
        <v>0</v>
      </c>
      <c r="M78" t="n">
        <v>0</v>
      </c>
      <c r="N78" t="n">
        <v>0</v>
      </c>
      <c r="O78" t="n">
        <v>0</v>
      </c>
      <c r="P78" t="n">
        <v>0</v>
      </c>
      <c r="Q78" t="n">
        <v>0</v>
      </c>
      <c r="R78" s="2" t="inlineStr"/>
    </row>
    <row r="79" ht="15" customHeight="1">
      <c r="A79" t="inlineStr">
        <is>
          <t>A 143-2019</t>
        </is>
      </c>
      <c r="B79" s="1" t="n">
        <v>43467</v>
      </c>
      <c r="C79" s="1" t="n">
        <v>45294</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7751-2019</t>
        </is>
      </c>
      <c r="B80" s="1" t="n">
        <v>43493</v>
      </c>
      <c r="C80" s="1" t="n">
        <v>45294</v>
      </c>
      <c r="D80" t="inlineStr">
        <is>
          <t>VÄSTMANLANDS LÄN</t>
        </is>
      </c>
      <c r="E80" t="inlineStr">
        <is>
          <t>SURAHAMMAR</t>
        </is>
      </c>
      <c r="G80" t="n">
        <v>4.1</v>
      </c>
      <c r="H80" t="n">
        <v>0</v>
      </c>
      <c r="I80" t="n">
        <v>0</v>
      </c>
      <c r="J80" t="n">
        <v>0</v>
      </c>
      <c r="K80" t="n">
        <v>0</v>
      </c>
      <c r="L80" t="n">
        <v>0</v>
      </c>
      <c r="M80" t="n">
        <v>0</v>
      </c>
      <c r="N80" t="n">
        <v>0</v>
      </c>
      <c r="O80" t="n">
        <v>0</v>
      </c>
      <c r="P80" t="n">
        <v>0</v>
      </c>
      <c r="Q80" t="n">
        <v>0</v>
      </c>
      <c r="R80" s="2" t="inlineStr"/>
    </row>
    <row r="81" ht="15" customHeight="1">
      <c r="A81" t="inlineStr">
        <is>
          <t>A 9397-2019</t>
        </is>
      </c>
      <c r="B81" s="1" t="n">
        <v>43507</v>
      </c>
      <c r="C81" s="1" t="n">
        <v>45294</v>
      </c>
      <c r="D81" t="inlineStr">
        <is>
          <t>VÄSTMANLANDS LÄN</t>
        </is>
      </c>
      <c r="E81" t="inlineStr">
        <is>
          <t>SURAHAMMAR</t>
        </is>
      </c>
      <c r="G81" t="n">
        <v>1</v>
      </c>
      <c r="H81" t="n">
        <v>0</v>
      </c>
      <c r="I81" t="n">
        <v>0</v>
      </c>
      <c r="J81" t="n">
        <v>0</v>
      </c>
      <c r="K81" t="n">
        <v>0</v>
      </c>
      <c r="L81" t="n">
        <v>0</v>
      </c>
      <c r="M81" t="n">
        <v>0</v>
      </c>
      <c r="N81" t="n">
        <v>0</v>
      </c>
      <c r="O81" t="n">
        <v>0</v>
      </c>
      <c r="P81" t="n">
        <v>0</v>
      </c>
      <c r="Q81" t="n">
        <v>0</v>
      </c>
      <c r="R81" s="2" t="inlineStr"/>
    </row>
    <row r="82" ht="15" customHeight="1">
      <c r="A82" t="inlineStr">
        <is>
          <t>A 9790-2019</t>
        </is>
      </c>
      <c r="B82" s="1" t="n">
        <v>43509</v>
      </c>
      <c r="C82" s="1" t="n">
        <v>45294</v>
      </c>
      <c r="D82" t="inlineStr">
        <is>
          <t>VÄSTMANLANDS LÄN</t>
        </is>
      </c>
      <c r="E82" t="inlineStr">
        <is>
          <t>SURAHAMMAR</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17946-2019</t>
        </is>
      </c>
      <c r="B83" s="1" t="n">
        <v>43557</v>
      </c>
      <c r="C83" s="1" t="n">
        <v>45294</v>
      </c>
      <c r="D83" t="inlineStr">
        <is>
          <t>VÄSTMANLANDS LÄN</t>
        </is>
      </c>
      <c r="E83" t="inlineStr">
        <is>
          <t>SURAHAMMAR</t>
        </is>
      </c>
      <c r="G83" t="n">
        <v>9.9</v>
      </c>
      <c r="H83" t="n">
        <v>0</v>
      </c>
      <c r="I83" t="n">
        <v>0</v>
      </c>
      <c r="J83" t="n">
        <v>0</v>
      </c>
      <c r="K83" t="n">
        <v>0</v>
      </c>
      <c r="L83" t="n">
        <v>0</v>
      </c>
      <c r="M83" t="n">
        <v>0</v>
      </c>
      <c r="N83" t="n">
        <v>0</v>
      </c>
      <c r="O83" t="n">
        <v>0</v>
      </c>
      <c r="P83" t="n">
        <v>0</v>
      </c>
      <c r="Q83" t="n">
        <v>0</v>
      </c>
      <c r="R83" s="2" t="inlineStr"/>
    </row>
    <row r="84" ht="15" customHeight="1">
      <c r="A84" t="inlineStr">
        <is>
          <t>A 18953-2019</t>
        </is>
      </c>
      <c r="B84" s="1" t="n">
        <v>43563</v>
      </c>
      <c r="C84" s="1" t="n">
        <v>45294</v>
      </c>
      <c r="D84" t="inlineStr">
        <is>
          <t>VÄSTMANLANDS LÄN</t>
        </is>
      </c>
      <c r="E84" t="inlineStr">
        <is>
          <t>SURAHAMMAR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18960-2019</t>
        </is>
      </c>
      <c r="B85" s="1" t="n">
        <v>43563</v>
      </c>
      <c r="C85" s="1" t="n">
        <v>45294</v>
      </c>
      <c r="D85" t="inlineStr">
        <is>
          <t>VÄSTMANLANDS LÄN</t>
        </is>
      </c>
      <c r="E85" t="inlineStr">
        <is>
          <t>SURAHAMMAR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19659-2019</t>
        </is>
      </c>
      <c r="B86" s="1" t="n">
        <v>43566</v>
      </c>
      <c r="C86" s="1" t="n">
        <v>45294</v>
      </c>
      <c r="D86" t="inlineStr">
        <is>
          <t>VÄSTMANLANDS LÄN</t>
        </is>
      </c>
      <c r="E86" t="inlineStr">
        <is>
          <t>SURAHAMMAR</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20127-2019</t>
        </is>
      </c>
      <c r="B87" s="1" t="n">
        <v>43570</v>
      </c>
      <c r="C87" s="1" t="n">
        <v>45294</v>
      </c>
      <c r="D87" t="inlineStr">
        <is>
          <t>VÄSTMANLANDS LÄN</t>
        </is>
      </c>
      <c r="E87" t="inlineStr">
        <is>
          <t>SURAHAMMAR</t>
        </is>
      </c>
      <c r="G87" t="n">
        <v>2.6</v>
      </c>
      <c r="H87" t="n">
        <v>0</v>
      </c>
      <c r="I87" t="n">
        <v>0</v>
      </c>
      <c r="J87" t="n">
        <v>0</v>
      </c>
      <c r="K87" t="n">
        <v>0</v>
      </c>
      <c r="L87" t="n">
        <v>0</v>
      </c>
      <c r="M87" t="n">
        <v>0</v>
      </c>
      <c r="N87" t="n">
        <v>0</v>
      </c>
      <c r="O87" t="n">
        <v>0</v>
      </c>
      <c r="P87" t="n">
        <v>0</v>
      </c>
      <c r="Q87" t="n">
        <v>0</v>
      </c>
      <c r="R87" s="2" t="inlineStr"/>
    </row>
    <row r="88" ht="15" customHeight="1">
      <c r="A88" t="inlineStr">
        <is>
          <t>A 20904-2019</t>
        </is>
      </c>
      <c r="B88" s="1" t="n">
        <v>43578</v>
      </c>
      <c r="C88" s="1" t="n">
        <v>45294</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22834-2019</t>
        </is>
      </c>
      <c r="B89" s="1" t="n">
        <v>43591</v>
      </c>
      <c r="C89" s="1" t="n">
        <v>45294</v>
      </c>
      <c r="D89" t="inlineStr">
        <is>
          <t>VÄSTMANLANDS LÄN</t>
        </is>
      </c>
      <c r="E89" t="inlineStr">
        <is>
          <t>SURAHAMMAR</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28274-2019</t>
        </is>
      </c>
      <c r="B90" s="1" t="n">
        <v>43623</v>
      </c>
      <c r="C90" s="1" t="n">
        <v>45294</v>
      </c>
      <c r="D90" t="inlineStr">
        <is>
          <t>VÄSTMANLANDS LÄN</t>
        </is>
      </c>
      <c r="E90" t="inlineStr">
        <is>
          <t>SURAHAMMAR</t>
        </is>
      </c>
      <c r="F90" t="inlineStr">
        <is>
          <t>Allmännings- och besparingsskogar</t>
        </is>
      </c>
      <c r="G90" t="n">
        <v>0.7</v>
      </c>
      <c r="H90" t="n">
        <v>0</v>
      </c>
      <c r="I90" t="n">
        <v>0</v>
      </c>
      <c r="J90" t="n">
        <v>0</v>
      </c>
      <c r="K90" t="n">
        <v>0</v>
      </c>
      <c r="L90" t="n">
        <v>0</v>
      </c>
      <c r="M90" t="n">
        <v>0</v>
      </c>
      <c r="N90" t="n">
        <v>0</v>
      </c>
      <c r="O90" t="n">
        <v>0</v>
      </c>
      <c r="P90" t="n">
        <v>0</v>
      </c>
      <c r="Q90" t="n">
        <v>0</v>
      </c>
      <c r="R90" s="2" t="inlineStr"/>
    </row>
    <row r="91" ht="15" customHeight="1">
      <c r="A91" t="inlineStr">
        <is>
          <t>A 29523-2019</t>
        </is>
      </c>
      <c r="B91" s="1" t="n">
        <v>43630</v>
      </c>
      <c r="C91" s="1" t="n">
        <v>45294</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31008-2019</t>
        </is>
      </c>
      <c r="B92" s="1" t="n">
        <v>43640</v>
      </c>
      <c r="C92" s="1" t="n">
        <v>45294</v>
      </c>
      <c r="D92" t="inlineStr">
        <is>
          <t>VÄSTMANLANDS LÄN</t>
        </is>
      </c>
      <c r="E92" t="inlineStr">
        <is>
          <t>SURAHAMMAR</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39552-2019</t>
        </is>
      </c>
      <c r="B93" s="1" t="n">
        <v>43691</v>
      </c>
      <c r="C93" s="1" t="n">
        <v>45294</v>
      </c>
      <c r="D93" t="inlineStr">
        <is>
          <t>VÄSTMANLANDS LÄN</t>
        </is>
      </c>
      <c r="E93" t="inlineStr">
        <is>
          <t>SURAHAMMAR</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39754-2019</t>
        </is>
      </c>
      <c r="B94" s="1" t="n">
        <v>43692</v>
      </c>
      <c r="C94" s="1" t="n">
        <v>45294</v>
      </c>
      <c r="D94" t="inlineStr">
        <is>
          <t>VÄSTMANLANDS LÄN</t>
        </is>
      </c>
      <c r="E94" t="inlineStr">
        <is>
          <t>SURAHAMMAR</t>
        </is>
      </c>
      <c r="F94" t="inlineStr">
        <is>
          <t>Övriga Aktiebolag</t>
        </is>
      </c>
      <c r="G94" t="n">
        <v>5.7</v>
      </c>
      <c r="H94" t="n">
        <v>0</v>
      </c>
      <c r="I94" t="n">
        <v>0</v>
      </c>
      <c r="J94" t="n">
        <v>0</v>
      </c>
      <c r="K94" t="n">
        <v>0</v>
      </c>
      <c r="L94" t="n">
        <v>0</v>
      </c>
      <c r="M94" t="n">
        <v>0</v>
      </c>
      <c r="N94" t="n">
        <v>0</v>
      </c>
      <c r="O94" t="n">
        <v>0</v>
      </c>
      <c r="P94" t="n">
        <v>0</v>
      </c>
      <c r="Q94" t="n">
        <v>0</v>
      </c>
      <c r="R94" s="2" t="inlineStr"/>
    </row>
    <row r="95" ht="15" customHeight="1">
      <c r="A95" t="inlineStr">
        <is>
          <t>A 40191-2019</t>
        </is>
      </c>
      <c r="B95" s="1" t="n">
        <v>43693</v>
      </c>
      <c r="C95" s="1" t="n">
        <v>45294</v>
      </c>
      <c r="D95" t="inlineStr">
        <is>
          <t>VÄSTMANLANDS LÄN</t>
        </is>
      </c>
      <c r="E95" t="inlineStr">
        <is>
          <t>SURAHAMMAR</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60343-2019</t>
        </is>
      </c>
      <c r="B96" s="1" t="n">
        <v>43780</v>
      </c>
      <c r="C96" s="1" t="n">
        <v>45294</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64772-2019</t>
        </is>
      </c>
      <c r="B97" s="1" t="n">
        <v>43801</v>
      </c>
      <c r="C97" s="1" t="n">
        <v>45294</v>
      </c>
      <c r="D97" t="inlineStr">
        <is>
          <t>VÄSTMANLANDS LÄN</t>
        </is>
      </c>
      <c r="E97" t="inlineStr">
        <is>
          <t>SURAHAMMAR</t>
        </is>
      </c>
      <c r="F97" t="inlineStr">
        <is>
          <t>Övriga Aktiebolag</t>
        </is>
      </c>
      <c r="G97" t="n">
        <v>7</v>
      </c>
      <c r="H97" t="n">
        <v>0</v>
      </c>
      <c r="I97" t="n">
        <v>0</v>
      </c>
      <c r="J97" t="n">
        <v>0</v>
      </c>
      <c r="K97" t="n">
        <v>0</v>
      </c>
      <c r="L97" t="n">
        <v>0</v>
      </c>
      <c r="M97" t="n">
        <v>0</v>
      </c>
      <c r="N97" t="n">
        <v>0</v>
      </c>
      <c r="O97" t="n">
        <v>0</v>
      </c>
      <c r="P97" t="n">
        <v>0</v>
      </c>
      <c r="Q97" t="n">
        <v>0</v>
      </c>
      <c r="R97" s="2" t="inlineStr"/>
    </row>
    <row r="98" ht="15" customHeight="1">
      <c r="A98" t="inlineStr">
        <is>
          <t>A 66269-2019</t>
        </is>
      </c>
      <c r="B98" s="1" t="n">
        <v>43802</v>
      </c>
      <c r="C98" s="1" t="n">
        <v>45294</v>
      </c>
      <c r="D98" t="inlineStr">
        <is>
          <t>VÄSTMANLANDS LÄN</t>
        </is>
      </c>
      <c r="E98" t="inlineStr">
        <is>
          <t>SURAHAMMAR</t>
        </is>
      </c>
      <c r="G98" t="n">
        <v>0.9</v>
      </c>
      <c r="H98" t="n">
        <v>0</v>
      </c>
      <c r="I98" t="n">
        <v>0</v>
      </c>
      <c r="J98" t="n">
        <v>0</v>
      </c>
      <c r="K98" t="n">
        <v>0</v>
      </c>
      <c r="L98" t="n">
        <v>0</v>
      </c>
      <c r="M98" t="n">
        <v>0</v>
      </c>
      <c r="N98" t="n">
        <v>0</v>
      </c>
      <c r="O98" t="n">
        <v>0</v>
      </c>
      <c r="P98" t="n">
        <v>0</v>
      </c>
      <c r="Q98" t="n">
        <v>0</v>
      </c>
      <c r="R98" s="2" t="inlineStr"/>
    </row>
    <row r="99" ht="15" customHeight="1">
      <c r="A99" t="inlineStr">
        <is>
          <t>A 65619-2019</t>
        </is>
      </c>
      <c r="B99" s="1" t="n">
        <v>43804</v>
      </c>
      <c r="C99" s="1" t="n">
        <v>45294</v>
      </c>
      <c r="D99" t="inlineStr">
        <is>
          <t>VÄSTMANLANDS LÄN</t>
        </is>
      </c>
      <c r="E99" t="inlineStr">
        <is>
          <t>SURAHAMMAR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2039-2020</t>
        </is>
      </c>
      <c r="B100" s="1" t="n">
        <v>43839</v>
      </c>
      <c r="C100" s="1" t="n">
        <v>45294</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5804-2020</t>
        </is>
      </c>
      <c r="B101" s="1" t="n">
        <v>43864</v>
      </c>
      <c r="C101" s="1" t="n">
        <v>45294</v>
      </c>
      <c r="D101" t="inlineStr">
        <is>
          <t>VÄSTMANLANDS LÄN</t>
        </is>
      </c>
      <c r="E101" t="inlineStr">
        <is>
          <t>SURAHAMMAR</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8608-2020</t>
        </is>
      </c>
      <c r="B102" s="1" t="n">
        <v>43878</v>
      </c>
      <c r="C102" s="1" t="n">
        <v>45294</v>
      </c>
      <c r="D102" t="inlineStr">
        <is>
          <t>VÄSTMANLANDS LÄN</t>
        </is>
      </c>
      <c r="E102" t="inlineStr">
        <is>
          <t>SURAHAMMAR</t>
        </is>
      </c>
      <c r="F102" t="inlineStr">
        <is>
          <t>Övriga Aktiebolag</t>
        </is>
      </c>
      <c r="G102" t="n">
        <v>20.2</v>
      </c>
      <c r="H102" t="n">
        <v>0</v>
      </c>
      <c r="I102" t="n">
        <v>0</v>
      </c>
      <c r="J102" t="n">
        <v>0</v>
      </c>
      <c r="K102" t="n">
        <v>0</v>
      </c>
      <c r="L102" t="n">
        <v>0</v>
      </c>
      <c r="M102" t="n">
        <v>0</v>
      </c>
      <c r="N102" t="n">
        <v>0</v>
      </c>
      <c r="O102" t="n">
        <v>0</v>
      </c>
      <c r="P102" t="n">
        <v>0</v>
      </c>
      <c r="Q102" t="n">
        <v>0</v>
      </c>
      <c r="R102" s="2" t="inlineStr"/>
    </row>
    <row r="103" ht="15" customHeight="1">
      <c r="A103" t="inlineStr">
        <is>
          <t>A 40660-2020</t>
        </is>
      </c>
      <c r="B103" s="1" t="n">
        <v>44069</v>
      </c>
      <c r="C103" s="1" t="n">
        <v>45294</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43171-2020</t>
        </is>
      </c>
      <c r="B104" s="1" t="n">
        <v>44081</v>
      </c>
      <c r="C104" s="1" t="n">
        <v>45294</v>
      </c>
      <c r="D104" t="inlineStr">
        <is>
          <t>VÄSTMANLANDS LÄN</t>
        </is>
      </c>
      <c r="E104" t="inlineStr">
        <is>
          <t>SURAHAMMAR</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43174-2020</t>
        </is>
      </c>
      <c r="B105" s="1" t="n">
        <v>44081</v>
      </c>
      <c r="C105" s="1" t="n">
        <v>45294</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43177-2020</t>
        </is>
      </c>
      <c r="B106" s="1" t="n">
        <v>44081</v>
      </c>
      <c r="C106" s="1" t="n">
        <v>45294</v>
      </c>
      <c r="D106" t="inlineStr">
        <is>
          <t>VÄSTMANLANDS LÄN</t>
        </is>
      </c>
      <c r="E106" t="inlineStr">
        <is>
          <t>SURAHAMMAR</t>
        </is>
      </c>
      <c r="F106" t="inlineStr">
        <is>
          <t>Sveaskog</t>
        </is>
      </c>
      <c r="G106" t="n">
        <v>2.3</v>
      </c>
      <c r="H106" t="n">
        <v>0</v>
      </c>
      <c r="I106" t="n">
        <v>0</v>
      </c>
      <c r="J106" t="n">
        <v>0</v>
      </c>
      <c r="K106" t="n">
        <v>0</v>
      </c>
      <c r="L106" t="n">
        <v>0</v>
      </c>
      <c r="M106" t="n">
        <v>0</v>
      </c>
      <c r="N106" t="n">
        <v>0</v>
      </c>
      <c r="O106" t="n">
        <v>0</v>
      </c>
      <c r="P106" t="n">
        <v>0</v>
      </c>
      <c r="Q106" t="n">
        <v>0</v>
      </c>
      <c r="R106" s="2" t="inlineStr"/>
    </row>
    <row r="107" ht="15" customHeight="1">
      <c r="A107" t="inlineStr">
        <is>
          <t>A 43590-2020</t>
        </is>
      </c>
      <c r="B107" s="1" t="n">
        <v>44082</v>
      </c>
      <c r="C107" s="1" t="n">
        <v>45294</v>
      </c>
      <c r="D107" t="inlineStr">
        <is>
          <t>VÄSTMANLANDS LÄN</t>
        </is>
      </c>
      <c r="E107" t="inlineStr">
        <is>
          <t>SURAHAMMAR</t>
        </is>
      </c>
      <c r="F107" t="inlineStr">
        <is>
          <t>Sveaskog</t>
        </is>
      </c>
      <c r="G107" t="n">
        <v>2.1</v>
      </c>
      <c r="H107" t="n">
        <v>0</v>
      </c>
      <c r="I107" t="n">
        <v>0</v>
      </c>
      <c r="J107" t="n">
        <v>0</v>
      </c>
      <c r="K107" t="n">
        <v>0</v>
      </c>
      <c r="L107" t="n">
        <v>0</v>
      </c>
      <c r="M107" t="n">
        <v>0</v>
      </c>
      <c r="N107" t="n">
        <v>0</v>
      </c>
      <c r="O107" t="n">
        <v>0</v>
      </c>
      <c r="P107" t="n">
        <v>0</v>
      </c>
      <c r="Q107" t="n">
        <v>0</v>
      </c>
      <c r="R107" s="2" t="inlineStr"/>
    </row>
    <row r="108" ht="15" customHeight="1">
      <c r="A108" t="inlineStr">
        <is>
          <t>A 47997-2020</t>
        </is>
      </c>
      <c r="B108" s="1" t="n">
        <v>44099</v>
      </c>
      <c r="C108" s="1" t="n">
        <v>45294</v>
      </c>
      <c r="D108" t="inlineStr">
        <is>
          <t>VÄSTMANLANDS LÄN</t>
        </is>
      </c>
      <c r="E108" t="inlineStr">
        <is>
          <t>SURAHAMMAR</t>
        </is>
      </c>
      <c r="G108" t="n">
        <v>4.8</v>
      </c>
      <c r="H108" t="n">
        <v>0</v>
      </c>
      <c r="I108" t="n">
        <v>0</v>
      </c>
      <c r="J108" t="n">
        <v>0</v>
      </c>
      <c r="K108" t="n">
        <v>0</v>
      </c>
      <c r="L108" t="n">
        <v>0</v>
      </c>
      <c r="M108" t="n">
        <v>0</v>
      </c>
      <c r="N108" t="n">
        <v>0</v>
      </c>
      <c r="O108" t="n">
        <v>0</v>
      </c>
      <c r="P108" t="n">
        <v>0</v>
      </c>
      <c r="Q108" t="n">
        <v>0</v>
      </c>
      <c r="R108" s="2" t="inlineStr"/>
    </row>
    <row r="109" ht="15" customHeight="1">
      <c r="A109" t="inlineStr">
        <is>
          <t>A 52076-2020</t>
        </is>
      </c>
      <c r="B109" s="1" t="n">
        <v>44117</v>
      </c>
      <c r="C109" s="1" t="n">
        <v>45294</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52074-2020</t>
        </is>
      </c>
      <c r="B110" s="1" t="n">
        <v>44117</v>
      </c>
      <c r="C110" s="1" t="n">
        <v>45294</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54962-2020</t>
        </is>
      </c>
      <c r="B111" s="1" t="n">
        <v>44130</v>
      </c>
      <c r="C111" s="1" t="n">
        <v>45294</v>
      </c>
      <c r="D111" t="inlineStr">
        <is>
          <t>VÄSTMANLANDS LÄN</t>
        </is>
      </c>
      <c r="E111" t="inlineStr">
        <is>
          <t>SURAHAMMAR</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55397-2020</t>
        </is>
      </c>
      <c r="B112" s="1" t="n">
        <v>44131</v>
      </c>
      <c r="C112" s="1" t="n">
        <v>45294</v>
      </c>
      <c r="D112" t="inlineStr">
        <is>
          <t>VÄSTMANLANDS LÄN</t>
        </is>
      </c>
      <c r="E112" t="inlineStr">
        <is>
          <t>SURAHAMMAR</t>
        </is>
      </c>
      <c r="F112" t="inlineStr">
        <is>
          <t>Sveaskog</t>
        </is>
      </c>
      <c r="G112" t="n">
        <v>5</v>
      </c>
      <c r="H112" t="n">
        <v>0</v>
      </c>
      <c r="I112" t="n">
        <v>0</v>
      </c>
      <c r="J112" t="n">
        <v>0</v>
      </c>
      <c r="K112" t="n">
        <v>0</v>
      </c>
      <c r="L112" t="n">
        <v>0</v>
      </c>
      <c r="M112" t="n">
        <v>0</v>
      </c>
      <c r="N112" t="n">
        <v>0</v>
      </c>
      <c r="O112" t="n">
        <v>0</v>
      </c>
      <c r="P112" t="n">
        <v>0</v>
      </c>
      <c r="Q112" t="n">
        <v>0</v>
      </c>
      <c r="R112" s="2" t="inlineStr"/>
    </row>
    <row r="113" ht="15" customHeight="1">
      <c r="A113" t="inlineStr">
        <is>
          <t>A 59543-2020</t>
        </is>
      </c>
      <c r="B113" s="1" t="n">
        <v>44148</v>
      </c>
      <c r="C113" s="1" t="n">
        <v>45294</v>
      </c>
      <c r="D113" t="inlineStr">
        <is>
          <t>VÄSTMANLANDS LÄN</t>
        </is>
      </c>
      <c r="E113" t="inlineStr">
        <is>
          <t>SURAHAMMAR</t>
        </is>
      </c>
      <c r="G113" t="n">
        <v>1.3</v>
      </c>
      <c r="H113" t="n">
        <v>0</v>
      </c>
      <c r="I113" t="n">
        <v>0</v>
      </c>
      <c r="J113" t="n">
        <v>0</v>
      </c>
      <c r="K113" t="n">
        <v>0</v>
      </c>
      <c r="L113" t="n">
        <v>0</v>
      </c>
      <c r="M113" t="n">
        <v>0</v>
      </c>
      <c r="N113" t="n">
        <v>0</v>
      </c>
      <c r="O113" t="n">
        <v>0</v>
      </c>
      <c r="P113" t="n">
        <v>0</v>
      </c>
      <c r="Q113" t="n">
        <v>0</v>
      </c>
      <c r="R113" s="2" t="inlineStr"/>
    </row>
    <row r="114" ht="15" customHeight="1">
      <c r="A114" t="inlineStr">
        <is>
          <t>A 59740-2020</t>
        </is>
      </c>
      <c r="B114" s="1" t="n">
        <v>44151</v>
      </c>
      <c r="C114" s="1" t="n">
        <v>45294</v>
      </c>
      <c r="D114" t="inlineStr">
        <is>
          <t>VÄSTMANLANDS LÄN</t>
        </is>
      </c>
      <c r="E114" t="inlineStr">
        <is>
          <t>SURAHAMMAR</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59727-2020</t>
        </is>
      </c>
      <c r="B115" s="1" t="n">
        <v>44151</v>
      </c>
      <c r="C115" s="1" t="n">
        <v>45294</v>
      </c>
      <c r="D115" t="inlineStr">
        <is>
          <t>VÄSTMANLANDS LÄN</t>
        </is>
      </c>
      <c r="E115" t="inlineStr">
        <is>
          <t>SURAHAMMAR</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1492-2021</t>
        </is>
      </c>
      <c r="B116" s="1" t="n">
        <v>44209</v>
      </c>
      <c r="C116" s="1" t="n">
        <v>45294</v>
      </c>
      <c r="D116" t="inlineStr">
        <is>
          <t>VÄSTMANLANDS LÄN</t>
        </is>
      </c>
      <c r="E116" t="inlineStr">
        <is>
          <t>SURAHAMMAR</t>
        </is>
      </c>
      <c r="G116" t="n">
        <v>1.2</v>
      </c>
      <c r="H116" t="n">
        <v>0</v>
      </c>
      <c r="I116" t="n">
        <v>0</v>
      </c>
      <c r="J116" t="n">
        <v>0</v>
      </c>
      <c r="K116" t="n">
        <v>0</v>
      </c>
      <c r="L116" t="n">
        <v>0</v>
      </c>
      <c r="M116" t="n">
        <v>0</v>
      </c>
      <c r="N116" t="n">
        <v>0</v>
      </c>
      <c r="O116" t="n">
        <v>0</v>
      </c>
      <c r="P116" t="n">
        <v>0</v>
      </c>
      <c r="Q116" t="n">
        <v>0</v>
      </c>
      <c r="R116" s="2" t="inlineStr"/>
    </row>
    <row r="117" ht="15" customHeight="1">
      <c r="A117" t="inlineStr">
        <is>
          <t>A 18723-2021</t>
        </is>
      </c>
      <c r="B117" s="1" t="n">
        <v>44306</v>
      </c>
      <c r="C117" s="1" t="n">
        <v>45294</v>
      </c>
      <c r="D117" t="inlineStr">
        <is>
          <t>VÄSTMANLANDS LÄN</t>
        </is>
      </c>
      <c r="E117" t="inlineStr">
        <is>
          <t>SURAHAMMAR</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20478-2021</t>
        </is>
      </c>
      <c r="B118" s="1" t="n">
        <v>44315</v>
      </c>
      <c r="C118" s="1" t="n">
        <v>45294</v>
      </c>
      <c r="D118" t="inlineStr">
        <is>
          <t>VÄSTMANLANDS LÄN</t>
        </is>
      </c>
      <c r="E118" t="inlineStr">
        <is>
          <t>SURAHAMMAR</t>
        </is>
      </c>
      <c r="F118" t="inlineStr">
        <is>
          <t>Sveaskog</t>
        </is>
      </c>
      <c r="G118" t="n">
        <v>6.2</v>
      </c>
      <c r="H118" t="n">
        <v>0</v>
      </c>
      <c r="I118" t="n">
        <v>0</v>
      </c>
      <c r="J118" t="n">
        <v>0</v>
      </c>
      <c r="K118" t="n">
        <v>0</v>
      </c>
      <c r="L118" t="n">
        <v>0</v>
      </c>
      <c r="M118" t="n">
        <v>0</v>
      </c>
      <c r="N118" t="n">
        <v>0</v>
      </c>
      <c r="O118" t="n">
        <v>0</v>
      </c>
      <c r="P118" t="n">
        <v>0</v>
      </c>
      <c r="Q118" t="n">
        <v>0</v>
      </c>
      <c r="R118" s="2" t="inlineStr"/>
    </row>
    <row r="119" ht="15" customHeight="1">
      <c r="A119" t="inlineStr">
        <is>
          <t>A 21839-2021</t>
        </is>
      </c>
      <c r="B119" s="1" t="n">
        <v>44322</v>
      </c>
      <c r="C119" s="1" t="n">
        <v>45294</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24804-2021</t>
        </is>
      </c>
      <c r="B120" s="1" t="n">
        <v>44340</v>
      </c>
      <c r="C120" s="1" t="n">
        <v>45294</v>
      </c>
      <c r="D120" t="inlineStr">
        <is>
          <t>VÄSTMANLANDS LÄN</t>
        </is>
      </c>
      <c r="E120" t="inlineStr">
        <is>
          <t>SURAHAMMAR</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31468-2021</t>
        </is>
      </c>
      <c r="B121" s="1" t="n">
        <v>44369</v>
      </c>
      <c r="C121" s="1" t="n">
        <v>45294</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33998-2021</t>
        </is>
      </c>
      <c r="B122" s="1" t="n">
        <v>44378</v>
      </c>
      <c r="C122" s="1" t="n">
        <v>45294</v>
      </c>
      <c r="D122" t="inlineStr">
        <is>
          <t>VÄSTMANLANDS LÄN</t>
        </is>
      </c>
      <c r="E122" t="inlineStr">
        <is>
          <t>SURAHAMMAR</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34001-2021</t>
        </is>
      </c>
      <c r="B123" s="1" t="n">
        <v>44378</v>
      </c>
      <c r="C123" s="1" t="n">
        <v>45294</v>
      </c>
      <c r="D123" t="inlineStr">
        <is>
          <t>VÄSTMANLANDS LÄN</t>
        </is>
      </c>
      <c r="E123" t="inlineStr">
        <is>
          <t>SURAHAMMAR</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45294</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37799-2021</t>
        </is>
      </c>
      <c r="B125" s="1" t="n">
        <v>44402</v>
      </c>
      <c r="C125" s="1" t="n">
        <v>45294</v>
      </c>
      <c r="D125" t="inlineStr">
        <is>
          <t>VÄSTMANLANDS LÄN</t>
        </is>
      </c>
      <c r="E125" t="inlineStr">
        <is>
          <t>SURAHAMMAR</t>
        </is>
      </c>
      <c r="F125" t="inlineStr">
        <is>
          <t>Kommuner</t>
        </is>
      </c>
      <c r="G125" t="n">
        <v>2.1</v>
      </c>
      <c r="H125" t="n">
        <v>0</v>
      </c>
      <c r="I125" t="n">
        <v>0</v>
      </c>
      <c r="J125" t="n">
        <v>0</v>
      </c>
      <c r="K125" t="n">
        <v>0</v>
      </c>
      <c r="L125" t="n">
        <v>0</v>
      </c>
      <c r="M125" t="n">
        <v>0</v>
      </c>
      <c r="N125" t="n">
        <v>0</v>
      </c>
      <c r="O125" t="n">
        <v>0</v>
      </c>
      <c r="P125" t="n">
        <v>0</v>
      </c>
      <c r="Q125" t="n">
        <v>0</v>
      </c>
      <c r="R125" s="2" t="inlineStr"/>
    </row>
    <row r="126" ht="15" customHeight="1">
      <c r="A126" t="inlineStr">
        <is>
          <t>A 38150-2021</t>
        </is>
      </c>
      <c r="B126" s="1" t="n">
        <v>44405</v>
      </c>
      <c r="C126" s="1" t="n">
        <v>45294</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38178-2021</t>
        </is>
      </c>
      <c r="B127" s="1" t="n">
        <v>44405</v>
      </c>
      <c r="C127" s="1" t="n">
        <v>45294</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38149-2021</t>
        </is>
      </c>
      <c r="B128" s="1" t="n">
        <v>44405</v>
      </c>
      <c r="C128" s="1" t="n">
        <v>45294</v>
      </c>
      <c r="D128" t="inlineStr">
        <is>
          <t>VÄSTMANLANDS LÄN</t>
        </is>
      </c>
      <c r="E128" t="inlineStr">
        <is>
          <t>SURAHAMMAR</t>
        </is>
      </c>
      <c r="F128" t="inlineStr">
        <is>
          <t>Sveaskog</t>
        </is>
      </c>
      <c r="G128" t="n">
        <v>4.9</v>
      </c>
      <c r="H128" t="n">
        <v>0</v>
      </c>
      <c r="I128" t="n">
        <v>0</v>
      </c>
      <c r="J128" t="n">
        <v>0</v>
      </c>
      <c r="K128" t="n">
        <v>0</v>
      </c>
      <c r="L128" t="n">
        <v>0</v>
      </c>
      <c r="M128" t="n">
        <v>0</v>
      </c>
      <c r="N128" t="n">
        <v>0</v>
      </c>
      <c r="O128" t="n">
        <v>0</v>
      </c>
      <c r="P128" t="n">
        <v>0</v>
      </c>
      <c r="Q128" t="n">
        <v>0</v>
      </c>
      <c r="R128" s="2" t="inlineStr"/>
    </row>
    <row r="129" ht="15" customHeight="1">
      <c r="A129" t="inlineStr">
        <is>
          <t>A 38163-2021</t>
        </is>
      </c>
      <c r="B129" s="1" t="n">
        <v>44405</v>
      </c>
      <c r="C129" s="1" t="n">
        <v>45294</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38154-2021</t>
        </is>
      </c>
      <c r="B130" s="1" t="n">
        <v>44405</v>
      </c>
      <c r="C130" s="1" t="n">
        <v>45294</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47852-2021</t>
        </is>
      </c>
      <c r="B131" s="1" t="n">
        <v>44448</v>
      </c>
      <c r="C131" s="1" t="n">
        <v>45294</v>
      </c>
      <c r="D131" t="inlineStr">
        <is>
          <t>VÄSTMANLANDS LÄN</t>
        </is>
      </c>
      <c r="E131" t="inlineStr">
        <is>
          <t>SURAHAMMAR</t>
        </is>
      </c>
      <c r="G131" t="n">
        <v>4.1</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45294</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64073-2021</t>
        </is>
      </c>
      <c r="B133" s="1" t="n">
        <v>44509</v>
      </c>
      <c r="C133" s="1" t="n">
        <v>45294</v>
      </c>
      <c r="D133" t="inlineStr">
        <is>
          <t>VÄSTMANLANDS LÄN</t>
        </is>
      </c>
      <c r="E133" t="inlineStr">
        <is>
          <t>SURAHAMMAR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66343-2021</t>
        </is>
      </c>
      <c r="B134" s="1" t="n">
        <v>44518</v>
      </c>
      <c r="C134" s="1" t="n">
        <v>45294</v>
      </c>
      <c r="D134" t="inlineStr">
        <is>
          <t>VÄSTMANLANDS LÄN</t>
        </is>
      </c>
      <c r="E134" t="inlineStr">
        <is>
          <t>SURAHAMMAR</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66342-2021</t>
        </is>
      </c>
      <c r="B135" s="1" t="n">
        <v>44518</v>
      </c>
      <c r="C135" s="1" t="n">
        <v>45294</v>
      </c>
      <c r="D135" t="inlineStr">
        <is>
          <t>VÄSTMANLANDS LÄN</t>
        </is>
      </c>
      <c r="E135" t="inlineStr">
        <is>
          <t>SURAHAMMAR</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66350-2021</t>
        </is>
      </c>
      <c r="B136" s="1" t="n">
        <v>44518</v>
      </c>
      <c r="C136" s="1" t="n">
        <v>45294</v>
      </c>
      <c r="D136" t="inlineStr">
        <is>
          <t>VÄSTMANLANDS LÄN</t>
        </is>
      </c>
      <c r="E136" t="inlineStr">
        <is>
          <t>SURAHAMMAR</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67611-2021</t>
        </is>
      </c>
      <c r="B137" s="1" t="n">
        <v>44524</v>
      </c>
      <c r="C137" s="1" t="n">
        <v>45294</v>
      </c>
      <c r="D137" t="inlineStr">
        <is>
          <t>VÄSTMANLANDS LÄN</t>
        </is>
      </c>
      <c r="E137" t="inlineStr">
        <is>
          <t>SURAHAMMAR</t>
        </is>
      </c>
      <c r="F137" t="inlineStr">
        <is>
          <t>Kommuner</t>
        </is>
      </c>
      <c r="G137" t="n">
        <v>3.8</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45294</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73156-2021</t>
        </is>
      </c>
      <c r="B139" s="1" t="n">
        <v>44550</v>
      </c>
      <c r="C139" s="1" t="n">
        <v>45294</v>
      </c>
      <c r="D139" t="inlineStr">
        <is>
          <t>VÄSTMANLANDS LÄN</t>
        </is>
      </c>
      <c r="E139" t="inlineStr">
        <is>
          <t>SURAHAMMAR</t>
        </is>
      </c>
      <c r="F139" t="inlineStr">
        <is>
          <t>Övriga Aktiebolag</t>
        </is>
      </c>
      <c r="G139" t="n">
        <v>2.5</v>
      </c>
      <c r="H139" t="n">
        <v>0</v>
      </c>
      <c r="I139" t="n">
        <v>0</v>
      </c>
      <c r="J139" t="n">
        <v>0</v>
      </c>
      <c r="K139" t="n">
        <v>0</v>
      </c>
      <c r="L139" t="n">
        <v>0</v>
      </c>
      <c r="M139" t="n">
        <v>0</v>
      </c>
      <c r="N139" t="n">
        <v>0</v>
      </c>
      <c r="O139" t="n">
        <v>0</v>
      </c>
      <c r="P139" t="n">
        <v>0</v>
      </c>
      <c r="Q139" t="n">
        <v>0</v>
      </c>
      <c r="R139" s="2" t="inlineStr"/>
    </row>
    <row r="140" ht="15" customHeight="1">
      <c r="A140" t="inlineStr">
        <is>
          <t>A 3155-2022</t>
        </is>
      </c>
      <c r="B140" s="1" t="n">
        <v>44582</v>
      </c>
      <c r="C140" s="1" t="n">
        <v>45294</v>
      </c>
      <c r="D140" t="inlineStr">
        <is>
          <t>VÄSTMANLANDS LÄN</t>
        </is>
      </c>
      <c r="E140" t="inlineStr">
        <is>
          <t>SURAHAMMAR</t>
        </is>
      </c>
      <c r="G140" t="n">
        <v>5.5</v>
      </c>
      <c r="H140" t="n">
        <v>0</v>
      </c>
      <c r="I140" t="n">
        <v>0</v>
      </c>
      <c r="J140" t="n">
        <v>0</v>
      </c>
      <c r="K140" t="n">
        <v>0</v>
      </c>
      <c r="L140" t="n">
        <v>0</v>
      </c>
      <c r="M140" t="n">
        <v>0</v>
      </c>
      <c r="N140" t="n">
        <v>0</v>
      </c>
      <c r="O140" t="n">
        <v>0</v>
      </c>
      <c r="P140" t="n">
        <v>0</v>
      </c>
      <c r="Q140" t="n">
        <v>0</v>
      </c>
      <c r="R140" s="2" t="inlineStr"/>
    </row>
    <row r="141" ht="15" customHeight="1">
      <c r="A141" t="inlineStr">
        <is>
          <t>A 3595-2022</t>
        </is>
      </c>
      <c r="B141" s="1" t="n">
        <v>44586</v>
      </c>
      <c r="C141" s="1" t="n">
        <v>45294</v>
      </c>
      <c r="D141" t="inlineStr">
        <is>
          <t>VÄSTMANLANDS LÄN</t>
        </is>
      </c>
      <c r="E141" t="inlineStr">
        <is>
          <t>SURAHAMMAR</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3818-2022</t>
        </is>
      </c>
      <c r="B142" s="1" t="n">
        <v>44587</v>
      </c>
      <c r="C142" s="1" t="n">
        <v>45294</v>
      </c>
      <c r="D142" t="inlineStr">
        <is>
          <t>VÄSTMANLANDS LÄN</t>
        </is>
      </c>
      <c r="E142" t="inlineStr">
        <is>
          <t>SURAHAMMAR</t>
        </is>
      </c>
      <c r="G142" t="n">
        <v>2.6</v>
      </c>
      <c r="H142" t="n">
        <v>0</v>
      </c>
      <c r="I142" t="n">
        <v>0</v>
      </c>
      <c r="J142" t="n">
        <v>0</v>
      </c>
      <c r="K142" t="n">
        <v>0</v>
      </c>
      <c r="L142" t="n">
        <v>0</v>
      </c>
      <c r="M142" t="n">
        <v>0</v>
      </c>
      <c r="N142" t="n">
        <v>0</v>
      </c>
      <c r="O142" t="n">
        <v>0</v>
      </c>
      <c r="P142" t="n">
        <v>0</v>
      </c>
      <c r="Q142" t="n">
        <v>0</v>
      </c>
      <c r="R142" s="2" t="inlineStr"/>
    </row>
    <row r="143" ht="15" customHeight="1">
      <c r="A143" t="inlineStr">
        <is>
          <t>A 5567-2022</t>
        </is>
      </c>
      <c r="B143" s="1" t="n">
        <v>44595</v>
      </c>
      <c r="C143" s="1" t="n">
        <v>45294</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v>
      </c>
      <c r="C144" s="1" t="n">
        <v>45294</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13119-2022</t>
        </is>
      </c>
      <c r="B145" s="1" t="n">
        <v>44643</v>
      </c>
      <c r="C145" s="1" t="n">
        <v>45294</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13070-2022</t>
        </is>
      </c>
      <c r="B146" s="1" t="n">
        <v>44643</v>
      </c>
      <c r="C146" s="1" t="n">
        <v>45294</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15637-2022</t>
        </is>
      </c>
      <c r="B147" s="1" t="n">
        <v>44662</v>
      </c>
      <c r="C147" s="1" t="n">
        <v>45294</v>
      </c>
      <c r="D147" t="inlineStr">
        <is>
          <t>VÄSTMANLANDS LÄN</t>
        </is>
      </c>
      <c r="E147" t="inlineStr">
        <is>
          <t>SURAHAMMAR</t>
        </is>
      </c>
      <c r="G147" t="n">
        <v>2.2</v>
      </c>
      <c r="H147" t="n">
        <v>0</v>
      </c>
      <c r="I147" t="n">
        <v>0</v>
      </c>
      <c r="J147" t="n">
        <v>0</v>
      </c>
      <c r="K147" t="n">
        <v>0</v>
      </c>
      <c r="L147" t="n">
        <v>0</v>
      </c>
      <c r="M147" t="n">
        <v>0</v>
      </c>
      <c r="N147" t="n">
        <v>0</v>
      </c>
      <c r="O147" t="n">
        <v>0</v>
      </c>
      <c r="P147" t="n">
        <v>0</v>
      </c>
      <c r="Q147" t="n">
        <v>0</v>
      </c>
      <c r="R147" s="2" t="inlineStr"/>
    </row>
    <row r="148" ht="15" customHeight="1">
      <c r="A148" t="inlineStr">
        <is>
          <t>A 16608-2022</t>
        </is>
      </c>
      <c r="B148" s="1" t="n">
        <v>44672</v>
      </c>
      <c r="C148" s="1" t="n">
        <v>45294</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45294</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19637-2022</t>
        </is>
      </c>
      <c r="B150" s="1" t="n">
        <v>44694</v>
      </c>
      <c r="C150" s="1" t="n">
        <v>45294</v>
      </c>
      <c r="D150" t="inlineStr">
        <is>
          <t>VÄSTMANLANDS LÄN</t>
        </is>
      </c>
      <c r="E150" t="inlineStr">
        <is>
          <t>SURAHAMMAR</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19844-2022</t>
        </is>
      </c>
      <c r="B151" s="1" t="n">
        <v>44696</v>
      </c>
      <c r="C151" s="1" t="n">
        <v>45294</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19845-2022</t>
        </is>
      </c>
      <c r="B152" s="1" t="n">
        <v>44696</v>
      </c>
      <c r="C152" s="1" t="n">
        <v>45294</v>
      </c>
      <c r="D152" t="inlineStr">
        <is>
          <t>VÄSTMANLANDS LÄN</t>
        </is>
      </c>
      <c r="E152" t="inlineStr">
        <is>
          <t>SURAHAMMAR</t>
        </is>
      </c>
      <c r="F152" t="inlineStr">
        <is>
          <t>Kommuner</t>
        </is>
      </c>
      <c r="G152" t="n">
        <v>3.3</v>
      </c>
      <c r="H152" t="n">
        <v>0</v>
      </c>
      <c r="I152" t="n">
        <v>0</v>
      </c>
      <c r="J152" t="n">
        <v>0</v>
      </c>
      <c r="K152" t="n">
        <v>0</v>
      </c>
      <c r="L152" t="n">
        <v>0</v>
      </c>
      <c r="M152" t="n">
        <v>0</v>
      </c>
      <c r="N152" t="n">
        <v>0</v>
      </c>
      <c r="O152" t="n">
        <v>0</v>
      </c>
      <c r="P152" t="n">
        <v>0</v>
      </c>
      <c r="Q152" t="n">
        <v>0</v>
      </c>
      <c r="R152" s="2" t="inlineStr"/>
    </row>
    <row r="153" ht="15" customHeight="1">
      <c r="A153" t="inlineStr">
        <is>
          <t>A 19846-2022</t>
        </is>
      </c>
      <c r="B153" s="1" t="n">
        <v>44696</v>
      </c>
      <c r="C153" s="1" t="n">
        <v>45294</v>
      </c>
      <c r="D153" t="inlineStr">
        <is>
          <t>VÄSTMANLANDS LÄN</t>
        </is>
      </c>
      <c r="E153" t="inlineStr">
        <is>
          <t>SURAHAMMAR</t>
        </is>
      </c>
      <c r="F153" t="inlineStr">
        <is>
          <t>Kommuner</t>
        </is>
      </c>
      <c r="G153" t="n">
        <v>3.4</v>
      </c>
      <c r="H153" t="n">
        <v>0</v>
      </c>
      <c r="I153" t="n">
        <v>0</v>
      </c>
      <c r="J153" t="n">
        <v>0</v>
      </c>
      <c r="K153" t="n">
        <v>0</v>
      </c>
      <c r="L153" t="n">
        <v>0</v>
      </c>
      <c r="M153" t="n">
        <v>0</v>
      </c>
      <c r="N153" t="n">
        <v>0</v>
      </c>
      <c r="O153" t="n">
        <v>0</v>
      </c>
      <c r="P153" t="n">
        <v>0</v>
      </c>
      <c r="Q153" t="n">
        <v>0</v>
      </c>
      <c r="R153" s="2" t="inlineStr"/>
    </row>
    <row r="154" ht="15" customHeight="1">
      <c r="A154" t="inlineStr">
        <is>
          <t>A 26700-2022</t>
        </is>
      </c>
      <c r="B154" s="1" t="n">
        <v>44739</v>
      </c>
      <c r="C154" s="1" t="n">
        <v>45294</v>
      </c>
      <c r="D154" t="inlineStr">
        <is>
          <t>VÄSTMANLANDS LÄN</t>
        </is>
      </c>
      <c r="E154" t="inlineStr">
        <is>
          <t>SURAHAMMAR</t>
        </is>
      </c>
      <c r="F154" t="inlineStr">
        <is>
          <t>Kommuner</t>
        </is>
      </c>
      <c r="G154" t="n">
        <v>3.1</v>
      </c>
      <c r="H154" t="n">
        <v>0</v>
      </c>
      <c r="I154" t="n">
        <v>0</v>
      </c>
      <c r="J154" t="n">
        <v>0</v>
      </c>
      <c r="K154" t="n">
        <v>0</v>
      </c>
      <c r="L154" t="n">
        <v>0</v>
      </c>
      <c r="M154" t="n">
        <v>0</v>
      </c>
      <c r="N154" t="n">
        <v>0</v>
      </c>
      <c r="O154" t="n">
        <v>0</v>
      </c>
      <c r="P154" t="n">
        <v>0</v>
      </c>
      <c r="Q154" t="n">
        <v>0</v>
      </c>
      <c r="R154" s="2" t="inlineStr"/>
    </row>
    <row r="155" ht="15" customHeight="1">
      <c r="A155" t="inlineStr">
        <is>
          <t>A 32475-2022</t>
        </is>
      </c>
      <c r="B155" s="1" t="n">
        <v>44782</v>
      </c>
      <c r="C155" s="1" t="n">
        <v>45294</v>
      </c>
      <c r="D155" t="inlineStr">
        <is>
          <t>VÄSTMANLANDS LÄN</t>
        </is>
      </c>
      <c r="E155" t="inlineStr">
        <is>
          <t>SURAHAMMAR</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32491-2022</t>
        </is>
      </c>
      <c r="B156" s="1" t="n">
        <v>44782</v>
      </c>
      <c r="C156" s="1" t="n">
        <v>45294</v>
      </c>
      <c r="D156" t="inlineStr">
        <is>
          <t>VÄSTMANLANDS LÄN</t>
        </is>
      </c>
      <c r="E156" t="inlineStr">
        <is>
          <t>SURAHAMMAR</t>
        </is>
      </c>
      <c r="F156" t="inlineStr">
        <is>
          <t>Bergvik skog väst AB</t>
        </is>
      </c>
      <c r="G156" t="n">
        <v>1.5</v>
      </c>
      <c r="H156" t="n">
        <v>0</v>
      </c>
      <c r="I156" t="n">
        <v>0</v>
      </c>
      <c r="J156" t="n">
        <v>0</v>
      </c>
      <c r="K156" t="n">
        <v>0</v>
      </c>
      <c r="L156" t="n">
        <v>0</v>
      </c>
      <c r="M156" t="n">
        <v>0</v>
      </c>
      <c r="N156" t="n">
        <v>0</v>
      </c>
      <c r="O156" t="n">
        <v>0</v>
      </c>
      <c r="P156" t="n">
        <v>0</v>
      </c>
      <c r="Q156" t="n">
        <v>0</v>
      </c>
      <c r="R156" s="2" t="inlineStr"/>
    </row>
    <row r="157" ht="15" customHeight="1">
      <c r="A157" t="inlineStr">
        <is>
          <t>A 32492-2022</t>
        </is>
      </c>
      <c r="B157" s="1" t="n">
        <v>44782</v>
      </c>
      <c r="C157" s="1" t="n">
        <v>45294</v>
      </c>
      <c r="D157" t="inlineStr">
        <is>
          <t>VÄSTMANLANDS LÄN</t>
        </is>
      </c>
      <c r="E157" t="inlineStr">
        <is>
          <t>SURAHAMMAR</t>
        </is>
      </c>
      <c r="F157" t="inlineStr">
        <is>
          <t>Bergvik skog väst AB</t>
        </is>
      </c>
      <c r="G157" t="n">
        <v>5.3</v>
      </c>
      <c r="H157" t="n">
        <v>0</v>
      </c>
      <c r="I157" t="n">
        <v>0</v>
      </c>
      <c r="J157" t="n">
        <v>0</v>
      </c>
      <c r="K157" t="n">
        <v>0</v>
      </c>
      <c r="L157" t="n">
        <v>0</v>
      </c>
      <c r="M157" t="n">
        <v>0</v>
      </c>
      <c r="N157" t="n">
        <v>0</v>
      </c>
      <c r="O157" t="n">
        <v>0</v>
      </c>
      <c r="P157" t="n">
        <v>0</v>
      </c>
      <c r="Q157" t="n">
        <v>0</v>
      </c>
      <c r="R157" s="2" t="inlineStr"/>
    </row>
    <row r="158" ht="15" customHeight="1">
      <c r="A158" t="inlineStr">
        <is>
          <t>A 33931-2022</t>
        </is>
      </c>
      <c r="B158" s="1" t="n">
        <v>44790</v>
      </c>
      <c r="C158" s="1" t="n">
        <v>45294</v>
      </c>
      <c r="D158" t="inlineStr">
        <is>
          <t>VÄSTMANLANDS LÄN</t>
        </is>
      </c>
      <c r="E158" t="inlineStr">
        <is>
          <t>SURAHAMMAR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33946-2022</t>
        </is>
      </c>
      <c r="B159" s="1" t="n">
        <v>44790</v>
      </c>
      <c r="C159" s="1" t="n">
        <v>45294</v>
      </c>
      <c r="D159" t="inlineStr">
        <is>
          <t>VÄSTMANLANDS LÄN</t>
        </is>
      </c>
      <c r="E159" t="inlineStr">
        <is>
          <t>SURAHAMMAR</t>
        </is>
      </c>
      <c r="G159" t="n">
        <v>2.3</v>
      </c>
      <c r="H159" t="n">
        <v>0</v>
      </c>
      <c r="I159" t="n">
        <v>0</v>
      </c>
      <c r="J159" t="n">
        <v>0</v>
      </c>
      <c r="K159" t="n">
        <v>0</v>
      </c>
      <c r="L159" t="n">
        <v>0</v>
      </c>
      <c r="M159" t="n">
        <v>0</v>
      </c>
      <c r="N159" t="n">
        <v>0</v>
      </c>
      <c r="O159" t="n">
        <v>0</v>
      </c>
      <c r="P159" t="n">
        <v>0</v>
      </c>
      <c r="Q159" t="n">
        <v>0</v>
      </c>
      <c r="R159" s="2" t="inlineStr"/>
    </row>
    <row r="160" ht="15" customHeight="1">
      <c r="A160" t="inlineStr">
        <is>
          <t>A 33953-2022</t>
        </is>
      </c>
      <c r="B160" s="1" t="n">
        <v>44790</v>
      </c>
      <c r="C160" s="1" t="n">
        <v>45294</v>
      </c>
      <c r="D160" t="inlineStr">
        <is>
          <t>VÄSTMANLANDS LÄN</t>
        </is>
      </c>
      <c r="E160" t="inlineStr">
        <is>
          <t>SURAHAMMAR</t>
        </is>
      </c>
      <c r="G160" t="n">
        <v>3</v>
      </c>
      <c r="H160" t="n">
        <v>0</v>
      </c>
      <c r="I160" t="n">
        <v>0</v>
      </c>
      <c r="J160" t="n">
        <v>0</v>
      </c>
      <c r="K160" t="n">
        <v>0</v>
      </c>
      <c r="L160" t="n">
        <v>0</v>
      </c>
      <c r="M160" t="n">
        <v>0</v>
      </c>
      <c r="N160" t="n">
        <v>0</v>
      </c>
      <c r="O160" t="n">
        <v>0</v>
      </c>
      <c r="P160" t="n">
        <v>0</v>
      </c>
      <c r="Q160" t="n">
        <v>0</v>
      </c>
      <c r="R160" s="2" t="inlineStr"/>
    </row>
    <row r="161" ht="15" customHeight="1">
      <c r="A161" t="inlineStr">
        <is>
          <t>A 34957-2022</t>
        </is>
      </c>
      <c r="B161" s="1" t="n">
        <v>44796</v>
      </c>
      <c r="C161" s="1" t="n">
        <v>45294</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34955-2022</t>
        </is>
      </c>
      <c r="B162" s="1" t="n">
        <v>44796</v>
      </c>
      <c r="C162" s="1" t="n">
        <v>45294</v>
      </c>
      <c r="D162" t="inlineStr">
        <is>
          <t>VÄSTMANLANDS LÄN</t>
        </is>
      </c>
      <c r="E162" t="inlineStr">
        <is>
          <t>SURAHAMMAR</t>
        </is>
      </c>
      <c r="F162" t="inlineStr">
        <is>
          <t>Sveaskog</t>
        </is>
      </c>
      <c r="G162" t="n">
        <v>4.6</v>
      </c>
      <c r="H162" t="n">
        <v>0</v>
      </c>
      <c r="I162" t="n">
        <v>0</v>
      </c>
      <c r="J162" t="n">
        <v>0</v>
      </c>
      <c r="K162" t="n">
        <v>0</v>
      </c>
      <c r="L162" t="n">
        <v>0</v>
      </c>
      <c r="M162" t="n">
        <v>0</v>
      </c>
      <c r="N162" t="n">
        <v>0</v>
      </c>
      <c r="O162" t="n">
        <v>0</v>
      </c>
      <c r="P162" t="n">
        <v>0</v>
      </c>
      <c r="Q162" t="n">
        <v>0</v>
      </c>
      <c r="R162" s="2" t="inlineStr"/>
    </row>
    <row r="163" ht="15" customHeight="1">
      <c r="A163" t="inlineStr">
        <is>
          <t>A 34956-2022</t>
        </is>
      </c>
      <c r="B163" s="1" t="n">
        <v>44796</v>
      </c>
      <c r="C163" s="1" t="n">
        <v>45294</v>
      </c>
      <c r="D163" t="inlineStr">
        <is>
          <t>VÄSTMANLANDS LÄN</t>
        </is>
      </c>
      <c r="E163" t="inlineStr">
        <is>
          <t>SURAHAMMAR</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35677-2022</t>
        </is>
      </c>
      <c r="B164" s="1" t="n">
        <v>44799</v>
      </c>
      <c r="C164" s="1" t="n">
        <v>45294</v>
      </c>
      <c r="D164" t="inlineStr">
        <is>
          <t>VÄSTMANLANDS LÄN</t>
        </is>
      </c>
      <c r="E164" t="inlineStr">
        <is>
          <t>SURAHAMMAR</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35682-2022</t>
        </is>
      </c>
      <c r="B165" s="1" t="n">
        <v>44799</v>
      </c>
      <c r="C165" s="1" t="n">
        <v>45294</v>
      </c>
      <c r="D165" t="inlineStr">
        <is>
          <t>VÄSTMANLANDS LÄN</t>
        </is>
      </c>
      <c r="E165" t="inlineStr">
        <is>
          <t>SURAHAMMAR</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35679-2022</t>
        </is>
      </c>
      <c r="B166" s="1" t="n">
        <v>44799</v>
      </c>
      <c r="C166" s="1" t="n">
        <v>45294</v>
      </c>
      <c r="D166" t="inlineStr">
        <is>
          <t>VÄSTMANLANDS LÄN</t>
        </is>
      </c>
      <c r="E166" t="inlineStr">
        <is>
          <t>SURAHAMMAR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41576-2022</t>
        </is>
      </c>
      <c r="B167" s="1" t="n">
        <v>44826</v>
      </c>
      <c r="C167" s="1" t="n">
        <v>45294</v>
      </c>
      <c r="D167" t="inlineStr">
        <is>
          <t>VÄSTMANLANDS LÄN</t>
        </is>
      </c>
      <c r="E167" t="inlineStr">
        <is>
          <t>SURAHAMMAR</t>
        </is>
      </c>
      <c r="F167" t="inlineStr">
        <is>
          <t>Bergvik skog väst AB</t>
        </is>
      </c>
      <c r="G167" t="n">
        <v>6.4</v>
      </c>
      <c r="H167" t="n">
        <v>0</v>
      </c>
      <c r="I167" t="n">
        <v>0</v>
      </c>
      <c r="J167" t="n">
        <v>0</v>
      </c>
      <c r="K167" t="n">
        <v>0</v>
      </c>
      <c r="L167" t="n">
        <v>0</v>
      </c>
      <c r="M167" t="n">
        <v>0</v>
      </c>
      <c r="N167" t="n">
        <v>0</v>
      </c>
      <c r="O167" t="n">
        <v>0</v>
      </c>
      <c r="P167" t="n">
        <v>0</v>
      </c>
      <c r="Q167" t="n">
        <v>0</v>
      </c>
      <c r="R167" s="2" t="inlineStr"/>
    </row>
    <row r="168" ht="15" customHeight="1">
      <c r="A168" t="inlineStr">
        <is>
          <t>A 41555-2022</t>
        </is>
      </c>
      <c r="B168" s="1" t="n">
        <v>44826</v>
      </c>
      <c r="C168" s="1" t="n">
        <v>45294</v>
      </c>
      <c r="D168" t="inlineStr">
        <is>
          <t>VÄSTMANLANDS LÄN</t>
        </is>
      </c>
      <c r="E168" t="inlineStr">
        <is>
          <t>SURAHAMMAR</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42714-2022</t>
        </is>
      </c>
      <c r="B169" s="1" t="n">
        <v>44832</v>
      </c>
      <c r="C169" s="1" t="n">
        <v>45294</v>
      </c>
      <c r="D169" t="inlineStr">
        <is>
          <t>VÄSTMANLANDS LÄN</t>
        </is>
      </c>
      <c r="E169" t="inlineStr">
        <is>
          <t>SURAHAMMAR</t>
        </is>
      </c>
      <c r="G169" t="n">
        <v>1.1</v>
      </c>
      <c r="H169" t="n">
        <v>0</v>
      </c>
      <c r="I169" t="n">
        <v>0</v>
      </c>
      <c r="J169" t="n">
        <v>0</v>
      </c>
      <c r="K169" t="n">
        <v>0</v>
      </c>
      <c r="L169" t="n">
        <v>0</v>
      </c>
      <c r="M169" t="n">
        <v>0</v>
      </c>
      <c r="N169" t="n">
        <v>0</v>
      </c>
      <c r="O169" t="n">
        <v>0</v>
      </c>
      <c r="P169" t="n">
        <v>0</v>
      </c>
      <c r="Q169" t="n">
        <v>0</v>
      </c>
      <c r="R169" s="2" t="inlineStr"/>
    </row>
    <row r="170" ht="15" customHeight="1">
      <c r="A170" t="inlineStr">
        <is>
          <t>A 42832-2022</t>
        </is>
      </c>
      <c r="B170" s="1" t="n">
        <v>44832</v>
      </c>
      <c r="C170" s="1" t="n">
        <v>45294</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42841-2022</t>
        </is>
      </c>
      <c r="B171" s="1" t="n">
        <v>44832</v>
      </c>
      <c r="C171" s="1" t="n">
        <v>45294</v>
      </c>
      <c r="D171" t="inlineStr">
        <is>
          <t>VÄSTMANLANDS LÄN</t>
        </is>
      </c>
      <c r="E171" t="inlineStr">
        <is>
          <t>SURAHAMMAR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42829-2022</t>
        </is>
      </c>
      <c r="B172" s="1" t="n">
        <v>44832</v>
      </c>
      <c r="C172" s="1" t="n">
        <v>45294</v>
      </c>
      <c r="D172" t="inlineStr">
        <is>
          <t>VÄSTMANLANDS LÄN</t>
        </is>
      </c>
      <c r="E172" t="inlineStr">
        <is>
          <t>SURAHAMMAR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48581-2022</t>
        </is>
      </c>
      <c r="B173" s="1" t="n">
        <v>44859</v>
      </c>
      <c r="C173" s="1" t="n">
        <v>45294</v>
      </c>
      <c r="D173" t="inlineStr">
        <is>
          <t>VÄSTMANLANDS LÄN</t>
        </is>
      </c>
      <c r="E173" t="inlineStr">
        <is>
          <t>SURAHAMMAR</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49686-2022</t>
        </is>
      </c>
      <c r="B174" s="1" t="n">
        <v>44862</v>
      </c>
      <c r="C174" s="1" t="n">
        <v>45294</v>
      </c>
      <c r="D174" t="inlineStr">
        <is>
          <t>VÄSTMANLANDS LÄN</t>
        </is>
      </c>
      <c r="E174" t="inlineStr">
        <is>
          <t>SURAHAMMAR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3085-2023</t>
        </is>
      </c>
      <c r="B175" s="1" t="n">
        <v>44946</v>
      </c>
      <c r="C175" s="1" t="n">
        <v>45294</v>
      </c>
      <c r="D175" t="inlineStr">
        <is>
          <t>VÄSTMANLANDS LÄN</t>
        </is>
      </c>
      <c r="E175" t="inlineStr">
        <is>
          <t>SURAHAMMAR</t>
        </is>
      </c>
      <c r="F175" t="inlineStr">
        <is>
          <t>Kyrkan</t>
        </is>
      </c>
      <c r="G175" t="n">
        <v>13</v>
      </c>
      <c r="H175" t="n">
        <v>0</v>
      </c>
      <c r="I175" t="n">
        <v>0</v>
      </c>
      <c r="J175" t="n">
        <v>0</v>
      </c>
      <c r="K175" t="n">
        <v>0</v>
      </c>
      <c r="L175" t="n">
        <v>0</v>
      </c>
      <c r="M175" t="n">
        <v>0</v>
      </c>
      <c r="N175" t="n">
        <v>0</v>
      </c>
      <c r="O175" t="n">
        <v>0</v>
      </c>
      <c r="P175" t="n">
        <v>0</v>
      </c>
      <c r="Q175" t="n">
        <v>0</v>
      </c>
      <c r="R175" s="2" t="inlineStr"/>
    </row>
    <row r="176" ht="15" customHeight="1">
      <c r="A176" t="inlineStr">
        <is>
          <t>A 8553-2023</t>
        </is>
      </c>
      <c r="B176" s="1" t="n">
        <v>44977</v>
      </c>
      <c r="C176" s="1" t="n">
        <v>45294</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10877-2023</t>
        </is>
      </c>
      <c r="B177" s="1" t="n">
        <v>44991</v>
      </c>
      <c r="C177" s="1" t="n">
        <v>45294</v>
      </c>
      <c r="D177" t="inlineStr">
        <is>
          <t>VÄSTMANLANDS LÄN</t>
        </is>
      </c>
      <c r="E177" t="inlineStr">
        <is>
          <t>SURAHAMMAR</t>
        </is>
      </c>
      <c r="F177" t="inlineStr">
        <is>
          <t>Övriga Aktiebolag</t>
        </is>
      </c>
      <c r="G177" t="n">
        <v>1.4</v>
      </c>
      <c r="H177" t="n">
        <v>0</v>
      </c>
      <c r="I177" t="n">
        <v>0</v>
      </c>
      <c r="J177" t="n">
        <v>0</v>
      </c>
      <c r="K177" t="n">
        <v>0</v>
      </c>
      <c r="L177" t="n">
        <v>0</v>
      </c>
      <c r="M177" t="n">
        <v>0</v>
      </c>
      <c r="N177" t="n">
        <v>0</v>
      </c>
      <c r="O177" t="n">
        <v>0</v>
      </c>
      <c r="P177" t="n">
        <v>0</v>
      </c>
      <c r="Q177" t="n">
        <v>0</v>
      </c>
      <c r="R177" s="2" t="inlineStr"/>
    </row>
    <row r="178" ht="15" customHeight="1">
      <c r="A178" t="inlineStr">
        <is>
          <t>A 10883-2023</t>
        </is>
      </c>
      <c r="B178" s="1" t="n">
        <v>44991</v>
      </c>
      <c r="C178" s="1" t="n">
        <v>45294</v>
      </c>
      <c r="D178" t="inlineStr">
        <is>
          <t>VÄSTMANLANDS LÄN</t>
        </is>
      </c>
      <c r="E178" t="inlineStr">
        <is>
          <t>SURAHAMMAR</t>
        </is>
      </c>
      <c r="F178" t="inlineStr">
        <is>
          <t>Övriga Aktiebolag</t>
        </is>
      </c>
      <c r="G178" t="n">
        <v>12.5</v>
      </c>
      <c r="H178" t="n">
        <v>0</v>
      </c>
      <c r="I178" t="n">
        <v>0</v>
      </c>
      <c r="J178" t="n">
        <v>0</v>
      </c>
      <c r="K178" t="n">
        <v>0</v>
      </c>
      <c r="L178" t="n">
        <v>0</v>
      </c>
      <c r="M178" t="n">
        <v>0</v>
      </c>
      <c r="N178" t="n">
        <v>0</v>
      </c>
      <c r="O178" t="n">
        <v>0</v>
      </c>
      <c r="P178" t="n">
        <v>0</v>
      </c>
      <c r="Q178" t="n">
        <v>0</v>
      </c>
      <c r="R178" s="2" t="inlineStr"/>
    </row>
    <row r="179" ht="15" customHeight="1">
      <c r="A179" t="inlineStr">
        <is>
          <t>A 11259-2023</t>
        </is>
      </c>
      <c r="B179" s="1" t="n">
        <v>44991</v>
      </c>
      <c r="C179" s="1" t="n">
        <v>45294</v>
      </c>
      <c r="D179" t="inlineStr">
        <is>
          <t>VÄSTMANLANDS LÄN</t>
        </is>
      </c>
      <c r="E179" t="inlineStr">
        <is>
          <t>SURAHAMMAR</t>
        </is>
      </c>
      <c r="G179" t="n">
        <v>2.4</v>
      </c>
      <c r="H179" t="n">
        <v>0</v>
      </c>
      <c r="I179" t="n">
        <v>0</v>
      </c>
      <c r="J179" t="n">
        <v>0</v>
      </c>
      <c r="K179" t="n">
        <v>0</v>
      </c>
      <c r="L179" t="n">
        <v>0</v>
      </c>
      <c r="M179" t="n">
        <v>0</v>
      </c>
      <c r="N179" t="n">
        <v>0</v>
      </c>
      <c r="O179" t="n">
        <v>0</v>
      </c>
      <c r="P179" t="n">
        <v>0</v>
      </c>
      <c r="Q179" t="n">
        <v>0</v>
      </c>
      <c r="R179" s="2" t="inlineStr"/>
    </row>
    <row r="180" ht="15" customHeight="1">
      <c r="A180" t="inlineStr">
        <is>
          <t>A 11501-2023</t>
        </is>
      </c>
      <c r="B180" s="1" t="n">
        <v>44991</v>
      </c>
      <c r="C180" s="1" t="n">
        <v>45294</v>
      </c>
      <c r="D180" t="inlineStr">
        <is>
          <t>VÄSTMANLANDS LÄN</t>
        </is>
      </c>
      <c r="E180" t="inlineStr">
        <is>
          <t>SURAHAMMAR</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11728-2023</t>
        </is>
      </c>
      <c r="B181" s="1" t="n">
        <v>44993</v>
      </c>
      <c r="C181" s="1" t="n">
        <v>45294</v>
      </c>
      <c r="D181" t="inlineStr">
        <is>
          <t>VÄSTMANLANDS LÄN</t>
        </is>
      </c>
      <c r="E181" t="inlineStr">
        <is>
          <t>SURAHAMMAR</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13479-2023</t>
        </is>
      </c>
      <c r="B182" s="1" t="n">
        <v>45005</v>
      </c>
      <c r="C182" s="1" t="n">
        <v>45294</v>
      </c>
      <c r="D182" t="inlineStr">
        <is>
          <t>VÄSTMANLANDS LÄN</t>
        </is>
      </c>
      <c r="E182" t="inlineStr">
        <is>
          <t>SURAHAMMAR</t>
        </is>
      </c>
      <c r="F182" t="inlineStr">
        <is>
          <t>Bergvik skog väst AB</t>
        </is>
      </c>
      <c r="G182" t="n">
        <v>2.8</v>
      </c>
      <c r="H182" t="n">
        <v>0</v>
      </c>
      <c r="I182" t="n">
        <v>0</v>
      </c>
      <c r="J182" t="n">
        <v>0</v>
      </c>
      <c r="K182" t="n">
        <v>0</v>
      </c>
      <c r="L182" t="n">
        <v>0</v>
      </c>
      <c r="M182" t="n">
        <v>0</v>
      </c>
      <c r="N182" t="n">
        <v>0</v>
      </c>
      <c r="O182" t="n">
        <v>0</v>
      </c>
      <c r="P182" t="n">
        <v>0</v>
      </c>
      <c r="Q182" t="n">
        <v>0</v>
      </c>
      <c r="R182" s="2" t="inlineStr"/>
    </row>
    <row r="183" ht="15" customHeight="1">
      <c r="A183" t="inlineStr">
        <is>
          <t>A 14626-2023</t>
        </is>
      </c>
      <c r="B183" s="1" t="n">
        <v>45012</v>
      </c>
      <c r="C183" s="1" t="n">
        <v>45294</v>
      </c>
      <c r="D183" t="inlineStr">
        <is>
          <t>VÄSTMANLANDS LÄN</t>
        </is>
      </c>
      <c r="E183" t="inlineStr">
        <is>
          <t>SURAHAMMAR</t>
        </is>
      </c>
      <c r="F183" t="inlineStr">
        <is>
          <t>Bergvik skog väst AB</t>
        </is>
      </c>
      <c r="G183" t="n">
        <v>5</v>
      </c>
      <c r="H183" t="n">
        <v>0</v>
      </c>
      <c r="I183" t="n">
        <v>0</v>
      </c>
      <c r="J183" t="n">
        <v>0</v>
      </c>
      <c r="K183" t="n">
        <v>0</v>
      </c>
      <c r="L183" t="n">
        <v>0</v>
      </c>
      <c r="M183" t="n">
        <v>0</v>
      </c>
      <c r="N183" t="n">
        <v>0</v>
      </c>
      <c r="O183" t="n">
        <v>0</v>
      </c>
      <c r="P183" t="n">
        <v>0</v>
      </c>
      <c r="Q183" t="n">
        <v>0</v>
      </c>
      <c r="R183" s="2" t="inlineStr"/>
    </row>
    <row r="184" ht="15" customHeight="1">
      <c r="A184" t="inlineStr">
        <is>
          <t>A 14583-2023</t>
        </is>
      </c>
      <c r="B184" s="1" t="n">
        <v>45013</v>
      </c>
      <c r="C184" s="1" t="n">
        <v>45294</v>
      </c>
      <c r="D184" t="inlineStr">
        <is>
          <t>VÄSTMANLANDS LÄN</t>
        </is>
      </c>
      <c r="E184" t="inlineStr">
        <is>
          <t>SURAHAMMAR</t>
        </is>
      </c>
      <c r="G184" t="n">
        <v>0.9</v>
      </c>
      <c r="H184" t="n">
        <v>0</v>
      </c>
      <c r="I184" t="n">
        <v>0</v>
      </c>
      <c r="J184" t="n">
        <v>0</v>
      </c>
      <c r="K184" t="n">
        <v>0</v>
      </c>
      <c r="L184" t="n">
        <v>0</v>
      </c>
      <c r="M184" t="n">
        <v>0</v>
      </c>
      <c r="N184" t="n">
        <v>0</v>
      </c>
      <c r="O184" t="n">
        <v>0</v>
      </c>
      <c r="P184" t="n">
        <v>0</v>
      </c>
      <c r="Q184" t="n">
        <v>0</v>
      </c>
      <c r="R184" s="2" t="inlineStr"/>
    </row>
    <row r="185" ht="15" customHeight="1">
      <c r="A185" t="inlineStr">
        <is>
          <t>A 15743-2023</t>
        </is>
      </c>
      <c r="B185" s="1" t="n">
        <v>45021</v>
      </c>
      <c r="C185" s="1" t="n">
        <v>45294</v>
      </c>
      <c r="D185" t="inlineStr">
        <is>
          <t>VÄSTMANLANDS LÄN</t>
        </is>
      </c>
      <c r="E185" t="inlineStr">
        <is>
          <t>SURAHAMMAR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15739-2023</t>
        </is>
      </c>
      <c r="B186" s="1" t="n">
        <v>45021</v>
      </c>
      <c r="C186" s="1" t="n">
        <v>45294</v>
      </c>
      <c r="D186" t="inlineStr">
        <is>
          <t>VÄSTMANLANDS LÄN</t>
        </is>
      </c>
      <c r="E186" t="inlineStr">
        <is>
          <t>SURAHAMMAR</t>
        </is>
      </c>
      <c r="G186" t="n">
        <v>1.3</v>
      </c>
      <c r="H186" t="n">
        <v>0</v>
      </c>
      <c r="I186" t="n">
        <v>0</v>
      </c>
      <c r="J186" t="n">
        <v>0</v>
      </c>
      <c r="K186" t="n">
        <v>0</v>
      </c>
      <c r="L186" t="n">
        <v>0</v>
      </c>
      <c r="M186" t="n">
        <v>0</v>
      </c>
      <c r="N186" t="n">
        <v>0</v>
      </c>
      <c r="O186" t="n">
        <v>0</v>
      </c>
      <c r="P186" t="n">
        <v>0</v>
      </c>
      <c r="Q186" t="n">
        <v>0</v>
      </c>
      <c r="R186" s="2" t="inlineStr"/>
    </row>
    <row r="187" ht="15" customHeight="1">
      <c r="A187" t="inlineStr">
        <is>
          <t>A 16013-2023</t>
        </is>
      </c>
      <c r="B187" s="1" t="n">
        <v>45026</v>
      </c>
      <c r="C187" s="1" t="n">
        <v>45294</v>
      </c>
      <c r="D187" t="inlineStr">
        <is>
          <t>VÄSTMANLANDS LÄN</t>
        </is>
      </c>
      <c r="E187" t="inlineStr">
        <is>
          <t>SURAHAMMAR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18223-2023</t>
        </is>
      </c>
      <c r="B188" s="1" t="n">
        <v>45041</v>
      </c>
      <c r="C188" s="1" t="n">
        <v>45294</v>
      </c>
      <c r="D188" t="inlineStr">
        <is>
          <t>VÄSTMANLANDS LÄN</t>
        </is>
      </c>
      <c r="E188" t="inlineStr">
        <is>
          <t>SURAHAMMAR</t>
        </is>
      </c>
      <c r="F188" t="inlineStr">
        <is>
          <t>Övriga Aktiebolag</t>
        </is>
      </c>
      <c r="G188" t="n">
        <v>3.1</v>
      </c>
      <c r="H188" t="n">
        <v>0</v>
      </c>
      <c r="I188" t="n">
        <v>0</v>
      </c>
      <c r="J188" t="n">
        <v>0</v>
      </c>
      <c r="K188" t="n">
        <v>0</v>
      </c>
      <c r="L188" t="n">
        <v>0</v>
      </c>
      <c r="M188" t="n">
        <v>0</v>
      </c>
      <c r="N188" t="n">
        <v>0</v>
      </c>
      <c r="O188" t="n">
        <v>0</v>
      </c>
      <c r="P188" t="n">
        <v>0</v>
      </c>
      <c r="Q188" t="n">
        <v>0</v>
      </c>
      <c r="R188" s="2" t="inlineStr"/>
    </row>
    <row r="189" ht="15" customHeight="1">
      <c r="A189" t="inlineStr">
        <is>
          <t>A 19778-2023</t>
        </is>
      </c>
      <c r="B189" s="1" t="n">
        <v>45050</v>
      </c>
      <c r="C189" s="1" t="n">
        <v>45294</v>
      </c>
      <c r="D189" t="inlineStr">
        <is>
          <t>VÄSTMANLANDS LÄN</t>
        </is>
      </c>
      <c r="E189" t="inlineStr">
        <is>
          <t>SURAHAMMAR</t>
        </is>
      </c>
      <c r="F189" t="inlineStr">
        <is>
          <t>Bergvik skog väst AB</t>
        </is>
      </c>
      <c r="G189" t="n">
        <v>6</v>
      </c>
      <c r="H189" t="n">
        <v>0</v>
      </c>
      <c r="I189" t="n">
        <v>0</v>
      </c>
      <c r="J189" t="n">
        <v>0</v>
      </c>
      <c r="K189" t="n">
        <v>0</v>
      </c>
      <c r="L189" t="n">
        <v>0</v>
      </c>
      <c r="M189" t="n">
        <v>0</v>
      </c>
      <c r="N189" t="n">
        <v>0</v>
      </c>
      <c r="O189" t="n">
        <v>0</v>
      </c>
      <c r="P189" t="n">
        <v>0</v>
      </c>
      <c r="Q189" t="n">
        <v>0</v>
      </c>
      <c r="R189" s="2" t="inlineStr"/>
    </row>
    <row r="190" ht="15" customHeight="1">
      <c r="A190" t="inlineStr">
        <is>
          <t>A 19779-2023</t>
        </is>
      </c>
      <c r="B190" s="1" t="n">
        <v>45050</v>
      </c>
      <c r="C190" s="1" t="n">
        <v>45294</v>
      </c>
      <c r="D190" t="inlineStr">
        <is>
          <t>VÄSTMANLANDS LÄN</t>
        </is>
      </c>
      <c r="E190" t="inlineStr">
        <is>
          <t>SURAHAMMAR</t>
        </is>
      </c>
      <c r="F190" t="inlineStr">
        <is>
          <t>Bergvik skog väst AB</t>
        </is>
      </c>
      <c r="G190" t="n">
        <v>11.1</v>
      </c>
      <c r="H190" t="n">
        <v>0</v>
      </c>
      <c r="I190" t="n">
        <v>0</v>
      </c>
      <c r="J190" t="n">
        <v>0</v>
      </c>
      <c r="K190" t="n">
        <v>0</v>
      </c>
      <c r="L190" t="n">
        <v>0</v>
      </c>
      <c r="M190" t="n">
        <v>0</v>
      </c>
      <c r="N190" t="n">
        <v>0</v>
      </c>
      <c r="O190" t="n">
        <v>0</v>
      </c>
      <c r="P190" t="n">
        <v>0</v>
      </c>
      <c r="Q190" t="n">
        <v>0</v>
      </c>
      <c r="R190" s="2" t="inlineStr"/>
    </row>
    <row r="191" ht="15" customHeight="1">
      <c r="A191" t="inlineStr">
        <is>
          <t>A 19786-2023</t>
        </is>
      </c>
      <c r="B191" s="1" t="n">
        <v>45050</v>
      </c>
      <c r="C191" s="1" t="n">
        <v>45294</v>
      </c>
      <c r="D191" t="inlineStr">
        <is>
          <t>VÄSTMANLANDS LÄN</t>
        </is>
      </c>
      <c r="E191" t="inlineStr">
        <is>
          <t>SURAHAMMAR</t>
        </is>
      </c>
      <c r="F191" t="inlineStr">
        <is>
          <t>Bergvik skog väst AB</t>
        </is>
      </c>
      <c r="G191" t="n">
        <v>8.1</v>
      </c>
      <c r="H191" t="n">
        <v>0</v>
      </c>
      <c r="I191" t="n">
        <v>0</v>
      </c>
      <c r="J191" t="n">
        <v>0</v>
      </c>
      <c r="K191" t="n">
        <v>0</v>
      </c>
      <c r="L191" t="n">
        <v>0</v>
      </c>
      <c r="M191" t="n">
        <v>0</v>
      </c>
      <c r="N191" t="n">
        <v>0</v>
      </c>
      <c r="O191" t="n">
        <v>0</v>
      </c>
      <c r="P191" t="n">
        <v>0</v>
      </c>
      <c r="Q191" t="n">
        <v>0</v>
      </c>
      <c r="R191" s="2" t="inlineStr"/>
    </row>
    <row r="192" ht="15" customHeight="1">
      <c r="A192" t="inlineStr">
        <is>
          <t>A 19782-2023</t>
        </is>
      </c>
      <c r="B192" s="1" t="n">
        <v>45050</v>
      </c>
      <c r="C192" s="1" t="n">
        <v>45294</v>
      </c>
      <c r="D192" t="inlineStr">
        <is>
          <t>VÄSTMANLANDS LÄN</t>
        </is>
      </c>
      <c r="E192" t="inlineStr">
        <is>
          <t>SURAHAMMAR</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20020-2023</t>
        </is>
      </c>
      <c r="B193" s="1" t="n">
        <v>45054</v>
      </c>
      <c r="C193" s="1" t="n">
        <v>45294</v>
      </c>
      <c r="D193" t="inlineStr">
        <is>
          <t>VÄSTMANLANDS LÄN</t>
        </is>
      </c>
      <c r="E193" t="inlineStr">
        <is>
          <t>SURAHAMMAR</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20018-2023</t>
        </is>
      </c>
      <c r="B194" s="1" t="n">
        <v>45054</v>
      </c>
      <c r="C194" s="1" t="n">
        <v>45294</v>
      </c>
      <c r="D194" t="inlineStr">
        <is>
          <t>VÄSTMANLANDS LÄN</t>
        </is>
      </c>
      <c r="E194" t="inlineStr">
        <is>
          <t>SURAHAMMAR</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20019-2023</t>
        </is>
      </c>
      <c r="B195" s="1" t="n">
        <v>45054</v>
      </c>
      <c r="C195" s="1" t="n">
        <v>45294</v>
      </c>
      <c r="D195" t="inlineStr">
        <is>
          <t>VÄSTMANLANDS LÄN</t>
        </is>
      </c>
      <c r="E195" t="inlineStr">
        <is>
          <t>SURAHAMMAR</t>
        </is>
      </c>
      <c r="F195" t="inlineStr">
        <is>
          <t>Sveaskog</t>
        </is>
      </c>
      <c r="G195" t="n">
        <v>18.5</v>
      </c>
      <c r="H195" t="n">
        <v>0</v>
      </c>
      <c r="I195" t="n">
        <v>0</v>
      </c>
      <c r="J195" t="n">
        <v>0</v>
      </c>
      <c r="K195" t="n">
        <v>0</v>
      </c>
      <c r="L195" t="n">
        <v>0</v>
      </c>
      <c r="M195" t="n">
        <v>0</v>
      </c>
      <c r="N195" t="n">
        <v>0</v>
      </c>
      <c r="O195" t="n">
        <v>0</v>
      </c>
      <c r="P195" t="n">
        <v>0</v>
      </c>
      <c r="Q195" t="n">
        <v>0</v>
      </c>
      <c r="R195" s="2" t="inlineStr"/>
    </row>
    <row r="196" ht="15" customHeight="1">
      <c r="A196" t="inlineStr">
        <is>
          <t>A 20023-2023</t>
        </is>
      </c>
      <c r="B196" s="1" t="n">
        <v>45054</v>
      </c>
      <c r="C196" s="1" t="n">
        <v>45294</v>
      </c>
      <c r="D196" t="inlineStr">
        <is>
          <t>VÄSTMANLANDS LÄN</t>
        </is>
      </c>
      <c r="E196" t="inlineStr">
        <is>
          <t>SURAHAMMAR</t>
        </is>
      </c>
      <c r="F196" t="inlineStr">
        <is>
          <t>Sveaskog</t>
        </is>
      </c>
      <c r="G196" t="n">
        <v>7.8</v>
      </c>
      <c r="H196" t="n">
        <v>0</v>
      </c>
      <c r="I196" t="n">
        <v>0</v>
      </c>
      <c r="J196" t="n">
        <v>0</v>
      </c>
      <c r="K196" t="n">
        <v>0</v>
      </c>
      <c r="L196" t="n">
        <v>0</v>
      </c>
      <c r="M196" t="n">
        <v>0</v>
      </c>
      <c r="N196" t="n">
        <v>0</v>
      </c>
      <c r="O196" t="n">
        <v>0</v>
      </c>
      <c r="P196" t="n">
        <v>0</v>
      </c>
      <c r="Q196" t="n">
        <v>0</v>
      </c>
      <c r="R196" s="2" t="inlineStr"/>
    </row>
    <row r="197" ht="15" customHeight="1">
      <c r="A197" t="inlineStr">
        <is>
          <t>A 20429-2023</t>
        </is>
      </c>
      <c r="B197" s="1" t="n">
        <v>45056</v>
      </c>
      <c r="C197" s="1" t="n">
        <v>45294</v>
      </c>
      <c r="D197" t="inlineStr">
        <is>
          <t>VÄSTMANLANDS LÄN</t>
        </is>
      </c>
      <c r="E197" t="inlineStr">
        <is>
          <t>SURAHAMMAR</t>
        </is>
      </c>
      <c r="G197" t="n">
        <v>5</v>
      </c>
      <c r="H197" t="n">
        <v>0</v>
      </c>
      <c r="I197" t="n">
        <v>0</v>
      </c>
      <c r="J197" t="n">
        <v>0</v>
      </c>
      <c r="K197" t="n">
        <v>0</v>
      </c>
      <c r="L197" t="n">
        <v>0</v>
      </c>
      <c r="M197" t="n">
        <v>0</v>
      </c>
      <c r="N197" t="n">
        <v>0</v>
      </c>
      <c r="O197" t="n">
        <v>0</v>
      </c>
      <c r="P197" t="n">
        <v>0</v>
      </c>
      <c r="Q197" t="n">
        <v>0</v>
      </c>
      <c r="R197" s="2" t="inlineStr"/>
    </row>
    <row r="198" ht="15" customHeight="1">
      <c r="A198" t="inlineStr">
        <is>
          <t>A 20904-2023</t>
        </is>
      </c>
      <c r="B198" s="1" t="n">
        <v>45060</v>
      </c>
      <c r="C198" s="1" t="n">
        <v>45294</v>
      </c>
      <c r="D198" t="inlineStr">
        <is>
          <t>VÄSTMANLANDS LÄN</t>
        </is>
      </c>
      <c r="E198" t="inlineStr">
        <is>
          <t>SURAHAMMAR</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21906-2023</t>
        </is>
      </c>
      <c r="B199" s="1" t="n">
        <v>45068</v>
      </c>
      <c r="C199" s="1" t="n">
        <v>45294</v>
      </c>
      <c r="D199" t="inlineStr">
        <is>
          <t>VÄSTMANLANDS LÄN</t>
        </is>
      </c>
      <c r="E199" t="inlineStr">
        <is>
          <t>SURAHAMMAR</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21905-2023</t>
        </is>
      </c>
      <c r="B200" s="1" t="n">
        <v>45068</v>
      </c>
      <c r="C200" s="1" t="n">
        <v>45294</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21904-2023</t>
        </is>
      </c>
      <c r="B201" s="1" t="n">
        <v>45068</v>
      </c>
      <c r="C201" s="1" t="n">
        <v>45294</v>
      </c>
      <c r="D201" t="inlineStr">
        <is>
          <t>VÄSTMANLANDS LÄN</t>
        </is>
      </c>
      <c r="E201" t="inlineStr">
        <is>
          <t>SURAHAMMAR</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22915-2023</t>
        </is>
      </c>
      <c r="B202" s="1" t="n">
        <v>45070</v>
      </c>
      <c r="C202" s="1" t="n">
        <v>45294</v>
      </c>
      <c r="D202" t="inlineStr">
        <is>
          <t>VÄSTMANLANDS LÄN</t>
        </is>
      </c>
      <c r="E202" t="inlineStr">
        <is>
          <t>SURAHAMMAR</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22660-2023</t>
        </is>
      </c>
      <c r="B203" s="1" t="n">
        <v>45071</v>
      </c>
      <c r="C203" s="1" t="n">
        <v>45294</v>
      </c>
      <c r="D203" t="inlineStr">
        <is>
          <t>VÄSTMANLANDS LÄN</t>
        </is>
      </c>
      <c r="E203" t="inlineStr">
        <is>
          <t>SURAHAMMAR</t>
        </is>
      </c>
      <c r="F203" t="inlineStr">
        <is>
          <t>Sveaskog</t>
        </is>
      </c>
      <c r="G203" t="n">
        <v>15.3</v>
      </c>
      <c r="H203" t="n">
        <v>0</v>
      </c>
      <c r="I203" t="n">
        <v>0</v>
      </c>
      <c r="J203" t="n">
        <v>0</v>
      </c>
      <c r="K203" t="n">
        <v>0</v>
      </c>
      <c r="L203" t="n">
        <v>0</v>
      </c>
      <c r="M203" t="n">
        <v>0</v>
      </c>
      <c r="N203" t="n">
        <v>0</v>
      </c>
      <c r="O203" t="n">
        <v>0</v>
      </c>
      <c r="P203" t="n">
        <v>0</v>
      </c>
      <c r="Q203" t="n">
        <v>0</v>
      </c>
      <c r="R203" s="2" t="inlineStr"/>
    </row>
    <row r="204" ht="15" customHeight="1">
      <c r="A204" t="inlineStr">
        <is>
          <t>A 22662-2023</t>
        </is>
      </c>
      <c r="B204" s="1" t="n">
        <v>45071</v>
      </c>
      <c r="C204" s="1" t="n">
        <v>45294</v>
      </c>
      <c r="D204" t="inlineStr">
        <is>
          <t>VÄSTMANLANDS LÄN</t>
        </is>
      </c>
      <c r="E204" t="inlineStr">
        <is>
          <t>SURAHAMMAR</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22661-2023</t>
        </is>
      </c>
      <c r="B205" s="1" t="n">
        <v>45071</v>
      </c>
      <c r="C205" s="1" t="n">
        <v>45294</v>
      </c>
      <c r="D205" t="inlineStr">
        <is>
          <t>VÄSTMANLANDS LÄN</t>
        </is>
      </c>
      <c r="E205" t="inlineStr">
        <is>
          <t>SURAHAMMAR</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22659-2023</t>
        </is>
      </c>
      <c r="B206" s="1" t="n">
        <v>45071</v>
      </c>
      <c r="C206" s="1" t="n">
        <v>45294</v>
      </c>
      <c r="D206" t="inlineStr">
        <is>
          <t>VÄSTMANLANDS LÄN</t>
        </is>
      </c>
      <c r="E206" t="inlineStr">
        <is>
          <t>SURAHAMMAR</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23731-2023</t>
        </is>
      </c>
      <c r="B207" s="1" t="n">
        <v>45077</v>
      </c>
      <c r="C207" s="1" t="n">
        <v>45294</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24156-2023</t>
        </is>
      </c>
      <c r="B208" s="1" t="n">
        <v>45079</v>
      </c>
      <c r="C208" s="1" t="n">
        <v>45294</v>
      </c>
      <c r="D208" t="inlineStr">
        <is>
          <t>VÄSTMANLANDS LÄN</t>
        </is>
      </c>
      <c r="E208" t="inlineStr">
        <is>
          <t>SURAHAMMAR</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24158-2023</t>
        </is>
      </c>
      <c r="B209" s="1" t="n">
        <v>45079</v>
      </c>
      <c r="C209" s="1" t="n">
        <v>45294</v>
      </c>
      <c r="D209" t="inlineStr">
        <is>
          <t>VÄSTMANLANDS LÄN</t>
        </is>
      </c>
      <c r="E209" t="inlineStr">
        <is>
          <t>SURAHAMMAR</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24197-2023</t>
        </is>
      </c>
      <c r="B210" s="1" t="n">
        <v>45079</v>
      </c>
      <c r="C210" s="1" t="n">
        <v>45294</v>
      </c>
      <c r="D210" t="inlineStr">
        <is>
          <t>VÄSTMANLANDS LÄN</t>
        </is>
      </c>
      <c r="E210" t="inlineStr">
        <is>
          <t>SURAHAMMAR</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24180-2023</t>
        </is>
      </c>
      <c r="B211" s="1" t="n">
        <v>45079</v>
      </c>
      <c r="C211" s="1" t="n">
        <v>45294</v>
      </c>
      <c r="D211" t="inlineStr">
        <is>
          <t>VÄSTMANLANDS LÄN</t>
        </is>
      </c>
      <c r="E211" t="inlineStr">
        <is>
          <t>SURAHAMMAR</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24665-2023</t>
        </is>
      </c>
      <c r="B212" s="1" t="n">
        <v>45084</v>
      </c>
      <c r="C212" s="1" t="n">
        <v>45294</v>
      </c>
      <c r="D212" t="inlineStr">
        <is>
          <t>VÄSTMANLANDS LÄN</t>
        </is>
      </c>
      <c r="E212" t="inlineStr">
        <is>
          <t>SURAHAMMAR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25775-2023</t>
        </is>
      </c>
      <c r="B213" s="1" t="n">
        <v>45090</v>
      </c>
      <c r="C213" s="1" t="n">
        <v>45294</v>
      </c>
      <c r="D213" t="inlineStr">
        <is>
          <t>VÄSTMANLANDS LÄN</t>
        </is>
      </c>
      <c r="E213" t="inlineStr">
        <is>
          <t>SURAHAMMAR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25780-2023</t>
        </is>
      </c>
      <c r="B214" s="1" t="n">
        <v>45090</v>
      </c>
      <c r="C214" s="1" t="n">
        <v>45294</v>
      </c>
      <c r="D214" t="inlineStr">
        <is>
          <t>VÄSTMANLANDS LÄN</t>
        </is>
      </c>
      <c r="E214" t="inlineStr">
        <is>
          <t>SURAHAMMAR</t>
        </is>
      </c>
      <c r="G214" t="n">
        <v>2.8</v>
      </c>
      <c r="H214" t="n">
        <v>0</v>
      </c>
      <c r="I214" t="n">
        <v>0</v>
      </c>
      <c r="J214" t="n">
        <v>0</v>
      </c>
      <c r="K214" t="n">
        <v>0</v>
      </c>
      <c r="L214" t="n">
        <v>0</v>
      </c>
      <c r="M214" t="n">
        <v>0</v>
      </c>
      <c r="N214" t="n">
        <v>0</v>
      </c>
      <c r="O214" t="n">
        <v>0</v>
      </c>
      <c r="P214" t="n">
        <v>0</v>
      </c>
      <c r="Q214" t="n">
        <v>0</v>
      </c>
      <c r="R214" s="2" t="inlineStr"/>
    </row>
    <row r="215" ht="15" customHeight="1">
      <c r="A215" t="inlineStr">
        <is>
          <t>A 27140-2023</t>
        </is>
      </c>
      <c r="B215" s="1" t="n">
        <v>45096</v>
      </c>
      <c r="C215" s="1" t="n">
        <v>45294</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27156-2023</t>
        </is>
      </c>
      <c r="B216" s="1" t="n">
        <v>45096</v>
      </c>
      <c r="C216" s="1" t="n">
        <v>45294</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27142-2023</t>
        </is>
      </c>
      <c r="B217" s="1" t="n">
        <v>45096</v>
      </c>
      <c r="C217" s="1" t="n">
        <v>45294</v>
      </c>
      <c r="D217" t="inlineStr">
        <is>
          <t>VÄSTMANLANDS LÄN</t>
        </is>
      </c>
      <c r="E217" t="inlineStr">
        <is>
          <t>SURAHAMMAR</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27171-2023</t>
        </is>
      </c>
      <c r="B218" s="1" t="n">
        <v>45096</v>
      </c>
      <c r="C218" s="1" t="n">
        <v>45294</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28051-2023</t>
        </is>
      </c>
      <c r="B219" s="1" t="n">
        <v>45099</v>
      </c>
      <c r="C219" s="1" t="n">
        <v>45294</v>
      </c>
      <c r="D219" t="inlineStr">
        <is>
          <t>VÄSTMANLANDS LÄN</t>
        </is>
      </c>
      <c r="E219" t="inlineStr">
        <is>
          <t>SURAHAMMAR</t>
        </is>
      </c>
      <c r="F219" t="inlineStr">
        <is>
          <t>Allmännings- och besparingsskogar</t>
        </is>
      </c>
      <c r="G219" t="n">
        <v>23.3</v>
      </c>
      <c r="H219" t="n">
        <v>0</v>
      </c>
      <c r="I219" t="n">
        <v>0</v>
      </c>
      <c r="J219" t="n">
        <v>0</v>
      </c>
      <c r="K219" t="n">
        <v>0</v>
      </c>
      <c r="L219" t="n">
        <v>0</v>
      </c>
      <c r="M219" t="n">
        <v>0</v>
      </c>
      <c r="N219" t="n">
        <v>0</v>
      </c>
      <c r="O219" t="n">
        <v>0</v>
      </c>
      <c r="P219" t="n">
        <v>0</v>
      </c>
      <c r="Q219" t="n">
        <v>0</v>
      </c>
      <c r="R219" s="2" t="inlineStr"/>
    </row>
    <row r="220" ht="15" customHeight="1">
      <c r="A220" t="inlineStr">
        <is>
          <t>A 30076-2023</t>
        </is>
      </c>
      <c r="B220" s="1" t="n">
        <v>45110</v>
      </c>
      <c r="C220" s="1" t="n">
        <v>45294</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37138-2023</t>
        </is>
      </c>
      <c r="B221" s="1" t="n">
        <v>45155</v>
      </c>
      <c r="C221" s="1" t="n">
        <v>45294</v>
      </c>
      <c r="D221" t="inlineStr">
        <is>
          <t>VÄSTMANLANDS LÄN</t>
        </is>
      </c>
      <c r="E221" t="inlineStr">
        <is>
          <t>SURAHAMMAR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37287-2023</t>
        </is>
      </c>
      <c r="B222" s="1" t="n">
        <v>45156</v>
      </c>
      <c r="C222" s="1" t="n">
        <v>45294</v>
      </c>
      <c r="D222" t="inlineStr">
        <is>
          <t>VÄSTMANLANDS LÄN</t>
        </is>
      </c>
      <c r="E222" t="inlineStr">
        <is>
          <t>SURAHAMMAR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37277-2023</t>
        </is>
      </c>
      <c r="B223" s="1" t="n">
        <v>45156</v>
      </c>
      <c r="C223" s="1" t="n">
        <v>45294</v>
      </c>
      <c r="D223" t="inlineStr">
        <is>
          <t>VÄSTMANLANDS LÄN</t>
        </is>
      </c>
      <c r="E223" t="inlineStr">
        <is>
          <t>SURAHAMMAR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37635-2023</t>
        </is>
      </c>
      <c r="B224" s="1" t="n">
        <v>45159</v>
      </c>
      <c r="C224" s="1" t="n">
        <v>45294</v>
      </c>
      <c r="D224" t="inlineStr">
        <is>
          <t>VÄSTMANLANDS LÄN</t>
        </is>
      </c>
      <c r="E224" t="inlineStr">
        <is>
          <t>SURAHAMMAR</t>
        </is>
      </c>
      <c r="G224" t="n">
        <v>1</v>
      </c>
      <c r="H224" t="n">
        <v>0</v>
      </c>
      <c r="I224" t="n">
        <v>0</v>
      </c>
      <c r="J224" t="n">
        <v>0</v>
      </c>
      <c r="K224" t="n">
        <v>0</v>
      </c>
      <c r="L224" t="n">
        <v>0</v>
      </c>
      <c r="M224" t="n">
        <v>0</v>
      </c>
      <c r="N224" t="n">
        <v>0</v>
      </c>
      <c r="O224" t="n">
        <v>0</v>
      </c>
      <c r="P224" t="n">
        <v>0</v>
      </c>
      <c r="Q224" t="n">
        <v>0</v>
      </c>
      <c r="R224" s="2" t="inlineStr"/>
    </row>
    <row r="225" ht="15" customHeight="1">
      <c r="A225" t="inlineStr">
        <is>
          <t>A 37639-2023</t>
        </is>
      </c>
      <c r="B225" s="1" t="n">
        <v>45159</v>
      </c>
      <c r="C225" s="1" t="n">
        <v>45294</v>
      </c>
      <c r="D225" t="inlineStr">
        <is>
          <t>VÄSTMANLANDS LÄN</t>
        </is>
      </c>
      <c r="E225" t="inlineStr">
        <is>
          <t>SURAHAMMAR</t>
        </is>
      </c>
      <c r="G225" t="n">
        <v>4.9</v>
      </c>
      <c r="H225" t="n">
        <v>0</v>
      </c>
      <c r="I225" t="n">
        <v>0</v>
      </c>
      <c r="J225" t="n">
        <v>0</v>
      </c>
      <c r="K225" t="n">
        <v>0</v>
      </c>
      <c r="L225" t="n">
        <v>0</v>
      </c>
      <c r="M225" t="n">
        <v>0</v>
      </c>
      <c r="N225" t="n">
        <v>0</v>
      </c>
      <c r="O225" t="n">
        <v>0</v>
      </c>
      <c r="P225" t="n">
        <v>0</v>
      </c>
      <c r="Q225" t="n">
        <v>0</v>
      </c>
      <c r="R225" s="2" t="inlineStr"/>
    </row>
    <row r="226" ht="15" customHeight="1">
      <c r="A226" t="inlineStr">
        <is>
          <t>A 40956-2023</t>
        </is>
      </c>
      <c r="B226" s="1" t="n">
        <v>45169</v>
      </c>
      <c r="C226" s="1" t="n">
        <v>45294</v>
      </c>
      <c r="D226" t="inlineStr">
        <is>
          <t>VÄSTMANLANDS LÄN</t>
        </is>
      </c>
      <c r="E226" t="inlineStr">
        <is>
          <t>SURAHAMMAR</t>
        </is>
      </c>
      <c r="F226" t="inlineStr">
        <is>
          <t>Bergvik skog väst AB</t>
        </is>
      </c>
      <c r="G226" t="n">
        <v>7.6</v>
      </c>
      <c r="H226" t="n">
        <v>0</v>
      </c>
      <c r="I226" t="n">
        <v>0</v>
      </c>
      <c r="J226" t="n">
        <v>0</v>
      </c>
      <c r="K226" t="n">
        <v>0</v>
      </c>
      <c r="L226" t="n">
        <v>0</v>
      </c>
      <c r="M226" t="n">
        <v>0</v>
      </c>
      <c r="N226" t="n">
        <v>0</v>
      </c>
      <c r="O226" t="n">
        <v>0</v>
      </c>
      <c r="P226" t="n">
        <v>0</v>
      </c>
      <c r="Q226" t="n">
        <v>0</v>
      </c>
      <c r="R226" s="2" t="inlineStr"/>
    </row>
    <row r="227" ht="15" customHeight="1">
      <c r="A227" t="inlineStr">
        <is>
          <t>A 40445-2023</t>
        </is>
      </c>
      <c r="B227" s="1" t="n">
        <v>45170</v>
      </c>
      <c r="C227" s="1" t="n">
        <v>45294</v>
      </c>
      <c r="D227" t="inlineStr">
        <is>
          <t>VÄSTMANLANDS LÄN</t>
        </is>
      </c>
      <c r="E227" t="inlineStr">
        <is>
          <t>SURAHAMMAR</t>
        </is>
      </c>
      <c r="G227" t="n">
        <v>15.6</v>
      </c>
      <c r="H227" t="n">
        <v>0</v>
      </c>
      <c r="I227" t="n">
        <v>0</v>
      </c>
      <c r="J227" t="n">
        <v>0</v>
      </c>
      <c r="K227" t="n">
        <v>0</v>
      </c>
      <c r="L227" t="n">
        <v>0</v>
      </c>
      <c r="M227" t="n">
        <v>0</v>
      </c>
      <c r="N227" t="n">
        <v>0</v>
      </c>
      <c r="O227" t="n">
        <v>0</v>
      </c>
      <c r="P227" t="n">
        <v>0</v>
      </c>
      <c r="Q227" t="n">
        <v>0</v>
      </c>
      <c r="R227" s="2" t="inlineStr"/>
    </row>
    <row r="228" ht="15" customHeight="1">
      <c r="A228" t="inlineStr">
        <is>
          <t>A 48906-2023</t>
        </is>
      </c>
      <c r="B228" s="1" t="n">
        <v>45203</v>
      </c>
      <c r="C228" s="1" t="n">
        <v>45294</v>
      </c>
      <c r="D228" t="inlineStr">
        <is>
          <t>VÄSTMANLANDS LÄN</t>
        </is>
      </c>
      <c r="E228" t="inlineStr">
        <is>
          <t>SURAHAMMAR</t>
        </is>
      </c>
      <c r="F228" t="inlineStr">
        <is>
          <t>Bergvik skog väst AB</t>
        </is>
      </c>
      <c r="G228" t="n">
        <v>2.5</v>
      </c>
      <c r="H228" t="n">
        <v>0</v>
      </c>
      <c r="I228" t="n">
        <v>0</v>
      </c>
      <c r="J228" t="n">
        <v>0</v>
      </c>
      <c r="K228" t="n">
        <v>0</v>
      </c>
      <c r="L228" t="n">
        <v>0</v>
      </c>
      <c r="M228" t="n">
        <v>0</v>
      </c>
      <c r="N228" t="n">
        <v>0</v>
      </c>
      <c r="O228" t="n">
        <v>0</v>
      </c>
      <c r="P228" t="n">
        <v>0</v>
      </c>
      <c r="Q228" t="n">
        <v>0</v>
      </c>
      <c r="R228" s="2" t="inlineStr"/>
      <c r="U228">
        <f>HYPERLINK("https://klasma.github.io/Logging_1907/knärot/A 48906-2023 karta knärot.png", "A 48906-2023")</f>
        <v/>
      </c>
      <c r="V228">
        <f>HYPERLINK("https://klasma.github.io/Logging_1907/klagomål/A 48906-2023 FSC-klagomål.docx", "A 48906-2023")</f>
        <v/>
      </c>
      <c r="W228">
        <f>HYPERLINK("https://klasma.github.io/Logging_1907/klagomålsmail/A 48906-2023 FSC-klagomål mail.docx", "A 48906-2023")</f>
        <v/>
      </c>
      <c r="X228">
        <f>HYPERLINK("https://klasma.github.io/Logging_1907/tillsyn/A 48906-2023 tillsynsbegäran.docx", "A 48906-2023")</f>
        <v/>
      </c>
      <c r="Y228">
        <f>HYPERLINK("https://klasma.github.io/Logging_1907/tillsynsmail/A 48906-2023 tillsynsbegäran mail.docx", "A 48906-2023")</f>
        <v/>
      </c>
    </row>
    <row r="229" ht="15" customHeight="1">
      <c r="A229" t="inlineStr">
        <is>
          <t>A 48205-2023</t>
        </is>
      </c>
      <c r="B229" s="1" t="n">
        <v>45205</v>
      </c>
      <c r="C229" s="1" t="n">
        <v>45294</v>
      </c>
      <c r="D229" t="inlineStr">
        <is>
          <t>VÄSTMANLANDS LÄN</t>
        </is>
      </c>
      <c r="E229" t="inlineStr">
        <is>
          <t>SURAHAMMAR</t>
        </is>
      </c>
      <c r="F229" t="inlineStr">
        <is>
          <t>Allmännings- och besparingsskogar</t>
        </is>
      </c>
      <c r="G229" t="n">
        <v>7.6</v>
      </c>
      <c r="H229" t="n">
        <v>0</v>
      </c>
      <c r="I229" t="n">
        <v>0</v>
      </c>
      <c r="J229" t="n">
        <v>0</v>
      </c>
      <c r="K229" t="n">
        <v>0</v>
      </c>
      <c r="L229" t="n">
        <v>0</v>
      </c>
      <c r="M229" t="n">
        <v>0</v>
      </c>
      <c r="N229" t="n">
        <v>0</v>
      </c>
      <c r="O229" t="n">
        <v>0</v>
      </c>
      <c r="P229" t="n">
        <v>0</v>
      </c>
      <c r="Q229" t="n">
        <v>0</v>
      </c>
      <c r="R229" s="2" t="inlineStr"/>
    </row>
    <row r="230" ht="15" customHeight="1">
      <c r="A230" t="inlineStr">
        <is>
          <t>A 56378-2023</t>
        </is>
      </c>
      <c r="B230" s="1" t="n">
        <v>45236</v>
      </c>
      <c r="C230" s="1" t="n">
        <v>45294</v>
      </c>
      <c r="D230" t="inlineStr">
        <is>
          <t>VÄSTMANLANDS LÄN</t>
        </is>
      </c>
      <c r="E230" t="inlineStr">
        <is>
          <t>SURAHAMMAR</t>
        </is>
      </c>
      <c r="F230" t="inlineStr">
        <is>
          <t>Bergvik skog väst AB</t>
        </is>
      </c>
      <c r="G230" t="n">
        <v>3.6</v>
      </c>
      <c r="H230" t="n">
        <v>0</v>
      </c>
      <c r="I230" t="n">
        <v>0</v>
      </c>
      <c r="J230" t="n">
        <v>0</v>
      </c>
      <c r="K230" t="n">
        <v>0</v>
      </c>
      <c r="L230" t="n">
        <v>0</v>
      </c>
      <c r="M230" t="n">
        <v>0</v>
      </c>
      <c r="N230" t="n">
        <v>0</v>
      </c>
      <c r="O230" t="n">
        <v>0</v>
      </c>
      <c r="P230" t="n">
        <v>0</v>
      </c>
      <c r="Q230" t="n">
        <v>0</v>
      </c>
      <c r="R230" s="2" t="inlineStr"/>
    </row>
    <row r="231" ht="15" customHeight="1">
      <c r="A231" t="inlineStr">
        <is>
          <t>A 56183-2023</t>
        </is>
      </c>
      <c r="B231" s="1" t="n">
        <v>45240</v>
      </c>
      <c r="C231" s="1" t="n">
        <v>45294</v>
      </c>
      <c r="D231" t="inlineStr">
        <is>
          <t>VÄSTMANLANDS LÄN</t>
        </is>
      </c>
      <c r="E231" t="inlineStr">
        <is>
          <t>SURAHAMMAR</t>
        </is>
      </c>
      <c r="F231" t="inlineStr">
        <is>
          <t>Allmännings- och besparingsskogar</t>
        </is>
      </c>
      <c r="G231" t="n">
        <v>2</v>
      </c>
      <c r="H231" t="n">
        <v>0</v>
      </c>
      <c r="I231" t="n">
        <v>0</v>
      </c>
      <c r="J231" t="n">
        <v>0</v>
      </c>
      <c r="K231" t="n">
        <v>0</v>
      </c>
      <c r="L231" t="n">
        <v>0</v>
      </c>
      <c r="M231" t="n">
        <v>0</v>
      </c>
      <c r="N231" t="n">
        <v>0</v>
      </c>
      <c r="O231" t="n">
        <v>0</v>
      </c>
      <c r="P231" t="n">
        <v>0</v>
      </c>
      <c r="Q231" t="n">
        <v>0</v>
      </c>
      <c r="R231" s="2" t="inlineStr"/>
    </row>
    <row r="232" ht="15" customHeight="1">
      <c r="A232" t="inlineStr">
        <is>
          <t>A 58338-2023</t>
        </is>
      </c>
      <c r="B232" s="1" t="n">
        <v>45250</v>
      </c>
      <c r="C232" s="1" t="n">
        <v>45294</v>
      </c>
      <c r="D232" t="inlineStr">
        <is>
          <t>VÄSTMANLANDS LÄN</t>
        </is>
      </c>
      <c r="E232" t="inlineStr">
        <is>
          <t>SURAHAMMAR</t>
        </is>
      </c>
      <c r="F232" t="inlineStr">
        <is>
          <t>Allmännings- och besparingsskogar</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58356-2023</t>
        </is>
      </c>
      <c r="B233" s="1" t="n">
        <v>45250</v>
      </c>
      <c r="C233" s="1" t="n">
        <v>45294</v>
      </c>
      <c r="D233" t="inlineStr">
        <is>
          <t>VÄSTMANLANDS LÄN</t>
        </is>
      </c>
      <c r="E233" t="inlineStr">
        <is>
          <t>SURAHAMMAR</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59317-2023</t>
        </is>
      </c>
      <c r="B234" s="1" t="n">
        <v>45253</v>
      </c>
      <c r="C234" s="1" t="n">
        <v>45294</v>
      </c>
      <c r="D234" t="inlineStr">
        <is>
          <t>VÄSTMANLANDS LÄN</t>
        </is>
      </c>
      <c r="E234" t="inlineStr">
        <is>
          <t>SURAHAMMAR</t>
        </is>
      </c>
      <c r="G234" t="n">
        <v>7.1</v>
      </c>
      <c r="H234" t="n">
        <v>0</v>
      </c>
      <c r="I234" t="n">
        <v>0</v>
      </c>
      <c r="J234" t="n">
        <v>0</v>
      </c>
      <c r="K234" t="n">
        <v>0</v>
      </c>
      <c r="L234" t="n">
        <v>0</v>
      </c>
      <c r="M234" t="n">
        <v>0</v>
      </c>
      <c r="N234" t="n">
        <v>0</v>
      </c>
      <c r="O234" t="n">
        <v>0</v>
      </c>
      <c r="P234" t="n">
        <v>0</v>
      </c>
      <c r="Q234" t="n">
        <v>0</v>
      </c>
      <c r="R234" s="2" t="inlineStr"/>
    </row>
    <row r="235">
      <c r="A235" t="inlineStr">
        <is>
          <t>A 64343-2023</t>
        </is>
      </c>
      <c r="B235" s="1" t="n">
        <v>45280</v>
      </c>
      <c r="C235" s="1" t="n">
        <v>45294</v>
      </c>
      <c r="D235" t="inlineStr">
        <is>
          <t>VÄSTMANLANDS LÄN</t>
        </is>
      </c>
      <c r="E235" t="inlineStr">
        <is>
          <t>SURAHAMMAR</t>
        </is>
      </c>
      <c r="G235" t="n">
        <v>2.9</v>
      </c>
      <c r="H235" t="n">
        <v>0</v>
      </c>
      <c r="I235" t="n">
        <v>0</v>
      </c>
      <c r="J235" t="n">
        <v>0</v>
      </c>
      <c r="K235" t="n">
        <v>0</v>
      </c>
      <c r="L235" t="n">
        <v>0</v>
      </c>
      <c r="M235" t="n">
        <v>0</v>
      </c>
      <c r="N235" t="n">
        <v>0</v>
      </c>
      <c r="O235" t="n">
        <v>0</v>
      </c>
      <c r="P235" t="n">
        <v>0</v>
      </c>
      <c r="Q235" t="n">
        <v>0</v>
      </c>
      <c r="R2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2024-01-03T09:59:31Z</dcterms:created>
  <dcterms:modified xmlns:dcterms="http://purl.org/dc/terms/" xmlns:xsi="http://www.w3.org/2001/XMLSchema-instance" xsi:type="dcterms:W3CDTF">2024-01-03T09:59:31Z</dcterms:modified>
</cp:coreProperties>
</file>