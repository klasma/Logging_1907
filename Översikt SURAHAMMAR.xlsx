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46274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46274</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46274</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46274</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46274</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46274</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46274</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46274</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46274</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46274</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46274</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46274</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31060-2026</t>
        </is>
      </c>
      <c r="B23" t="inlineStr">
        <is>
          <t>avverkningsanmälan</t>
        </is>
      </c>
      <c r="C23" t="inlineStr">
        <is>
          <t>Föryngringsavverkning</t>
        </is>
      </c>
      <c r="D23" s="1" t="n">
        <v>46215</v>
      </c>
      <c r="E23" s="1" t="n">
        <v>46274</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44798-2024</t>
        </is>
      </c>
      <c r="B24" t="inlineStr">
        <is>
          <t>avverkningsanmälan</t>
        </is>
      </c>
      <c r="C24" t="inlineStr">
        <is>
          <t>Föryngringsavverkning</t>
        </is>
      </c>
      <c r="D24" s="1" t="n">
        <v>45574</v>
      </c>
      <c r="E24" s="1" t="n">
        <v>46274</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20391-2024</t>
        </is>
      </c>
      <c r="B25" t="inlineStr">
        <is>
          <t>avverkningsanmälan</t>
        </is>
      </c>
      <c r="C25" t="inlineStr">
        <is>
          <t>Föryngringsavverkning</t>
        </is>
      </c>
      <c r="D25" s="1" t="n">
        <v>45435</v>
      </c>
      <c r="E25" s="1" t="n">
        <v>46274</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46274</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46274</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46274</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36260-2026</t>
        </is>
      </c>
      <c r="B29" t="inlineStr">
        <is>
          <t>avverkningsanmälan</t>
        </is>
      </c>
      <c r="C29" t="inlineStr">
        <is>
          <t>Föryngringsavverkning</t>
        </is>
      </c>
      <c r="D29" s="1" t="n">
        <v>46268</v>
      </c>
      <c r="E29" s="1" t="n">
        <v>46274</v>
      </c>
      <c r="F29" t="inlineStr">
        <is>
          <t>VÄSTMANLANDS LÄN</t>
        </is>
      </c>
      <c r="G29" t="inlineStr">
        <is>
          <t>SURAHAMMAR</t>
        </is>
      </c>
      <c r="H29" t="inlineStr">
        <is>
          <t>Sveaskog</t>
        </is>
      </c>
      <c r="I29" t="n">
        <v>5.7</v>
      </c>
      <c r="J29" t="n">
        <v>4</v>
      </c>
      <c r="K29" t="n">
        <v>1</v>
      </c>
      <c r="L29" t="n">
        <v>1</v>
      </c>
      <c r="M29" t="n">
        <v>2</v>
      </c>
      <c r="N29" t="n">
        <v>0</v>
      </c>
      <c r="O29" t="n">
        <v>0</v>
      </c>
      <c r="P29" t="n">
        <v>0</v>
      </c>
      <c r="Q29" t="n">
        <v>3</v>
      </c>
      <c r="R29" t="n">
        <v>2</v>
      </c>
      <c r="S29" t="n">
        <v>7</v>
      </c>
      <c r="T29" t="n">
        <v>8</v>
      </c>
      <c r="U29" t="n">
        <v>0</v>
      </c>
      <c r="V29" s="2" t="inlineStr">
        <is>
          <t>Mindre bastardsvärmare
Silverblåvinge
Enkelbeckasin
Blodticka
Nattskärra
Vanlig snok
Revlummer</t>
        </is>
      </c>
      <c r="W29">
        <f>HYPERLINK("https://klasma.github.io/Logging_1907/artfynd/A 36260-2026 artfynd.xlsx", "A 36260-2026")</f>
        <v/>
      </c>
      <c r="X29">
        <f>HYPERLINK("https://klasma.github.io/Logging_1907/kartor/A 36260-2026 karta.png", "A 36260-2026")</f>
        <v/>
      </c>
      <c r="Y29">
        <f>HYPERLINK("https://klasma.github.io/Logging_1907/kartor_geotiff/A 36260-2026 georefererad karta.tif", "A 36260-2026")</f>
        <v/>
      </c>
      <c r="AA29">
        <f>HYPERLINK("https://klasma.github.io/Logging_1907/klagomål/A 36260-2026 FSC-klagomål.docx", "A 36260-2026")</f>
        <v/>
      </c>
      <c r="AB29">
        <f>HYPERLINK("https://klasma.github.io/Logging_1907/klagomålsmail/A 36260-2026 FSC-klagomål mail.docx", "A 36260-2026")</f>
        <v/>
      </c>
      <c r="AC29">
        <f>HYPERLINK("https://klasma.github.io/Logging_1907/tillsyn/A 36260-2026 tillsynsbegäran.docx", "A 36260-2026")</f>
        <v/>
      </c>
      <c r="AD29">
        <f>HYPERLINK("https://klasma.github.io/Logging_1907/tillsynsmail/A 36260-2026 tillsynsbegäran mail.docx", "A 36260-2026")</f>
        <v/>
      </c>
      <c r="AE29">
        <f>HYPERLINK("https://klasma.github.io/Logging_1907/fåglar/A 36260-2026 prioriterade fågelarter.docx", "A 36260-2026")</f>
        <v/>
      </c>
    </row>
    <row r="30" ht="15" customHeight="1">
      <c r="A30" t="inlineStr">
        <is>
          <t>A 22840-2023</t>
        </is>
      </c>
      <c r="B30" t="inlineStr">
        <is>
          <t>avverkningsanmälan</t>
        </is>
      </c>
      <c r="C30" t="inlineStr">
        <is>
          <t>Föryngringsavverkning</t>
        </is>
      </c>
      <c r="D30" s="1" t="n">
        <v>45072</v>
      </c>
      <c r="E30" s="1" t="n">
        <v>46274</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38172-2024</t>
        </is>
      </c>
      <c r="B31" t="inlineStr">
        <is>
          <t>avverkningsanmälan</t>
        </is>
      </c>
      <c r="C31" t="inlineStr">
        <is>
          <t>Avverkning för att bevara och utveckla /försöksver</t>
        </is>
      </c>
      <c r="D31" s="1" t="n">
        <v>45545</v>
      </c>
      <c r="E31" s="1" t="n">
        <v>46274</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46274</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46274</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46274</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46274</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46274</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46274</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46274</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46274</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46274</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46274</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46274</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46274</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39694-2025</t>
        </is>
      </c>
      <c r="B44" t="inlineStr">
        <is>
          <t>avverkningsanmälan</t>
        </is>
      </c>
      <c r="C44" t="inlineStr">
        <is>
          <t>Föryngringsavverkning</t>
        </is>
      </c>
      <c r="D44" s="1" t="n">
        <v>45890</v>
      </c>
      <c r="E44" s="1" t="n">
        <v>46274</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42765-2022</t>
        </is>
      </c>
      <c r="B45" t="inlineStr">
        <is>
          <t>avverkningsanmälan</t>
        </is>
      </c>
      <c r="C45" t="inlineStr">
        <is>
          <t>Avverkning för annat ändamål</t>
        </is>
      </c>
      <c r="D45" s="1" t="n">
        <v>44832</v>
      </c>
      <c r="E45" s="1" t="n">
        <v>46274</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46274</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69777-2021</t>
        </is>
      </c>
      <c r="B47" t="inlineStr">
        <is>
          <t>avverkningsanmälan</t>
        </is>
      </c>
      <c r="C47" t="inlineStr">
        <is>
          <t>Föryngringsavverkning</t>
        </is>
      </c>
      <c r="D47" s="1" t="n">
        <v>44532</v>
      </c>
      <c r="E47" s="1" t="n">
        <v>46274</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48128-2023</t>
        </is>
      </c>
      <c r="B48" t="inlineStr">
        <is>
          <t>avverkningsanmälan</t>
        </is>
      </c>
      <c r="C48" t="inlineStr">
        <is>
          <t>Föryngringsavverkning</t>
        </is>
      </c>
      <c r="D48" s="1" t="n">
        <v>45205</v>
      </c>
      <c r="E48" s="1" t="n">
        <v>46274</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46274</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32443-2026</t>
        </is>
      </c>
      <c r="B50" t="inlineStr">
        <is>
          <t>avverkningsanmälan</t>
        </is>
      </c>
      <c r="C50" t="inlineStr">
        <is>
          <t>Föryngringsavverkning</t>
        </is>
      </c>
      <c r="D50" s="1" t="n">
        <v>46239</v>
      </c>
      <c r="E50" s="1" t="n">
        <v>46274</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46274</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46274</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46274</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46274</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46274</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46274</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46274</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46274</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37013-2025</t>
        </is>
      </c>
      <c r="B59" t="inlineStr">
        <is>
          <t>avverkningsanmälan</t>
        </is>
      </c>
      <c r="C59" t="inlineStr">
        <is>
          <t>Föryngringsavverkning</t>
        </is>
      </c>
      <c r="D59" s="1" t="n">
        <v>45874</v>
      </c>
      <c r="E59" s="1" t="n">
        <v>46274</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40403-2025</t>
        </is>
      </c>
      <c r="B60" t="inlineStr">
        <is>
          <t>avverkningsanmälan</t>
        </is>
      </c>
      <c r="C60" t="inlineStr">
        <is>
          <t>Föryngringsavverkning</t>
        </is>
      </c>
      <c r="D60" s="1" t="n">
        <v>45895</v>
      </c>
      <c r="E60" s="1" t="n">
        <v>46274</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63138-2025</t>
        </is>
      </c>
      <c r="B61" t="inlineStr">
        <is>
          <t>avverkningsanmälan</t>
        </is>
      </c>
      <c r="C61" t="inlineStr">
        <is>
          <t>Föryngringsavverkning</t>
        </is>
      </c>
      <c r="D61" s="1" t="n">
        <v>46009</v>
      </c>
      <c r="E61" s="1" t="n">
        <v>46274</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36261-2026</t>
        </is>
      </c>
      <c r="B62" t="inlineStr">
        <is>
          <t>avverkningsanmälan</t>
        </is>
      </c>
      <c r="C62" t="inlineStr">
        <is>
          <t>Föryngringsavverkning</t>
        </is>
      </c>
      <c r="D62" s="1" t="n">
        <v>46268</v>
      </c>
      <c r="E62" s="1" t="n">
        <v>46274</v>
      </c>
      <c r="F62" t="inlineStr">
        <is>
          <t>VÄSTMANLANDS LÄN</t>
        </is>
      </c>
      <c r="G62" t="inlineStr">
        <is>
          <t>SURAHAMMAR</t>
        </is>
      </c>
      <c r="H62" t="inlineStr">
        <is>
          <t>Sveaskog</t>
        </is>
      </c>
      <c r="I62" t="n">
        <v>7.9</v>
      </c>
      <c r="J62" t="n">
        <v>1</v>
      </c>
      <c r="K62" t="n">
        <v>0</v>
      </c>
      <c r="L62" t="n">
        <v>1</v>
      </c>
      <c r="M62" t="n">
        <v>0</v>
      </c>
      <c r="N62" t="n">
        <v>0</v>
      </c>
      <c r="O62" t="n">
        <v>0</v>
      </c>
      <c r="P62" t="n">
        <v>0</v>
      </c>
      <c r="Q62" t="n">
        <v>1</v>
      </c>
      <c r="R62" t="n">
        <v>0</v>
      </c>
      <c r="S62" t="n">
        <v>2</v>
      </c>
      <c r="T62" t="n">
        <v>2</v>
      </c>
      <c r="U62" t="n">
        <v>0</v>
      </c>
      <c r="V62" s="2" t="inlineStr">
        <is>
          <t>Krusfrö
Revlummer</t>
        </is>
      </c>
      <c r="W62">
        <f>HYPERLINK("https://klasma.github.io/Logging_1907/artfynd/A 36261-2026 artfynd.xlsx", "A 36261-2026")</f>
        <v/>
      </c>
      <c r="X62">
        <f>HYPERLINK("https://klasma.github.io/Logging_1907/kartor/A 36261-2026 karta.png", "A 36261-2026")</f>
        <v/>
      </c>
      <c r="Y62">
        <f>HYPERLINK("https://klasma.github.io/Logging_1907/kartor_geotiff/A 36261-2026 georefererad karta.tif", "A 36261-2026")</f>
        <v/>
      </c>
      <c r="AA62">
        <f>HYPERLINK("https://klasma.github.io/Logging_1907/klagomål/A 36261-2026 FSC-klagomål.docx", "A 36261-2026")</f>
        <v/>
      </c>
      <c r="AB62">
        <f>HYPERLINK("https://klasma.github.io/Logging_1907/klagomålsmail/A 36261-2026 FSC-klagomål mail.docx", "A 36261-2026")</f>
        <v/>
      </c>
      <c r="AC62">
        <f>HYPERLINK("https://klasma.github.io/Logging_1907/tillsyn/A 36261-2026 tillsynsbegäran.docx", "A 36261-2026")</f>
        <v/>
      </c>
      <c r="AD62">
        <f>HYPERLINK("https://klasma.github.io/Logging_1907/tillsynsmail/A 36261-2026 tillsynsbegäran mail.docx", "A 36261-2026")</f>
        <v/>
      </c>
    </row>
    <row r="63" ht="15" customHeight="1">
      <c r="A63" t="inlineStr">
        <is>
          <t>A 41204-2023</t>
        </is>
      </c>
      <c r="B63" t="inlineStr">
        <is>
          <t>avverkningsanmälan</t>
        </is>
      </c>
      <c r="C63" t="inlineStr">
        <is>
          <t>Föryngringsavverkning</t>
        </is>
      </c>
      <c r="D63" s="1" t="n">
        <v>45174</v>
      </c>
      <c r="E63" s="1" t="n">
        <v>46274</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46274</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46274</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46274</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46274</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46274</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46274</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46274</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46274</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46274</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46274</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46274</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46274</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46274</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46274</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46274</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46274</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46274</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31589-2026</t>
        </is>
      </c>
      <c r="B81" t="inlineStr">
        <is>
          <t>avverkningsanmälan</t>
        </is>
      </c>
      <c r="C81" t="inlineStr">
        <is>
          <t>Föryngringsavverkning</t>
        </is>
      </c>
      <c r="D81" s="1" t="n">
        <v>46224</v>
      </c>
      <c r="E81" s="1" t="n">
        <v>46274</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33231-2024</t>
        </is>
      </c>
      <c r="B82" t="inlineStr">
        <is>
          <t>avverkningsanmälan</t>
        </is>
      </c>
      <c r="C82" t="inlineStr">
        <is>
          <t>Föryngringsavverkning</t>
        </is>
      </c>
      <c r="D82" s="1" t="n">
        <v>45518</v>
      </c>
      <c r="E82" s="1" t="n">
        <v>46274</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46274</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46274</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46274</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34584-2025</t>
        </is>
      </c>
      <c r="B86" t="inlineStr">
        <is>
          <t>avverkningsanmälan</t>
        </is>
      </c>
      <c r="C86" t="inlineStr">
        <is>
          <t>Föryngringsavverkning</t>
        </is>
      </c>
      <c r="D86" s="1" t="n">
        <v>45846</v>
      </c>
      <c r="E86" s="1" t="n">
        <v>46274</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46274</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46274</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46274</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46274</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46274</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46274</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46274</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46274</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46274</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15637-2022</t>
        </is>
      </c>
      <c r="B96" t="inlineStr">
        <is>
          <t>avverkningsanmälan</t>
        </is>
      </c>
      <c r="C96" t="inlineStr">
        <is>
          <t>Föryngringsavverkning</t>
        </is>
      </c>
      <c r="D96" s="1" t="n">
        <v>44662</v>
      </c>
      <c r="E96" s="1" t="n">
        <v>46274</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46274</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46274</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46274</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46274</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46274</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46274</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46274</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32808-2024</t>
        </is>
      </c>
      <c r="B104" t="inlineStr">
        <is>
          <t>avverkningsanmälan</t>
        </is>
      </c>
      <c r="C104" t="inlineStr">
        <is>
          <t>Föryngringsavverkning</t>
        </is>
      </c>
      <c r="D104" s="1" t="n">
        <v>45516</v>
      </c>
      <c r="E104" s="1" t="n">
        <v>46274</v>
      </c>
      <c r="F104" t="inlineStr">
        <is>
          <t>VÄSTMANLANDS LÄN</t>
        </is>
      </c>
      <c r="G104" t="inlineStr">
        <is>
          <t>SURAHAMMAR</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42714-2022</t>
        </is>
      </c>
      <c r="B105" t="inlineStr">
        <is>
          <t>avverkningsanmälan</t>
        </is>
      </c>
      <c r="C105" t="inlineStr">
        <is>
          <t>Föryngringsavverkning</t>
        </is>
      </c>
      <c r="D105" s="1" t="n">
        <v>44832</v>
      </c>
      <c r="E105" s="1" t="n">
        <v>46274</v>
      </c>
      <c r="F105" t="inlineStr">
        <is>
          <t>VÄSTMANLANDS LÄN</t>
        </is>
      </c>
      <c r="G105" t="inlineStr">
        <is>
          <t>SURAHAMMAR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37954-2025</t>
        </is>
      </c>
      <c r="B106" t="inlineStr">
        <is>
          <t>avverkningsanmälan</t>
        </is>
      </c>
      <c r="C106" t="inlineStr">
        <is>
          <t>Föryngringsavverkning</t>
        </is>
      </c>
      <c r="D106" s="1" t="n">
        <v>45881</v>
      </c>
      <c r="E106" s="1" t="n">
        <v>46274</v>
      </c>
      <c r="F106" t="inlineStr">
        <is>
          <t>VÄSTMANLANDS LÄN</t>
        </is>
      </c>
      <c r="G106" t="inlineStr">
        <is>
          <t>SURAHAMMAR</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35682-2022</t>
        </is>
      </c>
      <c r="B107" t="inlineStr">
        <is>
          <t>avverkningsanmälan</t>
        </is>
      </c>
      <c r="C107" t="inlineStr">
        <is>
          <t>Föryngringsavverkning</t>
        </is>
      </c>
      <c r="D107" s="1" t="n">
        <v>44799</v>
      </c>
      <c r="E107" s="1" t="n">
        <v>46274</v>
      </c>
      <c r="F107" t="inlineStr">
        <is>
          <t>VÄSTMANLANDS LÄN</t>
        </is>
      </c>
      <c r="G107" t="inlineStr">
        <is>
          <t>SURAHAMMAR</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11728-2023</t>
        </is>
      </c>
      <c r="B108" t="inlineStr">
        <is>
          <t>avverkningsanmälan</t>
        </is>
      </c>
      <c r="C108" t="inlineStr">
        <is>
          <t>Avverkning för att bevara och utveckla /försöksver</t>
        </is>
      </c>
      <c r="D108" s="1" t="n">
        <v>44993</v>
      </c>
      <c r="E108" s="1" t="n">
        <v>46274</v>
      </c>
      <c r="F108" t="inlineStr">
        <is>
          <t>VÄSTMANLANDS LÄN</t>
        </is>
      </c>
      <c r="G108" t="inlineStr">
        <is>
          <t>SURAHAMMAR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5567-2022</t>
        </is>
      </c>
      <c r="B109" t="inlineStr">
        <is>
          <t>avverkningsanmälan</t>
        </is>
      </c>
      <c r="C109" t="inlineStr">
        <is>
          <t>Föryngringsavverkning</t>
        </is>
      </c>
      <c r="D109" s="1" t="n">
        <v>44595</v>
      </c>
      <c r="E109" s="1" t="n">
        <v>46274</v>
      </c>
      <c r="F109" t="inlineStr">
        <is>
          <t>VÄSTMANLANDS LÄN</t>
        </is>
      </c>
      <c r="G109" t="inlineStr">
        <is>
          <t>SURAHAMMAR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42832-2022</t>
        </is>
      </c>
      <c r="B110" t="inlineStr">
        <is>
          <t>avverkningsanmälan</t>
        </is>
      </c>
      <c r="C110" t="inlineStr">
        <is>
          <t>Avverkning för annat ändamål</t>
        </is>
      </c>
      <c r="D110" s="1" t="n">
        <v>44832</v>
      </c>
      <c r="E110" s="1" t="n">
        <v>46274</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49058-2024</t>
        </is>
      </c>
      <c r="B111" t="inlineStr">
        <is>
          <t>avverkningsanmälan</t>
        </is>
      </c>
      <c r="C111" t="inlineStr">
        <is>
          <t>Föryngringsavverkning</t>
        </is>
      </c>
      <c r="D111" s="1" t="n">
        <v>45594</v>
      </c>
      <c r="E111" s="1" t="n">
        <v>46274</v>
      </c>
      <c r="F111" t="inlineStr">
        <is>
          <t>VÄSTMANLANDS LÄN</t>
        </is>
      </c>
      <c r="G111" t="inlineStr">
        <is>
          <t>SURAHAMMAR</t>
        </is>
      </c>
      <c r="H111" t="inlineStr">
        <is>
          <t>Sveaskog</t>
        </is>
      </c>
      <c r="I111" t="n">
        <v>11.4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46274</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20535-2026</t>
        </is>
      </c>
      <c r="B113" t="inlineStr">
        <is>
          <t>avverkningsanmälan</t>
        </is>
      </c>
      <c r="C113" t="inlineStr">
        <is>
          <t>Avverkning för annat ändamål</t>
        </is>
      </c>
      <c r="D113" s="1" t="n">
        <v>46140</v>
      </c>
      <c r="E113" s="1" t="n">
        <v>46274</v>
      </c>
      <c r="F113" t="inlineStr">
        <is>
          <t>VÄSTMANLANDS LÄN</t>
        </is>
      </c>
      <c r="G113" t="inlineStr">
        <is>
          <t>SURAHAMMAR</t>
        </is>
      </c>
      <c r="H113" t="inlineStr">
        <is>
          <t>Bergvik skog väst AB</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46274</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46274</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2867-2024</t>
        </is>
      </c>
      <c r="B116" t="inlineStr">
        <is>
          <t>avverkningsanmälan</t>
        </is>
      </c>
      <c r="C116" t="inlineStr">
        <is>
          <t>Föryngringsavverkning</t>
        </is>
      </c>
      <c r="D116" s="1" t="n">
        <v>45315</v>
      </c>
      <c r="E116" s="1" t="n">
        <v>46274</v>
      </c>
      <c r="F116" t="inlineStr">
        <is>
          <t>VÄSTMANLANDS LÄN</t>
        </is>
      </c>
      <c r="G116" t="inlineStr">
        <is>
          <t>SURAHAMMAR</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3085-2023</t>
        </is>
      </c>
      <c r="B117" t="inlineStr">
        <is>
          <t>avverkningsanmälan</t>
        </is>
      </c>
      <c r="C117" t="inlineStr">
        <is>
          <t>Föryngringsavverkning</t>
        </is>
      </c>
      <c r="D117" s="1" t="n">
        <v>44946</v>
      </c>
      <c r="E117" s="1" t="n">
        <v>46274</v>
      </c>
      <c r="F117" t="inlineStr">
        <is>
          <t>VÄSTMANLANDS LÄN</t>
        </is>
      </c>
      <c r="G117" t="inlineStr">
        <is>
          <t>SURAHAMMAR</t>
        </is>
      </c>
      <c r="H117" t="inlineStr">
        <is>
          <t>Kyrkan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55873-2025</t>
        </is>
      </c>
      <c r="B118" t="inlineStr">
        <is>
          <t>avverkningsanmälan</t>
        </is>
      </c>
      <c r="C118" t="inlineStr">
        <is>
          <t>Föryngringsavverkning</t>
        </is>
      </c>
      <c r="D118" s="1" t="n">
        <v>45973</v>
      </c>
      <c r="E118" s="1" t="n">
        <v>46274</v>
      </c>
      <c r="F118" t="inlineStr">
        <is>
          <t>VÄSTMANLANDS LÄN</t>
        </is>
      </c>
      <c r="G118" t="inlineStr">
        <is>
          <t>SURAHAMMAR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24201-2026</t>
        </is>
      </c>
      <c r="B119" t="inlineStr">
        <is>
          <t>avverkningsanmälan</t>
        </is>
      </c>
      <c r="C119" t="inlineStr">
        <is>
          <t>Föryngringsavverkning</t>
        </is>
      </c>
      <c r="D119" s="1" t="n">
        <v>46168</v>
      </c>
      <c r="E119" s="1" t="n">
        <v>46274</v>
      </c>
      <c r="F119" t="inlineStr">
        <is>
          <t>VÄSTMANLANDS LÄN</t>
        </is>
      </c>
      <c r="G119" t="inlineStr">
        <is>
          <t>SURAHAMMAR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32223-2026</t>
        </is>
      </c>
      <c r="B120" t="inlineStr">
        <is>
          <t>avverkningsanmälan</t>
        </is>
      </c>
      <c r="C120" t="inlineStr">
        <is>
          <t>Föryngringsavverkning</t>
        </is>
      </c>
      <c r="D120" s="1" t="n">
        <v>46237</v>
      </c>
      <c r="E120" s="1" t="n">
        <v>46274</v>
      </c>
      <c r="F120" t="inlineStr">
        <is>
          <t>VÄSTMANLANDS LÄN</t>
        </is>
      </c>
      <c r="G120" t="inlineStr">
        <is>
          <t>SURAHAMMAR</t>
        </is>
      </c>
      <c r="H120" t="inlineStr">
        <is>
          <t>Allmännings- och besparingsskogar</t>
        </is>
      </c>
      <c r="I120" t="n">
        <v>8.199999999999999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32501-2026</t>
        </is>
      </c>
      <c r="B121" t="inlineStr">
        <is>
          <t>avverkningsanmälan</t>
        </is>
      </c>
      <c r="C121" t="inlineStr">
        <is>
          <t>Avverkning för annat ändamål</t>
        </is>
      </c>
      <c r="D121" s="1" t="n">
        <v>46239</v>
      </c>
      <c r="E121" s="1" t="n">
        <v>46274</v>
      </c>
      <c r="F121" t="inlineStr">
        <is>
          <t>VÄSTMANLANDS LÄN</t>
        </is>
      </c>
      <c r="G121" t="inlineStr">
        <is>
          <t>SURAHAMMAR</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22628-2026</t>
        </is>
      </c>
      <c r="B122" t="inlineStr">
        <is>
          <t>avverkningsanmälan</t>
        </is>
      </c>
      <c r="C122" t="inlineStr">
        <is>
          <t>Föryngringsavverkning</t>
        </is>
      </c>
      <c r="D122" s="1" t="n">
        <v>46155</v>
      </c>
      <c r="E122" s="1" t="n">
        <v>46274</v>
      </c>
      <c r="F122" t="inlineStr">
        <is>
          <t>VÄSTMANLANDS LÄN</t>
        </is>
      </c>
      <c r="G122" t="inlineStr">
        <is>
          <t>SURAHAMMAR</t>
        </is>
      </c>
      <c r="H122" t="inlineStr">
        <is>
          <t>Sveaskog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20904-2023</t>
        </is>
      </c>
      <c r="B123" t="inlineStr">
        <is>
          <t>avverkningsanmälan</t>
        </is>
      </c>
      <c r="C123" t="inlineStr">
        <is>
          <t>Avverkning för att bevara och utveckla /försöksver</t>
        </is>
      </c>
      <c r="D123" s="1" t="n">
        <v>45060</v>
      </c>
      <c r="E123" s="1" t="n">
        <v>46274</v>
      </c>
      <c r="F123" t="inlineStr">
        <is>
          <t>VÄSTMANLANDS LÄN</t>
        </is>
      </c>
      <c r="G123" t="inlineStr">
        <is>
          <t>SURAHAMMAR</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46274</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4724-2026</t>
        </is>
      </c>
      <c r="B125" t="inlineStr">
        <is>
          <t>avverkningsanmälan</t>
        </is>
      </c>
      <c r="C125" t="inlineStr">
        <is>
          <t>Föryngringsavverkning</t>
        </is>
      </c>
      <c r="D125" s="1" t="n">
        <v>46048</v>
      </c>
      <c r="E125" s="1" t="n">
        <v>46274</v>
      </c>
      <c r="F125" t="inlineStr">
        <is>
          <t>VÄSTMANLANDS LÄN</t>
        </is>
      </c>
      <c r="G125" t="inlineStr">
        <is>
          <t>SURAHAMMAR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4734-2026</t>
        </is>
      </c>
      <c r="B126" t="inlineStr">
        <is>
          <t>avverkningsanmälan</t>
        </is>
      </c>
      <c r="C126" t="inlineStr">
        <is>
          <t>Föryngringsavverkning</t>
        </is>
      </c>
      <c r="D126" s="1" t="n">
        <v>46048</v>
      </c>
      <c r="E126" s="1" t="n">
        <v>46274</v>
      </c>
      <c r="F126" t="inlineStr">
        <is>
          <t>VÄSTMANLANDS LÄN</t>
        </is>
      </c>
      <c r="G126" t="inlineStr">
        <is>
          <t>SURAHAMMAR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33933-2026</t>
        </is>
      </c>
      <c r="B127" t="inlineStr">
        <is>
          <t>avverkningsanmälan</t>
        </is>
      </c>
      <c r="C127" t="inlineStr">
        <is>
          <t>Föryngringsavverkning</t>
        </is>
      </c>
      <c r="D127" s="1" t="n">
        <v>46248</v>
      </c>
      <c r="E127" s="1" t="n">
        <v>46274</v>
      </c>
      <c r="F127" t="inlineStr">
        <is>
          <t>VÄSTMANLANDS LÄN</t>
        </is>
      </c>
      <c r="G127" t="inlineStr">
        <is>
          <t>SURAHAMMAR</t>
        </is>
      </c>
      <c r="H127" t="inlineStr">
        <is>
          <t>Bergvik skog väst AB</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10249-2026</t>
        </is>
      </c>
      <c r="B128" t="inlineStr">
        <is>
          <t>avverkningsanmälan</t>
        </is>
      </c>
      <c r="C128" t="inlineStr">
        <is>
          <t>Föryngringsavverkning</t>
        </is>
      </c>
      <c r="D128" s="1" t="n">
        <v>46076</v>
      </c>
      <c r="E128" s="1" t="n">
        <v>46274</v>
      </c>
      <c r="F128" t="inlineStr">
        <is>
          <t>VÄSTMANLANDS LÄN</t>
        </is>
      </c>
      <c r="G128" t="inlineStr">
        <is>
          <t>SURAHAMMAR</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10244-2026</t>
        </is>
      </c>
      <c r="B129" t="inlineStr">
        <is>
          <t>avverkningsanmälan</t>
        </is>
      </c>
      <c r="C129" t="inlineStr">
        <is>
          <t>Föryngringsavverkning</t>
        </is>
      </c>
      <c r="D129" s="1" t="n">
        <v>46076</v>
      </c>
      <c r="E129" s="1" t="n">
        <v>46274</v>
      </c>
      <c r="F129" t="inlineStr">
        <is>
          <t>VÄSTMANLANDS LÄN</t>
        </is>
      </c>
      <c r="G129" t="inlineStr">
        <is>
          <t>SURAHAMMAR</t>
        </is>
      </c>
      <c r="H129" t="inlineStr">
        <is>
          <t>Allmännings- och besparingsskogar</t>
        </is>
      </c>
      <c r="I129" t="n">
        <v>8.699999999999999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46274</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10562-2026</t>
        </is>
      </c>
      <c r="B131" t="inlineStr">
        <is>
          <t>avverkningsanmälan</t>
        </is>
      </c>
      <c r="C131" t="inlineStr">
        <is>
          <t>Föryngringsavverkning</t>
        </is>
      </c>
      <c r="D131" s="1" t="n">
        <v>46077</v>
      </c>
      <c r="E131" s="1" t="n">
        <v>46274</v>
      </c>
      <c r="F131" t="inlineStr">
        <is>
          <t>VÄSTMANLANDS LÄN</t>
        </is>
      </c>
      <c r="G131" t="inlineStr">
        <is>
          <t>SURAHAMMAR</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12841-2026</t>
        </is>
      </c>
      <c r="B132" t="inlineStr">
        <is>
          <t>avverkningsanmälan</t>
        </is>
      </c>
      <c r="C132" t="inlineStr">
        <is>
          <t>Föryngringsavverkning</t>
        </is>
      </c>
      <c r="D132" s="1" t="n">
        <v>46091</v>
      </c>
      <c r="E132" s="1" t="n">
        <v>46274</v>
      </c>
      <c r="F132" t="inlineStr">
        <is>
          <t>VÄSTMANLANDS LÄN</t>
        </is>
      </c>
      <c r="G132" t="inlineStr">
        <is>
          <t>SURAHAMMAR</t>
        </is>
      </c>
      <c r="H132" t="inlineStr">
        <is>
          <t>Bergvik skog väst AB</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14626-2023</t>
        </is>
      </c>
      <c r="B133" t="inlineStr">
        <is>
          <t>avverkningsanmälan</t>
        </is>
      </c>
      <c r="C133" t="inlineStr">
        <is>
          <t>Föryngringsavverkning</t>
        </is>
      </c>
      <c r="D133" s="1" t="n">
        <v>45012</v>
      </c>
      <c r="E133" s="1" t="n">
        <v>46274</v>
      </c>
      <c r="F133" t="inlineStr">
        <is>
          <t>VÄSTMANLANDS LÄN</t>
        </is>
      </c>
      <c r="G133" t="inlineStr">
        <is>
          <t>SURAHAMMAR</t>
        </is>
      </c>
      <c r="H133" t="inlineStr">
        <is>
          <t>Bergvik skog väst AB</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19246-2026</t>
        </is>
      </c>
      <c r="B134" t="inlineStr">
        <is>
          <t>avverkningsanmälan</t>
        </is>
      </c>
      <c r="C134" t="inlineStr">
        <is>
          <t>Avverkning för annat ändamål</t>
        </is>
      </c>
      <c r="D134" s="1" t="n">
        <v>46132</v>
      </c>
      <c r="E134" s="1" t="n">
        <v>46274</v>
      </c>
      <c r="F134" t="inlineStr">
        <is>
          <t>VÄSTMANLANDS LÄN</t>
        </is>
      </c>
      <c r="G134" t="inlineStr">
        <is>
          <t>SURAHAMMAR</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25450-2024</t>
        </is>
      </c>
      <c r="B135" t="inlineStr">
        <is>
          <t>avverkningsanmälan</t>
        </is>
      </c>
      <c r="C135" t="inlineStr">
        <is>
          <t>Föryngringsavverkning</t>
        </is>
      </c>
      <c r="D135" s="1" t="n">
        <v>45463</v>
      </c>
      <c r="E135" s="1" t="n">
        <v>46274</v>
      </c>
      <c r="F135" t="inlineStr">
        <is>
          <t>VÄSTMANLANDS LÄN</t>
        </is>
      </c>
      <c r="G135" t="inlineStr">
        <is>
          <t>SURAHAMMAR</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19782-2023</t>
        </is>
      </c>
      <c r="B136" t="inlineStr">
        <is>
          <t>avverkningsanmälan</t>
        </is>
      </c>
      <c r="C136" t="inlineStr">
        <is>
          <t>Föryngringsavverkning</t>
        </is>
      </c>
      <c r="D136" s="1" t="n">
        <v>45050</v>
      </c>
      <c r="E136" s="1" t="n">
        <v>46274</v>
      </c>
      <c r="F136" t="inlineStr">
        <is>
          <t>VÄSTMANLANDS LÄN</t>
        </is>
      </c>
      <c r="G136" t="inlineStr">
        <is>
          <t>SURAHAMMAR</t>
        </is>
      </c>
      <c r="H136" t="inlineStr">
        <is>
          <t>Bergvik skog väst AB</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46274</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56378-2023</t>
        </is>
      </c>
      <c r="B138" t="inlineStr">
        <is>
          <t>avverkningsanmälan</t>
        </is>
      </c>
      <c r="C138" t="inlineStr">
        <is>
          <t>Föryngringsavverkning</t>
        </is>
      </c>
      <c r="D138" s="1" t="n">
        <v>45236</v>
      </c>
      <c r="E138" s="1" t="n">
        <v>46274</v>
      </c>
      <c r="F138" t="inlineStr">
        <is>
          <t>VÄSTMANLANDS LÄN</t>
        </is>
      </c>
      <c r="G138" t="inlineStr">
        <is>
          <t>SURAHAMMAR</t>
        </is>
      </c>
      <c r="H138" t="inlineStr">
        <is>
          <t>Bergvik skog väst AB</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19099-2022</t>
        </is>
      </c>
      <c r="B139" t="inlineStr">
        <is>
          <t>avverkningsanmälan</t>
        </is>
      </c>
      <c r="C139" t="inlineStr">
        <is>
          <t>Föryngringsavverkning</t>
        </is>
      </c>
      <c r="D139" s="1" t="n">
        <v>44691</v>
      </c>
      <c r="E139" s="1" t="n">
        <v>46274</v>
      </c>
      <c r="F139" t="inlineStr">
        <is>
          <t>VÄSTMANLANDS LÄN</t>
        </is>
      </c>
      <c r="G139" t="inlineStr">
        <is>
          <t>SURAHAMMAR</t>
        </is>
      </c>
      <c r="H139" t="inlineStr">
        <is>
          <t>Övriga Aktiebolag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3818-2022</t>
        </is>
      </c>
      <c r="B140" t="inlineStr">
        <is>
          <t>avverkningsanmälan</t>
        </is>
      </c>
      <c r="C140" t="inlineStr">
        <is>
          <t>Föryngringsavverkning</t>
        </is>
      </c>
      <c r="D140" s="1" t="n">
        <v>44587</v>
      </c>
      <c r="E140" s="1" t="n">
        <v>46274</v>
      </c>
      <c r="F140" t="inlineStr">
        <is>
          <t>VÄSTMANLANDS LÄN</t>
        </is>
      </c>
      <c r="G140" t="inlineStr">
        <is>
          <t>SURAHAMMAR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21509-2024</t>
        </is>
      </c>
      <c r="B141" t="inlineStr">
        <is>
          <t>avverkningsanmälan</t>
        </is>
      </c>
      <c r="C141" t="inlineStr">
        <is>
          <t>Föryngringsavverkning</t>
        </is>
      </c>
      <c r="D141" s="1" t="n">
        <v>45441</v>
      </c>
      <c r="E141" s="1" t="n">
        <v>46274</v>
      </c>
      <c r="F141" t="inlineStr">
        <is>
          <t>VÄSTMANLANDS LÄN</t>
        </is>
      </c>
      <c r="G141" t="inlineStr">
        <is>
          <t>SURAHAMMAR</t>
        </is>
      </c>
      <c r="H141" t="inlineStr">
        <is>
          <t>Bergvik skog väst AB</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22662-2023</t>
        </is>
      </c>
      <c r="B142" t="inlineStr">
        <is>
          <t>avverkningsanmälan</t>
        </is>
      </c>
      <c r="C142" t="inlineStr">
        <is>
          <t>Avverkning för att bevara och utveckla /försöksver</t>
        </is>
      </c>
      <c r="D142" s="1" t="n">
        <v>45071</v>
      </c>
      <c r="E142" s="1" t="n">
        <v>46274</v>
      </c>
      <c r="F142" t="inlineStr">
        <is>
          <t>VÄSTMANLANDS LÄN</t>
        </is>
      </c>
      <c r="G142" t="inlineStr">
        <is>
          <t>SURAHAMMAR</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25780-2023</t>
        </is>
      </c>
      <c r="B143" t="inlineStr">
        <is>
          <t>avverkningsanmälan</t>
        </is>
      </c>
      <c r="C143" t="inlineStr">
        <is>
          <t>Föryngringsavverkning</t>
        </is>
      </c>
      <c r="D143" s="1" t="n">
        <v>45090</v>
      </c>
      <c r="E143" s="1" t="n">
        <v>46274</v>
      </c>
      <c r="F143" t="inlineStr">
        <is>
          <t>VÄSTMANLANDS LÄN</t>
        </is>
      </c>
      <c r="G143" t="inlineStr">
        <is>
          <t>SURAHAMMAR</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15739-2023</t>
        </is>
      </c>
      <c r="B144" t="inlineStr">
        <is>
          <t>avverkningsanmälan</t>
        </is>
      </c>
      <c r="C144" t="inlineStr">
        <is>
          <t>Föryngringsavverkning</t>
        </is>
      </c>
      <c r="D144" s="1" t="n">
        <v>45021</v>
      </c>
      <c r="E144" s="1" t="n">
        <v>46274</v>
      </c>
      <c r="F144" t="inlineStr">
        <is>
          <t>VÄSTMANLANDS LÄN</t>
        </is>
      </c>
      <c r="G144" t="inlineStr">
        <is>
          <t>SURAHAMMAR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46274</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46274</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46274</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2026-09-09T02:11:41Z</dcterms:created>
  <dcterms:modified xmlns:dcterms="http://purl.org/dc/terms/" xmlns:xsi="http://www.w3.org/2001/XMLSchema-instance" xsi:type="dcterms:W3CDTF">2026-09-09T02:11:41Z</dcterms:modified>
</cp:coreProperties>
</file>