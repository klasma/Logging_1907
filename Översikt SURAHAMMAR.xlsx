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46307</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46307</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46307</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46307</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46307</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46307</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46307</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46307</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46307</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46307</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46307</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46307</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46307</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34040-2024</t>
        </is>
      </c>
      <c r="B19" t="inlineStr">
        <is>
          <t>avverkningsanmälan</t>
        </is>
      </c>
      <c r="C19" t="inlineStr">
        <is>
          <t>Föryngringsavverkning</t>
        </is>
      </c>
      <c r="D19" s="1" t="n">
        <v>45523</v>
      </c>
      <c r="E19" s="1" t="n">
        <v>46307</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42853-2022</t>
        </is>
      </c>
      <c r="B20" t="inlineStr">
        <is>
          <t>avverkningsanmälan</t>
        </is>
      </c>
      <c r="C20" t="inlineStr">
        <is>
          <t>Avverkning för att bevara och utveckla /försöksver</t>
        </is>
      </c>
      <c r="D20" s="1" t="n">
        <v>44832</v>
      </c>
      <c r="E20" s="1" t="n">
        <v>46307</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39594-2025</t>
        </is>
      </c>
      <c r="B21" t="inlineStr">
        <is>
          <t>avverkningsanmälan</t>
        </is>
      </c>
      <c r="C21" t="inlineStr">
        <is>
          <t>Föryngringsavverkning</t>
        </is>
      </c>
      <c r="D21" s="1" t="n">
        <v>45890</v>
      </c>
      <c r="E21" s="1" t="n">
        <v>46307</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46307</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46307</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46307</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44798-2024</t>
        </is>
      </c>
      <c r="B25" t="inlineStr">
        <is>
          <t>avverkningsanmälan</t>
        </is>
      </c>
      <c r="C25" t="inlineStr">
        <is>
          <t>Föryngringsavverkning</t>
        </is>
      </c>
      <c r="D25" s="1" t="n">
        <v>45574</v>
      </c>
      <c r="E25" s="1" t="n">
        <v>46307</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46307</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46307</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46307</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46307</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46307</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46307</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46307</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46307</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46307</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46307</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46307</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46307</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46307</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46307</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46307</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66350-2021</t>
        </is>
      </c>
      <c r="B41" t="inlineStr">
        <is>
          <t>avverkningsanmälan</t>
        </is>
      </c>
      <c r="C41" t="inlineStr">
        <is>
          <t>Föryngringsavverkning</t>
        </is>
      </c>
      <c r="D41" s="1" t="n">
        <v>44518</v>
      </c>
      <c r="E41" s="1" t="n">
        <v>46307</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46307</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69777-2021</t>
        </is>
      </c>
      <c r="B43" t="inlineStr">
        <is>
          <t>avverkningsanmälan</t>
        </is>
      </c>
      <c r="C43" t="inlineStr">
        <is>
          <t>Föryngringsavverkning</t>
        </is>
      </c>
      <c r="D43" s="1" t="n">
        <v>44532</v>
      </c>
      <c r="E43" s="1" t="n">
        <v>46307</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46307</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46307</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63146-2025</t>
        </is>
      </c>
      <c r="B46" t="inlineStr">
        <is>
          <t>avverkningsanmälan</t>
        </is>
      </c>
      <c r="C46" t="inlineStr">
        <is>
          <t>Föryngringsavverkning</t>
        </is>
      </c>
      <c r="D46" s="1" t="n">
        <v>46009</v>
      </c>
      <c r="E46" s="1" t="n">
        <v>46307</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46307</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46307</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36264-2026</t>
        </is>
      </c>
      <c r="B49" t="inlineStr">
        <is>
          <t>avverkningsanmälan</t>
        </is>
      </c>
      <c r="C49" t="inlineStr">
        <is>
          <t>Föryngringsavverkning</t>
        </is>
      </c>
      <c r="D49" s="1" t="n">
        <v>46268</v>
      </c>
      <c r="E49" s="1" t="n">
        <v>46307</v>
      </c>
      <c r="F49" t="inlineStr">
        <is>
          <t>VÄSTMANLANDS LÄN</t>
        </is>
      </c>
      <c r="G49" t="inlineStr">
        <is>
          <t>SURAHAMMAR</t>
        </is>
      </c>
      <c r="H49" t="inlineStr">
        <is>
          <t>Sveaskog</t>
        </is>
      </c>
      <c r="I49" t="n">
        <v>2.4</v>
      </c>
      <c r="J49" t="n">
        <v>1</v>
      </c>
      <c r="K49" t="n">
        <v>0</v>
      </c>
      <c r="L49" t="n">
        <v>1</v>
      </c>
      <c r="M49" t="n">
        <v>1</v>
      </c>
      <c r="N49" t="n">
        <v>0</v>
      </c>
      <c r="O49" t="n">
        <v>0</v>
      </c>
      <c r="P49" t="n">
        <v>0</v>
      </c>
      <c r="Q49" t="n">
        <v>2</v>
      </c>
      <c r="R49" t="n">
        <v>1</v>
      </c>
      <c r="S49" t="n">
        <v>3</v>
      </c>
      <c r="T49" t="n">
        <v>3</v>
      </c>
      <c r="U49" t="n">
        <v>0</v>
      </c>
      <c r="V49" s="2" t="inlineStr">
        <is>
          <t>Grangråticka
Fjällig taggsvamp s.str.
Blåsippa</t>
        </is>
      </c>
      <c r="W49">
        <f>HYPERLINK("https://klasma.github.io/Logging_1907/artfynd/A 36264-2026 artfynd.xlsx", "A 36264-2026")</f>
        <v/>
      </c>
      <c r="X49">
        <f>HYPERLINK("https://klasma.github.io/Logging_1907/kartor/A 36264-2026 karta.png", "A 36264-2026")</f>
        <v/>
      </c>
      <c r="Y49">
        <f>HYPERLINK("https://klasma.github.io/Logging_1907/kartor_geotiff/A 36264-2026 georefererad karta.tif", "A 36264-2026")</f>
        <v/>
      </c>
      <c r="AA49">
        <f>HYPERLINK("https://klasma.github.io/Logging_1907/klagomål/A 36264-2026 FSC-klagomål.docx", "A 36264-2026")</f>
        <v/>
      </c>
      <c r="AB49">
        <f>HYPERLINK("https://klasma.github.io/Logging_1907/klagomålsmail/A 36264-2026 FSC-klagomål mail.docx", "A 36264-2026")</f>
        <v/>
      </c>
      <c r="AC49">
        <f>HYPERLINK("https://klasma.github.io/Logging_1907/tillsyn/A 36264-2026 tillsynsbegäran.docx", "A 36264-2026")</f>
        <v/>
      </c>
      <c r="AD49">
        <f>HYPERLINK("https://klasma.github.io/Logging_1907/tillsynsmail/A 36264-2026 tillsynsbegäran mail.docx", "A 36264-2026")</f>
        <v/>
      </c>
    </row>
    <row r="50" ht="15" customHeight="1">
      <c r="A50" t="inlineStr">
        <is>
          <t>A 32443-2026</t>
        </is>
      </c>
      <c r="B50" t="inlineStr">
        <is>
          <t>avverkningsanmälan</t>
        </is>
      </c>
      <c r="C50" t="inlineStr">
        <is>
          <t>Föryngringsavverkning</t>
        </is>
      </c>
      <c r="D50" s="1" t="n">
        <v>46239</v>
      </c>
      <c r="E50" s="1" t="n">
        <v>46307</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46307</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S 1450-2022</t>
        </is>
      </c>
      <c r="B52" t="inlineStr">
        <is>
          <t>samrådsanmälan</t>
        </is>
      </c>
      <c r="C52" t="inlineStr">
        <is>
          <t>Skogsgödsling</t>
        </is>
      </c>
      <c r="D52" s="1" t="n">
        <v>44635</v>
      </c>
      <c r="E52" s="1" t="n">
        <v>46307</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46307</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46307</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30074-2023</t>
        </is>
      </c>
      <c r="B55" t="inlineStr">
        <is>
          <t>avverkningsanmälan</t>
        </is>
      </c>
      <c r="C55" t="inlineStr">
        <is>
          <t>Föryngringsavverkning</t>
        </is>
      </c>
      <c r="D55" s="1" t="n">
        <v>45110</v>
      </c>
      <c r="E55" s="1" t="n">
        <v>46307</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46307</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46307</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46307</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13971-2023</t>
        </is>
      </c>
      <c r="B59" t="inlineStr">
        <is>
          <t>avverkningsanmälan</t>
        </is>
      </c>
      <c r="C59" t="inlineStr">
        <is>
          <t>Föryngringsavverkning</t>
        </is>
      </c>
      <c r="D59" s="1" t="n">
        <v>45007</v>
      </c>
      <c r="E59" s="1" t="n">
        <v>46307</v>
      </c>
      <c r="F59" t="inlineStr">
        <is>
          <t>VÄSTMANLANDS LÄN</t>
        </is>
      </c>
      <c r="G59" t="inlineStr">
        <is>
          <t>SURAHAMMAR</t>
        </is>
      </c>
      <c r="H59" t="inlineStr">
        <is>
          <t>Bergvik skog väst AB</t>
        </is>
      </c>
      <c r="I59" t="n">
        <v>2.9</v>
      </c>
      <c r="J59" t="n">
        <v>2</v>
      </c>
      <c r="K59" t="n">
        <v>0</v>
      </c>
      <c r="L59" t="n">
        <v>0</v>
      </c>
      <c r="M59" t="n">
        <v>0</v>
      </c>
      <c r="N59" t="n">
        <v>0</v>
      </c>
      <c r="O59" t="n">
        <v>0</v>
      </c>
      <c r="P59" t="n">
        <v>0</v>
      </c>
      <c r="Q59" t="n">
        <v>0</v>
      </c>
      <c r="R59" t="n">
        <v>0</v>
      </c>
      <c r="S59" t="n">
        <v>2</v>
      </c>
      <c r="T59" t="n">
        <v>3</v>
      </c>
      <c r="U59" t="n">
        <v>0</v>
      </c>
      <c r="V59" s="2" t="inlineStr">
        <is>
          <t>Dubbelnycklar
Fläcknycklar</t>
        </is>
      </c>
      <c r="W59">
        <f>HYPERLINK("https://klasma.github.io/Logging_1907/artfynd/A 13971-2023 artfynd.xlsx", "A 13971-2023")</f>
        <v/>
      </c>
      <c r="X59">
        <f>HYPERLINK("https://klasma.github.io/Logging_1907/kartor/A 13971-2023 karta.png", "A 13971-2023")</f>
        <v/>
      </c>
      <c r="Y59">
        <f>HYPERLINK("https://klasma.github.io/Logging_1907/kartor_geotiff/A 13971-2023 georefererad karta.tif", "A 13971-2023")</f>
        <v/>
      </c>
      <c r="AA59">
        <f>HYPERLINK("https://klasma.github.io/Logging_1907/klagomål/A 13971-2023 FSC-klagomål.docx", "A 13971-2023")</f>
        <v/>
      </c>
      <c r="AB59">
        <f>HYPERLINK("https://klasma.github.io/Logging_1907/klagomålsmail/A 13971-2023 FSC-klagomål mail.docx", "A 13971-2023")</f>
        <v/>
      </c>
      <c r="AC59">
        <f>HYPERLINK("https://klasma.github.io/Logging_1907/tillsyn/A 13971-2023 tillsynsbegäran.docx", "A 13971-2023")</f>
        <v/>
      </c>
      <c r="AD59">
        <f>HYPERLINK("https://klasma.github.io/Logging_1907/tillsynsmail/A 13971-2023 tillsynsbegäran mail.docx", "A 13971-2023")</f>
        <v/>
      </c>
    </row>
    <row r="60" ht="15" customHeight="1">
      <c r="A60" t="inlineStr">
        <is>
          <t>A 47453-2024</t>
        </is>
      </c>
      <c r="B60" t="inlineStr">
        <is>
          <t>avverkningsanmälan</t>
        </is>
      </c>
      <c r="C60" t="inlineStr">
        <is>
          <t>Föryngringsavverkning</t>
        </is>
      </c>
      <c r="D60" s="1" t="n">
        <v>45587</v>
      </c>
      <c r="E60" s="1" t="n">
        <v>46307</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13788-2025</t>
        </is>
      </c>
      <c r="B61" t="inlineStr">
        <is>
          <t>avverkningsanmälan</t>
        </is>
      </c>
      <c r="C61" t="inlineStr">
        <is>
          <t>Föryngringsavverkning</t>
        </is>
      </c>
      <c r="D61" s="1" t="n">
        <v>45737</v>
      </c>
      <c r="E61" s="1" t="n">
        <v>46307</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11501-2023</t>
        </is>
      </c>
      <c r="B62" t="inlineStr">
        <is>
          <t>avverkningsanmälan</t>
        </is>
      </c>
      <c r="C62" t="inlineStr">
        <is>
          <t>Föryngringsavverkning</t>
        </is>
      </c>
      <c r="D62" s="1" t="n">
        <v>44991</v>
      </c>
      <c r="E62" s="1" t="n">
        <v>46307</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41204-2023</t>
        </is>
      </c>
      <c r="B63" t="inlineStr">
        <is>
          <t>avverkningsanmälan</t>
        </is>
      </c>
      <c r="C63" t="inlineStr">
        <is>
          <t>Föryngringsavverkning</t>
        </is>
      </c>
      <c r="D63" s="1" t="n">
        <v>45174</v>
      </c>
      <c r="E63" s="1" t="n">
        <v>46307</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37013-2025</t>
        </is>
      </c>
      <c r="B64" t="inlineStr">
        <is>
          <t>avverkningsanmälan</t>
        </is>
      </c>
      <c r="C64" t="inlineStr">
        <is>
          <t>Föryngringsavverkning</t>
        </is>
      </c>
      <c r="D64" s="1" t="n">
        <v>45874</v>
      </c>
      <c r="E64" s="1" t="n">
        <v>46307</v>
      </c>
      <c r="F64" t="inlineStr">
        <is>
          <t>VÄSTMANLANDS LÄN</t>
        </is>
      </c>
      <c r="G64" t="inlineStr">
        <is>
          <t>SURAHAMMAR</t>
        </is>
      </c>
      <c r="H64" t="inlineStr">
        <is>
          <t>Bergvik skog väst AB</t>
        </is>
      </c>
      <c r="I64" t="n">
        <v>10.7</v>
      </c>
      <c r="J64" t="n">
        <v>0</v>
      </c>
      <c r="K64" t="n">
        <v>0</v>
      </c>
      <c r="L64" t="n">
        <v>0</v>
      </c>
      <c r="M64" t="n">
        <v>2</v>
      </c>
      <c r="N64" t="n">
        <v>0</v>
      </c>
      <c r="O64" t="n">
        <v>0</v>
      </c>
      <c r="P64" t="n">
        <v>0</v>
      </c>
      <c r="Q64" t="n">
        <v>2</v>
      </c>
      <c r="R64" t="n">
        <v>2</v>
      </c>
      <c r="S64" t="n">
        <v>2</v>
      </c>
      <c r="T64" t="n">
        <v>2</v>
      </c>
      <c r="U64" t="n">
        <v>0</v>
      </c>
      <c r="V64" s="2" t="inlineStr">
        <is>
          <t>Brunfläckig pärlemorfjäril
Fältgentiana</t>
        </is>
      </c>
      <c r="W64">
        <f>HYPERLINK("https://klasma.github.io/Logging_1907/artfynd/A 37013-2025 artfynd.xlsx", "A 37013-2025")</f>
        <v/>
      </c>
      <c r="X64">
        <f>HYPERLINK("https://klasma.github.io/Logging_1907/kartor/A 37013-2025 karta.png", "A 37013-2025")</f>
        <v/>
      </c>
      <c r="Y64">
        <f>HYPERLINK("https://klasma.github.io/Logging_1907/kartor_geotiff/A 37013-2025 georefererad karta.tif", "A 37013-2025")</f>
        <v/>
      </c>
      <c r="AA64">
        <f>HYPERLINK("https://klasma.github.io/Logging_1907/klagomål/A 37013-2025 FSC-klagomål.docx", "A 37013-2025")</f>
        <v/>
      </c>
      <c r="AB64">
        <f>HYPERLINK("https://klasma.github.io/Logging_1907/klagomålsmail/A 37013-2025 FSC-klagomål mail.docx", "A 37013-2025")</f>
        <v/>
      </c>
      <c r="AC64">
        <f>HYPERLINK("https://klasma.github.io/Logging_1907/tillsyn/A 37013-2025 tillsynsbegäran.docx", "A 37013-2025")</f>
        <v/>
      </c>
      <c r="AD64">
        <f>HYPERLINK("https://klasma.github.io/Logging_1907/tillsynsmail/A 37013-2025 tillsynsbegäran mail.docx", "A 37013-2025")</f>
        <v/>
      </c>
    </row>
    <row r="65" ht="15" customHeight="1">
      <c r="A65" t="inlineStr">
        <is>
          <t>A 63138-2025</t>
        </is>
      </c>
      <c r="B65" t="inlineStr">
        <is>
          <t>avverkningsanmälan</t>
        </is>
      </c>
      <c r="C65" t="inlineStr">
        <is>
          <t>Föryngringsavverkning</t>
        </is>
      </c>
      <c r="D65" s="1" t="n">
        <v>46009</v>
      </c>
      <c r="E65" s="1" t="n">
        <v>46307</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A 36261-2026</t>
        </is>
      </c>
      <c r="B66" t="inlineStr">
        <is>
          <t>avverkningsanmälan</t>
        </is>
      </c>
      <c r="C66" t="inlineStr">
        <is>
          <t>Föryngringsavverkning</t>
        </is>
      </c>
      <c r="D66" s="1" t="n">
        <v>46268</v>
      </c>
      <c r="E66" s="1" t="n">
        <v>46307</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41395-2026</t>
        </is>
      </c>
      <c r="B67" t="inlineStr">
        <is>
          <t>avverkningsanmälan</t>
        </is>
      </c>
      <c r="C67" t="inlineStr">
        <is>
          <t>Föryngringsavverkning</t>
        </is>
      </c>
      <c r="D67" s="1" t="n">
        <v>46301</v>
      </c>
      <c r="E67" s="1" t="n">
        <v>46307</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S 703-2025</t>
        </is>
      </c>
      <c r="B68" t="inlineStr">
        <is>
          <t>samrådsanmälan</t>
        </is>
      </c>
      <c r="C68" t="inlineStr">
        <is>
          <t>Skogsgödsling</t>
        </is>
      </c>
      <c r="D68" s="1" t="n">
        <v>45720</v>
      </c>
      <c r="E68" s="1" t="n">
        <v>46307</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46307</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46307</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46307</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46307</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33231-2024</t>
        </is>
      </c>
      <c r="B73" t="inlineStr">
        <is>
          <t>avverkningsanmälan</t>
        </is>
      </c>
      <c r="C73" t="inlineStr">
        <is>
          <t>Föryngringsavverkning</t>
        </is>
      </c>
      <c r="D73" s="1" t="n">
        <v>45518</v>
      </c>
      <c r="E73" s="1" t="n">
        <v>46307</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46307</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39099-2022</t>
        </is>
      </c>
      <c r="B75" t="inlineStr">
        <is>
          <t>avverkningsanmälan</t>
        </is>
      </c>
      <c r="C75" t="inlineStr">
        <is>
          <t>Föryngringsavverkning</t>
        </is>
      </c>
      <c r="D75" s="1" t="n">
        <v>44817</v>
      </c>
      <c r="E75" s="1" t="n">
        <v>46307</v>
      </c>
      <c r="F75" t="inlineStr">
        <is>
          <t>VÄSTMANLANDS LÄN</t>
        </is>
      </c>
      <c r="G75" t="inlineStr">
        <is>
          <t>SURAHAMMAR</t>
        </is>
      </c>
      <c r="H75" t="inlineStr">
        <is>
          <t>Bergvik skog väst AB</t>
        </is>
      </c>
      <c r="I75" t="n">
        <v>7.4</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HYPERLINK("https://klasma.github.io/Logging_1907/artfynd/A 39099-2022 artfynd.xlsx", "A 39099-2022")</f>
        <v/>
      </c>
      <c r="X75">
        <f>HYPERLINK("https://klasma.github.io/Logging_1907/kartor/A 39099-2022 karta.png", "A 39099-2022")</f>
        <v/>
      </c>
      <c r="Y75">
        <f>HYPERLINK("https://klasma.github.io/Logging_1907/kartor_geotiff/A 39099-2022 georefererad karta.tif", "A 39099-2022")</f>
        <v/>
      </c>
      <c r="AA75">
        <f>HYPERLINK("https://klasma.github.io/Logging_1907/klagomål/A 39099-2022 FSC-klagomål.docx", "A 39099-2022")</f>
        <v/>
      </c>
      <c r="AB75">
        <f>HYPERLINK("https://klasma.github.io/Logging_1907/klagomålsmail/A 39099-2022 FSC-klagomål mail.docx", "A 39099-2022")</f>
        <v/>
      </c>
      <c r="AC75">
        <f>HYPERLINK("https://klasma.github.io/Logging_1907/tillsyn/A 39099-2022 tillsynsbegäran.docx", "A 39099-2022")</f>
        <v/>
      </c>
      <c r="AD75">
        <f>HYPERLINK("https://klasma.github.io/Logging_1907/tillsynsmail/A 39099-2022 tillsynsbegäran mail.docx", "A 39099-2022")</f>
        <v/>
      </c>
    </row>
    <row r="76" ht="15" customHeight="1">
      <c r="A76" t="inlineStr">
        <is>
          <t>A 10883-2023</t>
        </is>
      </c>
      <c r="B76" t="inlineStr">
        <is>
          <t>avverkningsanmälan</t>
        </is>
      </c>
      <c r="C76" t="inlineStr">
        <is>
          <t>Föryngringsavverkning</t>
        </is>
      </c>
      <c r="D76" s="1" t="n">
        <v>44991</v>
      </c>
      <c r="E76" s="1" t="n">
        <v>46307</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46307</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46307</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46307</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8553-2023</t>
        </is>
      </c>
      <c r="B80" t="inlineStr">
        <is>
          <t>avverkningsanmälan</t>
        </is>
      </c>
      <c r="C80" t="inlineStr">
        <is>
          <t>Avverkning för att bevara och utveckla /försöksver</t>
        </is>
      </c>
      <c r="D80" s="1" t="n">
        <v>44977</v>
      </c>
      <c r="E80" s="1" t="n">
        <v>46307</v>
      </c>
      <c r="F80" t="inlineStr">
        <is>
          <t>VÄSTMANLANDS LÄN</t>
        </is>
      </c>
      <c r="G80" t="inlineStr">
        <is>
          <t>SURAHAMMAR</t>
        </is>
      </c>
      <c r="H80" t="inlineStr">
        <is>
          <t>Sveaskog</t>
        </is>
      </c>
      <c r="I80" t="n">
        <v>1.5</v>
      </c>
      <c r="J80" t="n">
        <v>1</v>
      </c>
      <c r="K80" t="n">
        <v>0</v>
      </c>
      <c r="L80" t="n">
        <v>0</v>
      </c>
      <c r="M80" t="n">
        <v>1</v>
      </c>
      <c r="N80" t="n">
        <v>0</v>
      </c>
      <c r="O80" t="n">
        <v>0</v>
      </c>
      <c r="P80" t="n">
        <v>0</v>
      </c>
      <c r="Q80" t="n">
        <v>1</v>
      </c>
      <c r="R80" t="n">
        <v>1</v>
      </c>
      <c r="S80" t="n">
        <v>1</v>
      </c>
      <c r="T80" t="n">
        <v>1</v>
      </c>
      <c r="U80" t="n">
        <v>0</v>
      </c>
      <c r="V80" s="2" t="inlineStr">
        <is>
          <t>Väddnätfjäril</t>
        </is>
      </c>
      <c r="W80">
        <f>HYPERLINK("https://klasma.github.io/Logging_1907/artfynd/A 8553-2023 artfynd.xlsx", "A 8553-2023")</f>
        <v/>
      </c>
      <c r="X80">
        <f>HYPERLINK("https://klasma.github.io/Logging_1907/kartor/A 8553-2023 karta.png", "A 8553-2023")</f>
        <v/>
      </c>
      <c r="Y80">
        <f>HYPERLINK("https://klasma.github.io/Logging_1907/kartor_geotiff/A 8553-2023 georefererad karta.tif", "A 8553-2023")</f>
        <v/>
      </c>
      <c r="AA80">
        <f>HYPERLINK("https://klasma.github.io/Logging_1907/klagomål/A 8553-2023 FSC-klagomål.docx", "A 8553-2023")</f>
        <v/>
      </c>
      <c r="AB80">
        <f>HYPERLINK("https://klasma.github.io/Logging_1907/klagomålsmail/A 8553-2023 FSC-klagomål mail.docx", "A 8553-2023")</f>
        <v/>
      </c>
      <c r="AC80">
        <f>HYPERLINK("https://klasma.github.io/Logging_1907/tillsyn/A 8553-2023 tillsynsbegäran.docx", "A 8553-2023")</f>
        <v/>
      </c>
      <c r="AD80">
        <f>HYPERLINK("https://klasma.github.io/Logging_1907/tillsynsmail/A 8553-2023 tillsynsbegäran mail.docx", "A 8553-2023")</f>
        <v/>
      </c>
    </row>
    <row r="81" ht="15" customHeight="1">
      <c r="A81" t="inlineStr">
        <is>
          <t>A 16013-2023</t>
        </is>
      </c>
      <c r="B81" t="inlineStr">
        <is>
          <t>avverkningsanmälan</t>
        </is>
      </c>
      <c r="C81" t="inlineStr">
        <is>
          <t>Föryngringsavverkning</t>
        </is>
      </c>
      <c r="D81" s="1" t="n">
        <v>45026</v>
      </c>
      <c r="E81" s="1" t="n">
        <v>46307</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34584-2025</t>
        </is>
      </c>
      <c r="B82" t="inlineStr">
        <is>
          <t>avverkningsanmälan</t>
        </is>
      </c>
      <c r="C82" t="inlineStr">
        <is>
          <t>Föryngringsavverkning</t>
        </is>
      </c>
      <c r="D82" s="1" t="n">
        <v>45846</v>
      </c>
      <c r="E82" s="1" t="n">
        <v>46307</v>
      </c>
      <c r="F82" t="inlineStr">
        <is>
          <t>VÄSTMANLANDS LÄN</t>
        </is>
      </c>
      <c r="G82" t="inlineStr">
        <is>
          <t>SURAHAMMAR</t>
        </is>
      </c>
      <c r="H82" t="inlineStr">
        <is>
          <t>Bergvik skog väst AB</t>
        </is>
      </c>
      <c r="I82" t="n">
        <v>2.7</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HYPERLINK("https://klasma.github.io/Logging_1907/artfynd/A 34584-2025 artfynd.xlsx", "A 34584-2025")</f>
        <v/>
      </c>
      <c r="X82">
        <f>HYPERLINK("https://klasma.github.io/Logging_1907/kartor/A 34584-2025 karta.png", "A 34584-2025")</f>
        <v/>
      </c>
      <c r="Y82">
        <f>HYPERLINK("https://klasma.github.io/Logging_1907/kartor_geotiff/A 34584-2025 georefererad karta.tif", "A 34584-2025")</f>
        <v/>
      </c>
      <c r="AA82">
        <f>HYPERLINK("https://klasma.github.io/Logging_1907/klagomål/A 34584-2025 FSC-klagomål.docx", "A 34584-2025")</f>
        <v/>
      </c>
      <c r="AB82">
        <f>HYPERLINK("https://klasma.github.io/Logging_1907/klagomålsmail/A 34584-2025 FSC-klagomål mail.docx", "A 34584-2025")</f>
        <v/>
      </c>
      <c r="AC82">
        <f>HYPERLINK("https://klasma.github.io/Logging_1907/tillsyn/A 34584-2025 tillsynsbegäran.docx", "A 34584-2025")</f>
        <v/>
      </c>
      <c r="AD82">
        <f>HYPERLINK("https://klasma.github.io/Logging_1907/tillsynsmail/A 34584-2025 tillsynsbegäran mail.docx", "A 34584-2025")</f>
        <v/>
      </c>
      <c r="AE82">
        <f>HYPERLINK("https://klasma.github.io/Logging_1907/fåglar/A 34584-2025 prioriterade fågelarter.docx", "A 34584-2025")</f>
        <v/>
      </c>
    </row>
    <row r="83" ht="15" customHeight="1">
      <c r="A83" t="inlineStr">
        <is>
          <t>A 34955-2022</t>
        </is>
      </c>
      <c r="B83" t="inlineStr">
        <is>
          <t>avverkningsanmälan</t>
        </is>
      </c>
      <c r="C83" t="inlineStr">
        <is>
          <t>Föryngringsavverkning</t>
        </is>
      </c>
      <c r="D83" s="1" t="n">
        <v>44796</v>
      </c>
      <c r="E83" s="1" t="n">
        <v>46307</v>
      </c>
      <c r="F83" t="inlineStr">
        <is>
          <t>VÄSTMANLANDS LÄN</t>
        </is>
      </c>
      <c r="G83" t="inlineStr">
        <is>
          <t>SURAHAMMAR</t>
        </is>
      </c>
      <c r="H83" t="inlineStr">
        <is>
          <t>Sveaskog</t>
        </is>
      </c>
      <c r="I83" t="n">
        <v>4.6</v>
      </c>
      <c r="J83" t="n">
        <v>0</v>
      </c>
      <c r="K83" t="n">
        <v>0</v>
      </c>
      <c r="L83" t="n">
        <v>1</v>
      </c>
      <c r="M83" t="n">
        <v>0</v>
      </c>
      <c r="N83" t="n">
        <v>0</v>
      </c>
      <c r="O83" t="n">
        <v>0</v>
      </c>
      <c r="P83" t="n">
        <v>0</v>
      </c>
      <c r="Q83" t="n">
        <v>1</v>
      </c>
      <c r="R83" t="n">
        <v>0</v>
      </c>
      <c r="S83" t="n">
        <v>1</v>
      </c>
      <c r="T83" t="n">
        <v>1</v>
      </c>
      <c r="U83" t="n">
        <v>1</v>
      </c>
      <c r="V83" s="2" t="inlineStr">
        <is>
          <t>Svinrot</t>
        </is>
      </c>
      <c r="W83">
        <f>HYPERLINK("https://klasma.github.io/Logging_1907/artfynd/A 34955-2022 artfynd.xlsx", "A 34955-2022")</f>
        <v/>
      </c>
      <c r="X83">
        <f>HYPERLINK("https://klasma.github.io/Logging_1907/kartor/A 34955-2022 karta.png", "A 34955-2022")</f>
        <v/>
      </c>
      <c r="Y83">
        <f>HYPERLINK("https://klasma.github.io/Logging_1907/kartor_geotiff/A 34955-2022 georefererad karta.tif", "A 34955-2022")</f>
        <v/>
      </c>
      <c r="AA83">
        <f>HYPERLINK("https://klasma.github.io/Logging_1907/klagomål/A 34955-2022 FSC-klagomål.docx", "A 34955-2022")</f>
        <v/>
      </c>
      <c r="AB83">
        <f>HYPERLINK("https://klasma.github.io/Logging_1907/klagomålsmail/A 34955-2022 FSC-klagomål mail.docx", "A 34955-2022")</f>
        <v/>
      </c>
      <c r="AC83">
        <f>HYPERLINK("https://klasma.github.io/Logging_1907/tillsyn/A 34955-2022 tillsynsbegäran.docx", "A 34955-2022")</f>
        <v/>
      </c>
      <c r="AD83">
        <f>HYPERLINK("https://klasma.github.io/Logging_1907/tillsynsmail/A 34955-2022 tillsynsbegäran mail.docx", "A 34955-2022")</f>
        <v/>
      </c>
    </row>
    <row r="84" ht="15" customHeight="1">
      <c r="A84" t="inlineStr">
        <is>
          <t>A 17632-2022</t>
        </is>
      </c>
      <c r="B84" t="inlineStr">
        <is>
          <t>avverkningsanmälan</t>
        </is>
      </c>
      <c r="C84" t="inlineStr">
        <is>
          <t>Föryngringsavverkning</t>
        </is>
      </c>
      <c r="D84" s="1" t="n">
        <v>44680</v>
      </c>
      <c r="E84" s="1" t="n">
        <v>46307</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46307</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46307</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46307</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46307</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3155-2022</t>
        </is>
      </c>
      <c r="B89" t="inlineStr">
        <is>
          <t>avverkningsanmälan</t>
        </is>
      </c>
      <c r="C89" t="inlineStr">
        <is>
          <t>Föryngringsavverkning</t>
        </is>
      </c>
      <c r="D89" s="1" t="n">
        <v>44582</v>
      </c>
      <c r="E89" s="1" t="n">
        <v>46307</v>
      </c>
      <c r="F89" t="inlineStr">
        <is>
          <t>VÄSTMANLANDS LÄN</t>
        </is>
      </c>
      <c r="G89" t="inlineStr">
        <is>
          <t>SURAHAMMAR</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46307</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19637-2022</t>
        </is>
      </c>
      <c r="B91" t="inlineStr">
        <is>
          <t>avverkningsanmälan</t>
        </is>
      </c>
      <c r="C91" t="inlineStr">
        <is>
          <t>Avverkning för annat ändamål</t>
        </is>
      </c>
      <c r="D91" s="1" t="n">
        <v>44694</v>
      </c>
      <c r="E91" s="1" t="n">
        <v>46307</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66342-2021</t>
        </is>
      </c>
      <c r="B92" t="inlineStr">
        <is>
          <t>avverkningsanmälan</t>
        </is>
      </c>
      <c r="C92" t="inlineStr">
        <is>
          <t>Föryngringsavverkning</t>
        </is>
      </c>
      <c r="D92" s="1" t="n">
        <v>44518</v>
      </c>
      <c r="E92" s="1" t="n">
        <v>46307</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34957-2022</t>
        </is>
      </c>
      <c r="B93" t="inlineStr">
        <is>
          <t>avverkningsanmälan</t>
        </is>
      </c>
      <c r="C93" t="inlineStr">
        <is>
          <t>Föryngringsavverkning</t>
        </is>
      </c>
      <c r="D93" s="1" t="n">
        <v>44796</v>
      </c>
      <c r="E93" s="1" t="n">
        <v>46307</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3595-2022</t>
        </is>
      </c>
      <c r="B94" t="inlineStr">
        <is>
          <t>avverkningsanmälan</t>
        </is>
      </c>
      <c r="C94" t="inlineStr">
        <is>
          <t>Avverkning för att bevara och utveckla /försöksver</t>
        </is>
      </c>
      <c r="D94" s="1" t="n">
        <v>44586</v>
      </c>
      <c r="E94" s="1" t="n">
        <v>46307</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46307</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46307</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46307</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46307</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15637-2022</t>
        </is>
      </c>
      <c r="B99" t="inlineStr">
        <is>
          <t>avverkningsanmälan</t>
        </is>
      </c>
      <c r="C99" t="inlineStr">
        <is>
          <t>Föryngringsavverkning</t>
        </is>
      </c>
      <c r="D99" s="1" t="n">
        <v>44662</v>
      </c>
      <c r="E99" s="1" t="n">
        <v>46307</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19786-2023</t>
        </is>
      </c>
      <c r="B100" t="inlineStr">
        <is>
          <t>avverkningsanmälan</t>
        </is>
      </c>
      <c r="C100" t="inlineStr">
        <is>
          <t>Föryngringsavverkning</t>
        </is>
      </c>
      <c r="D100" s="1" t="n">
        <v>45050</v>
      </c>
      <c r="E100" s="1" t="n">
        <v>46307</v>
      </c>
      <c r="F100" t="inlineStr">
        <is>
          <t>VÄSTMANLANDS LÄN</t>
        </is>
      </c>
      <c r="G100" t="inlineStr">
        <is>
          <t>SURAHAMMAR</t>
        </is>
      </c>
      <c r="H100" t="inlineStr">
        <is>
          <t>Bergvik skog väst AB</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25450-2024</t>
        </is>
      </c>
      <c r="B101" t="inlineStr">
        <is>
          <t>avverkningsanmälan</t>
        </is>
      </c>
      <c r="C101" t="inlineStr">
        <is>
          <t>Föryngringsavverkning</t>
        </is>
      </c>
      <c r="D101" s="1" t="n">
        <v>45463</v>
      </c>
      <c r="E101" s="1" t="n">
        <v>46307</v>
      </c>
      <c r="F101" t="inlineStr">
        <is>
          <t>VÄSTMANLANDS LÄN</t>
        </is>
      </c>
      <c r="G101" t="inlineStr">
        <is>
          <t>SURAHAMMAR</t>
        </is>
      </c>
      <c r="H101" t="inlineStr">
        <is>
          <t>Bergvik skog väst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7787-2024</t>
        </is>
      </c>
      <c r="B102" t="inlineStr">
        <is>
          <t>avverkningsanmälan</t>
        </is>
      </c>
      <c r="C102" t="inlineStr">
        <is>
          <t>Föryngringsavverkning</t>
        </is>
      </c>
      <c r="D102" s="1" t="n">
        <v>45348</v>
      </c>
      <c r="E102" s="1" t="n">
        <v>46307</v>
      </c>
      <c r="F102" t="inlineStr">
        <is>
          <t>VÄSTMANLANDS LÄN</t>
        </is>
      </c>
      <c r="G102" t="inlineStr">
        <is>
          <t>SURAHAMMAR</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24665-2023</t>
        </is>
      </c>
      <c r="B103" t="inlineStr">
        <is>
          <t>avverkningsanmälan</t>
        </is>
      </c>
      <c r="C103" t="inlineStr">
        <is>
          <t>Föryngringsavverkning</t>
        </is>
      </c>
      <c r="D103" s="1" t="n">
        <v>45084</v>
      </c>
      <c r="E103" s="1" t="n">
        <v>46307</v>
      </c>
      <c r="F103" t="inlineStr">
        <is>
          <t>VÄSTMANLANDS LÄN</t>
        </is>
      </c>
      <c r="G103" t="inlineStr">
        <is>
          <t>SURAHAMMAR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3818-2022</t>
        </is>
      </c>
      <c r="B104" t="inlineStr">
        <is>
          <t>avverkningsanmälan</t>
        </is>
      </c>
      <c r="C104" t="inlineStr">
        <is>
          <t>Föryngringsavverkning</t>
        </is>
      </c>
      <c r="D104" s="1" t="n">
        <v>44587</v>
      </c>
      <c r="E104" s="1" t="n">
        <v>46307</v>
      </c>
      <c r="F104" t="inlineStr">
        <is>
          <t>VÄSTMANLANDS LÄN</t>
        </is>
      </c>
      <c r="G104" t="inlineStr">
        <is>
          <t>SURAHAMMAR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72367-2021</t>
        </is>
      </c>
      <c r="B105" t="inlineStr">
        <is>
          <t>avverkningsanmälan</t>
        </is>
      </c>
      <c r="C105" t="inlineStr">
        <is>
          <t>Föryngringsavverkning</t>
        </is>
      </c>
      <c r="D105" s="1" t="n">
        <v>44545</v>
      </c>
      <c r="E105" s="1" t="n">
        <v>46307</v>
      </c>
      <c r="F105" t="inlineStr">
        <is>
          <t>VÄSTMANLANDS LÄN</t>
        </is>
      </c>
      <c r="G105" t="inlineStr">
        <is>
          <t>SURAHAMMAR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15739-2023</t>
        </is>
      </c>
      <c r="B106" t="inlineStr">
        <is>
          <t>avverkningsanmälan</t>
        </is>
      </c>
      <c r="C106" t="inlineStr">
        <is>
          <t>Föryngringsavverkning</t>
        </is>
      </c>
      <c r="D106" s="1" t="n">
        <v>45021</v>
      </c>
      <c r="E106" s="1" t="n">
        <v>46307</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46307</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19782-2023</t>
        </is>
      </c>
      <c r="B108" t="inlineStr">
        <is>
          <t>avverkningsanmälan</t>
        </is>
      </c>
      <c r="C108" t="inlineStr">
        <is>
          <t>Föryngringsavverkning</t>
        </is>
      </c>
      <c r="D108" s="1" t="n">
        <v>45050</v>
      </c>
      <c r="E108" s="1" t="n">
        <v>46307</v>
      </c>
      <c r="F108" t="inlineStr">
        <is>
          <t>VÄSTMANLANDS LÄN</t>
        </is>
      </c>
      <c r="G108" t="inlineStr">
        <is>
          <t>SURAHAMMAR</t>
        </is>
      </c>
      <c r="H108" t="inlineStr">
        <is>
          <t>Bergvik skog väst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14626-2023</t>
        </is>
      </c>
      <c r="B109" t="inlineStr">
        <is>
          <t>avverkningsanmälan</t>
        </is>
      </c>
      <c r="C109" t="inlineStr">
        <is>
          <t>Föryngringsavverkning</t>
        </is>
      </c>
      <c r="D109" s="1" t="n">
        <v>45012</v>
      </c>
      <c r="E109" s="1" t="n">
        <v>46307</v>
      </c>
      <c r="F109" t="inlineStr">
        <is>
          <t>VÄSTMANLANDS LÄN</t>
        </is>
      </c>
      <c r="G109" t="inlineStr">
        <is>
          <t>SURAHAMMAR</t>
        </is>
      </c>
      <c r="H109" t="inlineStr">
        <is>
          <t>Bergvik skog väst AB</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19099-2022</t>
        </is>
      </c>
      <c r="B110" t="inlineStr">
        <is>
          <t>avverkningsanmälan</t>
        </is>
      </c>
      <c r="C110" t="inlineStr">
        <is>
          <t>Föryngringsavverkning</t>
        </is>
      </c>
      <c r="D110" s="1" t="n">
        <v>44691</v>
      </c>
      <c r="E110" s="1" t="n">
        <v>46307</v>
      </c>
      <c r="F110" t="inlineStr">
        <is>
          <t>VÄSTMANLANDS LÄN</t>
        </is>
      </c>
      <c r="G110" t="inlineStr">
        <is>
          <t>SURAHAMMAR</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56378-2023</t>
        </is>
      </c>
      <c r="B111" t="inlineStr">
        <is>
          <t>avverkningsanmälan</t>
        </is>
      </c>
      <c r="C111" t="inlineStr">
        <is>
          <t>Föryngringsavverkning</t>
        </is>
      </c>
      <c r="D111" s="1" t="n">
        <v>45236</v>
      </c>
      <c r="E111" s="1" t="n">
        <v>46307</v>
      </c>
      <c r="F111" t="inlineStr">
        <is>
          <t>VÄSTMANLANDS LÄN</t>
        </is>
      </c>
      <c r="G111" t="inlineStr">
        <is>
          <t>SURAHAMMAR</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11728-2023</t>
        </is>
      </c>
      <c r="B112" t="inlineStr">
        <is>
          <t>avverkningsanmälan</t>
        </is>
      </c>
      <c r="C112" t="inlineStr">
        <is>
          <t>Avverkning för att bevara och utveckla /försöksver</t>
        </is>
      </c>
      <c r="D112" s="1" t="n">
        <v>44993</v>
      </c>
      <c r="E112" s="1" t="n">
        <v>46307</v>
      </c>
      <c r="F112" t="inlineStr">
        <is>
          <t>VÄSTMANLANDS LÄN</t>
        </is>
      </c>
      <c r="G112" t="inlineStr">
        <is>
          <t>SURAHAMMAR</t>
        </is>
      </c>
      <c r="H112" t="inlineStr">
        <is>
          <t>Bergvik skog väst AB</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25780-2023</t>
        </is>
      </c>
      <c r="B113" t="inlineStr">
        <is>
          <t>avverkningsanmälan</t>
        </is>
      </c>
      <c r="C113" t="inlineStr">
        <is>
          <t>Föryngringsavverkning</t>
        </is>
      </c>
      <c r="D113" s="1" t="n">
        <v>45090</v>
      </c>
      <c r="E113" s="1" t="n">
        <v>46307</v>
      </c>
      <c r="F113" t="inlineStr">
        <is>
          <t>VÄSTMANLANDS LÄN</t>
        </is>
      </c>
      <c r="G113" t="inlineStr">
        <is>
          <t>SURAHAMMAR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20904-2023</t>
        </is>
      </c>
      <c r="B114" t="inlineStr">
        <is>
          <t>avverkningsanmälan</t>
        </is>
      </c>
      <c r="C114" t="inlineStr">
        <is>
          <t>Avverkning för att bevara och utveckla /försöksver</t>
        </is>
      </c>
      <c r="D114" s="1" t="n">
        <v>45060</v>
      </c>
      <c r="E114" s="1" t="n">
        <v>46307</v>
      </c>
      <c r="F114" t="inlineStr">
        <is>
          <t>VÄSTMANLANDS LÄN</t>
        </is>
      </c>
      <c r="G114" t="inlineStr">
        <is>
          <t>SURAHAMMAR</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35682-2022</t>
        </is>
      </c>
      <c r="B115" t="inlineStr">
        <is>
          <t>avverkningsanmälan</t>
        </is>
      </c>
      <c r="C115" t="inlineStr">
        <is>
          <t>Föryngringsavverkning</t>
        </is>
      </c>
      <c r="D115" s="1" t="n">
        <v>44799</v>
      </c>
      <c r="E115" s="1" t="n">
        <v>46307</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42829-2022</t>
        </is>
      </c>
      <c r="B116" t="inlineStr">
        <is>
          <t>avverkningsanmälan</t>
        </is>
      </c>
      <c r="C116" t="inlineStr">
        <is>
          <t>Avverkning för annat ändamål</t>
        </is>
      </c>
      <c r="D116" s="1" t="n">
        <v>44832</v>
      </c>
      <c r="E116" s="1" t="n">
        <v>46307</v>
      </c>
      <c r="F116" t="inlineStr">
        <is>
          <t>VÄSTMANLANDS LÄN</t>
        </is>
      </c>
      <c r="G116" t="inlineStr">
        <is>
          <t>SURAHAMMAR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2867-2024</t>
        </is>
      </c>
      <c r="B117" t="inlineStr">
        <is>
          <t>avverkningsanmälan</t>
        </is>
      </c>
      <c r="C117" t="inlineStr">
        <is>
          <t>Föryngringsavverkning</t>
        </is>
      </c>
      <c r="D117" s="1" t="n">
        <v>45315</v>
      </c>
      <c r="E117" s="1" t="n">
        <v>46307</v>
      </c>
      <c r="F117" t="inlineStr">
        <is>
          <t>VÄSTMANLANDS LÄN</t>
        </is>
      </c>
      <c r="G117" t="inlineStr">
        <is>
          <t>SURAHAMMAR</t>
        </is>
      </c>
      <c r="H117" t="inlineStr">
        <is>
          <t>Bergvik skog väst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55873-2025</t>
        </is>
      </c>
      <c r="B118" t="inlineStr">
        <is>
          <t>avverkningsanmälan</t>
        </is>
      </c>
      <c r="C118" t="inlineStr">
        <is>
          <t>Föryngringsavverkning</t>
        </is>
      </c>
      <c r="D118" s="1" t="n">
        <v>45973</v>
      </c>
      <c r="E118" s="1" t="n">
        <v>46307</v>
      </c>
      <c r="F118" t="inlineStr">
        <is>
          <t>VÄSTMANLANDS LÄN</t>
        </is>
      </c>
      <c r="G118" t="inlineStr">
        <is>
          <t>SURAHAMMAR</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2660-2024</t>
        </is>
      </c>
      <c r="B119" t="inlineStr">
        <is>
          <t>avverkningsanmälan</t>
        </is>
      </c>
      <c r="C119" t="inlineStr">
        <is>
          <t>Föryngringsavverkning</t>
        </is>
      </c>
      <c r="D119" s="1" t="n">
        <v>45310</v>
      </c>
      <c r="E119" s="1" t="n">
        <v>46307</v>
      </c>
      <c r="F119" t="inlineStr">
        <is>
          <t>VÄSTMANLANDS LÄN</t>
        </is>
      </c>
      <c r="G119" t="inlineStr">
        <is>
          <t>SURAHAMMAR</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48205-2023</t>
        </is>
      </c>
      <c r="B120" t="inlineStr">
        <is>
          <t>avverkningsanmälan</t>
        </is>
      </c>
      <c r="C120" t="inlineStr">
        <is>
          <t>Föryngringsavverkning</t>
        </is>
      </c>
      <c r="D120" s="1" t="n">
        <v>45205</v>
      </c>
      <c r="E120" s="1" t="n">
        <v>46307</v>
      </c>
      <c r="F120" t="inlineStr">
        <is>
          <t>VÄSTMANLANDS LÄN</t>
        </is>
      </c>
      <c r="G120" t="inlineStr">
        <is>
          <t>SURAHAMMAR</t>
        </is>
      </c>
      <c r="H120" t="inlineStr">
        <is>
          <t>Allmännings- och besparingsskogar</t>
        </is>
      </c>
      <c r="I120" t="n">
        <v>7.6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5567-2022</t>
        </is>
      </c>
      <c r="B121" t="inlineStr">
        <is>
          <t>avverkningsanmälan</t>
        </is>
      </c>
      <c r="C121" t="inlineStr">
        <is>
          <t>Föryngringsavverkning</t>
        </is>
      </c>
      <c r="D121" s="1" t="n">
        <v>44595</v>
      </c>
      <c r="E121" s="1" t="n">
        <v>46307</v>
      </c>
      <c r="F121" t="inlineStr">
        <is>
          <t>VÄSTMANLANDS LÄN</t>
        </is>
      </c>
      <c r="G121" t="inlineStr">
        <is>
          <t>SURAHAMMAR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33931-2022</t>
        </is>
      </c>
      <c r="B122" t="inlineStr">
        <is>
          <t>avverkningsanmälan</t>
        </is>
      </c>
      <c r="C122" t="inlineStr">
        <is>
          <t>Föryngringsavverkning</t>
        </is>
      </c>
      <c r="D122" s="1" t="n">
        <v>44790</v>
      </c>
      <c r="E122" s="1" t="n">
        <v>46307</v>
      </c>
      <c r="F122" t="inlineStr">
        <is>
          <t>VÄSTMANLANDS LÄN</t>
        </is>
      </c>
      <c r="G122" t="inlineStr">
        <is>
          <t>SURAHAMMAR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22662-2023</t>
        </is>
      </c>
      <c r="B123" t="inlineStr">
        <is>
          <t>avverkningsanmälan</t>
        </is>
      </c>
      <c r="C123" t="inlineStr">
        <is>
          <t>Avverkning för att bevara och utveckla /försöksver</t>
        </is>
      </c>
      <c r="D123" s="1" t="n">
        <v>45071</v>
      </c>
      <c r="E123" s="1" t="n">
        <v>46307</v>
      </c>
      <c r="F123" t="inlineStr">
        <is>
          <t>VÄSTMANLANDS LÄN</t>
        </is>
      </c>
      <c r="G123" t="inlineStr">
        <is>
          <t>SURAHAMMAR</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46307</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19246-2026</t>
        </is>
      </c>
      <c r="B125" t="inlineStr">
        <is>
          <t>avverkningsanmälan</t>
        </is>
      </c>
      <c r="C125" t="inlineStr">
        <is>
          <t>Avverkning för annat ändamål</t>
        </is>
      </c>
      <c r="D125" s="1" t="n">
        <v>46132</v>
      </c>
      <c r="E125" s="1" t="n">
        <v>46307</v>
      </c>
      <c r="F125" t="inlineStr">
        <is>
          <t>VÄSTMANLANDS LÄN</t>
        </is>
      </c>
      <c r="G125" t="inlineStr">
        <is>
          <t>SURAHAMMAR</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7848-2022</t>
        </is>
      </c>
      <c r="B126" t="inlineStr">
        <is>
          <t>avverkningsanmälan</t>
        </is>
      </c>
      <c r="C126" t="inlineStr">
        <is>
          <t>Föryngringsavverkning</t>
        </is>
      </c>
      <c r="D126" s="1" t="n">
        <v>44608</v>
      </c>
      <c r="E126" s="1" t="n">
        <v>46307</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15743-2023</t>
        </is>
      </c>
      <c r="B127" t="inlineStr">
        <is>
          <t>avverkningsanmälan</t>
        </is>
      </c>
      <c r="C127" t="inlineStr">
        <is>
          <t>Föryngringsavverkning</t>
        </is>
      </c>
      <c r="D127" s="1" t="n">
        <v>45021</v>
      </c>
      <c r="E127" s="1" t="n">
        <v>46307</v>
      </c>
      <c r="F127" t="inlineStr">
        <is>
          <t>VÄSTMANLANDS LÄN</t>
        </is>
      </c>
      <c r="G127" t="inlineStr">
        <is>
          <t>SURAHAMMAR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4724-2026</t>
        </is>
      </c>
      <c r="B128" t="inlineStr">
        <is>
          <t>avverkningsanmälan</t>
        </is>
      </c>
      <c r="C128" t="inlineStr">
        <is>
          <t>Föryngringsavverkning</t>
        </is>
      </c>
      <c r="D128" s="1" t="n">
        <v>46048</v>
      </c>
      <c r="E128" s="1" t="n">
        <v>46307</v>
      </c>
      <c r="F128" t="inlineStr">
        <is>
          <t>VÄSTMANLANDS LÄN</t>
        </is>
      </c>
      <c r="G128" t="inlineStr">
        <is>
          <t>SURAHAMMAR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4734-2026</t>
        </is>
      </c>
      <c r="B129" t="inlineStr">
        <is>
          <t>avverkningsanmälan</t>
        </is>
      </c>
      <c r="C129" t="inlineStr">
        <is>
          <t>Föryngringsavverkning</t>
        </is>
      </c>
      <c r="D129" s="1" t="n">
        <v>46048</v>
      </c>
      <c r="E129" s="1" t="n">
        <v>46307</v>
      </c>
      <c r="F129" t="inlineStr">
        <is>
          <t>VÄSTMANLANDS LÄN</t>
        </is>
      </c>
      <c r="G129" t="inlineStr">
        <is>
          <t>SURAHAMMAR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32808-2024</t>
        </is>
      </c>
      <c r="B130" t="inlineStr">
        <is>
          <t>avverkningsanmälan</t>
        </is>
      </c>
      <c r="C130" t="inlineStr">
        <is>
          <t>Föryngringsavverkning</t>
        </is>
      </c>
      <c r="D130" s="1" t="n">
        <v>45516</v>
      </c>
      <c r="E130" s="1" t="n">
        <v>46307</v>
      </c>
      <c r="F130" t="inlineStr">
        <is>
          <t>VÄSTMANLANDS LÄN</t>
        </is>
      </c>
      <c r="G130" t="inlineStr">
        <is>
          <t>SURAHAMMAR</t>
        </is>
      </c>
      <c r="H130" t="inlineStr">
        <is>
          <t>Övriga Aktiebolag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20535-2026</t>
        </is>
      </c>
      <c r="B131" t="inlineStr">
        <is>
          <t>avverkningsanmälan</t>
        </is>
      </c>
      <c r="C131" t="inlineStr">
        <is>
          <t>Avverkning för annat ändamål</t>
        </is>
      </c>
      <c r="D131" s="1" t="n">
        <v>46140</v>
      </c>
      <c r="E131" s="1" t="n">
        <v>46307</v>
      </c>
      <c r="F131" t="inlineStr">
        <is>
          <t>VÄSTMANLANDS LÄN</t>
        </is>
      </c>
      <c r="G131" t="inlineStr">
        <is>
          <t>SURAHAMMAR</t>
        </is>
      </c>
      <c r="H131" t="inlineStr">
        <is>
          <t>Bergvik skog väst AB</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49058-2024</t>
        </is>
      </c>
      <c r="B132" t="inlineStr">
        <is>
          <t>avverkningsanmälan</t>
        </is>
      </c>
      <c r="C132" t="inlineStr">
        <is>
          <t>Föryngringsavverkning</t>
        </is>
      </c>
      <c r="D132" s="1" t="n">
        <v>45594</v>
      </c>
      <c r="E132" s="1" t="n">
        <v>46307</v>
      </c>
      <c r="F132" t="inlineStr">
        <is>
          <t>VÄSTMANLANDS LÄN</t>
        </is>
      </c>
      <c r="G132" t="inlineStr">
        <is>
          <t>SURAHAMMAR</t>
        </is>
      </c>
      <c r="H132" t="inlineStr">
        <is>
          <t>Sveaskog</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10244-2026</t>
        </is>
      </c>
      <c r="B133" t="inlineStr">
        <is>
          <t>avverkningsanmälan</t>
        </is>
      </c>
      <c r="C133" t="inlineStr">
        <is>
          <t>Föryngringsavverkning</t>
        </is>
      </c>
      <c r="D133" s="1" t="n">
        <v>46076</v>
      </c>
      <c r="E133" s="1" t="n">
        <v>46307</v>
      </c>
      <c r="F133" t="inlineStr">
        <is>
          <t>VÄSTMANLANDS LÄN</t>
        </is>
      </c>
      <c r="G133" t="inlineStr">
        <is>
          <t>SURAHAMMAR</t>
        </is>
      </c>
      <c r="H133" t="inlineStr">
        <is>
          <t>Allmännings- och besparingsskogar</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10562-2026</t>
        </is>
      </c>
      <c r="B134" t="inlineStr">
        <is>
          <t>avverkningsanmälan</t>
        </is>
      </c>
      <c r="C134" t="inlineStr">
        <is>
          <t>Föryngringsavverkning</t>
        </is>
      </c>
      <c r="D134" s="1" t="n">
        <v>46077</v>
      </c>
      <c r="E134" s="1" t="n">
        <v>46307</v>
      </c>
      <c r="F134" t="inlineStr">
        <is>
          <t>VÄSTMANLANDS LÄN</t>
        </is>
      </c>
      <c r="G134" t="inlineStr">
        <is>
          <t>SURAHAMMAR</t>
        </is>
      </c>
      <c r="H134" t="inlineStr">
        <is>
          <t>Övriga Aktiebolag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12841-2026</t>
        </is>
      </c>
      <c r="B135" t="inlineStr">
        <is>
          <t>avverkningsanmälan</t>
        </is>
      </c>
      <c r="C135" t="inlineStr">
        <is>
          <t>Föryngringsavverkning</t>
        </is>
      </c>
      <c r="D135" s="1" t="n">
        <v>46091</v>
      </c>
      <c r="E135" s="1" t="n">
        <v>46307</v>
      </c>
      <c r="F135" t="inlineStr">
        <is>
          <t>VÄSTMANLANDS LÄN</t>
        </is>
      </c>
      <c r="G135" t="inlineStr">
        <is>
          <t>SURAHAMMAR</t>
        </is>
      </c>
      <c r="H135" t="inlineStr">
        <is>
          <t>Bergvik skog väst AB</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24201-2026</t>
        </is>
      </c>
      <c r="B136" t="inlineStr">
        <is>
          <t>avverkningsanmälan</t>
        </is>
      </c>
      <c r="C136" t="inlineStr">
        <is>
          <t>Föryngringsavverkning</t>
        </is>
      </c>
      <c r="D136" s="1" t="n">
        <v>46168</v>
      </c>
      <c r="E136" s="1" t="n">
        <v>46307</v>
      </c>
      <c r="F136" t="inlineStr">
        <is>
          <t>VÄSTMANLANDS LÄN</t>
        </is>
      </c>
      <c r="G136" t="inlineStr">
        <is>
          <t>SURAHAMMAR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22628-2026</t>
        </is>
      </c>
      <c r="B137" t="inlineStr">
        <is>
          <t>avverkningsanmälan</t>
        </is>
      </c>
      <c r="C137" t="inlineStr">
        <is>
          <t>Föryngringsavverkning</t>
        </is>
      </c>
      <c r="D137" s="1" t="n">
        <v>46155</v>
      </c>
      <c r="E137" s="1" t="n">
        <v>46307</v>
      </c>
      <c r="F137" t="inlineStr">
        <is>
          <t>VÄSTMANLANDS LÄN</t>
        </is>
      </c>
      <c r="G137" t="inlineStr">
        <is>
          <t>SURAHAMMAR</t>
        </is>
      </c>
      <c r="H137" t="inlineStr">
        <is>
          <t>Sveaskog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31061-2026</t>
        </is>
      </c>
      <c r="B138" t="inlineStr">
        <is>
          <t>avverkningsanmälan</t>
        </is>
      </c>
      <c r="C138" t="inlineStr">
        <is>
          <t>Föryngringsavverkning</t>
        </is>
      </c>
      <c r="D138" s="1" t="n">
        <v>46215</v>
      </c>
      <c r="E138" s="1" t="n">
        <v>46307</v>
      </c>
      <c r="F138" t="inlineStr">
        <is>
          <t>VÄSTMANLANDS LÄN</t>
        </is>
      </c>
      <c r="G138" t="inlineStr">
        <is>
          <t>SURAHAMMAR</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32223-2026</t>
        </is>
      </c>
      <c r="B139" t="inlineStr">
        <is>
          <t>avverkningsanmälan</t>
        </is>
      </c>
      <c r="C139" t="inlineStr">
        <is>
          <t>Föryngringsavverkning</t>
        </is>
      </c>
      <c r="D139" s="1" t="n">
        <v>46237</v>
      </c>
      <c r="E139" s="1" t="n">
        <v>46307</v>
      </c>
      <c r="F139" t="inlineStr">
        <is>
          <t>VÄSTMANLANDS LÄN</t>
        </is>
      </c>
      <c r="G139" t="inlineStr">
        <is>
          <t>SURAHAMMAR</t>
        </is>
      </c>
      <c r="H139" t="inlineStr">
        <is>
          <t>Allmännings- och besparingsskogar</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46307</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33933-2026</t>
        </is>
      </c>
      <c r="B141" t="inlineStr">
        <is>
          <t>avverkningsanmälan</t>
        </is>
      </c>
      <c r="C141" t="inlineStr">
        <is>
          <t>Föryngringsavverkning</t>
        </is>
      </c>
      <c r="D141" s="1" t="n">
        <v>46248</v>
      </c>
      <c r="E141" s="1" t="n">
        <v>46307</v>
      </c>
      <c r="F141" t="inlineStr">
        <is>
          <t>VÄSTMANLANDS LÄN</t>
        </is>
      </c>
      <c r="G141" t="inlineStr">
        <is>
          <t>SURAHAMMAR</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37954-2025</t>
        </is>
      </c>
      <c r="B142" t="inlineStr">
        <is>
          <t>avverkningsanmälan</t>
        </is>
      </c>
      <c r="C142" t="inlineStr">
        <is>
          <t>Föryngringsavverkning</t>
        </is>
      </c>
      <c r="D142" s="1" t="n">
        <v>45881</v>
      </c>
      <c r="E142" s="1" t="n">
        <v>46307</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46307</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46307</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46307</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2026-10-12T02:00:45Z</dcterms:created>
  <dcterms:modified xmlns:dcterms="http://purl.org/dc/terms/" xmlns:xsi="http://www.w3.org/2001/XMLSchema-instance" xsi:type="dcterms:W3CDTF">2026-10-12T02:00:45Z</dcterms:modified>
</cp:coreProperties>
</file>