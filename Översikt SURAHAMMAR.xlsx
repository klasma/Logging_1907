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45851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45851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45851</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45851</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45851</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45851</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45851</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45851</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45851</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45851</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45851</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45851</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45851</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45851</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45851</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45851</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45851</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45851</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45851</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45851</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45851</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45851</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45851</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45851</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45851</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45851</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45851</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45851</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45851</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45851</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45851</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45851</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45851</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45851</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45851</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45851</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45851</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45851</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45851</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45851</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45851</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45851</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45851</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45851</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45851</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45851</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45851</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45851</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45851</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28043-2023</t>
        </is>
      </c>
      <c r="B51" s="1" t="n">
        <v>45099</v>
      </c>
      <c r="C51" s="1" t="n">
        <v>45851</v>
      </c>
      <c r="D51" t="inlineStr">
        <is>
          <t>VÄSTMANLANDS LÄN</t>
        </is>
      </c>
      <c r="E51" t="inlineStr">
        <is>
          <t>SURAHAMMAR</t>
        </is>
      </c>
      <c r="F51" t="inlineStr">
        <is>
          <t>Allmännings- och besparingsskogar</t>
        </is>
      </c>
      <c r="G51" t="n">
        <v>23.9</v>
      </c>
      <c r="H51" t="n">
        <v>2</v>
      </c>
      <c r="I51" t="n">
        <v>0</v>
      </c>
      <c r="J51" t="n">
        <v>1</v>
      </c>
      <c r="K51" t="n">
        <v>0</v>
      </c>
      <c r="L51" t="n">
        <v>0</v>
      </c>
      <c r="M51" t="n">
        <v>0</v>
      </c>
      <c r="N51" t="n">
        <v>0</v>
      </c>
      <c r="O51" t="n">
        <v>1</v>
      </c>
      <c r="P51" t="n">
        <v>0</v>
      </c>
      <c r="Q51" t="n">
        <v>3</v>
      </c>
      <c r="R51" s="2" t="inlineStr">
        <is>
          <t>Gropticka
Nattskärra
Revlummer</t>
        </is>
      </c>
      <c r="S51">
        <f>HYPERLINK("https://klasma.github.io/Logging_1907/artfynd/A 28043-2023 artfynd.xlsx", "A 28043-2023")</f>
        <v/>
      </c>
      <c r="T51">
        <f>HYPERLINK("https://klasma.github.io/Logging_1907/kartor/A 28043-2023 karta.png", "A 28043-2023")</f>
        <v/>
      </c>
      <c r="V51">
        <f>HYPERLINK("https://klasma.github.io/Logging_1907/klagomål/A 28043-2023 FSC-klagomål.docx", "A 28043-2023")</f>
        <v/>
      </c>
      <c r="W51">
        <f>HYPERLINK("https://klasma.github.io/Logging_1907/klagomålsmail/A 28043-2023 FSC-klagomål mail.docx", "A 28043-2023")</f>
        <v/>
      </c>
      <c r="X51">
        <f>HYPERLINK("https://klasma.github.io/Logging_1907/tillsyn/A 28043-2023 tillsynsbegäran.docx", "A 28043-2023")</f>
        <v/>
      </c>
      <c r="Y51">
        <f>HYPERLINK("https://klasma.github.io/Logging_1907/tillsynsmail/A 28043-2023 tillsynsbegäran mail.docx", "A 28043-2023")</f>
        <v/>
      </c>
      <c r="Z51">
        <f>HYPERLINK("https://klasma.github.io/Logging_1907/fåglar/A 28043-2023 prioriterade fågelarter.docx", "A 28043-2023")</f>
        <v/>
      </c>
    </row>
    <row r="52" ht="15" customHeight="1">
      <c r="A52" t="inlineStr">
        <is>
          <t>A 48128-2023</t>
        </is>
      </c>
      <c r="B52" s="1" t="n">
        <v>45205</v>
      </c>
      <c r="C52" s="1" t="n">
        <v>45851</v>
      </c>
      <c r="D52" t="inlineStr">
        <is>
          <t>VÄSTMANLANDS LÄN</t>
        </is>
      </c>
      <c r="E52" t="inlineStr">
        <is>
          <t>SURAHAMMAR</t>
        </is>
      </c>
      <c r="F52" t="inlineStr">
        <is>
          <t>Allmännings- och besparingsskogar</t>
        </is>
      </c>
      <c r="G52" t="n">
        <v>11.8</v>
      </c>
      <c r="H52" t="n">
        <v>0</v>
      </c>
      <c r="I52" t="n">
        <v>2</v>
      </c>
      <c r="J52" t="n">
        <v>1</v>
      </c>
      <c r="K52" t="n">
        <v>0</v>
      </c>
      <c r="L52" t="n">
        <v>0</v>
      </c>
      <c r="M52" t="n">
        <v>0</v>
      </c>
      <c r="N52" t="n">
        <v>0</v>
      </c>
      <c r="O52" t="n">
        <v>1</v>
      </c>
      <c r="P52" t="n">
        <v>0</v>
      </c>
      <c r="Q52" t="n">
        <v>3</v>
      </c>
      <c r="R52" s="2" t="inlineStr">
        <is>
          <t>Svinrot
Blodticka
Vedticka</t>
        </is>
      </c>
      <c r="S52">
        <f>HYPERLINK("https://klasma.github.io/Logging_1907/artfynd/A 48128-2023 artfynd.xlsx", "A 48128-2023")</f>
        <v/>
      </c>
      <c r="T52">
        <f>HYPERLINK("https://klasma.github.io/Logging_1907/kartor/A 48128-2023 karta.png", "A 48128-2023")</f>
        <v/>
      </c>
      <c r="V52">
        <f>HYPERLINK("https://klasma.github.io/Logging_1907/klagomål/A 48128-2023 FSC-klagomål.docx", "A 48128-2023")</f>
        <v/>
      </c>
      <c r="W52">
        <f>HYPERLINK("https://klasma.github.io/Logging_1907/klagomålsmail/A 48128-2023 FSC-klagomål mail.docx", "A 48128-2023")</f>
        <v/>
      </c>
      <c r="X52">
        <f>HYPERLINK("https://klasma.github.io/Logging_1907/tillsyn/A 48128-2023 tillsynsbegäran.docx", "A 48128-2023")</f>
        <v/>
      </c>
      <c r="Y52">
        <f>HYPERLINK("https://klasma.github.io/Logging_1907/tillsynsmail/A 48128-2023 tillsynsbegäran mail.docx", "A 48128-2023")</f>
        <v/>
      </c>
    </row>
    <row r="53" ht="15" customHeight="1">
      <c r="A53" t="inlineStr">
        <is>
          <t>A 49718-2023</t>
        </is>
      </c>
      <c r="B53" s="1" t="n">
        <v>45212</v>
      </c>
      <c r="C53" s="1" t="n">
        <v>45851</v>
      </c>
      <c r="D53" t="inlineStr">
        <is>
          <t>VÄSTMANLANDS LÄN</t>
        </is>
      </c>
      <c r="E53" t="inlineStr">
        <is>
          <t>SURAHAMMAR</t>
        </is>
      </c>
      <c r="G53" t="n">
        <v>3.4</v>
      </c>
      <c r="H53" t="n">
        <v>1</v>
      </c>
      <c r="I53" t="n">
        <v>1</v>
      </c>
      <c r="J53" t="n">
        <v>2</v>
      </c>
      <c r="K53" t="n">
        <v>0</v>
      </c>
      <c r="L53" t="n">
        <v>0</v>
      </c>
      <c r="M53" t="n">
        <v>0</v>
      </c>
      <c r="N53" t="n">
        <v>0</v>
      </c>
      <c r="O53" t="n">
        <v>2</v>
      </c>
      <c r="P53" t="n">
        <v>0</v>
      </c>
      <c r="Q53" t="n">
        <v>3</v>
      </c>
      <c r="R53" s="2" t="inlineStr">
        <is>
          <t>Motaggsvamp
Talltita
Zontaggsvamp</t>
        </is>
      </c>
      <c r="S53">
        <f>HYPERLINK("https://klasma.github.io/Logging_1907/artfynd/A 49718-2023 artfynd.xlsx", "A 49718-2023")</f>
        <v/>
      </c>
      <c r="T53">
        <f>HYPERLINK("https://klasma.github.io/Logging_1907/kartor/A 49718-2023 karta.png", "A 49718-2023")</f>
        <v/>
      </c>
      <c r="V53">
        <f>HYPERLINK("https://klasma.github.io/Logging_1907/klagomål/A 49718-2023 FSC-klagomål.docx", "A 49718-2023")</f>
        <v/>
      </c>
      <c r="W53">
        <f>HYPERLINK("https://klasma.github.io/Logging_1907/klagomålsmail/A 49718-2023 FSC-klagomål mail.docx", "A 49718-2023")</f>
        <v/>
      </c>
      <c r="X53">
        <f>HYPERLINK("https://klasma.github.io/Logging_1907/tillsyn/A 49718-2023 tillsynsbegäran.docx", "A 49718-2023")</f>
        <v/>
      </c>
      <c r="Y53">
        <f>HYPERLINK("https://klasma.github.io/Logging_1907/tillsynsmail/A 49718-2023 tillsynsbegäran mail.docx", "A 49718-2023")</f>
        <v/>
      </c>
      <c r="Z53">
        <f>HYPERLINK("https://klasma.github.io/Logging_1907/fåglar/A 49718-2023 prioriterade fågelarter.docx", "A 49718-2023")</f>
        <v/>
      </c>
    </row>
    <row r="54" ht="15" customHeight="1">
      <c r="A54" t="inlineStr">
        <is>
          <t>A 20391-2024</t>
        </is>
      </c>
      <c r="B54" s="1" t="n">
        <v>45435</v>
      </c>
      <c r="C54" s="1" t="n">
        <v>45851</v>
      </c>
      <c r="D54" t="inlineStr">
        <is>
          <t>VÄSTMANLANDS LÄN</t>
        </is>
      </c>
      <c r="E54" t="inlineStr">
        <is>
          <t>SURAHAMMAR</t>
        </is>
      </c>
      <c r="G54" t="n">
        <v>1.5</v>
      </c>
      <c r="H54" t="n">
        <v>0</v>
      </c>
      <c r="I54" t="n">
        <v>2</v>
      </c>
      <c r="J54" t="n">
        <v>1</v>
      </c>
      <c r="K54" t="n">
        <v>0</v>
      </c>
      <c r="L54" t="n">
        <v>0</v>
      </c>
      <c r="M54" t="n">
        <v>0</v>
      </c>
      <c r="N54" t="n">
        <v>0</v>
      </c>
      <c r="O54" t="n">
        <v>1</v>
      </c>
      <c r="P54" t="n">
        <v>0</v>
      </c>
      <c r="Q54" t="n">
        <v>3</v>
      </c>
      <c r="R54" s="2" t="inlineStr">
        <is>
          <t>Vedtrappmossa
Kattfotslav
Stubbspretmossa</t>
        </is>
      </c>
      <c r="S54">
        <f>HYPERLINK("https://klasma.github.io/Logging_1907/artfynd/A 20391-2024 artfynd.xlsx", "A 20391-2024")</f>
        <v/>
      </c>
      <c r="T54">
        <f>HYPERLINK("https://klasma.github.io/Logging_1907/kartor/A 20391-2024 karta.png", "A 20391-2024")</f>
        <v/>
      </c>
      <c r="V54">
        <f>HYPERLINK("https://klasma.github.io/Logging_1907/klagomål/A 20391-2024 FSC-klagomål.docx", "A 20391-2024")</f>
        <v/>
      </c>
      <c r="W54">
        <f>HYPERLINK("https://klasma.github.io/Logging_1907/klagomålsmail/A 20391-2024 FSC-klagomål mail.docx", "A 20391-2024")</f>
        <v/>
      </c>
      <c r="X54">
        <f>HYPERLINK("https://klasma.github.io/Logging_1907/tillsyn/A 20391-2024 tillsynsbegäran.docx", "A 20391-2024")</f>
        <v/>
      </c>
      <c r="Y54">
        <f>HYPERLINK("https://klasma.github.io/Logging_1907/tillsynsmail/A 20391-2024 tillsynsbegäran mail.docx", "A 20391-2024")</f>
        <v/>
      </c>
    </row>
    <row r="55" ht="15" customHeight="1">
      <c r="A55" t="inlineStr">
        <is>
          <t>A 24561-2024</t>
        </is>
      </c>
      <c r="B55" s="1" t="n">
        <v>45460</v>
      </c>
      <c r="C55" s="1" t="n">
        <v>45851</v>
      </c>
      <c r="D55" t="inlineStr">
        <is>
          <t>VÄSTMANLANDS LÄN</t>
        </is>
      </c>
      <c r="E55" t="inlineStr">
        <is>
          <t>SURAHAMMAR</t>
        </is>
      </c>
      <c r="G55" t="n">
        <v>2.6</v>
      </c>
      <c r="H55" t="n">
        <v>2</v>
      </c>
      <c r="I55" t="n">
        <v>1</v>
      </c>
      <c r="J55" t="n">
        <v>0</v>
      </c>
      <c r="K55" t="n">
        <v>1</v>
      </c>
      <c r="L55" t="n">
        <v>0</v>
      </c>
      <c r="M55" t="n">
        <v>0</v>
      </c>
      <c r="N55" t="n">
        <v>0</v>
      </c>
      <c r="O55" t="n">
        <v>1</v>
      </c>
      <c r="P55" t="n">
        <v>1</v>
      </c>
      <c r="Q55" t="n">
        <v>3</v>
      </c>
      <c r="R55" s="2" t="inlineStr">
        <is>
          <t>Knärot
Grönpyrola
Revlummer</t>
        </is>
      </c>
      <c r="S55">
        <f>HYPERLINK("https://klasma.github.io/Logging_1907/artfynd/A 24561-2024 artfynd.xlsx", "A 24561-2024")</f>
        <v/>
      </c>
      <c r="T55">
        <f>HYPERLINK("https://klasma.github.io/Logging_1907/kartor/A 24561-2024 karta.png", "A 24561-2024")</f>
        <v/>
      </c>
      <c r="U55">
        <f>HYPERLINK("https://klasma.github.io/Logging_1907/knärot/A 24561-2024 karta knärot.png", "A 24561-2024")</f>
        <v/>
      </c>
      <c r="V55">
        <f>HYPERLINK("https://klasma.github.io/Logging_1907/klagomål/A 24561-2024 FSC-klagomål.docx", "A 24561-2024")</f>
        <v/>
      </c>
      <c r="W55">
        <f>HYPERLINK("https://klasma.github.io/Logging_1907/klagomålsmail/A 24561-2024 FSC-klagomål mail.docx", "A 24561-2024")</f>
        <v/>
      </c>
      <c r="X55">
        <f>HYPERLINK("https://klasma.github.io/Logging_1907/tillsyn/A 24561-2024 tillsynsbegäran.docx", "A 24561-2024")</f>
        <v/>
      </c>
      <c r="Y55">
        <f>HYPERLINK("https://klasma.github.io/Logging_1907/tillsynsmail/A 24561-2024 tillsynsbegäran mail.docx", "A 24561-2024")</f>
        <v/>
      </c>
    </row>
    <row r="56" ht="15" customHeight="1">
      <c r="A56" t="inlineStr">
        <is>
          <t>A 33094-2024</t>
        </is>
      </c>
      <c r="B56" s="1" t="n">
        <v>45517</v>
      </c>
      <c r="C56" s="1" t="n">
        <v>45851</v>
      </c>
      <c r="D56" t="inlineStr">
        <is>
          <t>VÄSTMANLANDS LÄN</t>
        </is>
      </c>
      <c r="E56" t="inlineStr">
        <is>
          <t>SURAHAMMAR</t>
        </is>
      </c>
      <c r="G56" t="n">
        <v>6.3</v>
      </c>
      <c r="H56" t="n">
        <v>1</v>
      </c>
      <c r="I56" t="n">
        <v>0</v>
      </c>
      <c r="J56" t="n">
        <v>2</v>
      </c>
      <c r="K56" t="n">
        <v>0</v>
      </c>
      <c r="L56" t="n">
        <v>0</v>
      </c>
      <c r="M56" t="n">
        <v>0</v>
      </c>
      <c r="N56" t="n">
        <v>0</v>
      </c>
      <c r="O56" t="n">
        <v>2</v>
      </c>
      <c r="P56" t="n">
        <v>0</v>
      </c>
      <c r="Q56" t="n">
        <v>3</v>
      </c>
      <c r="R56" s="2" t="inlineStr">
        <is>
          <t>Svinrot
Vippärt
Revlummer</t>
        </is>
      </c>
      <c r="S56">
        <f>HYPERLINK("https://klasma.github.io/Logging_1907/artfynd/A 33094-2024 artfynd.xlsx", "A 33094-2024")</f>
        <v/>
      </c>
      <c r="T56">
        <f>HYPERLINK("https://klasma.github.io/Logging_1907/kartor/A 33094-2024 karta.png", "A 33094-2024")</f>
        <v/>
      </c>
      <c r="V56">
        <f>HYPERLINK("https://klasma.github.io/Logging_1907/klagomål/A 33094-2024 FSC-klagomål.docx", "A 33094-2024")</f>
        <v/>
      </c>
      <c r="W56">
        <f>HYPERLINK("https://klasma.github.io/Logging_1907/klagomålsmail/A 33094-2024 FSC-klagomål mail.docx", "A 33094-2024")</f>
        <v/>
      </c>
      <c r="X56">
        <f>HYPERLINK("https://klasma.github.io/Logging_1907/tillsyn/A 33094-2024 tillsynsbegäran.docx", "A 33094-2024")</f>
        <v/>
      </c>
      <c r="Y56">
        <f>HYPERLINK("https://klasma.github.io/Logging_1907/tillsynsmail/A 33094-2024 tillsynsbegäran mail.docx", "A 33094-2024")</f>
        <v/>
      </c>
    </row>
    <row r="57" ht="15" customHeight="1">
      <c r="A57" t="inlineStr">
        <is>
          <t>A 29707-2025</t>
        </is>
      </c>
      <c r="B57" s="1" t="n">
        <v>45825</v>
      </c>
      <c r="C57" s="1" t="n">
        <v>45851</v>
      </c>
      <c r="D57" t="inlineStr">
        <is>
          <t>VÄSTMANLANDS LÄN</t>
        </is>
      </c>
      <c r="E57" t="inlineStr">
        <is>
          <t>SURAHAMMAR</t>
        </is>
      </c>
      <c r="F57" t="inlineStr">
        <is>
          <t>Bergvik skog väst AB</t>
        </is>
      </c>
      <c r="G57" t="n">
        <v>5.1</v>
      </c>
      <c r="H57" t="n">
        <v>0</v>
      </c>
      <c r="I57" t="n">
        <v>1</v>
      </c>
      <c r="J57" t="n">
        <v>1</v>
      </c>
      <c r="K57" t="n">
        <v>0</v>
      </c>
      <c r="L57" t="n">
        <v>0</v>
      </c>
      <c r="M57" t="n">
        <v>1</v>
      </c>
      <c r="N57" t="n">
        <v>0</v>
      </c>
      <c r="O57" t="n">
        <v>2</v>
      </c>
      <c r="P57" t="n">
        <v>1</v>
      </c>
      <c r="Q57" t="n">
        <v>3</v>
      </c>
      <c r="R57" s="2" t="inlineStr">
        <is>
          <t>Skogsalm
Veckticka
Rävticka</t>
        </is>
      </c>
      <c r="S57">
        <f>HYPERLINK("https://klasma.github.io/Logging_191907/artfynd/A 29707-2025 artfynd.xlsx", "A 29707-2025")</f>
        <v/>
      </c>
      <c r="T57">
        <f>HYPERLINK("https://klasma.github.io/Logging_191907/kartor/A 29707-2025 karta.png", "A 29707-2025")</f>
        <v/>
      </c>
      <c r="V57">
        <f>HYPERLINK("https://klasma.github.io/Logging_191907/klagomål/A 29707-2025 FSC-klagomål.docx", "A 29707-2025")</f>
        <v/>
      </c>
      <c r="W57">
        <f>HYPERLINK("https://klasma.github.io/Logging_191907/klagomålsmail/A 29707-2025 FSC-klagomål mail.docx", "A 29707-2025")</f>
        <v/>
      </c>
      <c r="X57">
        <f>HYPERLINK("https://klasma.github.io/Logging_191907/tillsyn/A 29707-2025 tillsynsbegäran.docx", "A 29707-2025")</f>
        <v/>
      </c>
      <c r="Y57">
        <f>HYPERLINK("https://klasma.github.io/Logging_191907/tillsynsmail/A 29707-2025 tillsynsbegäran mail.docx", "A 29707-2025")</f>
        <v/>
      </c>
    </row>
    <row r="58" ht="15" customHeight="1">
      <c r="A58" t="inlineStr">
        <is>
          <t>A 39755-2019</t>
        </is>
      </c>
      <c r="B58" s="1" t="n">
        <v>43692</v>
      </c>
      <c r="C58" s="1" t="n">
        <v>45851</v>
      </c>
      <c r="D58" t="inlineStr">
        <is>
          <t>VÄSTMANLANDS LÄN</t>
        </is>
      </c>
      <c r="E58" t="inlineStr">
        <is>
          <t>SURAHAMMAR</t>
        </is>
      </c>
      <c r="F58" t="inlineStr">
        <is>
          <t>Övriga Aktiebolag</t>
        </is>
      </c>
      <c r="G58" t="n">
        <v>11.8</v>
      </c>
      <c r="H58" t="n">
        <v>2</v>
      </c>
      <c r="I58" t="n">
        <v>0</v>
      </c>
      <c r="J58" t="n">
        <v>0</v>
      </c>
      <c r="K58" t="n">
        <v>0</v>
      </c>
      <c r="L58" t="n">
        <v>0</v>
      </c>
      <c r="M58" t="n">
        <v>0</v>
      </c>
      <c r="N58" t="n">
        <v>0</v>
      </c>
      <c r="O58" t="n">
        <v>0</v>
      </c>
      <c r="P58" t="n">
        <v>0</v>
      </c>
      <c r="Q58" t="n">
        <v>2</v>
      </c>
      <c r="R58" s="2" t="inlineStr">
        <is>
          <t>Kopparödla
Mindre vattensalamander</t>
        </is>
      </c>
      <c r="S58">
        <f>HYPERLINK("https://klasma.github.io/Logging_1907/artfynd/A 39755-2019 artfynd.xlsx", "A 39755-2019")</f>
        <v/>
      </c>
      <c r="T58">
        <f>HYPERLINK("https://klasma.github.io/Logging_1907/kartor/A 39755-2019 karta.png", "A 39755-2019")</f>
        <v/>
      </c>
      <c r="V58">
        <f>HYPERLINK("https://klasma.github.io/Logging_1907/klagomål/A 39755-2019 FSC-klagomål.docx", "A 39755-2019")</f>
        <v/>
      </c>
      <c r="W58">
        <f>HYPERLINK("https://klasma.github.io/Logging_1907/klagomålsmail/A 39755-2019 FSC-klagomål mail.docx", "A 39755-2019")</f>
        <v/>
      </c>
      <c r="X58">
        <f>HYPERLINK("https://klasma.github.io/Logging_1907/tillsyn/A 39755-2019 tillsynsbegäran.docx", "A 39755-2019")</f>
        <v/>
      </c>
      <c r="Y58">
        <f>HYPERLINK("https://klasma.github.io/Logging_1907/tillsynsmail/A 39755-2019 tillsynsbegäran mail.docx", "A 39755-2019")</f>
        <v/>
      </c>
    </row>
    <row r="59" ht="15" customHeight="1">
      <c r="A59" t="inlineStr">
        <is>
          <t>A 57412-2020</t>
        </is>
      </c>
      <c r="B59" s="1" t="n">
        <v>44138</v>
      </c>
      <c r="C59" s="1" t="n">
        <v>45851</v>
      </c>
      <c r="D59" t="inlineStr">
        <is>
          <t>VÄSTMANLANDS LÄN</t>
        </is>
      </c>
      <c r="E59" t="inlineStr">
        <is>
          <t>SURAHAMMAR</t>
        </is>
      </c>
      <c r="G59" t="n">
        <v>2.9</v>
      </c>
      <c r="H59" t="n">
        <v>2</v>
      </c>
      <c r="I59" t="n">
        <v>0</v>
      </c>
      <c r="J59" t="n">
        <v>2</v>
      </c>
      <c r="K59" t="n">
        <v>0</v>
      </c>
      <c r="L59" t="n">
        <v>0</v>
      </c>
      <c r="M59" t="n">
        <v>0</v>
      </c>
      <c r="N59" t="n">
        <v>0</v>
      </c>
      <c r="O59" t="n">
        <v>2</v>
      </c>
      <c r="P59" t="n">
        <v>0</v>
      </c>
      <c r="Q59" t="n">
        <v>2</v>
      </c>
      <c r="R59" s="2" t="inlineStr">
        <is>
          <t>Duvhök
Gulsparv</t>
        </is>
      </c>
      <c r="S59">
        <f>HYPERLINK("https://klasma.github.io/Logging_1907/artfynd/A 57412-2020 artfynd.xlsx", "A 57412-2020")</f>
        <v/>
      </c>
      <c r="T59">
        <f>HYPERLINK("https://klasma.github.io/Logging_1907/kartor/A 57412-2020 karta.png", "A 57412-2020")</f>
        <v/>
      </c>
      <c r="V59">
        <f>HYPERLINK("https://klasma.github.io/Logging_1907/klagomål/A 57412-2020 FSC-klagomål.docx", "A 57412-2020")</f>
        <v/>
      </c>
      <c r="W59">
        <f>HYPERLINK("https://klasma.github.io/Logging_1907/klagomålsmail/A 57412-2020 FSC-klagomål mail.docx", "A 57412-2020")</f>
        <v/>
      </c>
      <c r="X59">
        <f>HYPERLINK("https://klasma.github.io/Logging_1907/tillsyn/A 57412-2020 tillsynsbegäran.docx", "A 57412-2020")</f>
        <v/>
      </c>
      <c r="Y59">
        <f>HYPERLINK("https://klasma.github.io/Logging_1907/tillsynsmail/A 57412-2020 tillsynsbegäran mail.docx", "A 57412-2020")</f>
        <v/>
      </c>
      <c r="Z59">
        <f>HYPERLINK("https://klasma.github.io/Logging_1907/fåglar/A 57412-2020 prioriterade fågelarter.docx", "A 57412-2020")</f>
        <v/>
      </c>
    </row>
    <row r="60" ht="15" customHeight="1">
      <c r="A60" t="inlineStr">
        <is>
          <t>A 21825-2021</t>
        </is>
      </c>
      <c r="B60" s="1" t="n">
        <v>44322</v>
      </c>
      <c r="C60" s="1" t="n">
        <v>45851</v>
      </c>
      <c r="D60" t="inlineStr">
        <is>
          <t>VÄSTMANLANDS LÄN</t>
        </is>
      </c>
      <c r="E60" t="inlineStr">
        <is>
          <t>SURAHAMMAR</t>
        </is>
      </c>
      <c r="G60" t="n">
        <v>4.7</v>
      </c>
      <c r="H60" t="n">
        <v>1</v>
      </c>
      <c r="I60" t="n">
        <v>0</v>
      </c>
      <c r="J60" t="n">
        <v>1</v>
      </c>
      <c r="K60" t="n">
        <v>0</v>
      </c>
      <c r="L60" t="n">
        <v>0</v>
      </c>
      <c r="M60" t="n">
        <v>0</v>
      </c>
      <c r="N60" t="n">
        <v>0</v>
      </c>
      <c r="O60" t="n">
        <v>1</v>
      </c>
      <c r="P60" t="n">
        <v>0</v>
      </c>
      <c r="Q60" t="n">
        <v>2</v>
      </c>
      <c r="R60" s="2" t="inlineStr">
        <is>
          <t>Svinrot
Blåsippa</t>
        </is>
      </c>
      <c r="S60">
        <f>HYPERLINK("https://klasma.github.io/Logging_1907/artfynd/A 21825-2021 artfynd.xlsx", "A 21825-2021")</f>
        <v/>
      </c>
      <c r="T60">
        <f>HYPERLINK("https://klasma.github.io/Logging_1907/kartor/A 21825-2021 karta.png", "A 21825-2021")</f>
        <v/>
      </c>
      <c r="V60">
        <f>HYPERLINK("https://klasma.github.io/Logging_1907/klagomål/A 21825-2021 FSC-klagomål.docx", "A 21825-2021")</f>
        <v/>
      </c>
      <c r="W60">
        <f>HYPERLINK("https://klasma.github.io/Logging_1907/klagomålsmail/A 21825-2021 FSC-klagomål mail.docx", "A 21825-2021")</f>
        <v/>
      </c>
      <c r="X60">
        <f>HYPERLINK("https://klasma.github.io/Logging_1907/tillsyn/A 21825-2021 tillsynsbegäran.docx", "A 21825-2021")</f>
        <v/>
      </c>
      <c r="Y60">
        <f>HYPERLINK("https://klasma.github.io/Logging_1907/tillsynsmail/A 21825-2021 tillsynsbegäran mail.docx", "A 21825-2021")</f>
        <v/>
      </c>
    </row>
    <row r="61" ht="15" customHeight="1">
      <c r="A61" t="inlineStr">
        <is>
          <t>A 37801-2021</t>
        </is>
      </c>
      <c r="B61" s="1" t="n">
        <v>44402</v>
      </c>
      <c r="C61" s="1" t="n">
        <v>45851</v>
      </c>
      <c r="D61" t="inlineStr">
        <is>
          <t>VÄSTMANLANDS LÄN</t>
        </is>
      </c>
      <c r="E61" t="inlineStr">
        <is>
          <t>SURAHAMMAR</t>
        </is>
      </c>
      <c r="F61" t="inlineStr">
        <is>
          <t>Kommuner</t>
        </is>
      </c>
      <c r="G61" t="n">
        <v>2.3</v>
      </c>
      <c r="H61" t="n">
        <v>1</v>
      </c>
      <c r="I61" t="n">
        <v>0</v>
      </c>
      <c r="J61" t="n">
        <v>1</v>
      </c>
      <c r="K61" t="n">
        <v>0</v>
      </c>
      <c r="L61" t="n">
        <v>0</v>
      </c>
      <c r="M61" t="n">
        <v>0</v>
      </c>
      <c r="N61" t="n">
        <v>0</v>
      </c>
      <c r="O61" t="n">
        <v>1</v>
      </c>
      <c r="P61" t="n">
        <v>0</v>
      </c>
      <c r="Q61" t="n">
        <v>2</v>
      </c>
      <c r="R61" s="2" t="inlineStr">
        <is>
          <t>Veckticka
Nattviol</t>
        </is>
      </c>
      <c r="S61">
        <f>HYPERLINK("https://klasma.github.io/Logging_1907/artfynd/A 37801-2021 artfynd.xlsx", "A 37801-2021")</f>
        <v/>
      </c>
      <c r="T61">
        <f>HYPERLINK("https://klasma.github.io/Logging_1907/kartor/A 37801-2021 karta.png", "A 37801-2021")</f>
        <v/>
      </c>
      <c r="V61">
        <f>HYPERLINK("https://klasma.github.io/Logging_1907/klagomål/A 37801-2021 FSC-klagomål.docx", "A 37801-2021")</f>
        <v/>
      </c>
      <c r="W61">
        <f>HYPERLINK("https://klasma.github.io/Logging_1907/klagomålsmail/A 37801-2021 FSC-klagomål mail.docx", "A 37801-2021")</f>
        <v/>
      </c>
      <c r="X61">
        <f>HYPERLINK("https://klasma.github.io/Logging_1907/tillsyn/A 37801-2021 tillsynsbegäran.docx", "A 37801-2021")</f>
        <v/>
      </c>
      <c r="Y61">
        <f>HYPERLINK("https://klasma.github.io/Logging_1907/tillsynsmail/A 37801-2021 tillsynsbegäran mail.docx", "A 37801-2021")</f>
        <v/>
      </c>
    </row>
    <row r="62" ht="15" customHeight="1">
      <c r="A62" t="inlineStr">
        <is>
          <t>A 37800-2021</t>
        </is>
      </c>
      <c r="B62" s="1" t="n">
        <v>44402</v>
      </c>
      <c r="C62" s="1" t="n">
        <v>45851</v>
      </c>
      <c r="D62" t="inlineStr">
        <is>
          <t>VÄSTMANLANDS LÄN</t>
        </is>
      </c>
      <c r="E62" t="inlineStr">
        <is>
          <t>SURAHAMMAR</t>
        </is>
      </c>
      <c r="F62" t="inlineStr">
        <is>
          <t>Kommuner</t>
        </is>
      </c>
      <c r="G62" t="n">
        <v>1.3</v>
      </c>
      <c r="H62" t="n">
        <v>1</v>
      </c>
      <c r="I62" t="n">
        <v>0</v>
      </c>
      <c r="J62" t="n">
        <v>1</v>
      </c>
      <c r="K62" t="n">
        <v>0</v>
      </c>
      <c r="L62" t="n">
        <v>0</v>
      </c>
      <c r="M62" t="n">
        <v>0</v>
      </c>
      <c r="N62" t="n">
        <v>0</v>
      </c>
      <c r="O62" t="n">
        <v>1</v>
      </c>
      <c r="P62" t="n">
        <v>0</v>
      </c>
      <c r="Q62" t="n">
        <v>2</v>
      </c>
      <c r="R62" s="2" t="inlineStr">
        <is>
          <t>Svinrot
Grönvit nattviol</t>
        </is>
      </c>
      <c r="S62">
        <f>HYPERLINK("https://klasma.github.io/Logging_1907/artfynd/A 37800-2021 artfynd.xlsx", "A 37800-2021")</f>
        <v/>
      </c>
      <c r="T62">
        <f>HYPERLINK("https://klasma.github.io/Logging_1907/kartor/A 37800-2021 karta.png", "A 37800-2021")</f>
        <v/>
      </c>
      <c r="V62">
        <f>HYPERLINK("https://klasma.github.io/Logging_1907/klagomål/A 37800-2021 FSC-klagomål.docx", "A 37800-2021")</f>
        <v/>
      </c>
      <c r="W62">
        <f>HYPERLINK("https://klasma.github.io/Logging_1907/klagomålsmail/A 37800-2021 FSC-klagomål mail.docx", "A 37800-2021")</f>
        <v/>
      </c>
      <c r="X62">
        <f>HYPERLINK("https://klasma.github.io/Logging_1907/tillsyn/A 37800-2021 tillsynsbegäran.docx", "A 37800-2021")</f>
        <v/>
      </c>
      <c r="Y62">
        <f>HYPERLINK("https://klasma.github.io/Logging_1907/tillsynsmail/A 37800-2021 tillsynsbegäran mail.docx", "A 37800-2021")</f>
        <v/>
      </c>
    </row>
    <row r="63" ht="15" customHeight="1">
      <c r="A63" t="inlineStr">
        <is>
          <t>A 57168-2021</t>
        </is>
      </c>
      <c r="B63" s="1" t="n">
        <v>44482</v>
      </c>
      <c r="C63" s="1" t="n">
        <v>45851</v>
      </c>
      <c r="D63" t="inlineStr">
        <is>
          <t>VÄSTMANLANDS LÄN</t>
        </is>
      </c>
      <c r="E63" t="inlineStr">
        <is>
          <t>SURAHAMMAR</t>
        </is>
      </c>
      <c r="G63" t="n">
        <v>1.7</v>
      </c>
      <c r="H63" t="n">
        <v>0</v>
      </c>
      <c r="I63" t="n">
        <v>0</v>
      </c>
      <c r="J63" t="n">
        <v>1</v>
      </c>
      <c r="K63" t="n">
        <v>0</v>
      </c>
      <c r="L63" t="n">
        <v>1</v>
      </c>
      <c r="M63" t="n">
        <v>0</v>
      </c>
      <c r="N63" t="n">
        <v>0</v>
      </c>
      <c r="O63" t="n">
        <v>2</v>
      </c>
      <c r="P63" t="n">
        <v>1</v>
      </c>
      <c r="Q63" t="n">
        <v>2</v>
      </c>
      <c r="R63" s="2" t="inlineStr">
        <is>
          <t>Ask
Svartöra</t>
        </is>
      </c>
      <c r="S63">
        <f>HYPERLINK("https://klasma.github.io/Logging_1907/artfynd/A 57168-2021 artfynd.xlsx", "A 57168-2021")</f>
        <v/>
      </c>
      <c r="T63">
        <f>HYPERLINK("https://klasma.github.io/Logging_1907/kartor/A 57168-2021 karta.png", "A 57168-2021")</f>
        <v/>
      </c>
      <c r="V63">
        <f>HYPERLINK("https://klasma.github.io/Logging_1907/klagomål/A 57168-2021 FSC-klagomål.docx", "A 57168-2021")</f>
        <v/>
      </c>
      <c r="W63">
        <f>HYPERLINK("https://klasma.github.io/Logging_1907/klagomålsmail/A 57168-2021 FSC-klagomål mail.docx", "A 57168-2021")</f>
        <v/>
      </c>
      <c r="X63">
        <f>HYPERLINK("https://klasma.github.io/Logging_1907/tillsyn/A 57168-2021 tillsynsbegäran.docx", "A 57168-2021")</f>
        <v/>
      </c>
      <c r="Y63">
        <f>HYPERLINK("https://klasma.github.io/Logging_1907/tillsynsmail/A 57168-2021 tillsynsbegäran mail.docx", "A 57168-2021")</f>
        <v/>
      </c>
    </row>
    <row r="64" ht="15" customHeight="1">
      <c r="A64" t="inlineStr">
        <is>
          <t>A 66343-2021</t>
        </is>
      </c>
      <c r="B64" s="1" t="n">
        <v>44518</v>
      </c>
      <c r="C64" s="1" t="n">
        <v>45851</v>
      </c>
      <c r="D64" t="inlineStr">
        <is>
          <t>VÄSTMANLANDS LÄN</t>
        </is>
      </c>
      <c r="E64" t="inlineStr">
        <is>
          <t>SURAHAMMAR</t>
        </is>
      </c>
      <c r="F64" t="inlineStr">
        <is>
          <t>Sveaskog</t>
        </is>
      </c>
      <c r="G64" t="n">
        <v>2.5</v>
      </c>
      <c r="H64" t="n">
        <v>0</v>
      </c>
      <c r="I64" t="n">
        <v>1</v>
      </c>
      <c r="J64" t="n">
        <v>0</v>
      </c>
      <c r="K64" t="n">
        <v>1</v>
      </c>
      <c r="L64" t="n">
        <v>0</v>
      </c>
      <c r="M64" t="n">
        <v>0</v>
      </c>
      <c r="N64" t="n">
        <v>0</v>
      </c>
      <c r="O64" t="n">
        <v>1</v>
      </c>
      <c r="P64" t="n">
        <v>1</v>
      </c>
      <c r="Q64" t="n">
        <v>2</v>
      </c>
      <c r="R64" s="2" t="inlineStr">
        <is>
          <t>Torrmusseron
Blåmossa</t>
        </is>
      </c>
      <c r="S64">
        <f>HYPERLINK("https://klasma.github.io/Logging_1907/artfynd/A 66343-2021 artfynd.xlsx", "A 66343-2021")</f>
        <v/>
      </c>
      <c r="T64">
        <f>HYPERLINK("https://klasma.github.io/Logging_1907/kartor/A 66343-2021 karta.png", "A 66343-2021")</f>
        <v/>
      </c>
      <c r="V64">
        <f>HYPERLINK("https://klasma.github.io/Logging_1907/klagomål/A 66343-2021 FSC-klagomål.docx", "A 66343-2021")</f>
        <v/>
      </c>
      <c r="W64">
        <f>HYPERLINK("https://klasma.github.io/Logging_1907/klagomålsmail/A 66343-2021 FSC-klagomål mail.docx", "A 66343-2021")</f>
        <v/>
      </c>
      <c r="X64">
        <f>HYPERLINK("https://klasma.github.io/Logging_1907/tillsyn/A 66343-2021 tillsynsbegäran.docx", "A 66343-2021")</f>
        <v/>
      </c>
      <c r="Y64">
        <f>HYPERLINK("https://klasma.github.io/Logging_1907/tillsynsmail/A 66343-2021 tillsynsbegäran mail.docx", "A 66343-2021")</f>
        <v/>
      </c>
    </row>
    <row r="65" ht="15" customHeight="1">
      <c r="A65" t="inlineStr">
        <is>
          <t>A 7845-2022</t>
        </is>
      </c>
      <c r="B65" s="1" t="n">
        <v>44608</v>
      </c>
      <c r="C65" s="1" t="n">
        <v>45851</v>
      </c>
      <c r="D65" t="inlineStr">
        <is>
          <t>VÄSTMANLANDS LÄN</t>
        </is>
      </c>
      <c r="E65" t="inlineStr">
        <is>
          <t>SURAHAMMAR</t>
        </is>
      </c>
      <c r="G65" t="n">
        <v>3</v>
      </c>
      <c r="H65" t="n">
        <v>1</v>
      </c>
      <c r="I65" t="n">
        <v>1</v>
      </c>
      <c r="J65" t="n">
        <v>0</v>
      </c>
      <c r="K65" t="n">
        <v>1</v>
      </c>
      <c r="L65" t="n">
        <v>0</v>
      </c>
      <c r="M65" t="n">
        <v>0</v>
      </c>
      <c r="N65" t="n">
        <v>0</v>
      </c>
      <c r="O65" t="n">
        <v>1</v>
      </c>
      <c r="P65" t="n">
        <v>1</v>
      </c>
      <c r="Q65" t="n">
        <v>2</v>
      </c>
      <c r="R65" s="2" t="inlineStr">
        <is>
          <t>Knärot
Vedticka</t>
        </is>
      </c>
      <c r="S65">
        <f>HYPERLINK("https://klasma.github.io/Logging_1907/artfynd/A 7845-2022 artfynd.xlsx", "A 7845-2022")</f>
        <v/>
      </c>
      <c r="T65">
        <f>HYPERLINK("https://klasma.github.io/Logging_1907/kartor/A 7845-2022 karta.png", "A 7845-2022")</f>
        <v/>
      </c>
      <c r="U65">
        <f>HYPERLINK("https://klasma.github.io/Logging_1907/knärot/A 7845-2022 karta knärot.png", "A 7845-2022")</f>
        <v/>
      </c>
      <c r="V65">
        <f>HYPERLINK("https://klasma.github.io/Logging_1907/klagomål/A 7845-2022 FSC-klagomål.docx", "A 7845-2022")</f>
        <v/>
      </c>
      <c r="W65">
        <f>HYPERLINK("https://klasma.github.io/Logging_1907/klagomålsmail/A 7845-2022 FSC-klagomål mail.docx", "A 7845-2022")</f>
        <v/>
      </c>
      <c r="X65">
        <f>HYPERLINK("https://klasma.github.io/Logging_1907/tillsyn/A 7845-2022 tillsynsbegäran.docx", "A 7845-2022")</f>
        <v/>
      </c>
      <c r="Y65">
        <f>HYPERLINK("https://klasma.github.io/Logging_1907/tillsynsmail/A 7845-2022 tillsynsbegäran mail.docx", "A 7845-2022")</f>
        <v/>
      </c>
    </row>
    <row r="66" ht="15" customHeight="1">
      <c r="A66" t="inlineStr">
        <is>
          <t>A 16217-2023</t>
        </is>
      </c>
      <c r="B66" s="1" t="n">
        <v>45022</v>
      </c>
      <c r="C66" s="1" t="n">
        <v>45851</v>
      </c>
      <c r="D66" t="inlineStr">
        <is>
          <t>VÄSTMANLANDS LÄN</t>
        </is>
      </c>
      <c r="E66" t="inlineStr">
        <is>
          <t>SURAHAMMAR</t>
        </is>
      </c>
      <c r="G66" t="n">
        <v>2.6</v>
      </c>
      <c r="H66" t="n">
        <v>1</v>
      </c>
      <c r="I66" t="n">
        <v>1</v>
      </c>
      <c r="J66" t="n">
        <v>1</v>
      </c>
      <c r="K66" t="n">
        <v>0</v>
      </c>
      <c r="L66" t="n">
        <v>0</v>
      </c>
      <c r="M66" t="n">
        <v>0</v>
      </c>
      <c r="N66" t="n">
        <v>0</v>
      </c>
      <c r="O66" t="n">
        <v>1</v>
      </c>
      <c r="P66" t="n">
        <v>0</v>
      </c>
      <c r="Q66" t="n">
        <v>2</v>
      </c>
      <c r="R66" s="2" t="inlineStr">
        <is>
          <t>Tretåig hackspett
Gullgröppa</t>
        </is>
      </c>
      <c r="S66">
        <f>HYPERLINK("https://klasma.github.io/Logging_1907/artfynd/A 16217-2023 artfynd.xlsx", "A 16217-2023")</f>
        <v/>
      </c>
      <c r="T66">
        <f>HYPERLINK("https://klasma.github.io/Logging_1907/kartor/A 16217-2023 karta.png", "A 16217-2023")</f>
        <v/>
      </c>
      <c r="V66">
        <f>HYPERLINK("https://klasma.github.io/Logging_1907/klagomål/A 16217-2023 FSC-klagomål.docx", "A 16217-2023")</f>
        <v/>
      </c>
      <c r="W66">
        <f>HYPERLINK("https://klasma.github.io/Logging_1907/klagomålsmail/A 16217-2023 FSC-klagomål mail.docx", "A 16217-2023")</f>
        <v/>
      </c>
      <c r="X66">
        <f>HYPERLINK("https://klasma.github.io/Logging_1907/tillsyn/A 16217-2023 tillsynsbegäran.docx", "A 16217-2023")</f>
        <v/>
      </c>
      <c r="Y66">
        <f>HYPERLINK("https://klasma.github.io/Logging_1907/tillsynsmail/A 16217-2023 tillsynsbegäran mail.docx", "A 16217-2023")</f>
        <v/>
      </c>
      <c r="Z66">
        <f>HYPERLINK("https://klasma.github.io/Logging_1907/fåglar/A 16217-2023 prioriterade fågelarter.docx", "A 16217-2023")</f>
        <v/>
      </c>
    </row>
    <row r="67" ht="15" customHeight="1">
      <c r="A67" t="inlineStr">
        <is>
          <t>A 41204-2023</t>
        </is>
      </c>
      <c r="B67" s="1" t="n">
        <v>45174</v>
      </c>
      <c r="C67" s="1" t="n">
        <v>45851</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45851</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45851</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45851</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45851</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45851</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45851</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45851</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45851</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45851</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45851</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45851</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45851</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45851</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45851</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45851</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45851</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45851</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45851</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45851</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45851</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45851</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45851</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45851</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45851</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45851</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45851</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45851</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45851</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45851</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45851</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45851</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45851</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45851</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45851</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45851</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45851</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45851</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45851</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45851</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45851</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45851</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45851</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45851</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45851</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45851</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45851</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45851</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45851</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45851</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45851</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45851</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45851</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45851</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45851</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45851</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45851</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45851</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45851</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45851</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45851</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45851</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45851</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45851</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45851</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45851</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45851</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45851</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45851</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45851</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45851</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45851</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45851</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45851</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45851</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45851</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45851</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45851</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45851</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45851</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45851</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45851</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45851</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45851</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45851</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45851</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45851</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45851</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45851</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45851</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45851</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45851</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45851</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45851</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45851</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45851</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45851</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45851</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45851</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45851</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45851</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45851</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45851</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45851</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45851</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45851</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45851</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45851</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45851</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45851</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45851</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45851</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45851</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45851</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45851</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45851</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45851</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45851</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45851</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45851</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45851</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45851</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45851</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45851</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45851</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45851</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45851</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45851</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45851</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45851</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45851</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45851</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45851</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45851</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45851</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45851</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45851</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45851</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45851</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45851</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45851</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45851</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45851</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45851</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45851</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45851</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45851</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45851</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45851</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45851</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45851</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45851</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45851</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45851</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45851</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45851</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45851</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45851</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45851</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45851</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45851</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45851</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45851</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45851</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45851</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45851</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45851</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45851</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45851</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45851</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45851</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45851</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45851</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45851</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45851</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45851</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45851</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45851</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45851</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45851</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45851</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45851</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45851</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45851</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45851</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45851</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45851</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45851</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45851</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45851</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45851</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45851</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45851</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45851</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45851</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45851</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45851</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45851</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45851</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45851</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45851</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45851</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45851</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45851</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45851</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45851</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45851</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45851</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45851</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45851</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45851</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45851</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45851</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45851</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45851</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45851</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45851</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45851</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45851</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45851</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45851</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45851</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45851</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45851</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45851</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45851</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45851</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45851</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45851</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45851</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45851</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45851</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45851</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45851</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45851</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45851</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45851</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45851</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ht="15" customHeight="1">
      <c r="A305" t="inlineStr">
        <is>
          <t>A 17303-2025</t>
        </is>
      </c>
      <c r="B305" s="1" t="n">
        <v>45756</v>
      </c>
      <c r="C305" s="1" t="n">
        <v>45851</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row r="306" ht="15" customHeight="1">
      <c r="A306" t="inlineStr">
        <is>
          <t>A 34582-2025</t>
        </is>
      </c>
      <c r="B306" s="1" t="n">
        <v>45846</v>
      </c>
      <c r="C306" s="1" t="n">
        <v>45851</v>
      </c>
      <c r="D306" t="inlineStr">
        <is>
          <t>VÄSTMANLANDS LÄN</t>
        </is>
      </c>
      <c r="E306" t="inlineStr">
        <is>
          <t>SURAHAMMAR</t>
        </is>
      </c>
      <c r="F306" t="inlineStr">
        <is>
          <t>Bergvik skog väst AB</t>
        </is>
      </c>
      <c r="G306" t="n">
        <v>2.6</v>
      </c>
      <c r="H306" t="n">
        <v>0</v>
      </c>
      <c r="I306" t="n">
        <v>0</v>
      </c>
      <c r="J306" t="n">
        <v>0</v>
      </c>
      <c r="K306" t="n">
        <v>0</v>
      </c>
      <c r="L306" t="n">
        <v>0</v>
      </c>
      <c r="M306" t="n">
        <v>0</v>
      </c>
      <c r="N306" t="n">
        <v>0</v>
      </c>
      <c r="O306" t="n">
        <v>0</v>
      </c>
      <c r="P306" t="n">
        <v>0</v>
      </c>
      <c r="Q306" t="n">
        <v>0</v>
      </c>
      <c r="R306" s="2" t="inlineStr"/>
    </row>
    <row r="307">
      <c r="A307" t="inlineStr">
        <is>
          <t>A 34584-2025</t>
        </is>
      </c>
      <c r="B307" s="1" t="n">
        <v>45846</v>
      </c>
      <c r="C307" s="1" t="n">
        <v>45851</v>
      </c>
      <c r="D307" t="inlineStr">
        <is>
          <t>VÄSTMANLANDS LÄN</t>
        </is>
      </c>
      <c r="E307" t="inlineStr">
        <is>
          <t>SURAHAMMAR</t>
        </is>
      </c>
      <c r="F307" t="inlineStr">
        <is>
          <t>Bergvik skog väst AB</t>
        </is>
      </c>
      <c r="G307" t="n">
        <v>2.7</v>
      </c>
      <c r="H307" t="n">
        <v>0</v>
      </c>
      <c r="I307" t="n">
        <v>0</v>
      </c>
      <c r="J307" t="n">
        <v>0</v>
      </c>
      <c r="K307" t="n">
        <v>0</v>
      </c>
      <c r="L307" t="n">
        <v>0</v>
      </c>
      <c r="M307" t="n">
        <v>0</v>
      </c>
      <c r="N307" t="n">
        <v>0</v>
      </c>
      <c r="O307" t="n">
        <v>0</v>
      </c>
      <c r="P307" t="n">
        <v>0</v>
      </c>
      <c r="Q307" t="n">
        <v>0</v>
      </c>
      <c r="R3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2025-07-13T19:42:03Z</dcterms:created>
  <dcterms:modified xmlns:dcterms="http://purl.org/dc/terms/" xmlns:xsi="http://www.w3.org/2001/XMLSchema-instance" xsi:type="dcterms:W3CDTF">2025-07-13T19:42:03Z</dcterms:modified>
</cp:coreProperties>
</file>