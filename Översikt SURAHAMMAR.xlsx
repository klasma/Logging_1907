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46161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46161</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46161</v>
      </c>
      <c r="D4" t="inlineStr">
        <is>
          <t>VÄSTMANLANDS LÄN</t>
        </is>
      </c>
      <c r="E4" t="inlineStr">
        <is>
          <t>SURAHAMMAR</t>
        </is>
      </c>
      <c r="F4" t="inlineStr">
        <is>
          <t>Bergvik skog väst AB</t>
        </is>
      </c>
      <c r="G4" t="n">
        <v>25.7</v>
      </c>
      <c r="H4" t="n">
        <v>20</v>
      </c>
      <c r="I4" t="n">
        <v>7</v>
      </c>
      <c r="J4" t="n">
        <v>6</v>
      </c>
      <c r="K4" t="n">
        <v>1</v>
      </c>
      <c r="L4" t="n">
        <v>1</v>
      </c>
      <c r="M4" t="n">
        <v>0</v>
      </c>
      <c r="N4" t="n">
        <v>0</v>
      </c>
      <c r="O4" t="n">
        <v>8</v>
      </c>
      <c r="P4" t="n">
        <v>2</v>
      </c>
      <c r="Q4" t="n">
        <v>29</v>
      </c>
      <c r="R4" s="2" t="inlineStr">
        <is>
          <t>Grönfink
Knärot
Järpe
Motaggsvamp
Skogshare
Slaguggla
Spillkråka
Talltita
Dropptaggsvamp
Fjällig taggsvamp s.str.
Gulgrön kantmusseron
Mindre märgborre
Skarp dropptaggsvamp
Smal svampklubba
Vedticka
Bivråk
Gråspett
Gröngöling
Järnsparv
Kungsfågel
Orre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46161</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46161</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(aggregat)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21560-2025</t>
        </is>
      </c>
      <c r="B7" s="1" t="n">
        <v>45782</v>
      </c>
      <c r="C7" s="1" t="n">
        <v>46161</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46161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46161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46161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46161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46161</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46161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46161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46161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46161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46161</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46161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39594-2025</t>
        </is>
      </c>
      <c r="B19" s="1" t="n">
        <v>45890</v>
      </c>
      <c r="C19" s="1" t="n">
        <v>46161</v>
      </c>
      <c r="D19" t="inlineStr">
        <is>
          <t>VÄSTMANLANDS LÄN</t>
        </is>
      </c>
      <c r="E19" t="inlineStr">
        <is>
          <t>SURAHAMMAR</t>
        </is>
      </c>
      <c r="F19" t="inlineStr">
        <is>
          <t>Bergvik skog väst AB</t>
        </is>
      </c>
      <c r="G19" t="n">
        <v>7</v>
      </c>
      <c r="H19" t="n">
        <v>1</v>
      </c>
      <c r="I19" t="n">
        <v>4</v>
      </c>
      <c r="J19" t="n">
        <v>2</v>
      </c>
      <c r="K19" t="n">
        <v>0</v>
      </c>
      <c r="L19" t="n">
        <v>0</v>
      </c>
      <c r="M19" t="n">
        <v>0</v>
      </c>
      <c r="N19" t="n">
        <v>0</v>
      </c>
      <c r="O19" t="n">
        <v>2</v>
      </c>
      <c r="P19" t="n">
        <v>0</v>
      </c>
      <c r="Q19" t="n">
        <v>6</v>
      </c>
      <c r="R19" s="2" t="inlineStr">
        <is>
          <t>Gropticka
Talltita
Bronshjon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7791-2024</t>
        </is>
      </c>
      <c r="B20" s="1" t="n">
        <v>45348</v>
      </c>
      <c r="C20" s="1" t="n">
        <v>46161</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46161</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46161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46161</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46161</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46161</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65024-2023</t>
        </is>
      </c>
      <c r="B26" s="1" t="n">
        <v>45282</v>
      </c>
      <c r="C26" s="1" t="n">
        <v>46161</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46161</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42853-2022</t>
        </is>
      </c>
      <c r="B28" s="1" t="n">
        <v>44832</v>
      </c>
      <c r="C28" s="1" t="n">
        <v>46161</v>
      </c>
      <c r="D28" t="inlineStr">
        <is>
          <t>VÄSTMANLANDS LÄN</t>
        </is>
      </c>
      <c r="E28" t="inlineStr">
        <is>
          <t>SURAHAMMAR</t>
        </is>
      </c>
      <c r="G28" t="n">
        <v>7.4</v>
      </c>
      <c r="H28" t="n">
        <v>2</v>
      </c>
      <c r="I28" t="n">
        <v>1</v>
      </c>
      <c r="J28" t="n">
        <v>2</v>
      </c>
      <c r="K28" t="n">
        <v>0</v>
      </c>
      <c r="L28" t="n">
        <v>1</v>
      </c>
      <c r="M28" t="n">
        <v>0</v>
      </c>
      <c r="N28" t="n">
        <v>0</v>
      </c>
      <c r="O28" t="n">
        <v>3</v>
      </c>
      <c r="P28" t="n">
        <v>1</v>
      </c>
      <c r="Q28" t="n">
        <v>4</v>
      </c>
      <c r="R28" s="2" t="inlineStr">
        <is>
          <t>Ask
Kandelabersvamp
Mindre hackspett
Tvåblad</t>
        </is>
      </c>
      <c r="S28">
        <f>HYPERLINK("https://klasma.github.io/Logging_1907/artfynd/A 42853-2022 artfynd.xlsx", "A 42853-2022")</f>
        <v/>
      </c>
      <c r="T28">
        <f>HYPERLINK("https://klasma.github.io/Logging_1907/kartor/A 42853-2022 karta.png", "A 42853-2022")</f>
        <v/>
      </c>
      <c r="V28">
        <f>HYPERLINK("https://klasma.github.io/Logging_1907/klagomål/A 42853-2022 FSC-klagomål.docx", "A 42853-2022")</f>
        <v/>
      </c>
      <c r="W28">
        <f>HYPERLINK("https://klasma.github.io/Logging_1907/klagomålsmail/A 42853-2022 FSC-klagomål mail.docx", "A 42853-2022")</f>
        <v/>
      </c>
      <c r="X28">
        <f>HYPERLINK("https://klasma.github.io/Logging_1907/tillsyn/A 42853-2022 tillsynsbegäran.docx", "A 42853-2022")</f>
        <v/>
      </c>
      <c r="Y28">
        <f>HYPERLINK("https://klasma.github.io/Logging_1907/tillsynsmail/A 42853-2022 tillsynsbegäran mail.docx", "A 42853-2022")</f>
        <v/>
      </c>
      <c r="Z28">
        <f>HYPERLINK("https://klasma.github.io/Logging_1907/fåglar/A 42853-2022 prioriterade fågelarter.docx", "A 42853-2022")</f>
        <v/>
      </c>
    </row>
    <row r="29" ht="15" customHeight="1">
      <c r="A29" t="inlineStr">
        <is>
          <t>A 10236-2026</t>
        </is>
      </c>
      <c r="B29" s="1" t="n">
        <v>46076.54277777778</v>
      </c>
      <c r="C29" s="1" t="n">
        <v>46161</v>
      </c>
      <c r="D29" t="inlineStr">
        <is>
          <t>VÄSTMANLANDS LÄN</t>
        </is>
      </c>
      <c r="E29" t="inlineStr">
        <is>
          <t>SURAHAMMAR</t>
        </is>
      </c>
      <c r="F29" t="inlineStr">
        <is>
          <t>Allmännings- och besparingsskogar</t>
        </is>
      </c>
      <c r="G29" t="n">
        <v>2.8</v>
      </c>
      <c r="H29" t="n">
        <v>2</v>
      </c>
      <c r="I29" t="n">
        <v>1</v>
      </c>
      <c r="J29" t="n">
        <v>0</v>
      </c>
      <c r="K29" t="n">
        <v>1</v>
      </c>
      <c r="L29" t="n">
        <v>0</v>
      </c>
      <c r="M29" t="n">
        <v>0</v>
      </c>
      <c r="N29" t="n">
        <v>0</v>
      </c>
      <c r="O29" t="n">
        <v>1</v>
      </c>
      <c r="P29" t="n">
        <v>1</v>
      </c>
      <c r="Q29" t="n">
        <v>4</v>
      </c>
      <c r="R29" s="2" t="inlineStr">
        <is>
          <t>Vågticka
Brandticka
Lopplummer (aggregat)
Revlummer</t>
        </is>
      </c>
      <c r="S29">
        <f>HYPERLINK("https://klasma.github.io/Logging_1907/artfynd/A 10236-2026 artfynd.xlsx", "A 10236-2026")</f>
        <v/>
      </c>
      <c r="T29">
        <f>HYPERLINK("https://klasma.github.io/Logging_1907/kartor/A 10236-2026 karta.png", "A 10236-2026")</f>
        <v/>
      </c>
      <c r="V29">
        <f>HYPERLINK("https://klasma.github.io/Logging_1907/klagomål/A 10236-2026 FSC-klagomål.docx", "A 10236-2026")</f>
        <v/>
      </c>
      <c r="W29">
        <f>HYPERLINK("https://klasma.github.io/Logging_1907/klagomålsmail/A 10236-2026 FSC-klagomål mail.docx", "A 10236-2026")</f>
        <v/>
      </c>
      <c r="X29">
        <f>HYPERLINK("https://klasma.github.io/Logging_1907/tillsyn/A 10236-2026 tillsynsbegäran.docx", "A 10236-2026")</f>
        <v/>
      </c>
      <c r="Y29">
        <f>HYPERLINK("https://klasma.github.io/Logging_1907/tillsynsmail/A 10236-2026 tillsynsbegäran mail.docx", "A 10236-2026")</f>
        <v/>
      </c>
    </row>
    <row r="30" ht="15" customHeight="1">
      <c r="A30" t="inlineStr">
        <is>
          <t>A 48128-2023</t>
        </is>
      </c>
      <c r="B30" s="1" t="n">
        <v>45205</v>
      </c>
      <c r="C30" s="1" t="n">
        <v>46161</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46161</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8552-2022</t>
        </is>
      </c>
      <c r="B32" s="1" t="n">
        <v>44613</v>
      </c>
      <c r="C32" s="1" t="n">
        <v>46161</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39694-2025</t>
        </is>
      </c>
      <c r="B33" s="1" t="n">
        <v>45890</v>
      </c>
      <c r="C33" s="1" t="n">
        <v>46161</v>
      </c>
      <c r="D33" t="inlineStr">
        <is>
          <t>VÄSTMANLANDS LÄN</t>
        </is>
      </c>
      <c r="E33" t="inlineStr">
        <is>
          <t>SURAHAMMAR</t>
        </is>
      </c>
      <c r="F33" t="inlineStr">
        <is>
          <t>Bergvik skog väst AB</t>
        </is>
      </c>
      <c r="G33" t="n">
        <v>2.9</v>
      </c>
      <c r="H33" t="n">
        <v>1</v>
      </c>
      <c r="I33" t="n">
        <v>1</v>
      </c>
      <c r="J33" t="n">
        <v>1</v>
      </c>
      <c r="K33" t="n">
        <v>0</v>
      </c>
      <c r="L33" t="n">
        <v>0</v>
      </c>
      <c r="M33" t="n">
        <v>0</v>
      </c>
      <c r="N33" t="n">
        <v>0</v>
      </c>
      <c r="O33" t="n">
        <v>1</v>
      </c>
      <c r="P33" t="n">
        <v>0</v>
      </c>
      <c r="Q33" t="n">
        <v>3</v>
      </c>
      <c r="R33" s="2" t="inlineStr">
        <is>
          <t>Motaggsvamp
Mindre märgborre
Tjäder</t>
        </is>
      </c>
      <c r="S33">
        <f>HYPERLINK("https://klasma.github.io/Logging_1907/artfynd/A 39694-2025 artfynd.xlsx", "A 39694-2025")</f>
        <v/>
      </c>
      <c r="T33">
        <f>HYPERLINK("https://klasma.github.io/Logging_1907/kartor/A 39694-2025 karta.png", "A 39694-2025")</f>
        <v/>
      </c>
      <c r="V33">
        <f>HYPERLINK("https://klasma.github.io/Logging_1907/klagomål/A 39694-2025 FSC-klagomål.docx", "A 39694-2025")</f>
        <v/>
      </c>
      <c r="W33">
        <f>HYPERLINK("https://klasma.github.io/Logging_1907/klagomålsmail/A 39694-2025 FSC-klagomål mail.docx", "A 39694-2025")</f>
        <v/>
      </c>
      <c r="X33">
        <f>HYPERLINK("https://klasma.github.io/Logging_1907/tillsyn/A 39694-2025 tillsynsbegäran.docx", "A 39694-2025")</f>
        <v/>
      </c>
      <c r="Y33">
        <f>HYPERLINK("https://klasma.github.io/Logging_1907/tillsynsmail/A 39694-2025 tillsynsbegäran mail.docx", "A 39694-2025")</f>
        <v/>
      </c>
      <c r="Z33">
        <f>HYPERLINK("https://klasma.github.io/Logging_1907/fåglar/A 39694-2025 prioriterade fågelarter.docx", "A 39694-2025")</f>
        <v/>
      </c>
    </row>
    <row r="34" ht="15" customHeight="1">
      <c r="A34" t="inlineStr">
        <is>
          <t>A 42708-2022</t>
        </is>
      </c>
      <c r="B34" s="1" t="n">
        <v>44832</v>
      </c>
      <c r="C34" s="1" t="n">
        <v>46161</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29707-2025</t>
        </is>
      </c>
      <c r="B35" s="1" t="n">
        <v>45825.56100694444</v>
      </c>
      <c r="C35" s="1" t="n">
        <v>46161</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49718-2023</t>
        </is>
      </c>
      <c r="B36" s="1" t="n">
        <v>45212</v>
      </c>
      <c r="C36" s="1" t="n">
        <v>46161</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20391-2024</t>
        </is>
      </c>
      <c r="B37" s="1" t="n">
        <v>45435</v>
      </c>
      <c r="C37" s="1" t="n">
        <v>46161</v>
      </c>
      <c r="D37" t="inlineStr">
        <is>
          <t>VÄSTMANLANDS LÄN</t>
        </is>
      </c>
      <c r="E37" t="inlineStr">
        <is>
          <t>SURAHAMMAR</t>
        </is>
      </c>
      <c r="G37" t="n">
        <v>1.5</v>
      </c>
      <c r="H37" t="n">
        <v>0</v>
      </c>
      <c r="I37" t="n">
        <v>2</v>
      </c>
      <c r="J37" t="n">
        <v>1</v>
      </c>
      <c r="K37" t="n">
        <v>0</v>
      </c>
      <c r="L37" t="n">
        <v>0</v>
      </c>
      <c r="M37" t="n">
        <v>0</v>
      </c>
      <c r="N37" t="n">
        <v>0</v>
      </c>
      <c r="O37" t="n">
        <v>1</v>
      </c>
      <c r="P37" t="n">
        <v>0</v>
      </c>
      <c r="Q37" t="n">
        <v>3</v>
      </c>
      <c r="R37" s="2" t="inlineStr">
        <is>
          <t>Vedtrappmossa
Kattfotslav
Stubbspretmossa</t>
        </is>
      </c>
      <c r="S37">
        <f>HYPERLINK("https://klasma.github.io/Logging_1907/artfynd/A 20391-2024 artfynd.xlsx", "A 20391-2024")</f>
        <v/>
      </c>
      <c r="T37">
        <f>HYPERLINK("https://klasma.github.io/Logging_1907/kartor/A 20391-2024 karta.png", "A 20391-2024")</f>
        <v/>
      </c>
      <c r="V37">
        <f>HYPERLINK("https://klasma.github.io/Logging_1907/klagomål/A 20391-2024 FSC-klagomål.docx", "A 20391-2024")</f>
        <v/>
      </c>
      <c r="W37">
        <f>HYPERLINK("https://klasma.github.io/Logging_1907/klagomålsmail/A 20391-2024 FSC-klagomål mail.docx", "A 20391-2024")</f>
        <v/>
      </c>
      <c r="X37">
        <f>HYPERLINK("https://klasma.github.io/Logging_1907/tillsyn/A 20391-2024 tillsynsbegäran.docx", "A 20391-2024")</f>
        <v/>
      </c>
      <c r="Y37">
        <f>HYPERLINK("https://klasma.github.io/Logging_1907/tillsynsmail/A 20391-2024 tillsynsbegäran mail.docx", "A 20391-2024")</f>
        <v/>
      </c>
    </row>
    <row r="38" ht="15" customHeight="1">
      <c r="A38" t="inlineStr">
        <is>
          <t>A 4082-2025</t>
        </is>
      </c>
      <c r="B38" s="1" t="n">
        <v>45684</v>
      </c>
      <c r="C38" s="1" t="n">
        <v>46161</v>
      </c>
      <c r="D38" t="inlineStr">
        <is>
          <t>VÄSTMANLANDS LÄN</t>
        </is>
      </c>
      <c r="E38" t="inlineStr">
        <is>
          <t>SURAHAMMAR</t>
        </is>
      </c>
      <c r="F38" t="inlineStr">
        <is>
          <t>Bergvik skog väst AB</t>
        </is>
      </c>
      <c r="G38" t="n">
        <v>11.6</v>
      </c>
      <c r="H38" t="n">
        <v>2</v>
      </c>
      <c r="I38" t="n">
        <v>2</v>
      </c>
      <c r="J38" t="n">
        <v>0</v>
      </c>
      <c r="K38" t="n">
        <v>0</v>
      </c>
      <c r="L38" t="n">
        <v>0</v>
      </c>
      <c r="M38" t="n">
        <v>0</v>
      </c>
      <c r="N38" t="n">
        <v>0</v>
      </c>
      <c r="O38" t="n">
        <v>0</v>
      </c>
      <c r="P38" t="n">
        <v>0</v>
      </c>
      <c r="Q38" t="n">
        <v>3</v>
      </c>
      <c r="R38" s="2" t="inlineStr">
        <is>
          <t>Grönpyrola
Plattlummer
Lopplummer (aggregat)</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38200-2021</t>
        </is>
      </c>
      <c r="B39" s="1" t="n">
        <v>44405</v>
      </c>
      <c r="C39" s="1" t="n">
        <v>46161</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37801-2021</t>
        </is>
      </c>
      <c r="B40" s="1" t="n">
        <v>44402</v>
      </c>
      <c r="C40" s="1" t="n">
        <v>46161</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46161</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21618-2025</t>
        </is>
      </c>
      <c r="B42" s="1" t="n">
        <v>45783</v>
      </c>
      <c r="C42" s="1" t="n">
        <v>46161</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40403-2025</t>
        </is>
      </c>
      <c r="B43" s="1" t="n">
        <v>45895</v>
      </c>
      <c r="C43" s="1" t="n">
        <v>46161</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41576-2022</t>
        </is>
      </c>
      <c r="B44" s="1" t="n">
        <v>44826</v>
      </c>
      <c r="C44" s="1" t="n">
        <v>46161</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62097-2024</t>
        </is>
      </c>
      <c r="B45" s="1" t="n">
        <v>45646</v>
      </c>
      <c r="C45" s="1" t="n">
        <v>46161</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63146-2025</t>
        </is>
      </c>
      <c r="B46" s="1" t="n">
        <v>46009</v>
      </c>
      <c r="C46" s="1" t="n">
        <v>46161</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37800-2021</t>
        </is>
      </c>
      <c r="B47" s="1" t="n">
        <v>44402</v>
      </c>
      <c r="C47" s="1" t="n">
        <v>46161</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41204-2023</t>
        </is>
      </c>
      <c r="B48" s="1" t="n">
        <v>45174</v>
      </c>
      <c r="C48" s="1" t="n">
        <v>46161</v>
      </c>
      <c r="D48" t="inlineStr">
        <is>
          <t>VÄSTMANLANDS LÄN</t>
        </is>
      </c>
      <c r="E48" t="inlineStr">
        <is>
          <t>SURAHAMMAR</t>
        </is>
      </c>
      <c r="G48" t="n">
        <v>1</v>
      </c>
      <c r="H48" t="n">
        <v>1</v>
      </c>
      <c r="I48" t="n">
        <v>0</v>
      </c>
      <c r="J48" t="n">
        <v>1</v>
      </c>
      <c r="K48" t="n">
        <v>1</v>
      </c>
      <c r="L48" t="n">
        <v>0</v>
      </c>
      <c r="M48" t="n">
        <v>0</v>
      </c>
      <c r="N48" t="n">
        <v>0</v>
      </c>
      <c r="O48" t="n">
        <v>2</v>
      </c>
      <c r="P48" t="n">
        <v>1</v>
      </c>
      <c r="Q48" t="n">
        <v>2</v>
      </c>
      <c r="R48" s="2" t="inlineStr">
        <is>
          <t>Knärot
Vedtrappmossa</t>
        </is>
      </c>
      <c r="S48">
        <f>HYPERLINK("https://klasma.github.io/Logging_1907/artfynd/A 41204-2023 artfynd.xlsx", "A 41204-2023")</f>
        <v/>
      </c>
      <c r="T48">
        <f>HYPERLINK("https://klasma.github.io/Logging_1907/kartor/A 41204-2023 karta.png", "A 41204-2023")</f>
        <v/>
      </c>
      <c r="U48">
        <f>HYPERLINK("https://klasma.github.io/Logging_1907/knärot/A 41204-2023 karta knärot.png", "A 41204-2023")</f>
        <v/>
      </c>
      <c r="V48">
        <f>HYPERLINK("https://klasma.github.io/Logging_1907/klagomål/A 41204-2023 FSC-klagomål.docx", "A 41204-2023")</f>
        <v/>
      </c>
      <c r="W48">
        <f>HYPERLINK("https://klasma.github.io/Logging_1907/klagomålsmail/A 41204-2023 FSC-klagomål mail.docx", "A 41204-2023")</f>
        <v/>
      </c>
      <c r="X48">
        <f>HYPERLINK("https://klasma.github.io/Logging_1907/tillsyn/A 41204-2023 tillsynsbegäran.docx", "A 41204-2023")</f>
        <v/>
      </c>
      <c r="Y48">
        <f>HYPERLINK("https://klasma.github.io/Logging_1907/tillsynsmail/A 41204-2023 tillsynsbegäran mail.docx", "A 41204-2023")</f>
        <v/>
      </c>
    </row>
    <row r="49" ht="15" customHeight="1">
      <c r="A49" t="inlineStr">
        <is>
          <t>A 38170-2021</t>
        </is>
      </c>
      <c r="B49" s="1" t="n">
        <v>44405.43472222222</v>
      </c>
      <c r="C49" s="1" t="n">
        <v>46161</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46161</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46161</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30074-2023</t>
        </is>
      </c>
      <c r="B52" s="1" t="n">
        <v>45110</v>
      </c>
      <c r="C52" s="1" t="n">
        <v>46161</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40411-2021</t>
        </is>
      </c>
      <c r="B53" s="1" t="n">
        <v>44419</v>
      </c>
      <c r="C53" s="1" t="n">
        <v>46161</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34582-2025</t>
        </is>
      </c>
      <c r="B54" s="1" t="n">
        <v>45846</v>
      </c>
      <c r="C54" s="1" t="n">
        <v>46161</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13788-2025</t>
        </is>
      </c>
      <c r="B55" s="1" t="n">
        <v>45737.45327546296</v>
      </c>
      <c r="C55" s="1" t="n">
        <v>46161</v>
      </c>
      <c r="D55" t="inlineStr">
        <is>
          <t>VÄSTMANLANDS LÄN</t>
        </is>
      </c>
      <c r="E55" t="inlineStr">
        <is>
          <t>SURAHAMMAR</t>
        </is>
      </c>
      <c r="G55" t="n">
        <v>9.699999999999999</v>
      </c>
      <c r="H55" t="n">
        <v>1</v>
      </c>
      <c r="I55" t="n">
        <v>0</v>
      </c>
      <c r="J55" t="n">
        <v>0</v>
      </c>
      <c r="K55" t="n">
        <v>0</v>
      </c>
      <c r="L55" t="n">
        <v>0</v>
      </c>
      <c r="M55" t="n">
        <v>0</v>
      </c>
      <c r="N55" t="n">
        <v>0</v>
      </c>
      <c r="O55" t="n">
        <v>0</v>
      </c>
      <c r="P55" t="n">
        <v>0</v>
      </c>
      <c r="Q55" t="n">
        <v>1</v>
      </c>
      <c r="R55" s="2" t="inlineStr">
        <is>
          <t>Sparvuggla</t>
        </is>
      </c>
      <c r="S55">
        <f>HYPERLINK("https://klasma.github.io/Logging_1907/artfynd/A 13788-2025 artfynd.xlsx", "A 13788-2025")</f>
        <v/>
      </c>
      <c r="T55">
        <f>HYPERLINK("https://klasma.github.io/Logging_1907/kartor/A 13788-2025 karta.png", "A 13788-2025")</f>
        <v/>
      </c>
      <c r="V55">
        <f>HYPERLINK("https://klasma.github.io/Logging_1907/klagomål/A 13788-2025 FSC-klagomål.docx", "A 13788-2025")</f>
        <v/>
      </c>
      <c r="W55">
        <f>HYPERLINK("https://klasma.github.io/Logging_1907/klagomålsmail/A 13788-2025 FSC-klagomål mail.docx", "A 13788-2025")</f>
        <v/>
      </c>
      <c r="X55">
        <f>HYPERLINK("https://klasma.github.io/Logging_1907/tillsyn/A 13788-2025 tillsynsbegäran.docx", "A 13788-2025")</f>
        <v/>
      </c>
      <c r="Y55">
        <f>HYPERLINK("https://klasma.github.io/Logging_1907/tillsynsmail/A 13788-2025 tillsynsbegäran mail.docx", "A 13788-2025")</f>
        <v/>
      </c>
      <c r="Z55">
        <f>HYPERLINK("https://klasma.github.io/Logging_1907/fåglar/A 13788-2025 prioriterade fågelarter.docx", "A 13788-2025")</f>
        <v/>
      </c>
    </row>
    <row r="56" ht="15" customHeight="1">
      <c r="A56" t="inlineStr">
        <is>
          <t>A 42089-2025</t>
        </is>
      </c>
      <c r="B56" s="1" t="n">
        <v>45902</v>
      </c>
      <c r="C56" s="1" t="n">
        <v>46161</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56362-2023</t>
        </is>
      </c>
      <c r="B57" s="1" t="n">
        <v>45236</v>
      </c>
      <c r="C57" s="1" t="n">
        <v>46161</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46161</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25583-2024</t>
        </is>
      </c>
      <c r="B59" s="1" t="n">
        <v>45463</v>
      </c>
      <c r="C59" s="1" t="n">
        <v>46161</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46161</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34584-2025</t>
        </is>
      </c>
      <c r="B61" s="1" t="n">
        <v>45846</v>
      </c>
      <c r="C61" s="1" t="n">
        <v>46161</v>
      </c>
      <c r="D61" t="inlineStr">
        <is>
          <t>VÄSTMANLANDS LÄN</t>
        </is>
      </c>
      <c r="E61" t="inlineStr">
        <is>
          <t>SURAHAMMAR</t>
        </is>
      </c>
      <c r="F61" t="inlineStr">
        <is>
          <t>Bergvik skog väst AB</t>
        </is>
      </c>
      <c r="G61" t="n">
        <v>2.7</v>
      </c>
      <c r="H61" t="n">
        <v>1</v>
      </c>
      <c r="I61" t="n">
        <v>0</v>
      </c>
      <c r="J61" t="n">
        <v>0</v>
      </c>
      <c r="K61" t="n">
        <v>0</v>
      </c>
      <c r="L61" t="n">
        <v>0</v>
      </c>
      <c r="M61" t="n">
        <v>0</v>
      </c>
      <c r="N61" t="n">
        <v>0</v>
      </c>
      <c r="O61" t="n">
        <v>0</v>
      </c>
      <c r="P61" t="n">
        <v>0</v>
      </c>
      <c r="Q61" t="n">
        <v>1</v>
      </c>
      <c r="R61" s="2" t="inlineStr">
        <is>
          <t>Tjäder</t>
        </is>
      </c>
      <c r="S61">
        <f>HYPERLINK("https://klasma.github.io/Logging_1907/artfynd/A 34584-2025 artfynd.xlsx", "A 34584-2025")</f>
        <v/>
      </c>
      <c r="T61">
        <f>HYPERLINK("https://klasma.github.io/Logging_1907/kartor/A 34584-2025 karta.png", "A 34584-2025")</f>
        <v/>
      </c>
      <c r="V61">
        <f>HYPERLINK("https://klasma.github.io/Logging_1907/klagomål/A 34584-2025 FSC-klagomål.docx", "A 34584-2025")</f>
        <v/>
      </c>
      <c r="W61">
        <f>HYPERLINK("https://klasma.github.io/Logging_1907/klagomålsmail/A 34584-2025 FSC-klagomål mail.docx", "A 34584-2025")</f>
        <v/>
      </c>
      <c r="X61">
        <f>HYPERLINK("https://klasma.github.io/Logging_1907/tillsyn/A 34584-2025 tillsynsbegäran.docx", "A 34584-2025")</f>
        <v/>
      </c>
      <c r="Y61">
        <f>HYPERLINK("https://klasma.github.io/Logging_1907/tillsynsmail/A 34584-2025 tillsynsbegäran mail.docx", "A 34584-2025")</f>
        <v/>
      </c>
      <c r="Z61">
        <f>HYPERLINK("https://klasma.github.io/Logging_1907/fåglar/A 34584-2025 prioriterade fågelarter.docx", "A 34584-2025")</f>
        <v/>
      </c>
    </row>
    <row r="62" ht="15" customHeight="1">
      <c r="A62" t="inlineStr">
        <is>
          <t>A 55042-2025</t>
        </is>
      </c>
      <c r="B62" s="1" t="n">
        <v>45967.65858796296</v>
      </c>
      <c r="C62" s="1" t="n">
        <v>46161</v>
      </c>
      <c r="D62" t="inlineStr">
        <is>
          <t>VÄSTMANLANDS LÄN</t>
        </is>
      </c>
      <c r="E62" t="inlineStr">
        <is>
          <t>SURAHAMMAR</t>
        </is>
      </c>
      <c r="F62" t="inlineStr">
        <is>
          <t>Sveaskog</t>
        </is>
      </c>
      <c r="G62" t="n">
        <v>7.2</v>
      </c>
      <c r="H62" t="n">
        <v>0</v>
      </c>
      <c r="I62" t="n">
        <v>0</v>
      </c>
      <c r="J62" t="n">
        <v>1</v>
      </c>
      <c r="K62" t="n">
        <v>0</v>
      </c>
      <c r="L62" t="n">
        <v>0</v>
      </c>
      <c r="M62" t="n">
        <v>0</v>
      </c>
      <c r="N62" t="n">
        <v>0</v>
      </c>
      <c r="O62" t="n">
        <v>1</v>
      </c>
      <c r="P62" t="n">
        <v>0</v>
      </c>
      <c r="Q62" t="n">
        <v>1</v>
      </c>
      <c r="R62" s="2" t="inlineStr">
        <is>
          <t>Motaggsvamp</t>
        </is>
      </c>
      <c r="S62">
        <f>HYPERLINK("https://klasma.github.io/Logging_1907/artfynd/A 55042-2025 artfynd.xlsx", "A 55042-2025")</f>
        <v/>
      </c>
      <c r="T62">
        <f>HYPERLINK("https://klasma.github.io/Logging_1907/kartor/A 55042-2025 karta.png", "A 55042-2025")</f>
        <v/>
      </c>
      <c r="V62">
        <f>HYPERLINK("https://klasma.github.io/Logging_1907/klagomål/A 55042-2025 FSC-klagomål.docx", "A 55042-2025")</f>
        <v/>
      </c>
      <c r="W62">
        <f>HYPERLINK("https://klasma.github.io/Logging_1907/klagomålsmail/A 55042-2025 FSC-klagomål mail.docx", "A 55042-2025")</f>
        <v/>
      </c>
      <c r="X62">
        <f>HYPERLINK("https://klasma.github.io/Logging_1907/tillsyn/A 55042-2025 tillsynsbegäran.docx", "A 55042-2025")</f>
        <v/>
      </c>
      <c r="Y62">
        <f>HYPERLINK("https://klasma.github.io/Logging_1907/tillsynsmail/A 55042-2025 tillsynsbegäran mail.docx", "A 55042-2025")</f>
        <v/>
      </c>
    </row>
    <row r="63" ht="15" customHeight="1">
      <c r="A63" t="inlineStr">
        <is>
          <t>A 42765-2022</t>
        </is>
      </c>
      <c r="B63" s="1" t="n">
        <v>44832</v>
      </c>
      <c r="C63" s="1" t="n">
        <v>46161</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55871-2025</t>
        </is>
      </c>
      <c r="B64" s="1" t="n">
        <v>45973.35452546296</v>
      </c>
      <c r="C64" s="1" t="n">
        <v>46161</v>
      </c>
      <c r="D64" t="inlineStr">
        <is>
          <t>VÄSTMANLANDS LÄN</t>
        </is>
      </c>
      <c r="E64" t="inlineStr">
        <is>
          <t>SURAHAMMAR</t>
        </is>
      </c>
      <c r="F64" t="inlineStr">
        <is>
          <t>Sveaskog</t>
        </is>
      </c>
      <c r="G64" t="n">
        <v>1.4</v>
      </c>
      <c r="H64" t="n">
        <v>1</v>
      </c>
      <c r="I64" t="n">
        <v>0</v>
      </c>
      <c r="J64" t="n">
        <v>0</v>
      </c>
      <c r="K64" t="n">
        <v>0</v>
      </c>
      <c r="L64" t="n">
        <v>0</v>
      </c>
      <c r="M64" t="n">
        <v>0</v>
      </c>
      <c r="N64" t="n">
        <v>0</v>
      </c>
      <c r="O64" t="n">
        <v>0</v>
      </c>
      <c r="P64" t="n">
        <v>0</v>
      </c>
      <c r="Q64" t="n">
        <v>1</v>
      </c>
      <c r="R64" s="2" t="inlineStr">
        <is>
          <t>Lopplummer (aggregat)</t>
        </is>
      </c>
      <c r="S64">
        <f>HYPERLINK("https://klasma.github.io/Logging_1907/artfynd/A 55871-2025 artfynd.xlsx", "A 55871-2025")</f>
        <v/>
      </c>
      <c r="T64">
        <f>HYPERLINK("https://klasma.github.io/Logging_1907/kartor/A 55871-2025 karta.png", "A 55871-2025")</f>
        <v/>
      </c>
      <c r="V64">
        <f>HYPERLINK("https://klasma.github.io/Logging_1907/klagomål/A 55871-2025 FSC-klagomål.docx", "A 55871-2025")</f>
        <v/>
      </c>
      <c r="W64">
        <f>HYPERLINK("https://klasma.github.io/Logging_1907/klagomålsmail/A 55871-2025 FSC-klagomål mail.docx", "A 55871-2025")</f>
        <v/>
      </c>
      <c r="X64">
        <f>HYPERLINK("https://klasma.github.io/Logging_1907/tillsyn/A 55871-2025 tillsynsbegäran.docx", "A 55871-2025")</f>
        <v/>
      </c>
      <c r="Y64">
        <f>HYPERLINK("https://klasma.github.io/Logging_1907/tillsynsmail/A 55871-2025 tillsynsbegäran mail.docx", "A 55871-2025")</f>
        <v/>
      </c>
    </row>
    <row r="65" ht="15" customHeight="1">
      <c r="A65" t="inlineStr">
        <is>
          <t>A 10819-2024</t>
        </is>
      </c>
      <c r="B65" s="1" t="n">
        <v>45369.66049768519</v>
      </c>
      <c r="C65" s="1" t="n">
        <v>46161</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56768-2025</t>
        </is>
      </c>
      <c r="B66" s="1" t="n">
        <v>45978</v>
      </c>
      <c r="C66" s="1" t="n">
        <v>46161</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69777-2021</t>
        </is>
      </c>
      <c r="B67" s="1" t="n">
        <v>44532</v>
      </c>
      <c r="C67" s="1" t="n">
        <v>46161</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17632-2022</t>
        </is>
      </c>
      <c r="B68" s="1" t="n">
        <v>44680</v>
      </c>
      <c r="C68" s="1" t="n">
        <v>46161</v>
      </c>
      <c r="D68" t="inlineStr">
        <is>
          <t>VÄSTMANLANDS LÄN</t>
        </is>
      </c>
      <c r="E68" t="inlineStr">
        <is>
          <t>SURAHAMMAR</t>
        </is>
      </c>
      <c r="G68" t="n">
        <v>5.2</v>
      </c>
      <c r="H68" t="n">
        <v>0</v>
      </c>
      <c r="I68" t="n">
        <v>1</v>
      </c>
      <c r="J68" t="n">
        <v>0</v>
      </c>
      <c r="K68" t="n">
        <v>0</v>
      </c>
      <c r="L68" t="n">
        <v>0</v>
      </c>
      <c r="M68" t="n">
        <v>0</v>
      </c>
      <c r="N68" t="n">
        <v>0</v>
      </c>
      <c r="O68" t="n">
        <v>0</v>
      </c>
      <c r="P68" t="n">
        <v>0</v>
      </c>
      <c r="Q68" t="n">
        <v>1</v>
      </c>
      <c r="R68" s="2" t="inlineStr">
        <is>
          <t>Blodticka</t>
        </is>
      </c>
      <c r="S68">
        <f>HYPERLINK("https://klasma.github.io/Logging_1907/artfynd/A 17632-2022 artfynd.xlsx", "A 17632-2022")</f>
        <v/>
      </c>
      <c r="T68">
        <f>HYPERLINK("https://klasma.github.io/Logging_1907/kartor/A 17632-2022 karta.png", "A 17632-2022")</f>
        <v/>
      </c>
      <c r="V68">
        <f>HYPERLINK("https://klasma.github.io/Logging_1907/klagomål/A 17632-2022 FSC-klagomål.docx", "A 17632-2022")</f>
        <v/>
      </c>
      <c r="W68">
        <f>HYPERLINK("https://klasma.github.io/Logging_1907/klagomålsmail/A 17632-2022 FSC-klagomål mail.docx", "A 17632-2022")</f>
        <v/>
      </c>
      <c r="X68">
        <f>HYPERLINK("https://klasma.github.io/Logging_1907/tillsyn/A 17632-2022 tillsynsbegäran.docx", "A 17632-2022")</f>
        <v/>
      </c>
      <c r="Y68">
        <f>HYPERLINK("https://klasma.github.io/Logging_1907/tillsynsmail/A 17632-2022 tillsynsbegäran mail.docx", "A 17632-2022")</f>
        <v/>
      </c>
    </row>
    <row r="69" ht="15" customHeight="1">
      <c r="A69" t="inlineStr">
        <is>
          <t>A 63145-2025</t>
        </is>
      </c>
      <c r="B69" s="1" t="n">
        <v>46009</v>
      </c>
      <c r="C69" s="1" t="n">
        <v>46161</v>
      </c>
      <c r="D69" t="inlineStr">
        <is>
          <t>VÄSTMANLANDS LÄN</t>
        </is>
      </c>
      <c r="E69" t="inlineStr">
        <is>
          <t>SURAHAMMAR</t>
        </is>
      </c>
      <c r="F69" t="inlineStr">
        <is>
          <t>Bergvik skog väst AB</t>
        </is>
      </c>
      <c r="G69" t="n">
        <v>40.5</v>
      </c>
      <c r="H69" t="n">
        <v>0</v>
      </c>
      <c r="I69" t="n">
        <v>1</v>
      </c>
      <c r="J69" t="n">
        <v>0</v>
      </c>
      <c r="K69" t="n">
        <v>0</v>
      </c>
      <c r="L69" t="n">
        <v>0</v>
      </c>
      <c r="M69" t="n">
        <v>0</v>
      </c>
      <c r="N69" t="n">
        <v>0</v>
      </c>
      <c r="O69" t="n">
        <v>0</v>
      </c>
      <c r="P69" t="n">
        <v>0</v>
      </c>
      <c r="Q69" t="n">
        <v>1</v>
      </c>
      <c r="R69" s="2" t="inlineStr">
        <is>
          <t>Svart trolldruva</t>
        </is>
      </c>
      <c r="S69">
        <f>HYPERLINK("https://klasma.github.io/Logging_1907/artfynd/A 63145-2025 artfynd.xlsx", "A 63145-2025")</f>
        <v/>
      </c>
      <c r="T69">
        <f>HYPERLINK("https://klasma.github.io/Logging_1907/kartor/A 63145-2025 karta.png", "A 63145-2025")</f>
        <v/>
      </c>
      <c r="V69">
        <f>HYPERLINK("https://klasma.github.io/Logging_1907/klagomål/A 63145-2025 FSC-klagomål.docx", "A 63145-2025")</f>
        <v/>
      </c>
      <c r="W69">
        <f>HYPERLINK("https://klasma.github.io/Logging_1907/klagomålsmail/A 63145-2025 FSC-klagomål mail.docx", "A 63145-2025")</f>
        <v/>
      </c>
      <c r="X69">
        <f>HYPERLINK("https://klasma.github.io/Logging_1907/tillsyn/A 63145-2025 tillsynsbegäran.docx", "A 63145-2025")</f>
        <v/>
      </c>
      <c r="Y69">
        <f>HYPERLINK("https://klasma.github.io/Logging_1907/tillsynsmail/A 63145-2025 tillsynsbegäran mail.docx", "A 63145-2025")</f>
        <v/>
      </c>
    </row>
    <row r="70" ht="15" customHeight="1">
      <c r="A70" t="inlineStr">
        <is>
          <t>A 44356-2024</t>
        </is>
      </c>
      <c r="B70" s="1" t="n">
        <v>45573</v>
      </c>
      <c r="C70" s="1" t="n">
        <v>46161</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22840-2023</t>
        </is>
      </c>
      <c r="B71" s="1" t="n">
        <v>45072</v>
      </c>
      <c r="C71" s="1" t="n">
        <v>46161</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33231-2024</t>
        </is>
      </c>
      <c r="B72" s="1" t="n">
        <v>45518</v>
      </c>
      <c r="C72" s="1" t="n">
        <v>46161</v>
      </c>
      <c r="D72" t="inlineStr">
        <is>
          <t>VÄSTMANLANDS LÄN</t>
        </is>
      </c>
      <c r="E72" t="inlineStr">
        <is>
          <t>SURAHAMMAR</t>
        </is>
      </c>
      <c r="F72" t="inlineStr">
        <is>
          <t>Bergvik skog väst AB</t>
        </is>
      </c>
      <c r="G72" t="n">
        <v>1.5</v>
      </c>
      <c r="H72" t="n">
        <v>1</v>
      </c>
      <c r="I72" t="n">
        <v>0</v>
      </c>
      <c r="J72" t="n">
        <v>0</v>
      </c>
      <c r="K72" t="n">
        <v>0</v>
      </c>
      <c r="L72" t="n">
        <v>0</v>
      </c>
      <c r="M72" t="n">
        <v>0</v>
      </c>
      <c r="N72" t="n">
        <v>0</v>
      </c>
      <c r="O72" t="n">
        <v>0</v>
      </c>
      <c r="P72" t="n">
        <v>0</v>
      </c>
      <c r="Q72" t="n">
        <v>1</v>
      </c>
      <c r="R72" s="2" t="inlineStr">
        <is>
          <t>Mindre vattensalamander</t>
        </is>
      </c>
      <c r="S72">
        <f>HYPERLINK("https://klasma.github.io/Logging_1907/artfynd/A 33231-2024 artfynd.xlsx", "A 33231-2024")</f>
        <v/>
      </c>
      <c r="T72">
        <f>HYPERLINK("https://klasma.github.io/Logging_1907/kartor/A 33231-2024 karta.png", "A 33231-2024")</f>
        <v/>
      </c>
      <c r="V72">
        <f>HYPERLINK("https://klasma.github.io/Logging_1907/klagomål/A 33231-2024 FSC-klagomål.docx", "A 33231-2024")</f>
        <v/>
      </c>
      <c r="W72">
        <f>HYPERLINK("https://klasma.github.io/Logging_1907/klagomålsmail/A 33231-2024 FSC-klagomål mail.docx", "A 33231-2024")</f>
        <v/>
      </c>
      <c r="X72">
        <f>HYPERLINK("https://klasma.github.io/Logging_1907/tillsyn/A 33231-2024 tillsynsbegäran.docx", "A 33231-2024")</f>
        <v/>
      </c>
      <c r="Y72">
        <f>HYPERLINK("https://klasma.github.io/Logging_1907/tillsynsmail/A 33231-2024 tillsynsbegäran mail.docx", "A 33231-2024")</f>
        <v/>
      </c>
    </row>
    <row r="73" ht="15" customHeight="1">
      <c r="A73" t="inlineStr">
        <is>
          <t>A 14001-2023</t>
        </is>
      </c>
      <c r="B73" s="1" t="n">
        <v>45007</v>
      </c>
      <c r="C73" s="1" t="n">
        <v>46161</v>
      </c>
      <c r="D73" t="inlineStr">
        <is>
          <t>VÄSTMANLANDS LÄN</t>
        </is>
      </c>
      <c r="E73" t="inlineStr">
        <is>
          <t>SURAHAMMAR</t>
        </is>
      </c>
      <c r="F73" t="inlineStr">
        <is>
          <t>Bergvik skog väst AB</t>
        </is>
      </c>
      <c r="G73" t="n">
        <v>1</v>
      </c>
      <c r="H73" t="n">
        <v>0</v>
      </c>
      <c r="I73" t="n">
        <v>0</v>
      </c>
      <c r="J73" t="n">
        <v>1</v>
      </c>
      <c r="K73" t="n">
        <v>0</v>
      </c>
      <c r="L73" t="n">
        <v>0</v>
      </c>
      <c r="M73" t="n">
        <v>0</v>
      </c>
      <c r="N73" t="n">
        <v>0</v>
      </c>
      <c r="O73" t="n">
        <v>1</v>
      </c>
      <c r="P73" t="n">
        <v>0</v>
      </c>
      <c r="Q73" t="n">
        <v>1</v>
      </c>
      <c r="R73" s="2" t="inlineStr">
        <is>
          <t>Motaggsvamp</t>
        </is>
      </c>
      <c r="S73">
        <f>HYPERLINK("https://klasma.github.io/Logging_1907/artfynd/A 14001-2023 artfynd.xlsx", "A 14001-2023")</f>
        <v/>
      </c>
      <c r="T73">
        <f>HYPERLINK("https://klasma.github.io/Logging_1907/kartor/A 14001-2023 karta.png", "A 14001-2023")</f>
        <v/>
      </c>
      <c r="V73">
        <f>HYPERLINK("https://klasma.github.io/Logging_1907/klagomål/A 14001-2023 FSC-klagomål.docx", "A 14001-2023")</f>
        <v/>
      </c>
      <c r="W73">
        <f>HYPERLINK("https://klasma.github.io/Logging_1907/klagomålsmail/A 14001-2023 FSC-klagomål mail.docx", "A 14001-2023")</f>
        <v/>
      </c>
      <c r="X73">
        <f>HYPERLINK("https://klasma.github.io/Logging_1907/tillsyn/A 14001-2023 tillsynsbegäran.docx", "A 14001-2023")</f>
        <v/>
      </c>
      <c r="Y73">
        <f>HYPERLINK("https://klasma.github.io/Logging_1907/tillsynsmail/A 14001-2023 tillsynsbegäran mail.docx", "A 14001-2023")</f>
        <v/>
      </c>
    </row>
    <row r="74" ht="15" customHeight="1">
      <c r="A74" t="inlineStr">
        <is>
          <t>A 13971-2023</t>
        </is>
      </c>
      <c r="B74" s="1" t="n">
        <v>45007</v>
      </c>
      <c r="C74" s="1" t="n">
        <v>46161</v>
      </c>
      <c r="D74" t="inlineStr">
        <is>
          <t>VÄSTMANLANDS LÄN</t>
        </is>
      </c>
      <c r="E74" t="inlineStr">
        <is>
          <t>SURAHAMMAR</t>
        </is>
      </c>
      <c r="F74" t="inlineStr">
        <is>
          <t>Bergvik skog väst AB</t>
        </is>
      </c>
      <c r="G74" t="n">
        <v>2.9</v>
      </c>
      <c r="H74" t="n">
        <v>1</v>
      </c>
      <c r="I74" t="n">
        <v>0</v>
      </c>
      <c r="J74" t="n">
        <v>0</v>
      </c>
      <c r="K74" t="n">
        <v>0</v>
      </c>
      <c r="L74" t="n">
        <v>0</v>
      </c>
      <c r="M74" t="n">
        <v>0</v>
      </c>
      <c r="N74" t="n">
        <v>0</v>
      </c>
      <c r="O74" t="n">
        <v>0</v>
      </c>
      <c r="P74" t="n">
        <v>0</v>
      </c>
      <c r="Q74" t="n">
        <v>1</v>
      </c>
      <c r="R74" s="2" t="inlineStr">
        <is>
          <t>Fläcknycklar</t>
        </is>
      </c>
      <c r="S74">
        <f>HYPERLINK("https://klasma.github.io/Logging_1907/artfynd/A 13971-2023 artfynd.xlsx", "A 13971-2023")</f>
        <v/>
      </c>
      <c r="T74">
        <f>HYPERLINK("https://klasma.github.io/Logging_1907/kartor/A 13971-2023 karta.png", "A 13971-2023")</f>
        <v/>
      </c>
      <c r="V74">
        <f>HYPERLINK("https://klasma.github.io/Logging_1907/klagomål/A 13971-2023 FSC-klagomål.docx", "A 13971-2023")</f>
        <v/>
      </c>
      <c r="W74">
        <f>HYPERLINK("https://klasma.github.io/Logging_1907/klagomålsmail/A 13971-2023 FSC-klagomål mail.docx", "A 13971-2023")</f>
        <v/>
      </c>
      <c r="X74">
        <f>HYPERLINK("https://klasma.github.io/Logging_1907/tillsyn/A 13971-2023 tillsynsbegäran.docx", "A 13971-2023")</f>
        <v/>
      </c>
      <c r="Y74">
        <f>HYPERLINK("https://klasma.github.io/Logging_1907/tillsynsmail/A 13971-2023 tillsynsbegäran mail.docx", "A 13971-2023")</f>
        <v/>
      </c>
    </row>
    <row r="75" ht="15" customHeight="1">
      <c r="A75" t="inlineStr">
        <is>
          <t>A 31176-2024</t>
        </is>
      </c>
      <c r="B75" s="1" t="n">
        <v>45503</v>
      </c>
      <c r="C75" s="1" t="n">
        <v>46161</v>
      </c>
      <c r="D75" t="inlineStr">
        <is>
          <t>VÄSTMANLANDS LÄN</t>
        </is>
      </c>
      <c r="E75" t="inlineStr">
        <is>
          <t>SURAHAMMAR</t>
        </is>
      </c>
      <c r="F75" t="inlineStr">
        <is>
          <t>Allmännings- och besparingsskogar</t>
        </is>
      </c>
      <c r="G75" t="n">
        <v>10.7</v>
      </c>
      <c r="H75" t="n">
        <v>0</v>
      </c>
      <c r="I75" t="n">
        <v>0</v>
      </c>
      <c r="J75" t="n">
        <v>1</v>
      </c>
      <c r="K75" t="n">
        <v>0</v>
      </c>
      <c r="L75" t="n">
        <v>0</v>
      </c>
      <c r="M75" t="n">
        <v>0</v>
      </c>
      <c r="N75" t="n">
        <v>0</v>
      </c>
      <c r="O75" t="n">
        <v>1</v>
      </c>
      <c r="P75" t="n">
        <v>0</v>
      </c>
      <c r="Q75" t="n">
        <v>1</v>
      </c>
      <c r="R75" s="2" t="inlineStr">
        <is>
          <t>Doftskinn</t>
        </is>
      </c>
      <c r="S75">
        <f>HYPERLINK("https://klasma.github.io/Logging_1907/artfynd/A 31176-2024 artfynd.xlsx", "A 31176-2024")</f>
        <v/>
      </c>
      <c r="T75">
        <f>HYPERLINK("https://klasma.github.io/Logging_1907/kartor/A 31176-2024 karta.png", "A 31176-2024")</f>
        <v/>
      </c>
      <c r="V75">
        <f>HYPERLINK("https://klasma.github.io/Logging_1907/klagomål/A 31176-2024 FSC-klagomål.docx", "A 31176-2024")</f>
        <v/>
      </c>
      <c r="W75">
        <f>HYPERLINK("https://klasma.github.io/Logging_1907/klagomålsmail/A 31176-2024 FSC-klagomål mail.docx", "A 31176-2024")</f>
        <v/>
      </c>
      <c r="X75">
        <f>HYPERLINK("https://klasma.github.io/Logging_1907/tillsyn/A 31176-2024 tillsynsbegäran.docx", "A 31176-2024")</f>
        <v/>
      </c>
      <c r="Y75">
        <f>HYPERLINK("https://klasma.github.io/Logging_1907/tillsynsmail/A 31176-2024 tillsynsbegäran mail.docx", "A 31176-2024")</f>
        <v/>
      </c>
    </row>
    <row r="76" ht="15" customHeight="1">
      <c r="A76" t="inlineStr">
        <is>
          <t>A 43451-2024</t>
        </is>
      </c>
      <c r="B76" s="1" t="n">
        <v>45568</v>
      </c>
      <c r="C76" s="1" t="n">
        <v>46161</v>
      </c>
      <c r="D76" t="inlineStr">
        <is>
          <t>VÄSTMANLANDS LÄN</t>
        </is>
      </c>
      <c r="E76" t="inlineStr">
        <is>
          <t>SURAHAMMAR</t>
        </is>
      </c>
      <c r="F76" t="inlineStr">
        <is>
          <t>Bergvik skog väst AB</t>
        </is>
      </c>
      <c r="G76" t="n">
        <v>2.9</v>
      </c>
      <c r="H76" t="n">
        <v>0</v>
      </c>
      <c r="I76" t="n">
        <v>0</v>
      </c>
      <c r="J76" t="n">
        <v>1</v>
      </c>
      <c r="K76" t="n">
        <v>0</v>
      </c>
      <c r="L76" t="n">
        <v>0</v>
      </c>
      <c r="M76" t="n">
        <v>0</v>
      </c>
      <c r="N76" t="n">
        <v>0</v>
      </c>
      <c r="O76" t="n">
        <v>1</v>
      </c>
      <c r="P76" t="n">
        <v>0</v>
      </c>
      <c r="Q76" t="n">
        <v>1</v>
      </c>
      <c r="R76" s="2" t="inlineStr">
        <is>
          <t>Ullticka</t>
        </is>
      </c>
      <c r="S76">
        <f>HYPERLINK("https://klasma.github.io/Logging_1907/artfynd/A 43451-2024 artfynd.xlsx", "A 43451-2024")</f>
        <v/>
      </c>
      <c r="T76">
        <f>HYPERLINK("https://klasma.github.io/Logging_1907/kartor/A 43451-2024 karta.png", "A 43451-2024")</f>
        <v/>
      </c>
      <c r="V76">
        <f>HYPERLINK("https://klasma.github.io/Logging_1907/klagomål/A 43451-2024 FSC-klagomål.docx", "A 43451-2024")</f>
        <v/>
      </c>
      <c r="W76">
        <f>HYPERLINK("https://klasma.github.io/Logging_1907/klagomålsmail/A 43451-2024 FSC-klagomål mail.docx", "A 43451-2024")</f>
        <v/>
      </c>
      <c r="X76">
        <f>HYPERLINK("https://klasma.github.io/Logging_1907/tillsyn/A 43451-2024 tillsynsbegäran.docx", "A 43451-2024")</f>
        <v/>
      </c>
      <c r="Y76">
        <f>HYPERLINK("https://klasma.github.io/Logging_1907/tillsynsmail/A 43451-2024 tillsynsbegäran mail.docx", "A 43451-2024")</f>
        <v/>
      </c>
    </row>
    <row r="77" ht="15" customHeight="1">
      <c r="A77" t="inlineStr">
        <is>
          <t>A 64073-2021</t>
        </is>
      </c>
      <c r="B77" s="1" t="n">
        <v>44509</v>
      </c>
      <c r="C77" s="1" t="n">
        <v>46161</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46161</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46161</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46161</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46161</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46161</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46161</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46161</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46161</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46161</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46161</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46161</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46161</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46161</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46161</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48205-2023</t>
        </is>
      </c>
      <c r="B92" s="1" t="n">
        <v>45205</v>
      </c>
      <c r="C92" s="1" t="n">
        <v>46161</v>
      </c>
      <c r="D92" t="inlineStr">
        <is>
          <t>VÄSTMANLANDS LÄN</t>
        </is>
      </c>
      <c r="E92" t="inlineStr">
        <is>
          <t>SURAHAMMAR</t>
        </is>
      </c>
      <c r="F92" t="inlineStr">
        <is>
          <t>Allmännings- och besparingsskogar</t>
        </is>
      </c>
      <c r="G92" t="n">
        <v>7.6</v>
      </c>
      <c r="H92" t="n">
        <v>0</v>
      </c>
      <c r="I92" t="n">
        <v>0</v>
      </c>
      <c r="J92" t="n">
        <v>0</v>
      </c>
      <c r="K92" t="n">
        <v>0</v>
      </c>
      <c r="L92" t="n">
        <v>0</v>
      </c>
      <c r="M92" t="n">
        <v>0</v>
      </c>
      <c r="N92" t="n">
        <v>0</v>
      </c>
      <c r="O92" t="n">
        <v>0</v>
      </c>
      <c r="P92" t="n">
        <v>0</v>
      </c>
      <c r="Q92" t="n">
        <v>0</v>
      </c>
      <c r="R92" s="2" t="inlineStr"/>
    </row>
    <row r="93" ht="15" customHeight="1">
      <c r="A93" t="inlineStr">
        <is>
          <t>A 15743-2023</t>
        </is>
      </c>
      <c r="B93" s="1" t="n">
        <v>45021</v>
      </c>
      <c r="C93" s="1" t="n">
        <v>46161</v>
      </c>
      <c r="D93" t="inlineStr">
        <is>
          <t>VÄSTMANLANDS LÄN</t>
        </is>
      </c>
      <c r="E93" t="inlineStr">
        <is>
          <t>SURAHAMMAR</t>
        </is>
      </c>
      <c r="G93" t="n">
        <v>0.5</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46161</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47785-2021</t>
        </is>
      </c>
      <c r="B95" s="1" t="n">
        <v>44448</v>
      </c>
      <c r="C95" s="1" t="n">
        <v>46161</v>
      </c>
      <c r="D95" t="inlineStr">
        <is>
          <t>VÄSTMANLANDS LÄN</t>
        </is>
      </c>
      <c r="E95" t="inlineStr">
        <is>
          <t>SURAHAMMAR</t>
        </is>
      </c>
      <c r="F95" t="inlineStr">
        <is>
          <t>Kommuner</t>
        </is>
      </c>
      <c r="G95" t="n">
        <v>3.3</v>
      </c>
      <c r="H95" t="n">
        <v>0</v>
      </c>
      <c r="I95" t="n">
        <v>0</v>
      </c>
      <c r="J95" t="n">
        <v>0</v>
      </c>
      <c r="K95" t="n">
        <v>0</v>
      </c>
      <c r="L95" t="n">
        <v>0</v>
      </c>
      <c r="M95" t="n">
        <v>0</v>
      </c>
      <c r="N95" t="n">
        <v>0</v>
      </c>
      <c r="O95" t="n">
        <v>0</v>
      </c>
      <c r="P95" t="n">
        <v>0</v>
      </c>
      <c r="Q95" t="n">
        <v>0</v>
      </c>
      <c r="R95" s="2" t="inlineStr"/>
    </row>
    <row r="96" ht="15" customHeight="1">
      <c r="A96" t="inlineStr">
        <is>
          <t>A 16608-2022</t>
        </is>
      </c>
      <c r="B96" s="1" t="n">
        <v>44672</v>
      </c>
      <c r="C96" s="1" t="n">
        <v>46161</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15637-2022</t>
        </is>
      </c>
      <c r="B97" s="1" t="n">
        <v>44662.89638888889</v>
      </c>
      <c r="C97" s="1" t="n">
        <v>46161</v>
      </c>
      <c r="D97" t="inlineStr">
        <is>
          <t>VÄSTMANLANDS LÄN</t>
        </is>
      </c>
      <c r="E97" t="inlineStr">
        <is>
          <t>SURAHAMMAR</t>
        </is>
      </c>
      <c r="G97" t="n">
        <v>2.2</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46161</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46161</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19786-2023</t>
        </is>
      </c>
      <c r="B100" s="1" t="n">
        <v>45050</v>
      </c>
      <c r="C100" s="1" t="n">
        <v>46161</v>
      </c>
      <c r="D100" t="inlineStr">
        <is>
          <t>VÄSTMANLANDS LÄN</t>
        </is>
      </c>
      <c r="E100" t="inlineStr">
        <is>
          <t>SURAHAMMAR</t>
        </is>
      </c>
      <c r="F100" t="inlineStr">
        <is>
          <t>Bergvik skog väst AB</t>
        </is>
      </c>
      <c r="G100" t="n">
        <v>8.1</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46161</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38154-2021</t>
        </is>
      </c>
      <c r="B102" s="1" t="n">
        <v>44405.42373842592</v>
      </c>
      <c r="C102" s="1" t="n">
        <v>46161</v>
      </c>
      <c r="D102" t="inlineStr">
        <is>
          <t>VÄSTMANLANDS LÄN</t>
        </is>
      </c>
      <c r="E102" t="inlineStr">
        <is>
          <t>SURAHAMMAR</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7787-2024</t>
        </is>
      </c>
      <c r="B103" s="1" t="n">
        <v>45348</v>
      </c>
      <c r="C103" s="1" t="n">
        <v>46161</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42088-2025</t>
        </is>
      </c>
      <c r="B104" s="1" t="n">
        <v>45902</v>
      </c>
      <c r="C104" s="1" t="n">
        <v>46161</v>
      </c>
      <c r="D104" t="inlineStr">
        <is>
          <t>VÄSTMANLANDS LÄN</t>
        </is>
      </c>
      <c r="E104" t="inlineStr">
        <is>
          <t>SURAHAMMAR</t>
        </is>
      </c>
      <c r="G104" t="n">
        <v>1</v>
      </c>
      <c r="H104" t="n">
        <v>0</v>
      </c>
      <c r="I104" t="n">
        <v>0</v>
      </c>
      <c r="J104" t="n">
        <v>0</v>
      </c>
      <c r="K104" t="n">
        <v>0</v>
      </c>
      <c r="L104" t="n">
        <v>0</v>
      </c>
      <c r="M104" t="n">
        <v>0</v>
      </c>
      <c r="N104" t="n">
        <v>0</v>
      </c>
      <c r="O104" t="n">
        <v>0</v>
      </c>
      <c r="P104" t="n">
        <v>0</v>
      </c>
      <c r="Q104" t="n">
        <v>0</v>
      </c>
      <c r="R104" s="2" t="inlineStr"/>
    </row>
    <row r="105" ht="15" customHeight="1">
      <c r="A105" t="inlineStr">
        <is>
          <t>A 31107-2025</t>
        </is>
      </c>
      <c r="B105" s="1" t="n">
        <v>45831</v>
      </c>
      <c r="C105" s="1" t="n">
        <v>46161</v>
      </c>
      <c r="D105" t="inlineStr">
        <is>
          <t>VÄSTMANLANDS LÄN</t>
        </is>
      </c>
      <c r="E105" t="inlineStr">
        <is>
          <t>SURAHAMMAR</t>
        </is>
      </c>
      <c r="F105" t="inlineStr">
        <is>
          <t>Kommuner</t>
        </is>
      </c>
      <c r="G105" t="n">
        <v>1.7</v>
      </c>
      <c r="H105" t="n">
        <v>0</v>
      </c>
      <c r="I105" t="n">
        <v>0</v>
      </c>
      <c r="J105" t="n">
        <v>0</v>
      </c>
      <c r="K105" t="n">
        <v>0</v>
      </c>
      <c r="L105" t="n">
        <v>0</v>
      </c>
      <c r="M105" t="n">
        <v>0</v>
      </c>
      <c r="N105" t="n">
        <v>0</v>
      </c>
      <c r="O105" t="n">
        <v>0</v>
      </c>
      <c r="P105" t="n">
        <v>0</v>
      </c>
      <c r="Q105" t="n">
        <v>0</v>
      </c>
      <c r="R105" s="2" t="inlineStr"/>
    </row>
    <row r="106" ht="15" customHeight="1">
      <c r="A106" t="inlineStr">
        <is>
          <t>A 43249-2025</t>
        </is>
      </c>
      <c r="B106" s="1" t="n">
        <v>45910.55059027778</v>
      </c>
      <c r="C106" s="1" t="n">
        <v>46161</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43255-2025</t>
        </is>
      </c>
      <c r="B107" s="1" t="n">
        <v>45910.55325231481</v>
      </c>
      <c r="C107" s="1" t="n">
        <v>46161</v>
      </c>
      <c r="D107" t="inlineStr">
        <is>
          <t>VÄSTMANLANDS LÄN</t>
        </is>
      </c>
      <c r="E107" t="inlineStr">
        <is>
          <t>SURAHAMMAR</t>
        </is>
      </c>
      <c r="G107" t="n">
        <v>1.9</v>
      </c>
      <c r="H107" t="n">
        <v>0</v>
      </c>
      <c r="I107" t="n">
        <v>0</v>
      </c>
      <c r="J107" t="n">
        <v>0</v>
      </c>
      <c r="K107" t="n">
        <v>0</v>
      </c>
      <c r="L107" t="n">
        <v>0</v>
      </c>
      <c r="M107" t="n">
        <v>0</v>
      </c>
      <c r="N107" t="n">
        <v>0</v>
      </c>
      <c r="O107" t="n">
        <v>0</v>
      </c>
      <c r="P107" t="n">
        <v>0</v>
      </c>
      <c r="Q107" t="n">
        <v>0</v>
      </c>
      <c r="R107" s="2" t="inlineStr"/>
    </row>
    <row r="108" ht="15" customHeight="1">
      <c r="A108" t="inlineStr">
        <is>
          <t>A 37287-2023</t>
        </is>
      </c>
      <c r="B108" s="1" t="n">
        <v>45156</v>
      </c>
      <c r="C108" s="1" t="n">
        <v>46161</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72367-2021</t>
        </is>
      </c>
      <c r="B109" s="1" t="n">
        <v>44545</v>
      </c>
      <c r="C109" s="1" t="n">
        <v>46161</v>
      </c>
      <c r="D109" t="inlineStr">
        <is>
          <t>VÄSTMANLANDS LÄN</t>
        </is>
      </c>
      <c r="E109" t="inlineStr">
        <is>
          <t>SURAHAMMAR</t>
        </is>
      </c>
      <c r="G109" t="n">
        <v>2.5</v>
      </c>
      <c r="H109" t="n">
        <v>0</v>
      </c>
      <c r="I109" t="n">
        <v>0</v>
      </c>
      <c r="J109" t="n">
        <v>0</v>
      </c>
      <c r="K109" t="n">
        <v>0</v>
      </c>
      <c r="L109" t="n">
        <v>0</v>
      </c>
      <c r="M109" t="n">
        <v>0</v>
      </c>
      <c r="N109" t="n">
        <v>0</v>
      </c>
      <c r="O109" t="n">
        <v>0</v>
      </c>
      <c r="P109" t="n">
        <v>0</v>
      </c>
      <c r="Q109" t="n">
        <v>0</v>
      </c>
      <c r="R109" s="2" t="inlineStr"/>
    </row>
    <row r="110" ht="15" customHeight="1">
      <c r="A110" t="inlineStr">
        <is>
          <t>A 33931-2022</t>
        </is>
      </c>
      <c r="B110" s="1" t="n">
        <v>44790.65153935185</v>
      </c>
      <c r="C110" s="1" t="n">
        <v>46161</v>
      </c>
      <c r="D110" t="inlineStr">
        <is>
          <t>VÄSTMANLANDS LÄN</t>
        </is>
      </c>
      <c r="E110" t="inlineStr">
        <is>
          <t>SURAHAMMAR</t>
        </is>
      </c>
      <c r="G110" t="n">
        <v>2.2</v>
      </c>
      <c r="H110" t="n">
        <v>0</v>
      </c>
      <c r="I110" t="n">
        <v>0</v>
      </c>
      <c r="J110" t="n">
        <v>0</v>
      </c>
      <c r="K110" t="n">
        <v>0</v>
      </c>
      <c r="L110" t="n">
        <v>0</v>
      </c>
      <c r="M110" t="n">
        <v>0</v>
      </c>
      <c r="N110" t="n">
        <v>0</v>
      </c>
      <c r="O110" t="n">
        <v>0</v>
      </c>
      <c r="P110" t="n">
        <v>0</v>
      </c>
      <c r="Q110" t="n">
        <v>0</v>
      </c>
      <c r="R110" s="2" t="inlineStr"/>
    </row>
    <row r="111" ht="15" customHeight="1">
      <c r="A111" t="inlineStr">
        <is>
          <t>A 24158-2023</t>
        </is>
      </c>
      <c r="B111" s="1" t="n">
        <v>45079</v>
      </c>
      <c r="C111" s="1" t="n">
        <v>46161</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32916-2025</t>
        </is>
      </c>
      <c r="B112" s="1" t="n">
        <v>45839</v>
      </c>
      <c r="C112" s="1" t="n">
        <v>46161</v>
      </c>
      <c r="D112" t="inlineStr">
        <is>
          <t>VÄSTMANLANDS LÄN</t>
        </is>
      </c>
      <c r="E112" t="inlineStr">
        <is>
          <t>SURAHAMMAR</t>
        </is>
      </c>
      <c r="F112" t="inlineStr">
        <is>
          <t>Kommuner</t>
        </is>
      </c>
      <c r="G112" t="n">
        <v>4.9</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46161</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46161</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55868-2025</t>
        </is>
      </c>
      <c r="B115" s="1" t="n">
        <v>45973.35263888889</v>
      </c>
      <c r="C115" s="1" t="n">
        <v>46161</v>
      </c>
      <c r="D115" t="inlineStr">
        <is>
          <t>VÄSTMANLANDS LÄN</t>
        </is>
      </c>
      <c r="E115" t="inlineStr">
        <is>
          <t>SURAHAMMAR</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55874-2025</t>
        </is>
      </c>
      <c r="B116" s="1" t="n">
        <v>45973.3569212963</v>
      </c>
      <c r="C116" s="1" t="n">
        <v>46161</v>
      </c>
      <c r="D116" t="inlineStr">
        <is>
          <t>VÄSTMANLANDS LÄN</t>
        </is>
      </c>
      <c r="E116" t="inlineStr">
        <is>
          <t>SURAHAMMAR</t>
        </is>
      </c>
      <c r="F116" t="inlineStr">
        <is>
          <t>Sveaskog</t>
        </is>
      </c>
      <c r="G116" t="n">
        <v>2.1</v>
      </c>
      <c r="H116" t="n">
        <v>0</v>
      </c>
      <c r="I116" t="n">
        <v>0</v>
      </c>
      <c r="J116" t="n">
        <v>0</v>
      </c>
      <c r="K116" t="n">
        <v>0</v>
      </c>
      <c r="L116" t="n">
        <v>0</v>
      </c>
      <c r="M116" t="n">
        <v>0</v>
      </c>
      <c r="N116" t="n">
        <v>0</v>
      </c>
      <c r="O116" t="n">
        <v>0</v>
      </c>
      <c r="P116" t="n">
        <v>0</v>
      </c>
      <c r="Q116" t="n">
        <v>0</v>
      </c>
      <c r="R116" s="2" t="inlineStr"/>
    </row>
    <row r="117" ht="15" customHeight="1">
      <c r="A117" t="inlineStr">
        <is>
          <t>A 35682-2022</t>
        </is>
      </c>
      <c r="B117" s="1" t="n">
        <v>44799.60422453703</v>
      </c>
      <c r="C117" s="1" t="n">
        <v>46161</v>
      </c>
      <c r="D117" t="inlineStr">
        <is>
          <t>VÄSTMANLANDS LÄN</t>
        </is>
      </c>
      <c r="E117" t="inlineStr">
        <is>
          <t>SURAHAMMAR</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55873-2025</t>
        </is>
      </c>
      <c r="B118" s="1" t="n">
        <v>45973.35608796297</v>
      </c>
      <c r="C118" s="1" t="n">
        <v>46161</v>
      </c>
      <c r="D118" t="inlineStr">
        <is>
          <t>VÄSTMANLANDS LÄN</t>
        </is>
      </c>
      <c r="E118" t="inlineStr">
        <is>
          <t>SURAHAMMAR</t>
        </is>
      </c>
      <c r="F118" t="inlineStr">
        <is>
          <t>Sveaskog</t>
        </is>
      </c>
      <c r="G118" t="n">
        <v>0.5</v>
      </c>
      <c r="H118" t="n">
        <v>0</v>
      </c>
      <c r="I118" t="n">
        <v>0</v>
      </c>
      <c r="J118" t="n">
        <v>0</v>
      </c>
      <c r="K118" t="n">
        <v>0</v>
      </c>
      <c r="L118" t="n">
        <v>0</v>
      </c>
      <c r="M118" t="n">
        <v>0</v>
      </c>
      <c r="N118" t="n">
        <v>0</v>
      </c>
      <c r="O118" t="n">
        <v>0</v>
      </c>
      <c r="P118" t="n">
        <v>0</v>
      </c>
      <c r="Q118" t="n">
        <v>0</v>
      </c>
      <c r="R118" s="2" t="inlineStr"/>
    </row>
    <row r="119" ht="15" customHeight="1">
      <c r="A119" t="inlineStr">
        <is>
          <t>A 11728-2023</t>
        </is>
      </c>
      <c r="B119" s="1" t="n">
        <v>44993</v>
      </c>
      <c r="C119" s="1" t="n">
        <v>46161</v>
      </c>
      <c r="D119" t="inlineStr">
        <is>
          <t>VÄSTMANLANDS LÄN</t>
        </is>
      </c>
      <c r="E119" t="inlineStr">
        <is>
          <t>SURAHAMMAR</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46161</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46161</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46161</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56543-2025</t>
        </is>
      </c>
      <c r="B123" s="1" t="n">
        <v>45975</v>
      </c>
      <c r="C123" s="1" t="n">
        <v>46161</v>
      </c>
      <c r="D123" t="inlineStr">
        <is>
          <t>VÄSTMANLANDS LÄN</t>
        </is>
      </c>
      <c r="E123" t="inlineStr">
        <is>
          <t>SURAHAMMAR</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37954-2025</t>
        </is>
      </c>
      <c r="B124" s="1" t="n">
        <v>45881</v>
      </c>
      <c r="C124" s="1" t="n">
        <v>46161</v>
      </c>
      <c r="D124" t="inlineStr">
        <is>
          <t>VÄSTMANLANDS LÄN</t>
        </is>
      </c>
      <c r="E124" t="inlineStr">
        <is>
          <t>SURAHAMMAR</t>
        </is>
      </c>
      <c r="G124" t="n">
        <v>9.5</v>
      </c>
      <c r="H124" t="n">
        <v>0</v>
      </c>
      <c r="I124" t="n">
        <v>0</v>
      </c>
      <c r="J124" t="n">
        <v>0</v>
      </c>
      <c r="K124" t="n">
        <v>0</v>
      </c>
      <c r="L124" t="n">
        <v>0</v>
      </c>
      <c r="M124" t="n">
        <v>0</v>
      </c>
      <c r="N124" t="n">
        <v>0</v>
      </c>
      <c r="O124" t="n">
        <v>0</v>
      </c>
      <c r="P124" t="n">
        <v>0</v>
      </c>
      <c r="Q124" t="n">
        <v>0</v>
      </c>
      <c r="R124" s="2" t="inlineStr"/>
    </row>
    <row r="125" ht="15" customHeight="1">
      <c r="A125" t="inlineStr">
        <is>
          <t>A 24665-2023</t>
        </is>
      </c>
      <c r="B125" s="1" t="n">
        <v>45084.48592592592</v>
      </c>
      <c r="C125" s="1" t="n">
        <v>46161</v>
      </c>
      <c r="D125" t="inlineStr">
        <is>
          <t>VÄSTMANLANDS LÄN</t>
        </is>
      </c>
      <c r="E125" t="inlineStr">
        <is>
          <t>SURAHAMMAR</t>
        </is>
      </c>
      <c r="G125" t="n">
        <v>0.9</v>
      </c>
      <c r="H125" t="n">
        <v>0</v>
      </c>
      <c r="I125" t="n">
        <v>0</v>
      </c>
      <c r="J125" t="n">
        <v>0</v>
      </c>
      <c r="K125" t="n">
        <v>0</v>
      </c>
      <c r="L125" t="n">
        <v>0</v>
      </c>
      <c r="M125" t="n">
        <v>0</v>
      </c>
      <c r="N125" t="n">
        <v>0</v>
      </c>
      <c r="O125" t="n">
        <v>0</v>
      </c>
      <c r="P125" t="n">
        <v>0</v>
      </c>
      <c r="Q125" t="n">
        <v>0</v>
      </c>
      <c r="R125" s="2" t="inlineStr"/>
    </row>
    <row r="126" ht="15" customHeight="1">
      <c r="A126" t="inlineStr">
        <is>
          <t>A 32808-2024</t>
        </is>
      </c>
      <c r="B126" s="1" t="n">
        <v>45516</v>
      </c>
      <c r="C126" s="1" t="n">
        <v>46161</v>
      </c>
      <c r="D126" t="inlineStr">
        <is>
          <t>VÄSTMANLANDS LÄN</t>
        </is>
      </c>
      <c r="E126" t="inlineStr">
        <is>
          <t>SURAHAMMAR</t>
        </is>
      </c>
      <c r="F126" t="inlineStr">
        <is>
          <t>Övriga Aktiebolag</t>
        </is>
      </c>
      <c r="G126" t="n">
        <v>1.9</v>
      </c>
      <c r="H126" t="n">
        <v>0</v>
      </c>
      <c r="I126" t="n">
        <v>0</v>
      </c>
      <c r="J126" t="n">
        <v>0</v>
      </c>
      <c r="K126" t="n">
        <v>0</v>
      </c>
      <c r="L126" t="n">
        <v>0</v>
      </c>
      <c r="M126" t="n">
        <v>0</v>
      </c>
      <c r="N126" t="n">
        <v>0</v>
      </c>
      <c r="O126" t="n">
        <v>0</v>
      </c>
      <c r="P126" t="n">
        <v>0</v>
      </c>
      <c r="Q126" t="n">
        <v>0</v>
      </c>
      <c r="R126" s="2" t="inlineStr"/>
    </row>
    <row r="127" ht="15" customHeight="1">
      <c r="A127" t="inlineStr">
        <is>
          <t>A 42841-2022</t>
        </is>
      </c>
      <c r="B127" s="1" t="n">
        <v>44832</v>
      </c>
      <c r="C127" s="1" t="n">
        <v>46161</v>
      </c>
      <c r="D127" t="inlineStr">
        <is>
          <t>VÄSTMANLANDS LÄN</t>
        </is>
      </c>
      <c r="E127" t="inlineStr">
        <is>
          <t>SURAHAMMAR</t>
        </is>
      </c>
      <c r="G127" t="n">
        <v>1.8</v>
      </c>
      <c r="H127" t="n">
        <v>0</v>
      </c>
      <c r="I127" t="n">
        <v>0</v>
      </c>
      <c r="J127" t="n">
        <v>0</v>
      </c>
      <c r="K127" t="n">
        <v>0</v>
      </c>
      <c r="L127" t="n">
        <v>0</v>
      </c>
      <c r="M127" t="n">
        <v>0</v>
      </c>
      <c r="N127" t="n">
        <v>0</v>
      </c>
      <c r="O127" t="n">
        <v>0</v>
      </c>
      <c r="P127" t="n">
        <v>0</v>
      </c>
      <c r="Q127" t="n">
        <v>0</v>
      </c>
      <c r="R127" s="2" t="inlineStr"/>
    </row>
    <row r="128" ht="15" customHeight="1">
      <c r="A128" t="inlineStr">
        <is>
          <t>A 42829-2022</t>
        </is>
      </c>
      <c r="B128" s="1" t="n">
        <v>44832</v>
      </c>
      <c r="C128" s="1" t="n">
        <v>46161</v>
      </c>
      <c r="D128" t="inlineStr">
        <is>
          <t>VÄSTMANLANDS LÄN</t>
        </is>
      </c>
      <c r="E128" t="inlineStr">
        <is>
          <t>SURAHAMMAR</t>
        </is>
      </c>
      <c r="G128" t="n">
        <v>1.6</v>
      </c>
      <c r="H128" t="n">
        <v>0</v>
      </c>
      <c r="I128" t="n">
        <v>0</v>
      </c>
      <c r="J128" t="n">
        <v>0</v>
      </c>
      <c r="K128" t="n">
        <v>0</v>
      </c>
      <c r="L128" t="n">
        <v>0</v>
      </c>
      <c r="M128" t="n">
        <v>0</v>
      </c>
      <c r="N128" t="n">
        <v>0</v>
      </c>
      <c r="O128" t="n">
        <v>0</v>
      </c>
      <c r="P128" t="n">
        <v>0</v>
      </c>
      <c r="Q128" t="n">
        <v>0</v>
      </c>
      <c r="R128" s="2" t="inlineStr"/>
    </row>
    <row r="129" ht="15" customHeight="1">
      <c r="A129" t="inlineStr">
        <is>
          <t>A 59399-2025</t>
        </is>
      </c>
      <c r="B129" s="1" t="n">
        <v>45989</v>
      </c>
      <c r="C129" s="1" t="n">
        <v>46161</v>
      </c>
      <c r="D129" t="inlineStr">
        <is>
          <t>VÄSTMANLANDS LÄN</t>
        </is>
      </c>
      <c r="E129" t="inlineStr">
        <is>
          <t>SURAHAMMAR</t>
        </is>
      </c>
      <c r="F129" t="inlineStr">
        <is>
          <t>Kommuner</t>
        </is>
      </c>
      <c r="G129" t="n">
        <v>2.1</v>
      </c>
      <c r="H129" t="n">
        <v>0</v>
      </c>
      <c r="I129" t="n">
        <v>0</v>
      </c>
      <c r="J129" t="n">
        <v>0</v>
      </c>
      <c r="K129" t="n">
        <v>0</v>
      </c>
      <c r="L129" t="n">
        <v>0</v>
      </c>
      <c r="M129" t="n">
        <v>0</v>
      </c>
      <c r="N129" t="n">
        <v>0</v>
      </c>
      <c r="O129" t="n">
        <v>0</v>
      </c>
      <c r="P129" t="n">
        <v>0</v>
      </c>
      <c r="Q129" t="n">
        <v>0</v>
      </c>
      <c r="R129" s="2" t="inlineStr"/>
    </row>
    <row r="130" ht="15" customHeight="1">
      <c r="A130" t="inlineStr">
        <is>
          <t>A 2867-2024</t>
        </is>
      </c>
      <c r="B130" s="1" t="n">
        <v>45315</v>
      </c>
      <c r="C130" s="1" t="n">
        <v>46161</v>
      </c>
      <c r="D130" t="inlineStr">
        <is>
          <t>VÄSTMANLANDS LÄN</t>
        </is>
      </c>
      <c r="E130" t="inlineStr">
        <is>
          <t>SURAHAMMAR</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56541-2025</t>
        </is>
      </c>
      <c r="B131" s="1" t="n">
        <v>45975</v>
      </c>
      <c r="C131" s="1" t="n">
        <v>46161</v>
      </c>
      <c r="D131" t="inlineStr">
        <is>
          <t>VÄSTMANLANDS LÄN</t>
        </is>
      </c>
      <c r="E131" t="inlineStr">
        <is>
          <t>SURAHAMMAR</t>
        </is>
      </c>
      <c r="F131" t="inlineStr">
        <is>
          <t>Sveaskog</t>
        </is>
      </c>
      <c r="G131" t="n">
        <v>7.6</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46161</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63138-2025</t>
        </is>
      </c>
      <c r="B133" s="1" t="n">
        <v>46009</v>
      </c>
      <c r="C133" s="1" t="n">
        <v>46161</v>
      </c>
      <c r="D133" t="inlineStr">
        <is>
          <t>VÄSTMANLANDS LÄN</t>
        </is>
      </c>
      <c r="E133" t="inlineStr">
        <is>
          <t>SURAHAMMAR</t>
        </is>
      </c>
      <c r="F133" t="inlineStr">
        <is>
          <t>Bergvik skog väst AB</t>
        </is>
      </c>
      <c r="G133" t="n">
        <v>2.5</v>
      </c>
      <c r="H133" t="n">
        <v>0</v>
      </c>
      <c r="I133" t="n">
        <v>0</v>
      </c>
      <c r="J133" t="n">
        <v>0</v>
      </c>
      <c r="K133" t="n">
        <v>0</v>
      </c>
      <c r="L133" t="n">
        <v>0</v>
      </c>
      <c r="M133" t="n">
        <v>0</v>
      </c>
      <c r="N133" t="n">
        <v>0</v>
      </c>
      <c r="O133" t="n">
        <v>0</v>
      </c>
      <c r="P133" t="n">
        <v>0</v>
      </c>
      <c r="Q133" t="n">
        <v>0</v>
      </c>
      <c r="R133" s="2" t="inlineStr"/>
    </row>
    <row r="134" ht="15" customHeight="1">
      <c r="A134" t="inlineStr">
        <is>
          <t>A 49058-2024</t>
        </is>
      </c>
      <c r="B134" s="1" t="n">
        <v>45594</v>
      </c>
      <c r="C134" s="1" t="n">
        <v>46161</v>
      </c>
      <c r="D134" t="inlineStr">
        <is>
          <t>VÄSTMANLANDS LÄN</t>
        </is>
      </c>
      <c r="E134" t="inlineStr">
        <is>
          <t>SURAHAMMAR</t>
        </is>
      </c>
      <c r="F134" t="inlineStr">
        <is>
          <t>Sveaskog</t>
        </is>
      </c>
      <c r="G134" t="n">
        <v>11.4</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46161</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34955-2022</t>
        </is>
      </c>
      <c r="B136" s="1" t="n">
        <v>44796</v>
      </c>
      <c r="C136" s="1" t="n">
        <v>46161</v>
      </c>
      <c r="D136" t="inlineStr">
        <is>
          <t>VÄSTMANLANDS LÄN</t>
        </is>
      </c>
      <c r="E136" t="inlineStr">
        <is>
          <t>SURAHAMMAR</t>
        </is>
      </c>
      <c r="F136" t="inlineStr">
        <is>
          <t>Sveaskog</t>
        </is>
      </c>
      <c r="G136" t="n">
        <v>4.6</v>
      </c>
      <c r="H136" t="n">
        <v>0</v>
      </c>
      <c r="I136" t="n">
        <v>0</v>
      </c>
      <c r="J136" t="n">
        <v>0</v>
      </c>
      <c r="K136" t="n">
        <v>0</v>
      </c>
      <c r="L136" t="n">
        <v>0</v>
      </c>
      <c r="M136" t="n">
        <v>0</v>
      </c>
      <c r="N136" t="n">
        <v>0</v>
      </c>
      <c r="O136" t="n">
        <v>0</v>
      </c>
      <c r="P136" t="n">
        <v>0</v>
      </c>
      <c r="Q136" t="n">
        <v>0</v>
      </c>
      <c r="R136" s="2" t="inlineStr"/>
    </row>
    <row r="137" ht="15" customHeight="1">
      <c r="A137" t="inlineStr">
        <is>
          <t>A 20904-2023</t>
        </is>
      </c>
      <c r="B137" s="1" t="n">
        <v>45060</v>
      </c>
      <c r="C137" s="1" t="n">
        <v>46161</v>
      </c>
      <c r="D137" t="inlineStr">
        <is>
          <t>VÄSTMANLANDS LÄN</t>
        </is>
      </c>
      <c r="E137" t="inlineStr">
        <is>
          <t>SURAHAMMAR</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10883-2023</t>
        </is>
      </c>
      <c r="B138" s="1" t="n">
        <v>44991</v>
      </c>
      <c r="C138" s="1" t="n">
        <v>46161</v>
      </c>
      <c r="D138" t="inlineStr">
        <is>
          <t>VÄSTMANLANDS LÄN</t>
        </is>
      </c>
      <c r="E138" t="inlineStr">
        <is>
          <t>SURAHAMMAR</t>
        </is>
      </c>
      <c r="F138" t="inlineStr">
        <is>
          <t>Övriga Aktiebolag</t>
        </is>
      </c>
      <c r="G138" t="n">
        <v>12.5</v>
      </c>
      <c r="H138" t="n">
        <v>0</v>
      </c>
      <c r="I138" t="n">
        <v>0</v>
      </c>
      <c r="J138" t="n">
        <v>0</v>
      </c>
      <c r="K138" t="n">
        <v>0</v>
      </c>
      <c r="L138" t="n">
        <v>0</v>
      </c>
      <c r="M138" t="n">
        <v>0</v>
      </c>
      <c r="N138" t="n">
        <v>0</v>
      </c>
      <c r="O138" t="n">
        <v>0</v>
      </c>
      <c r="P138" t="n">
        <v>0</v>
      </c>
      <c r="Q138" t="n">
        <v>0</v>
      </c>
      <c r="R138" s="2" t="inlineStr"/>
    </row>
    <row r="139" ht="15" customHeight="1">
      <c r="A139" t="inlineStr">
        <is>
          <t>A 2660-2024</t>
        </is>
      </c>
      <c r="B139" s="1" t="n">
        <v>45310</v>
      </c>
      <c r="C139" s="1" t="n">
        <v>46161</v>
      </c>
      <c r="D139" t="inlineStr">
        <is>
          <t>VÄSTMANLANDS LÄN</t>
        </is>
      </c>
      <c r="E139" t="inlineStr">
        <is>
          <t>SURAHAMMAR</t>
        </is>
      </c>
      <c r="G139" t="n">
        <v>2.1</v>
      </c>
      <c r="H139" t="n">
        <v>0</v>
      </c>
      <c r="I139" t="n">
        <v>0</v>
      </c>
      <c r="J139" t="n">
        <v>0</v>
      </c>
      <c r="K139" t="n">
        <v>0</v>
      </c>
      <c r="L139" t="n">
        <v>0</v>
      </c>
      <c r="M139" t="n">
        <v>0</v>
      </c>
      <c r="N139" t="n">
        <v>0</v>
      </c>
      <c r="O139" t="n">
        <v>0</v>
      </c>
      <c r="P139" t="n">
        <v>0</v>
      </c>
      <c r="Q139" t="n">
        <v>0</v>
      </c>
      <c r="R139" s="2" t="inlineStr"/>
    </row>
    <row r="140" ht="15" customHeight="1">
      <c r="A140" t="inlineStr">
        <is>
          <t>A 4724-2026</t>
        </is>
      </c>
      <c r="B140" s="1" t="n">
        <v>46048</v>
      </c>
      <c r="C140" s="1" t="n">
        <v>46161</v>
      </c>
      <c r="D140" t="inlineStr">
        <is>
          <t>VÄSTMANLANDS LÄN</t>
        </is>
      </c>
      <c r="E140" t="inlineStr">
        <is>
          <t>SURAHAMMAR</t>
        </is>
      </c>
      <c r="G140" t="n">
        <v>1.7</v>
      </c>
      <c r="H140" t="n">
        <v>0</v>
      </c>
      <c r="I140" t="n">
        <v>0</v>
      </c>
      <c r="J140" t="n">
        <v>0</v>
      </c>
      <c r="K140" t="n">
        <v>0</v>
      </c>
      <c r="L140" t="n">
        <v>0</v>
      </c>
      <c r="M140" t="n">
        <v>0</v>
      </c>
      <c r="N140" t="n">
        <v>0</v>
      </c>
      <c r="O140" t="n">
        <v>0</v>
      </c>
      <c r="P140" t="n">
        <v>0</v>
      </c>
      <c r="Q140" t="n">
        <v>0</v>
      </c>
      <c r="R140" s="2" t="inlineStr"/>
    </row>
    <row r="141" ht="15" customHeight="1">
      <c r="A141" t="inlineStr">
        <is>
          <t>A 4734-2026</t>
        </is>
      </c>
      <c r="B141" s="1" t="n">
        <v>46048</v>
      </c>
      <c r="C141" s="1" t="n">
        <v>46161</v>
      </c>
      <c r="D141" t="inlineStr">
        <is>
          <t>VÄSTMANLANDS LÄN</t>
        </is>
      </c>
      <c r="E141" t="inlineStr">
        <is>
          <t>SURAHAMMAR</t>
        </is>
      </c>
      <c r="G141" t="n">
        <v>0.7</v>
      </c>
      <c r="H141" t="n">
        <v>0</v>
      </c>
      <c r="I141" t="n">
        <v>0</v>
      </c>
      <c r="J141" t="n">
        <v>0</v>
      </c>
      <c r="K141" t="n">
        <v>0</v>
      </c>
      <c r="L141" t="n">
        <v>0</v>
      </c>
      <c r="M141" t="n">
        <v>0</v>
      </c>
      <c r="N141" t="n">
        <v>0</v>
      </c>
      <c r="O141" t="n">
        <v>0</v>
      </c>
      <c r="P141" t="n">
        <v>0</v>
      </c>
      <c r="Q141" t="n">
        <v>0</v>
      </c>
      <c r="R141" s="2" t="inlineStr"/>
    </row>
    <row r="142" ht="15" customHeight="1">
      <c r="A142" t="inlineStr">
        <is>
          <t>A 5696-2026</t>
        </is>
      </c>
      <c r="B142" s="1" t="n">
        <v>46051.4975</v>
      </c>
      <c r="C142" s="1" t="n">
        <v>46161</v>
      </c>
      <c r="D142" t="inlineStr">
        <is>
          <t>VÄSTMANLANDS LÄN</t>
        </is>
      </c>
      <c r="E142" t="inlineStr">
        <is>
          <t>SURAHAMMAR</t>
        </is>
      </c>
      <c r="F142" t="inlineStr">
        <is>
          <t>Sveaskog</t>
        </is>
      </c>
      <c r="G142" t="n">
        <v>10.4</v>
      </c>
      <c r="H142" t="n">
        <v>0</v>
      </c>
      <c r="I142" t="n">
        <v>0</v>
      </c>
      <c r="J142" t="n">
        <v>0</v>
      </c>
      <c r="K142" t="n">
        <v>0</v>
      </c>
      <c r="L142" t="n">
        <v>0</v>
      </c>
      <c r="M142" t="n">
        <v>0</v>
      </c>
      <c r="N142" t="n">
        <v>0</v>
      </c>
      <c r="O142" t="n">
        <v>0</v>
      </c>
      <c r="P142" t="n">
        <v>0</v>
      </c>
      <c r="Q142" t="n">
        <v>0</v>
      </c>
      <c r="R142" s="2" t="inlineStr"/>
    </row>
    <row r="143" ht="15" customHeight="1">
      <c r="A143" t="inlineStr">
        <is>
          <t>A 5697-2026</t>
        </is>
      </c>
      <c r="B143" s="1" t="n">
        <v>46051.50020833333</v>
      </c>
      <c r="C143" s="1" t="n">
        <v>46161</v>
      </c>
      <c r="D143" t="inlineStr">
        <is>
          <t>VÄSTMANLANDS LÄN</t>
        </is>
      </c>
      <c r="E143" t="inlineStr">
        <is>
          <t>SURAHAMMAR</t>
        </is>
      </c>
      <c r="F143" t="inlineStr">
        <is>
          <t>Sveaskog</t>
        </is>
      </c>
      <c r="G143" t="n">
        <v>3</v>
      </c>
      <c r="H143" t="n">
        <v>0</v>
      </c>
      <c r="I143" t="n">
        <v>0</v>
      </c>
      <c r="J143" t="n">
        <v>0</v>
      </c>
      <c r="K143" t="n">
        <v>0</v>
      </c>
      <c r="L143" t="n">
        <v>0</v>
      </c>
      <c r="M143" t="n">
        <v>0</v>
      </c>
      <c r="N143" t="n">
        <v>0</v>
      </c>
      <c r="O143" t="n">
        <v>0</v>
      </c>
      <c r="P143" t="n">
        <v>0</v>
      </c>
      <c r="Q143" t="n">
        <v>0</v>
      </c>
      <c r="R143" s="2" t="inlineStr"/>
    </row>
    <row r="144" ht="15" customHeight="1">
      <c r="A144" t="inlineStr">
        <is>
          <t>A 5698-2026</t>
        </is>
      </c>
      <c r="B144" s="1" t="n">
        <v>46051.50196759259</v>
      </c>
      <c r="C144" s="1" t="n">
        <v>46161</v>
      </c>
      <c r="D144" t="inlineStr">
        <is>
          <t>VÄSTMANLANDS LÄN</t>
        </is>
      </c>
      <c r="E144" t="inlineStr">
        <is>
          <t>SURAHAMMAR</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14626-2023</t>
        </is>
      </c>
      <c r="B145" s="1" t="n">
        <v>45012</v>
      </c>
      <c r="C145" s="1" t="n">
        <v>46161</v>
      </c>
      <c r="D145" t="inlineStr">
        <is>
          <t>VÄSTMANLANDS LÄN</t>
        </is>
      </c>
      <c r="E145" t="inlineStr">
        <is>
          <t>SURAHAMMAR</t>
        </is>
      </c>
      <c r="F145" t="inlineStr">
        <is>
          <t>Bergvik skog väst AB</t>
        </is>
      </c>
      <c r="G145" t="n">
        <v>5</v>
      </c>
      <c r="H145" t="n">
        <v>0</v>
      </c>
      <c r="I145" t="n">
        <v>0</v>
      </c>
      <c r="J145" t="n">
        <v>0</v>
      </c>
      <c r="K145" t="n">
        <v>0</v>
      </c>
      <c r="L145" t="n">
        <v>0</v>
      </c>
      <c r="M145" t="n">
        <v>0</v>
      </c>
      <c r="N145" t="n">
        <v>0</v>
      </c>
      <c r="O145" t="n">
        <v>0</v>
      </c>
      <c r="P145" t="n">
        <v>0</v>
      </c>
      <c r="Q145" t="n">
        <v>0</v>
      </c>
      <c r="R145" s="2" t="inlineStr"/>
    </row>
    <row r="146" ht="15" customHeight="1">
      <c r="A146" t="inlineStr">
        <is>
          <t>A 37798-2021</t>
        </is>
      </c>
      <c r="B146" s="1" t="n">
        <v>44402</v>
      </c>
      <c r="C146" s="1" t="n">
        <v>46161</v>
      </c>
      <c r="D146" t="inlineStr">
        <is>
          <t>VÄSTMANLANDS LÄN</t>
        </is>
      </c>
      <c r="E146" t="inlineStr">
        <is>
          <t>SURAHAMMAR</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25450-2024</t>
        </is>
      </c>
      <c r="B147" s="1" t="n">
        <v>45463</v>
      </c>
      <c r="C147" s="1" t="n">
        <v>46161</v>
      </c>
      <c r="D147" t="inlineStr">
        <is>
          <t>VÄSTMANLANDS LÄN</t>
        </is>
      </c>
      <c r="E147" t="inlineStr">
        <is>
          <t>SURAHAMMAR</t>
        </is>
      </c>
      <c r="F147" t="inlineStr">
        <is>
          <t>Bergvik skog väst AB</t>
        </is>
      </c>
      <c r="G147" t="n">
        <v>2.4</v>
      </c>
      <c r="H147" t="n">
        <v>0</v>
      </c>
      <c r="I147" t="n">
        <v>0</v>
      </c>
      <c r="J147" t="n">
        <v>0</v>
      </c>
      <c r="K147" t="n">
        <v>0</v>
      </c>
      <c r="L147" t="n">
        <v>0</v>
      </c>
      <c r="M147" t="n">
        <v>0</v>
      </c>
      <c r="N147" t="n">
        <v>0</v>
      </c>
      <c r="O147" t="n">
        <v>0</v>
      </c>
      <c r="P147" t="n">
        <v>0</v>
      </c>
      <c r="Q147" t="n">
        <v>0</v>
      </c>
      <c r="R147" s="2" t="inlineStr"/>
    </row>
    <row r="148" ht="15" customHeight="1">
      <c r="A148" t="inlineStr">
        <is>
          <t>A 10512-2026</t>
        </is>
      </c>
      <c r="B148" s="1" t="n">
        <v>46077.56861111111</v>
      </c>
      <c r="C148" s="1" t="n">
        <v>46161</v>
      </c>
      <c r="D148" t="inlineStr">
        <is>
          <t>VÄSTMANLANDS LÄN</t>
        </is>
      </c>
      <c r="E148" t="inlineStr">
        <is>
          <t>SURAHAMMAR</t>
        </is>
      </c>
      <c r="F148" t="inlineStr">
        <is>
          <t>Övriga Aktiebolag</t>
        </is>
      </c>
      <c r="G148" t="n">
        <v>4.3</v>
      </c>
      <c r="H148" t="n">
        <v>0</v>
      </c>
      <c r="I148" t="n">
        <v>0</v>
      </c>
      <c r="J148" t="n">
        <v>0</v>
      </c>
      <c r="K148" t="n">
        <v>0</v>
      </c>
      <c r="L148" t="n">
        <v>0</v>
      </c>
      <c r="M148" t="n">
        <v>0</v>
      </c>
      <c r="N148" t="n">
        <v>0</v>
      </c>
      <c r="O148" t="n">
        <v>0</v>
      </c>
      <c r="P148" t="n">
        <v>0</v>
      </c>
      <c r="Q148" t="n">
        <v>0</v>
      </c>
      <c r="R148" s="2" t="inlineStr"/>
    </row>
    <row r="149" ht="15" customHeight="1">
      <c r="A149" t="inlineStr">
        <is>
          <t>A 10249-2026</t>
        </is>
      </c>
      <c r="B149" s="1" t="n">
        <v>46076.55456018518</v>
      </c>
      <c r="C149" s="1" t="n">
        <v>46161</v>
      </c>
      <c r="D149" t="inlineStr">
        <is>
          <t>VÄSTMANLANDS LÄN</t>
        </is>
      </c>
      <c r="E149" t="inlineStr">
        <is>
          <t>SURAHAMMAR</t>
        </is>
      </c>
      <c r="F149" t="inlineStr">
        <is>
          <t>Allmännings- och besparingsskogar</t>
        </is>
      </c>
      <c r="G149" t="n">
        <v>4.8</v>
      </c>
      <c r="H149" t="n">
        <v>0</v>
      </c>
      <c r="I149" t="n">
        <v>0</v>
      </c>
      <c r="J149" t="n">
        <v>0</v>
      </c>
      <c r="K149" t="n">
        <v>0</v>
      </c>
      <c r="L149" t="n">
        <v>0</v>
      </c>
      <c r="M149" t="n">
        <v>0</v>
      </c>
      <c r="N149" t="n">
        <v>0</v>
      </c>
      <c r="O149" t="n">
        <v>0</v>
      </c>
      <c r="P149" t="n">
        <v>0</v>
      </c>
      <c r="Q149" t="n">
        <v>0</v>
      </c>
      <c r="R149" s="2" t="inlineStr"/>
    </row>
    <row r="150" ht="15" customHeight="1">
      <c r="A150" t="inlineStr">
        <is>
          <t>A 10244-2026</t>
        </is>
      </c>
      <c r="B150" s="1" t="n">
        <v>46076.55032407407</v>
      </c>
      <c r="C150" s="1" t="n">
        <v>46161</v>
      </c>
      <c r="D150" t="inlineStr">
        <is>
          <t>VÄSTMANLANDS LÄN</t>
        </is>
      </c>
      <c r="E150" t="inlineStr">
        <is>
          <t>SURAHAMMAR</t>
        </is>
      </c>
      <c r="F150" t="inlineStr">
        <is>
          <t>Allmännings- och besparingsskogar</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10562-2026</t>
        </is>
      </c>
      <c r="B151" s="1" t="n">
        <v>46077.64043981482</v>
      </c>
      <c r="C151" s="1" t="n">
        <v>46161</v>
      </c>
      <c r="D151" t="inlineStr">
        <is>
          <t>VÄSTMANLANDS LÄN</t>
        </is>
      </c>
      <c r="E151" t="inlineStr">
        <is>
          <t>SURAHAMMAR</t>
        </is>
      </c>
      <c r="F151" t="inlineStr">
        <is>
          <t>Övriga Aktiebolag</t>
        </is>
      </c>
      <c r="G151" t="n">
        <v>2.3</v>
      </c>
      <c r="H151" t="n">
        <v>0</v>
      </c>
      <c r="I151" t="n">
        <v>0</v>
      </c>
      <c r="J151" t="n">
        <v>0</v>
      </c>
      <c r="K151" t="n">
        <v>0</v>
      </c>
      <c r="L151" t="n">
        <v>0</v>
      </c>
      <c r="M151" t="n">
        <v>0</v>
      </c>
      <c r="N151" t="n">
        <v>0</v>
      </c>
      <c r="O151" t="n">
        <v>0</v>
      </c>
      <c r="P151" t="n">
        <v>0</v>
      </c>
      <c r="Q151" t="n">
        <v>0</v>
      </c>
      <c r="R151" s="2" t="inlineStr"/>
    </row>
    <row r="152" ht="15" customHeight="1">
      <c r="A152" t="inlineStr">
        <is>
          <t>A 19782-2023</t>
        </is>
      </c>
      <c r="B152" s="1" t="n">
        <v>45050</v>
      </c>
      <c r="C152" s="1" t="n">
        <v>46161</v>
      </c>
      <c r="D152" t="inlineStr">
        <is>
          <t>VÄSTMANLANDS LÄN</t>
        </is>
      </c>
      <c r="E152" t="inlineStr">
        <is>
          <t>SURAHAMMAR</t>
        </is>
      </c>
      <c r="F152" t="inlineStr">
        <is>
          <t>Bergvik skog väst AB</t>
        </is>
      </c>
      <c r="G152" t="n">
        <v>5.2</v>
      </c>
      <c r="H152" t="n">
        <v>0</v>
      </c>
      <c r="I152" t="n">
        <v>0</v>
      </c>
      <c r="J152" t="n">
        <v>0</v>
      </c>
      <c r="K152" t="n">
        <v>0</v>
      </c>
      <c r="L152" t="n">
        <v>0</v>
      </c>
      <c r="M152" t="n">
        <v>0</v>
      </c>
      <c r="N152" t="n">
        <v>0</v>
      </c>
      <c r="O152" t="n">
        <v>0</v>
      </c>
      <c r="P152" t="n">
        <v>0</v>
      </c>
      <c r="Q152" t="n">
        <v>0</v>
      </c>
      <c r="R152" s="2" t="inlineStr"/>
    </row>
    <row r="153" ht="15" customHeight="1">
      <c r="A153" t="inlineStr">
        <is>
          <t>A 10347-2026</t>
        </is>
      </c>
      <c r="B153" s="1" t="n">
        <v>46076.69101851852</v>
      </c>
      <c r="C153" s="1" t="n">
        <v>46161</v>
      </c>
      <c r="D153" t="inlineStr">
        <is>
          <t>VÄSTMANLANDS LÄN</t>
        </is>
      </c>
      <c r="E153" t="inlineStr">
        <is>
          <t>SURAHAMMAR</t>
        </is>
      </c>
      <c r="F153" t="inlineStr">
        <is>
          <t>Allmännings- och besparingsskogar</t>
        </is>
      </c>
      <c r="G153" t="n">
        <v>3</v>
      </c>
      <c r="H153" t="n">
        <v>0</v>
      </c>
      <c r="I153" t="n">
        <v>0</v>
      </c>
      <c r="J153" t="n">
        <v>0</v>
      </c>
      <c r="K153" t="n">
        <v>0</v>
      </c>
      <c r="L153" t="n">
        <v>0</v>
      </c>
      <c r="M153" t="n">
        <v>0</v>
      </c>
      <c r="N153" t="n">
        <v>0</v>
      </c>
      <c r="O153" t="n">
        <v>0</v>
      </c>
      <c r="P153" t="n">
        <v>0</v>
      </c>
      <c r="Q153" t="n">
        <v>0</v>
      </c>
      <c r="R153" s="2" t="inlineStr"/>
    </row>
    <row r="154" ht="15" customHeight="1">
      <c r="A154" t="inlineStr">
        <is>
          <t>A 7848-2022</t>
        </is>
      </c>
      <c r="B154" s="1" t="n">
        <v>44608.58400462963</v>
      </c>
      <c r="C154" s="1" t="n">
        <v>46161</v>
      </c>
      <c r="D154" t="inlineStr">
        <is>
          <t>VÄSTMANLANDS LÄN</t>
        </is>
      </c>
      <c r="E154" t="inlineStr">
        <is>
          <t>SURAHAMMAR</t>
        </is>
      </c>
      <c r="G154" t="n">
        <v>2.1</v>
      </c>
      <c r="H154" t="n">
        <v>0</v>
      </c>
      <c r="I154" t="n">
        <v>0</v>
      </c>
      <c r="J154" t="n">
        <v>0</v>
      </c>
      <c r="K154" t="n">
        <v>0</v>
      </c>
      <c r="L154" t="n">
        <v>0</v>
      </c>
      <c r="M154" t="n">
        <v>0</v>
      </c>
      <c r="N154" t="n">
        <v>0</v>
      </c>
      <c r="O154" t="n">
        <v>0</v>
      </c>
      <c r="P154" t="n">
        <v>0</v>
      </c>
      <c r="Q154" t="n">
        <v>0</v>
      </c>
      <c r="R154" s="2" t="inlineStr"/>
    </row>
    <row r="155" ht="15" customHeight="1">
      <c r="A155" t="inlineStr">
        <is>
          <t>A 19246-2026</t>
        </is>
      </c>
      <c r="B155" s="1" t="n">
        <v>46132.66501157408</v>
      </c>
      <c r="C155" s="1" t="n">
        <v>46161</v>
      </c>
      <c r="D155" t="inlineStr">
        <is>
          <t>VÄSTMANLANDS LÄN</t>
        </is>
      </c>
      <c r="E155" t="inlineStr">
        <is>
          <t>SURAHAMMAR</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24167-2024</t>
        </is>
      </c>
      <c r="B156" s="1" t="n">
        <v>45456</v>
      </c>
      <c r="C156" s="1" t="n">
        <v>46161</v>
      </c>
      <c r="D156" t="inlineStr">
        <is>
          <t>VÄSTMANLANDS LÄN</t>
        </is>
      </c>
      <c r="E156" t="inlineStr">
        <is>
          <t>SURAHAMMAR</t>
        </is>
      </c>
      <c r="G156" t="n">
        <v>0.6</v>
      </c>
      <c r="H156" t="n">
        <v>0</v>
      </c>
      <c r="I156" t="n">
        <v>0</v>
      </c>
      <c r="J156" t="n">
        <v>0</v>
      </c>
      <c r="K156" t="n">
        <v>0</v>
      </c>
      <c r="L156" t="n">
        <v>0</v>
      </c>
      <c r="M156" t="n">
        <v>0</v>
      </c>
      <c r="N156" t="n">
        <v>0</v>
      </c>
      <c r="O156" t="n">
        <v>0</v>
      </c>
      <c r="P156" t="n">
        <v>0</v>
      </c>
      <c r="Q156" t="n">
        <v>0</v>
      </c>
      <c r="R156" s="2" t="inlineStr"/>
    </row>
    <row r="157" ht="15" customHeight="1">
      <c r="A157" t="inlineStr">
        <is>
          <t>A 12841-2026</t>
        </is>
      </c>
      <c r="B157" s="1" t="n">
        <v>46091</v>
      </c>
      <c r="C157" s="1" t="n">
        <v>46161</v>
      </c>
      <c r="D157" t="inlineStr">
        <is>
          <t>VÄSTMANLANDS LÄN</t>
        </is>
      </c>
      <c r="E157" t="inlineStr">
        <is>
          <t>SURAHAMMAR</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56378-2023</t>
        </is>
      </c>
      <c r="B158" s="1" t="n">
        <v>45236</v>
      </c>
      <c r="C158" s="1" t="n">
        <v>46161</v>
      </c>
      <c r="D158" t="inlineStr">
        <is>
          <t>VÄSTMANLANDS LÄN</t>
        </is>
      </c>
      <c r="E158" t="inlineStr">
        <is>
          <t>SURAHAMMAR</t>
        </is>
      </c>
      <c r="F158" t="inlineStr">
        <is>
          <t>Bergvik skog väst AB</t>
        </is>
      </c>
      <c r="G158" t="n">
        <v>4.6</v>
      </c>
      <c r="H158" t="n">
        <v>0</v>
      </c>
      <c r="I158" t="n">
        <v>0</v>
      </c>
      <c r="J158" t="n">
        <v>0</v>
      </c>
      <c r="K158" t="n">
        <v>0</v>
      </c>
      <c r="L158" t="n">
        <v>0</v>
      </c>
      <c r="M158" t="n">
        <v>0</v>
      </c>
      <c r="N158" t="n">
        <v>0</v>
      </c>
      <c r="O158" t="n">
        <v>0</v>
      </c>
      <c r="P158" t="n">
        <v>0</v>
      </c>
      <c r="Q158" t="n">
        <v>0</v>
      </c>
      <c r="R158" s="2" t="inlineStr"/>
    </row>
    <row r="159" ht="15" customHeight="1">
      <c r="A159" t="inlineStr">
        <is>
          <t>A 19099-2022</t>
        </is>
      </c>
      <c r="B159" s="1" t="n">
        <v>44691</v>
      </c>
      <c r="C159" s="1" t="n">
        <v>46161</v>
      </c>
      <c r="D159" t="inlineStr">
        <is>
          <t>VÄSTMANLANDS LÄN</t>
        </is>
      </c>
      <c r="E159" t="inlineStr">
        <is>
          <t>SURAHAMMAR</t>
        </is>
      </c>
      <c r="F159" t="inlineStr">
        <is>
          <t>Övriga Aktiebolag</t>
        </is>
      </c>
      <c r="G159" t="n">
        <v>3.4</v>
      </c>
      <c r="H159" t="n">
        <v>0</v>
      </c>
      <c r="I159" t="n">
        <v>0</v>
      </c>
      <c r="J159" t="n">
        <v>0</v>
      </c>
      <c r="K159" t="n">
        <v>0</v>
      </c>
      <c r="L159" t="n">
        <v>0</v>
      </c>
      <c r="M159" t="n">
        <v>0</v>
      </c>
      <c r="N159" t="n">
        <v>0</v>
      </c>
      <c r="O159" t="n">
        <v>0</v>
      </c>
      <c r="P159" t="n">
        <v>0</v>
      </c>
      <c r="Q159" t="n">
        <v>0</v>
      </c>
      <c r="R159" s="2" t="inlineStr"/>
    </row>
    <row r="160" ht="15" customHeight="1">
      <c r="A160" t="inlineStr">
        <is>
          <t>A 11501-2023</t>
        </is>
      </c>
      <c r="B160" s="1" t="n">
        <v>44991</v>
      </c>
      <c r="C160" s="1" t="n">
        <v>46161</v>
      </c>
      <c r="D160" t="inlineStr">
        <is>
          <t>VÄSTMANLANDS LÄN</t>
        </is>
      </c>
      <c r="E160" t="inlineStr">
        <is>
          <t>SURAHAMMAR</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20535-2026</t>
        </is>
      </c>
      <c r="B161" s="1" t="n">
        <v>46140.56516203703</v>
      </c>
      <c r="C161" s="1" t="n">
        <v>46161</v>
      </c>
      <c r="D161" t="inlineStr">
        <is>
          <t>VÄSTMANLANDS LÄN</t>
        </is>
      </c>
      <c r="E161" t="inlineStr">
        <is>
          <t>SURAHAMMAR</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46161</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22628-2026</t>
        </is>
      </c>
      <c r="B163" s="1" t="n">
        <v>46155.6371875</v>
      </c>
      <c r="C163" s="1" t="n">
        <v>46161</v>
      </c>
      <c r="D163" t="inlineStr">
        <is>
          <t>VÄSTMANLANDS LÄN</t>
        </is>
      </c>
      <c r="E163" t="inlineStr">
        <is>
          <t>SURAHAMMAR</t>
        </is>
      </c>
      <c r="F163" t="inlineStr">
        <is>
          <t>Sveaskog</t>
        </is>
      </c>
      <c r="G163" t="n">
        <v>5</v>
      </c>
      <c r="H163" t="n">
        <v>0</v>
      </c>
      <c r="I163" t="n">
        <v>0</v>
      </c>
      <c r="J163" t="n">
        <v>0</v>
      </c>
      <c r="K163" t="n">
        <v>0</v>
      </c>
      <c r="L163" t="n">
        <v>0</v>
      </c>
      <c r="M163" t="n">
        <v>0</v>
      </c>
      <c r="N163" t="n">
        <v>0</v>
      </c>
      <c r="O163" t="n">
        <v>0</v>
      </c>
      <c r="P163" t="n">
        <v>0</v>
      </c>
      <c r="Q163" t="n">
        <v>0</v>
      </c>
      <c r="R163" s="2" t="inlineStr"/>
    </row>
    <row r="164" ht="15" customHeight="1">
      <c r="A164" t="inlineStr">
        <is>
          <t>A 22626-2026</t>
        </is>
      </c>
      <c r="B164" s="1" t="n">
        <v>46155.63545138889</v>
      </c>
      <c r="C164" s="1" t="n">
        <v>46161</v>
      </c>
      <c r="D164" t="inlineStr">
        <is>
          <t>VÄSTMANLANDS LÄN</t>
        </is>
      </c>
      <c r="E164" t="inlineStr">
        <is>
          <t>SURAHAMMAR</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22630-2026</t>
        </is>
      </c>
      <c r="B165" s="1" t="n">
        <v>46155.63839120371</v>
      </c>
      <c r="C165" s="1" t="n">
        <v>46161</v>
      </c>
      <c r="D165" t="inlineStr">
        <is>
          <t>VÄSTMANLANDS LÄN</t>
        </is>
      </c>
      <c r="E165" t="inlineStr">
        <is>
          <t>SURAHAMMAR</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21509-2024</t>
        </is>
      </c>
      <c r="B166" s="1" t="n">
        <v>45441</v>
      </c>
      <c r="C166" s="1" t="n">
        <v>46161</v>
      </c>
      <c r="D166" t="inlineStr">
        <is>
          <t>VÄSTMANLANDS LÄN</t>
        </is>
      </c>
      <c r="E166" t="inlineStr">
        <is>
          <t>SURAHAMMAR</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22662-2023</t>
        </is>
      </c>
      <c r="B167" s="1" t="n">
        <v>45071</v>
      </c>
      <c r="C167" s="1" t="n">
        <v>46161</v>
      </c>
      <c r="D167" t="inlineStr">
        <is>
          <t>VÄSTMANLANDS LÄN</t>
        </is>
      </c>
      <c r="E167" t="inlineStr">
        <is>
          <t>SURAHAMMAR</t>
        </is>
      </c>
      <c r="F167" t="inlineStr">
        <is>
          <t>Sveaskog</t>
        </is>
      </c>
      <c r="G167" t="n">
        <v>0.6</v>
      </c>
      <c r="H167" t="n">
        <v>0</v>
      </c>
      <c r="I167" t="n">
        <v>0</v>
      </c>
      <c r="J167" t="n">
        <v>0</v>
      </c>
      <c r="K167" t="n">
        <v>0</v>
      </c>
      <c r="L167" t="n">
        <v>0</v>
      </c>
      <c r="M167" t="n">
        <v>0</v>
      </c>
      <c r="N167" t="n">
        <v>0</v>
      </c>
      <c r="O167" t="n">
        <v>0</v>
      </c>
      <c r="P167" t="n">
        <v>0</v>
      </c>
      <c r="Q167" t="n">
        <v>0</v>
      </c>
      <c r="R167" s="2" t="inlineStr"/>
    </row>
    <row r="168" ht="15" customHeight="1">
      <c r="A168" t="inlineStr">
        <is>
          <t>A 16013-2023</t>
        </is>
      </c>
      <c r="B168" s="1" t="n">
        <v>45026</v>
      </c>
      <c r="C168" s="1" t="n">
        <v>46161</v>
      </c>
      <c r="D168" t="inlineStr">
        <is>
          <t>VÄSTMANLANDS LÄN</t>
        </is>
      </c>
      <c r="E168" t="inlineStr">
        <is>
          <t>SURAHAMMAR</t>
        </is>
      </c>
      <c r="G168" t="n">
        <v>3.9</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46161</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25780-2023</t>
        </is>
      </c>
      <c r="B170" s="1" t="n">
        <v>45090.47523148148</v>
      </c>
      <c r="C170" s="1" t="n">
        <v>46161</v>
      </c>
      <c r="D170" t="inlineStr">
        <is>
          <t>VÄSTMANLANDS LÄN</t>
        </is>
      </c>
      <c r="E170" t="inlineStr">
        <is>
          <t>SURAHAMMAR</t>
        </is>
      </c>
      <c r="G170" t="n">
        <v>2.8</v>
      </c>
      <c r="H170" t="n">
        <v>0</v>
      </c>
      <c r="I170" t="n">
        <v>0</v>
      </c>
      <c r="J170" t="n">
        <v>0</v>
      </c>
      <c r="K170" t="n">
        <v>0</v>
      </c>
      <c r="L170" t="n">
        <v>0</v>
      </c>
      <c r="M170" t="n">
        <v>0</v>
      </c>
      <c r="N170" t="n">
        <v>0</v>
      </c>
      <c r="O170" t="n">
        <v>0</v>
      </c>
      <c r="P170" t="n">
        <v>0</v>
      </c>
      <c r="Q170" t="n">
        <v>0</v>
      </c>
      <c r="R170" s="2" t="inlineStr"/>
    </row>
    <row r="171">
      <c r="A171" t="inlineStr">
        <is>
          <t>A 13386-2025</t>
        </is>
      </c>
      <c r="B171" s="1" t="n">
        <v>45735</v>
      </c>
      <c r="C171" s="1" t="n">
        <v>46161</v>
      </c>
      <c r="D171" t="inlineStr">
        <is>
          <t>VÄSTMANLANDS LÄN</t>
        </is>
      </c>
      <c r="E171" t="inlineStr">
        <is>
          <t>SURAHAMMAR</t>
        </is>
      </c>
      <c r="F171" t="inlineStr">
        <is>
          <t>Bergvik skog väst AB</t>
        </is>
      </c>
      <c r="G171" t="n">
        <v>4</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2026-05-19T10:58:09Z</dcterms:created>
  <dcterms:modified xmlns:dcterms="http://purl.org/dc/terms/" xmlns:xsi="http://www.w3.org/2001/XMLSchema-instance" xsi:type="dcterms:W3CDTF">2026-05-19T10:58:09Z</dcterms:modified>
</cp:coreProperties>
</file>