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45912</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45912</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45912</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45912</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45912</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45912</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45912</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45912</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45912</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45912</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45912</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45912</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45912</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45912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45912</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25548-2024</t>
        </is>
      </c>
      <c r="B21" s="1" t="n">
        <v>45463</v>
      </c>
      <c r="C21" s="1" t="n">
        <v>45912</v>
      </c>
      <c r="D21" t="inlineStr">
        <is>
          <t>VÄSTMANLANDS LÄN</t>
        </is>
      </c>
      <c r="E21" t="inlineStr">
        <is>
          <t>SURAHAMMAR</t>
        </is>
      </c>
      <c r="F21" t="inlineStr">
        <is>
          <t>Bergvik skog väst AB</t>
        </is>
      </c>
      <c r="G21" t="n">
        <v>5.1</v>
      </c>
      <c r="H21" t="n">
        <v>3</v>
      </c>
      <c r="I21" t="n">
        <v>1</v>
      </c>
      <c r="J21" t="n">
        <v>0</v>
      </c>
      <c r="K21" t="n">
        <v>1</v>
      </c>
      <c r="L21" t="n">
        <v>0</v>
      </c>
      <c r="M21" t="n">
        <v>0</v>
      </c>
      <c r="N21" t="n">
        <v>0</v>
      </c>
      <c r="O21" t="n">
        <v>1</v>
      </c>
      <c r="P21" t="n">
        <v>1</v>
      </c>
      <c r="Q21" t="n">
        <v>4</v>
      </c>
      <c r="R21" s="2" t="inlineStr">
        <is>
          <t>Knärot
Vedticka
Fläcknycklar
Nattviol</t>
        </is>
      </c>
      <c r="S21">
        <f>HYPERLINK("https://klasma.github.io/Logging_1907/artfynd/A 25548-2024 artfynd.xlsx", "A 25548-2024")</f>
        <v/>
      </c>
      <c r="T21">
        <f>HYPERLINK("https://klasma.github.io/Logging_1907/kartor/A 25548-2024 karta.png", "A 25548-2024")</f>
        <v/>
      </c>
      <c r="U21">
        <f>HYPERLINK("https://klasma.github.io/Logging_1907/knärot/A 25548-2024 karta knärot.png", "A 25548-2024")</f>
        <v/>
      </c>
      <c r="V21">
        <f>HYPERLINK("https://klasma.github.io/Logging_1907/klagomål/A 25548-2024 FSC-klagomål.docx", "A 25548-2024")</f>
        <v/>
      </c>
      <c r="W21">
        <f>HYPERLINK("https://klasma.github.io/Logging_1907/klagomålsmail/A 25548-2024 FSC-klagomål mail.docx", "A 25548-2024")</f>
        <v/>
      </c>
      <c r="X21">
        <f>HYPERLINK("https://klasma.github.io/Logging_1907/tillsyn/A 25548-2024 tillsynsbegäran.docx", "A 25548-2024")</f>
        <v/>
      </c>
      <c r="Y21">
        <f>HYPERLINK("https://klasma.github.io/Logging_1907/tillsynsmail/A 25548-2024 tillsynsbegäran mail.docx", "A 25548-2024")</f>
        <v/>
      </c>
    </row>
    <row r="22" ht="15" customHeight="1">
      <c r="A22" t="inlineStr">
        <is>
          <t>A 38172-2024</t>
        </is>
      </c>
      <c r="B22" s="1" t="n">
        <v>45545</v>
      </c>
      <c r="C22" s="1" t="n">
        <v>45912</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45912</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45912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59550-2020</t>
        </is>
      </c>
      <c r="B25" s="1" t="n">
        <v>44148</v>
      </c>
      <c r="C25" s="1" t="n">
        <v>45912</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20391-2024</t>
        </is>
      </c>
      <c r="B26" s="1" t="n">
        <v>45435</v>
      </c>
      <c r="C26" s="1" t="n">
        <v>45912</v>
      </c>
      <c r="D26" t="inlineStr">
        <is>
          <t>VÄSTMANLANDS LÄN</t>
        </is>
      </c>
      <c r="E26" t="inlineStr">
        <is>
          <t>SURAHAMMAR</t>
        </is>
      </c>
      <c r="G26" t="n">
        <v>1.5</v>
      </c>
      <c r="H26" t="n">
        <v>0</v>
      </c>
      <c r="I26" t="n">
        <v>2</v>
      </c>
      <c r="J26" t="n">
        <v>1</v>
      </c>
      <c r="K26" t="n">
        <v>0</v>
      </c>
      <c r="L26" t="n">
        <v>0</v>
      </c>
      <c r="M26" t="n">
        <v>0</v>
      </c>
      <c r="N26" t="n">
        <v>0</v>
      </c>
      <c r="O26" t="n">
        <v>1</v>
      </c>
      <c r="P26" t="n">
        <v>0</v>
      </c>
      <c r="Q26" t="n">
        <v>3</v>
      </c>
      <c r="R26" s="2" t="inlineStr">
        <is>
          <t>Vedtrappmossa
Kattfotslav
Stubbspretmossa</t>
        </is>
      </c>
      <c r="S26">
        <f>HYPERLINK("https://klasma.github.io/Logging_1907/artfynd/A 20391-2024 artfynd.xlsx", "A 20391-2024")</f>
        <v/>
      </c>
      <c r="T26">
        <f>HYPERLINK("https://klasma.github.io/Logging_1907/kartor/A 20391-2024 karta.png", "A 20391-2024")</f>
        <v/>
      </c>
      <c r="V26">
        <f>HYPERLINK("https://klasma.github.io/Logging_1907/klagomål/A 20391-2024 FSC-klagomål.docx", "A 20391-2024")</f>
        <v/>
      </c>
      <c r="W26">
        <f>HYPERLINK("https://klasma.github.io/Logging_1907/klagomålsmail/A 20391-2024 FSC-klagomål mail.docx", "A 20391-2024")</f>
        <v/>
      </c>
      <c r="X26">
        <f>HYPERLINK("https://klasma.github.io/Logging_1907/tillsyn/A 20391-2024 tillsynsbegäran.docx", "A 20391-2024")</f>
        <v/>
      </c>
      <c r="Y26">
        <f>HYPERLINK("https://klasma.github.io/Logging_1907/tillsynsmail/A 20391-2024 tillsynsbegäran mail.docx", "A 20391-2024")</f>
        <v/>
      </c>
    </row>
    <row r="27" ht="15" customHeight="1">
      <c r="A27" t="inlineStr">
        <is>
          <t>A 42860-2022</t>
        </is>
      </c>
      <c r="B27" s="1" t="n">
        <v>44832</v>
      </c>
      <c r="C27" s="1" t="n">
        <v>45912</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48128-2023</t>
        </is>
      </c>
      <c r="B28" s="1" t="n">
        <v>45205</v>
      </c>
      <c r="C28" s="1" t="n">
        <v>45912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42853-2022</t>
        </is>
      </c>
      <c r="B29" s="1" t="n">
        <v>44832</v>
      </c>
      <c r="C29" s="1" t="n">
        <v>45912</v>
      </c>
      <c r="D29" t="inlineStr">
        <is>
          <t>VÄSTMANLANDS LÄN</t>
        </is>
      </c>
      <c r="E29" t="inlineStr">
        <is>
          <t>SURAHAMMAR</t>
        </is>
      </c>
      <c r="G29" t="n">
        <v>7.4</v>
      </c>
      <c r="H29" t="n">
        <v>1</v>
      </c>
      <c r="I29" t="n">
        <v>1</v>
      </c>
      <c r="J29" t="n">
        <v>1</v>
      </c>
      <c r="K29" t="n">
        <v>0</v>
      </c>
      <c r="L29" t="n">
        <v>1</v>
      </c>
      <c r="M29" t="n">
        <v>0</v>
      </c>
      <c r="N29" t="n">
        <v>0</v>
      </c>
      <c r="O29" t="n">
        <v>2</v>
      </c>
      <c r="P29" t="n">
        <v>1</v>
      </c>
      <c r="Q29" t="n">
        <v>3</v>
      </c>
      <c r="R29" s="2" t="inlineStr">
        <is>
          <t>Ask
Kandelabersvamp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row>
    <row r="30" ht="15" customHeight="1">
      <c r="A30" t="inlineStr">
        <is>
          <t>A 42708-2022</t>
        </is>
      </c>
      <c r="B30" s="1" t="n">
        <v>44832</v>
      </c>
      <c r="C30" s="1" t="n">
        <v>45912</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38200-2021</t>
        </is>
      </c>
      <c r="B31" s="1" t="n">
        <v>44405</v>
      </c>
      <c r="C31" s="1" t="n">
        <v>45912</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45912</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45912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45912</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45912</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45912</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45912</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45912</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45912</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45912</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45912</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45912</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45912</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45912</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21716-2025</t>
        </is>
      </c>
      <c r="B45" s="1" t="n">
        <v>45783.54804398148</v>
      </c>
      <c r="C45" s="1" t="n">
        <v>45912</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44356-2024</t>
        </is>
      </c>
      <c r="B46" s="1" t="n">
        <v>45573</v>
      </c>
      <c r="C46" s="1" t="n">
        <v>45912</v>
      </c>
      <c r="D46" t="inlineStr">
        <is>
          <t>VÄSTMANLANDS LÄN</t>
        </is>
      </c>
      <c r="E46" t="inlineStr">
        <is>
          <t>SURAHAMMAR</t>
        </is>
      </c>
      <c r="F46" t="inlineStr">
        <is>
          <t>Sveaskog</t>
        </is>
      </c>
      <c r="G46" t="n">
        <v>0.7</v>
      </c>
      <c r="H46" t="n">
        <v>1</v>
      </c>
      <c r="I46" t="n">
        <v>0</v>
      </c>
      <c r="J46" t="n">
        <v>0</v>
      </c>
      <c r="K46" t="n">
        <v>0</v>
      </c>
      <c r="L46" t="n">
        <v>0</v>
      </c>
      <c r="M46" t="n">
        <v>0</v>
      </c>
      <c r="N46" t="n">
        <v>0</v>
      </c>
      <c r="O46" t="n">
        <v>0</v>
      </c>
      <c r="P46" t="n">
        <v>0</v>
      </c>
      <c r="Q46" t="n">
        <v>1</v>
      </c>
      <c r="R46" s="2" t="inlineStr">
        <is>
          <t>Revlummer</t>
        </is>
      </c>
      <c r="S46">
        <f>HYPERLINK("https://klasma.github.io/Logging_1907/artfynd/A 44356-2024 artfynd.xlsx", "A 44356-2024")</f>
        <v/>
      </c>
      <c r="T46">
        <f>HYPERLINK("https://klasma.github.io/Logging_1907/kartor/A 44356-2024 karta.png", "A 44356-2024")</f>
        <v/>
      </c>
      <c r="V46">
        <f>HYPERLINK("https://klasma.github.io/Logging_1907/klagomål/A 44356-2024 FSC-klagomål.docx", "A 44356-2024")</f>
        <v/>
      </c>
      <c r="W46">
        <f>HYPERLINK("https://klasma.github.io/Logging_1907/klagomålsmail/A 44356-2024 FSC-klagomål mail.docx", "A 44356-2024")</f>
        <v/>
      </c>
      <c r="X46">
        <f>HYPERLINK("https://klasma.github.io/Logging_1907/tillsyn/A 44356-2024 tillsynsbegäran.docx", "A 44356-2024")</f>
        <v/>
      </c>
      <c r="Y46">
        <f>HYPERLINK("https://klasma.github.io/Logging_1907/tillsynsmail/A 44356-2024 tillsynsbegäran mail.docx", "A 44356-2024")</f>
        <v/>
      </c>
    </row>
    <row r="47" ht="15" customHeight="1">
      <c r="A47" t="inlineStr">
        <is>
          <t>A 30074-2023</t>
        </is>
      </c>
      <c r="B47" s="1" t="n">
        <v>45110</v>
      </c>
      <c r="C47" s="1" t="n">
        <v>45912</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22840-2023</t>
        </is>
      </c>
      <c r="B48" s="1" t="n">
        <v>45072</v>
      </c>
      <c r="C48" s="1" t="n">
        <v>45912</v>
      </c>
      <c r="D48" t="inlineStr">
        <is>
          <t>VÄSTMANLANDS LÄN</t>
        </is>
      </c>
      <c r="E48" t="inlineStr">
        <is>
          <t>SURAHAMMAR</t>
        </is>
      </c>
      <c r="G48" t="n">
        <v>4.3</v>
      </c>
      <c r="H48" t="n">
        <v>1</v>
      </c>
      <c r="I48" t="n">
        <v>0</v>
      </c>
      <c r="J48" t="n">
        <v>0</v>
      </c>
      <c r="K48" t="n">
        <v>0</v>
      </c>
      <c r="L48" t="n">
        <v>0</v>
      </c>
      <c r="M48" t="n">
        <v>0</v>
      </c>
      <c r="N48" t="n">
        <v>0</v>
      </c>
      <c r="O48" t="n">
        <v>0</v>
      </c>
      <c r="P48" t="n">
        <v>0</v>
      </c>
      <c r="Q48" t="n">
        <v>1</v>
      </c>
      <c r="R48" s="2" t="inlineStr">
        <is>
          <t>Fläcknycklar</t>
        </is>
      </c>
      <c r="S48">
        <f>HYPERLINK("https://klasma.github.io/Logging_1907/artfynd/A 22840-2023 artfynd.xlsx", "A 22840-2023")</f>
        <v/>
      </c>
      <c r="T48">
        <f>HYPERLINK("https://klasma.github.io/Logging_1907/kartor/A 22840-2023 karta.png", "A 22840-2023")</f>
        <v/>
      </c>
      <c r="V48">
        <f>HYPERLINK("https://klasma.github.io/Logging_1907/klagomål/A 22840-2023 FSC-klagomål.docx", "A 22840-2023")</f>
        <v/>
      </c>
      <c r="W48">
        <f>HYPERLINK("https://klasma.github.io/Logging_1907/klagomålsmail/A 22840-2023 FSC-klagomål mail.docx", "A 22840-2023")</f>
        <v/>
      </c>
      <c r="X48">
        <f>HYPERLINK("https://klasma.github.io/Logging_1907/tillsyn/A 22840-2023 tillsynsbegäran.docx", "A 22840-2023")</f>
        <v/>
      </c>
      <c r="Y48">
        <f>HYPERLINK("https://klasma.github.io/Logging_1907/tillsynsmail/A 22840-2023 tillsynsbegäran mail.docx", "A 22840-2023")</f>
        <v/>
      </c>
    </row>
    <row r="49" ht="15" customHeight="1">
      <c r="A49" t="inlineStr">
        <is>
          <t>A 33231-2024</t>
        </is>
      </c>
      <c r="B49" s="1" t="n">
        <v>45518</v>
      </c>
      <c r="C49" s="1" t="n">
        <v>45912</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56362-2023</t>
        </is>
      </c>
      <c r="B50" s="1" t="n">
        <v>45236</v>
      </c>
      <c r="C50" s="1" t="n">
        <v>45912</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13788-2025</t>
        </is>
      </c>
      <c r="B51" s="1" t="n">
        <v>45737.45327546296</v>
      </c>
      <c r="C51" s="1" t="n">
        <v>45912</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47453-2024</t>
        </is>
      </c>
      <c r="B52" s="1" t="n">
        <v>45587.55017361111</v>
      </c>
      <c r="C52" s="1" t="n">
        <v>45912</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45912</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62097-2024</t>
        </is>
      </c>
      <c r="B54" s="1" t="n">
        <v>45646</v>
      </c>
      <c r="C54" s="1" t="n">
        <v>45912</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14001-2023</t>
        </is>
      </c>
      <c r="B55" s="1" t="n">
        <v>45007</v>
      </c>
      <c r="C55" s="1" t="n">
        <v>45912</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39099-2022</t>
        </is>
      </c>
      <c r="B56" s="1" t="n">
        <v>44817</v>
      </c>
      <c r="C56" s="1" t="n">
        <v>45912</v>
      </c>
      <c r="D56" t="inlineStr">
        <is>
          <t>VÄSTMANLANDS LÄN</t>
        </is>
      </c>
      <c r="E56" t="inlineStr">
        <is>
          <t>SURAHAMMAR</t>
        </is>
      </c>
      <c r="F56" t="inlineStr">
        <is>
          <t>Bergvik skog väst AB</t>
        </is>
      </c>
      <c r="G56" t="n">
        <v>7.4</v>
      </c>
      <c r="H56" t="n">
        <v>0</v>
      </c>
      <c r="I56" t="n">
        <v>1</v>
      </c>
      <c r="J56" t="n">
        <v>0</v>
      </c>
      <c r="K56" t="n">
        <v>0</v>
      </c>
      <c r="L56" t="n">
        <v>0</v>
      </c>
      <c r="M56" t="n">
        <v>0</v>
      </c>
      <c r="N56" t="n">
        <v>0</v>
      </c>
      <c r="O56" t="n">
        <v>0</v>
      </c>
      <c r="P56" t="n">
        <v>0</v>
      </c>
      <c r="Q56" t="n">
        <v>1</v>
      </c>
      <c r="R56" s="2" t="inlineStr">
        <is>
          <t>Stekelbock</t>
        </is>
      </c>
      <c r="S56">
        <f>HYPERLINK("https://klasma.github.io/Logging_1907/artfynd/A 39099-2022 artfynd.xlsx", "A 39099-2022")</f>
        <v/>
      </c>
      <c r="T56">
        <f>HYPERLINK("https://klasma.github.io/Logging_1907/kartor/A 39099-2022 karta.png", "A 39099-2022")</f>
        <v/>
      </c>
      <c r="V56">
        <f>HYPERLINK("https://klasma.github.io/Logging_1907/klagomål/A 39099-2022 FSC-klagomål.docx", "A 39099-2022")</f>
        <v/>
      </c>
      <c r="W56">
        <f>HYPERLINK("https://klasma.github.io/Logging_1907/klagomålsmail/A 39099-2022 FSC-klagomål mail.docx", "A 39099-2022")</f>
        <v/>
      </c>
      <c r="X56">
        <f>HYPERLINK("https://klasma.github.io/Logging_1907/tillsyn/A 39099-2022 tillsynsbegäran.docx", "A 39099-2022")</f>
        <v/>
      </c>
      <c r="Y56">
        <f>HYPERLINK("https://klasma.github.io/Logging_1907/tillsynsmail/A 39099-2022 tillsynsbegäran mail.docx", "A 39099-2022")</f>
        <v/>
      </c>
    </row>
    <row r="57" ht="15" customHeight="1">
      <c r="A57" t="inlineStr">
        <is>
          <t>A 42765-2022</t>
        </is>
      </c>
      <c r="B57" s="1" t="n">
        <v>44832</v>
      </c>
      <c r="C57" s="1" t="n">
        <v>45912</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10819-2024</t>
        </is>
      </c>
      <c r="B58" s="1" t="n">
        <v>45369.66049768519</v>
      </c>
      <c r="C58" s="1" t="n">
        <v>45912</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40403-2025</t>
        </is>
      </c>
      <c r="B59" s="1" t="n">
        <v>45895</v>
      </c>
      <c r="C59" s="1" t="n">
        <v>45912</v>
      </c>
      <c r="D59" t="inlineStr">
        <is>
          <t>VÄSTMANLANDS LÄN</t>
        </is>
      </c>
      <c r="E59" t="inlineStr">
        <is>
          <t>SURAHAMMAR</t>
        </is>
      </c>
      <c r="F59" t="inlineStr">
        <is>
          <t>Kommuner</t>
        </is>
      </c>
      <c r="G59" t="n">
        <v>3.9</v>
      </c>
      <c r="H59" t="n">
        <v>0</v>
      </c>
      <c r="I59" t="n">
        <v>0</v>
      </c>
      <c r="J59" t="n">
        <v>1</v>
      </c>
      <c r="K59" t="n">
        <v>0</v>
      </c>
      <c r="L59" t="n">
        <v>0</v>
      </c>
      <c r="M59" t="n">
        <v>0</v>
      </c>
      <c r="N59" t="n">
        <v>0</v>
      </c>
      <c r="O59" t="n">
        <v>1</v>
      </c>
      <c r="P59" t="n">
        <v>0</v>
      </c>
      <c r="Q59" t="n">
        <v>1</v>
      </c>
      <c r="R59" s="2" t="inlineStr">
        <is>
          <t>Igelkott</t>
        </is>
      </c>
      <c r="S59">
        <f>HYPERLINK("https://klasma.github.io/Logging_1907/artfynd/A 40403-2025 artfynd.xlsx", "A 40403-2025")</f>
        <v/>
      </c>
      <c r="T59">
        <f>HYPERLINK("https://klasma.github.io/Logging_1907/kartor/A 40403-2025 karta.png", "A 40403-2025")</f>
        <v/>
      </c>
      <c r="V59">
        <f>HYPERLINK("https://klasma.github.io/Logging_1907/klagomål/A 40403-2025 FSC-klagomål.docx", "A 40403-2025")</f>
        <v/>
      </c>
      <c r="W59">
        <f>HYPERLINK("https://klasma.github.io/Logging_1907/klagomålsmail/A 40403-2025 FSC-klagomål mail.docx", "A 40403-2025")</f>
        <v/>
      </c>
      <c r="X59">
        <f>HYPERLINK("https://klasma.github.io/Logging_1907/tillsyn/A 40403-2025 tillsynsbegäran.docx", "A 40403-2025")</f>
        <v/>
      </c>
      <c r="Y59">
        <f>HYPERLINK("https://klasma.github.io/Logging_1907/tillsynsmail/A 40403-2025 tillsynsbegäran mail.docx", "A 40403-2025")</f>
        <v/>
      </c>
    </row>
    <row r="60" ht="15" customHeight="1">
      <c r="A60" t="inlineStr">
        <is>
          <t>A 13971-2023</t>
        </is>
      </c>
      <c r="B60" s="1" t="n">
        <v>45007</v>
      </c>
      <c r="C60" s="1" t="n">
        <v>45912</v>
      </c>
      <c r="D60" t="inlineStr">
        <is>
          <t>VÄSTMANLANDS LÄN</t>
        </is>
      </c>
      <c r="E60" t="inlineStr">
        <is>
          <t>SURAHAMMAR</t>
        </is>
      </c>
      <c r="F60" t="inlineStr">
        <is>
          <t>Bergvik skog väst AB</t>
        </is>
      </c>
      <c r="G60" t="n">
        <v>2.9</v>
      </c>
      <c r="H60" t="n">
        <v>1</v>
      </c>
      <c r="I60" t="n">
        <v>0</v>
      </c>
      <c r="J60" t="n">
        <v>0</v>
      </c>
      <c r="K60" t="n">
        <v>0</v>
      </c>
      <c r="L60" t="n">
        <v>0</v>
      </c>
      <c r="M60" t="n">
        <v>0</v>
      </c>
      <c r="N60" t="n">
        <v>0</v>
      </c>
      <c r="O60" t="n">
        <v>0</v>
      </c>
      <c r="P60" t="n">
        <v>0</v>
      </c>
      <c r="Q60" t="n">
        <v>1</v>
      </c>
      <c r="R60" s="2" t="inlineStr">
        <is>
          <t>Fläcknycklar</t>
        </is>
      </c>
      <c r="S60">
        <f>HYPERLINK("https://klasma.github.io/Logging_1907/artfynd/A 13971-2023 artfynd.xlsx", "A 13971-2023")</f>
        <v/>
      </c>
      <c r="T60">
        <f>HYPERLINK("https://klasma.github.io/Logging_1907/kartor/A 13971-2023 karta.png", "A 13971-2023")</f>
        <v/>
      </c>
      <c r="V60">
        <f>HYPERLINK("https://klasma.github.io/Logging_1907/klagomål/A 13971-2023 FSC-klagomål.docx", "A 13971-2023")</f>
        <v/>
      </c>
      <c r="W60">
        <f>HYPERLINK("https://klasma.github.io/Logging_1907/klagomålsmail/A 13971-2023 FSC-klagomål mail.docx", "A 13971-2023")</f>
        <v/>
      </c>
      <c r="X60">
        <f>HYPERLINK("https://klasma.github.io/Logging_1907/tillsyn/A 13971-2023 tillsynsbegäran.docx", "A 13971-2023")</f>
        <v/>
      </c>
      <c r="Y60">
        <f>HYPERLINK("https://klasma.github.io/Logging_1907/tillsynsmail/A 13971-2023 tillsynsbegäran mail.docx", "A 13971-2023")</f>
        <v/>
      </c>
    </row>
    <row r="61" ht="15" customHeight="1">
      <c r="A61" t="inlineStr">
        <is>
          <t>A 69777-2021</t>
        </is>
      </c>
      <c r="B61" s="1" t="n">
        <v>44532</v>
      </c>
      <c r="C61" s="1" t="n">
        <v>45912</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42089-2025</t>
        </is>
      </c>
      <c r="B62" s="1" t="n">
        <v>45902</v>
      </c>
      <c r="C62" s="1" t="n">
        <v>45912</v>
      </c>
      <c r="D62" t="inlineStr">
        <is>
          <t>VÄSTMANLANDS LÄN</t>
        </is>
      </c>
      <c r="E62" t="inlineStr">
        <is>
          <t>SURAHAMMAR</t>
        </is>
      </c>
      <c r="G62" t="n">
        <v>2.2</v>
      </c>
      <c r="H62" t="n">
        <v>0</v>
      </c>
      <c r="I62" t="n">
        <v>0</v>
      </c>
      <c r="J62" t="n">
        <v>1</v>
      </c>
      <c r="K62" t="n">
        <v>0</v>
      </c>
      <c r="L62" t="n">
        <v>0</v>
      </c>
      <c r="M62" t="n">
        <v>0</v>
      </c>
      <c r="N62" t="n">
        <v>0</v>
      </c>
      <c r="O62" t="n">
        <v>1</v>
      </c>
      <c r="P62" t="n">
        <v>0</v>
      </c>
      <c r="Q62" t="n">
        <v>1</v>
      </c>
      <c r="R62" s="2" t="inlineStr">
        <is>
          <t>Motaggsvamp</t>
        </is>
      </c>
      <c r="S62">
        <f>HYPERLINK("https://klasma.github.io/Logging_1907/artfynd/A 42089-2025 artfynd.xlsx", "A 42089-2025")</f>
        <v/>
      </c>
      <c r="T62">
        <f>HYPERLINK("https://klasma.github.io/Logging_1907/kartor/A 42089-2025 karta.png", "A 42089-2025")</f>
        <v/>
      </c>
      <c r="V62">
        <f>HYPERLINK("https://klasma.github.io/Logging_1907/klagomål/A 42089-2025 FSC-klagomål.docx", "A 42089-2025")</f>
        <v/>
      </c>
      <c r="W62">
        <f>HYPERLINK("https://klasma.github.io/Logging_1907/klagomålsmail/A 42089-2025 FSC-klagomål mail.docx", "A 42089-2025")</f>
        <v/>
      </c>
      <c r="X62">
        <f>HYPERLINK("https://klasma.github.io/Logging_1907/tillsyn/A 42089-2025 tillsynsbegäran.docx", "A 42089-2025")</f>
        <v/>
      </c>
      <c r="Y62">
        <f>HYPERLINK("https://klasma.github.io/Logging_1907/tillsynsmail/A 42089-2025 tillsynsbegäran mail.docx", "A 42089-2025")</f>
        <v/>
      </c>
    </row>
    <row r="63" ht="15" customHeight="1">
      <c r="A63" t="inlineStr">
        <is>
          <t>A 31176-2024</t>
        </is>
      </c>
      <c r="B63" s="1" t="n">
        <v>45503</v>
      </c>
      <c r="C63" s="1" t="n">
        <v>45912</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17632-2022</t>
        </is>
      </c>
      <c r="B64" s="1" t="n">
        <v>44680</v>
      </c>
      <c r="C64" s="1" t="n">
        <v>45912</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43451-2024</t>
        </is>
      </c>
      <c r="B65" s="1" t="n">
        <v>45568</v>
      </c>
      <c r="C65" s="1" t="n">
        <v>45912</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64073-2021</t>
        </is>
      </c>
      <c r="B66" s="1" t="n">
        <v>44509</v>
      </c>
      <c r="C66" s="1" t="n">
        <v>45912</v>
      </c>
      <c r="D66" t="inlineStr">
        <is>
          <t>VÄSTMANLANDS LÄN</t>
        </is>
      </c>
      <c r="E66" t="inlineStr">
        <is>
          <t>SURAHAMMAR</t>
        </is>
      </c>
      <c r="G66" t="n">
        <v>0.4</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45912</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45912</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45912</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45912</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45912</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45912</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45912</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45912</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45912</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45912</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31468-2021</t>
        </is>
      </c>
      <c r="B78" s="1" t="n">
        <v>44369</v>
      </c>
      <c r="C78" s="1" t="n">
        <v>45912</v>
      </c>
      <c r="D78" t="inlineStr">
        <is>
          <t>VÄSTMANLANDS LÄN</t>
        </is>
      </c>
      <c r="E78" t="inlineStr">
        <is>
          <t>SURAHAMMAR</t>
        </is>
      </c>
      <c r="G78" t="n">
        <v>1.1</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45912</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45912</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45912</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45912</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45912</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52076-2020</t>
        </is>
      </c>
      <c r="B84" s="1" t="n">
        <v>44117</v>
      </c>
      <c r="C84" s="1" t="n">
        <v>45912</v>
      </c>
      <c r="D84" t="inlineStr">
        <is>
          <t>VÄSTMANLANDS LÄN</t>
        </is>
      </c>
      <c r="E84" t="inlineStr">
        <is>
          <t>SURAHAMMAR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59543-2020</t>
        </is>
      </c>
      <c r="B85" s="1" t="n">
        <v>44148</v>
      </c>
      <c r="C85" s="1" t="n">
        <v>45912</v>
      </c>
      <c r="D85" t="inlineStr">
        <is>
          <t>VÄSTMANLANDS LÄN</t>
        </is>
      </c>
      <c r="E85" t="inlineStr">
        <is>
          <t>SURAHAMMAR</t>
        </is>
      </c>
      <c r="G85" t="n">
        <v>1.3</v>
      </c>
      <c r="H85" t="n">
        <v>0</v>
      </c>
      <c r="I85" t="n">
        <v>0</v>
      </c>
      <c r="J85" t="n">
        <v>0</v>
      </c>
      <c r="K85" t="n">
        <v>0</v>
      </c>
      <c r="L85" t="n">
        <v>0</v>
      </c>
      <c r="M85" t="n">
        <v>0</v>
      </c>
      <c r="N85" t="n">
        <v>0</v>
      </c>
      <c r="O85" t="n">
        <v>0</v>
      </c>
      <c r="P85" t="n">
        <v>0</v>
      </c>
      <c r="Q85" t="n">
        <v>0</v>
      </c>
      <c r="R85" s="2" t="inlineStr"/>
    </row>
    <row r="86" ht="15" customHeight="1">
      <c r="A86" t="inlineStr">
        <is>
          <t>A 18723-2021</t>
        </is>
      </c>
      <c r="B86" s="1" t="n">
        <v>44306</v>
      </c>
      <c r="C86" s="1" t="n">
        <v>45912</v>
      </c>
      <c r="D86" t="inlineStr">
        <is>
          <t>VÄSTMANLANDS LÄN</t>
        </is>
      </c>
      <c r="E86" t="inlineStr">
        <is>
          <t>SURAHAMMAR</t>
        </is>
      </c>
      <c r="F86" t="inlineStr">
        <is>
          <t>Bergvik skog väst AB</t>
        </is>
      </c>
      <c r="G86" t="n">
        <v>3.9</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45912</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45912</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45912</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16608-2022</t>
        </is>
      </c>
      <c r="B90" s="1" t="n">
        <v>44672</v>
      </c>
      <c r="C90" s="1" t="n">
        <v>45912</v>
      </c>
      <c r="D90" t="inlineStr">
        <is>
          <t>VÄSTMANLANDS LÄN</t>
        </is>
      </c>
      <c r="E90" t="inlineStr">
        <is>
          <t>SURAHAMMAR</t>
        </is>
      </c>
      <c r="F90" t="inlineStr">
        <is>
          <t>Bergvik skog väst AB</t>
        </is>
      </c>
      <c r="G90" t="n">
        <v>2</v>
      </c>
      <c r="H90" t="n">
        <v>0</v>
      </c>
      <c r="I90" t="n">
        <v>0</v>
      </c>
      <c r="J90" t="n">
        <v>0</v>
      </c>
      <c r="K90" t="n">
        <v>0</v>
      </c>
      <c r="L90" t="n">
        <v>0</v>
      </c>
      <c r="M90" t="n">
        <v>0</v>
      </c>
      <c r="N90" t="n">
        <v>0</v>
      </c>
      <c r="O90" t="n">
        <v>0</v>
      </c>
      <c r="P90" t="n">
        <v>0</v>
      </c>
      <c r="Q90" t="n">
        <v>0</v>
      </c>
      <c r="R90" s="2" t="inlineStr"/>
    </row>
    <row r="91" ht="15" customHeight="1">
      <c r="A91" t="inlineStr">
        <is>
          <t>A 15637-2022</t>
        </is>
      </c>
      <c r="B91" s="1" t="n">
        <v>44662.89638888889</v>
      </c>
      <c r="C91" s="1" t="n">
        <v>45912</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47785-2021</t>
        </is>
      </c>
      <c r="B92" s="1" t="n">
        <v>44448</v>
      </c>
      <c r="C92" s="1" t="n">
        <v>45912</v>
      </c>
      <c r="D92" t="inlineStr">
        <is>
          <t>VÄSTMANLANDS LÄN</t>
        </is>
      </c>
      <c r="E92" t="inlineStr">
        <is>
          <t>SURAHAMMAR</t>
        </is>
      </c>
      <c r="F92" t="inlineStr">
        <is>
          <t>Kommuner</t>
        </is>
      </c>
      <c r="G92" t="n">
        <v>3.3</v>
      </c>
      <c r="H92" t="n">
        <v>0</v>
      </c>
      <c r="I92" t="n">
        <v>0</v>
      </c>
      <c r="J92" t="n">
        <v>0</v>
      </c>
      <c r="K92" t="n">
        <v>0</v>
      </c>
      <c r="L92" t="n">
        <v>0</v>
      </c>
      <c r="M92" t="n">
        <v>0</v>
      </c>
      <c r="N92" t="n">
        <v>0</v>
      </c>
      <c r="O92" t="n">
        <v>0</v>
      </c>
      <c r="P92" t="n">
        <v>0</v>
      </c>
      <c r="Q92" t="n">
        <v>0</v>
      </c>
      <c r="R92" s="2" t="inlineStr"/>
    </row>
    <row r="93" ht="15" customHeight="1">
      <c r="A93" t="inlineStr">
        <is>
          <t>A 13119-2022</t>
        </is>
      </c>
      <c r="B93" s="1" t="n">
        <v>44643</v>
      </c>
      <c r="C93" s="1" t="n">
        <v>45912</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8553-2023</t>
        </is>
      </c>
      <c r="B94" s="1" t="n">
        <v>44977</v>
      </c>
      <c r="C94" s="1" t="n">
        <v>45912</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19786-2023</t>
        </is>
      </c>
      <c r="B95" s="1" t="n">
        <v>45050</v>
      </c>
      <c r="C95" s="1" t="n">
        <v>45912</v>
      </c>
      <c r="D95" t="inlineStr">
        <is>
          <t>VÄSTMANLANDS LÄN</t>
        </is>
      </c>
      <c r="E95" t="inlineStr">
        <is>
          <t>SURAHAMMAR</t>
        </is>
      </c>
      <c r="F95" t="inlineStr">
        <is>
          <t>Bergvik skog väst AB</t>
        </is>
      </c>
      <c r="G95" t="n">
        <v>8.1</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45912</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45912</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45912</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45912</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45912</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45912</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45912</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38154-2021</t>
        </is>
      </c>
      <c r="B103" s="1" t="n">
        <v>44405.42373842592</v>
      </c>
      <c r="C103" s="1" t="n">
        <v>45912</v>
      </c>
      <c r="D103" t="inlineStr">
        <is>
          <t>VÄSTMANLANDS LÄN</t>
        </is>
      </c>
      <c r="E103" t="inlineStr">
        <is>
          <t>SURAHAMMAR</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25450-2024</t>
        </is>
      </c>
      <c r="B104" s="1" t="n">
        <v>45463</v>
      </c>
      <c r="C104" s="1" t="n">
        <v>45912</v>
      </c>
      <c r="D104" t="inlineStr">
        <is>
          <t>VÄSTMANLANDS LÄN</t>
        </is>
      </c>
      <c r="E104" t="inlineStr">
        <is>
          <t>SURAHAMMAR</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37287-2023</t>
        </is>
      </c>
      <c r="B105" s="1" t="n">
        <v>45156</v>
      </c>
      <c r="C105" s="1" t="n">
        <v>45912</v>
      </c>
      <c r="D105" t="inlineStr">
        <is>
          <t>VÄSTMANLANDS LÄN</t>
        </is>
      </c>
      <c r="E105" t="inlineStr">
        <is>
          <t>SURAHAMMAR</t>
        </is>
      </c>
      <c r="G105" t="n">
        <v>0.6</v>
      </c>
      <c r="H105" t="n">
        <v>0</v>
      </c>
      <c r="I105" t="n">
        <v>0</v>
      </c>
      <c r="J105" t="n">
        <v>0</v>
      </c>
      <c r="K105" t="n">
        <v>0</v>
      </c>
      <c r="L105" t="n">
        <v>0</v>
      </c>
      <c r="M105" t="n">
        <v>0</v>
      </c>
      <c r="N105" t="n">
        <v>0</v>
      </c>
      <c r="O105" t="n">
        <v>0</v>
      </c>
      <c r="P105" t="n">
        <v>0</v>
      </c>
      <c r="Q105" t="n">
        <v>0</v>
      </c>
      <c r="R105" s="2" t="inlineStr"/>
    </row>
    <row r="106" ht="15" customHeight="1">
      <c r="A106" t="inlineStr">
        <is>
          <t>A 41576-2022</t>
        </is>
      </c>
      <c r="B106" s="1" t="n">
        <v>44826</v>
      </c>
      <c r="C106" s="1" t="n">
        <v>45912</v>
      </c>
      <c r="D106" t="inlineStr">
        <is>
          <t>VÄSTMANLANDS LÄN</t>
        </is>
      </c>
      <c r="E106" t="inlineStr">
        <is>
          <t>SURAHAMMAR</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45912</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7848-2022</t>
        </is>
      </c>
      <c r="B108" s="1" t="n">
        <v>44608.58400462963</v>
      </c>
      <c r="C108" s="1" t="n">
        <v>45912</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24167-2024</t>
        </is>
      </c>
      <c r="B109" s="1" t="n">
        <v>45456</v>
      </c>
      <c r="C109" s="1" t="n">
        <v>45912</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45912</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56378-2023</t>
        </is>
      </c>
      <c r="B111" s="1" t="n">
        <v>45236</v>
      </c>
      <c r="C111" s="1" t="n">
        <v>45912</v>
      </c>
      <c r="D111" t="inlineStr">
        <is>
          <t>VÄSTMANLANDS LÄN</t>
        </is>
      </c>
      <c r="E111" t="inlineStr">
        <is>
          <t>SURAHAMMAR</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45912</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19099-2022</t>
        </is>
      </c>
      <c r="B113" s="1" t="n">
        <v>44691</v>
      </c>
      <c r="C113" s="1" t="n">
        <v>45912</v>
      </c>
      <c r="D113" t="inlineStr">
        <is>
          <t>VÄSTMANLANDS LÄN</t>
        </is>
      </c>
      <c r="E113" t="inlineStr">
        <is>
          <t>SURAHAMMAR</t>
        </is>
      </c>
      <c r="F113" t="inlineStr">
        <is>
          <t>Övriga Aktiebolag</t>
        </is>
      </c>
      <c r="G113" t="n">
        <v>3.4</v>
      </c>
      <c r="H113" t="n">
        <v>0</v>
      </c>
      <c r="I113" t="n">
        <v>0</v>
      </c>
      <c r="J113" t="n">
        <v>0</v>
      </c>
      <c r="K113" t="n">
        <v>0</v>
      </c>
      <c r="L113" t="n">
        <v>0</v>
      </c>
      <c r="M113" t="n">
        <v>0</v>
      </c>
      <c r="N113" t="n">
        <v>0</v>
      </c>
      <c r="O113" t="n">
        <v>0</v>
      </c>
      <c r="P113" t="n">
        <v>0</v>
      </c>
      <c r="Q113" t="n">
        <v>0</v>
      </c>
      <c r="R113" s="2" t="inlineStr"/>
    </row>
    <row r="114" ht="15" customHeight="1">
      <c r="A114" t="inlineStr">
        <is>
          <t>A 33931-2022</t>
        </is>
      </c>
      <c r="B114" s="1" t="n">
        <v>44790.65153935185</v>
      </c>
      <c r="C114" s="1" t="n">
        <v>45912</v>
      </c>
      <c r="D114" t="inlineStr">
        <is>
          <t>VÄSTMANLANDS LÄN</t>
        </is>
      </c>
      <c r="E114" t="inlineStr">
        <is>
          <t>SURAHAMMAR</t>
        </is>
      </c>
      <c r="G114" t="n">
        <v>2.2</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45912</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10396-2025</t>
        </is>
      </c>
      <c r="B116" s="1" t="n">
        <v>45720.60721064815</v>
      </c>
      <c r="C116" s="1" t="n">
        <v>45912</v>
      </c>
      <c r="D116" t="inlineStr">
        <is>
          <t>VÄSTMANLANDS LÄN</t>
        </is>
      </c>
      <c r="E116" t="inlineStr">
        <is>
          <t>SURAHAMMAR</t>
        </is>
      </c>
      <c r="F116" t="inlineStr">
        <is>
          <t>Allmännings- och besparingsskogar</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45912</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45912</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3818-2022</t>
        </is>
      </c>
      <c r="B119" s="1" t="n">
        <v>44587</v>
      </c>
      <c r="C119" s="1" t="n">
        <v>45912</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37954-2025</t>
        </is>
      </c>
      <c r="B120" s="1" t="n">
        <v>45881</v>
      </c>
      <c r="C120" s="1" t="n">
        <v>45912</v>
      </c>
      <c r="D120" t="inlineStr">
        <is>
          <t>VÄSTMANLANDS LÄN</t>
        </is>
      </c>
      <c r="E120" t="inlineStr">
        <is>
          <t>SURAHAMMAR</t>
        </is>
      </c>
      <c r="G120" t="n">
        <v>9.5</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45912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45912</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45912</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45912</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45912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34582-2025</t>
        </is>
      </c>
      <c r="B126" s="1" t="n">
        <v>45846</v>
      </c>
      <c r="C126" s="1" t="n">
        <v>45912</v>
      </c>
      <c r="D126" t="inlineStr">
        <is>
          <t>VÄSTMANLANDS LÄN</t>
        </is>
      </c>
      <c r="E126" t="inlineStr">
        <is>
          <t>SURAHAMMAR</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34584-2025</t>
        </is>
      </c>
      <c r="B127" s="1" t="n">
        <v>45846</v>
      </c>
      <c r="C127" s="1" t="n">
        <v>45912</v>
      </c>
      <c r="D127" t="inlineStr">
        <is>
          <t>VÄSTMANLANDS LÄN</t>
        </is>
      </c>
      <c r="E127" t="inlineStr">
        <is>
          <t>SURAHAMMAR</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25417-2024</t>
        </is>
      </c>
      <c r="B128" s="1" t="n">
        <v>45463</v>
      </c>
      <c r="C128" s="1" t="n">
        <v>45912</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24665-2023</t>
        </is>
      </c>
      <c r="B129" s="1" t="n">
        <v>45084.48592592592</v>
      </c>
      <c r="C129" s="1" t="n">
        <v>45912</v>
      </c>
      <c r="D129" t="inlineStr">
        <is>
          <t>VÄSTMANLANDS LÄN</t>
        </is>
      </c>
      <c r="E129" t="inlineStr">
        <is>
          <t>SURAHAMMAR</t>
        </is>
      </c>
      <c r="G129" t="n">
        <v>0.9</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45912</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42841-2022</t>
        </is>
      </c>
      <c r="B131" s="1" t="n">
        <v>44832</v>
      </c>
      <c r="C131" s="1" t="n">
        <v>45912</v>
      </c>
      <c r="D131" t="inlineStr">
        <is>
          <t>VÄSTMANLANDS LÄN</t>
        </is>
      </c>
      <c r="E131" t="inlineStr">
        <is>
          <t>SURAHAMMAR</t>
        </is>
      </c>
      <c r="G131" t="n">
        <v>1.8</v>
      </c>
      <c r="H131" t="n">
        <v>0</v>
      </c>
      <c r="I131" t="n">
        <v>0</v>
      </c>
      <c r="J131" t="n">
        <v>0</v>
      </c>
      <c r="K131" t="n">
        <v>0</v>
      </c>
      <c r="L131" t="n">
        <v>0</v>
      </c>
      <c r="M131" t="n">
        <v>0</v>
      </c>
      <c r="N131" t="n">
        <v>0</v>
      </c>
      <c r="O131" t="n">
        <v>0</v>
      </c>
      <c r="P131" t="n">
        <v>0</v>
      </c>
      <c r="Q131" t="n">
        <v>0</v>
      </c>
      <c r="R131" s="2" t="inlineStr"/>
    </row>
    <row r="132" ht="15" customHeight="1">
      <c r="A132" t="inlineStr">
        <is>
          <t>A 32916-2025</t>
        </is>
      </c>
      <c r="B132" s="1" t="n">
        <v>45839</v>
      </c>
      <c r="C132" s="1" t="n">
        <v>45912</v>
      </c>
      <c r="D132" t="inlineStr">
        <is>
          <t>VÄSTMANLANDS LÄN</t>
        </is>
      </c>
      <c r="E132" t="inlineStr">
        <is>
          <t>SURAHAMMAR</t>
        </is>
      </c>
      <c r="F132" t="inlineStr">
        <is>
          <t>Kommuner</t>
        </is>
      </c>
      <c r="G132" t="n">
        <v>4.9</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45912</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32910-2025</t>
        </is>
      </c>
      <c r="B134" s="1" t="n">
        <v>45839</v>
      </c>
      <c r="C134" s="1" t="n">
        <v>45912</v>
      </c>
      <c r="D134" t="inlineStr">
        <is>
          <t>VÄSTMANLANDS LÄN</t>
        </is>
      </c>
      <c r="E134" t="inlineStr">
        <is>
          <t>SURAHAMMAR</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44358-2024</t>
        </is>
      </c>
      <c r="B135" s="1" t="n">
        <v>45573</v>
      </c>
      <c r="C135" s="1" t="n">
        <v>45912</v>
      </c>
      <c r="D135" t="inlineStr">
        <is>
          <t>VÄSTMANLANDS LÄN</t>
        </is>
      </c>
      <c r="E135" t="inlineStr">
        <is>
          <t>SURAHAMMAR</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44359-2024</t>
        </is>
      </c>
      <c r="B136" s="1" t="n">
        <v>45573</v>
      </c>
      <c r="C136" s="1" t="n">
        <v>45912</v>
      </c>
      <c r="D136" t="inlineStr">
        <is>
          <t>VÄSTMANLANDS LÄN</t>
        </is>
      </c>
      <c r="E136" t="inlineStr">
        <is>
          <t>SURAHAMMAR</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42088-2025</t>
        </is>
      </c>
      <c r="B137" s="1" t="n">
        <v>45902</v>
      </c>
      <c r="C137" s="1" t="n">
        <v>45912</v>
      </c>
      <c r="D137" t="inlineStr">
        <is>
          <t>VÄSTMANLANDS LÄN</t>
        </is>
      </c>
      <c r="E137" t="inlineStr">
        <is>
          <t>SURAHAMMAR</t>
        </is>
      </c>
      <c r="G137" t="n">
        <v>1</v>
      </c>
      <c r="H137" t="n">
        <v>0</v>
      </c>
      <c r="I137" t="n">
        <v>0</v>
      </c>
      <c r="J137" t="n">
        <v>0</v>
      </c>
      <c r="K137" t="n">
        <v>0</v>
      </c>
      <c r="L137" t="n">
        <v>0</v>
      </c>
      <c r="M137" t="n">
        <v>0</v>
      </c>
      <c r="N137" t="n">
        <v>0</v>
      </c>
      <c r="O137" t="n">
        <v>0</v>
      </c>
      <c r="P137" t="n">
        <v>0</v>
      </c>
      <c r="Q137" t="n">
        <v>0</v>
      </c>
      <c r="R137" s="2" t="inlineStr"/>
    </row>
    <row r="138" ht="15" customHeight="1">
      <c r="A138" t="inlineStr">
        <is>
          <t>A 2867-2024</t>
        </is>
      </c>
      <c r="B138" s="1" t="n">
        <v>45315</v>
      </c>
      <c r="C138" s="1" t="n">
        <v>45912</v>
      </c>
      <c r="D138" t="inlineStr">
        <is>
          <t>VÄSTMANLANDS LÄN</t>
        </is>
      </c>
      <c r="E138" t="inlineStr">
        <is>
          <t>SURAHAMMAR</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21509-2024</t>
        </is>
      </c>
      <c r="B139" s="1" t="n">
        <v>45441</v>
      </c>
      <c r="C139" s="1" t="n">
        <v>45912</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3085-2023</t>
        </is>
      </c>
      <c r="B140" s="1" t="n">
        <v>44946</v>
      </c>
      <c r="C140" s="1" t="n">
        <v>45912</v>
      </c>
      <c r="D140" t="inlineStr">
        <is>
          <t>VÄSTMANLANDS LÄN</t>
        </is>
      </c>
      <c r="E140" t="inlineStr">
        <is>
          <t>SURAHAMMAR</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43255-2025</t>
        </is>
      </c>
      <c r="B141" s="1" t="n">
        <v>45910.55325231481</v>
      </c>
      <c r="C141" s="1" t="n">
        <v>45912</v>
      </c>
      <c r="D141" t="inlineStr">
        <is>
          <t>VÄSTMANLANDS LÄN</t>
        </is>
      </c>
      <c r="E141" t="inlineStr">
        <is>
          <t>SURAHAMMAR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45912</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43249-2025</t>
        </is>
      </c>
      <c r="B143" s="1" t="n">
        <v>45910.55059027778</v>
      </c>
      <c r="C143" s="1" t="n">
        <v>45912</v>
      </c>
      <c r="D143" t="inlineStr">
        <is>
          <t>VÄSTMANLANDS LÄN</t>
        </is>
      </c>
      <c r="E143" t="inlineStr">
        <is>
          <t>SURAHAMMAR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16013-2023</t>
        </is>
      </c>
      <c r="B144" s="1" t="n">
        <v>45026</v>
      </c>
      <c r="C144" s="1" t="n">
        <v>45912</v>
      </c>
      <c r="D144" t="inlineStr">
        <is>
          <t>VÄSTMANLANDS LÄN</t>
        </is>
      </c>
      <c r="E144" t="inlineStr">
        <is>
          <t>SURAHAMMAR</t>
        </is>
      </c>
      <c r="G144" t="n">
        <v>3.9</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45912</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45912</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ht="15" customHeight="1">
      <c r="A147" t="inlineStr">
        <is>
          <t>A 49060-2024</t>
        </is>
      </c>
      <c r="B147" s="1" t="n">
        <v>45594</v>
      </c>
      <c r="C147" s="1" t="n">
        <v>45912</v>
      </c>
      <c r="D147" t="inlineStr">
        <is>
          <t>VÄSTMANLANDS LÄN</t>
        </is>
      </c>
      <c r="E147" t="inlineStr">
        <is>
          <t>SURAHAMMAR</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34955-2022</t>
        </is>
      </c>
      <c r="B148" s="1" t="n">
        <v>44796</v>
      </c>
      <c r="C148" s="1" t="n">
        <v>45912</v>
      </c>
      <c r="D148" t="inlineStr">
        <is>
          <t>VÄSTMANLANDS LÄN</t>
        </is>
      </c>
      <c r="E148" t="inlineStr">
        <is>
          <t>SURAHAMMAR</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25780-2023</t>
        </is>
      </c>
      <c r="B149" s="1" t="n">
        <v>45090.47523148148</v>
      </c>
      <c r="C149" s="1" t="n">
        <v>45912</v>
      </c>
      <c r="D149" t="inlineStr">
        <is>
          <t>VÄSTMANLANDS LÄN</t>
        </is>
      </c>
      <c r="E149" t="inlineStr">
        <is>
          <t>SURAHAMMAR</t>
        </is>
      </c>
      <c r="G149" t="n">
        <v>2.8</v>
      </c>
      <c r="H149" t="n">
        <v>0</v>
      </c>
      <c r="I149" t="n">
        <v>0</v>
      </c>
      <c r="J149" t="n">
        <v>0</v>
      </c>
      <c r="K149" t="n">
        <v>0</v>
      </c>
      <c r="L149" t="n">
        <v>0</v>
      </c>
      <c r="M149" t="n">
        <v>0</v>
      </c>
      <c r="N149" t="n">
        <v>0</v>
      </c>
      <c r="O149" t="n">
        <v>0</v>
      </c>
      <c r="P149" t="n">
        <v>0</v>
      </c>
      <c r="Q149" t="n">
        <v>0</v>
      </c>
      <c r="R149" s="2" t="inlineStr"/>
    </row>
    <row r="150" ht="15" customHeight="1">
      <c r="A150" t="inlineStr">
        <is>
          <t>A 13386-2025</t>
        </is>
      </c>
      <c r="B150" s="1" t="n">
        <v>45735</v>
      </c>
      <c r="C150" s="1" t="n">
        <v>45912</v>
      </c>
      <c r="D150" t="inlineStr">
        <is>
          <t>VÄSTMANLANDS LÄN</t>
        </is>
      </c>
      <c r="E150" t="inlineStr">
        <is>
          <t>SURAHAMMAR</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20904-2023</t>
        </is>
      </c>
      <c r="B151" s="1" t="n">
        <v>45060</v>
      </c>
      <c r="C151" s="1" t="n">
        <v>45912</v>
      </c>
      <c r="D151" t="inlineStr">
        <is>
          <t>VÄSTMANLANDS LÄN</t>
        </is>
      </c>
      <c r="E151" t="inlineStr">
        <is>
          <t>SURAHAMMAR</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10883-2023</t>
        </is>
      </c>
      <c r="B152" s="1" t="n">
        <v>44991</v>
      </c>
      <c r="C152" s="1" t="n">
        <v>45912</v>
      </c>
      <c r="D152" t="inlineStr">
        <is>
          <t>VÄSTMANLANDS LÄN</t>
        </is>
      </c>
      <c r="E152" t="inlineStr">
        <is>
          <t>SURAHAMMAR</t>
        </is>
      </c>
      <c r="F152" t="inlineStr">
        <is>
          <t>Övriga Aktiebolag</t>
        </is>
      </c>
      <c r="G152" t="n">
        <v>12.5</v>
      </c>
      <c r="H152" t="n">
        <v>0</v>
      </c>
      <c r="I152" t="n">
        <v>0</v>
      </c>
      <c r="J152" t="n">
        <v>0</v>
      </c>
      <c r="K152" t="n">
        <v>0</v>
      </c>
      <c r="L152" t="n">
        <v>0</v>
      </c>
      <c r="M152" t="n">
        <v>0</v>
      </c>
      <c r="N152" t="n">
        <v>0</v>
      </c>
      <c r="O152" t="n">
        <v>0</v>
      </c>
      <c r="P152" t="n">
        <v>0</v>
      </c>
      <c r="Q152" t="n">
        <v>0</v>
      </c>
      <c r="R152" s="2" t="inlineStr"/>
    </row>
    <row r="153">
      <c r="A153" t="inlineStr">
        <is>
          <t>A 2660-2024</t>
        </is>
      </c>
      <c r="B153" s="1" t="n">
        <v>45310</v>
      </c>
      <c r="C153" s="1" t="n">
        <v>45912</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2025-09-12T08:54:22Z</dcterms:created>
  <dcterms:modified xmlns:dcterms="http://purl.org/dc/terms/" xmlns:xsi="http://www.w3.org/2001/XMLSchema-instance" xsi:type="dcterms:W3CDTF">2025-09-12T08:54:23Z</dcterms:modified>
</cp:coreProperties>
</file>