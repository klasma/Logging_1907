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45986</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45986</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45986</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45986</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45986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45986</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45986</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45986</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34040-2024</t>
        </is>
      </c>
      <c r="B13" s="1" t="n">
        <v>45523</v>
      </c>
      <c r="C13" s="1" t="n">
        <v>45986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45986</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45986</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45986</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45986</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45986</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45986</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45986</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45986</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45986</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25548-2024</t>
        </is>
      </c>
      <c r="B23" s="1" t="n">
        <v>45463</v>
      </c>
      <c r="C23" s="1" t="n">
        <v>45986</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4105-2025</t>
        </is>
      </c>
      <c r="B24" s="1" t="n">
        <v>45684</v>
      </c>
      <c r="C24" s="1" t="n">
        <v>45986</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38172-2024</t>
        </is>
      </c>
      <c r="B25" s="1" t="n">
        <v>45545</v>
      </c>
      <c r="C25" s="1" t="n">
        <v>45986</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45986</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45986</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21716-2025</t>
        </is>
      </c>
      <c r="B28" s="1" t="n">
        <v>45783.54804398148</v>
      </c>
      <c r="C28" s="1" t="n">
        <v>45986</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48128-2023</t>
        </is>
      </c>
      <c r="B29" s="1" t="n">
        <v>45205</v>
      </c>
      <c r="C29" s="1" t="n">
        <v>45986</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39694-2025</t>
        </is>
      </c>
      <c r="B30" s="1" t="n">
        <v>45890</v>
      </c>
      <c r="C30" s="1" t="n">
        <v>45986</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42860-2022</t>
        </is>
      </c>
      <c r="B31" s="1" t="n">
        <v>44832</v>
      </c>
      <c r="C31" s="1" t="n">
        <v>45986</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42708-2022</t>
        </is>
      </c>
      <c r="B32" s="1" t="n">
        <v>44832</v>
      </c>
      <c r="C32" s="1" t="n">
        <v>45986</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29707-2025</t>
        </is>
      </c>
      <c r="B33" s="1" t="n">
        <v>45825.56100694444</v>
      </c>
      <c r="C33" s="1" t="n">
        <v>45986</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45986</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45986</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45986</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45986</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45986</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45986</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45986</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45986</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45986</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45986</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45986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45986</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45986</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45986</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45986</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45986</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45986</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45986</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45986</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45986</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56362-2023</t>
        </is>
      </c>
      <c r="B54" s="1" t="n">
        <v>45236</v>
      </c>
      <c r="C54" s="1" t="n">
        <v>45986</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45986</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55042-2025</t>
        </is>
      </c>
      <c r="B56" s="1" t="n">
        <v>45967.65858796296</v>
      </c>
      <c r="C56" s="1" t="n">
        <v>45986</v>
      </c>
      <c r="D56" t="inlineStr">
        <is>
          <t>VÄSTMANLANDS LÄN</t>
        </is>
      </c>
      <c r="E56" t="inlineStr">
        <is>
          <t>SURAHAMMAR</t>
        </is>
      </c>
      <c r="F56" t="inlineStr">
        <is>
          <t>Sveaskog</t>
        </is>
      </c>
      <c r="G56" t="n">
        <v>7.2</v>
      </c>
      <c r="H56" t="n">
        <v>0</v>
      </c>
      <c r="I56" t="n">
        <v>0</v>
      </c>
      <c r="J56" t="n">
        <v>1</v>
      </c>
      <c r="K56" t="n">
        <v>0</v>
      </c>
      <c r="L56" t="n">
        <v>0</v>
      </c>
      <c r="M56" t="n">
        <v>0</v>
      </c>
      <c r="N56" t="n">
        <v>0</v>
      </c>
      <c r="O56" t="n">
        <v>1</v>
      </c>
      <c r="P56" t="n">
        <v>0</v>
      </c>
      <c r="Q56" t="n">
        <v>1</v>
      </c>
      <c r="R56" s="2" t="inlineStr">
        <is>
          <t>Motaggsvamp</t>
        </is>
      </c>
      <c r="S56">
        <f>HYPERLINK("https://klasma.github.io/Logging_1907/artfynd/A 55042-2025 artfynd.xlsx", "A 55042-2025")</f>
        <v/>
      </c>
      <c r="T56">
        <f>HYPERLINK("https://klasma.github.io/Logging_1907/kartor/A 55042-2025 karta.png", "A 55042-2025")</f>
        <v/>
      </c>
      <c r="V56">
        <f>HYPERLINK("https://klasma.github.io/Logging_1907/klagomål/A 55042-2025 FSC-klagomål.docx", "A 55042-2025")</f>
        <v/>
      </c>
      <c r="W56">
        <f>HYPERLINK("https://klasma.github.io/Logging_1907/klagomålsmail/A 55042-2025 FSC-klagomål mail.docx", "A 55042-2025")</f>
        <v/>
      </c>
      <c r="X56">
        <f>HYPERLINK("https://klasma.github.io/Logging_1907/tillsyn/A 55042-2025 tillsynsbegäran.docx", "A 55042-2025")</f>
        <v/>
      </c>
      <c r="Y56">
        <f>HYPERLINK("https://klasma.github.io/Logging_1907/tillsynsmail/A 55042-2025 tillsynsbegäran mail.docx", "A 55042-2025")</f>
        <v/>
      </c>
    </row>
    <row r="57" ht="15" customHeight="1">
      <c r="A57" t="inlineStr">
        <is>
          <t>A 25583-2024</t>
        </is>
      </c>
      <c r="B57" s="1" t="n">
        <v>45463</v>
      </c>
      <c r="C57" s="1" t="n">
        <v>45986</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39099-2022</t>
        </is>
      </c>
      <c r="B58" s="1" t="n">
        <v>44817</v>
      </c>
      <c r="C58" s="1" t="n">
        <v>45986</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45986</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45986</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69777-2021</t>
        </is>
      </c>
      <c r="B61" s="1" t="n">
        <v>44532</v>
      </c>
      <c r="C61" s="1" t="n">
        <v>45986</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45986</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44356-2024</t>
        </is>
      </c>
      <c r="B63" s="1" t="n">
        <v>45573</v>
      </c>
      <c r="C63" s="1" t="n">
        <v>45986</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22840-2023</t>
        </is>
      </c>
      <c r="B64" s="1" t="n">
        <v>45072</v>
      </c>
      <c r="C64" s="1" t="n">
        <v>45986</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45986</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14001-2023</t>
        </is>
      </c>
      <c r="B66" s="1" t="n">
        <v>45007</v>
      </c>
      <c r="C66" s="1" t="n">
        <v>45986</v>
      </c>
      <c r="D66" t="inlineStr">
        <is>
          <t>VÄSTMANLANDS LÄN</t>
        </is>
      </c>
      <c r="E66" t="inlineStr">
        <is>
          <t>SURAHAMMAR</t>
        </is>
      </c>
      <c r="F66" t="inlineStr">
        <is>
          <t>Bergvik skog väst AB</t>
        </is>
      </c>
      <c r="G66" t="n">
        <v>1</v>
      </c>
      <c r="H66" t="n">
        <v>0</v>
      </c>
      <c r="I66" t="n">
        <v>0</v>
      </c>
      <c r="J66" t="n">
        <v>1</v>
      </c>
      <c r="K66" t="n">
        <v>0</v>
      </c>
      <c r="L66" t="n">
        <v>0</v>
      </c>
      <c r="M66" t="n">
        <v>0</v>
      </c>
      <c r="N66" t="n">
        <v>0</v>
      </c>
      <c r="O66" t="n">
        <v>1</v>
      </c>
      <c r="P66" t="n">
        <v>0</v>
      </c>
      <c r="Q66" t="n">
        <v>1</v>
      </c>
      <c r="R66" s="2" t="inlineStr">
        <is>
          <t>Motaggsvamp</t>
        </is>
      </c>
      <c r="S66">
        <f>HYPERLINK("https://klasma.github.io/Logging_1907/artfynd/A 14001-2023 artfynd.xlsx", "A 14001-2023")</f>
        <v/>
      </c>
      <c r="T66">
        <f>HYPERLINK("https://klasma.github.io/Logging_1907/kartor/A 14001-2023 karta.png", "A 14001-2023")</f>
        <v/>
      </c>
      <c r="V66">
        <f>HYPERLINK("https://klasma.github.io/Logging_1907/klagomål/A 14001-2023 FSC-klagomål.docx", "A 14001-2023")</f>
        <v/>
      </c>
      <c r="W66">
        <f>HYPERLINK("https://klasma.github.io/Logging_1907/klagomålsmail/A 14001-2023 FSC-klagomål mail.docx", "A 14001-2023")</f>
        <v/>
      </c>
      <c r="X66">
        <f>HYPERLINK("https://klasma.github.io/Logging_1907/tillsyn/A 14001-2023 tillsynsbegäran.docx", "A 14001-2023")</f>
        <v/>
      </c>
      <c r="Y66">
        <f>HYPERLINK("https://klasma.github.io/Logging_1907/tillsynsmail/A 14001-2023 tillsynsbegäran mail.docx", "A 14001-2023")</f>
        <v/>
      </c>
    </row>
    <row r="67" ht="15" customHeight="1">
      <c r="A67" t="inlineStr">
        <is>
          <t>A 13971-2023</t>
        </is>
      </c>
      <c r="B67" s="1" t="n">
        <v>45007</v>
      </c>
      <c r="C67" s="1" t="n">
        <v>45986</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31176-2024</t>
        </is>
      </c>
      <c r="B68" s="1" t="n">
        <v>45503</v>
      </c>
      <c r="C68" s="1" t="n">
        <v>45986</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45986</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45986</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45986</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45986</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45986</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45986</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45986</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45986</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45986</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45986</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45986</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45986</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45986</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45986</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45986</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45986</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45986</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45986</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45986</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45986</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48205-2023</t>
        </is>
      </c>
      <c r="B89" s="1" t="n">
        <v>45205</v>
      </c>
      <c r="C89" s="1" t="n">
        <v>45986</v>
      </c>
      <c r="D89" t="inlineStr">
        <is>
          <t>VÄSTMANLANDS LÄN</t>
        </is>
      </c>
      <c r="E89" t="inlineStr">
        <is>
          <t>SURAHAMMAR</t>
        </is>
      </c>
      <c r="F89" t="inlineStr">
        <is>
          <t>Allmännings- och besparingsskogar</t>
        </is>
      </c>
      <c r="G89" t="n">
        <v>7.6</v>
      </c>
      <c r="H89" t="n">
        <v>0</v>
      </c>
      <c r="I89" t="n">
        <v>0</v>
      </c>
      <c r="J89" t="n">
        <v>0</v>
      </c>
      <c r="K89" t="n">
        <v>0</v>
      </c>
      <c r="L89" t="n">
        <v>0</v>
      </c>
      <c r="M89" t="n">
        <v>0</v>
      </c>
      <c r="N89" t="n">
        <v>0</v>
      </c>
      <c r="O89" t="n">
        <v>0</v>
      </c>
      <c r="P89" t="n">
        <v>0</v>
      </c>
      <c r="Q89" t="n">
        <v>0</v>
      </c>
      <c r="R89" s="2" t="inlineStr"/>
    </row>
    <row r="90" ht="15" customHeight="1">
      <c r="A90" t="inlineStr">
        <is>
          <t>A 15743-2023</t>
        </is>
      </c>
      <c r="B90" s="1" t="n">
        <v>45021</v>
      </c>
      <c r="C90" s="1" t="n">
        <v>45986</v>
      </c>
      <c r="D90" t="inlineStr">
        <is>
          <t>VÄSTMANLANDS LÄN</t>
        </is>
      </c>
      <c r="E90" t="inlineStr">
        <is>
          <t>SURAHAMMAR</t>
        </is>
      </c>
      <c r="G90" t="n">
        <v>0.5</v>
      </c>
      <c r="H90" t="n">
        <v>0</v>
      </c>
      <c r="I90" t="n">
        <v>0</v>
      </c>
      <c r="J90" t="n">
        <v>0</v>
      </c>
      <c r="K90" t="n">
        <v>0</v>
      </c>
      <c r="L90" t="n">
        <v>0</v>
      </c>
      <c r="M90" t="n">
        <v>0</v>
      </c>
      <c r="N90" t="n">
        <v>0</v>
      </c>
      <c r="O90" t="n">
        <v>0</v>
      </c>
      <c r="P90" t="n">
        <v>0</v>
      </c>
      <c r="Q90" t="n">
        <v>0</v>
      </c>
      <c r="R90" s="2" t="inlineStr"/>
    </row>
    <row r="91" ht="15" customHeight="1">
      <c r="A91" t="inlineStr">
        <is>
          <t>A 30076-2023</t>
        </is>
      </c>
      <c r="B91" s="1" t="n">
        <v>45110</v>
      </c>
      <c r="C91" s="1" t="n">
        <v>45986</v>
      </c>
      <c r="D91" t="inlineStr">
        <is>
          <t>VÄSTMANLANDS LÄN</t>
        </is>
      </c>
      <c r="E91" t="inlineStr">
        <is>
          <t>SURAHAMMAR</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16608-2022</t>
        </is>
      </c>
      <c r="B92" s="1" t="n">
        <v>44672</v>
      </c>
      <c r="C92" s="1" t="n">
        <v>45986</v>
      </c>
      <c r="D92" t="inlineStr">
        <is>
          <t>VÄSTMANLANDS LÄN</t>
        </is>
      </c>
      <c r="E92" t="inlineStr">
        <is>
          <t>SURAHAMMAR</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45986</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45986</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8553-2023</t>
        </is>
      </c>
      <c r="B95" s="1" t="n">
        <v>44977</v>
      </c>
      <c r="C95" s="1" t="n">
        <v>45986</v>
      </c>
      <c r="D95" t="inlineStr">
        <is>
          <t>VÄSTMANLANDS LÄN</t>
        </is>
      </c>
      <c r="E95" t="inlineStr">
        <is>
          <t>SURAHAMMAR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15739-2023</t>
        </is>
      </c>
      <c r="B96" s="1" t="n">
        <v>45021</v>
      </c>
      <c r="C96" s="1" t="n">
        <v>45986</v>
      </c>
      <c r="D96" t="inlineStr">
        <is>
          <t>VÄSTMANLANDS LÄN</t>
        </is>
      </c>
      <c r="E96" t="inlineStr">
        <is>
          <t>SURAHAMMAR</t>
        </is>
      </c>
      <c r="G96" t="n">
        <v>1.3</v>
      </c>
      <c r="H96" t="n">
        <v>0</v>
      </c>
      <c r="I96" t="n">
        <v>0</v>
      </c>
      <c r="J96" t="n">
        <v>0</v>
      </c>
      <c r="K96" t="n">
        <v>0</v>
      </c>
      <c r="L96" t="n">
        <v>0</v>
      </c>
      <c r="M96" t="n">
        <v>0</v>
      </c>
      <c r="N96" t="n">
        <v>0</v>
      </c>
      <c r="O96" t="n">
        <v>0</v>
      </c>
      <c r="P96" t="n">
        <v>0</v>
      </c>
      <c r="Q96" t="n">
        <v>0</v>
      </c>
      <c r="R96" s="2" t="inlineStr"/>
    </row>
    <row r="97" ht="15" customHeight="1">
      <c r="A97" t="inlineStr">
        <is>
          <t>A 34582-2025</t>
        </is>
      </c>
      <c r="B97" s="1" t="n">
        <v>45846</v>
      </c>
      <c r="C97" s="1" t="n">
        <v>45986</v>
      </c>
      <c r="D97" t="inlineStr">
        <is>
          <t>VÄSTMANLANDS LÄN</t>
        </is>
      </c>
      <c r="E97" t="inlineStr">
        <is>
          <t>SURAHAMMAR</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38154-2021</t>
        </is>
      </c>
      <c r="B98" s="1" t="n">
        <v>44405.42373842592</v>
      </c>
      <c r="C98" s="1" t="n">
        <v>45986</v>
      </c>
      <c r="D98" t="inlineStr">
        <is>
          <t>VÄSTMANLANDS LÄN</t>
        </is>
      </c>
      <c r="E98" t="inlineStr">
        <is>
          <t>SURAHAMMAR</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45986</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42088-2025</t>
        </is>
      </c>
      <c r="B100" s="1" t="n">
        <v>45902</v>
      </c>
      <c r="C100" s="1" t="n">
        <v>45986</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45986</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45986</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43249-2025</t>
        </is>
      </c>
      <c r="B103" s="1" t="n">
        <v>45910.55059027778</v>
      </c>
      <c r="C103" s="1" t="n">
        <v>45986</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43255-2025</t>
        </is>
      </c>
      <c r="B104" s="1" t="n">
        <v>45910.55325231481</v>
      </c>
      <c r="C104" s="1" t="n">
        <v>45986</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37287-2023</t>
        </is>
      </c>
      <c r="B105" s="1" t="n">
        <v>45156</v>
      </c>
      <c r="C105" s="1" t="n">
        <v>45986</v>
      </c>
      <c r="D105" t="inlineStr">
        <is>
          <t>VÄSTMANLANDS LÄN</t>
        </is>
      </c>
      <c r="E105" t="inlineStr">
        <is>
          <t>SURAHAMMAR</t>
        </is>
      </c>
      <c r="G105" t="n">
        <v>0.6</v>
      </c>
      <c r="H105" t="n">
        <v>0</v>
      </c>
      <c r="I105" t="n">
        <v>0</v>
      </c>
      <c r="J105" t="n">
        <v>0</v>
      </c>
      <c r="K105" t="n">
        <v>0</v>
      </c>
      <c r="L105" t="n">
        <v>0</v>
      </c>
      <c r="M105" t="n">
        <v>0</v>
      </c>
      <c r="N105" t="n">
        <v>0</v>
      </c>
      <c r="O105" t="n">
        <v>0</v>
      </c>
      <c r="P105" t="n">
        <v>0</v>
      </c>
      <c r="Q105" t="n">
        <v>0</v>
      </c>
      <c r="R105" s="2" t="inlineStr"/>
    </row>
    <row r="106" ht="15" customHeight="1">
      <c r="A106" t="inlineStr">
        <is>
          <t>A 41576-2022</t>
        </is>
      </c>
      <c r="B106" s="1" t="n">
        <v>44826</v>
      </c>
      <c r="C106" s="1" t="n">
        <v>45986</v>
      </c>
      <c r="D106" t="inlineStr">
        <is>
          <t>VÄSTMANLANDS LÄN</t>
        </is>
      </c>
      <c r="E106" t="inlineStr">
        <is>
          <t>SURAHAMMAR</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72367-2021</t>
        </is>
      </c>
      <c r="B107" s="1" t="n">
        <v>44545</v>
      </c>
      <c r="C107" s="1" t="n">
        <v>45986</v>
      </c>
      <c r="D107" t="inlineStr">
        <is>
          <t>VÄSTMANLANDS LÄN</t>
        </is>
      </c>
      <c r="E107" t="inlineStr">
        <is>
          <t>SURAHAMMAR</t>
        </is>
      </c>
      <c r="G107" t="n">
        <v>2.5</v>
      </c>
      <c r="H107" t="n">
        <v>0</v>
      </c>
      <c r="I107" t="n">
        <v>0</v>
      </c>
      <c r="J107" t="n">
        <v>0</v>
      </c>
      <c r="K107" t="n">
        <v>0</v>
      </c>
      <c r="L107" t="n">
        <v>0</v>
      </c>
      <c r="M107" t="n">
        <v>0</v>
      </c>
      <c r="N107" t="n">
        <v>0</v>
      </c>
      <c r="O107" t="n">
        <v>0</v>
      </c>
      <c r="P107" t="n">
        <v>0</v>
      </c>
      <c r="Q107" t="n">
        <v>0</v>
      </c>
      <c r="R107" s="2" t="inlineStr"/>
    </row>
    <row r="108" ht="15" customHeight="1">
      <c r="A108" t="inlineStr">
        <is>
          <t>A 55871-2025</t>
        </is>
      </c>
      <c r="B108" s="1" t="n">
        <v>45973.35452546296</v>
      </c>
      <c r="C108" s="1" t="n">
        <v>45986</v>
      </c>
      <c r="D108" t="inlineStr">
        <is>
          <t>VÄSTMANLANDS LÄN</t>
        </is>
      </c>
      <c r="E108" t="inlineStr">
        <is>
          <t>SURAHAMMAR</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55868-2025</t>
        </is>
      </c>
      <c r="B109" s="1" t="n">
        <v>45973.35263888889</v>
      </c>
      <c r="C109" s="1" t="n">
        <v>45986</v>
      </c>
      <c r="D109" t="inlineStr">
        <is>
          <t>VÄSTMANLANDS LÄN</t>
        </is>
      </c>
      <c r="E109" t="inlineStr">
        <is>
          <t>SURAHAMMAR</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55873-2025</t>
        </is>
      </c>
      <c r="B110" s="1" t="n">
        <v>45973.35608796297</v>
      </c>
      <c r="C110" s="1" t="n">
        <v>45986</v>
      </c>
      <c r="D110" t="inlineStr">
        <is>
          <t>VÄSTMANLANDS LÄN</t>
        </is>
      </c>
      <c r="E110" t="inlineStr">
        <is>
          <t>SURAHAMMAR</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55874-2025</t>
        </is>
      </c>
      <c r="B111" s="1" t="n">
        <v>45973.3569212963</v>
      </c>
      <c r="C111" s="1" t="n">
        <v>45986</v>
      </c>
      <c r="D111" t="inlineStr">
        <is>
          <t>VÄSTMANLANDS LÄN</t>
        </is>
      </c>
      <c r="E111" t="inlineStr">
        <is>
          <t>SURAHAMMAR</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33931-2022</t>
        </is>
      </c>
      <c r="B112" s="1" t="n">
        <v>44790.65153935185</v>
      </c>
      <c r="C112" s="1" t="n">
        <v>45986</v>
      </c>
      <c r="D112" t="inlineStr">
        <is>
          <t>VÄSTMANLANDS LÄN</t>
        </is>
      </c>
      <c r="E112" t="inlineStr">
        <is>
          <t>SURAHAMMAR</t>
        </is>
      </c>
      <c r="G112" t="n">
        <v>2.2</v>
      </c>
      <c r="H112" t="n">
        <v>0</v>
      </c>
      <c r="I112" t="n">
        <v>0</v>
      </c>
      <c r="J112" t="n">
        <v>0</v>
      </c>
      <c r="K112" t="n">
        <v>0</v>
      </c>
      <c r="L112" t="n">
        <v>0</v>
      </c>
      <c r="M112" t="n">
        <v>0</v>
      </c>
      <c r="N112" t="n">
        <v>0</v>
      </c>
      <c r="O112" t="n">
        <v>0</v>
      </c>
      <c r="P112" t="n">
        <v>0</v>
      </c>
      <c r="Q112" t="n">
        <v>0</v>
      </c>
      <c r="R112" s="2" t="inlineStr"/>
    </row>
    <row r="113" ht="15" customHeight="1">
      <c r="A113" t="inlineStr">
        <is>
          <t>A 56543-2025</t>
        </is>
      </c>
      <c r="B113" s="1" t="n">
        <v>45975</v>
      </c>
      <c r="C113" s="1" t="n">
        <v>45986</v>
      </c>
      <c r="D113" t="inlineStr">
        <is>
          <t>VÄSTMANLANDS LÄN</t>
        </is>
      </c>
      <c r="E113" t="inlineStr">
        <is>
          <t>SURAHAMMAR</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24158-2023</t>
        </is>
      </c>
      <c r="B114" s="1" t="n">
        <v>45079</v>
      </c>
      <c r="C114" s="1" t="n">
        <v>45986</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56541-2025</t>
        </is>
      </c>
      <c r="B115" s="1" t="n">
        <v>45975</v>
      </c>
      <c r="C115" s="1" t="n">
        <v>45986</v>
      </c>
      <c r="D115" t="inlineStr">
        <is>
          <t>VÄSTMANLANDS LÄN</t>
        </is>
      </c>
      <c r="E115" t="inlineStr">
        <is>
          <t>SURAHAMMAR</t>
        </is>
      </c>
      <c r="F115" t="inlineStr">
        <is>
          <t>Sveaskog</t>
        </is>
      </c>
      <c r="G115" t="n">
        <v>7.6</v>
      </c>
      <c r="H115" t="n">
        <v>0</v>
      </c>
      <c r="I115" t="n">
        <v>0</v>
      </c>
      <c r="J115" t="n">
        <v>0</v>
      </c>
      <c r="K115" t="n">
        <v>0</v>
      </c>
      <c r="L115" t="n">
        <v>0</v>
      </c>
      <c r="M115" t="n">
        <v>0</v>
      </c>
      <c r="N115" t="n">
        <v>0</v>
      </c>
      <c r="O115" t="n">
        <v>0</v>
      </c>
      <c r="P115" t="n">
        <v>0</v>
      </c>
      <c r="Q115" t="n">
        <v>0</v>
      </c>
      <c r="R115" s="2" t="inlineStr"/>
    </row>
    <row r="116" ht="15" customHeight="1">
      <c r="A116" t="inlineStr">
        <is>
          <t>A 56768-2025</t>
        </is>
      </c>
      <c r="B116" s="1" t="n">
        <v>45978</v>
      </c>
      <c r="C116" s="1" t="n">
        <v>45986</v>
      </c>
      <c r="D116" t="inlineStr">
        <is>
          <t>VÄSTMANLANDS LÄN</t>
        </is>
      </c>
      <c r="E116" t="inlineStr">
        <is>
          <t>SURAHAMMAR</t>
        </is>
      </c>
      <c r="F116" t="inlineStr">
        <is>
          <t>Sveaskog</t>
        </is>
      </c>
      <c r="G116" t="n">
        <v>3.8</v>
      </c>
      <c r="H116" t="n">
        <v>0</v>
      </c>
      <c r="I116" t="n">
        <v>0</v>
      </c>
      <c r="J116" t="n">
        <v>0</v>
      </c>
      <c r="K116" t="n">
        <v>0</v>
      </c>
      <c r="L116" t="n">
        <v>0</v>
      </c>
      <c r="M116" t="n">
        <v>0</v>
      </c>
      <c r="N116" t="n">
        <v>0</v>
      </c>
      <c r="O116" t="n">
        <v>0</v>
      </c>
      <c r="P116" t="n">
        <v>0</v>
      </c>
      <c r="Q116" t="n">
        <v>0</v>
      </c>
      <c r="R116" s="2" t="inlineStr"/>
    </row>
    <row r="117" ht="15" customHeight="1">
      <c r="A117" t="inlineStr">
        <is>
          <t>A 42714-2022</t>
        </is>
      </c>
      <c r="B117" s="1" t="n">
        <v>44832</v>
      </c>
      <c r="C117" s="1" t="n">
        <v>45986</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35682-2022</t>
        </is>
      </c>
      <c r="B118" s="1" t="n">
        <v>44799.60422453703</v>
      </c>
      <c r="C118" s="1" t="n">
        <v>45986</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11728-2023</t>
        </is>
      </c>
      <c r="B119" s="1" t="n">
        <v>44993</v>
      </c>
      <c r="C119" s="1" t="n">
        <v>45986</v>
      </c>
      <c r="D119" t="inlineStr">
        <is>
          <t>VÄSTMANLANDS LÄN</t>
        </is>
      </c>
      <c r="E119" t="inlineStr">
        <is>
          <t>SURAHAMMAR</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5567-2022</t>
        </is>
      </c>
      <c r="B120" s="1" t="n">
        <v>44595</v>
      </c>
      <c r="C120" s="1" t="n">
        <v>45986</v>
      </c>
      <c r="D120" t="inlineStr">
        <is>
          <t>VÄSTMANLANDS LÄN</t>
        </is>
      </c>
      <c r="E120" t="inlineStr">
        <is>
          <t>SURAHAMMAR</t>
        </is>
      </c>
      <c r="G120" t="n">
        <v>1.3</v>
      </c>
      <c r="H120" t="n">
        <v>0</v>
      </c>
      <c r="I120" t="n">
        <v>0</v>
      </c>
      <c r="J120" t="n">
        <v>0</v>
      </c>
      <c r="K120" t="n">
        <v>0</v>
      </c>
      <c r="L120" t="n">
        <v>0</v>
      </c>
      <c r="M120" t="n">
        <v>0</v>
      </c>
      <c r="N120" t="n">
        <v>0</v>
      </c>
      <c r="O120" t="n">
        <v>0</v>
      </c>
      <c r="P120" t="n">
        <v>0</v>
      </c>
      <c r="Q120" t="n">
        <v>0</v>
      </c>
      <c r="R120" s="2" t="inlineStr"/>
    </row>
    <row r="121" ht="15" customHeight="1">
      <c r="A121" t="inlineStr">
        <is>
          <t>A 42832-2022</t>
        </is>
      </c>
      <c r="B121" s="1" t="n">
        <v>44832</v>
      </c>
      <c r="C121" s="1" t="n">
        <v>45986</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34584-2025</t>
        </is>
      </c>
      <c r="B122" s="1" t="n">
        <v>45846</v>
      </c>
      <c r="C122" s="1" t="n">
        <v>45986</v>
      </c>
      <c r="D122" t="inlineStr">
        <is>
          <t>VÄSTMANLANDS LÄN</t>
        </is>
      </c>
      <c r="E122" t="inlineStr">
        <is>
          <t>SURAHAMMAR</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45986</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32808-2024</t>
        </is>
      </c>
      <c r="B124" s="1" t="n">
        <v>45516</v>
      </c>
      <c r="C124" s="1" t="n">
        <v>45986</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32916-2025</t>
        </is>
      </c>
      <c r="B125" s="1" t="n">
        <v>45839</v>
      </c>
      <c r="C125" s="1" t="n">
        <v>45986</v>
      </c>
      <c r="D125" t="inlineStr">
        <is>
          <t>VÄSTMANLANDS LÄN</t>
        </is>
      </c>
      <c r="E125" t="inlineStr">
        <is>
          <t>SURAHAMMAR</t>
        </is>
      </c>
      <c r="F125" t="inlineStr">
        <is>
          <t>Kommuner</t>
        </is>
      </c>
      <c r="G125" t="n">
        <v>4.9</v>
      </c>
      <c r="H125" t="n">
        <v>0</v>
      </c>
      <c r="I125" t="n">
        <v>0</v>
      </c>
      <c r="J125" t="n">
        <v>0</v>
      </c>
      <c r="K125" t="n">
        <v>0</v>
      </c>
      <c r="L125" t="n">
        <v>0</v>
      </c>
      <c r="M125" t="n">
        <v>0</v>
      </c>
      <c r="N125" t="n">
        <v>0</v>
      </c>
      <c r="O125" t="n">
        <v>0</v>
      </c>
      <c r="P125" t="n">
        <v>0</v>
      </c>
      <c r="Q125" t="n">
        <v>0</v>
      </c>
      <c r="R125" s="2" t="inlineStr"/>
    </row>
    <row r="126" ht="15" customHeight="1">
      <c r="A126" t="inlineStr">
        <is>
          <t>A 32910-2025</t>
        </is>
      </c>
      <c r="B126" s="1" t="n">
        <v>45839</v>
      </c>
      <c r="C126" s="1" t="n">
        <v>45986</v>
      </c>
      <c r="D126" t="inlineStr">
        <is>
          <t>VÄSTMANLANDS LÄN</t>
        </is>
      </c>
      <c r="E126" t="inlineStr">
        <is>
          <t>SURAHAMMAR</t>
        </is>
      </c>
      <c r="F126" t="inlineStr">
        <is>
          <t>Kommuner</t>
        </is>
      </c>
      <c r="G126" t="n">
        <v>1.1</v>
      </c>
      <c r="H126" t="n">
        <v>0</v>
      </c>
      <c r="I126" t="n">
        <v>0</v>
      </c>
      <c r="J126" t="n">
        <v>0</v>
      </c>
      <c r="K126" t="n">
        <v>0</v>
      </c>
      <c r="L126" t="n">
        <v>0</v>
      </c>
      <c r="M126" t="n">
        <v>0</v>
      </c>
      <c r="N126" t="n">
        <v>0</v>
      </c>
      <c r="O126" t="n">
        <v>0</v>
      </c>
      <c r="P126" t="n">
        <v>0</v>
      </c>
      <c r="Q126" t="n">
        <v>0</v>
      </c>
      <c r="R126" s="2" t="inlineStr"/>
    </row>
    <row r="127" ht="15" customHeight="1">
      <c r="A127" t="inlineStr">
        <is>
          <t>A 42841-2022</t>
        </is>
      </c>
      <c r="B127" s="1" t="n">
        <v>44832</v>
      </c>
      <c r="C127" s="1" t="n">
        <v>45986</v>
      </c>
      <c r="D127" t="inlineStr">
        <is>
          <t>VÄSTMANLANDS LÄN</t>
        </is>
      </c>
      <c r="E127" t="inlineStr">
        <is>
          <t>SURAHAMMAR</t>
        </is>
      </c>
      <c r="G127" t="n">
        <v>1.8</v>
      </c>
      <c r="H127" t="n">
        <v>0</v>
      </c>
      <c r="I127" t="n">
        <v>0</v>
      </c>
      <c r="J127" t="n">
        <v>0</v>
      </c>
      <c r="K127" t="n">
        <v>0</v>
      </c>
      <c r="L127" t="n">
        <v>0</v>
      </c>
      <c r="M127" t="n">
        <v>0</v>
      </c>
      <c r="N127" t="n">
        <v>0</v>
      </c>
      <c r="O127" t="n">
        <v>0</v>
      </c>
      <c r="P127" t="n">
        <v>0</v>
      </c>
      <c r="Q127" t="n">
        <v>0</v>
      </c>
      <c r="R127" s="2" t="inlineStr"/>
    </row>
    <row r="128" ht="15" customHeight="1">
      <c r="A128" t="inlineStr">
        <is>
          <t>A 42829-2022</t>
        </is>
      </c>
      <c r="B128" s="1" t="n">
        <v>44832</v>
      </c>
      <c r="C128" s="1" t="n">
        <v>45986</v>
      </c>
      <c r="D128" t="inlineStr">
        <is>
          <t>VÄSTMANLANDS LÄN</t>
        </is>
      </c>
      <c r="E128" t="inlineStr">
        <is>
          <t>SURAHAMMAR</t>
        </is>
      </c>
      <c r="G128" t="n">
        <v>1.6</v>
      </c>
      <c r="H128" t="n">
        <v>0</v>
      </c>
      <c r="I128" t="n">
        <v>0</v>
      </c>
      <c r="J128" t="n">
        <v>0</v>
      </c>
      <c r="K128" t="n">
        <v>0</v>
      </c>
      <c r="L128" t="n">
        <v>0</v>
      </c>
      <c r="M128" t="n">
        <v>0</v>
      </c>
      <c r="N128" t="n">
        <v>0</v>
      </c>
      <c r="O128" t="n">
        <v>0</v>
      </c>
      <c r="P128" t="n">
        <v>0</v>
      </c>
      <c r="Q128" t="n">
        <v>0</v>
      </c>
      <c r="R128" s="2" t="inlineStr"/>
    </row>
    <row r="129" ht="15" customHeight="1">
      <c r="A129" t="inlineStr">
        <is>
          <t>A 37013-2025</t>
        </is>
      </c>
      <c r="B129" s="1" t="n">
        <v>45874</v>
      </c>
      <c r="C129" s="1" t="n">
        <v>45986</v>
      </c>
      <c r="D129" t="inlineStr">
        <is>
          <t>VÄSTMANLANDS LÄN</t>
        </is>
      </c>
      <c r="E129" t="inlineStr">
        <is>
          <t>SURAHAMMAR</t>
        </is>
      </c>
      <c r="F129" t="inlineStr">
        <is>
          <t>Bergvik skog väst AB</t>
        </is>
      </c>
      <c r="G129" t="n">
        <v>10.7</v>
      </c>
      <c r="H129" t="n">
        <v>0</v>
      </c>
      <c r="I129" t="n">
        <v>0</v>
      </c>
      <c r="J129" t="n">
        <v>0</v>
      </c>
      <c r="K129" t="n">
        <v>0</v>
      </c>
      <c r="L129" t="n">
        <v>0</v>
      </c>
      <c r="M129" t="n">
        <v>0</v>
      </c>
      <c r="N129" t="n">
        <v>0</v>
      </c>
      <c r="O129" t="n">
        <v>0</v>
      </c>
      <c r="P129" t="n">
        <v>0</v>
      </c>
      <c r="Q129" t="n">
        <v>0</v>
      </c>
      <c r="R129" s="2" t="inlineStr"/>
    </row>
    <row r="130" ht="15" customHeight="1">
      <c r="A130" t="inlineStr">
        <is>
          <t>A 2867-2024</t>
        </is>
      </c>
      <c r="B130" s="1" t="n">
        <v>45315</v>
      </c>
      <c r="C130" s="1" t="n">
        <v>45986</v>
      </c>
      <c r="D130" t="inlineStr">
        <is>
          <t>VÄSTMANLANDS LÄN</t>
        </is>
      </c>
      <c r="E130" t="inlineStr">
        <is>
          <t>SURAHAMMAR</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37954-2025</t>
        </is>
      </c>
      <c r="B131" s="1" t="n">
        <v>45881</v>
      </c>
      <c r="C131" s="1" t="n">
        <v>45986</v>
      </c>
      <c r="D131" t="inlineStr">
        <is>
          <t>VÄSTMANLANDS LÄN</t>
        </is>
      </c>
      <c r="E131" t="inlineStr">
        <is>
          <t>SURAHAMMAR</t>
        </is>
      </c>
      <c r="G131" t="n">
        <v>9.5</v>
      </c>
      <c r="H131" t="n">
        <v>0</v>
      </c>
      <c r="I131" t="n">
        <v>0</v>
      </c>
      <c r="J131" t="n">
        <v>0</v>
      </c>
      <c r="K131" t="n">
        <v>0</v>
      </c>
      <c r="L131" t="n">
        <v>0</v>
      </c>
      <c r="M131" t="n">
        <v>0</v>
      </c>
      <c r="N131" t="n">
        <v>0</v>
      </c>
      <c r="O131" t="n">
        <v>0</v>
      </c>
      <c r="P131" t="n">
        <v>0</v>
      </c>
      <c r="Q131" t="n">
        <v>0</v>
      </c>
      <c r="R131" s="2" t="inlineStr"/>
    </row>
    <row r="132" ht="15" customHeight="1">
      <c r="A132" t="inlineStr">
        <is>
          <t>A 3085-2023</t>
        </is>
      </c>
      <c r="B132" s="1" t="n">
        <v>44946</v>
      </c>
      <c r="C132" s="1" t="n">
        <v>45986</v>
      </c>
      <c r="D132" t="inlineStr">
        <is>
          <t>VÄSTMANLANDS LÄN</t>
        </is>
      </c>
      <c r="E132" t="inlineStr">
        <is>
          <t>SURAHAMMAR</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45986</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49060-2024</t>
        </is>
      </c>
      <c r="B134" s="1" t="n">
        <v>45594</v>
      </c>
      <c r="C134" s="1" t="n">
        <v>45986</v>
      </c>
      <c r="D134" t="inlineStr">
        <is>
          <t>VÄSTMANLANDS LÄN</t>
        </is>
      </c>
      <c r="E134" t="inlineStr">
        <is>
          <t>SURAHAMMAR</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34955-2022</t>
        </is>
      </c>
      <c r="B135" s="1" t="n">
        <v>44796</v>
      </c>
      <c r="C135" s="1" t="n">
        <v>45986</v>
      </c>
      <c r="D135" t="inlineStr">
        <is>
          <t>VÄSTMANLANDS LÄN</t>
        </is>
      </c>
      <c r="E135" t="inlineStr">
        <is>
          <t>SURAHAMMAR</t>
        </is>
      </c>
      <c r="F135" t="inlineStr">
        <is>
          <t>Sveaskog</t>
        </is>
      </c>
      <c r="G135" t="n">
        <v>4.6</v>
      </c>
      <c r="H135" t="n">
        <v>0</v>
      </c>
      <c r="I135" t="n">
        <v>0</v>
      </c>
      <c r="J135" t="n">
        <v>0</v>
      </c>
      <c r="K135" t="n">
        <v>0</v>
      </c>
      <c r="L135" t="n">
        <v>0</v>
      </c>
      <c r="M135" t="n">
        <v>0</v>
      </c>
      <c r="N135" t="n">
        <v>0</v>
      </c>
      <c r="O135" t="n">
        <v>0</v>
      </c>
      <c r="P135" t="n">
        <v>0</v>
      </c>
      <c r="Q135" t="n">
        <v>0</v>
      </c>
      <c r="R135" s="2" t="inlineStr"/>
    </row>
    <row r="136" ht="15" customHeight="1">
      <c r="A136" t="inlineStr">
        <is>
          <t>A 20904-2023</t>
        </is>
      </c>
      <c r="B136" s="1" t="n">
        <v>45060</v>
      </c>
      <c r="C136" s="1" t="n">
        <v>45986</v>
      </c>
      <c r="D136" t="inlineStr">
        <is>
          <t>VÄSTMANLANDS LÄN</t>
        </is>
      </c>
      <c r="E136" t="inlineStr">
        <is>
          <t>SURAHAMMAR</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10883-2023</t>
        </is>
      </c>
      <c r="B137" s="1" t="n">
        <v>44991</v>
      </c>
      <c r="C137" s="1" t="n">
        <v>45986</v>
      </c>
      <c r="D137" t="inlineStr">
        <is>
          <t>VÄSTMANLANDS LÄN</t>
        </is>
      </c>
      <c r="E137" t="inlineStr">
        <is>
          <t>SURAHAMMAR</t>
        </is>
      </c>
      <c r="F137" t="inlineStr">
        <is>
          <t>Övriga Aktiebolag</t>
        </is>
      </c>
      <c r="G137" t="n">
        <v>12.5</v>
      </c>
      <c r="H137" t="n">
        <v>0</v>
      </c>
      <c r="I137" t="n">
        <v>0</v>
      </c>
      <c r="J137" t="n">
        <v>0</v>
      </c>
      <c r="K137" t="n">
        <v>0</v>
      </c>
      <c r="L137" t="n">
        <v>0</v>
      </c>
      <c r="M137" t="n">
        <v>0</v>
      </c>
      <c r="N137" t="n">
        <v>0</v>
      </c>
      <c r="O137" t="n">
        <v>0</v>
      </c>
      <c r="P137" t="n">
        <v>0</v>
      </c>
      <c r="Q137" t="n">
        <v>0</v>
      </c>
      <c r="R137" s="2" t="inlineStr"/>
    </row>
    <row r="138" ht="15" customHeight="1">
      <c r="A138" t="inlineStr">
        <is>
          <t>A 2660-2024</t>
        </is>
      </c>
      <c r="B138" s="1" t="n">
        <v>45310</v>
      </c>
      <c r="C138" s="1" t="n">
        <v>45986</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14626-2023</t>
        </is>
      </c>
      <c r="B139" s="1" t="n">
        <v>45012</v>
      </c>
      <c r="C139" s="1" t="n">
        <v>45986</v>
      </c>
      <c r="D139" t="inlineStr">
        <is>
          <t>VÄSTMANLANDS LÄN</t>
        </is>
      </c>
      <c r="E139" t="inlineStr">
        <is>
          <t>SURAHAMMAR</t>
        </is>
      </c>
      <c r="F139" t="inlineStr">
        <is>
          <t>Bergvik skog väst AB</t>
        </is>
      </c>
      <c r="G139" t="n">
        <v>5</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45986</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25450-2024</t>
        </is>
      </c>
      <c r="B141" s="1" t="n">
        <v>45463</v>
      </c>
      <c r="C141" s="1" t="n">
        <v>45986</v>
      </c>
      <c r="D141" t="inlineStr">
        <is>
          <t>VÄSTMANLANDS LÄN</t>
        </is>
      </c>
      <c r="E141" t="inlineStr">
        <is>
          <t>SURAHAMMAR</t>
        </is>
      </c>
      <c r="F141" t="inlineStr">
        <is>
          <t>Bergvik skog väst AB</t>
        </is>
      </c>
      <c r="G141" t="n">
        <v>2.4</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45986</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7848-2022</t>
        </is>
      </c>
      <c r="B143" s="1" t="n">
        <v>44608.58400462963</v>
      </c>
      <c r="C143" s="1" t="n">
        <v>45986</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24167-2024</t>
        </is>
      </c>
      <c r="B144" s="1" t="n">
        <v>45456</v>
      </c>
      <c r="C144" s="1" t="n">
        <v>45986</v>
      </c>
      <c r="D144" t="inlineStr">
        <is>
          <t>VÄSTMANLANDS LÄN</t>
        </is>
      </c>
      <c r="E144" t="inlineStr">
        <is>
          <t>SURAHAMMAR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56378-2023</t>
        </is>
      </c>
      <c r="B145" s="1" t="n">
        <v>45236</v>
      </c>
      <c r="C145" s="1" t="n">
        <v>45986</v>
      </c>
      <c r="D145" t="inlineStr">
        <is>
          <t>VÄSTMANLANDS LÄN</t>
        </is>
      </c>
      <c r="E145" t="inlineStr">
        <is>
          <t>SURAHAMMAR</t>
        </is>
      </c>
      <c r="F145" t="inlineStr">
        <is>
          <t>Bergvik skog väst AB</t>
        </is>
      </c>
      <c r="G145" t="n">
        <v>4.6</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45986</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11501-2023</t>
        </is>
      </c>
      <c r="B147" s="1" t="n">
        <v>44991</v>
      </c>
      <c r="C147" s="1" t="n">
        <v>45986</v>
      </c>
      <c r="D147" t="inlineStr">
        <is>
          <t>VÄSTMANLANDS LÄN</t>
        </is>
      </c>
      <c r="E147" t="inlineStr">
        <is>
          <t>SURAHAMMAR</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3818-2022</t>
        </is>
      </c>
      <c r="B148" s="1" t="n">
        <v>44587</v>
      </c>
      <c r="C148" s="1" t="n">
        <v>45986</v>
      </c>
      <c r="D148" t="inlineStr">
        <is>
          <t>VÄSTMANLANDS LÄN</t>
        </is>
      </c>
      <c r="E148" t="inlineStr">
        <is>
          <t>SURAHAMMAR</t>
        </is>
      </c>
      <c r="G148" t="n">
        <v>2.6</v>
      </c>
      <c r="H148" t="n">
        <v>0</v>
      </c>
      <c r="I148" t="n">
        <v>0</v>
      </c>
      <c r="J148" t="n">
        <v>0</v>
      </c>
      <c r="K148" t="n">
        <v>0</v>
      </c>
      <c r="L148" t="n">
        <v>0</v>
      </c>
      <c r="M148" t="n">
        <v>0</v>
      </c>
      <c r="N148" t="n">
        <v>0</v>
      </c>
      <c r="O148" t="n">
        <v>0</v>
      </c>
      <c r="P148" t="n">
        <v>0</v>
      </c>
      <c r="Q148" t="n">
        <v>0</v>
      </c>
      <c r="R148" s="2" t="inlineStr"/>
    </row>
    <row r="149" ht="15" customHeight="1">
      <c r="A149" t="inlineStr">
        <is>
          <t>A 21509-2024</t>
        </is>
      </c>
      <c r="B149" s="1" t="n">
        <v>45441</v>
      </c>
      <c r="C149" s="1" t="n">
        <v>45986</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22662-2023</t>
        </is>
      </c>
      <c r="B150" s="1" t="n">
        <v>45071</v>
      </c>
      <c r="C150" s="1" t="n">
        <v>45986</v>
      </c>
      <c r="D150" t="inlineStr">
        <is>
          <t>VÄSTMANLANDS LÄN</t>
        </is>
      </c>
      <c r="E150" t="inlineStr">
        <is>
          <t>SURAHAMMAR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16013-2023</t>
        </is>
      </c>
      <c r="B151" s="1" t="n">
        <v>45026</v>
      </c>
      <c r="C151" s="1" t="n">
        <v>45986</v>
      </c>
      <c r="D151" t="inlineStr">
        <is>
          <t>VÄSTMANLANDS LÄN</t>
        </is>
      </c>
      <c r="E151" t="inlineStr">
        <is>
          <t>SURAHAMMAR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41555-2022</t>
        </is>
      </c>
      <c r="B152" s="1" t="n">
        <v>44826</v>
      </c>
      <c r="C152" s="1" t="n">
        <v>45986</v>
      </c>
      <c r="D152" t="inlineStr">
        <is>
          <t>VÄSTMANLANDS LÄN</t>
        </is>
      </c>
      <c r="E152" t="inlineStr">
        <is>
          <t>SURAHAMMAR</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25780-2023</t>
        </is>
      </c>
      <c r="B153" s="1" t="n">
        <v>45090.47523148148</v>
      </c>
      <c r="C153" s="1" t="n">
        <v>45986</v>
      </c>
      <c r="D153" t="inlineStr">
        <is>
          <t>VÄSTMANLANDS LÄN</t>
        </is>
      </c>
      <c r="E153" t="inlineStr">
        <is>
          <t>SURAHAMMAR</t>
        </is>
      </c>
      <c r="G153" t="n">
        <v>2.8</v>
      </c>
      <c r="H153" t="n">
        <v>0</v>
      </c>
      <c r="I153" t="n">
        <v>0</v>
      </c>
      <c r="J153" t="n">
        <v>0</v>
      </c>
      <c r="K153" t="n">
        <v>0</v>
      </c>
      <c r="L153" t="n">
        <v>0</v>
      </c>
      <c r="M153" t="n">
        <v>0</v>
      </c>
      <c r="N153" t="n">
        <v>0</v>
      </c>
      <c r="O153" t="n">
        <v>0</v>
      </c>
      <c r="P153" t="n">
        <v>0</v>
      </c>
      <c r="Q153" t="n">
        <v>0</v>
      </c>
      <c r="R153" s="2" t="inlineStr"/>
    </row>
    <row r="154" ht="15" customHeight="1">
      <c r="A154" t="inlineStr">
        <is>
          <t>A 13386-2025</t>
        </is>
      </c>
      <c r="B154" s="1" t="n">
        <v>45735</v>
      </c>
      <c r="C154" s="1" t="n">
        <v>45986</v>
      </c>
      <c r="D154" t="inlineStr">
        <is>
          <t>VÄSTMANLANDS LÄN</t>
        </is>
      </c>
      <c r="E154" t="inlineStr">
        <is>
          <t>SURAHAMMAR</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c r="A155" t="inlineStr">
        <is>
          <t>A 47785-2021</t>
        </is>
      </c>
      <c r="B155" s="1" t="n">
        <v>44448</v>
      </c>
      <c r="C155" s="1" t="n">
        <v>45986</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2025-11-25T10:20:13Z</dcterms:created>
  <dcterms:modified xmlns:dcterms="http://purl.org/dc/terms/" xmlns:xsi="http://www.w3.org/2001/XMLSchema-instance" xsi:type="dcterms:W3CDTF">2025-11-25T10:20:13Z</dcterms:modified>
</cp:coreProperties>
</file>