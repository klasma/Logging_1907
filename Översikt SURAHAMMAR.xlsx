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46061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46061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46061</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46061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46061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46061</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46061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46061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46061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46061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46061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46061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46061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46061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46061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46061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46061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46061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46061</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46061</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4105-2025</t>
        </is>
      </c>
      <c r="B22" s="1" t="n">
        <v>45684</v>
      </c>
      <c r="C22" s="1" t="n">
        <v>46061</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48891-2023</t>
        </is>
      </c>
      <c r="B23" s="1" t="n">
        <v>45203</v>
      </c>
      <c r="C23" s="1" t="n">
        <v>46061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46061</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46061</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46061</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46061</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48128-2023</t>
        </is>
      </c>
      <c r="B28" s="1" t="n">
        <v>45205</v>
      </c>
      <c r="C28" s="1" t="n">
        <v>46061</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46061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42708-2022</t>
        </is>
      </c>
      <c r="B30" s="1" t="n">
        <v>44832</v>
      </c>
      <c r="C30" s="1" t="n">
        <v>46061</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39694-2025</t>
        </is>
      </c>
      <c r="B31" s="1" t="n">
        <v>45890</v>
      </c>
      <c r="C31" s="1" t="n">
        <v>46061</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29707-2025</t>
        </is>
      </c>
      <c r="B32" s="1" t="n">
        <v>45825.56100694444</v>
      </c>
      <c r="C32" s="1" t="n">
        <v>46061</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46061</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46061</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46061</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46061</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46061</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46061</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41576-2022</t>
        </is>
      </c>
      <c r="B39" s="1" t="n">
        <v>44826</v>
      </c>
      <c r="C39" s="1" t="n">
        <v>46061</v>
      </c>
      <c r="D39" t="inlineStr">
        <is>
          <t>VÄSTMANLANDS LÄN</t>
        </is>
      </c>
      <c r="E39" t="inlineStr">
        <is>
          <t>SURAHAMMAR</t>
        </is>
      </c>
      <c r="F39" t="inlineStr">
        <is>
          <t>Bergvik skog väst AB</t>
        </is>
      </c>
      <c r="G39" t="n">
        <v>6.4</v>
      </c>
      <c r="H39" t="n">
        <v>2</v>
      </c>
      <c r="I39" t="n">
        <v>0</v>
      </c>
      <c r="J39" t="n">
        <v>1</v>
      </c>
      <c r="K39" t="n">
        <v>0</v>
      </c>
      <c r="L39" t="n">
        <v>0</v>
      </c>
      <c r="M39" t="n">
        <v>0</v>
      </c>
      <c r="N39" t="n">
        <v>0</v>
      </c>
      <c r="O39" t="n">
        <v>1</v>
      </c>
      <c r="P39" t="n">
        <v>0</v>
      </c>
      <c r="Q39" t="n">
        <v>2</v>
      </c>
      <c r="R39" s="2" t="inlineStr">
        <is>
          <t>Talltita
Kungsfågel</t>
        </is>
      </c>
      <c r="S39">
        <f>HYPERLINK("https://klasma.github.io/Logging_1907/artfynd/A 41576-2022 artfynd.xlsx", "A 41576-2022")</f>
        <v/>
      </c>
      <c r="T39">
        <f>HYPERLINK("https://klasma.github.io/Logging_1907/kartor/A 41576-2022 karta.png", "A 41576-2022")</f>
        <v/>
      </c>
      <c r="V39">
        <f>HYPERLINK("https://klasma.github.io/Logging_1907/klagomål/A 41576-2022 FSC-klagomål.docx", "A 41576-2022")</f>
        <v/>
      </c>
      <c r="W39">
        <f>HYPERLINK("https://klasma.github.io/Logging_1907/klagomålsmail/A 41576-2022 FSC-klagomål mail.docx", "A 41576-2022")</f>
        <v/>
      </c>
      <c r="X39">
        <f>HYPERLINK("https://klasma.github.io/Logging_1907/tillsyn/A 41576-2022 tillsynsbegäran.docx", "A 41576-2022")</f>
        <v/>
      </c>
      <c r="Y39">
        <f>HYPERLINK("https://klasma.github.io/Logging_1907/tillsynsmail/A 41576-2022 tillsynsbegäran mail.docx", "A 41576-2022")</f>
        <v/>
      </c>
      <c r="Z39">
        <f>HYPERLINK("https://klasma.github.io/Logging_1907/fåglar/A 41576-2022 prioriterade fågelarter.docx", "A 41576-2022")</f>
        <v/>
      </c>
    </row>
    <row r="40" ht="15" customHeight="1">
      <c r="A40" t="inlineStr">
        <is>
          <t>A 40403-2025</t>
        </is>
      </c>
      <c r="B40" s="1" t="n">
        <v>45895</v>
      </c>
      <c r="C40" s="1" t="n">
        <v>46061</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46061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63146-2025</t>
        </is>
      </c>
      <c r="B42" s="1" t="n">
        <v>46009</v>
      </c>
      <c r="C42" s="1" t="n">
        <v>46061</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37800-2021</t>
        </is>
      </c>
      <c r="B43" s="1" t="n">
        <v>44402</v>
      </c>
      <c r="C43" s="1" t="n">
        <v>46061</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46061</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46061</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46061</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46061</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46061</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46061</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46061</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30074-2023</t>
        </is>
      </c>
      <c r="B51" s="1" t="n">
        <v>45110</v>
      </c>
      <c r="C51" s="1" t="n">
        <v>46061</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40411-2021</t>
        </is>
      </c>
      <c r="B52" s="1" t="n">
        <v>44419</v>
      </c>
      <c r="C52" s="1" t="n">
        <v>46061</v>
      </c>
      <c r="D52" t="inlineStr">
        <is>
          <t>VÄSTMANLANDS LÄN</t>
        </is>
      </c>
      <c r="E52" t="inlineStr">
        <is>
          <t>SURAHAMMAR</t>
        </is>
      </c>
      <c r="F52" t="inlineStr">
        <is>
          <t>Sveaskog</t>
        </is>
      </c>
      <c r="G52" t="n">
        <v>2.4</v>
      </c>
      <c r="H52" t="n">
        <v>1</v>
      </c>
      <c r="I52" t="n">
        <v>0</v>
      </c>
      <c r="J52" t="n">
        <v>0</v>
      </c>
      <c r="K52" t="n">
        <v>0</v>
      </c>
      <c r="L52" t="n">
        <v>0</v>
      </c>
      <c r="M52" t="n">
        <v>0</v>
      </c>
      <c r="N52" t="n">
        <v>0</v>
      </c>
      <c r="O52" t="n">
        <v>0</v>
      </c>
      <c r="P52" t="n">
        <v>0</v>
      </c>
      <c r="Q52" t="n">
        <v>1</v>
      </c>
      <c r="R52" s="2" t="inlineStr">
        <is>
          <t>Kopparödla</t>
        </is>
      </c>
      <c r="S52">
        <f>HYPERLINK("https://klasma.github.io/Logging_1907/artfynd/A 40411-2021 artfynd.xlsx", "A 40411-2021")</f>
        <v/>
      </c>
      <c r="T52">
        <f>HYPERLINK("https://klasma.github.io/Logging_1907/kartor/A 40411-2021 karta.png", "A 40411-2021")</f>
        <v/>
      </c>
      <c r="V52">
        <f>HYPERLINK("https://klasma.github.io/Logging_1907/klagomål/A 40411-2021 FSC-klagomål.docx", "A 40411-2021")</f>
        <v/>
      </c>
      <c r="W52">
        <f>HYPERLINK("https://klasma.github.io/Logging_1907/klagomålsmail/A 40411-2021 FSC-klagomål mail.docx", "A 40411-2021")</f>
        <v/>
      </c>
      <c r="X52">
        <f>HYPERLINK("https://klasma.github.io/Logging_1907/tillsyn/A 40411-2021 tillsynsbegäran.docx", "A 40411-2021")</f>
        <v/>
      </c>
      <c r="Y52">
        <f>HYPERLINK("https://klasma.github.io/Logging_1907/tillsynsmail/A 40411-2021 tillsynsbegäran mail.docx", "A 40411-2021")</f>
        <v/>
      </c>
    </row>
    <row r="53" ht="15" customHeight="1">
      <c r="A53" t="inlineStr">
        <is>
          <t>A 56362-2023</t>
        </is>
      </c>
      <c r="B53" s="1" t="n">
        <v>45236</v>
      </c>
      <c r="C53" s="1" t="n">
        <v>46061</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13788-2025</t>
        </is>
      </c>
      <c r="B54" s="1" t="n">
        <v>45737.45327546296</v>
      </c>
      <c r="C54" s="1" t="n">
        <v>46061</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47453-2024</t>
        </is>
      </c>
      <c r="B55" s="1" t="n">
        <v>45587.55017361111</v>
      </c>
      <c r="C55" s="1" t="n">
        <v>46061</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34582-2025</t>
        </is>
      </c>
      <c r="B56" s="1" t="n">
        <v>45846</v>
      </c>
      <c r="C56" s="1" t="n">
        <v>46061</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25583-2024</t>
        </is>
      </c>
      <c r="B57" s="1" t="n">
        <v>45463</v>
      </c>
      <c r="C57" s="1" t="n">
        <v>46061</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42089-2025</t>
        </is>
      </c>
      <c r="B58" s="1" t="n">
        <v>45902</v>
      </c>
      <c r="C58" s="1" t="n">
        <v>46061</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46061</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42765-2022</t>
        </is>
      </c>
      <c r="B60" s="1" t="n">
        <v>44832</v>
      </c>
      <c r="C60" s="1" t="n">
        <v>46061</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10819-2024</t>
        </is>
      </c>
      <c r="B61" s="1" t="n">
        <v>45369.66049768519</v>
      </c>
      <c r="C61" s="1" t="n">
        <v>46061</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69777-2021</t>
        </is>
      </c>
      <c r="B62" s="1" t="n">
        <v>44532</v>
      </c>
      <c r="C62" s="1" t="n">
        <v>46061</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55042-2025</t>
        </is>
      </c>
      <c r="B63" s="1" t="n">
        <v>45967.65858796296</v>
      </c>
      <c r="C63" s="1" t="n">
        <v>46061</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17632-2022</t>
        </is>
      </c>
      <c r="B64" s="1" t="n">
        <v>44680</v>
      </c>
      <c r="C64" s="1" t="n">
        <v>46061</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56768-2025</t>
        </is>
      </c>
      <c r="B65" s="1" t="n">
        <v>45978</v>
      </c>
      <c r="C65" s="1" t="n">
        <v>46061</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44356-2024</t>
        </is>
      </c>
      <c r="B66" s="1" t="n">
        <v>45573</v>
      </c>
      <c r="C66" s="1" t="n">
        <v>46061</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63145-2025</t>
        </is>
      </c>
      <c r="B67" s="1" t="n">
        <v>46009</v>
      </c>
      <c r="C67" s="1" t="n">
        <v>46061</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22840-2023</t>
        </is>
      </c>
      <c r="B68" s="1" t="n">
        <v>45072</v>
      </c>
      <c r="C68" s="1" t="n">
        <v>46061</v>
      </c>
      <c r="D68" t="inlineStr">
        <is>
          <t>VÄSTMANLANDS LÄN</t>
        </is>
      </c>
      <c r="E68" t="inlineStr">
        <is>
          <t>SURAHAMMAR</t>
        </is>
      </c>
      <c r="G68" t="n">
        <v>4.3</v>
      </c>
      <c r="H68" t="n">
        <v>1</v>
      </c>
      <c r="I68" t="n">
        <v>0</v>
      </c>
      <c r="J68" t="n">
        <v>0</v>
      </c>
      <c r="K68" t="n">
        <v>0</v>
      </c>
      <c r="L68" t="n">
        <v>0</v>
      </c>
      <c r="M68" t="n">
        <v>0</v>
      </c>
      <c r="N68" t="n">
        <v>0</v>
      </c>
      <c r="O68" t="n">
        <v>0</v>
      </c>
      <c r="P68" t="n">
        <v>0</v>
      </c>
      <c r="Q68" t="n">
        <v>1</v>
      </c>
      <c r="R68" s="2" t="inlineStr">
        <is>
          <t>Fläcknycklar</t>
        </is>
      </c>
      <c r="S68">
        <f>HYPERLINK("https://klasma.github.io/Logging_1907/artfynd/A 22840-2023 artfynd.xlsx", "A 22840-2023")</f>
        <v/>
      </c>
      <c r="T68">
        <f>HYPERLINK("https://klasma.github.io/Logging_1907/kartor/A 22840-2023 karta.png", "A 22840-2023")</f>
        <v/>
      </c>
      <c r="V68">
        <f>HYPERLINK("https://klasma.github.io/Logging_1907/klagomål/A 22840-2023 FSC-klagomål.docx", "A 22840-2023")</f>
        <v/>
      </c>
      <c r="W68">
        <f>HYPERLINK("https://klasma.github.io/Logging_1907/klagomålsmail/A 22840-2023 FSC-klagomål mail.docx", "A 22840-2023")</f>
        <v/>
      </c>
      <c r="X68">
        <f>HYPERLINK("https://klasma.github.io/Logging_1907/tillsyn/A 22840-2023 tillsynsbegäran.docx", "A 22840-2023")</f>
        <v/>
      </c>
      <c r="Y68">
        <f>HYPERLINK("https://klasma.github.io/Logging_1907/tillsynsmail/A 22840-2023 tillsynsbegäran mail.docx", "A 22840-2023")</f>
        <v/>
      </c>
    </row>
    <row r="69" ht="15" customHeight="1">
      <c r="A69" t="inlineStr">
        <is>
          <t>A 33231-2024</t>
        </is>
      </c>
      <c r="B69" s="1" t="n">
        <v>45518</v>
      </c>
      <c r="C69" s="1" t="n">
        <v>46061</v>
      </c>
      <c r="D69" t="inlineStr">
        <is>
          <t>VÄSTMANLANDS LÄN</t>
        </is>
      </c>
      <c r="E69" t="inlineStr">
        <is>
          <t>SURAHAMMAR</t>
        </is>
      </c>
      <c r="F69" t="inlineStr">
        <is>
          <t>Bergvik skog väst AB</t>
        </is>
      </c>
      <c r="G69" t="n">
        <v>1.5</v>
      </c>
      <c r="H69" t="n">
        <v>1</v>
      </c>
      <c r="I69" t="n">
        <v>0</v>
      </c>
      <c r="J69" t="n">
        <v>0</v>
      </c>
      <c r="K69" t="n">
        <v>0</v>
      </c>
      <c r="L69" t="n">
        <v>0</v>
      </c>
      <c r="M69" t="n">
        <v>0</v>
      </c>
      <c r="N69" t="n">
        <v>0</v>
      </c>
      <c r="O69" t="n">
        <v>0</v>
      </c>
      <c r="P69" t="n">
        <v>0</v>
      </c>
      <c r="Q69" t="n">
        <v>1</v>
      </c>
      <c r="R69" s="2" t="inlineStr">
        <is>
          <t>Mindre vattensalamander</t>
        </is>
      </c>
      <c r="S69">
        <f>HYPERLINK("https://klasma.github.io/Logging_1907/artfynd/A 33231-2024 artfynd.xlsx", "A 33231-2024")</f>
        <v/>
      </c>
      <c r="T69">
        <f>HYPERLINK("https://klasma.github.io/Logging_1907/kartor/A 33231-2024 karta.png", "A 33231-2024")</f>
        <v/>
      </c>
      <c r="V69">
        <f>HYPERLINK("https://klasma.github.io/Logging_1907/klagomål/A 33231-2024 FSC-klagomål.docx", "A 33231-2024")</f>
        <v/>
      </c>
      <c r="W69">
        <f>HYPERLINK("https://klasma.github.io/Logging_1907/klagomålsmail/A 33231-2024 FSC-klagomål mail.docx", "A 33231-2024")</f>
        <v/>
      </c>
      <c r="X69">
        <f>HYPERLINK("https://klasma.github.io/Logging_1907/tillsyn/A 33231-2024 tillsynsbegäran.docx", "A 33231-2024")</f>
        <v/>
      </c>
      <c r="Y69">
        <f>HYPERLINK("https://klasma.github.io/Logging_1907/tillsynsmail/A 33231-2024 tillsynsbegäran mail.docx", "A 33231-2024")</f>
        <v/>
      </c>
    </row>
    <row r="70" ht="15" customHeight="1">
      <c r="A70" t="inlineStr">
        <is>
          <t>A 14001-2023</t>
        </is>
      </c>
      <c r="B70" s="1" t="n">
        <v>45007</v>
      </c>
      <c r="C70" s="1" t="n">
        <v>46061</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13971-2023</t>
        </is>
      </c>
      <c r="B71" s="1" t="n">
        <v>45007</v>
      </c>
      <c r="C71" s="1" t="n">
        <v>46061</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31176-2024</t>
        </is>
      </c>
      <c r="B72" s="1" t="n">
        <v>45503</v>
      </c>
      <c r="C72" s="1" t="n">
        <v>46061</v>
      </c>
      <c r="D72" t="inlineStr">
        <is>
          <t>VÄSTMANLANDS LÄN</t>
        </is>
      </c>
      <c r="E72" t="inlineStr">
        <is>
          <t>SURAHAMMAR</t>
        </is>
      </c>
      <c r="F72" t="inlineStr">
        <is>
          <t>Allmännings- och besparingsskogar</t>
        </is>
      </c>
      <c r="G72" t="n">
        <v>10.7</v>
      </c>
      <c r="H72" t="n">
        <v>0</v>
      </c>
      <c r="I72" t="n">
        <v>0</v>
      </c>
      <c r="J72" t="n">
        <v>1</v>
      </c>
      <c r="K72" t="n">
        <v>0</v>
      </c>
      <c r="L72" t="n">
        <v>0</v>
      </c>
      <c r="M72" t="n">
        <v>0</v>
      </c>
      <c r="N72" t="n">
        <v>0</v>
      </c>
      <c r="O72" t="n">
        <v>1</v>
      </c>
      <c r="P72" t="n">
        <v>0</v>
      </c>
      <c r="Q72" t="n">
        <v>1</v>
      </c>
      <c r="R72" s="2" t="inlineStr">
        <is>
          <t>Doftskinn</t>
        </is>
      </c>
      <c r="S72">
        <f>HYPERLINK("https://klasma.github.io/Logging_1907/artfynd/A 31176-2024 artfynd.xlsx", "A 31176-2024")</f>
        <v/>
      </c>
      <c r="T72">
        <f>HYPERLINK("https://klasma.github.io/Logging_1907/kartor/A 31176-2024 karta.png", "A 31176-2024")</f>
        <v/>
      </c>
      <c r="V72">
        <f>HYPERLINK("https://klasma.github.io/Logging_1907/klagomål/A 31176-2024 FSC-klagomål.docx", "A 31176-2024")</f>
        <v/>
      </c>
      <c r="W72">
        <f>HYPERLINK("https://klasma.github.io/Logging_1907/klagomålsmail/A 31176-2024 FSC-klagomål mail.docx", "A 31176-2024")</f>
        <v/>
      </c>
      <c r="X72">
        <f>HYPERLINK("https://klasma.github.io/Logging_1907/tillsyn/A 31176-2024 tillsynsbegäran.docx", "A 31176-2024")</f>
        <v/>
      </c>
      <c r="Y72">
        <f>HYPERLINK("https://klasma.github.io/Logging_1907/tillsynsmail/A 31176-2024 tillsynsbegäran mail.docx", "A 31176-2024")</f>
        <v/>
      </c>
    </row>
    <row r="73" ht="15" customHeight="1">
      <c r="A73" t="inlineStr">
        <is>
          <t>A 43451-2024</t>
        </is>
      </c>
      <c r="B73" s="1" t="n">
        <v>45568</v>
      </c>
      <c r="C73" s="1" t="n">
        <v>46061</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64073-2021</t>
        </is>
      </c>
      <c r="B74" s="1" t="n">
        <v>44509</v>
      </c>
      <c r="C74" s="1" t="n">
        <v>46061</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46061</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46061</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46061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46061</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46061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46061</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46061</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46061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46061</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46061</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46061</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46061</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46061</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46061</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46061</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46061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46061</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16608-2022</t>
        </is>
      </c>
      <c r="B92" s="1" t="n">
        <v>44672</v>
      </c>
      <c r="C92" s="1" t="n">
        <v>46061</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46061</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46061</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46061</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46061</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46061</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46061</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46061</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46061</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37287-2023</t>
        </is>
      </c>
      <c r="B101" s="1" t="n">
        <v>45156</v>
      </c>
      <c r="C101" s="1" t="n">
        <v>46061</v>
      </c>
      <c r="D101" t="inlineStr">
        <is>
          <t>VÄSTMANLANDS LÄN</t>
        </is>
      </c>
      <c r="E101" t="inlineStr">
        <is>
          <t>SURAHAMMAR</t>
        </is>
      </c>
      <c r="G101" t="n">
        <v>0.6</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46061</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46061</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46061</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46061</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46061</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33931-2022</t>
        </is>
      </c>
      <c r="B107" s="1" t="n">
        <v>44790.65153935185</v>
      </c>
      <c r="C107" s="1" t="n">
        <v>46061</v>
      </c>
      <c r="D107" t="inlineStr">
        <is>
          <t>VÄSTMANLANDS LÄN</t>
        </is>
      </c>
      <c r="E107" t="inlineStr">
        <is>
          <t>SURAHAMMAR</t>
        </is>
      </c>
      <c r="G107" t="n">
        <v>2.2</v>
      </c>
      <c r="H107" t="n">
        <v>0</v>
      </c>
      <c r="I107" t="n">
        <v>0</v>
      </c>
      <c r="J107" t="n">
        <v>0</v>
      </c>
      <c r="K107" t="n">
        <v>0</v>
      </c>
      <c r="L107" t="n">
        <v>0</v>
      </c>
      <c r="M107" t="n">
        <v>0</v>
      </c>
      <c r="N107" t="n">
        <v>0</v>
      </c>
      <c r="O107" t="n">
        <v>0</v>
      </c>
      <c r="P107" t="n">
        <v>0</v>
      </c>
      <c r="Q107" t="n">
        <v>0</v>
      </c>
      <c r="R107" s="2" t="inlineStr"/>
    </row>
    <row r="108" ht="15" customHeight="1">
      <c r="A108" t="inlineStr">
        <is>
          <t>A 24158-2023</t>
        </is>
      </c>
      <c r="B108" s="1" t="n">
        <v>45079</v>
      </c>
      <c r="C108" s="1" t="n">
        <v>46061</v>
      </c>
      <c r="D108" t="inlineStr">
        <is>
          <t>VÄSTMANLANDS LÄN</t>
        </is>
      </c>
      <c r="E108" t="inlineStr">
        <is>
          <t>SURAHAMMAR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42714-2022</t>
        </is>
      </c>
      <c r="B109" s="1" t="n">
        <v>44832</v>
      </c>
      <c r="C109" s="1" t="n">
        <v>46061</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35682-2022</t>
        </is>
      </c>
      <c r="B110" s="1" t="n">
        <v>44799.60422453703</v>
      </c>
      <c r="C110" s="1" t="n">
        <v>46061</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46061</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5567-2022</t>
        </is>
      </c>
      <c r="B112" s="1" t="n">
        <v>44595</v>
      </c>
      <c r="C112" s="1" t="n">
        <v>46061</v>
      </c>
      <c r="D112" t="inlineStr">
        <is>
          <t>VÄSTMANLANDS LÄN</t>
        </is>
      </c>
      <c r="E112" t="inlineStr">
        <is>
          <t>SURAHAMMAR</t>
        </is>
      </c>
      <c r="G112" t="n">
        <v>1.3</v>
      </c>
      <c r="H112" t="n">
        <v>0</v>
      </c>
      <c r="I112" t="n">
        <v>0</v>
      </c>
      <c r="J112" t="n">
        <v>0</v>
      </c>
      <c r="K112" t="n">
        <v>0</v>
      </c>
      <c r="L112" t="n">
        <v>0</v>
      </c>
      <c r="M112" t="n">
        <v>0</v>
      </c>
      <c r="N112" t="n">
        <v>0</v>
      </c>
      <c r="O112" t="n">
        <v>0</v>
      </c>
      <c r="P112" t="n">
        <v>0</v>
      </c>
      <c r="Q112" t="n">
        <v>0</v>
      </c>
      <c r="R112" s="2" t="inlineStr"/>
    </row>
    <row r="113" ht="15" customHeight="1">
      <c r="A113" t="inlineStr">
        <is>
          <t>A 42832-2022</t>
        </is>
      </c>
      <c r="B113" s="1" t="n">
        <v>44832</v>
      </c>
      <c r="C113" s="1" t="n">
        <v>46061</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24665-2023</t>
        </is>
      </c>
      <c r="B114" s="1" t="n">
        <v>45084.48592592592</v>
      </c>
      <c r="C114" s="1" t="n">
        <v>46061</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32808-2024</t>
        </is>
      </c>
      <c r="B115" s="1" t="n">
        <v>45516</v>
      </c>
      <c r="C115" s="1" t="n">
        <v>46061</v>
      </c>
      <c r="D115" t="inlineStr">
        <is>
          <t>VÄSTMANLANDS LÄN</t>
        </is>
      </c>
      <c r="E115" t="inlineStr">
        <is>
          <t>SURAHAMMAR</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46061</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32916-2025</t>
        </is>
      </c>
      <c r="B117" s="1" t="n">
        <v>45839</v>
      </c>
      <c r="C117" s="1" t="n">
        <v>46061</v>
      </c>
      <c r="D117" t="inlineStr">
        <is>
          <t>VÄSTMANLANDS LÄN</t>
        </is>
      </c>
      <c r="E117" t="inlineStr">
        <is>
          <t>SURAHAMMAR</t>
        </is>
      </c>
      <c r="F117" t="inlineStr">
        <is>
          <t>Kommuner</t>
        </is>
      </c>
      <c r="G117" t="n">
        <v>4.9</v>
      </c>
      <c r="H117" t="n">
        <v>0</v>
      </c>
      <c r="I117" t="n">
        <v>0</v>
      </c>
      <c r="J117" t="n">
        <v>0</v>
      </c>
      <c r="K117" t="n">
        <v>0</v>
      </c>
      <c r="L117" t="n">
        <v>0</v>
      </c>
      <c r="M117" t="n">
        <v>0</v>
      </c>
      <c r="N117" t="n">
        <v>0</v>
      </c>
      <c r="O117" t="n">
        <v>0</v>
      </c>
      <c r="P117" t="n">
        <v>0</v>
      </c>
      <c r="Q117" t="n">
        <v>0</v>
      </c>
      <c r="R117" s="2" t="inlineStr"/>
    </row>
    <row r="118" ht="15" customHeight="1">
      <c r="A118" t="inlineStr">
        <is>
          <t>A 32910-2025</t>
        </is>
      </c>
      <c r="B118" s="1" t="n">
        <v>45839</v>
      </c>
      <c r="C118" s="1" t="n">
        <v>46061</v>
      </c>
      <c r="D118" t="inlineStr">
        <is>
          <t>VÄSTMANLANDS LÄN</t>
        </is>
      </c>
      <c r="E118" t="inlineStr">
        <is>
          <t>SURAHAMMAR</t>
        </is>
      </c>
      <c r="F118" t="inlineStr">
        <is>
          <t>Kommuner</t>
        </is>
      </c>
      <c r="G118" t="n">
        <v>1.1</v>
      </c>
      <c r="H118" t="n">
        <v>0</v>
      </c>
      <c r="I118" t="n">
        <v>0</v>
      </c>
      <c r="J118" t="n">
        <v>0</v>
      </c>
      <c r="K118" t="n">
        <v>0</v>
      </c>
      <c r="L118" t="n">
        <v>0</v>
      </c>
      <c r="M118" t="n">
        <v>0</v>
      </c>
      <c r="N118" t="n">
        <v>0</v>
      </c>
      <c r="O118" t="n">
        <v>0</v>
      </c>
      <c r="P118" t="n">
        <v>0</v>
      </c>
      <c r="Q118" t="n">
        <v>0</v>
      </c>
      <c r="R118" s="2" t="inlineStr"/>
    </row>
    <row r="119" ht="15" customHeight="1">
      <c r="A119" t="inlineStr">
        <is>
          <t>A 42841-2022</t>
        </is>
      </c>
      <c r="B119" s="1" t="n">
        <v>44832</v>
      </c>
      <c r="C119" s="1" t="n">
        <v>46061</v>
      </c>
      <c r="D119" t="inlineStr">
        <is>
          <t>VÄSTMANLANDS LÄN</t>
        </is>
      </c>
      <c r="E119" t="inlineStr">
        <is>
          <t>SURAHAMMAR</t>
        </is>
      </c>
      <c r="G119" t="n">
        <v>1.8</v>
      </c>
      <c r="H119" t="n">
        <v>0</v>
      </c>
      <c r="I119" t="n">
        <v>0</v>
      </c>
      <c r="J119" t="n">
        <v>0</v>
      </c>
      <c r="K119" t="n">
        <v>0</v>
      </c>
      <c r="L119" t="n">
        <v>0</v>
      </c>
      <c r="M119" t="n">
        <v>0</v>
      </c>
      <c r="N119" t="n">
        <v>0</v>
      </c>
      <c r="O119" t="n">
        <v>0</v>
      </c>
      <c r="P119" t="n">
        <v>0</v>
      </c>
      <c r="Q119" t="n">
        <v>0</v>
      </c>
      <c r="R119" s="2" t="inlineStr"/>
    </row>
    <row r="120" ht="15" customHeight="1">
      <c r="A120" t="inlineStr">
        <is>
          <t>A 42829-2022</t>
        </is>
      </c>
      <c r="B120" s="1" t="n">
        <v>44832</v>
      </c>
      <c r="C120" s="1" t="n">
        <v>46061</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37013-2025</t>
        </is>
      </c>
      <c r="B121" s="1" t="n">
        <v>45874</v>
      </c>
      <c r="C121" s="1" t="n">
        <v>46061</v>
      </c>
      <c r="D121" t="inlineStr">
        <is>
          <t>VÄSTMANLANDS LÄN</t>
        </is>
      </c>
      <c r="E121" t="inlineStr">
        <is>
          <t>SURAHAMMAR</t>
        </is>
      </c>
      <c r="F121" t="inlineStr">
        <is>
          <t>Bergvik skog väst AB</t>
        </is>
      </c>
      <c r="G121" t="n">
        <v>10.7</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46061</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46061</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3085-2023</t>
        </is>
      </c>
      <c r="B124" s="1" t="n">
        <v>44946</v>
      </c>
      <c r="C124" s="1" t="n">
        <v>46061</v>
      </c>
      <c r="D124" t="inlineStr">
        <is>
          <t>VÄSTMANLANDS LÄN</t>
        </is>
      </c>
      <c r="E124" t="inlineStr">
        <is>
          <t>SURAHAMMAR</t>
        </is>
      </c>
      <c r="F124" t="inlineStr">
        <is>
          <t>Kyrkan</t>
        </is>
      </c>
      <c r="G124" t="n">
        <v>13</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46061</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46061</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46061</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55871-2025</t>
        </is>
      </c>
      <c r="B128" s="1" t="n">
        <v>45973.35452546296</v>
      </c>
      <c r="C128" s="1" t="n">
        <v>46061</v>
      </c>
      <c r="D128" t="inlineStr">
        <is>
          <t>VÄSTMANLANDS LÄN</t>
        </is>
      </c>
      <c r="E128" t="inlineStr">
        <is>
          <t>SURAHAMMAR</t>
        </is>
      </c>
      <c r="F128" t="inlineStr">
        <is>
          <t>Sveaskog</t>
        </is>
      </c>
      <c r="G128" t="n">
        <v>1.4</v>
      </c>
      <c r="H128" t="n">
        <v>0</v>
      </c>
      <c r="I128" t="n">
        <v>0</v>
      </c>
      <c r="J128" t="n">
        <v>0</v>
      </c>
      <c r="K128" t="n">
        <v>0</v>
      </c>
      <c r="L128" t="n">
        <v>0</v>
      </c>
      <c r="M128" t="n">
        <v>0</v>
      </c>
      <c r="N128" t="n">
        <v>0</v>
      </c>
      <c r="O128" t="n">
        <v>0</v>
      </c>
      <c r="P128" t="n">
        <v>0</v>
      </c>
      <c r="Q128" t="n">
        <v>0</v>
      </c>
      <c r="R128" s="2" t="inlineStr"/>
    </row>
    <row r="129" ht="15" customHeight="1">
      <c r="A129" t="inlineStr">
        <is>
          <t>A 56543-2025</t>
        </is>
      </c>
      <c r="B129" s="1" t="n">
        <v>45975</v>
      </c>
      <c r="C129" s="1" t="n">
        <v>46061</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49058-2024</t>
        </is>
      </c>
      <c r="B130" s="1" t="n">
        <v>45594</v>
      </c>
      <c r="C130" s="1" t="n">
        <v>46061</v>
      </c>
      <c r="D130" t="inlineStr">
        <is>
          <t>VÄSTMANLANDS LÄN</t>
        </is>
      </c>
      <c r="E130" t="inlineStr">
        <is>
          <t>SURAHAMMAR</t>
        </is>
      </c>
      <c r="F130" t="inlineStr">
        <is>
          <t>Sveaskog</t>
        </is>
      </c>
      <c r="G130" t="n">
        <v>11.4</v>
      </c>
      <c r="H130" t="n">
        <v>0</v>
      </c>
      <c r="I130" t="n">
        <v>0</v>
      </c>
      <c r="J130" t="n">
        <v>0</v>
      </c>
      <c r="K130" t="n">
        <v>0</v>
      </c>
      <c r="L130" t="n">
        <v>0</v>
      </c>
      <c r="M130" t="n">
        <v>0</v>
      </c>
      <c r="N130" t="n">
        <v>0</v>
      </c>
      <c r="O130" t="n">
        <v>0</v>
      </c>
      <c r="P130" t="n">
        <v>0</v>
      </c>
      <c r="Q130" t="n">
        <v>0</v>
      </c>
      <c r="R130" s="2" t="inlineStr"/>
    </row>
    <row r="131" ht="15" customHeight="1">
      <c r="A131" t="inlineStr">
        <is>
          <t>A 49060-2024</t>
        </is>
      </c>
      <c r="B131" s="1" t="n">
        <v>45594</v>
      </c>
      <c r="C131" s="1" t="n">
        <v>46061</v>
      </c>
      <c r="D131" t="inlineStr">
        <is>
          <t>VÄSTMANLANDS LÄN</t>
        </is>
      </c>
      <c r="E131" t="inlineStr">
        <is>
          <t>SURAHAMMAR</t>
        </is>
      </c>
      <c r="F131" t="inlineStr">
        <is>
          <t>Sveaskog</t>
        </is>
      </c>
      <c r="G131" t="n">
        <v>4.4</v>
      </c>
      <c r="H131" t="n">
        <v>0</v>
      </c>
      <c r="I131" t="n">
        <v>0</v>
      </c>
      <c r="J131" t="n">
        <v>0</v>
      </c>
      <c r="K131" t="n">
        <v>0</v>
      </c>
      <c r="L131" t="n">
        <v>0</v>
      </c>
      <c r="M131" t="n">
        <v>0</v>
      </c>
      <c r="N131" t="n">
        <v>0</v>
      </c>
      <c r="O131" t="n">
        <v>0</v>
      </c>
      <c r="P131" t="n">
        <v>0</v>
      </c>
      <c r="Q131" t="n">
        <v>0</v>
      </c>
      <c r="R131" s="2" t="inlineStr"/>
    </row>
    <row r="132" ht="15" customHeight="1">
      <c r="A132" t="inlineStr">
        <is>
          <t>A 34955-2022</t>
        </is>
      </c>
      <c r="B132" s="1" t="n">
        <v>44796</v>
      </c>
      <c r="C132" s="1" t="n">
        <v>46061</v>
      </c>
      <c r="D132" t="inlineStr">
        <is>
          <t>VÄSTMANLANDS LÄN</t>
        </is>
      </c>
      <c r="E132" t="inlineStr">
        <is>
          <t>SURAHAMMAR</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46061</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46061</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46061</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59399-2025</t>
        </is>
      </c>
      <c r="B136" s="1" t="n">
        <v>45989</v>
      </c>
      <c r="C136" s="1" t="n">
        <v>46061</v>
      </c>
      <c r="D136" t="inlineStr">
        <is>
          <t>VÄSTMANLANDS LÄN</t>
        </is>
      </c>
      <c r="E136" t="inlineStr">
        <is>
          <t>SURAHAMMAR</t>
        </is>
      </c>
      <c r="F136" t="inlineStr">
        <is>
          <t>Kommuner</t>
        </is>
      </c>
      <c r="G136" t="n">
        <v>2.1</v>
      </c>
      <c r="H136" t="n">
        <v>0</v>
      </c>
      <c r="I136" t="n">
        <v>0</v>
      </c>
      <c r="J136" t="n">
        <v>0</v>
      </c>
      <c r="K136" t="n">
        <v>0</v>
      </c>
      <c r="L136" t="n">
        <v>0</v>
      </c>
      <c r="M136" t="n">
        <v>0</v>
      </c>
      <c r="N136" t="n">
        <v>0</v>
      </c>
      <c r="O136" t="n">
        <v>0</v>
      </c>
      <c r="P136" t="n">
        <v>0</v>
      </c>
      <c r="Q136" t="n">
        <v>0</v>
      </c>
      <c r="R136" s="2" t="inlineStr"/>
    </row>
    <row r="137" ht="15" customHeight="1">
      <c r="A137" t="inlineStr">
        <is>
          <t>A 56541-2025</t>
        </is>
      </c>
      <c r="B137" s="1" t="n">
        <v>45975</v>
      </c>
      <c r="C137" s="1" t="n">
        <v>46061</v>
      </c>
      <c r="D137" t="inlineStr">
        <is>
          <t>VÄSTMANLANDS LÄN</t>
        </is>
      </c>
      <c r="E137" t="inlineStr">
        <is>
          <t>SURAHAMMAR</t>
        </is>
      </c>
      <c r="F137" t="inlineStr">
        <is>
          <t>Sveaskog</t>
        </is>
      </c>
      <c r="G137" t="n">
        <v>7.6</v>
      </c>
      <c r="H137" t="n">
        <v>0</v>
      </c>
      <c r="I137" t="n">
        <v>0</v>
      </c>
      <c r="J137" t="n">
        <v>0</v>
      </c>
      <c r="K137" t="n">
        <v>0</v>
      </c>
      <c r="L137" t="n">
        <v>0</v>
      </c>
      <c r="M137" t="n">
        <v>0</v>
      </c>
      <c r="N137" t="n">
        <v>0</v>
      </c>
      <c r="O137" t="n">
        <v>0</v>
      </c>
      <c r="P137" t="n">
        <v>0</v>
      </c>
      <c r="Q137" t="n">
        <v>0</v>
      </c>
      <c r="R137" s="2" t="inlineStr"/>
    </row>
    <row r="138" ht="15" customHeight="1">
      <c r="A138" t="inlineStr">
        <is>
          <t>A 4724-2026</t>
        </is>
      </c>
      <c r="B138" s="1" t="n">
        <v>46048</v>
      </c>
      <c r="C138" s="1" t="n">
        <v>46061</v>
      </c>
      <c r="D138" t="inlineStr">
        <is>
          <t>VÄSTMANLANDS LÄN</t>
        </is>
      </c>
      <c r="E138" t="inlineStr">
        <is>
          <t>SURAHAMMAR</t>
        </is>
      </c>
      <c r="G138" t="n">
        <v>1.7</v>
      </c>
      <c r="H138" t="n">
        <v>0</v>
      </c>
      <c r="I138" t="n">
        <v>0</v>
      </c>
      <c r="J138" t="n">
        <v>0</v>
      </c>
      <c r="K138" t="n">
        <v>0</v>
      </c>
      <c r="L138" t="n">
        <v>0</v>
      </c>
      <c r="M138" t="n">
        <v>0</v>
      </c>
      <c r="N138" t="n">
        <v>0</v>
      </c>
      <c r="O138" t="n">
        <v>0</v>
      </c>
      <c r="P138" t="n">
        <v>0</v>
      </c>
      <c r="Q138" t="n">
        <v>0</v>
      </c>
      <c r="R138" s="2" t="inlineStr"/>
    </row>
    <row r="139" ht="15" customHeight="1">
      <c r="A139" t="inlineStr">
        <is>
          <t>A 4734-2026</t>
        </is>
      </c>
      <c r="B139" s="1" t="n">
        <v>46048</v>
      </c>
      <c r="C139" s="1" t="n">
        <v>46061</v>
      </c>
      <c r="D139" t="inlineStr">
        <is>
          <t>VÄSTMANLANDS LÄN</t>
        </is>
      </c>
      <c r="E139" t="inlineStr">
        <is>
          <t>SURAHAMMAR</t>
        </is>
      </c>
      <c r="G139" t="n">
        <v>0.7</v>
      </c>
      <c r="H139" t="n">
        <v>0</v>
      </c>
      <c r="I139" t="n">
        <v>0</v>
      </c>
      <c r="J139" t="n">
        <v>0</v>
      </c>
      <c r="K139" t="n">
        <v>0</v>
      </c>
      <c r="L139" t="n">
        <v>0</v>
      </c>
      <c r="M139" t="n">
        <v>0</v>
      </c>
      <c r="N139" t="n">
        <v>0</v>
      </c>
      <c r="O139" t="n">
        <v>0</v>
      </c>
      <c r="P139" t="n">
        <v>0</v>
      </c>
      <c r="Q139" t="n">
        <v>0</v>
      </c>
      <c r="R139" s="2" t="inlineStr"/>
    </row>
    <row r="140" ht="15" customHeight="1">
      <c r="A140" t="inlineStr">
        <is>
          <t>A 14626-2023</t>
        </is>
      </c>
      <c r="B140" s="1" t="n">
        <v>45012</v>
      </c>
      <c r="C140" s="1" t="n">
        <v>46061</v>
      </c>
      <c r="D140" t="inlineStr">
        <is>
          <t>VÄSTMANLANDS LÄN</t>
        </is>
      </c>
      <c r="E140" t="inlineStr">
        <is>
          <t>SURAHAMMAR</t>
        </is>
      </c>
      <c r="F140" t="inlineStr">
        <is>
          <t>Bergvik skog väst AB</t>
        </is>
      </c>
      <c r="G140" t="n">
        <v>5</v>
      </c>
      <c r="H140" t="n">
        <v>0</v>
      </c>
      <c r="I140" t="n">
        <v>0</v>
      </c>
      <c r="J140" t="n">
        <v>0</v>
      </c>
      <c r="K140" t="n">
        <v>0</v>
      </c>
      <c r="L140" t="n">
        <v>0</v>
      </c>
      <c r="M140" t="n">
        <v>0</v>
      </c>
      <c r="N140" t="n">
        <v>0</v>
      </c>
      <c r="O140" t="n">
        <v>0</v>
      </c>
      <c r="P140" t="n">
        <v>0</v>
      </c>
      <c r="Q140" t="n">
        <v>0</v>
      </c>
      <c r="R140" s="2" t="inlineStr"/>
    </row>
    <row r="141" ht="15" customHeight="1">
      <c r="A141" t="inlineStr">
        <is>
          <t>A 5697-2026</t>
        </is>
      </c>
      <c r="B141" s="1" t="n">
        <v>46051.50020833333</v>
      </c>
      <c r="C141" s="1" t="n">
        <v>46061</v>
      </c>
      <c r="D141" t="inlineStr">
        <is>
          <t>VÄSTMANLANDS LÄN</t>
        </is>
      </c>
      <c r="E141" t="inlineStr">
        <is>
          <t>SURAHAMMAR</t>
        </is>
      </c>
      <c r="F141" t="inlineStr">
        <is>
          <t>Sveaskog</t>
        </is>
      </c>
      <c r="G141" t="n">
        <v>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46061</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46061</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46061</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46061</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25450-2024</t>
        </is>
      </c>
      <c r="B146" s="1" t="n">
        <v>45463</v>
      </c>
      <c r="C146" s="1" t="n">
        <v>46061</v>
      </c>
      <c r="D146" t="inlineStr">
        <is>
          <t>VÄSTMANLANDS LÄN</t>
        </is>
      </c>
      <c r="E146" t="inlineStr">
        <is>
          <t>SURAHAMMAR</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19782-2023</t>
        </is>
      </c>
      <c r="B147" s="1" t="n">
        <v>45050</v>
      </c>
      <c r="C147" s="1" t="n">
        <v>46061</v>
      </c>
      <c r="D147" t="inlineStr">
        <is>
          <t>VÄSTMANLANDS LÄN</t>
        </is>
      </c>
      <c r="E147" t="inlineStr">
        <is>
          <t>SURAHAMMAR</t>
        </is>
      </c>
      <c r="F147" t="inlineStr">
        <is>
          <t>Bergvik skog väst AB</t>
        </is>
      </c>
      <c r="G147" t="n">
        <v>5.2</v>
      </c>
      <c r="H147" t="n">
        <v>0</v>
      </c>
      <c r="I147" t="n">
        <v>0</v>
      </c>
      <c r="J147" t="n">
        <v>0</v>
      </c>
      <c r="K147" t="n">
        <v>0</v>
      </c>
      <c r="L147" t="n">
        <v>0</v>
      </c>
      <c r="M147" t="n">
        <v>0</v>
      </c>
      <c r="N147" t="n">
        <v>0</v>
      </c>
      <c r="O147" t="n">
        <v>0</v>
      </c>
      <c r="P147" t="n">
        <v>0</v>
      </c>
      <c r="Q147" t="n">
        <v>0</v>
      </c>
      <c r="R147" s="2" t="inlineStr"/>
    </row>
    <row r="148" ht="15" customHeight="1">
      <c r="A148" t="inlineStr">
        <is>
          <t>A 7848-2022</t>
        </is>
      </c>
      <c r="B148" s="1" t="n">
        <v>44608.58400462963</v>
      </c>
      <c r="C148" s="1" t="n">
        <v>46061</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24167-2024</t>
        </is>
      </c>
      <c r="B149" s="1" t="n">
        <v>45456</v>
      </c>
      <c r="C149" s="1" t="n">
        <v>46061</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56378-2023</t>
        </is>
      </c>
      <c r="B150" s="1" t="n">
        <v>45236</v>
      </c>
      <c r="C150" s="1" t="n">
        <v>46061</v>
      </c>
      <c r="D150" t="inlineStr">
        <is>
          <t>VÄSTMANLANDS LÄN</t>
        </is>
      </c>
      <c r="E150" t="inlineStr">
        <is>
          <t>SURAHAMMAR</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46061</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11501-2023</t>
        </is>
      </c>
      <c r="B152" s="1" t="n">
        <v>44991</v>
      </c>
      <c r="C152" s="1" t="n">
        <v>46061</v>
      </c>
      <c r="D152" t="inlineStr">
        <is>
          <t>VÄSTMANLANDS LÄN</t>
        </is>
      </c>
      <c r="E152" t="inlineStr">
        <is>
          <t>SURAHAMMAR</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3818-2022</t>
        </is>
      </c>
      <c r="B153" s="1" t="n">
        <v>44587</v>
      </c>
      <c r="C153" s="1" t="n">
        <v>46061</v>
      </c>
      <c r="D153" t="inlineStr">
        <is>
          <t>VÄSTMANLANDS LÄN</t>
        </is>
      </c>
      <c r="E153" t="inlineStr">
        <is>
          <t>SURAHAMMAR</t>
        </is>
      </c>
      <c r="G153" t="n">
        <v>2.6</v>
      </c>
      <c r="H153" t="n">
        <v>0</v>
      </c>
      <c r="I153" t="n">
        <v>0</v>
      </c>
      <c r="J153" t="n">
        <v>0</v>
      </c>
      <c r="K153" t="n">
        <v>0</v>
      </c>
      <c r="L153" t="n">
        <v>0</v>
      </c>
      <c r="M153" t="n">
        <v>0</v>
      </c>
      <c r="N153" t="n">
        <v>0</v>
      </c>
      <c r="O153" t="n">
        <v>0</v>
      </c>
      <c r="P153" t="n">
        <v>0</v>
      </c>
      <c r="Q153" t="n">
        <v>0</v>
      </c>
      <c r="R153" s="2" t="inlineStr"/>
    </row>
    <row r="154" ht="15" customHeight="1">
      <c r="A154" t="inlineStr">
        <is>
          <t>A 21509-2024</t>
        </is>
      </c>
      <c r="B154" s="1" t="n">
        <v>45441</v>
      </c>
      <c r="C154" s="1" t="n">
        <v>46061</v>
      </c>
      <c r="D154" t="inlineStr">
        <is>
          <t>VÄSTMANLANDS LÄN</t>
        </is>
      </c>
      <c r="E154" t="inlineStr">
        <is>
          <t>SURAHAMMAR</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22662-2023</t>
        </is>
      </c>
      <c r="B155" s="1" t="n">
        <v>45071</v>
      </c>
      <c r="C155" s="1" t="n">
        <v>46061</v>
      </c>
      <c r="D155" t="inlineStr">
        <is>
          <t>VÄSTMANLANDS LÄN</t>
        </is>
      </c>
      <c r="E155" t="inlineStr">
        <is>
          <t>SURAHAMMAR</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16013-2023</t>
        </is>
      </c>
      <c r="B156" s="1" t="n">
        <v>45026</v>
      </c>
      <c r="C156" s="1" t="n">
        <v>46061</v>
      </c>
      <c r="D156" t="inlineStr">
        <is>
          <t>VÄSTMANLANDS LÄN</t>
        </is>
      </c>
      <c r="E156" t="inlineStr">
        <is>
          <t>SURAHAMMAR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41555-2022</t>
        </is>
      </c>
      <c r="B157" s="1" t="n">
        <v>44826</v>
      </c>
      <c r="C157" s="1" t="n">
        <v>46061</v>
      </c>
      <c r="D157" t="inlineStr">
        <is>
          <t>VÄSTMANLANDS LÄN</t>
        </is>
      </c>
      <c r="E157" t="inlineStr">
        <is>
          <t>SURAHAMMAR</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25780-2023</t>
        </is>
      </c>
      <c r="B158" s="1" t="n">
        <v>45090.47523148148</v>
      </c>
      <c r="C158" s="1" t="n">
        <v>46061</v>
      </c>
      <c r="D158" t="inlineStr">
        <is>
          <t>VÄSTMANLANDS LÄN</t>
        </is>
      </c>
      <c r="E158" t="inlineStr">
        <is>
          <t>SURAHAMMAR</t>
        </is>
      </c>
      <c r="G158" t="n">
        <v>2.8</v>
      </c>
      <c r="H158" t="n">
        <v>0</v>
      </c>
      <c r="I158" t="n">
        <v>0</v>
      </c>
      <c r="J158" t="n">
        <v>0</v>
      </c>
      <c r="K158" t="n">
        <v>0</v>
      </c>
      <c r="L158" t="n">
        <v>0</v>
      </c>
      <c r="M158" t="n">
        <v>0</v>
      </c>
      <c r="N158" t="n">
        <v>0</v>
      </c>
      <c r="O158" t="n">
        <v>0</v>
      </c>
      <c r="P158" t="n">
        <v>0</v>
      </c>
      <c r="Q158" t="n">
        <v>0</v>
      </c>
      <c r="R158" s="2" t="inlineStr"/>
    </row>
    <row r="159" ht="15" customHeight="1">
      <c r="A159" t="inlineStr">
        <is>
          <t>A 13386-2025</t>
        </is>
      </c>
      <c r="B159" s="1" t="n">
        <v>45735</v>
      </c>
      <c r="C159" s="1" t="n">
        <v>46061</v>
      </c>
      <c r="D159" t="inlineStr">
        <is>
          <t>VÄSTMANLANDS LÄN</t>
        </is>
      </c>
      <c r="E159" t="inlineStr">
        <is>
          <t>SURAHAMMAR</t>
        </is>
      </c>
      <c r="F159" t="inlineStr">
        <is>
          <t>Bergvik skog väst AB</t>
        </is>
      </c>
      <c r="G159" t="n">
        <v>4</v>
      </c>
      <c r="H159" t="n">
        <v>0</v>
      </c>
      <c r="I159" t="n">
        <v>0</v>
      </c>
      <c r="J159" t="n">
        <v>0</v>
      </c>
      <c r="K159" t="n">
        <v>0</v>
      </c>
      <c r="L159" t="n">
        <v>0</v>
      </c>
      <c r="M159" t="n">
        <v>0</v>
      </c>
      <c r="N159" t="n">
        <v>0</v>
      </c>
      <c r="O159" t="n">
        <v>0</v>
      </c>
      <c r="P159" t="n">
        <v>0</v>
      </c>
      <c r="Q159" t="n">
        <v>0</v>
      </c>
      <c r="R159" s="2" t="inlineStr"/>
    </row>
    <row r="160" ht="15" customHeight="1">
      <c r="A160" t="inlineStr">
        <is>
          <t>A 47785-2021</t>
        </is>
      </c>
      <c r="B160" s="1" t="n">
        <v>44448</v>
      </c>
      <c r="C160" s="1" t="n">
        <v>46061</v>
      </c>
      <c r="D160" t="inlineStr">
        <is>
          <t>VÄSTMANLANDS LÄN</t>
        </is>
      </c>
      <c r="E160" t="inlineStr">
        <is>
          <t>SURAHAMMAR</t>
        </is>
      </c>
      <c r="F160" t="inlineStr">
        <is>
          <t>Kommuner</t>
        </is>
      </c>
      <c r="G160" t="n">
        <v>3.3</v>
      </c>
      <c r="H160" t="n">
        <v>0</v>
      </c>
      <c r="I160" t="n">
        <v>0</v>
      </c>
      <c r="J160" t="n">
        <v>0</v>
      </c>
      <c r="K160" t="n">
        <v>0</v>
      </c>
      <c r="L160" t="n">
        <v>0</v>
      </c>
      <c r="M160" t="n">
        <v>0</v>
      </c>
      <c r="N160" t="n">
        <v>0</v>
      </c>
      <c r="O160" t="n">
        <v>0</v>
      </c>
      <c r="P160" t="n">
        <v>0</v>
      </c>
      <c r="Q160" t="n">
        <v>0</v>
      </c>
      <c r="R160" s="2" t="inlineStr"/>
    </row>
    <row r="161" ht="15" customHeight="1">
      <c r="A161" t="inlineStr">
        <is>
          <t>A 15739-2023</t>
        </is>
      </c>
      <c r="B161" s="1" t="n">
        <v>45021</v>
      </c>
      <c r="C161" s="1" t="n">
        <v>46061</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c r="A162" t="inlineStr">
        <is>
          <t>A 38154-2021</t>
        </is>
      </c>
      <c r="B162" s="1" t="n">
        <v>44405.42373842592</v>
      </c>
      <c r="C162" s="1" t="n">
        <v>46061</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2026-02-08T10:57:47Z</dcterms:created>
  <dcterms:modified xmlns:dcterms="http://purl.org/dc/terms/" xmlns:xsi="http://www.w3.org/2001/XMLSchema-instance" xsi:type="dcterms:W3CDTF">2026-02-08T10:57:47Z</dcterms:modified>
</cp:coreProperties>
</file>