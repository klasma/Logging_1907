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46083</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46083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46083</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46083</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46083</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46083</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46083</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46083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46083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46083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46083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46083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46083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46083</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46083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46083</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46083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46083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46083</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46083</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46083</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46083</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46083</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46083</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46083</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46083</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42860-2022</t>
        </is>
      </c>
      <c r="B28" s="1" t="n">
        <v>44832</v>
      </c>
      <c r="C28" s="1" t="n">
        <v>46083</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46083</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46083</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46083</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49718-2023</t>
        </is>
      </c>
      <c r="B32" s="1" t="n">
        <v>45212</v>
      </c>
      <c r="C32" s="1" t="n">
        <v>46083</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29707-2025</t>
        </is>
      </c>
      <c r="B33" s="1" t="n">
        <v>45825.56100694444</v>
      </c>
      <c r="C33" s="1" t="n">
        <v>46083</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48128-2023</t>
        </is>
      </c>
      <c r="B34" s="1" t="n">
        <v>45205</v>
      </c>
      <c r="C34" s="1" t="n">
        <v>46083</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8552-2022</t>
        </is>
      </c>
      <c r="B35" s="1" t="n">
        <v>44613</v>
      </c>
      <c r="C35" s="1" t="n">
        <v>46083</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46083</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10236-2026</t>
        </is>
      </c>
      <c r="B37" s="1" t="n">
        <v>46076.54277777778</v>
      </c>
      <c r="C37" s="1" t="n">
        <v>46083</v>
      </c>
      <c r="D37" t="inlineStr">
        <is>
          <t>VÄSTMANLANDS LÄN</t>
        </is>
      </c>
      <c r="E37" t="inlineStr">
        <is>
          <t>SURAHAMMAR</t>
        </is>
      </c>
      <c r="F37" t="inlineStr">
        <is>
          <t>Allmännings- och besparingsskogar</t>
        </is>
      </c>
      <c r="G37" t="n">
        <v>2.8</v>
      </c>
      <c r="H37" t="n">
        <v>1</v>
      </c>
      <c r="I37" t="n">
        <v>1</v>
      </c>
      <c r="J37" t="n">
        <v>0</v>
      </c>
      <c r="K37" t="n">
        <v>1</v>
      </c>
      <c r="L37" t="n">
        <v>0</v>
      </c>
      <c r="M37" t="n">
        <v>0</v>
      </c>
      <c r="N37" t="n">
        <v>0</v>
      </c>
      <c r="O37" t="n">
        <v>1</v>
      </c>
      <c r="P37" t="n">
        <v>1</v>
      </c>
      <c r="Q37" t="n">
        <v>3</v>
      </c>
      <c r="R37" s="2" t="inlineStr">
        <is>
          <t>Vågticka
Brandticka
Revlummer</t>
        </is>
      </c>
      <c r="S37">
        <f>HYPERLINK("https://klasma.github.io/Logging_1907/artfynd/A 10236-2026 artfynd.xlsx", "A 10236-2026")</f>
        <v/>
      </c>
      <c r="T37">
        <f>HYPERLINK("https://klasma.github.io/Logging_1907/kartor/A 10236-2026 karta.png", "A 10236-2026")</f>
        <v/>
      </c>
      <c r="V37">
        <f>HYPERLINK("https://klasma.github.io/Logging_1907/klagomål/A 10236-2026 FSC-klagomål.docx", "A 10236-2026")</f>
        <v/>
      </c>
      <c r="W37">
        <f>HYPERLINK("https://klasma.github.io/Logging_1907/klagomålsmail/A 10236-2026 FSC-klagomål mail.docx", "A 10236-2026")</f>
        <v/>
      </c>
      <c r="X37">
        <f>HYPERLINK("https://klasma.github.io/Logging_1907/tillsyn/A 10236-2026 tillsynsbegäran.docx", "A 10236-2026")</f>
        <v/>
      </c>
      <c r="Y37">
        <f>HYPERLINK("https://klasma.github.io/Logging_1907/tillsynsmail/A 10236-2026 tillsynsbegäran mail.docx", "A 10236-2026")</f>
        <v/>
      </c>
    </row>
    <row r="38" ht="15" customHeight="1">
      <c r="A38" t="inlineStr">
        <is>
          <t>A 42853-2022</t>
        </is>
      </c>
      <c r="B38" s="1" t="n">
        <v>44832</v>
      </c>
      <c r="C38" s="1" t="n">
        <v>46083</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46083</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46083</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46083</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46083</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46083</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63146-2025</t>
        </is>
      </c>
      <c r="B44" s="1" t="n">
        <v>46009</v>
      </c>
      <c r="C44" s="1" t="n">
        <v>46083</v>
      </c>
      <c r="D44" t="inlineStr">
        <is>
          <t>VÄSTMANLANDS LÄN</t>
        </is>
      </c>
      <c r="E44" t="inlineStr">
        <is>
          <t>SURAHAMMAR</t>
        </is>
      </c>
      <c r="F44" t="inlineStr">
        <is>
          <t>Bergvik skog väst AB</t>
        </is>
      </c>
      <c r="G44" t="n">
        <v>10.2</v>
      </c>
      <c r="H44" t="n">
        <v>1</v>
      </c>
      <c r="I44" t="n">
        <v>1</v>
      </c>
      <c r="J44" t="n">
        <v>0</v>
      </c>
      <c r="K44" t="n">
        <v>0</v>
      </c>
      <c r="L44" t="n">
        <v>0</v>
      </c>
      <c r="M44" t="n">
        <v>0</v>
      </c>
      <c r="N44" t="n">
        <v>0</v>
      </c>
      <c r="O44" t="n">
        <v>0</v>
      </c>
      <c r="P44" t="n">
        <v>0</v>
      </c>
      <c r="Q44" t="n">
        <v>2</v>
      </c>
      <c r="R44" s="2" t="inlineStr">
        <is>
          <t>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41576-2022</t>
        </is>
      </c>
      <c r="B45" s="1" t="n">
        <v>44826</v>
      </c>
      <c r="C45" s="1" t="n">
        <v>46083</v>
      </c>
      <c r="D45" t="inlineStr">
        <is>
          <t>VÄSTMANLANDS LÄN</t>
        </is>
      </c>
      <c r="E45" t="inlineStr">
        <is>
          <t>SURAHAMMAR</t>
        </is>
      </c>
      <c r="F45" t="inlineStr">
        <is>
          <t>Bergvik skog väst AB</t>
        </is>
      </c>
      <c r="G45" t="n">
        <v>6.4</v>
      </c>
      <c r="H45" t="n">
        <v>2</v>
      </c>
      <c r="I45" t="n">
        <v>0</v>
      </c>
      <c r="J45" t="n">
        <v>1</v>
      </c>
      <c r="K45" t="n">
        <v>0</v>
      </c>
      <c r="L45" t="n">
        <v>0</v>
      </c>
      <c r="M45" t="n">
        <v>0</v>
      </c>
      <c r="N45" t="n">
        <v>0</v>
      </c>
      <c r="O45" t="n">
        <v>1</v>
      </c>
      <c r="P45" t="n">
        <v>0</v>
      </c>
      <c r="Q45" t="n">
        <v>2</v>
      </c>
      <c r="R45" s="2" t="inlineStr">
        <is>
          <t>Talltita
Kungsfågel</t>
        </is>
      </c>
      <c r="S45">
        <f>HYPERLINK("https://klasma.github.io/Logging_1907/artfynd/A 41576-2022 artfynd.xlsx", "A 41576-2022")</f>
        <v/>
      </c>
      <c r="T45">
        <f>HYPERLINK("https://klasma.github.io/Logging_1907/kartor/A 41576-2022 karta.png", "A 41576-2022")</f>
        <v/>
      </c>
      <c r="V45">
        <f>HYPERLINK("https://klasma.github.io/Logging_1907/klagomål/A 41576-2022 FSC-klagomål.docx", "A 41576-2022")</f>
        <v/>
      </c>
      <c r="W45">
        <f>HYPERLINK("https://klasma.github.io/Logging_1907/klagomålsmail/A 41576-2022 FSC-klagomål mail.docx", "A 41576-2022")</f>
        <v/>
      </c>
      <c r="X45">
        <f>HYPERLINK("https://klasma.github.io/Logging_1907/tillsyn/A 41576-2022 tillsynsbegäran.docx", "A 41576-2022")</f>
        <v/>
      </c>
      <c r="Y45">
        <f>HYPERLINK("https://klasma.github.io/Logging_1907/tillsynsmail/A 41576-2022 tillsynsbegäran mail.docx", "A 41576-2022")</f>
        <v/>
      </c>
      <c r="Z45">
        <f>HYPERLINK("https://klasma.github.io/Logging_1907/fåglar/A 41576-2022 prioriterade fågelarter.docx", "A 41576-2022")</f>
        <v/>
      </c>
    </row>
    <row r="46" ht="15" customHeight="1">
      <c r="A46" t="inlineStr">
        <is>
          <t>A 37800-2021</t>
        </is>
      </c>
      <c r="B46" s="1" t="n">
        <v>44402</v>
      </c>
      <c r="C46" s="1" t="n">
        <v>46083</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21618-2025</t>
        </is>
      </c>
      <c r="B47" s="1" t="n">
        <v>45783</v>
      </c>
      <c r="C47" s="1" t="n">
        <v>46083</v>
      </c>
      <c r="D47" t="inlineStr">
        <is>
          <t>VÄSTMANLANDS LÄN</t>
        </is>
      </c>
      <c r="E47" t="inlineStr">
        <is>
          <t>SURAHAMMAR</t>
        </is>
      </c>
      <c r="F47" t="inlineStr">
        <is>
          <t>Bergvik skog väst AB</t>
        </is>
      </c>
      <c r="G47" t="n">
        <v>1.1</v>
      </c>
      <c r="H47" t="n">
        <v>2</v>
      </c>
      <c r="I47" t="n">
        <v>1</v>
      </c>
      <c r="J47" t="n">
        <v>0</v>
      </c>
      <c r="K47" t="n">
        <v>0</v>
      </c>
      <c r="L47" t="n">
        <v>0</v>
      </c>
      <c r="M47" t="n">
        <v>0</v>
      </c>
      <c r="N47" t="n">
        <v>0</v>
      </c>
      <c r="O47" t="n">
        <v>0</v>
      </c>
      <c r="P47" t="n">
        <v>0</v>
      </c>
      <c r="Q47" t="n">
        <v>2</v>
      </c>
      <c r="R47" s="2" t="inlineStr">
        <is>
          <t>Plattlummer
Mattlummer</t>
        </is>
      </c>
      <c r="S47">
        <f>HYPERLINK("https://klasma.github.io/Logging_1907/artfynd/A 21618-2025 artfynd.xlsx", "A 21618-2025")</f>
        <v/>
      </c>
      <c r="T47">
        <f>HYPERLINK("https://klasma.github.io/Logging_1907/kartor/A 21618-2025 karta.png", "A 21618-2025")</f>
        <v/>
      </c>
      <c r="V47">
        <f>HYPERLINK("https://klasma.github.io/Logging_1907/klagomål/A 21618-2025 FSC-klagomål.docx", "A 21618-2025")</f>
        <v/>
      </c>
      <c r="W47">
        <f>HYPERLINK("https://klasma.github.io/Logging_1907/klagomålsmail/A 21618-2025 FSC-klagomål mail.docx", "A 21618-2025")</f>
        <v/>
      </c>
      <c r="X47">
        <f>HYPERLINK("https://klasma.github.io/Logging_1907/tillsyn/A 21618-2025 tillsynsbegäran.docx", "A 21618-2025")</f>
        <v/>
      </c>
      <c r="Y47">
        <f>HYPERLINK("https://klasma.github.io/Logging_1907/tillsynsmail/A 21618-2025 tillsynsbegäran mail.docx", "A 21618-2025")</f>
        <v/>
      </c>
    </row>
    <row r="48" ht="15" customHeight="1">
      <c r="A48" t="inlineStr">
        <is>
          <t>A 38170-2021</t>
        </is>
      </c>
      <c r="B48" s="1" t="n">
        <v>44405.43472222222</v>
      </c>
      <c r="C48" s="1" t="n">
        <v>46083</v>
      </c>
      <c r="D48" t="inlineStr">
        <is>
          <t>VÄSTMANLANDS LÄN</t>
        </is>
      </c>
      <c r="E48" t="inlineStr">
        <is>
          <t>SURAHAMMAR</t>
        </is>
      </c>
      <c r="F48" t="inlineStr">
        <is>
          <t>Sveaskog</t>
        </is>
      </c>
      <c r="G48" t="n">
        <v>1.2</v>
      </c>
      <c r="H48" t="n">
        <v>1</v>
      </c>
      <c r="I48" t="n">
        <v>0</v>
      </c>
      <c r="J48" t="n">
        <v>0</v>
      </c>
      <c r="K48" t="n">
        <v>0</v>
      </c>
      <c r="L48" t="n">
        <v>0</v>
      </c>
      <c r="M48" t="n">
        <v>0</v>
      </c>
      <c r="N48" t="n">
        <v>0</v>
      </c>
      <c r="O48" t="n">
        <v>0</v>
      </c>
      <c r="P48" t="n">
        <v>0</v>
      </c>
      <c r="Q48" t="n">
        <v>1</v>
      </c>
      <c r="R48" s="2" t="inlineStr">
        <is>
          <t>Revlummer</t>
        </is>
      </c>
      <c r="S48">
        <f>HYPERLINK("https://klasma.github.io/Logging_1907/artfynd/A 38170-2021 artfynd.xlsx", "A 38170-2021")</f>
        <v/>
      </c>
      <c r="T48">
        <f>HYPERLINK("https://klasma.github.io/Logging_1907/kartor/A 38170-2021 karta.png", "A 38170-2021")</f>
        <v/>
      </c>
      <c r="V48">
        <f>HYPERLINK("https://klasma.github.io/Logging_1907/klagomål/A 38170-2021 FSC-klagomål.docx", "A 38170-2021")</f>
        <v/>
      </c>
      <c r="W48">
        <f>HYPERLINK("https://klasma.github.io/Logging_1907/klagomålsmail/A 38170-2021 FSC-klagomål mail.docx", "A 38170-2021")</f>
        <v/>
      </c>
      <c r="X48">
        <f>HYPERLINK("https://klasma.github.io/Logging_1907/tillsyn/A 38170-2021 tillsynsbegäran.docx", "A 38170-2021")</f>
        <v/>
      </c>
      <c r="Y48">
        <f>HYPERLINK("https://klasma.github.io/Logging_1907/tillsynsmail/A 38170-2021 tillsynsbegäran mail.docx", "A 38170-2021")</f>
        <v/>
      </c>
    </row>
    <row r="49" ht="15" customHeight="1">
      <c r="A49" t="inlineStr">
        <is>
          <t>A 26700-2022</t>
        </is>
      </c>
      <c r="B49" s="1" t="n">
        <v>44739</v>
      </c>
      <c r="C49" s="1" t="n">
        <v>46083</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67611-2021</t>
        </is>
      </c>
      <c r="B50" s="1" t="n">
        <v>44524</v>
      </c>
      <c r="C50" s="1" t="n">
        <v>46083</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18717-2021</t>
        </is>
      </c>
      <c r="B51" s="1" t="n">
        <v>44306</v>
      </c>
      <c r="C51" s="1" t="n">
        <v>46083</v>
      </c>
      <c r="D51" t="inlineStr">
        <is>
          <t>VÄSTMANLANDS LÄN</t>
        </is>
      </c>
      <c r="E51" t="inlineStr">
        <is>
          <t>SURAHAMMAR</t>
        </is>
      </c>
      <c r="F51" t="inlineStr">
        <is>
          <t>Bergvik skog väst AB</t>
        </is>
      </c>
      <c r="G51" t="n">
        <v>18</v>
      </c>
      <c r="H51" t="n">
        <v>1</v>
      </c>
      <c r="I51" t="n">
        <v>0</v>
      </c>
      <c r="J51" t="n">
        <v>0</v>
      </c>
      <c r="K51" t="n">
        <v>0</v>
      </c>
      <c r="L51" t="n">
        <v>0</v>
      </c>
      <c r="M51" t="n">
        <v>0</v>
      </c>
      <c r="N51" t="n">
        <v>0</v>
      </c>
      <c r="O51" t="n">
        <v>0</v>
      </c>
      <c r="P51" t="n">
        <v>0</v>
      </c>
      <c r="Q51" t="n">
        <v>1</v>
      </c>
      <c r="R51" s="2" t="inlineStr">
        <is>
          <t>Revlummer</t>
        </is>
      </c>
      <c r="S51">
        <f>HYPERLINK("https://klasma.github.io/Logging_1907/artfynd/A 18717-2021 artfynd.xlsx", "A 18717-2021")</f>
        <v/>
      </c>
      <c r="T51">
        <f>HYPERLINK("https://klasma.github.io/Logging_1907/kartor/A 18717-2021 karta.png", "A 18717-2021")</f>
        <v/>
      </c>
      <c r="V51">
        <f>HYPERLINK("https://klasma.github.io/Logging_1907/klagomål/A 18717-2021 FSC-klagomål.docx", "A 18717-2021")</f>
        <v/>
      </c>
      <c r="W51">
        <f>HYPERLINK("https://klasma.github.io/Logging_1907/klagomålsmail/A 18717-2021 FSC-klagomål mail.docx", "A 18717-2021")</f>
        <v/>
      </c>
      <c r="X51">
        <f>HYPERLINK("https://klasma.github.io/Logging_1907/tillsyn/A 18717-2021 tillsynsbegäran.docx", "A 18717-2021")</f>
        <v/>
      </c>
      <c r="Y51">
        <f>HYPERLINK("https://klasma.github.io/Logging_1907/tillsynsmail/A 18717-2021 tillsynsbegäran mail.docx", "A 18717-2021")</f>
        <v/>
      </c>
    </row>
    <row r="52" ht="15" customHeight="1">
      <c r="A52" t="inlineStr">
        <is>
          <t>A 56362-2023</t>
        </is>
      </c>
      <c r="B52" s="1" t="n">
        <v>45236</v>
      </c>
      <c r="C52" s="1" t="n">
        <v>46083</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46083</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69777-2021</t>
        </is>
      </c>
      <c r="B54" s="1" t="n">
        <v>44532</v>
      </c>
      <c r="C54" s="1" t="n">
        <v>46083</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46083</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46083</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34582-2025</t>
        </is>
      </c>
      <c r="B57" s="1" t="n">
        <v>45846</v>
      </c>
      <c r="C57" s="1" t="n">
        <v>46083</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42089-2025</t>
        </is>
      </c>
      <c r="B58" s="1" t="n">
        <v>45902</v>
      </c>
      <c r="C58" s="1" t="n">
        <v>46083</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10819-2024</t>
        </is>
      </c>
      <c r="B59" s="1" t="n">
        <v>45369.66049768519</v>
      </c>
      <c r="C59" s="1" t="n">
        <v>46083</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40411-2021</t>
        </is>
      </c>
      <c r="B60" s="1" t="n">
        <v>44419</v>
      </c>
      <c r="C60" s="1" t="n">
        <v>46083</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46083</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46083</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46083</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55042-2025</t>
        </is>
      </c>
      <c r="B64" s="1" t="n">
        <v>45967.65858796296</v>
      </c>
      <c r="C64" s="1" t="n">
        <v>46083</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25583-2024</t>
        </is>
      </c>
      <c r="B65" s="1" t="n">
        <v>45463</v>
      </c>
      <c r="C65" s="1" t="n">
        <v>46083</v>
      </c>
      <c r="D65" t="inlineStr">
        <is>
          <t>VÄSTMANLANDS LÄN</t>
        </is>
      </c>
      <c r="E65" t="inlineStr">
        <is>
          <t>SURAHAMMAR</t>
        </is>
      </c>
      <c r="F65" t="inlineStr">
        <is>
          <t>Bergvik skog väst AB</t>
        </is>
      </c>
      <c r="G65" t="n">
        <v>7.8</v>
      </c>
      <c r="H65" t="n">
        <v>1</v>
      </c>
      <c r="I65" t="n">
        <v>0</v>
      </c>
      <c r="J65" t="n">
        <v>0</v>
      </c>
      <c r="K65" t="n">
        <v>0</v>
      </c>
      <c r="L65" t="n">
        <v>0</v>
      </c>
      <c r="M65" t="n">
        <v>0</v>
      </c>
      <c r="N65" t="n">
        <v>0</v>
      </c>
      <c r="O65" t="n">
        <v>0</v>
      </c>
      <c r="P65" t="n">
        <v>0</v>
      </c>
      <c r="Q65" t="n">
        <v>1</v>
      </c>
      <c r="R65" s="2" t="inlineStr">
        <is>
          <t>Blåsippa</t>
        </is>
      </c>
      <c r="S65">
        <f>HYPERLINK("https://klasma.github.io/Logging_1907/artfynd/A 25583-2024 artfynd.xlsx", "A 25583-2024")</f>
        <v/>
      </c>
      <c r="T65">
        <f>HYPERLINK("https://klasma.github.io/Logging_1907/kartor/A 25583-2024 karta.png", "A 25583-2024")</f>
        <v/>
      </c>
      <c r="V65">
        <f>HYPERLINK("https://klasma.github.io/Logging_1907/klagomål/A 25583-2024 FSC-klagomål.docx", "A 25583-2024")</f>
        <v/>
      </c>
      <c r="W65">
        <f>HYPERLINK("https://klasma.github.io/Logging_1907/klagomålsmail/A 25583-2024 FSC-klagomål mail.docx", "A 25583-2024")</f>
        <v/>
      </c>
      <c r="X65">
        <f>HYPERLINK("https://klasma.github.io/Logging_1907/tillsyn/A 25583-2024 tillsynsbegäran.docx", "A 25583-2024")</f>
        <v/>
      </c>
      <c r="Y65">
        <f>HYPERLINK("https://klasma.github.io/Logging_1907/tillsynsmail/A 25583-2024 tillsynsbegäran mail.docx", "A 25583-2024")</f>
        <v/>
      </c>
    </row>
    <row r="66" ht="15" customHeight="1">
      <c r="A66" t="inlineStr">
        <is>
          <t>A 56768-2025</t>
        </is>
      </c>
      <c r="B66" s="1" t="n">
        <v>45978</v>
      </c>
      <c r="C66" s="1" t="n">
        <v>46083</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13971-2023</t>
        </is>
      </c>
      <c r="B67" s="1" t="n">
        <v>45007</v>
      </c>
      <c r="C67" s="1" t="n">
        <v>46083</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46083</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44356-2024</t>
        </is>
      </c>
      <c r="B69" s="1" t="n">
        <v>45573</v>
      </c>
      <c r="C69" s="1" t="n">
        <v>46083</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63145-2025</t>
        </is>
      </c>
      <c r="B70" s="1" t="n">
        <v>46009</v>
      </c>
      <c r="C70" s="1" t="n">
        <v>46083</v>
      </c>
      <c r="D70" t="inlineStr">
        <is>
          <t>VÄSTMANLANDS LÄN</t>
        </is>
      </c>
      <c r="E70" t="inlineStr">
        <is>
          <t>SURAHAMMAR</t>
        </is>
      </c>
      <c r="F70" t="inlineStr">
        <is>
          <t>Bergvik skog väst AB</t>
        </is>
      </c>
      <c r="G70" t="n">
        <v>40.5</v>
      </c>
      <c r="H70" t="n">
        <v>0</v>
      </c>
      <c r="I70" t="n">
        <v>1</v>
      </c>
      <c r="J70" t="n">
        <v>0</v>
      </c>
      <c r="K70" t="n">
        <v>0</v>
      </c>
      <c r="L70" t="n">
        <v>0</v>
      </c>
      <c r="M70" t="n">
        <v>0</v>
      </c>
      <c r="N70" t="n">
        <v>0</v>
      </c>
      <c r="O70" t="n">
        <v>0</v>
      </c>
      <c r="P70" t="n">
        <v>0</v>
      </c>
      <c r="Q70" t="n">
        <v>1</v>
      </c>
      <c r="R70" s="2" t="inlineStr">
        <is>
          <t>Svart trolldruva</t>
        </is>
      </c>
      <c r="S70">
        <f>HYPERLINK("https://klasma.github.io/Logging_1907/artfynd/A 63145-2025 artfynd.xlsx", "A 63145-2025")</f>
        <v/>
      </c>
      <c r="T70">
        <f>HYPERLINK("https://klasma.github.io/Logging_1907/kartor/A 63145-2025 karta.png", "A 63145-2025")</f>
        <v/>
      </c>
      <c r="V70">
        <f>HYPERLINK("https://klasma.github.io/Logging_1907/klagomål/A 63145-2025 FSC-klagomål.docx", "A 63145-2025")</f>
        <v/>
      </c>
      <c r="W70">
        <f>HYPERLINK("https://klasma.github.io/Logging_1907/klagomålsmail/A 63145-2025 FSC-klagomål mail.docx", "A 63145-2025")</f>
        <v/>
      </c>
      <c r="X70">
        <f>HYPERLINK("https://klasma.github.io/Logging_1907/tillsyn/A 63145-2025 tillsynsbegäran.docx", "A 63145-2025")</f>
        <v/>
      </c>
      <c r="Y70">
        <f>HYPERLINK("https://klasma.github.io/Logging_1907/tillsynsmail/A 63145-2025 tillsynsbegäran mail.docx", "A 63145-2025")</f>
        <v/>
      </c>
    </row>
    <row r="71" ht="15" customHeight="1">
      <c r="A71" t="inlineStr">
        <is>
          <t>A 17632-2022</t>
        </is>
      </c>
      <c r="B71" s="1" t="n">
        <v>44680</v>
      </c>
      <c r="C71" s="1" t="n">
        <v>46083</v>
      </c>
      <c r="D71" t="inlineStr">
        <is>
          <t>VÄSTMANLANDS LÄN</t>
        </is>
      </c>
      <c r="E71" t="inlineStr">
        <is>
          <t>SURAHAMMAR</t>
        </is>
      </c>
      <c r="G71" t="n">
        <v>5.2</v>
      </c>
      <c r="H71" t="n">
        <v>0</v>
      </c>
      <c r="I71" t="n">
        <v>1</v>
      </c>
      <c r="J71" t="n">
        <v>0</v>
      </c>
      <c r="K71" t="n">
        <v>0</v>
      </c>
      <c r="L71" t="n">
        <v>0</v>
      </c>
      <c r="M71" t="n">
        <v>0</v>
      </c>
      <c r="N71" t="n">
        <v>0</v>
      </c>
      <c r="O71" t="n">
        <v>0</v>
      </c>
      <c r="P71" t="n">
        <v>0</v>
      </c>
      <c r="Q71" t="n">
        <v>1</v>
      </c>
      <c r="R71" s="2" t="inlineStr">
        <is>
          <t>Blodticka</t>
        </is>
      </c>
      <c r="S71">
        <f>HYPERLINK("https://klasma.github.io/Logging_1907/artfynd/A 17632-2022 artfynd.xlsx", "A 17632-2022")</f>
        <v/>
      </c>
      <c r="T71">
        <f>HYPERLINK("https://klasma.github.io/Logging_1907/kartor/A 17632-2022 karta.png", "A 17632-2022")</f>
        <v/>
      </c>
      <c r="V71">
        <f>HYPERLINK("https://klasma.github.io/Logging_1907/klagomål/A 17632-2022 FSC-klagomål.docx", "A 17632-2022")</f>
        <v/>
      </c>
      <c r="W71">
        <f>HYPERLINK("https://klasma.github.io/Logging_1907/klagomålsmail/A 17632-2022 FSC-klagomål mail.docx", "A 17632-2022")</f>
        <v/>
      </c>
      <c r="X71">
        <f>HYPERLINK("https://klasma.github.io/Logging_1907/tillsyn/A 17632-2022 tillsynsbegäran.docx", "A 17632-2022")</f>
        <v/>
      </c>
      <c r="Y71">
        <f>HYPERLINK("https://klasma.github.io/Logging_1907/tillsynsmail/A 17632-2022 tillsynsbegäran mail.docx", "A 17632-2022")</f>
        <v/>
      </c>
    </row>
    <row r="72" ht="15" customHeight="1">
      <c r="A72" t="inlineStr">
        <is>
          <t>A 22840-2023</t>
        </is>
      </c>
      <c r="B72" s="1" t="n">
        <v>45072</v>
      </c>
      <c r="C72" s="1" t="n">
        <v>46083</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43451-2024</t>
        </is>
      </c>
      <c r="B73" s="1" t="n">
        <v>45568</v>
      </c>
      <c r="C73" s="1" t="n">
        <v>46083</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13788-2025</t>
        </is>
      </c>
      <c r="B74" s="1" t="n">
        <v>45737.45327546296</v>
      </c>
      <c r="C74" s="1" t="n">
        <v>46083</v>
      </c>
      <c r="D74" t="inlineStr">
        <is>
          <t>VÄSTMANLANDS LÄN</t>
        </is>
      </c>
      <c r="E74" t="inlineStr">
        <is>
          <t>SURAHAMMAR</t>
        </is>
      </c>
      <c r="G74" t="n">
        <v>9.699999999999999</v>
      </c>
      <c r="H74" t="n">
        <v>1</v>
      </c>
      <c r="I74" t="n">
        <v>0</v>
      </c>
      <c r="J74" t="n">
        <v>0</v>
      </c>
      <c r="K74" t="n">
        <v>0</v>
      </c>
      <c r="L74" t="n">
        <v>0</v>
      </c>
      <c r="M74" t="n">
        <v>0</v>
      </c>
      <c r="N74" t="n">
        <v>0</v>
      </c>
      <c r="O74" t="n">
        <v>0</v>
      </c>
      <c r="P74" t="n">
        <v>0</v>
      </c>
      <c r="Q74" t="n">
        <v>1</v>
      </c>
      <c r="R74" s="2" t="inlineStr">
        <is>
          <t>Sparvuggla</t>
        </is>
      </c>
      <c r="S74">
        <f>HYPERLINK("https://klasma.github.io/Logging_1907/artfynd/A 13788-2025 artfynd.xlsx", "A 13788-2025")</f>
        <v/>
      </c>
      <c r="T74">
        <f>HYPERLINK("https://klasma.github.io/Logging_1907/kartor/A 13788-2025 karta.png", "A 13788-2025")</f>
        <v/>
      </c>
      <c r="V74">
        <f>HYPERLINK("https://klasma.github.io/Logging_1907/klagomål/A 13788-2025 FSC-klagomål.docx", "A 13788-2025")</f>
        <v/>
      </c>
      <c r="W74">
        <f>HYPERLINK("https://klasma.github.io/Logging_1907/klagomålsmail/A 13788-2025 FSC-klagomål mail.docx", "A 13788-2025")</f>
        <v/>
      </c>
      <c r="X74">
        <f>HYPERLINK("https://klasma.github.io/Logging_1907/tillsyn/A 13788-2025 tillsynsbegäran.docx", "A 13788-2025")</f>
        <v/>
      </c>
      <c r="Y74">
        <f>HYPERLINK("https://klasma.github.io/Logging_1907/tillsynsmail/A 13788-2025 tillsynsbegäran mail.docx", "A 13788-2025")</f>
        <v/>
      </c>
      <c r="Z74">
        <f>HYPERLINK("https://klasma.github.io/Logging_1907/fåglar/A 13788-2025 prioriterade fågelarter.docx", "A 13788-2025")</f>
        <v/>
      </c>
    </row>
    <row r="75" ht="15" customHeight="1">
      <c r="A75" t="inlineStr">
        <is>
          <t>A 64073-2021</t>
        </is>
      </c>
      <c r="B75" s="1" t="n">
        <v>44509</v>
      </c>
      <c r="C75" s="1" t="n">
        <v>46083</v>
      </c>
      <c r="D75" t="inlineStr">
        <is>
          <t>VÄSTMANLANDS LÄN</t>
        </is>
      </c>
      <c r="E75" t="inlineStr">
        <is>
          <t>SURAHAMMAR</t>
        </is>
      </c>
      <c r="G75" t="n">
        <v>0.4</v>
      </c>
      <c r="H75" t="n">
        <v>0</v>
      </c>
      <c r="I75" t="n">
        <v>0</v>
      </c>
      <c r="J75" t="n">
        <v>0</v>
      </c>
      <c r="K75" t="n">
        <v>0</v>
      </c>
      <c r="L75" t="n">
        <v>0</v>
      </c>
      <c r="M75" t="n">
        <v>0</v>
      </c>
      <c r="N75" t="n">
        <v>0</v>
      </c>
      <c r="O75" t="n">
        <v>0</v>
      </c>
      <c r="P75" t="n">
        <v>0</v>
      </c>
      <c r="Q75" t="n">
        <v>0</v>
      </c>
      <c r="R75" s="2" t="inlineStr"/>
    </row>
    <row r="76" ht="15" customHeight="1">
      <c r="A76" t="inlineStr">
        <is>
          <t>A 24804-2021</t>
        </is>
      </c>
      <c r="B76" s="1" t="n">
        <v>44340</v>
      </c>
      <c r="C76" s="1" t="n">
        <v>46083</v>
      </c>
      <c r="D76" t="inlineStr">
        <is>
          <t>VÄSTMANLANDS LÄN</t>
        </is>
      </c>
      <c r="E76" t="inlineStr">
        <is>
          <t>SURAHAMMAR</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46083</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46083</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32491-2022</t>
        </is>
      </c>
      <c r="B79" s="1" t="n">
        <v>44782</v>
      </c>
      <c r="C79" s="1" t="n">
        <v>46083</v>
      </c>
      <c r="D79" t="inlineStr">
        <is>
          <t>VÄSTMANLANDS LÄN</t>
        </is>
      </c>
      <c r="E79" t="inlineStr">
        <is>
          <t>SURAHAMMAR</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37799-2021</t>
        </is>
      </c>
      <c r="B80" s="1" t="n">
        <v>44402</v>
      </c>
      <c r="C80" s="1" t="n">
        <v>46083</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73156-2021</t>
        </is>
      </c>
      <c r="B81" s="1" t="n">
        <v>44550</v>
      </c>
      <c r="C81" s="1" t="n">
        <v>46083</v>
      </c>
      <c r="D81" t="inlineStr">
        <is>
          <t>VÄSTMANLANDS LÄN</t>
        </is>
      </c>
      <c r="E81" t="inlineStr">
        <is>
          <t>SURAHAMMAR</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38178-2021</t>
        </is>
      </c>
      <c r="B82" s="1" t="n">
        <v>44405</v>
      </c>
      <c r="C82" s="1" t="n">
        <v>46083</v>
      </c>
      <c r="D82" t="inlineStr">
        <is>
          <t>VÄSTMANLANDS LÄN</t>
        </is>
      </c>
      <c r="E82" t="inlineStr">
        <is>
          <t>SURAHAMMAR</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21839-2021</t>
        </is>
      </c>
      <c r="B83" s="1" t="n">
        <v>44322</v>
      </c>
      <c r="C83" s="1" t="n">
        <v>46083</v>
      </c>
      <c r="D83" t="inlineStr">
        <is>
          <t>VÄSTMANLANDS LÄN</t>
        </is>
      </c>
      <c r="E83" t="inlineStr">
        <is>
          <t>SURAHAMMAR</t>
        </is>
      </c>
      <c r="G83" t="n">
        <v>1.6</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46083</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46083</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46083</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46083</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46083</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46083</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46083</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46083</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46083</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46083</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46083</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46083</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46083</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46083</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46083</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46083</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19782-2023</t>
        </is>
      </c>
      <c r="B100" s="1" t="n">
        <v>45050</v>
      </c>
      <c r="C100" s="1" t="n">
        <v>46083</v>
      </c>
      <c r="D100" t="inlineStr">
        <is>
          <t>VÄSTMANLANDS LÄN</t>
        </is>
      </c>
      <c r="E100" t="inlineStr">
        <is>
          <t>SURAHAMMAR</t>
        </is>
      </c>
      <c r="F100" t="inlineStr">
        <is>
          <t>Bergvik skog väst AB</t>
        </is>
      </c>
      <c r="G100" t="n">
        <v>5.2</v>
      </c>
      <c r="H100" t="n">
        <v>0</v>
      </c>
      <c r="I100" t="n">
        <v>0</v>
      </c>
      <c r="J100" t="n">
        <v>0</v>
      </c>
      <c r="K100" t="n">
        <v>0</v>
      </c>
      <c r="L100" t="n">
        <v>0</v>
      </c>
      <c r="M100" t="n">
        <v>0</v>
      </c>
      <c r="N100" t="n">
        <v>0</v>
      </c>
      <c r="O100" t="n">
        <v>0</v>
      </c>
      <c r="P100" t="n">
        <v>0</v>
      </c>
      <c r="Q100" t="n">
        <v>0</v>
      </c>
      <c r="R100" s="2" t="inlineStr"/>
    </row>
    <row r="101" ht="15" customHeight="1">
      <c r="A101" t="inlineStr">
        <is>
          <t>A 14626-2023</t>
        </is>
      </c>
      <c r="B101" s="1" t="n">
        <v>45012</v>
      </c>
      <c r="C101" s="1" t="n">
        <v>46083</v>
      </c>
      <c r="D101" t="inlineStr">
        <is>
          <t>VÄSTMANLANDS LÄN</t>
        </is>
      </c>
      <c r="E101" t="inlineStr">
        <is>
          <t>SURAHAMMAR</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46083</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8553-2023</t>
        </is>
      </c>
      <c r="B103" s="1" t="n">
        <v>44977</v>
      </c>
      <c r="C103" s="1" t="n">
        <v>46083</v>
      </c>
      <c r="D103" t="inlineStr">
        <is>
          <t>VÄSTMANLANDS LÄN</t>
        </is>
      </c>
      <c r="E103" t="inlineStr">
        <is>
          <t>SURAHAMMAR</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56378-2023</t>
        </is>
      </c>
      <c r="B104" s="1" t="n">
        <v>45236</v>
      </c>
      <c r="C104" s="1" t="n">
        <v>46083</v>
      </c>
      <c r="D104" t="inlineStr">
        <is>
          <t>VÄSTMANLANDS LÄN</t>
        </is>
      </c>
      <c r="E104" t="inlineStr">
        <is>
          <t>SURAHAMMAR</t>
        </is>
      </c>
      <c r="F104" t="inlineStr">
        <is>
          <t>Bergvik skog väst AB</t>
        </is>
      </c>
      <c r="G104" t="n">
        <v>4.6</v>
      </c>
      <c r="H104" t="n">
        <v>0</v>
      </c>
      <c r="I104" t="n">
        <v>0</v>
      </c>
      <c r="J104" t="n">
        <v>0</v>
      </c>
      <c r="K104" t="n">
        <v>0</v>
      </c>
      <c r="L104" t="n">
        <v>0</v>
      </c>
      <c r="M104" t="n">
        <v>0</v>
      </c>
      <c r="N104" t="n">
        <v>0</v>
      </c>
      <c r="O104" t="n">
        <v>0</v>
      </c>
      <c r="P104" t="n">
        <v>0</v>
      </c>
      <c r="Q104" t="n">
        <v>0</v>
      </c>
      <c r="R104" s="2" t="inlineStr"/>
    </row>
    <row r="105" ht="15" customHeight="1">
      <c r="A105" t="inlineStr">
        <is>
          <t>A 11728-2023</t>
        </is>
      </c>
      <c r="B105" s="1" t="n">
        <v>44993</v>
      </c>
      <c r="C105" s="1" t="n">
        <v>46083</v>
      </c>
      <c r="D105" t="inlineStr">
        <is>
          <t>VÄSTMANLANDS LÄN</t>
        </is>
      </c>
      <c r="E105" t="inlineStr">
        <is>
          <t>SURAHAMMAR</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46083</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31107-2025</t>
        </is>
      </c>
      <c r="B107" s="1" t="n">
        <v>45831</v>
      </c>
      <c r="C107" s="1" t="n">
        <v>46083</v>
      </c>
      <c r="D107" t="inlineStr">
        <is>
          <t>VÄSTMANLANDS LÄN</t>
        </is>
      </c>
      <c r="E107" t="inlineStr">
        <is>
          <t>SURAHAMMAR</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43249-2025</t>
        </is>
      </c>
      <c r="B108" s="1" t="n">
        <v>45910.55059027778</v>
      </c>
      <c r="C108" s="1" t="n">
        <v>46083</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46083</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11501-2023</t>
        </is>
      </c>
      <c r="B110" s="1" t="n">
        <v>44991</v>
      </c>
      <c r="C110" s="1" t="n">
        <v>46083</v>
      </c>
      <c r="D110" t="inlineStr">
        <is>
          <t>VÄSTMANLANDS LÄN</t>
        </is>
      </c>
      <c r="E110" t="inlineStr">
        <is>
          <t>SURAHAMMAR</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16013-2023</t>
        </is>
      </c>
      <c r="B111" s="1" t="n">
        <v>45026</v>
      </c>
      <c r="C111" s="1" t="n">
        <v>46083</v>
      </c>
      <c r="D111" t="inlineStr">
        <is>
          <t>VÄSTMANLANDS LÄN</t>
        </is>
      </c>
      <c r="E111" t="inlineStr">
        <is>
          <t>SURAHAMMAR</t>
        </is>
      </c>
      <c r="G111" t="n">
        <v>3.9</v>
      </c>
      <c r="H111" t="n">
        <v>0</v>
      </c>
      <c r="I111" t="n">
        <v>0</v>
      </c>
      <c r="J111" t="n">
        <v>0</v>
      </c>
      <c r="K111" t="n">
        <v>0</v>
      </c>
      <c r="L111" t="n">
        <v>0</v>
      </c>
      <c r="M111" t="n">
        <v>0</v>
      </c>
      <c r="N111" t="n">
        <v>0</v>
      </c>
      <c r="O111" t="n">
        <v>0</v>
      </c>
      <c r="P111" t="n">
        <v>0</v>
      </c>
      <c r="Q111" t="n">
        <v>0</v>
      </c>
      <c r="R111" s="2" t="inlineStr"/>
    </row>
    <row r="112" ht="15" customHeight="1">
      <c r="A112" t="inlineStr">
        <is>
          <t>A 20904-2023</t>
        </is>
      </c>
      <c r="B112" s="1" t="n">
        <v>45060</v>
      </c>
      <c r="C112" s="1" t="n">
        <v>46083</v>
      </c>
      <c r="D112" t="inlineStr">
        <is>
          <t>VÄSTMANLANDS LÄN</t>
        </is>
      </c>
      <c r="E112" t="inlineStr">
        <is>
          <t>SURAHAMMAR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32910-2025</t>
        </is>
      </c>
      <c r="B113" s="1" t="n">
        <v>45839</v>
      </c>
      <c r="C113" s="1" t="n">
        <v>46083</v>
      </c>
      <c r="D113" t="inlineStr">
        <is>
          <t>VÄSTMANLANDS LÄN</t>
        </is>
      </c>
      <c r="E113" t="inlineStr">
        <is>
          <t>SURAHAMMAR</t>
        </is>
      </c>
      <c r="F113" t="inlineStr">
        <is>
          <t>Kommuner</t>
        </is>
      </c>
      <c r="G113" t="n">
        <v>1.1</v>
      </c>
      <c r="H113" t="n">
        <v>0</v>
      </c>
      <c r="I113" t="n">
        <v>0</v>
      </c>
      <c r="J113" t="n">
        <v>0</v>
      </c>
      <c r="K113" t="n">
        <v>0</v>
      </c>
      <c r="L113" t="n">
        <v>0</v>
      </c>
      <c r="M113" t="n">
        <v>0</v>
      </c>
      <c r="N113" t="n">
        <v>0</v>
      </c>
      <c r="O113" t="n">
        <v>0</v>
      </c>
      <c r="P113" t="n">
        <v>0</v>
      </c>
      <c r="Q113" t="n">
        <v>0</v>
      </c>
      <c r="R113" s="2" t="inlineStr"/>
    </row>
    <row r="114" ht="15" customHeight="1">
      <c r="A114" t="inlineStr">
        <is>
          <t>A 42829-2022</t>
        </is>
      </c>
      <c r="B114" s="1" t="n">
        <v>44832</v>
      </c>
      <c r="C114" s="1" t="n">
        <v>46083</v>
      </c>
      <c r="D114" t="inlineStr">
        <is>
          <t>VÄSTMANLANDS LÄN</t>
        </is>
      </c>
      <c r="E114" t="inlineStr">
        <is>
          <t>SURAHAMMAR</t>
        </is>
      </c>
      <c r="G114" t="n">
        <v>1.6</v>
      </c>
      <c r="H114" t="n">
        <v>0</v>
      </c>
      <c r="I114" t="n">
        <v>0</v>
      </c>
      <c r="J114" t="n">
        <v>0</v>
      </c>
      <c r="K114" t="n">
        <v>0</v>
      </c>
      <c r="L114" t="n">
        <v>0</v>
      </c>
      <c r="M114" t="n">
        <v>0</v>
      </c>
      <c r="N114" t="n">
        <v>0</v>
      </c>
      <c r="O114" t="n">
        <v>0</v>
      </c>
      <c r="P114" t="n">
        <v>0</v>
      </c>
      <c r="Q114" t="n">
        <v>0</v>
      </c>
      <c r="R114" s="2" t="inlineStr"/>
    </row>
    <row r="115" ht="15" customHeight="1">
      <c r="A115" t="inlineStr">
        <is>
          <t>A 32916-2025</t>
        </is>
      </c>
      <c r="B115" s="1" t="n">
        <v>45839</v>
      </c>
      <c r="C115" s="1" t="n">
        <v>46083</v>
      </c>
      <c r="D115" t="inlineStr">
        <is>
          <t>VÄSTMANLANDS LÄN</t>
        </is>
      </c>
      <c r="E115" t="inlineStr">
        <is>
          <t>SURAHAMMAR</t>
        </is>
      </c>
      <c r="F115" t="inlineStr">
        <is>
          <t>Kommuner</t>
        </is>
      </c>
      <c r="G115" t="n">
        <v>4.9</v>
      </c>
      <c r="H115" t="n">
        <v>0</v>
      </c>
      <c r="I115" t="n">
        <v>0</v>
      </c>
      <c r="J115" t="n">
        <v>0</v>
      </c>
      <c r="K115" t="n">
        <v>0</v>
      </c>
      <c r="L115" t="n">
        <v>0</v>
      </c>
      <c r="M115" t="n">
        <v>0</v>
      </c>
      <c r="N115" t="n">
        <v>0</v>
      </c>
      <c r="O115" t="n">
        <v>0</v>
      </c>
      <c r="P115" t="n">
        <v>0</v>
      </c>
      <c r="Q115" t="n">
        <v>0</v>
      </c>
      <c r="R115" s="2" t="inlineStr"/>
    </row>
    <row r="116" ht="15" customHeight="1">
      <c r="A116" t="inlineStr">
        <is>
          <t>A 34955-2022</t>
        </is>
      </c>
      <c r="B116" s="1" t="n">
        <v>44796</v>
      </c>
      <c r="C116" s="1" t="n">
        <v>46083</v>
      </c>
      <c r="D116" t="inlineStr">
        <is>
          <t>VÄSTMANLANDS LÄN</t>
        </is>
      </c>
      <c r="E116" t="inlineStr">
        <is>
          <t>SURAHAMMAR</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46083</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37798-2021</t>
        </is>
      </c>
      <c r="B118" s="1" t="n">
        <v>44402</v>
      </c>
      <c r="C118" s="1" t="n">
        <v>46083</v>
      </c>
      <c r="D118" t="inlineStr">
        <is>
          <t>VÄSTMANLANDS LÄN</t>
        </is>
      </c>
      <c r="E118" t="inlineStr">
        <is>
          <t>SURAHAMMAR</t>
        </is>
      </c>
      <c r="F118" t="inlineStr">
        <is>
          <t>Kommuner</t>
        </is>
      </c>
      <c r="G118" t="n">
        <v>1.2</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46083</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48205-2023</t>
        </is>
      </c>
      <c r="B120" s="1" t="n">
        <v>45205</v>
      </c>
      <c r="C120" s="1" t="n">
        <v>46083</v>
      </c>
      <c r="D120" t="inlineStr">
        <is>
          <t>VÄSTMANLANDS LÄN</t>
        </is>
      </c>
      <c r="E120" t="inlineStr">
        <is>
          <t>SURAHAMMAR</t>
        </is>
      </c>
      <c r="F120" t="inlineStr">
        <is>
          <t>Allmännings- och besparingsskogar</t>
        </is>
      </c>
      <c r="G120" t="n">
        <v>7.6</v>
      </c>
      <c r="H120" t="n">
        <v>0</v>
      </c>
      <c r="I120" t="n">
        <v>0</v>
      </c>
      <c r="J120" t="n">
        <v>0</v>
      </c>
      <c r="K120" t="n">
        <v>0</v>
      </c>
      <c r="L120" t="n">
        <v>0</v>
      </c>
      <c r="M120" t="n">
        <v>0</v>
      </c>
      <c r="N120" t="n">
        <v>0</v>
      </c>
      <c r="O120" t="n">
        <v>0</v>
      </c>
      <c r="P120" t="n">
        <v>0</v>
      </c>
      <c r="Q120" t="n">
        <v>0</v>
      </c>
      <c r="R120" s="2" t="inlineStr"/>
    </row>
    <row r="121" ht="15" customHeight="1">
      <c r="A121" t="inlineStr">
        <is>
          <t>A 33931-2022</t>
        </is>
      </c>
      <c r="B121" s="1" t="n">
        <v>44790.65153935185</v>
      </c>
      <c r="C121" s="1" t="n">
        <v>46083</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22662-2023</t>
        </is>
      </c>
      <c r="B122" s="1" t="n">
        <v>45071</v>
      </c>
      <c r="C122" s="1" t="n">
        <v>46083</v>
      </c>
      <c r="D122" t="inlineStr">
        <is>
          <t>VÄSTMANLANDS LÄN</t>
        </is>
      </c>
      <c r="E122" t="inlineStr">
        <is>
          <t>SURAHAMMAR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30076-2023</t>
        </is>
      </c>
      <c r="B123" s="1" t="n">
        <v>45110</v>
      </c>
      <c r="C123" s="1" t="n">
        <v>46083</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47785-2021</t>
        </is>
      </c>
      <c r="B124" s="1" t="n">
        <v>44448</v>
      </c>
      <c r="C124" s="1" t="n">
        <v>46083</v>
      </c>
      <c r="D124" t="inlineStr">
        <is>
          <t>VÄSTMANLANDS LÄN</t>
        </is>
      </c>
      <c r="E124" t="inlineStr">
        <is>
          <t>SURAHAMMAR</t>
        </is>
      </c>
      <c r="F124" t="inlineStr">
        <is>
          <t>Kommuner</t>
        </is>
      </c>
      <c r="G124" t="n">
        <v>3.3</v>
      </c>
      <c r="H124" t="n">
        <v>0</v>
      </c>
      <c r="I124" t="n">
        <v>0</v>
      </c>
      <c r="J124" t="n">
        <v>0</v>
      </c>
      <c r="K124" t="n">
        <v>0</v>
      </c>
      <c r="L124" t="n">
        <v>0</v>
      </c>
      <c r="M124" t="n">
        <v>0</v>
      </c>
      <c r="N124" t="n">
        <v>0</v>
      </c>
      <c r="O124" t="n">
        <v>0</v>
      </c>
      <c r="P124" t="n">
        <v>0</v>
      </c>
      <c r="Q124" t="n">
        <v>0</v>
      </c>
      <c r="R124" s="2" t="inlineStr"/>
    </row>
    <row r="125" ht="15" customHeight="1">
      <c r="A125" t="inlineStr">
        <is>
          <t>A 25450-2024</t>
        </is>
      </c>
      <c r="B125" s="1" t="n">
        <v>45463</v>
      </c>
      <c r="C125" s="1" t="n">
        <v>46083</v>
      </c>
      <c r="D125" t="inlineStr">
        <is>
          <t>VÄSTMANLANDS LÄN</t>
        </is>
      </c>
      <c r="E125" t="inlineStr">
        <is>
          <t>SURAHAMMAR</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55868-2025</t>
        </is>
      </c>
      <c r="B126" s="1" t="n">
        <v>45973.35263888889</v>
      </c>
      <c r="C126" s="1" t="n">
        <v>46083</v>
      </c>
      <c r="D126" t="inlineStr">
        <is>
          <t>VÄSTMANLANDS LÄN</t>
        </is>
      </c>
      <c r="E126" t="inlineStr">
        <is>
          <t>SURAHAMMAR</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55874-2025</t>
        </is>
      </c>
      <c r="B127" s="1" t="n">
        <v>45973.3569212963</v>
      </c>
      <c r="C127" s="1" t="n">
        <v>46083</v>
      </c>
      <c r="D127" t="inlineStr">
        <is>
          <t>VÄSTMANLANDS LÄN</t>
        </is>
      </c>
      <c r="E127" t="inlineStr">
        <is>
          <t>SURAHAMMAR</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10883-2023</t>
        </is>
      </c>
      <c r="B128" s="1" t="n">
        <v>44991</v>
      </c>
      <c r="C128" s="1" t="n">
        <v>46083</v>
      </c>
      <c r="D128" t="inlineStr">
        <is>
          <t>VÄSTMANLANDS LÄN</t>
        </is>
      </c>
      <c r="E128" t="inlineStr">
        <is>
          <t>SURAHAMMAR</t>
        </is>
      </c>
      <c r="F128" t="inlineStr">
        <is>
          <t>Övriga Aktiebolag</t>
        </is>
      </c>
      <c r="G128" t="n">
        <v>12.5</v>
      </c>
      <c r="H128" t="n">
        <v>0</v>
      </c>
      <c r="I128" t="n">
        <v>0</v>
      </c>
      <c r="J128" t="n">
        <v>0</v>
      </c>
      <c r="K128" t="n">
        <v>0</v>
      </c>
      <c r="L128" t="n">
        <v>0</v>
      </c>
      <c r="M128" t="n">
        <v>0</v>
      </c>
      <c r="N128" t="n">
        <v>0</v>
      </c>
      <c r="O128" t="n">
        <v>0</v>
      </c>
      <c r="P128" t="n">
        <v>0</v>
      </c>
      <c r="Q128" t="n">
        <v>0</v>
      </c>
      <c r="R128" s="2" t="inlineStr"/>
    </row>
    <row r="129" ht="15" customHeight="1">
      <c r="A129" t="inlineStr">
        <is>
          <t>A 55871-2025</t>
        </is>
      </c>
      <c r="B129" s="1" t="n">
        <v>45973.35452546296</v>
      </c>
      <c r="C129" s="1" t="n">
        <v>46083</v>
      </c>
      <c r="D129" t="inlineStr">
        <is>
          <t>VÄSTMANLANDS LÄN</t>
        </is>
      </c>
      <c r="E129" t="inlineStr">
        <is>
          <t>SURAHAMMAR</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46083</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24665-2023</t>
        </is>
      </c>
      <c r="B131" s="1" t="n">
        <v>45084.48592592592</v>
      </c>
      <c r="C131" s="1" t="n">
        <v>46083</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24167-2024</t>
        </is>
      </c>
      <c r="B132" s="1" t="n">
        <v>45456</v>
      </c>
      <c r="C132" s="1" t="n">
        <v>46083</v>
      </c>
      <c r="D132" t="inlineStr">
        <is>
          <t>VÄSTMANLANDS LÄN</t>
        </is>
      </c>
      <c r="E132" t="inlineStr">
        <is>
          <t>SURAHAMMAR</t>
        </is>
      </c>
      <c r="G132" t="n">
        <v>0.6</v>
      </c>
      <c r="H132" t="n">
        <v>0</v>
      </c>
      <c r="I132" t="n">
        <v>0</v>
      </c>
      <c r="J132" t="n">
        <v>0</v>
      </c>
      <c r="K132" t="n">
        <v>0</v>
      </c>
      <c r="L132" t="n">
        <v>0</v>
      </c>
      <c r="M132" t="n">
        <v>0</v>
      </c>
      <c r="N132" t="n">
        <v>0</v>
      </c>
      <c r="O132" t="n">
        <v>0</v>
      </c>
      <c r="P132" t="n">
        <v>0</v>
      </c>
      <c r="Q132" t="n">
        <v>0</v>
      </c>
      <c r="R132" s="2" t="inlineStr"/>
    </row>
    <row r="133" ht="15" customHeight="1">
      <c r="A133" t="inlineStr">
        <is>
          <t>A 56543-2025</t>
        </is>
      </c>
      <c r="B133" s="1" t="n">
        <v>45975</v>
      </c>
      <c r="C133" s="1" t="n">
        <v>46083</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72367-2021</t>
        </is>
      </c>
      <c r="B134" s="1" t="n">
        <v>44545</v>
      </c>
      <c r="C134" s="1" t="n">
        <v>46083</v>
      </c>
      <c r="D134" t="inlineStr">
        <is>
          <t>VÄSTMANLANDS LÄN</t>
        </is>
      </c>
      <c r="E134" t="inlineStr">
        <is>
          <t>SURAHAMMAR</t>
        </is>
      </c>
      <c r="G134" t="n">
        <v>2.5</v>
      </c>
      <c r="H134" t="n">
        <v>0</v>
      </c>
      <c r="I134" t="n">
        <v>0</v>
      </c>
      <c r="J134" t="n">
        <v>0</v>
      </c>
      <c r="K134" t="n">
        <v>0</v>
      </c>
      <c r="L134" t="n">
        <v>0</v>
      </c>
      <c r="M134" t="n">
        <v>0</v>
      </c>
      <c r="N134" t="n">
        <v>0</v>
      </c>
      <c r="O134" t="n">
        <v>0</v>
      </c>
      <c r="P134" t="n">
        <v>0</v>
      </c>
      <c r="Q134" t="n">
        <v>0</v>
      </c>
      <c r="R134" s="2" t="inlineStr"/>
    </row>
    <row r="135" ht="15" customHeight="1">
      <c r="A135" t="inlineStr">
        <is>
          <t>A 59399-2025</t>
        </is>
      </c>
      <c r="B135" s="1" t="n">
        <v>45989</v>
      </c>
      <c r="C135" s="1" t="n">
        <v>46083</v>
      </c>
      <c r="D135" t="inlineStr">
        <is>
          <t>VÄSTMANLANDS LÄN</t>
        </is>
      </c>
      <c r="E135" t="inlineStr">
        <is>
          <t>SURAHAMMAR</t>
        </is>
      </c>
      <c r="F135" t="inlineStr">
        <is>
          <t>Kommuner</t>
        </is>
      </c>
      <c r="G135" t="n">
        <v>2.1</v>
      </c>
      <c r="H135" t="n">
        <v>0</v>
      </c>
      <c r="I135" t="n">
        <v>0</v>
      </c>
      <c r="J135" t="n">
        <v>0</v>
      </c>
      <c r="K135" t="n">
        <v>0</v>
      </c>
      <c r="L135" t="n">
        <v>0</v>
      </c>
      <c r="M135" t="n">
        <v>0</v>
      </c>
      <c r="N135" t="n">
        <v>0</v>
      </c>
      <c r="O135" t="n">
        <v>0</v>
      </c>
      <c r="P135" t="n">
        <v>0</v>
      </c>
      <c r="Q135" t="n">
        <v>0</v>
      </c>
      <c r="R135" s="2" t="inlineStr"/>
    </row>
    <row r="136" ht="15" customHeight="1">
      <c r="A136" t="inlineStr">
        <is>
          <t>A 42714-2022</t>
        </is>
      </c>
      <c r="B136" s="1" t="n">
        <v>44832</v>
      </c>
      <c r="C136" s="1" t="n">
        <v>46083</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37287-2023</t>
        </is>
      </c>
      <c r="B137" s="1" t="n">
        <v>45156</v>
      </c>
      <c r="C137" s="1" t="n">
        <v>46083</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46083</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56541-2025</t>
        </is>
      </c>
      <c r="B139" s="1" t="n">
        <v>45975</v>
      </c>
      <c r="C139" s="1" t="n">
        <v>46083</v>
      </c>
      <c r="D139" t="inlineStr">
        <is>
          <t>VÄSTMANLANDS LÄN</t>
        </is>
      </c>
      <c r="E139" t="inlineStr">
        <is>
          <t>SURAHAMMAR</t>
        </is>
      </c>
      <c r="F139" t="inlineStr">
        <is>
          <t>Sveaskog</t>
        </is>
      </c>
      <c r="G139" t="n">
        <v>7.6</v>
      </c>
      <c r="H139" t="n">
        <v>0</v>
      </c>
      <c r="I139" t="n">
        <v>0</v>
      </c>
      <c r="J139" t="n">
        <v>0</v>
      </c>
      <c r="K139" t="n">
        <v>0</v>
      </c>
      <c r="L139" t="n">
        <v>0</v>
      </c>
      <c r="M139" t="n">
        <v>0</v>
      </c>
      <c r="N139" t="n">
        <v>0</v>
      </c>
      <c r="O139" t="n">
        <v>0</v>
      </c>
      <c r="P139" t="n">
        <v>0</v>
      </c>
      <c r="Q139" t="n">
        <v>0</v>
      </c>
      <c r="R139" s="2" t="inlineStr"/>
    </row>
    <row r="140" ht="15" customHeight="1">
      <c r="A140" t="inlineStr">
        <is>
          <t>A 49060-2024</t>
        </is>
      </c>
      <c r="B140" s="1" t="n">
        <v>45594</v>
      </c>
      <c r="C140" s="1" t="n">
        <v>46083</v>
      </c>
      <c r="D140" t="inlineStr">
        <is>
          <t>VÄSTMANLANDS LÄN</t>
        </is>
      </c>
      <c r="E140" t="inlineStr">
        <is>
          <t>SURAHAMMAR</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19099-2022</t>
        </is>
      </c>
      <c r="B141" s="1" t="n">
        <v>44691</v>
      </c>
      <c r="C141" s="1" t="n">
        <v>46083</v>
      </c>
      <c r="D141" t="inlineStr">
        <is>
          <t>VÄSTMANLANDS LÄN</t>
        </is>
      </c>
      <c r="E141" t="inlineStr">
        <is>
          <t>SURAHAMMAR</t>
        </is>
      </c>
      <c r="F141" t="inlineStr">
        <is>
          <t>Övriga Aktiebolag</t>
        </is>
      </c>
      <c r="G141" t="n">
        <v>3.4</v>
      </c>
      <c r="H141" t="n">
        <v>0</v>
      </c>
      <c r="I141" t="n">
        <v>0</v>
      </c>
      <c r="J141" t="n">
        <v>0</v>
      </c>
      <c r="K141" t="n">
        <v>0</v>
      </c>
      <c r="L141" t="n">
        <v>0</v>
      </c>
      <c r="M141" t="n">
        <v>0</v>
      </c>
      <c r="N141" t="n">
        <v>0</v>
      </c>
      <c r="O141" t="n">
        <v>0</v>
      </c>
      <c r="P141" t="n">
        <v>0</v>
      </c>
      <c r="Q141" t="n">
        <v>0</v>
      </c>
      <c r="R141" s="2" t="inlineStr"/>
    </row>
    <row r="142" ht="15" customHeight="1">
      <c r="A142" t="inlineStr">
        <is>
          <t>A 25780-2023</t>
        </is>
      </c>
      <c r="B142" s="1" t="n">
        <v>45090.47523148148</v>
      </c>
      <c r="C142" s="1" t="n">
        <v>46083</v>
      </c>
      <c r="D142" t="inlineStr">
        <is>
          <t>VÄSTMANLANDS LÄN</t>
        </is>
      </c>
      <c r="E142" t="inlineStr">
        <is>
          <t>SURAHAMMAR</t>
        </is>
      </c>
      <c r="G142" t="n">
        <v>2.8</v>
      </c>
      <c r="H142" t="n">
        <v>0</v>
      </c>
      <c r="I142" t="n">
        <v>0</v>
      </c>
      <c r="J142" t="n">
        <v>0</v>
      </c>
      <c r="K142" t="n">
        <v>0</v>
      </c>
      <c r="L142" t="n">
        <v>0</v>
      </c>
      <c r="M142" t="n">
        <v>0</v>
      </c>
      <c r="N142" t="n">
        <v>0</v>
      </c>
      <c r="O142" t="n">
        <v>0</v>
      </c>
      <c r="P142" t="n">
        <v>0</v>
      </c>
      <c r="Q142" t="n">
        <v>0</v>
      </c>
      <c r="R142" s="2" t="inlineStr"/>
    </row>
    <row r="143" ht="15" customHeight="1">
      <c r="A143" t="inlineStr">
        <is>
          <t>A 13386-2025</t>
        </is>
      </c>
      <c r="B143" s="1" t="n">
        <v>45735</v>
      </c>
      <c r="C143" s="1" t="n">
        <v>46083</v>
      </c>
      <c r="D143" t="inlineStr">
        <is>
          <t>VÄSTMANLANDS LÄN</t>
        </is>
      </c>
      <c r="E143" t="inlineStr">
        <is>
          <t>SURAHAMMAR</t>
        </is>
      </c>
      <c r="F143" t="inlineStr">
        <is>
          <t>Bergvik skog väst AB</t>
        </is>
      </c>
      <c r="G143" t="n">
        <v>4</v>
      </c>
      <c r="H143" t="n">
        <v>0</v>
      </c>
      <c r="I143" t="n">
        <v>0</v>
      </c>
      <c r="J143" t="n">
        <v>0</v>
      </c>
      <c r="K143" t="n">
        <v>0</v>
      </c>
      <c r="L143" t="n">
        <v>0</v>
      </c>
      <c r="M143" t="n">
        <v>0</v>
      </c>
      <c r="N143" t="n">
        <v>0</v>
      </c>
      <c r="O143" t="n">
        <v>0</v>
      </c>
      <c r="P143" t="n">
        <v>0</v>
      </c>
      <c r="Q143" t="n">
        <v>0</v>
      </c>
      <c r="R143" s="2" t="inlineStr"/>
    </row>
    <row r="144" ht="15" customHeight="1">
      <c r="A144" t="inlineStr">
        <is>
          <t>A 63138-2025</t>
        </is>
      </c>
      <c r="B144" s="1" t="n">
        <v>46009</v>
      </c>
      <c r="C144" s="1" t="n">
        <v>46083</v>
      </c>
      <c r="D144" t="inlineStr">
        <is>
          <t>VÄSTMANLANDS LÄN</t>
        </is>
      </c>
      <c r="E144" t="inlineStr">
        <is>
          <t>SURAHAMMAR</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5697-2026</t>
        </is>
      </c>
      <c r="B145" s="1" t="n">
        <v>46051.50020833333</v>
      </c>
      <c r="C145" s="1" t="n">
        <v>46083</v>
      </c>
      <c r="D145" t="inlineStr">
        <is>
          <t>VÄSTMANLANDS LÄN</t>
        </is>
      </c>
      <c r="E145" t="inlineStr">
        <is>
          <t>SURAHAMMAR</t>
        </is>
      </c>
      <c r="F145" t="inlineStr">
        <is>
          <t>Sveaskog</t>
        </is>
      </c>
      <c r="G145" t="n">
        <v>3</v>
      </c>
      <c r="H145" t="n">
        <v>0</v>
      </c>
      <c r="I145" t="n">
        <v>0</v>
      </c>
      <c r="J145" t="n">
        <v>0</v>
      </c>
      <c r="K145" t="n">
        <v>0</v>
      </c>
      <c r="L145" t="n">
        <v>0</v>
      </c>
      <c r="M145" t="n">
        <v>0</v>
      </c>
      <c r="N145" t="n">
        <v>0</v>
      </c>
      <c r="O145" t="n">
        <v>0</v>
      </c>
      <c r="P145" t="n">
        <v>0</v>
      </c>
      <c r="Q145" t="n">
        <v>0</v>
      </c>
      <c r="R145" s="2" t="inlineStr"/>
    </row>
    <row r="146" ht="15" customHeight="1">
      <c r="A146" t="inlineStr">
        <is>
          <t>A 5698-2026</t>
        </is>
      </c>
      <c r="B146" s="1" t="n">
        <v>46051.50196759259</v>
      </c>
      <c r="C146" s="1" t="n">
        <v>46083</v>
      </c>
      <c r="D146" t="inlineStr">
        <is>
          <t>VÄSTMANLANDS LÄN</t>
        </is>
      </c>
      <c r="E146" t="inlineStr">
        <is>
          <t>SURAHAMMAR</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5696-2026</t>
        </is>
      </c>
      <c r="B147" s="1" t="n">
        <v>46051.4975</v>
      </c>
      <c r="C147" s="1" t="n">
        <v>46083</v>
      </c>
      <c r="D147" t="inlineStr">
        <is>
          <t>VÄSTMANLANDS LÄN</t>
        </is>
      </c>
      <c r="E147" t="inlineStr">
        <is>
          <t>SURAHAMMAR</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35682-2022</t>
        </is>
      </c>
      <c r="B148" s="1" t="n">
        <v>44799.60422453703</v>
      </c>
      <c r="C148" s="1" t="n">
        <v>46083</v>
      </c>
      <c r="D148" t="inlineStr">
        <is>
          <t>VÄSTMANLANDS LÄN</t>
        </is>
      </c>
      <c r="E148" t="inlineStr">
        <is>
          <t>SURAHAMMAR</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2867-2024</t>
        </is>
      </c>
      <c r="B149" s="1" t="n">
        <v>45315</v>
      </c>
      <c r="C149" s="1" t="n">
        <v>46083</v>
      </c>
      <c r="D149" t="inlineStr">
        <is>
          <t>VÄSTMANLANDS LÄN</t>
        </is>
      </c>
      <c r="E149" t="inlineStr">
        <is>
          <t>SURAHAMMAR</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2660-2024</t>
        </is>
      </c>
      <c r="B150" s="1" t="n">
        <v>45310</v>
      </c>
      <c r="C150" s="1" t="n">
        <v>46083</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41555-2022</t>
        </is>
      </c>
      <c r="B151" s="1" t="n">
        <v>44826</v>
      </c>
      <c r="C151" s="1" t="n">
        <v>46083</v>
      </c>
      <c r="D151" t="inlineStr">
        <is>
          <t>VÄSTMANLANDS LÄN</t>
        </is>
      </c>
      <c r="E151" t="inlineStr">
        <is>
          <t>SURAHAMMAR</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5567-2022</t>
        </is>
      </c>
      <c r="B152" s="1" t="n">
        <v>44595</v>
      </c>
      <c r="C152" s="1" t="n">
        <v>46083</v>
      </c>
      <c r="D152" t="inlineStr">
        <is>
          <t>VÄSTMANLANDS LÄN</t>
        </is>
      </c>
      <c r="E152" t="inlineStr">
        <is>
          <t>SURAHAMMAR</t>
        </is>
      </c>
      <c r="G152" t="n">
        <v>1.3</v>
      </c>
      <c r="H152" t="n">
        <v>0</v>
      </c>
      <c r="I152" t="n">
        <v>0</v>
      </c>
      <c r="J152" t="n">
        <v>0</v>
      </c>
      <c r="K152" t="n">
        <v>0</v>
      </c>
      <c r="L152" t="n">
        <v>0</v>
      </c>
      <c r="M152" t="n">
        <v>0</v>
      </c>
      <c r="N152" t="n">
        <v>0</v>
      </c>
      <c r="O152" t="n">
        <v>0</v>
      </c>
      <c r="P152" t="n">
        <v>0</v>
      </c>
      <c r="Q152" t="n">
        <v>0</v>
      </c>
      <c r="R152" s="2" t="inlineStr"/>
    </row>
    <row r="153" ht="15" customHeight="1">
      <c r="A153" t="inlineStr">
        <is>
          <t>A 4724-2026</t>
        </is>
      </c>
      <c r="B153" s="1" t="n">
        <v>46048</v>
      </c>
      <c r="C153" s="1" t="n">
        <v>46083</v>
      </c>
      <c r="D153" t="inlineStr">
        <is>
          <t>VÄSTMANLANDS LÄN</t>
        </is>
      </c>
      <c r="E153" t="inlineStr">
        <is>
          <t>SURAHAMMAR</t>
        </is>
      </c>
      <c r="G153" t="n">
        <v>1.7</v>
      </c>
      <c r="H153" t="n">
        <v>0</v>
      </c>
      <c r="I153" t="n">
        <v>0</v>
      </c>
      <c r="J153" t="n">
        <v>0</v>
      </c>
      <c r="K153" t="n">
        <v>0</v>
      </c>
      <c r="L153" t="n">
        <v>0</v>
      </c>
      <c r="M153" t="n">
        <v>0</v>
      </c>
      <c r="N153" t="n">
        <v>0</v>
      </c>
      <c r="O153" t="n">
        <v>0</v>
      </c>
      <c r="P153" t="n">
        <v>0</v>
      </c>
      <c r="Q153" t="n">
        <v>0</v>
      </c>
      <c r="R153" s="2" t="inlineStr"/>
    </row>
    <row r="154" ht="15" customHeight="1">
      <c r="A154" t="inlineStr">
        <is>
          <t>A 4734-2026</t>
        </is>
      </c>
      <c r="B154" s="1" t="n">
        <v>46048</v>
      </c>
      <c r="C154" s="1" t="n">
        <v>46083</v>
      </c>
      <c r="D154" t="inlineStr">
        <is>
          <t>VÄSTMANLANDS LÄN</t>
        </is>
      </c>
      <c r="E154" t="inlineStr">
        <is>
          <t>SURAHAMMAR</t>
        </is>
      </c>
      <c r="G154" t="n">
        <v>0.7</v>
      </c>
      <c r="H154" t="n">
        <v>0</v>
      </c>
      <c r="I154" t="n">
        <v>0</v>
      </c>
      <c r="J154" t="n">
        <v>0</v>
      </c>
      <c r="K154" t="n">
        <v>0</v>
      </c>
      <c r="L154" t="n">
        <v>0</v>
      </c>
      <c r="M154" t="n">
        <v>0</v>
      </c>
      <c r="N154" t="n">
        <v>0</v>
      </c>
      <c r="O154" t="n">
        <v>0</v>
      </c>
      <c r="P154" t="n">
        <v>0</v>
      </c>
      <c r="Q154" t="n">
        <v>0</v>
      </c>
      <c r="R154" s="2" t="inlineStr"/>
    </row>
    <row r="155" ht="15" customHeight="1">
      <c r="A155" t="inlineStr">
        <is>
          <t>A 10347-2026</t>
        </is>
      </c>
      <c r="B155" s="1" t="n">
        <v>46076.69101851852</v>
      </c>
      <c r="C155" s="1" t="n">
        <v>46083</v>
      </c>
      <c r="D155" t="inlineStr">
        <is>
          <t>VÄSTMANLANDS LÄN</t>
        </is>
      </c>
      <c r="E155" t="inlineStr">
        <is>
          <t>SURAHAMMAR</t>
        </is>
      </c>
      <c r="F155" t="inlineStr">
        <is>
          <t>Allmännings- och besparingsskogar</t>
        </is>
      </c>
      <c r="G155" t="n">
        <v>3</v>
      </c>
      <c r="H155" t="n">
        <v>0</v>
      </c>
      <c r="I155" t="n">
        <v>0</v>
      </c>
      <c r="J155" t="n">
        <v>0</v>
      </c>
      <c r="K155" t="n">
        <v>0</v>
      </c>
      <c r="L155" t="n">
        <v>0</v>
      </c>
      <c r="M155" t="n">
        <v>0</v>
      </c>
      <c r="N155" t="n">
        <v>0</v>
      </c>
      <c r="O155" t="n">
        <v>0</v>
      </c>
      <c r="P155" t="n">
        <v>0</v>
      </c>
      <c r="Q155" t="n">
        <v>0</v>
      </c>
      <c r="R155" s="2" t="inlineStr"/>
    </row>
    <row r="156" ht="15" customHeight="1">
      <c r="A156" t="inlineStr">
        <is>
          <t>A 10244-2026</t>
        </is>
      </c>
      <c r="B156" s="1" t="n">
        <v>46076.55032407407</v>
      </c>
      <c r="C156" s="1" t="n">
        <v>46083</v>
      </c>
      <c r="D156" t="inlineStr">
        <is>
          <t>VÄSTMANLANDS LÄN</t>
        </is>
      </c>
      <c r="E156" t="inlineStr">
        <is>
          <t>SURAHAMMAR</t>
        </is>
      </c>
      <c r="F156" t="inlineStr">
        <is>
          <t>Allmännings- och besparingsskogar</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10249-2026</t>
        </is>
      </c>
      <c r="B157" s="1" t="n">
        <v>46076.55456018518</v>
      </c>
      <c r="C157" s="1" t="n">
        <v>46083</v>
      </c>
      <c r="D157" t="inlineStr">
        <is>
          <t>VÄSTMANLANDS LÄN</t>
        </is>
      </c>
      <c r="E157" t="inlineStr">
        <is>
          <t>SURAHAMMAR</t>
        </is>
      </c>
      <c r="F157" t="inlineStr">
        <is>
          <t>Allmännings- och besparingsskogar</t>
        </is>
      </c>
      <c r="G157" t="n">
        <v>4.8</v>
      </c>
      <c r="H157" t="n">
        <v>0</v>
      </c>
      <c r="I157" t="n">
        <v>0</v>
      </c>
      <c r="J157" t="n">
        <v>0</v>
      </c>
      <c r="K157" t="n">
        <v>0</v>
      </c>
      <c r="L157" t="n">
        <v>0</v>
      </c>
      <c r="M157" t="n">
        <v>0</v>
      </c>
      <c r="N157" t="n">
        <v>0</v>
      </c>
      <c r="O157" t="n">
        <v>0</v>
      </c>
      <c r="P157" t="n">
        <v>0</v>
      </c>
      <c r="Q157" t="n">
        <v>0</v>
      </c>
      <c r="R157" s="2" t="inlineStr"/>
    </row>
    <row r="158" ht="15" customHeight="1">
      <c r="A158" t="inlineStr">
        <is>
          <t>A 10512-2026</t>
        </is>
      </c>
      <c r="B158" s="1" t="n">
        <v>46077.56861111111</v>
      </c>
      <c r="C158" s="1" t="n">
        <v>46083</v>
      </c>
      <c r="D158" t="inlineStr">
        <is>
          <t>VÄSTMANLANDS LÄN</t>
        </is>
      </c>
      <c r="E158" t="inlineStr">
        <is>
          <t>SURAHAMMAR</t>
        </is>
      </c>
      <c r="F158" t="inlineStr">
        <is>
          <t>Övriga Aktiebolag</t>
        </is>
      </c>
      <c r="G158" t="n">
        <v>4.3</v>
      </c>
      <c r="H158" t="n">
        <v>0</v>
      </c>
      <c r="I158" t="n">
        <v>0</v>
      </c>
      <c r="J158" t="n">
        <v>0</v>
      </c>
      <c r="K158" t="n">
        <v>0</v>
      </c>
      <c r="L158" t="n">
        <v>0</v>
      </c>
      <c r="M158" t="n">
        <v>0</v>
      </c>
      <c r="N158" t="n">
        <v>0</v>
      </c>
      <c r="O158" t="n">
        <v>0</v>
      </c>
      <c r="P158" t="n">
        <v>0</v>
      </c>
      <c r="Q158" t="n">
        <v>0</v>
      </c>
      <c r="R158" s="2" t="inlineStr"/>
    </row>
    <row r="159" ht="15" customHeight="1">
      <c r="A159" t="inlineStr">
        <is>
          <t>A 3085-2023</t>
        </is>
      </c>
      <c r="B159" s="1" t="n">
        <v>44946</v>
      </c>
      <c r="C159" s="1" t="n">
        <v>46083</v>
      </c>
      <c r="D159" t="inlineStr">
        <is>
          <t>VÄSTMANLANDS LÄN</t>
        </is>
      </c>
      <c r="E159" t="inlineStr">
        <is>
          <t>SURAHAMMAR</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10562-2026</t>
        </is>
      </c>
      <c r="B160" s="1" t="n">
        <v>46077.64043981482</v>
      </c>
      <c r="C160" s="1" t="n">
        <v>46083</v>
      </c>
      <c r="D160" t="inlineStr">
        <is>
          <t>VÄSTMANLANDS LÄN</t>
        </is>
      </c>
      <c r="E160" t="inlineStr">
        <is>
          <t>SURAHAMMAR</t>
        </is>
      </c>
      <c r="F160" t="inlineStr">
        <is>
          <t>Övriga Aktiebolag</t>
        </is>
      </c>
      <c r="G160" t="n">
        <v>2.3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44608.58400462963</v>
      </c>
      <c r="C161" s="1" t="n">
        <v>46083</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46083</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15743-2023</t>
        </is>
      </c>
      <c r="B163" s="1" t="n">
        <v>45021</v>
      </c>
      <c r="C163" s="1" t="n">
        <v>46083</v>
      </c>
      <c r="D163" t="inlineStr">
        <is>
          <t>VÄSTMANLANDS LÄN</t>
        </is>
      </c>
      <c r="E163" t="inlineStr">
        <is>
          <t>SURAHAMMAR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15637-2022</t>
        </is>
      </c>
      <c r="B164" s="1" t="n">
        <v>44662.89638888889</v>
      </c>
      <c r="C164" s="1" t="n">
        <v>46083</v>
      </c>
      <c r="D164" t="inlineStr">
        <is>
          <t>VÄSTMANLANDS LÄN</t>
        </is>
      </c>
      <c r="E164" t="inlineStr">
        <is>
          <t>SURAHAMMAR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19786-2023</t>
        </is>
      </c>
      <c r="B165" s="1" t="n">
        <v>45050</v>
      </c>
      <c r="C165" s="1" t="n">
        <v>46083</v>
      </c>
      <c r="D165" t="inlineStr">
        <is>
          <t>VÄSTMANLANDS LÄN</t>
        </is>
      </c>
      <c r="E165" t="inlineStr">
        <is>
          <t>SURAHAMMAR</t>
        </is>
      </c>
      <c r="F165" t="inlineStr">
        <is>
          <t>Bergvik skog väst AB</t>
        </is>
      </c>
      <c r="G165" t="n">
        <v>8.1</v>
      </c>
      <c r="H165" t="n">
        <v>0</v>
      </c>
      <c r="I165" t="n">
        <v>0</v>
      </c>
      <c r="J165" t="n">
        <v>0</v>
      </c>
      <c r="K165" t="n">
        <v>0</v>
      </c>
      <c r="L165" t="n">
        <v>0</v>
      </c>
      <c r="M165" t="n">
        <v>0</v>
      </c>
      <c r="N165" t="n">
        <v>0</v>
      </c>
      <c r="O165" t="n">
        <v>0</v>
      </c>
      <c r="P165" t="n">
        <v>0</v>
      </c>
      <c r="Q165" t="n">
        <v>0</v>
      </c>
      <c r="R165" s="2" t="inlineStr"/>
    </row>
    <row r="166" ht="15" customHeight="1">
      <c r="A166" t="inlineStr">
        <is>
          <t>A 7787-2024</t>
        </is>
      </c>
      <c r="B166" s="1" t="n">
        <v>45348</v>
      </c>
      <c r="C166" s="1" t="n">
        <v>46083</v>
      </c>
      <c r="D166" t="inlineStr">
        <is>
          <t>VÄSTMANLANDS LÄN</t>
        </is>
      </c>
      <c r="E166" t="inlineStr">
        <is>
          <t>SURAHAMMAR</t>
        </is>
      </c>
      <c r="G166" t="n">
        <v>1</v>
      </c>
      <c r="H166" t="n">
        <v>0</v>
      </c>
      <c r="I166" t="n">
        <v>0</v>
      </c>
      <c r="J166" t="n">
        <v>0</v>
      </c>
      <c r="K166" t="n">
        <v>0</v>
      </c>
      <c r="L166" t="n">
        <v>0</v>
      </c>
      <c r="M166" t="n">
        <v>0</v>
      </c>
      <c r="N166" t="n">
        <v>0</v>
      </c>
      <c r="O166" t="n">
        <v>0</v>
      </c>
      <c r="P166" t="n">
        <v>0</v>
      </c>
      <c r="Q166" t="n">
        <v>0</v>
      </c>
      <c r="R166" s="2" t="inlineStr"/>
    </row>
    <row r="167" ht="15" customHeight="1">
      <c r="A167" t="inlineStr">
        <is>
          <t>A 15739-2023</t>
        </is>
      </c>
      <c r="B167" s="1" t="n">
        <v>45021</v>
      </c>
      <c r="C167" s="1" t="n">
        <v>46083</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c r="A168" t="inlineStr">
        <is>
          <t>A 38154-2021</t>
        </is>
      </c>
      <c r="B168" s="1" t="n">
        <v>44405.42373842592</v>
      </c>
      <c r="C168" s="1" t="n">
        <v>46083</v>
      </c>
      <c r="D168" t="inlineStr">
        <is>
          <t>VÄSTMANLANDS LÄN</t>
        </is>
      </c>
      <c r="E168" t="inlineStr">
        <is>
          <t>SURAHAMMAR</t>
        </is>
      </c>
      <c r="F168" t="inlineStr">
        <is>
          <t>Sveaskog</t>
        </is>
      </c>
      <c r="G168" t="n">
        <v>1.3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2026-03-02T11:06:27Z</dcterms:created>
  <dcterms:modified xmlns:dcterms="http://purl.org/dc/terms/" xmlns:xsi="http://www.w3.org/2001/XMLSchema-instance" xsi:type="dcterms:W3CDTF">2026-03-02T11:06:28Z</dcterms:modified>
</cp:coreProperties>
</file>