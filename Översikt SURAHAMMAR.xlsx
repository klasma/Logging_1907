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45884</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45884</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45884</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45884</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40942-2023</t>
        </is>
      </c>
      <c r="B8" s="1" t="n">
        <v>45169</v>
      </c>
      <c r="C8" s="1" t="n">
        <v>45884</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c r="Z8">
        <f>HYPERLINK("https://klasma.github.io/Logging_1907/fåglar/A 40942-2023 prioriterade fågelarter.docx", "A 40942-2023")</f>
        <v/>
      </c>
    </row>
    <row r="9" ht="15" customHeight="1">
      <c r="A9" t="inlineStr">
        <is>
          <t>A 25573-2024</t>
        </is>
      </c>
      <c r="B9" s="1" t="n">
        <v>45463</v>
      </c>
      <c r="C9" s="1" t="n">
        <v>45884</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21560-2025</t>
        </is>
      </c>
      <c r="B10" s="1" t="n">
        <v>45782</v>
      </c>
      <c r="C10" s="1" t="n">
        <v>45884</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45884</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34040-2024</t>
        </is>
      </c>
      <c r="B12" s="1" t="n">
        <v>45523</v>
      </c>
      <c r="C12" s="1" t="n">
        <v>45884</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45884</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45884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45884</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45884</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45884</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45884</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45884</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45884</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48891-2023</t>
        </is>
      </c>
      <c r="B21" s="1" t="n">
        <v>45203</v>
      </c>
      <c r="C21" s="1" t="n">
        <v>45884</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25548-2024</t>
        </is>
      </c>
      <c r="B22" s="1" t="n">
        <v>45463</v>
      </c>
      <c r="C22" s="1" t="n">
        <v>45884</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45884</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45884</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59550-2020</t>
        </is>
      </c>
      <c r="B25" s="1" t="n">
        <v>44148</v>
      </c>
      <c r="C25" s="1" t="n">
        <v>45884</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48128-2023</t>
        </is>
      </c>
      <c r="B26" s="1" t="n">
        <v>45205</v>
      </c>
      <c r="C26" s="1" t="n">
        <v>45884</v>
      </c>
      <c r="D26" t="inlineStr">
        <is>
          <t>VÄSTMANLANDS LÄN</t>
        </is>
      </c>
      <c r="E26" t="inlineStr">
        <is>
          <t>SURAHAMMAR</t>
        </is>
      </c>
      <c r="F26" t="inlineStr">
        <is>
          <t>Allmännings- och besparingsskogar</t>
        </is>
      </c>
      <c r="G26" t="n">
        <v>11.8</v>
      </c>
      <c r="H26" t="n">
        <v>0</v>
      </c>
      <c r="I26" t="n">
        <v>2</v>
      </c>
      <c r="J26" t="n">
        <v>1</v>
      </c>
      <c r="K26" t="n">
        <v>0</v>
      </c>
      <c r="L26" t="n">
        <v>0</v>
      </c>
      <c r="M26" t="n">
        <v>0</v>
      </c>
      <c r="N26" t="n">
        <v>0</v>
      </c>
      <c r="O26" t="n">
        <v>1</v>
      </c>
      <c r="P26" t="n">
        <v>0</v>
      </c>
      <c r="Q26" t="n">
        <v>3</v>
      </c>
      <c r="R26" s="2" t="inlineStr">
        <is>
          <t>Svinrot
Blodticka
Vedticka</t>
        </is>
      </c>
      <c r="S26">
        <f>HYPERLINK("https://klasma.github.io/Logging_1907/artfynd/A 48128-2023 artfynd.xlsx", "A 48128-2023")</f>
        <v/>
      </c>
      <c r="T26">
        <f>HYPERLINK("https://klasma.github.io/Logging_1907/kartor/A 48128-2023 karta.png", "A 48128-2023")</f>
        <v/>
      </c>
      <c r="V26">
        <f>HYPERLINK("https://klasma.github.io/Logging_1907/klagomål/A 48128-2023 FSC-klagomål.docx", "A 48128-2023")</f>
        <v/>
      </c>
      <c r="W26">
        <f>HYPERLINK("https://klasma.github.io/Logging_1907/klagomålsmail/A 48128-2023 FSC-klagomål mail.docx", "A 48128-2023")</f>
        <v/>
      </c>
      <c r="X26">
        <f>HYPERLINK("https://klasma.github.io/Logging_1907/tillsyn/A 48128-2023 tillsynsbegäran.docx", "A 48128-2023")</f>
        <v/>
      </c>
      <c r="Y26">
        <f>HYPERLINK("https://klasma.github.io/Logging_1907/tillsynsmail/A 48128-2023 tillsynsbegäran mail.docx", "A 48128-2023")</f>
        <v/>
      </c>
    </row>
    <row r="27" ht="15" customHeight="1">
      <c r="A27" t="inlineStr">
        <is>
          <t>A 42860-2022</t>
        </is>
      </c>
      <c r="B27" s="1" t="n">
        <v>44832</v>
      </c>
      <c r="C27" s="1" t="n">
        <v>45884</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42708-2022</t>
        </is>
      </c>
      <c r="B28" s="1" t="n">
        <v>44832</v>
      </c>
      <c r="C28" s="1" t="n">
        <v>45884</v>
      </c>
      <c r="D28" t="inlineStr">
        <is>
          <t>VÄSTMANLANDS LÄN</t>
        </is>
      </c>
      <c r="E28" t="inlineStr">
        <is>
          <t>SURAHAMMAR</t>
        </is>
      </c>
      <c r="G28" t="n">
        <v>27.2</v>
      </c>
      <c r="H28" t="n">
        <v>3</v>
      </c>
      <c r="I28" t="n">
        <v>0</v>
      </c>
      <c r="J28" t="n">
        <v>2</v>
      </c>
      <c r="K28" t="n">
        <v>0</v>
      </c>
      <c r="L28" t="n">
        <v>0</v>
      </c>
      <c r="M28" t="n">
        <v>0</v>
      </c>
      <c r="N28" t="n">
        <v>0</v>
      </c>
      <c r="O28" t="n">
        <v>2</v>
      </c>
      <c r="P28" t="n">
        <v>0</v>
      </c>
      <c r="Q28" t="n">
        <v>3</v>
      </c>
      <c r="R28" s="2" t="inlineStr">
        <is>
          <t>Entita
Spillkråka
Blåsippa</t>
        </is>
      </c>
      <c r="S28">
        <f>HYPERLINK("https://klasma.github.io/Logging_1907/artfynd/A 42708-2022 artfynd.xlsx", "A 42708-2022")</f>
        <v/>
      </c>
      <c r="T28">
        <f>HYPERLINK("https://klasma.github.io/Logging_1907/kartor/A 42708-2022 karta.png", "A 42708-2022")</f>
        <v/>
      </c>
      <c r="V28">
        <f>HYPERLINK("https://klasma.github.io/Logging_1907/klagomål/A 42708-2022 FSC-klagomål.docx", "A 42708-2022")</f>
        <v/>
      </c>
      <c r="W28">
        <f>HYPERLINK("https://klasma.github.io/Logging_1907/klagomålsmail/A 42708-2022 FSC-klagomål mail.docx", "A 42708-2022")</f>
        <v/>
      </c>
      <c r="X28">
        <f>HYPERLINK("https://klasma.github.io/Logging_1907/tillsyn/A 42708-2022 tillsynsbegäran.docx", "A 42708-2022")</f>
        <v/>
      </c>
      <c r="Y28">
        <f>HYPERLINK("https://klasma.github.io/Logging_1907/tillsynsmail/A 42708-2022 tillsynsbegäran mail.docx", "A 42708-2022")</f>
        <v/>
      </c>
      <c r="Z28">
        <f>HYPERLINK("https://klasma.github.io/Logging_1907/fåglar/A 42708-2022 prioriterade fågelarter.docx", "A 42708-2022")</f>
        <v/>
      </c>
    </row>
    <row r="29" ht="15" customHeight="1">
      <c r="A29" t="inlineStr">
        <is>
          <t>A 49718-2023</t>
        </is>
      </c>
      <c r="B29" s="1" t="n">
        <v>45212</v>
      </c>
      <c r="C29" s="1" t="n">
        <v>45884</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8552-2022</t>
        </is>
      </c>
      <c r="B30" s="1" t="n">
        <v>44613</v>
      </c>
      <c r="C30" s="1" t="n">
        <v>45884</v>
      </c>
      <c r="D30" t="inlineStr">
        <is>
          <t>VÄSTMANLANDS LÄN</t>
        </is>
      </c>
      <c r="E30" t="inlineStr">
        <is>
          <t>SURAHAMMAR</t>
        </is>
      </c>
      <c r="F30" t="inlineStr">
        <is>
          <t>Bergvik skog väst AB</t>
        </is>
      </c>
      <c r="G30" t="n">
        <v>3.2</v>
      </c>
      <c r="H30" t="n">
        <v>2</v>
      </c>
      <c r="I30" t="n">
        <v>1</v>
      </c>
      <c r="J30" t="n">
        <v>2</v>
      </c>
      <c r="K30" t="n">
        <v>0</v>
      </c>
      <c r="L30" t="n">
        <v>0</v>
      </c>
      <c r="M30" t="n">
        <v>0</v>
      </c>
      <c r="N30" t="n">
        <v>0</v>
      </c>
      <c r="O30" t="n">
        <v>2</v>
      </c>
      <c r="P30" t="n">
        <v>0</v>
      </c>
      <c r="Q30" t="n">
        <v>3</v>
      </c>
      <c r="R30" s="2" t="inlineStr">
        <is>
          <t>Spillkråka
Talltita
Mindre märgborre</t>
        </is>
      </c>
      <c r="S30">
        <f>HYPERLINK("https://klasma.github.io/Logging_1907/artfynd/A 8552-2022 artfynd.xlsx", "A 8552-2022")</f>
        <v/>
      </c>
      <c r="T30">
        <f>HYPERLINK("https://klasma.github.io/Logging_1907/kartor/A 8552-2022 karta.png", "A 8552-2022")</f>
        <v/>
      </c>
      <c r="V30">
        <f>HYPERLINK("https://klasma.github.io/Logging_1907/klagomål/A 8552-2022 FSC-klagomål.docx", "A 8552-2022")</f>
        <v/>
      </c>
      <c r="W30">
        <f>HYPERLINK("https://klasma.github.io/Logging_1907/klagomålsmail/A 8552-2022 FSC-klagomål mail.docx", "A 8552-2022")</f>
        <v/>
      </c>
      <c r="X30">
        <f>HYPERLINK("https://klasma.github.io/Logging_1907/tillsyn/A 8552-2022 tillsynsbegäran.docx", "A 8552-2022")</f>
        <v/>
      </c>
      <c r="Y30">
        <f>HYPERLINK("https://klasma.github.io/Logging_1907/tillsynsmail/A 8552-2022 tillsynsbegäran mail.docx", "A 8552-2022")</f>
        <v/>
      </c>
      <c r="Z30">
        <f>HYPERLINK("https://klasma.github.io/Logging_1907/fåglar/A 8552-2022 prioriterade fågelarter.docx", "A 8552-2022")</f>
        <v/>
      </c>
    </row>
    <row r="31" ht="15" customHeight="1">
      <c r="A31" t="inlineStr">
        <is>
          <t>A 20391-2024</t>
        </is>
      </c>
      <c r="B31" s="1" t="n">
        <v>45435</v>
      </c>
      <c r="C31" s="1" t="n">
        <v>45884</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42853-2022</t>
        </is>
      </c>
      <c r="B32" s="1" t="n">
        <v>44832</v>
      </c>
      <c r="C32" s="1" t="n">
        <v>45884</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38200-2021</t>
        </is>
      </c>
      <c r="B33" s="1" t="n">
        <v>44405</v>
      </c>
      <c r="C33" s="1" t="n">
        <v>45884</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29707-2025</t>
        </is>
      </c>
      <c r="B34" s="1" t="n">
        <v>45825.56100694444</v>
      </c>
      <c r="C34" s="1" t="n">
        <v>45884</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37801-2021</t>
        </is>
      </c>
      <c r="B35" s="1" t="n">
        <v>44402</v>
      </c>
      <c r="C35" s="1" t="n">
        <v>45884</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45884</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45884</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45884</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45884</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45884</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45884</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18717-2021</t>
        </is>
      </c>
      <c r="B42" s="1" t="n">
        <v>44306</v>
      </c>
      <c r="C42" s="1" t="n">
        <v>45884</v>
      </c>
      <c r="D42" t="inlineStr">
        <is>
          <t>VÄSTMANLANDS LÄN</t>
        </is>
      </c>
      <c r="E42" t="inlineStr">
        <is>
          <t>SURAHAMMAR</t>
        </is>
      </c>
      <c r="F42" t="inlineStr">
        <is>
          <t>Bergvik skog väst AB</t>
        </is>
      </c>
      <c r="G42" t="n">
        <v>18</v>
      </c>
      <c r="H42" t="n">
        <v>1</v>
      </c>
      <c r="I42" t="n">
        <v>0</v>
      </c>
      <c r="J42" t="n">
        <v>0</v>
      </c>
      <c r="K42" t="n">
        <v>0</v>
      </c>
      <c r="L42" t="n">
        <v>0</v>
      </c>
      <c r="M42" t="n">
        <v>0</v>
      </c>
      <c r="N42" t="n">
        <v>0</v>
      </c>
      <c r="O42" t="n">
        <v>0</v>
      </c>
      <c r="P42" t="n">
        <v>0</v>
      </c>
      <c r="Q42" t="n">
        <v>1</v>
      </c>
      <c r="R42" s="2" t="inlineStr">
        <is>
          <t>Revlummer</t>
        </is>
      </c>
      <c r="S42">
        <f>HYPERLINK("https://klasma.github.io/Logging_1907/artfynd/A 18717-2021 artfynd.xlsx", "A 18717-2021")</f>
        <v/>
      </c>
      <c r="T42">
        <f>HYPERLINK("https://klasma.github.io/Logging_1907/kartor/A 18717-2021 karta.png", "A 18717-2021")</f>
        <v/>
      </c>
      <c r="V42">
        <f>HYPERLINK("https://klasma.github.io/Logging_1907/klagomål/A 18717-2021 FSC-klagomål.docx", "A 18717-2021")</f>
        <v/>
      </c>
      <c r="W42">
        <f>HYPERLINK("https://klasma.github.io/Logging_1907/klagomålsmail/A 18717-2021 FSC-klagomål mail.docx", "A 18717-2021")</f>
        <v/>
      </c>
      <c r="X42">
        <f>HYPERLINK("https://klasma.github.io/Logging_1907/tillsyn/A 18717-2021 tillsynsbegäran.docx", "A 18717-2021")</f>
        <v/>
      </c>
      <c r="Y42">
        <f>HYPERLINK("https://klasma.github.io/Logging_1907/tillsynsmail/A 18717-2021 tillsynsbegäran mail.docx", "A 18717-2021")</f>
        <v/>
      </c>
    </row>
    <row r="43" ht="15" customHeight="1">
      <c r="A43" t="inlineStr">
        <is>
          <t>A 26700-2022</t>
        </is>
      </c>
      <c r="B43" s="1" t="n">
        <v>44739</v>
      </c>
      <c r="C43" s="1" t="n">
        <v>45884</v>
      </c>
      <c r="D43" t="inlineStr">
        <is>
          <t>VÄSTMANLANDS LÄN</t>
        </is>
      </c>
      <c r="E43" t="inlineStr">
        <is>
          <t>SURAHAMMAR</t>
        </is>
      </c>
      <c r="F43" t="inlineStr">
        <is>
          <t>Kommuner</t>
        </is>
      </c>
      <c r="G43" t="n">
        <v>3.1</v>
      </c>
      <c r="H43" t="n">
        <v>1</v>
      </c>
      <c r="I43" t="n">
        <v>0</v>
      </c>
      <c r="J43" t="n">
        <v>0</v>
      </c>
      <c r="K43" t="n">
        <v>0</v>
      </c>
      <c r="L43" t="n">
        <v>0</v>
      </c>
      <c r="M43" t="n">
        <v>0</v>
      </c>
      <c r="N43" t="n">
        <v>0</v>
      </c>
      <c r="O43" t="n">
        <v>0</v>
      </c>
      <c r="P43" t="n">
        <v>0</v>
      </c>
      <c r="Q43" t="n">
        <v>1</v>
      </c>
      <c r="R43" s="2" t="inlineStr">
        <is>
          <t>Fläcknycklar</t>
        </is>
      </c>
      <c r="S43">
        <f>HYPERLINK("https://klasma.github.io/Logging_1907/artfynd/A 26700-2022 artfynd.xlsx", "A 26700-2022")</f>
        <v/>
      </c>
      <c r="T43">
        <f>HYPERLINK("https://klasma.github.io/Logging_1907/kartor/A 26700-2022 karta.png", "A 26700-2022")</f>
        <v/>
      </c>
      <c r="V43">
        <f>HYPERLINK("https://klasma.github.io/Logging_1907/klagomål/A 26700-2022 FSC-klagomål.docx", "A 26700-2022")</f>
        <v/>
      </c>
      <c r="W43">
        <f>HYPERLINK("https://klasma.github.io/Logging_1907/klagomålsmail/A 26700-2022 FSC-klagomål mail.docx", "A 26700-2022")</f>
        <v/>
      </c>
      <c r="X43">
        <f>HYPERLINK("https://klasma.github.io/Logging_1907/tillsyn/A 26700-2022 tillsynsbegäran.docx", "A 26700-2022")</f>
        <v/>
      </c>
      <c r="Y43">
        <f>HYPERLINK("https://klasma.github.io/Logging_1907/tillsynsmail/A 26700-2022 tillsynsbegäran mail.docx", "A 26700-2022")</f>
        <v/>
      </c>
    </row>
    <row r="44" ht="15" customHeight="1">
      <c r="A44" t="inlineStr">
        <is>
          <t>A 45735-2024</t>
        </is>
      </c>
      <c r="B44" s="1" t="n">
        <v>45579</v>
      </c>
      <c r="C44" s="1" t="n">
        <v>45884</v>
      </c>
      <c r="D44" t="inlineStr">
        <is>
          <t>VÄSTMANLANDS LÄN</t>
        </is>
      </c>
      <c r="E44" t="inlineStr">
        <is>
          <t>SURAHAMMAR</t>
        </is>
      </c>
      <c r="F44" t="inlineStr">
        <is>
          <t>Sveaskog</t>
        </is>
      </c>
      <c r="G44" t="n">
        <v>13.5</v>
      </c>
      <c r="H44" t="n">
        <v>1</v>
      </c>
      <c r="I44" t="n">
        <v>0</v>
      </c>
      <c r="J44" t="n">
        <v>0</v>
      </c>
      <c r="K44" t="n">
        <v>0</v>
      </c>
      <c r="L44" t="n">
        <v>0</v>
      </c>
      <c r="M44" t="n">
        <v>0</v>
      </c>
      <c r="N44" t="n">
        <v>0</v>
      </c>
      <c r="O44" t="n">
        <v>0</v>
      </c>
      <c r="P44" t="n">
        <v>0</v>
      </c>
      <c r="Q44" t="n">
        <v>1</v>
      </c>
      <c r="R44" s="2" t="inlineStr">
        <is>
          <t>Revlummer</t>
        </is>
      </c>
      <c r="S44">
        <f>HYPERLINK("https://klasma.github.io/Logging_1907/artfynd/A 45735-2024 artfynd.xlsx", "A 45735-2024")</f>
        <v/>
      </c>
      <c r="T44">
        <f>HYPERLINK("https://klasma.github.io/Logging_1907/kartor/A 45735-2024 karta.png", "A 45735-2024")</f>
        <v/>
      </c>
      <c r="V44">
        <f>HYPERLINK("https://klasma.github.io/Logging_1907/klagomål/A 45735-2024 FSC-klagomål.docx", "A 45735-2024")</f>
        <v/>
      </c>
      <c r="W44">
        <f>HYPERLINK("https://klasma.github.io/Logging_1907/klagomålsmail/A 45735-2024 FSC-klagomål mail.docx", "A 45735-2024")</f>
        <v/>
      </c>
      <c r="X44">
        <f>HYPERLINK("https://klasma.github.io/Logging_1907/tillsyn/A 45735-2024 tillsynsbegäran.docx", "A 45735-2024")</f>
        <v/>
      </c>
      <c r="Y44">
        <f>HYPERLINK("https://klasma.github.io/Logging_1907/tillsynsmail/A 45735-2024 tillsynsbegäran mail.docx", "A 45735-2024")</f>
        <v/>
      </c>
    </row>
    <row r="45" ht="15" customHeight="1">
      <c r="A45" t="inlineStr">
        <is>
          <t>A 56362-2023</t>
        </is>
      </c>
      <c r="B45" s="1" t="n">
        <v>45236</v>
      </c>
      <c r="C45" s="1" t="n">
        <v>45884</v>
      </c>
      <c r="D45" t="inlineStr">
        <is>
          <t>VÄSTMANLANDS LÄN</t>
        </is>
      </c>
      <c r="E45" t="inlineStr">
        <is>
          <t>SURAHAMMAR</t>
        </is>
      </c>
      <c r="F45" t="inlineStr">
        <is>
          <t>Bergvik skog väst AB</t>
        </is>
      </c>
      <c r="G45" t="n">
        <v>15.2</v>
      </c>
      <c r="H45" t="n">
        <v>0</v>
      </c>
      <c r="I45" t="n">
        <v>1</v>
      </c>
      <c r="J45" t="n">
        <v>0</v>
      </c>
      <c r="K45" t="n">
        <v>0</v>
      </c>
      <c r="L45" t="n">
        <v>0</v>
      </c>
      <c r="M45" t="n">
        <v>0</v>
      </c>
      <c r="N45" t="n">
        <v>0</v>
      </c>
      <c r="O45" t="n">
        <v>0</v>
      </c>
      <c r="P45" t="n">
        <v>0</v>
      </c>
      <c r="Q45" t="n">
        <v>1</v>
      </c>
      <c r="R45" s="2" t="inlineStr">
        <is>
          <t>Grönpyrola</t>
        </is>
      </c>
      <c r="S45">
        <f>HYPERLINK("https://klasma.github.io/Logging_1907/artfynd/A 56362-2023 artfynd.xlsx", "A 56362-2023")</f>
        <v/>
      </c>
      <c r="T45">
        <f>HYPERLINK("https://klasma.github.io/Logging_1907/kartor/A 56362-2023 karta.png", "A 56362-2023")</f>
        <v/>
      </c>
      <c r="V45">
        <f>HYPERLINK("https://klasma.github.io/Logging_1907/klagomål/A 56362-2023 FSC-klagomål.docx", "A 56362-2023")</f>
        <v/>
      </c>
      <c r="W45">
        <f>HYPERLINK("https://klasma.github.io/Logging_1907/klagomålsmail/A 56362-2023 FSC-klagomål mail.docx", "A 56362-2023")</f>
        <v/>
      </c>
      <c r="X45">
        <f>HYPERLINK("https://klasma.github.io/Logging_1907/tillsyn/A 56362-2023 tillsynsbegäran.docx", "A 56362-2023")</f>
        <v/>
      </c>
      <c r="Y45">
        <f>HYPERLINK("https://klasma.github.io/Logging_1907/tillsynsmail/A 56362-2023 tillsynsbegäran mail.docx", "A 56362-2023")</f>
        <v/>
      </c>
    </row>
    <row r="46" ht="15" customHeight="1">
      <c r="A46" t="inlineStr">
        <is>
          <t>A 47453-2024</t>
        </is>
      </c>
      <c r="B46" s="1" t="n">
        <v>45587.55017361111</v>
      </c>
      <c r="C46" s="1" t="n">
        <v>45884</v>
      </c>
      <c r="D46" t="inlineStr">
        <is>
          <t>VÄSTMANLANDS LÄN</t>
        </is>
      </c>
      <c r="E46" t="inlineStr">
        <is>
          <t>SURAHAMMAR</t>
        </is>
      </c>
      <c r="G46" t="n">
        <v>5.1</v>
      </c>
      <c r="H46" t="n">
        <v>1</v>
      </c>
      <c r="I46" t="n">
        <v>0</v>
      </c>
      <c r="J46" t="n">
        <v>0</v>
      </c>
      <c r="K46" t="n">
        <v>0</v>
      </c>
      <c r="L46" t="n">
        <v>0</v>
      </c>
      <c r="M46" t="n">
        <v>0</v>
      </c>
      <c r="N46" t="n">
        <v>0</v>
      </c>
      <c r="O46" t="n">
        <v>0</v>
      </c>
      <c r="P46" t="n">
        <v>0</v>
      </c>
      <c r="Q46" t="n">
        <v>1</v>
      </c>
      <c r="R46" s="2" t="inlineStr">
        <is>
          <t>Göktyta</t>
        </is>
      </c>
      <c r="S46">
        <f>HYPERLINK("https://klasma.github.io/Logging_1907/artfynd/A 47453-2024 artfynd.xlsx", "A 47453-2024")</f>
        <v/>
      </c>
      <c r="T46">
        <f>HYPERLINK("https://klasma.github.io/Logging_1907/kartor/A 47453-2024 karta.png", "A 47453-2024")</f>
        <v/>
      </c>
      <c r="V46">
        <f>HYPERLINK("https://klasma.github.io/Logging_1907/klagomål/A 47453-2024 FSC-klagomål.docx", "A 47453-2024")</f>
        <v/>
      </c>
      <c r="W46">
        <f>HYPERLINK("https://klasma.github.io/Logging_1907/klagomålsmail/A 47453-2024 FSC-klagomål mail.docx", "A 47453-2024")</f>
        <v/>
      </c>
      <c r="X46">
        <f>HYPERLINK("https://klasma.github.io/Logging_1907/tillsyn/A 47453-2024 tillsynsbegäran.docx", "A 47453-2024")</f>
        <v/>
      </c>
      <c r="Y46">
        <f>HYPERLINK("https://klasma.github.io/Logging_1907/tillsynsmail/A 47453-2024 tillsynsbegäran mail.docx", "A 47453-2024")</f>
        <v/>
      </c>
      <c r="Z46">
        <f>HYPERLINK("https://klasma.github.io/Logging_1907/fåglar/A 47453-2024 prioriterade fågelarter.docx", "A 47453-2024")</f>
        <v/>
      </c>
    </row>
    <row r="47" ht="15" customHeight="1">
      <c r="A47" t="inlineStr">
        <is>
          <t>A 30074-2023</t>
        </is>
      </c>
      <c r="B47" s="1" t="n">
        <v>45110</v>
      </c>
      <c r="C47" s="1" t="n">
        <v>45884</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25583-2024</t>
        </is>
      </c>
      <c r="B48" s="1" t="n">
        <v>45463</v>
      </c>
      <c r="C48" s="1" t="n">
        <v>45884</v>
      </c>
      <c r="D48" t="inlineStr">
        <is>
          <t>VÄSTMANLANDS LÄN</t>
        </is>
      </c>
      <c r="E48" t="inlineStr">
        <is>
          <t>SURAHAMMAR</t>
        </is>
      </c>
      <c r="F48" t="inlineStr">
        <is>
          <t>Bergvik skog väst AB</t>
        </is>
      </c>
      <c r="G48" t="n">
        <v>7.8</v>
      </c>
      <c r="H48" t="n">
        <v>1</v>
      </c>
      <c r="I48" t="n">
        <v>0</v>
      </c>
      <c r="J48" t="n">
        <v>0</v>
      </c>
      <c r="K48" t="n">
        <v>0</v>
      </c>
      <c r="L48" t="n">
        <v>0</v>
      </c>
      <c r="M48" t="n">
        <v>0</v>
      </c>
      <c r="N48" t="n">
        <v>0</v>
      </c>
      <c r="O48" t="n">
        <v>0</v>
      </c>
      <c r="P48" t="n">
        <v>0</v>
      </c>
      <c r="Q48" t="n">
        <v>1</v>
      </c>
      <c r="R48" s="2" t="inlineStr">
        <is>
          <t>Blåsippa</t>
        </is>
      </c>
      <c r="S48">
        <f>HYPERLINK("https://klasma.github.io/Logging_1907/artfynd/A 25583-2024 artfynd.xlsx", "A 25583-2024")</f>
        <v/>
      </c>
      <c r="T48">
        <f>HYPERLINK("https://klasma.github.io/Logging_1907/kartor/A 25583-2024 karta.png", "A 25583-2024")</f>
        <v/>
      </c>
      <c r="V48">
        <f>HYPERLINK("https://klasma.github.io/Logging_1907/klagomål/A 25583-2024 FSC-klagomål.docx", "A 25583-2024")</f>
        <v/>
      </c>
      <c r="W48">
        <f>HYPERLINK("https://klasma.github.io/Logging_1907/klagomålsmail/A 25583-2024 FSC-klagomål mail.docx", "A 25583-2024")</f>
        <v/>
      </c>
      <c r="X48">
        <f>HYPERLINK("https://klasma.github.io/Logging_1907/tillsyn/A 25583-2024 tillsynsbegäran.docx", "A 25583-2024")</f>
        <v/>
      </c>
      <c r="Y48">
        <f>HYPERLINK("https://klasma.github.io/Logging_1907/tillsynsmail/A 25583-2024 tillsynsbegäran mail.docx", "A 25583-2024")</f>
        <v/>
      </c>
    </row>
    <row r="49" ht="15" customHeight="1">
      <c r="A49" t="inlineStr">
        <is>
          <t>A 40411-2021</t>
        </is>
      </c>
      <c r="B49" s="1" t="n">
        <v>44419</v>
      </c>
      <c r="C49" s="1" t="n">
        <v>45884</v>
      </c>
      <c r="D49" t="inlineStr">
        <is>
          <t>VÄSTMANLANDS LÄN</t>
        </is>
      </c>
      <c r="E49" t="inlineStr">
        <is>
          <t>SURAHAMMAR</t>
        </is>
      </c>
      <c r="F49" t="inlineStr">
        <is>
          <t>Sveaskog</t>
        </is>
      </c>
      <c r="G49" t="n">
        <v>2.4</v>
      </c>
      <c r="H49" t="n">
        <v>1</v>
      </c>
      <c r="I49" t="n">
        <v>0</v>
      </c>
      <c r="J49" t="n">
        <v>0</v>
      </c>
      <c r="K49" t="n">
        <v>0</v>
      </c>
      <c r="L49" t="n">
        <v>0</v>
      </c>
      <c r="M49" t="n">
        <v>0</v>
      </c>
      <c r="N49" t="n">
        <v>0</v>
      </c>
      <c r="O49" t="n">
        <v>0</v>
      </c>
      <c r="P49" t="n">
        <v>0</v>
      </c>
      <c r="Q49" t="n">
        <v>1</v>
      </c>
      <c r="R49" s="2" t="inlineStr">
        <is>
          <t>Kopparödla</t>
        </is>
      </c>
      <c r="S49">
        <f>HYPERLINK("https://klasma.github.io/Logging_1907/artfynd/A 40411-2021 artfynd.xlsx", "A 40411-2021")</f>
        <v/>
      </c>
      <c r="T49">
        <f>HYPERLINK("https://klasma.github.io/Logging_1907/kartor/A 40411-2021 karta.png", "A 40411-2021")</f>
        <v/>
      </c>
      <c r="V49">
        <f>HYPERLINK("https://klasma.github.io/Logging_1907/klagomål/A 40411-2021 FSC-klagomål.docx", "A 40411-2021")</f>
        <v/>
      </c>
      <c r="W49">
        <f>HYPERLINK("https://klasma.github.io/Logging_1907/klagomålsmail/A 40411-2021 FSC-klagomål mail.docx", "A 40411-2021")</f>
        <v/>
      </c>
      <c r="X49">
        <f>HYPERLINK("https://klasma.github.io/Logging_1907/tillsyn/A 40411-2021 tillsynsbegäran.docx", "A 40411-2021")</f>
        <v/>
      </c>
      <c r="Y49">
        <f>HYPERLINK("https://klasma.github.io/Logging_1907/tillsynsmail/A 40411-2021 tillsynsbegäran mail.docx", "A 40411-2021")</f>
        <v/>
      </c>
    </row>
    <row r="50" ht="15" customHeight="1">
      <c r="A50" t="inlineStr">
        <is>
          <t>A 62097-2024</t>
        </is>
      </c>
      <c r="B50" s="1" t="n">
        <v>45646</v>
      </c>
      <c r="C50" s="1" t="n">
        <v>45884</v>
      </c>
      <c r="D50" t="inlineStr">
        <is>
          <t>VÄSTMANLANDS LÄN</t>
        </is>
      </c>
      <c r="E50" t="inlineStr">
        <is>
          <t>SURAHAMMAR</t>
        </is>
      </c>
      <c r="F50" t="inlineStr">
        <is>
          <t>Bergvik skog väst AB</t>
        </is>
      </c>
      <c r="G50" t="n">
        <v>21.7</v>
      </c>
      <c r="H50" t="n">
        <v>1</v>
      </c>
      <c r="I50" t="n">
        <v>0</v>
      </c>
      <c r="J50" t="n">
        <v>0</v>
      </c>
      <c r="K50" t="n">
        <v>0</v>
      </c>
      <c r="L50" t="n">
        <v>0</v>
      </c>
      <c r="M50" t="n">
        <v>0</v>
      </c>
      <c r="N50" t="n">
        <v>0</v>
      </c>
      <c r="O50" t="n">
        <v>0</v>
      </c>
      <c r="P50" t="n">
        <v>0</v>
      </c>
      <c r="Q50" t="n">
        <v>1</v>
      </c>
      <c r="R50" s="2" t="inlineStr">
        <is>
          <t>Revlummer</t>
        </is>
      </c>
      <c r="S50">
        <f>HYPERLINK("https://klasma.github.io/Logging_1907/artfynd/A 62097-2024 artfynd.xlsx", "A 62097-2024")</f>
        <v/>
      </c>
      <c r="T50">
        <f>HYPERLINK("https://klasma.github.io/Logging_1907/kartor/A 62097-2024 karta.png", "A 62097-2024")</f>
        <v/>
      </c>
      <c r="V50">
        <f>HYPERLINK("https://klasma.github.io/Logging_1907/klagomål/A 62097-2024 FSC-klagomål.docx", "A 62097-2024")</f>
        <v/>
      </c>
      <c r="W50">
        <f>HYPERLINK("https://klasma.github.io/Logging_1907/klagomålsmail/A 62097-2024 FSC-klagomål mail.docx", "A 62097-2024")</f>
        <v/>
      </c>
      <c r="X50">
        <f>HYPERLINK("https://klasma.github.io/Logging_1907/tillsyn/A 62097-2024 tillsynsbegäran.docx", "A 62097-2024")</f>
        <v/>
      </c>
      <c r="Y50">
        <f>HYPERLINK("https://klasma.github.io/Logging_1907/tillsynsmail/A 62097-2024 tillsynsbegäran mail.docx", "A 62097-2024")</f>
        <v/>
      </c>
    </row>
    <row r="51" ht="15" customHeight="1">
      <c r="A51" t="inlineStr">
        <is>
          <t>A 14001-2023</t>
        </is>
      </c>
      <c r="B51" s="1" t="n">
        <v>45007</v>
      </c>
      <c r="C51" s="1" t="n">
        <v>45884</v>
      </c>
      <c r="D51" t="inlineStr">
        <is>
          <t>VÄSTMANLANDS LÄN</t>
        </is>
      </c>
      <c r="E51" t="inlineStr">
        <is>
          <t>SURAHAMMAR</t>
        </is>
      </c>
      <c r="F51" t="inlineStr">
        <is>
          <t>Bergvik skog väst AB</t>
        </is>
      </c>
      <c r="G51" t="n">
        <v>1</v>
      </c>
      <c r="H51" t="n">
        <v>0</v>
      </c>
      <c r="I51" t="n">
        <v>0</v>
      </c>
      <c r="J51" t="n">
        <v>1</v>
      </c>
      <c r="K51" t="n">
        <v>0</v>
      </c>
      <c r="L51" t="n">
        <v>0</v>
      </c>
      <c r="M51" t="n">
        <v>0</v>
      </c>
      <c r="N51" t="n">
        <v>0</v>
      </c>
      <c r="O51" t="n">
        <v>1</v>
      </c>
      <c r="P51" t="n">
        <v>0</v>
      </c>
      <c r="Q51" t="n">
        <v>1</v>
      </c>
      <c r="R51" s="2" t="inlineStr">
        <is>
          <t>Motaggsvamp</t>
        </is>
      </c>
      <c r="S51">
        <f>HYPERLINK("https://klasma.github.io/Logging_1907/artfynd/A 14001-2023 artfynd.xlsx", "A 14001-2023")</f>
        <v/>
      </c>
      <c r="T51">
        <f>HYPERLINK("https://klasma.github.io/Logging_1907/kartor/A 14001-2023 karta.png", "A 14001-2023")</f>
        <v/>
      </c>
      <c r="V51">
        <f>HYPERLINK("https://klasma.github.io/Logging_1907/klagomål/A 14001-2023 FSC-klagomål.docx", "A 14001-2023")</f>
        <v/>
      </c>
      <c r="W51">
        <f>HYPERLINK("https://klasma.github.io/Logging_1907/klagomålsmail/A 14001-2023 FSC-klagomål mail.docx", "A 14001-2023")</f>
        <v/>
      </c>
      <c r="X51">
        <f>HYPERLINK("https://klasma.github.io/Logging_1907/tillsyn/A 14001-2023 tillsynsbegäran.docx", "A 14001-2023")</f>
        <v/>
      </c>
      <c r="Y51">
        <f>HYPERLINK("https://klasma.github.io/Logging_1907/tillsynsmail/A 14001-2023 tillsynsbegäran mail.docx", "A 14001-2023")</f>
        <v/>
      </c>
    </row>
    <row r="52" ht="15" customHeight="1">
      <c r="A52" t="inlineStr">
        <is>
          <t>A 39099-2022</t>
        </is>
      </c>
      <c r="B52" s="1" t="n">
        <v>44817</v>
      </c>
      <c r="C52" s="1" t="n">
        <v>45884</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42765-2022</t>
        </is>
      </c>
      <c r="B53" s="1" t="n">
        <v>44832</v>
      </c>
      <c r="C53" s="1" t="n">
        <v>45884</v>
      </c>
      <c r="D53" t="inlineStr">
        <is>
          <t>VÄSTMANLANDS LÄN</t>
        </is>
      </c>
      <c r="E53" t="inlineStr">
        <is>
          <t>SURAHAMMAR</t>
        </is>
      </c>
      <c r="G53" t="n">
        <v>1.8</v>
      </c>
      <c r="H53" t="n">
        <v>1</v>
      </c>
      <c r="I53" t="n">
        <v>0</v>
      </c>
      <c r="J53" t="n">
        <v>0</v>
      </c>
      <c r="K53" t="n">
        <v>0</v>
      </c>
      <c r="L53" t="n">
        <v>0</v>
      </c>
      <c r="M53" t="n">
        <v>0</v>
      </c>
      <c r="N53" t="n">
        <v>0</v>
      </c>
      <c r="O53" t="n">
        <v>0</v>
      </c>
      <c r="P53" t="n">
        <v>0</v>
      </c>
      <c r="Q53" t="n">
        <v>1</v>
      </c>
      <c r="R53" s="2" t="inlineStr">
        <is>
          <t>Blåsippa</t>
        </is>
      </c>
      <c r="S53">
        <f>HYPERLINK("https://klasma.github.io/Logging_1907/artfynd/A 42765-2022 artfynd.xlsx", "A 42765-2022")</f>
        <v/>
      </c>
      <c r="T53">
        <f>HYPERLINK("https://klasma.github.io/Logging_1907/kartor/A 42765-2022 karta.png", "A 42765-2022")</f>
        <v/>
      </c>
      <c r="V53">
        <f>HYPERLINK("https://klasma.github.io/Logging_1907/klagomål/A 42765-2022 FSC-klagomål.docx", "A 42765-2022")</f>
        <v/>
      </c>
      <c r="W53">
        <f>HYPERLINK("https://klasma.github.io/Logging_1907/klagomålsmail/A 42765-2022 FSC-klagomål mail.docx", "A 42765-2022")</f>
        <v/>
      </c>
      <c r="X53">
        <f>HYPERLINK("https://klasma.github.io/Logging_1907/tillsyn/A 42765-2022 tillsynsbegäran.docx", "A 42765-2022")</f>
        <v/>
      </c>
      <c r="Y53">
        <f>HYPERLINK("https://klasma.github.io/Logging_1907/tillsynsmail/A 42765-2022 tillsynsbegäran mail.docx", "A 42765-2022")</f>
        <v/>
      </c>
    </row>
    <row r="54" ht="15" customHeight="1">
      <c r="A54" t="inlineStr">
        <is>
          <t>A 13971-2023</t>
        </is>
      </c>
      <c r="B54" s="1" t="n">
        <v>45007</v>
      </c>
      <c r="C54" s="1" t="n">
        <v>45884</v>
      </c>
      <c r="D54" t="inlineStr">
        <is>
          <t>VÄSTMANLANDS LÄN</t>
        </is>
      </c>
      <c r="E54" t="inlineStr">
        <is>
          <t>SURAHAMMAR</t>
        </is>
      </c>
      <c r="F54" t="inlineStr">
        <is>
          <t>Bergvik skog väst AB</t>
        </is>
      </c>
      <c r="G54" t="n">
        <v>2.9</v>
      </c>
      <c r="H54" t="n">
        <v>1</v>
      </c>
      <c r="I54" t="n">
        <v>0</v>
      </c>
      <c r="J54" t="n">
        <v>0</v>
      </c>
      <c r="K54" t="n">
        <v>0</v>
      </c>
      <c r="L54" t="n">
        <v>0</v>
      </c>
      <c r="M54" t="n">
        <v>0</v>
      </c>
      <c r="N54" t="n">
        <v>0</v>
      </c>
      <c r="O54" t="n">
        <v>0</v>
      </c>
      <c r="P54" t="n">
        <v>0</v>
      </c>
      <c r="Q54" t="n">
        <v>1</v>
      </c>
      <c r="R54" s="2" t="inlineStr">
        <is>
          <t>Fläcknycklar</t>
        </is>
      </c>
      <c r="S54">
        <f>HYPERLINK("https://klasma.github.io/Logging_1907/artfynd/A 13971-2023 artfynd.xlsx", "A 13971-2023")</f>
        <v/>
      </c>
      <c r="T54">
        <f>HYPERLINK("https://klasma.github.io/Logging_1907/kartor/A 13971-2023 karta.png", "A 13971-2023")</f>
        <v/>
      </c>
      <c r="V54">
        <f>HYPERLINK("https://klasma.github.io/Logging_1907/klagomål/A 13971-2023 FSC-klagomål.docx", "A 13971-2023")</f>
        <v/>
      </c>
      <c r="W54">
        <f>HYPERLINK("https://klasma.github.io/Logging_1907/klagomålsmail/A 13971-2023 FSC-klagomål mail.docx", "A 13971-2023")</f>
        <v/>
      </c>
      <c r="X54">
        <f>HYPERLINK("https://klasma.github.io/Logging_1907/tillsyn/A 13971-2023 tillsynsbegäran.docx", "A 13971-2023")</f>
        <v/>
      </c>
      <c r="Y54">
        <f>HYPERLINK("https://klasma.github.io/Logging_1907/tillsynsmail/A 13971-2023 tillsynsbegäran mail.docx", "A 13971-2023")</f>
        <v/>
      </c>
    </row>
    <row r="55" ht="15" customHeight="1">
      <c r="A55" t="inlineStr">
        <is>
          <t>A 10819-2024</t>
        </is>
      </c>
      <c r="B55" s="1" t="n">
        <v>45369.66049768519</v>
      </c>
      <c r="C55" s="1" t="n">
        <v>45884</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31176-2024</t>
        </is>
      </c>
      <c r="B56" s="1" t="n">
        <v>45503</v>
      </c>
      <c r="C56" s="1" t="n">
        <v>45884</v>
      </c>
      <c r="D56" t="inlineStr">
        <is>
          <t>VÄSTMANLANDS LÄN</t>
        </is>
      </c>
      <c r="E56" t="inlineStr">
        <is>
          <t>SURAHAMMAR</t>
        </is>
      </c>
      <c r="F56" t="inlineStr">
        <is>
          <t>Allmännings- och besparingsskogar</t>
        </is>
      </c>
      <c r="G56" t="n">
        <v>10.7</v>
      </c>
      <c r="H56" t="n">
        <v>0</v>
      </c>
      <c r="I56" t="n">
        <v>0</v>
      </c>
      <c r="J56" t="n">
        <v>1</v>
      </c>
      <c r="K56" t="n">
        <v>0</v>
      </c>
      <c r="L56" t="n">
        <v>0</v>
      </c>
      <c r="M56" t="n">
        <v>0</v>
      </c>
      <c r="N56" t="n">
        <v>0</v>
      </c>
      <c r="O56" t="n">
        <v>1</v>
      </c>
      <c r="P56" t="n">
        <v>0</v>
      </c>
      <c r="Q56" t="n">
        <v>1</v>
      </c>
      <c r="R56" s="2" t="inlineStr">
        <is>
          <t>Doftskinn</t>
        </is>
      </c>
      <c r="S56">
        <f>HYPERLINK("https://klasma.github.io/Logging_1907/artfynd/A 31176-2024 artfynd.xlsx", "A 31176-2024")</f>
        <v/>
      </c>
      <c r="T56">
        <f>HYPERLINK("https://klasma.github.io/Logging_1907/kartor/A 31176-2024 karta.png", "A 31176-2024")</f>
        <v/>
      </c>
      <c r="V56">
        <f>HYPERLINK("https://klasma.github.io/Logging_1907/klagomål/A 31176-2024 FSC-klagomål.docx", "A 31176-2024")</f>
        <v/>
      </c>
      <c r="W56">
        <f>HYPERLINK("https://klasma.github.io/Logging_1907/klagomålsmail/A 31176-2024 FSC-klagomål mail.docx", "A 31176-2024")</f>
        <v/>
      </c>
      <c r="X56">
        <f>HYPERLINK("https://klasma.github.io/Logging_1907/tillsyn/A 31176-2024 tillsynsbegäran.docx", "A 31176-2024")</f>
        <v/>
      </c>
      <c r="Y56">
        <f>HYPERLINK("https://klasma.github.io/Logging_1907/tillsynsmail/A 31176-2024 tillsynsbegäran mail.docx", "A 31176-2024")</f>
        <v/>
      </c>
    </row>
    <row r="57" ht="15" customHeight="1">
      <c r="A57" t="inlineStr">
        <is>
          <t>A 69777-2021</t>
        </is>
      </c>
      <c r="B57" s="1" t="n">
        <v>44532</v>
      </c>
      <c r="C57" s="1" t="n">
        <v>45884</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17632-2022</t>
        </is>
      </c>
      <c r="B58" s="1" t="n">
        <v>44680</v>
      </c>
      <c r="C58" s="1" t="n">
        <v>45884</v>
      </c>
      <c r="D58" t="inlineStr">
        <is>
          <t>VÄSTMANLANDS LÄN</t>
        </is>
      </c>
      <c r="E58" t="inlineStr">
        <is>
          <t>SURAHAMMAR</t>
        </is>
      </c>
      <c r="G58" t="n">
        <v>5.2</v>
      </c>
      <c r="H58" t="n">
        <v>0</v>
      </c>
      <c r="I58" t="n">
        <v>1</v>
      </c>
      <c r="J58" t="n">
        <v>0</v>
      </c>
      <c r="K58" t="n">
        <v>0</v>
      </c>
      <c r="L58" t="n">
        <v>0</v>
      </c>
      <c r="M58" t="n">
        <v>0</v>
      </c>
      <c r="N58" t="n">
        <v>0</v>
      </c>
      <c r="O58" t="n">
        <v>0</v>
      </c>
      <c r="P58" t="n">
        <v>0</v>
      </c>
      <c r="Q58" t="n">
        <v>1</v>
      </c>
      <c r="R58" s="2" t="inlineStr">
        <is>
          <t>Blodticka</t>
        </is>
      </c>
      <c r="S58">
        <f>HYPERLINK("https://klasma.github.io/Logging_1907/artfynd/A 17632-2022 artfynd.xlsx", "A 17632-2022")</f>
        <v/>
      </c>
      <c r="T58">
        <f>HYPERLINK("https://klasma.github.io/Logging_1907/kartor/A 17632-2022 karta.png", "A 17632-2022")</f>
        <v/>
      </c>
      <c r="V58">
        <f>HYPERLINK("https://klasma.github.io/Logging_1907/klagomål/A 17632-2022 FSC-klagomål.docx", "A 17632-2022")</f>
        <v/>
      </c>
      <c r="W58">
        <f>HYPERLINK("https://klasma.github.io/Logging_1907/klagomålsmail/A 17632-2022 FSC-klagomål mail.docx", "A 17632-2022")</f>
        <v/>
      </c>
      <c r="X58">
        <f>HYPERLINK("https://klasma.github.io/Logging_1907/tillsyn/A 17632-2022 tillsynsbegäran.docx", "A 17632-2022")</f>
        <v/>
      </c>
      <c r="Y58">
        <f>HYPERLINK("https://klasma.github.io/Logging_1907/tillsynsmail/A 17632-2022 tillsynsbegäran mail.docx", "A 17632-2022")</f>
        <v/>
      </c>
    </row>
    <row r="59" ht="15" customHeight="1">
      <c r="A59" t="inlineStr">
        <is>
          <t>A 43451-2024</t>
        </is>
      </c>
      <c r="B59" s="1" t="n">
        <v>45568</v>
      </c>
      <c r="C59" s="1" t="n">
        <v>45884</v>
      </c>
      <c r="D59" t="inlineStr">
        <is>
          <t>VÄSTMANLANDS LÄN</t>
        </is>
      </c>
      <c r="E59" t="inlineStr">
        <is>
          <t>SURAHAMMAR</t>
        </is>
      </c>
      <c r="F59" t="inlineStr">
        <is>
          <t>Bergvik skog väst AB</t>
        </is>
      </c>
      <c r="G59" t="n">
        <v>2.9</v>
      </c>
      <c r="H59" t="n">
        <v>0</v>
      </c>
      <c r="I59" t="n">
        <v>0</v>
      </c>
      <c r="J59" t="n">
        <v>1</v>
      </c>
      <c r="K59" t="n">
        <v>0</v>
      </c>
      <c r="L59" t="n">
        <v>0</v>
      </c>
      <c r="M59" t="n">
        <v>0</v>
      </c>
      <c r="N59" t="n">
        <v>0</v>
      </c>
      <c r="O59" t="n">
        <v>1</v>
      </c>
      <c r="P59" t="n">
        <v>0</v>
      </c>
      <c r="Q59" t="n">
        <v>1</v>
      </c>
      <c r="R59" s="2" t="inlineStr">
        <is>
          <t>Ullticka</t>
        </is>
      </c>
      <c r="S59">
        <f>HYPERLINK("https://klasma.github.io/Logging_1907/artfynd/A 43451-2024 artfynd.xlsx", "A 43451-2024")</f>
        <v/>
      </c>
      <c r="T59">
        <f>HYPERLINK("https://klasma.github.io/Logging_1907/kartor/A 43451-2024 karta.png", "A 43451-2024")</f>
        <v/>
      </c>
      <c r="V59">
        <f>HYPERLINK("https://klasma.github.io/Logging_1907/klagomål/A 43451-2024 FSC-klagomål.docx", "A 43451-2024")</f>
        <v/>
      </c>
      <c r="W59">
        <f>HYPERLINK("https://klasma.github.io/Logging_1907/klagomålsmail/A 43451-2024 FSC-klagomål mail.docx", "A 43451-2024")</f>
        <v/>
      </c>
      <c r="X59">
        <f>HYPERLINK("https://klasma.github.io/Logging_1907/tillsyn/A 43451-2024 tillsynsbegäran.docx", "A 43451-2024")</f>
        <v/>
      </c>
      <c r="Y59">
        <f>HYPERLINK("https://klasma.github.io/Logging_1907/tillsynsmail/A 43451-2024 tillsynsbegäran mail.docx", "A 43451-2024")</f>
        <v/>
      </c>
    </row>
    <row r="60" ht="15" customHeight="1">
      <c r="A60" t="inlineStr">
        <is>
          <t>A 44355-2024</t>
        </is>
      </c>
      <c r="B60" s="1" t="n">
        <v>45573</v>
      </c>
      <c r="C60" s="1" t="n">
        <v>45884</v>
      </c>
      <c r="D60" t="inlineStr">
        <is>
          <t>VÄSTMANLANDS LÄN</t>
        </is>
      </c>
      <c r="E60" t="inlineStr">
        <is>
          <t>SURAHAMMAR</t>
        </is>
      </c>
      <c r="F60" t="inlineStr">
        <is>
          <t>Sveaskog</t>
        </is>
      </c>
      <c r="G60" t="n">
        <v>3.5</v>
      </c>
      <c r="H60" t="n">
        <v>1</v>
      </c>
      <c r="I60" t="n">
        <v>0</v>
      </c>
      <c r="J60" t="n">
        <v>0</v>
      </c>
      <c r="K60" t="n">
        <v>0</v>
      </c>
      <c r="L60" t="n">
        <v>0</v>
      </c>
      <c r="M60" t="n">
        <v>0</v>
      </c>
      <c r="N60" t="n">
        <v>0</v>
      </c>
      <c r="O60" t="n">
        <v>0</v>
      </c>
      <c r="P60" t="n">
        <v>0</v>
      </c>
      <c r="Q60" t="n">
        <v>1</v>
      </c>
      <c r="R60" s="2" t="inlineStr">
        <is>
          <t>Revlummer</t>
        </is>
      </c>
      <c r="S60">
        <f>HYPERLINK("https://klasma.github.io/Logging_1907/artfynd/A 44355-2024 artfynd.xlsx", "A 44355-2024")</f>
        <v/>
      </c>
      <c r="T60">
        <f>HYPERLINK("https://klasma.github.io/Logging_1907/kartor/A 44355-2024 karta.png", "A 44355-2024")</f>
        <v/>
      </c>
      <c r="V60">
        <f>HYPERLINK("https://klasma.github.io/Logging_1907/klagomål/A 44355-2024 FSC-klagomål.docx", "A 44355-2024")</f>
        <v/>
      </c>
      <c r="W60">
        <f>HYPERLINK("https://klasma.github.io/Logging_1907/klagomålsmail/A 44355-2024 FSC-klagomål mail.docx", "A 44355-2024")</f>
        <v/>
      </c>
      <c r="X60">
        <f>HYPERLINK("https://klasma.github.io/Logging_1907/tillsyn/A 44355-2024 tillsynsbegäran.docx", "A 44355-2024")</f>
        <v/>
      </c>
      <c r="Y60">
        <f>HYPERLINK("https://klasma.github.io/Logging_1907/tillsynsmail/A 44355-2024 tillsynsbegäran mail.docx", "A 44355-2024")</f>
        <v/>
      </c>
    </row>
    <row r="61" ht="15" customHeight="1">
      <c r="A61" t="inlineStr">
        <is>
          <t>A 21716-2025</t>
        </is>
      </c>
      <c r="B61" s="1" t="n">
        <v>45783.54804398148</v>
      </c>
      <c r="C61" s="1" t="n">
        <v>45884</v>
      </c>
      <c r="D61" t="inlineStr">
        <is>
          <t>VÄSTMANLANDS LÄN</t>
        </is>
      </c>
      <c r="E61" t="inlineStr">
        <is>
          <t>SURAHAMMAR</t>
        </is>
      </c>
      <c r="F61" t="inlineStr">
        <is>
          <t>Allmännings- och besparingsskogar</t>
        </is>
      </c>
      <c r="G61" t="n">
        <v>21.1</v>
      </c>
      <c r="H61" t="n">
        <v>1</v>
      </c>
      <c r="I61" t="n">
        <v>0</v>
      </c>
      <c r="J61" t="n">
        <v>1</v>
      </c>
      <c r="K61" t="n">
        <v>0</v>
      </c>
      <c r="L61" t="n">
        <v>0</v>
      </c>
      <c r="M61" t="n">
        <v>0</v>
      </c>
      <c r="N61" t="n">
        <v>0</v>
      </c>
      <c r="O61" t="n">
        <v>1</v>
      </c>
      <c r="P61" t="n">
        <v>0</v>
      </c>
      <c r="Q61" t="n">
        <v>1</v>
      </c>
      <c r="R61" s="2" t="inlineStr">
        <is>
          <t>Spillkråka</t>
        </is>
      </c>
      <c r="S61">
        <f>HYPERLINK("https://klasma.github.io/Logging_1907/artfynd/A 21716-2025 artfynd.xlsx", "A 21716-2025")</f>
        <v/>
      </c>
      <c r="T61">
        <f>HYPERLINK("https://klasma.github.io/Logging_1907/kartor/A 21716-2025 karta.png", "A 21716-2025")</f>
        <v/>
      </c>
      <c r="V61">
        <f>HYPERLINK("https://klasma.github.io/Logging_1907/klagomål/A 21716-2025 FSC-klagomål.docx", "A 21716-2025")</f>
        <v/>
      </c>
      <c r="W61">
        <f>HYPERLINK("https://klasma.github.io/Logging_1907/klagomålsmail/A 21716-2025 FSC-klagomål mail.docx", "A 21716-2025")</f>
        <v/>
      </c>
      <c r="X61">
        <f>HYPERLINK("https://klasma.github.io/Logging_1907/tillsyn/A 21716-2025 tillsynsbegäran.docx", "A 21716-2025")</f>
        <v/>
      </c>
      <c r="Y61">
        <f>HYPERLINK("https://klasma.github.io/Logging_1907/tillsynsmail/A 21716-2025 tillsynsbegäran mail.docx", "A 21716-2025")</f>
        <v/>
      </c>
      <c r="Z61">
        <f>HYPERLINK("https://klasma.github.io/Logging_1907/fåglar/A 21716-2025 prioriterade fågelarter.docx", "A 21716-2025")</f>
        <v/>
      </c>
    </row>
    <row r="62" ht="15" customHeight="1">
      <c r="A62" t="inlineStr">
        <is>
          <t>A 44356-2024</t>
        </is>
      </c>
      <c r="B62" s="1" t="n">
        <v>45573</v>
      </c>
      <c r="C62" s="1" t="n">
        <v>45884</v>
      </c>
      <c r="D62" t="inlineStr">
        <is>
          <t>VÄSTMANLANDS LÄN</t>
        </is>
      </c>
      <c r="E62" t="inlineStr">
        <is>
          <t>SURAHAMMAR</t>
        </is>
      </c>
      <c r="F62" t="inlineStr">
        <is>
          <t>Sveaskog</t>
        </is>
      </c>
      <c r="G62" t="n">
        <v>0.7</v>
      </c>
      <c r="H62" t="n">
        <v>1</v>
      </c>
      <c r="I62" t="n">
        <v>0</v>
      </c>
      <c r="J62" t="n">
        <v>0</v>
      </c>
      <c r="K62" t="n">
        <v>0</v>
      </c>
      <c r="L62" t="n">
        <v>0</v>
      </c>
      <c r="M62" t="n">
        <v>0</v>
      </c>
      <c r="N62" t="n">
        <v>0</v>
      </c>
      <c r="O62" t="n">
        <v>0</v>
      </c>
      <c r="P62" t="n">
        <v>0</v>
      </c>
      <c r="Q62" t="n">
        <v>1</v>
      </c>
      <c r="R62" s="2" t="inlineStr">
        <is>
          <t>Revlummer</t>
        </is>
      </c>
      <c r="S62">
        <f>HYPERLINK("https://klasma.github.io/Logging_1907/artfynd/A 44356-2024 artfynd.xlsx", "A 44356-2024")</f>
        <v/>
      </c>
      <c r="T62">
        <f>HYPERLINK("https://klasma.github.io/Logging_1907/kartor/A 44356-2024 karta.png", "A 44356-2024")</f>
        <v/>
      </c>
      <c r="V62">
        <f>HYPERLINK("https://klasma.github.io/Logging_1907/klagomål/A 44356-2024 FSC-klagomål.docx", "A 44356-2024")</f>
        <v/>
      </c>
      <c r="W62">
        <f>HYPERLINK("https://klasma.github.io/Logging_1907/klagomålsmail/A 44356-2024 FSC-klagomål mail.docx", "A 44356-2024")</f>
        <v/>
      </c>
      <c r="X62">
        <f>HYPERLINK("https://klasma.github.io/Logging_1907/tillsyn/A 44356-2024 tillsynsbegäran.docx", "A 44356-2024")</f>
        <v/>
      </c>
      <c r="Y62">
        <f>HYPERLINK("https://klasma.github.io/Logging_1907/tillsynsmail/A 44356-2024 tillsynsbegäran mail.docx", "A 44356-2024")</f>
        <v/>
      </c>
    </row>
    <row r="63" ht="15" customHeight="1">
      <c r="A63" t="inlineStr">
        <is>
          <t>A 13788-2025</t>
        </is>
      </c>
      <c r="B63" s="1" t="n">
        <v>45737.45327546296</v>
      </c>
      <c r="C63" s="1" t="n">
        <v>45884</v>
      </c>
      <c r="D63" t="inlineStr">
        <is>
          <t>VÄSTMANLANDS LÄN</t>
        </is>
      </c>
      <c r="E63" t="inlineStr">
        <is>
          <t>SURAHAMMAR</t>
        </is>
      </c>
      <c r="G63" t="n">
        <v>9.699999999999999</v>
      </c>
      <c r="H63" t="n">
        <v>1</v>
      </c>
      <c r="I63" t="n">
        <v>0</v>
      </c>
      <c r="J63" t="n">
        <v>0</v>
      </c>
      <c r="K63" t="n">
        <v>0</v>
      </c>
      <c r="L63" t="n">
        <v>0</v>
      </c>
      <c r="M63" t="n">
        <v>0</v>
      </c>
      <c r="N63" t="n">
        <v>0</v>
      </c>
      <c r="O63" t="n">
        <v>0</v>
      </c>
      <c r="P63" t="n">
        <v>0</v>
      </c>
      <c r="Q63" t="n">
        <v>1</v>
      </c>
      <c r="R63" s="2" t="inlineStr">
        <is>
          <t>Sparvuggla</t>
        </is>
      </c>
      <c r="S63">
        <f>HYPERLINK("https://klasma.github.io/Logging_1907/artfynd/A 13788-2025 artfynd.xlsx", "A 13788-2025")</f>
        <v/>
      </c>
      <c r="T63">
        <f>HYPERLINK("https://klasma.github.io/Logging_1907/kartor/A 13788-2025 karta.png", "A 13788-2025")</f>
        <v/>
      </c>
      <c r="V63">
        <f>HYPERLINK("https://klasma.github.io/Logging_1907/klagomål/A 13788-2025 FSC-klagomål.docx", "A 13788-2025")</f>
        <v/>
      </c>
      <c r="W63">
        <f>HYPERLINK("https://klasma.github.io/Logging_1907/klagomålsmail/A 13788-2025 FSC-klagomål mail.docx", "A 13788-2025")</f>
        <v/>
      </c>
      <c r="X63">
        <f>HYPERLINK("https://klasma.github.io/Logging_1907/tillsyn/A 13788-2025 tillsynsbegäran.docx", "A 13788-2025")</f>
        <v/>
      </c>
      <c r="Y63">
        <f>HYPERLINK("https://klasma.github.io/Logging_1907/tillsynsmail/A 13788-2025 tillsynsbegäran mail.docx", "A 13788-2025")</f>
        <v/>
      </c>
      <c r="Z63">
        <f>HYPERLINK("https://klasma.github.io/Logging_1907/fåglar/A 13788-2025 prioriterade fågelarter.docx", "A 13788-2025")</f>
        <v/>
      </c>
    </row>
    <row r="64" ht="15" customHeight="1">
      <c r="A64" t="inlineStr">
        <is>
          <t>A 22840-2023</t>
        </is>
      </c>
      <c r="B64" s="1" t="n">
        <v>45072</v>
      </c>
      <c r="C64" s="1" t="n">
        <v>45884</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45884</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43177-2020</t>
        </is>
      </c>
      <c r="B66" s="1" t="n">
        <v>44081</v>
      </c>
      <c r="C66" s="1" t="n">
        <v>45884</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45884</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45884</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45884</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45884</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45884</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45884</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45884</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45884</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45884</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31468-2021</t>
        </is>
      </c>
      <c r="B76" s="1" t="n">
        <v>44369</v>
      </c>
      <c r="C76" s="1" t="n">
        <v>45884</v>
      </c>
      <c r="D76" t="inlineStr">
        <is>
          <t>VÄSTMANLANDS LÄN</t>
        </is>
      </c>
      <c r="E76" t="inlineStr">
        <is>
          <t>SURAHAMMAR</t>
        </is>
      </c>
      <c r="G76" t="n">
        <v>1.1</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45884</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19846-2022</t>
        </is>
      </c>
      <c r="B78" s="1" t="n">
        <v>44696.89327546296</v>
      </c>
      <c r="C78" s="1" t="n">
        <v>45884</v>
      </c>
      <c r="D78" t="inlineStr">
        <is>
          <t>VÄSTMANLANDS LÄN</t>
        </is>
      </c>
      <c r="E78" t="inlineStr">
        <is>
          <t>SURAHAMMAR</t>
        </is>
      </c>
      <c r="F78" t="inlineStr">
        <is>
          <t>Kommuner</t>
        </is>
      </c>
      <c r="G78" t="n">
        <v>3.4</v>
      </c>
      <c r="H78" t="n">
        <v>0</v>
      </c>
      <c r="I78" t="n">
        <v>0</v>
      </c>
      <c r="J78" t="n">
        <v>0</v>
      </c>
      <c r="K78" t="n">
        <v>0</v>
      </c>
      <c r="L78" t="n">
        <v>0</v>
      </c>
      <c r="M78" t="n">
        <v>0</v>
      </c>
      <c r="N78" t="n">
        <v>0</v>
      </c>
      <c r="O78" t="n">
        <v>0</v>
      </c>
      <c r="P78" t="n">
        <v>0</v>
      </c>
      <c r="Q78" t="n">
        <v>0</v>
      </c>
      <c r="R78" s="2" t="inlineStr"/>
    </row>
    <row r="79" ht="15" customHeight="1">
      <c r="A79" t="inlineStr">
        <is>
          <t>A 19637-2022</t>
        </is>
      </c>
      <c r="B79" s="1" t="n">
        <v>44694</v>
      </c>
      <c r="C79" s="1" t="n">
        <v>45884</v>
      </c>
      <c r="D79" t="inlineStr">
        <is>
          <t>VÄSTMANLANDS LÄN</t>
        </is>
      </c>
      <c r="E79" t="inlineStr">
        <is>
          <t>SURAHAMMAR</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3595-2022</t>
        </is>
      </c>
      <c r="B80" s="1" t="n">
        <v>44586</v>
      </c>
      <c r="C80" s="1" t="n">
        <v>45884</v>
      </c>
      <c r="D80" t="inlineStr">
        <is>
          <t>VÄSTMANLANDS LÄN</t>
        </is>
      </c>
      <c r="E80" t="inlineStr">
        <is>
          <t>SURAHAMMAR</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45884</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45884</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45884</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45884</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45884</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59543-2020</t>
        </is>
      </c>
      <c r="B86" s="1" t="n">
        <v>44148</v>
      </c>
      <c r="C86" s="1" t="n">
        <v>45884</v>
      </c>
      <c r="D86" t="inlineStr">
        <is>
          <t>VÄSTMANLANDS LÄN</t>
        </is>
      </c>
      <c r="E86" t="inlineStr">
        <is>
          <t>SURAHAMMAR</t>
        </is>
      </c>
      <c r="G86" t="n">
        <v>1.3</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45884</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67611-2021</t>
        </is>
      </c>
      <c r="B88" s="1" t="n">
        <v>44524</v>
      </c>
      <c r="C88" s="1" t="n">
        <v>45884</v>
      </c>
      <c r="D88" t="inlineStr">
        <is>
          <t>VÄSTMANLANDS LÄN</t>
        </is>
      </c>
      <c r="E88" t="inlineStr">
        <is>
          <t>SURAHAMMAR</t>
        </is>
      </c>
      <c r="F88" t="inlineStr">
        <is>
          <t>Kommuner</t>
        </is>
      </c>
      <c r="G88" t="n">
        <v>3.8</v>
      </c>
      <c r="H88" t="n">
        <v>0</v>
      </c>
      <c r="I88" t="n">
        <v>0</v>
      </c>
      <c r="J88" t="n">
        <v>0</v>
      </c>
      <c r="K88" t="n">
        <v>0</v>
      </c>
      <c r="L88" t="n">
        <v>0</v>
      </c>
      <c r="M88" t="n">
        <v>0</v>
      </c>
      <c r="N88" t="n">
        <v>0</v>
      </c>
      <c r="O88" t="n">
        <v>0</v>
      </c>
      <c r="P88" t="n">
        <v>0</v>
      </c>
      <c r="Q88" t="n">
        <v>0</v>
      </c>
      <c r="R88" s="2" t="inlineStr"/>
    </row>
    <row r="89" ht="15" customHeight="1">
      <c r="A89" t="inlineStr">
        <is>
          <t>A 21839-2021</t>
        </is>
      </c>
      <c r="B89" s="1" t="n">
        <v>44322</v>
      </c>
      <c r="C89" s="1" t="n">
        <v>45884</v>
      </c>
      <c r="D89" t="inlineStr">
        <is>
          <t>VÄSTMANLANDS LÄN</t>
        </is>
      </c>
      <c r="E89" t="inlineStr">
        <is>
          <t>SURAHAMMAR</t>
        </is>
      </c>
      <c r="G89" t="n">
        <v>1.6</v>
      </c>
      <c r="H89" t="n">
        <v>0</v>
      </c>
      <c r="I89" t="n">
        <v>0</v>
      </c>
      <c r="J89" t="n">
        <v>0</v>
      </c>
      <c r="K89" t="n">
        <v>0</v>
      </c>
      <c r="L89" t="n">
        <v>0</v>
      </c>
      <c r="M89" t="n">
        <v>0</v>
      </c>
      <c r="N89" t="n">
        <v>0</v>
      </c>
      <c r="O89" t="n">
        <v>0</v>
      </c>
      <c r="P89" t="n">
        <v>0</v>
      </c>
      <c r="Q89" t="n">
        <v>0</v>
      </c>
      <c r="R89" s="2" t="inlineStr"/>
    </row>
    <row r="90" ht="15" customHeight="1">
      <c r="A90" t="inlineStr">
        <is>
          <t>A 43590-2020</t>
        </is>
      </c>
      <c r="B90" s="1" t="n">
        <v>44082</v>
      </c>
      <c r="C90" s="1" t="n">
        <v>45884</v>
      </c>
      <c r="D90" t="inlineStr">
        <is>
          <t>VÄSTMANLANDS LÄN</t>
        </is>
      </c>
      <c r="E90" t="inlineStr">
        <is>
          <t>SURAHAMMAR</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19782-2023</t>
        </is>
      </c>
      <c r="B91" s="1" t="n">
        <v>45050</v>
      </c>
      <c r="C91" s="1" t="n">
        <v>45884</v>
      </c>
      <c r="D91" t="inlineStr">
        <is>
          <t>VÄSTMANLANDS LÄN</t>
        </is>
      </c>
      <c r="E91" t="inlineStr">
        <is>
          <t>SURAHAMMAR</t>
        </is>
      </c>
      <c r="F91" t="inlineStr">
        <is>
          <t>Bergvik skog väst AB</t>
        </is>
      </c>
      <c r="G91" t="n">
        <v>5.2</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45884</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34957-2022</t>
        </is>
      </c>
      <c r="B93" s="1" t="n">
        <v>44796.64672453704</v>
      </c>
      <c r="C93" s="1" t="n">
        <v>45884</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7848-2022</t>
        </is>
      </c>
      <c r="B94" s="1" t="n">
        <v>44608.58400462963</v>
      </c>
      <c r="C94" s="1" t="n">
        <v>45884</v>
      </c>
      <c r="D94" t="inlineStr">
        <is>
          <t>VÄSTMANLANDS LÄN</t>
        </is>
      </c>
      <c r="E94" t="inlineStr">
        <is>
          <t>SURAHAMMAR</t>
        </is>
      </c>
      <c r="G94" t="n">
        <v>2.1</v>
      </c>
      <c r="H94" t="n">
        <v>0</v>
      </c>
      <c r="I94" t="n">
        <v>0</v>
      </c>
      <c r="J94" t="n">
        <v>0</v>
      </c>
      <c r="K94" t="n">
        <v>0</v>
      </c>
      <c r="L94" t="n">
        <v>0</v>
      </c>
      <c r="M94" t="n">
        <v>0</v>
      </c>
      <c r="N94" t="n">
        <v>0</v>
      </c>
      <c r="O94" t="n">
        <v>0</v>
      </c>
      <c r="P94" t="n">
        <v>0</v>
      </c>
      <c r="Q94" t="n">
        <v>0</v>
      </c>
      <c r="R94" s="2" t="inlineStr"/>
    </row>
    <row r="95" ht="15" customHeight="1">
      <c r="A95" t="inlineStr">
        <is>
          <t>A 37287-2023</t>
        </is>
      </c>
      <c r="B95" s="1" t="n">
        <v>45156</v>
      </c>
      <c r="C95" s="1" t="n">
        <v>45884</v>
      </c>
      <c r="D95" t="inlineStr">
        <is>
          <t>VÄSTMANLANDS LÄN</t>
        </is>
      </c>
      <c r="E95" t="inlineStr">
        <is>
          <t>SURAHAMMAR</t>
        </is>
      </c>
      <c r="G95" t="n">
        <v>0.6</v>
      </c>
      <c r="H95" t="n">
        <v>0</v>
      </c>
      <c r="I95" t="n">
        <v>0</v>
      </c>
      <c r="J95" t="n">
        <v>0</v>
      </c>
      <c r="K95" t="n">
        <v>0</v>
      </c>
      <c r="L95" t="n">
        <v>0</v>
      </c>
      <c r="M95" t="n">
        <v>0</v>
      </c>
      <c r="N95" t="n">
        <v>0</v>
      </c>
      <c r="O95" t="n">
        <v>0</v>
      </c>
      <c r="P95" t="n">
        <v>0</v>
      </c>
      <c r="Q95" t="n">
        <v>0</v>
      </c>
      <c r="R95" s="2" t="inlineStr"/>
    </row>
    <row r="96" ht="15" customHeight="1">
      <c r="A96" t="inlineStr">
        <is>
          <t>A 48205-2023</t>
        </is>
      </c>
      <c r="B96" s="1" t="n">
        <v>45205</v>
      </c>
      <c r="C96" s="1" t="n">
        <v>45884</v>
      </c>
      <c r="D96" t="inlineStr">
        <is>
          <t>VÄSTMANLANDS LÄN</t>
        </is>
      </c>
      <c r="E96" t="inlineStr">
        <is>
          <t>SURAHAMMAR</t>
        </is>
      </c>
      <c r="F96" t="inlineStr">
        <is>
          <t>Allmännings- och besparingsskogar</t>
        </is>
      </c>
      <c r="G96" t="n">
        <v>7.6</v>
      </c>
      <c r="H96" t="n">
        <v>0</v>
      </c>
      <c r="I96" t="n">
        <v>0</v>
      </c>
      <c r="J96" t="n">
        <v>0</v>
      </c>
      <c r="K96" t="n">
        <v>0</v>
      </c>
      <c r="L96" t="n">
        <v>0</v>
      </c>
      <c r="M96" t="n">
        <v>0</v>
      </c>
      <c r="N96" t="n">
        <v>0</v>
      </c>
      <c r="O96" t="n">
        <v>0</v>
      </c>
      <c r="P96" t="n">
        <v>0</v>
      </c>
      <c r="Q96" t="n">
        <v>0</v>
      </c>
      <c r="R96" s="2" t="inlineStr"/>
    </row>
    <row r="97" ht="15" customHeight="1">
      <c r="A97" t="inlineStr">
        <is>
          <t>A 15743-2023</t>
        </is>
      </c>
      <c r="B97" s="1" t="n">
        <v>45021</v>
      </c>
      <c r="C97" s="1" t="n">
        <v>45884</v>
      </c>
      <c r="D97" t="inlineStr">
        <is>
          <t>VÄSTMANLANDS LÄN</t>
        </is>
      </c>
      <c r="E97" t="inlineStr">
        <is>
          <t>SURAHAMMAR</t>
        </is>
      </c>
      <c r="G97" t="n">
        <v>0.5</v>
      </c>
      <c r="H97" t="n">
        <v>0</v>
      </c>
      <c r="I97" t="n">
        <v>0</v>
      </c>
      <c r="J97" t="n">
        <v>0</v>
      </c>
      <c r="K97" t="n">
        <v>0</v>
      </c>
      <c r="L97" t="n">
        <v>0</v>
      </c>
      <c r="M97" t="n">
        <v>0</v>
      </c>
      <c r="N97" t="n">
        <v>0</v>
      </c>
      <c r="O97" t="n">
        <v>0</v>
      </c>
      <c r="P97" t="n">
        <v>0</v>
      </c>
      <c r="Q97" t="n">
        <v>0</v>
      </c>
      <c r="R97" s="2" t="inlineStr"/>
    </row>
    <row r="98" ht="15" customHeight="1">
      <c r="A98" t="inlineStr">
        <is>
          <t>A 30076-2023</t>
        </is>
      </c>
      <c r="B98" s="1" t="n">
        <v>45110</v>
      </c>
      <c r="C98" s="1" t="n">
        <v>45884</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24167-2024</t>
        </is>
      </c>
      <c r="B99" s="1" t="n">
        <v>45456</v>
      </c>
      <c r="C99" s="1" t="n">
        <v>45884</v>
      </c>
      <c r="D99" t="inlineStr">
        <is>
          <t>VÄSTMANLANDS LÄN</t>
        </is>
      </c>
      <c r="E99" t="inlineStr">
        <is>
          <t>SURAHAMMAR</t>
        </is>
      </c>
      <c r="G99" t="n">
        <v>0.6</v>
      </c>
      <c r="H99" t="n">
        <v>0</v>
      </c>
      <c r="I99" t="n">
        <v>0</v>
      </c>
      <c r="J99" t="n">
        <v>0</v>
      </c>
      <c r="K99" t="n">
        <v>0</v>
      </c>
      <c r="L99" t="n">
        <v>0</v>
      </c>
      <c r="M99" t="n">
        <v>0</v>
      </c>
      <c r="N99" t="n">
        <v>0</v>
      </c>
      <c r="O99" t="n">
        <v>0</v>
      </c>
      <c r="P99" t="n">
        <v>0</v>
      </c>
      <c r="Q99" t="n">
        <v>0</v>
      </c>
      <c r="R99" s="2" t="inlineStr"/>
    </row>
    <row r="100" ht="15" customHeight="1">
      <c r="A100" t="inlineStr">
        <is>
          <t>A 16608-2022</t>
        </is>
      </c>
      <c r="B100" s="1" t="n">
        <v>44672</v>
      </c>
      <c r="C100" s="1" t="n">
        <v>45884</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45884</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41576-2022</t>
        </is>
      </c>
      <c r="B102" s="1" t="n">
        <v>44826</v>
      </c>
      <c r="C102" s="1" t="n">
        <v>45884</v>
      </c>
      <c r="D102" t="inlineStr">
        <is>
          <t>VÄSTMANLANDS LÄN</t>
        </is>
      </c>
      <c r="E102" t="inlineStr">
        <is>
          <t>SURAHAMMAR</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56378-2023</t>
        </is>
      </c>
      <c r="B103" s="1" t="n">
        <v>45236</v>
      </c>
      <c r="C103" s="1" t="n">
        <v>45884</v>
      </c>
      <c r="D103" t="inlineStr">
        <is>
          <t>VÄSTMANLANDS LÄN</t>
        </is>
      </c>
      <c r="E103" t="inlineStr">
        <is>
          <t>SURAHAMMAR</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52074-2020</t>
        </is>
      </c>
      <c r="B104" s="1" t="n">
        <v>44117</v>
      </c>
      <c r="C104" s="1" t="n">
        <v>45884</v>
      </c>
      <c r="D104" t="inlineStr">
        <is>
          <t>VÄSTMANLANDS LÄN</t>
        </is>
      </c>
      <c r="E104" t="inlineStr">
        <is>
          <t>SURAHAMMAR</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19099-2022</t>
        </is>
      </c>
      <c r="B105" s="1" t="n">
        <v>44691</v>
      </c>
      <c r="C105" s="1" t="n">
        <v>45884</v>
      </c>
      <c r="D105" t="inlineStr">
        <is>
          <t>VÄSTMANLANDS LÄN</t>
        </is>
      </c>
      <c r="E105" t="inlineStr">
        <is>
          <t>SURAHAMMAR</t>
        </is>
      </c>
      <c r="F105" t="inlineStr">
        <is>
          <t>Övriga Aktiebolag</t>
        </is>
      </c>
      <c r="G105" t="n">
        <v>3.4</v>
      </c>
      <c r="H105" t="n">
        <v>0</v>
      </c>
      <c r="I105" t="n">
        <v>0</v>
      </c>
      <c r="J105" t="n">
        <v>0</v>
      </c>
      <c r="K105" t="n">
        <v>0</v>
      </c>
      <c r="L105" t="n">
        <v>0</v>
      </c>
      <c r="M105" t="n">
        <v>0</v>
      </c>
      <c r="N105" t="n">
        <v>0</v>
      </c>
      <c r="O105" t="n">
        <v>0</v>
      </c>
      <c r="P105" t="n">
        <v>0</v>
      </c>
      <c r="Q105" t="n">
        <v>0</v>
      </c>
      <c r="R105" s="2" t="inlineStr"/>
    </row>
    <row r="106" ht="15" customHeight="1">
      <c r="A106" t="inlineStr">
        <is>
          <t>A 11501-2023</t>
        </is>
      </c>
      <c r="B106" s="1" t="n">
        <v>44991</v>
      </c>
      <c r="C106" s="1" t="n">
        <v>45884</v>
      </c>
      <c r="D106" t="inlineStr">
        <is>
          <t>VÄSTMANLANDS LÄN</t>
        </is>
      </c>
      <c r="E106" t="inlineStr">
        <is>
          <t>SURAHAMMAR</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13119-2022</t>
        </is>
      </c>
      <c r="B107" s="1" t="n">
        <v>44643</v>
      </c>
      <c r="C107" s="1" t="n">
        <v>45884</v>
      </c>
      <c r="D107" t="inlineStr">
        <is>
          <t>VÄSTMANLANDS LÄN</t>
        </is>
      </c>
      <c r="E107" t="inlineStr">
        <is>
          <t>SURAHAMMAR</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8553-2023</t>
        </is>
      </c>
      <c r="B108" s="1" t="n">
        <v>44977</v>
      </c>
      <c r="C108" s="1" t="n">
        <v>45884</v>
      </c>
      <c r="D108" t="inlineStr">
        <is>
          <t>VÄSTMANLANDS LÄN</t>
        </is>
      </c>
      <c r="E108" t="inlineStr">
        <is>
          <t>SURAHAMMAR</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19786-2023</t>
        </is>
      </c>
      <c r="B109" s="1" t="n">
        <v>45050</v>
      </c>
      <c r="C109" s="1" t="n">
        <v>45884</v>
      </c>
      <c r="D109" t="inlineStr">
        <is>
          <t>VÄSTMANLANDS LÄN</t>
        </is>
      </c>
      <c r="E109" t="inlineStr">
        <is>
          <t>SURAHAMMAR</t>
        </is>
      </c>
      <c r="F109" t="inlineStr">
        <is>
          <t>Bergvik skog väst AB</t>
        </is>
      </c>
      <c r="G109" t="n">
        <v>8.1</v>
      </c>
      <c r="H109" t="n">
        <v>0</v>
      </c>
      <c r="I109" t="n">
        <v>0</v>
      </c>
      <c r="J109" t="n">
        <v>0</v>
      </c>
      <c r="K109" t="n">
        <v>0</v>
      </c>
      <c r="L109" t="n">
        <v>0</v>
      </c>
      <c r="M109" t="n">
        <v>0</v>
      </c>
      <c r="N109" t="n">
        <v>0</v>
      </c>
      <c r="O109" t="n">
        <v>0</v>
      </c>
      <c r="P109" t="n">
        <v>0</v>
      </c>
      <c r="Q109" t="n">
        <v>0</v>
      </c>
      <c r="R109" s="2" t="inlineStr"/>
    </row>
    <row r="110" ht="15" customHeight="1">
      <c r="A110" t="inlineStr">
        <is>
          <t>A 10396-2025</t>
        </is>
      </c>
      <c r="B110" s="1" t="n">
        <v>45720.60721064815</v>
      </c>
      <c r="C110" s="1" t="n">
        <v>45884</v>
      </c>
      <c r="D110" t="inlineStr">
        <is>
          <t>VÄSTMANLANDS LÄN</t>
        </is>
      </c>
      <c r="E110" t="inlineStr">
        <is>
          <t>SURAHAMMAR</t>
        </is>
      </c>
      <c r="F110" t="inlineStr">
        <is>
          <t>Allmännings- och besparingsskogar</t>
        </is>
      </c>
      <c r="G110" t="n">
        <v>9.300000000000001</v>
      </c>
      <c r="H110" t="n">
        <v>0</v>
      </c>
      <c r="I110" t="n">
        <v>0</v>
      </c>
      <c r="J110" t="n">
        <v>0</v>
      </c>
      <c r="K110" t="n">
        <v>0</v>
      </c>
      <c r="L110" t="n">
        <v>0</v>
      </c>
      <c r="M110" t="n">
        <v>0</v>
      </c>
      <c r="N110" t="n">
        <v>0</v>
      </c>
      <c r="O110" t="n">
        <v>0</v>
      </c>
      <c r="P110" t="n">
        <v>0</v>
      </c>
      <c r="Q110" t="n">
        <v>0</v>
      </c>
      <c r="R110" s="2" t="inlineStr"/>
    </row>
    <row r="111" ht="15" customHeight="1">
      <c r="A111" t="inlineStr">
        <is>
          <t>A 44353-2024</t>
        </is>
      </c>
      <c r="B111" s="1" t="n">
        <v>45573</v>
      </c>
      <c r="C111" s="1" t="n">
        <v>45884</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44357-2024</t>
        </is>
      </c>
      <c r="B112" s="1" t="n">
        <v>45573</v>
      </c>
      <c r="C112" s="1" t="n">
        <v>45884</v>
      </c>
      <c r="D112" t="inlineStr">
        <is>
          <t>VÄSTMANLANDS LÄN</t>
        </is>
      </c>
      <c r="E112" t="inlineStr">
        <is>
          <t>SURAHAMMAR</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72367-2021</t>
        </is>
      </c>
      <c r="B113" s="1" t="n">
        <v>44545</v>
      </c>
      <c r="C113" s="1" t="n">
        <v>45884</v>
      </c>
      <c r="D113" t="inlineStr">
        <is>
          <t>VÄSTMANLANDS LÄN</t>
        </is>
      </c>
      <c r="E113" t="inlineStr">
        <is>
          <t>SURAHAMMAR</t>
        </is>
      </c>
      <c r="G113" t="n">
        <v>2.5</v>
      </c>
      <c r="H113" t="n">
        <v>0</v>
      </c>
      <c r="I113" t="n">
        <v>0</v>
      </c>
      <c r="J113" t="n">
        <v>0</v>
      </c>
      <c r="K113" t="n">
        <v>0</v>
      </c>
      <c r="L113" t="n">
        <v>0</v>
      </c>
      <c r="M113" t="n">
        <v>0</v>
      </c>
      <c r="N113" t="n">
        <v>0</v>
      </c>
      <c r="O113" t="n">
        <v>0</v>
      </c>
      <c r="P113" t="n">
        <v>0</v>
      </c>
      <c r="Q113" t="n">
        <v>0</v>
      </c>
      <c r="R113" s="2" t="inlineStr"/>
    </row>
    <row r="114" ht="15" customHeight="1">
      <c r="A114" t="inlineStr">
        <is>
          <t>A 3818-2022</t>
        </is>
      </c>
      <c r="B114" s="1" t="n">
        <v>44587</v>
      </c>
      <c r="C114" s="1" t="n">
        <v>45884</v>
      </c>
      <c r="D114" t="inlineStr">
        <is>
          <t>VÄSTMANLANDS LÄN</t>
        </is>
      </c>
      <c r="E114" t="inlineStr">
        <is>
          <t>SURAHAMMAR</t>
        </is>
      </c>
      <c r="G114" t="n">
        <v>2.6</v>
      </c>
      <c r="H114" t="n">
        <v>0</v>
      </c>
      <c r="I114" t="n">
        <v>0</v>
      </c>
      <c r="J114" t="n">
        <v>0</v>
      </c>
      <c r="K114" t="n">
        <v>0</v>
      </c>
      <c r="L114" t="n">
        <v>0</v>
      </c>
      <c r="M114" t="n">
        <v>0</v>
      </c>
      <c r="N114" t="n">
        <v>0</v>
      </c>
      <c r="O114" t="n">
        <v>0</v>
      </c>
      <c r="P114" t="n">
        <v>0</v>
      </c>
      <c r="Q114" t="n">
        <v>0</v>
      </c>
      <c r="R114" s="2" t="inlineStr"/>
    </row>
    <row r="115" ht="15" customHeight="1">
      <c r="A115" t="inlineStr">
        <is>
          <t>A 33931-2022</t>
        </is>
      </c>
      <c r="B115" s="1" t="n">
        <v>44790.65153935185</v>
      </c>
      <c r="C115" s="1" t="n">
        <v>45884</v>
      </c>
      <c r="D115" t="inlineStr">
        <is>
          <t>VÄSTMANLANDS LÄN</t>
        </is>
      </c>
      <c r="E115" t="inlineStr">
        <is>
          <t>SURAHAMMAR</t>
        </is>
      </c>
      <c r="G115" t="n">
        <v>2.2</v>
      </c>
      <c r="H115" t="n">
        <v>0</v>
      </c>
      <c r="I115" t="n">
        <v>0</v>
      </c>
      <c r="J115" t="n">
        <v>0</v>
      </c>
      <c r="K115" t="n">
        <v>0</v>
      </c>
      <c r="L115" t="n">
        <v>0</v>
      </c>
      <c r="M115" t="n">
        <v>0</v>
      </c>
      <c r="N115" t="n">
        <v>0</v>
      </c>
      <c r="O115" t="n">
        <v>0</v>
      </c>
      <c r="P115" t="n">
        <v>0</v>
      </c>
      <c r="Q115" t="n">
        <v>0</v>
      </c>
      <c r="R115" s="2" t="inlineStr"/>
    </row>
    <row r="116" ht="15" customHeight="1">
      <c r="A116" t="inlineStr">
        <is>
          <t>A 7787-2024</t>
        </is>
      </c>
      <c r="B116" s="1" t="n">
        <v>45348</v>
      </c>
      <c r="C116" s="1" t="n">
        <v>45884</v>
      </c>
      <c r="D116" t="inlineStr">
        <is>
          <t>VÄSTMANLANDS LÄN</t>
        </is>
      </c>
      <c r="E116" t="inlineStr">
        <is>
          <t>SURAHAMMAR</t>
        </is>
      </c>
      <c r="G116" t="n">
        <v>1</v>
      </c>
      <c r="H116" t="n">
        <v>0</v>
      </c>
      <c r="I116" t="n">
        <v>0</v>
      </c>
      <c r="J116" t="n">
        <v>0</v>
      </c>
      <c r="K116" t="n">
        <v>0</v>
      </c>
      <c r="L116" t="n">
        <v>0</v>
      </c>
      <c r="M116" t="n">
        <v>0</v>
      </c>
      <c r="N116" t="n">
        <v>0</v>
      </c>
      <c r="O116" t="n">
        <v>0</v>
      </c>
      <c r="P116" t="n">
        <v>0</v>
      </c>
      <c r="Q116" t="n">
        <v>0</v>
      </c>
      <c r="R116" s="2" t="inlineStr"/>
    </row>
    <row r="117" ht="15" customHeight="1">
      <c r="A117" t="inlineStr">
        <is>
          <t>A 13796-2025</t>
        </is>
      </c>
      <c r="B117" s="1" t="n">
        <v>45737.47846064815</v>
      </c>
      <c r="C117" s="1" t="n">
        <v>45884</v>
      </c>
      <c r="D117" t="inlineStr">
        <is>
          <t>VÄSTMANLANDS LÄN</t>
        </is>
      </c>
      <c r="E117" t="inlineStr">
        <is>
          <t>SURAHAMMAR</t>
        </is>
      </c>
      <c r="G117" t="n">
        <v>3.3</v>
      </c>
      <c r="H117" t="n">
        <v>0</v>
      </c>
      <c r="I117" t="n">
        <v>0</v>
      </c>
      <c r="J117" t="n">
        <v>0</v>
      </c>
      <c r="K117" t="n">
        <v>0</v>
      </c>
      <c r="L117" t="n">
        <v>0</v>
      </c>
      <c r="M117" t="n">
        <v>0</v>
      </c>
      <c r="N117" t="n">
        <v>0</v>
      </c>
      <c r="O117" t="n">
        <v>0</v>
      </c>
      <c r="P117" t="n">
        <v>0</v>
      </c>
      <c r="Q117" t="n">
        <v>0</v>
      </c>
      <c r="R117" s="2" t="inlineStr"/>
    </row>
    <row r="118" ht="15" customHeight="1">
      <c r="A118" t="inlineStr">
        <is>
          <t>A 24158-2023</t>
        </is>
      </c>
      <c r="B118" s="1" t="n">
        <v>45079</v>
      </c>
      <c r="C118" s="1" t="n">
        <v>45884</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25417-2024</t>
        </is>
      </c>
      <c r="B119" s="1" t="n">
        <v>45463</v>
      </c>
      <c r="C119" s="1" t="n">
        <v>45884</v>
      </c>
      <c r="D119" t="inlineStr">
        <is>
          <t>VÄSTMANLANDS LÄN</t>
        </is>
      </c>
      <c r="E119" t="inlineStr">
        <is>
          <t>SURAHAMMAR</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42714-2022</t>
        </is>
      </c>
      <c r="B120" s="1" t="n">
        <v>44832</v>
      </c>
      <c r="C120" s="1" t="n">
        <v>45884</v>
      </c>
      <c r="D120" t="inlineStr">
        <is>
          <t>VÄSTMANLANDS LÄN</t>
        </is>
      </c>
      <c r="E120" t="inlineStr">
        <is>
          <t>SURAHAMMAR</t>
        </is>
      </c>
      <c r="G120" t="n">
        <v>1.1</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44799.60422453703</v>
      </c>
      <c r="C121" s="1" t="n">
        <v>45884</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45884</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5567-2022</t>
        </is>
      </c>
      <c r="B123" s="1" t="n">
        <v>44595</v>
      </c>
      <c r="C123" s="1" t="n">
        <v>45884</v>
      </c>
      <c r="D123" t="inlineStr">
        <is>
          <t>VÄSTMANLANDS LÄN</t>
        </is>
      </c>
      <c r="E123" t="inlineStr">
        <is>
          <t>SURAHAMMAR</t>
        </is>
      </c>
      <c r="G123" t="n">
        <v>1.3</v>
      </c>
      <c r="H123" t="n">
        <v>0</v>
      </c>
      <c r="I123" t="n">
        <v>0</v>
      </c>
      <c r="J123" t="n">
        <v>0</v>
      </c>
      <c r="K123" t="n">
        <v>0</v>
      </c>
      <c r="L123" t="n">
        <v>0</v>
      </c>
      <c r="M123" t="n">
        <v>0</v>
      </c>
      <c r="N123" t="n">
        <v>0</v>
      </c>
      <c r="O123" t="n">
        <v>0</v>
      </c>
      <c r="P123" t="n">
        <v>0</v>
      </c>
      <c r="Q123" t="n">
        <v>0</v>
      </c>
      <c r="R123" s="2" t="inlineStr"/>
    </row>
    <row r="124" ht="15" customHeight="1">
      <c r="A124" t="inlineStr">
        <is>
          <t>A 42832-2022</t>
        </is>
      </c>
      <c r="B124" s="1" t="n">
        <v>44832</v>
      </c>
      <c r="C124" s="1" t="n">
        <v>45884</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44358-2024</t>
        </is>
      </c>
      <c r="B125" s="1" t="n">
        <v>45573</v>
      </c>
      <c r="C125" s="1" t="n">
        <v>45884</v>
      </c>
      <c r="D125" t="inlineStr">
        <is>
          <t>VÄSTMANLANDS LÄN</t>
        </is>
      </c>
      <c r="E125" t="inlineStr">
        <is>
          <t>SURAHAMMAR</t>
        </is>
      </c>
      <c r="F125" t="inlineStr">
        <is>
          <t>Sveaskog</t>
        </is>
      </c>
      <c r="G125" t="n">
        <v>0.9</v>
      </c>
      <c r="H125" t="n">
        <v>0</v>
      </c>
      <c r="I125" t="n">
        <v>0</v>
      </c>
      <c r="J125" t="n">
        <v>0</v>
      </c>
      <c r="K125" t="n">
        <v>0</v>
      </c>
      <c r="L125" t="n">
        <v>0</v>
      </c>
      <c r="M125" t="n">
        <v>0</v>
      </c>
      <c r="N125" t="n">
        <v>0</v>
      </c>
      <c r="O125" t="n">
        <v>0</v>
      </c>
      <c r="P125" t="n">
        <v>0</v>
      </c>
      <c r="Q125" t="n">
        <v>0</v>
      </c>
      <c r="R125" s="2" t="inlineStr"/>
    </row>
    <row r="126" ht="15" customHeight="1">
      <c r="A126" t="inlineStr">
        <is>
          <t>A 44359-2024</t>
        </is>
      </c>
      <c r="B126" s="1" t="n">
        <v>45573</v>
      </c>
      <c r="C126" s="1" t="n">
        <v>45884</v>
      </c>
      <c r="D126" t="inlineStr">
        <is>
          <t>VÄSTMANLANDS LÄN</t>
        </is>
      </c>
      <c r="E126" t="inlineStr">
        <is>
          <t>SURAHAMMAR</t>
        </is>
      </c>
      <c r="F126" t="inlineStr">
        <is>
          <t>Sveaskog</t>
        </is>
      </c>
      <c r="G126" t="n">
        <v>2.7</v>
      </c>
      <c r="H126" t="n">
        <v>0</v>
      </c>
      <c r="I126" t="n">
        <v>0</v>
      </c>
      <c r="J126" t="n">
        <v>0</v>
      </c>
      <c r="K126" t="n">
        <v>0</v>
      </c>
      <c r="L126" t="n">
        <v>0</v>
      </c>
      <c r="M126" t="n">
        <v>0</v>
      </c>
      <c r="N126" t="n">
        <v>0</v>
      </c>
      <c r="O126" t="n">
        <v>0</v>
      </c>
      <c r="P126" t="n">
        <v>0</v>
      </c>
      <c r="Q126" t="n">
        <v>0</v>
      </c>
      <c r="R126" s="2" t="inlineStr"/>
    </row>
    <row r="127" ht="15" customHeight="1">
      <c r="A127" t="inlineStr">
        <is>
          <t>A 24665-2023</t>
        </is>
      </c>
      <c r="B127" s="1" t="n">
        <v>45084.48592592592</v>
      </c>
      <c r="C127" s="1" t="n">
        <v>45884</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32808-2024</t>
        </is>
      </c>
      <c r="B128" s="1" t="n">
        <v>45516</v>
      </c>
      <c r="C128" s="1" t="n">
        <v>45884</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42841-2022</t>
        </is>
      </c>
      <c r="B129" s="1" t="n">
        <v>44832</v>
      </c>
      <c r="C129" s="1" t="n">
        <v>45884</v>
      </c>
      <c r="D129" t="inlineStr">
        <is>
          <t>VÄSTMANLANDS LÄN</t>
        </is>
      </c>
      <c r="E129" t="inlineStr">
        <is>
          <t>SURAHAMMAR</t>
        </is>
      </c>
      <c r="G129" t="n">
        <v>1.8</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45884</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21509-2024</t>
        </is>
      </c>
      <c r="B131" s="1" t="n">
        <v>45441</v>
      </c>
      <c r="C131" s="1" t="n">
        <v>45884</v>
      </c>
      <c r="D131" t="inlineStr">
        <is>
          <t>VÄSTMANLANDS LÄN</t>
        </is>
      </c>
      <c r="E131" t="inlineStr">
        <is>
          <t>SURAHAMMAR</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22662-2023</t>
        </is>
      </c>
      <c r="B132" s="1" t="n">
        <v>45071</v>
      </c>
      <c r="C132" s="1" t="n">
        <v>45884</v>
      </c>
      <c r="D132" t="inlineStr">
        <is>
          <t>VÄSTMANLANDS LÄN</t>
        </is>
      </c>
      <c r="E132" t="inlineStr">
        <is>
          <t>SURAHAMMAR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16013-2023</t>
        </is>
      </c>
      <c r="B133" s="1" t="n">
        <v>45026</v>
      </c>
      <c r="C133" s="1" t="n">
        <v>45884</v>
      </c>
      <c r="D133" t="inlineStr">
        <is>
          <t>VÄSTMANLANDS LÄN</t>
        </is>
      </c>
      <c r="E133" t="inlineStr">
        <is>
          <t>SURAHAMMAR</t>
        </is>
      </c>
      <c r="G133" t="n">
        <v>3.9</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45884</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41555-2022</t>
        </is>
      </c>
      <c r="B135" s="1" t="n">
        <v>44826</v>
      </c>
      <c r="C135" s="1" t="n">
        <v>45884</v>
      </c>
      <c r="D135" t="inlineStr">
        <is>
          <t>VÄSTMANLANDS LÄN</t>
        </is>
      </c>
      <c r="E135" t="inlineStr">
        <is>
          <t>SURAHAMMAR</t>
        </is>
      </c>
      <c r="F135" t="inlineStr">
        <is>
          <t>Bergvik skog väst AB</t>
        </is>
      </c>
      <c r="G135" t="n">
        <v>1.7</v>
      </c>
      <c r="H135" t="n">
        <v>0</v>
      </c>
      <c r="I135" t="n">
        <v>0</v>
      </c>
      <c r="J135" t="n">
        <v>0</v>
      </c>
      <c r="K135" t="n">
        <v>0</v>
      </c>
      <c r="L135" t="n">
        <v>0</v>
      </c>
      <c r="M135" t="n">
        <v>0</v>
      </c>
      <c r="N135" t="n">
        <v>0</v>
      </c>
      <c r="O135" t="n">
        <v>0</v>
      </c>
      <c r="P135" t="n">
        <v>0</v>
      </c>
      <c r="Q135" t="n">
        <v>0</v>
      </c>
      <c r="R135" s="2" t="inlineStr"/>
    </row>
    <row r="136" ht="15" customHeight="1">
      <c r="A136" t="inlineStr">
        <is>
          <t>A 3085-2023</t>
        </is>
      </c>
      <c r="B136" s="1" t="n">
        <v>44946</v>
      </c>
      <c r="C136" s="1" t="n">
        <v>45884</v>
      </c>
      <c r="D136" t="inlineStr">
        <is>
          <t>VÄSTMANLANDS LÄN</t>
        </is>
      </c>
      <c r="E136" t="inlineStr">
        <is>
          <t>SURAHAMMAR</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25780-2023</t>
        </is>
      </c>
      <c r="B137" s="1" t="n">
        <v>45090.47523148148</v>
      </c>
      <c r="C137" s="1" t="n">
        <v>45884</v>
      </c>
      <c r="D137" t="inlineStr">
        <is>
          <t>VÄSTMANLANDS LÄN</t>
        </is>
      </c>
      <c r="E137" t="inlineStr">
        <is>
          <t>SURAHAMMAR</t>
        </is>
      </c>
      <c r="G137" t="n">
        <v>2.8</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45884</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45884</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13386-2025</t>
        </is>
      </c>
      <c r="B140" s="1" t="n">
        <v>45735</v>
      </c>
      <c r="C140" s="1" t="n">
        <v>45884</v>
      </c>
      <c r="D140" t="inlineStr">
        <is>
          <t>VÄSTMANLANDS LÄN</t>
        </is>
      </c>
      <c r="E140" t="inlineStr">
        <is>
          <t>SURAHAMMAR</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47785-2021</t>
        </is>
      </c>
      <c r="B141" s="1" t="n">
        <v>44448</v>
      </c>
      <c r="C141" s="1" t="n">
        <v>45884</v>
      </c>
      <c r="D141" t="inlineStr">
        <is>
          <t>VÄSTMANLANDS LÄN</t>
        </is>
      </c>
      <c r="E141" t="inlineStr">
        <is>
          <t>SURAHAMMAR</t>
        </is>
      </c>
      <c r="F141" t="inlineStr">
        <is>
          <t>Kommuner</t>
        </is>
      </c>
      <c r="G141" t="n">
        <v>3.3</v>
      </c>
      <c r="H141" t="n">
        <v>0</v>
      </c>
      <c r="I141" t="n">
        <v>0</v>
      </c>
      <c r="J141" t="n">
        <v>0</v>
      </c>
      <c r="K141" t="n">
        <v>0</v>
      </c>
      <c r="L141" t="n">
        <v>0</v>
      </c>
      <c r="M141" t="n">
        <v>0</v>
      </c>
      <c r="N141" t="n">
        <v>0</v>
      </c>
      <c r="O141" t="n">
        <v>0</v>
      </c>
      <c r="P141" t="n">
        <v>0</v>
      </c>
      <c r="Q141" t="n">
        <v>0</v>
      </c>
      <c r="R141" s="2" t="inlineStr"/>
    </row>
    <row r="142" ht="15" customHeight="1">
      <c r="A142" t="inlineStr">
        <is>
          <t>A 34955-2022</t>
        </is>
      </c>
      <c r="B142" s="1" t="n">
        <v>44796</v>
      </c>
      <c r="C142" s="1" t="n">
        <v>45884</v>
      </c>
      <c r="D142" t="inlineStr">
        <is>
          <t>VÄSTMANLANDS LÄN</t>
        </is>
      </c>
      <c r="E142" t="inlineStr">
        <is>
          <t>SURAHAMMAR</t>
        </is>
      </c>
      <c r="F142" t="inlineStr">
        <is>
          <t>Sveaskog</t>
        </is>
      </c>
      <c r="G142" t="n">
        <v>4.6</v>
      </c>
      <c r="H142" t="n">
        <v>0</v>
      </c>
      <c r="I142" t="n">
        <v>0</v>
      </c>
      <c r="J142" t="n">
        <v>0</v>
      </c>
      <c r="K142" t="n">
        <v>0</v>
      </c>
      <c r="L142" t="n">
        <v>0</v>
      </c>
      <c r="M142" t="n">
        <v>0</v>
      </c>
      <c r="N142" t="n">
        <v>0</v>
      </c>
      <c r="O142" t="n">
        <v>0</v>
      </c>
      <c r="P142" t="n">
        <v>0</v>
      </c>
      <c r="Q142" t="n">
        <v>0</v>
      </c>
      <c r="R142" s="2" t="inlineStr"/>
    </row>
    <row r="143" ht="15" customHeight="1">
      <c r="A143" t="inlineStr">
        <is>
          <t>A 20904-2023</t>
        </is>
      </c>
      <c r="B143" s="1" t="n">
        <v>45060</v>
      </c>
      <c r="C143" s="1" t="n">
        <v>45884</v>
      </c>
      <c r="D143" t="inlineStr">
        <is>
          <t>VÄSTMANLANDS LÄN</t>
        </is>
      </c>
      <c r="E143" t="inlineStr">
        <is>
          <t>SURAHAMMAR</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10883-2023</t>
        </is>
      </c>
      <c r="B144" s="1" t="n">
        <v>44991</v>
      </c>
      <c r="C144" s="1" t="n">
        <v>45884</v>
      </c>
      <c r="D144" t="inlineStr">
        <is>
          <t>VÄSTMANLANDS LÄN</t>
        </is>
      </c>
      <c r="E144" t="inlineStr">
        <is>
          <t>SURAHAMMAR</t>
        </is>
      </c>
      <c r="F144" t="inlineStr">
        <is>
          <t>Övriga Aktiebolag</t>
        </is>
      </c>
      <c r="G144" t="n">
        <v>12.5</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45884</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15739-2023</t>
        </is>
      </c>
      <c r="B146" s="1" t="n">
        <v>45021</v>
      </c>
      <c r="C146" s="1" t="n">
        <v>45884</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38154-2021</t>
        </is>
      </c>
      <c r="B147" s="1" t="n">
        <v>44405.42373842592</v>
      </c>
      <c r="C147" s="1" t="n">
        <v>45884</v>
      </c>
      <c r="D147" t="inlineStr">
        <is>
          <t>VÄSTMANLANDS LÄN</t>
        </is>
      </c>
      <c r="E147" t="inlineStr">
        <is>
          <t>SURAHAMMAR</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14626-2023</t>
        </is>
      </c>
      <c r="B148" s="1" t="n">
        <v>45012</v>
      </c>
      <c r="C148" s="1" t="n">
        <v>45884</v>
      </c>
      <c r="D148" t="inlineStr">
        <is>
          <t>VÄSTMANLANDS LÄN</t>
        </is>
      </c>
      <c r="E148" t="inlineStr">
        <is>
          <t>SURAHAMMAR</t>
        </is>
      </c>
      <c r="F148" t="inlineStr">
        <is>
          <t>Bergvik skog väst AB</t>
        </is>
      </c>
      <c r="G148" t="n">
        <v>5</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45884</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34582-2025</t>
        </is>
      </c>
      <c r="B150" s="1" t="n">
        <v>45846</v>
      </c>
      <c r="C150" s="1" t="n">
        <v>45884</v>
      </c>
      <c r="D150" t="inlineStr">
        <is>
          <t>VÄSTMANLANDS LÄN</t>
        </is>
      </c>
      <c r="E150" t="inlineStr">
        <is>
          <t>SURAHAMMAR</t>
        </is>
      </c>
      <c r="F150" t="inlineStr">
        <is>
          <t>Bergvik skog väst AB</t>
        </is>
      </c>
      <c r="G150" t="n">
        <v>2.6</v>
      </c>
      <c r="H150" t="n">
        <v>0</v>
      </c>
      <c r="I150" t="n">
        <v>0</v>
      </c>
      <c r="J150" t="n">
        <v>0</v>
      </c>
      <c r="K150" t="n">
        <v>0</v>
      </c>
      <c r="L150" t="n">
        <v>0</v>
      </c>
      <c r="M150" t="n">
        <v>0</v>
      </c>
      <c r="N150" t="n">
        <v>0</v>
      </c>
      <c r="O150" t="n">
        <v>0</v>
      </c>
      <c r="P150" t="n">
        <v>0</v>
      </c>
      <c r="Q150" t="n">
        <v>0</v>
      </c>
      <c r="R150" s="2" t="inlineStr"/>
    </row>
    <row r="151" ht="15" customHeight="1">
      <c r="A151" t="inlineStr">
        <is>
          <t>A 34584-2025</t>
        </is>
      </c>
      <c r="B151" s="1" t="n">
        <v>45846</v>
      </c>
      <c r="C151" s="1" t="n">
        <v>45884</v>
      </c>
      <c r="D151" t="inlineStr">
        <is>
          <t>VÄSTMANLANDS LÄN</t>
        </is>
      </c>
      <c r="E151" t="inlineStr">
        <is>
          <t>SURAHAMMAR</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25450-2024</t>
        </is>
      </c>
      <c r="B152" s="1" t="n">
        <v>45463</v>
      </c>
      <c r="C152" s="1" t="n">
        <v>45884</v>
      </c>
      <c r="D152" t="inlineStr">
        <is>
          <t>VÄSTMANLANDS LÄN</t>
        </is>
      </c>
      <c r="E152" t="inlineStr">
        <is>
          <t>SURAHAMMAR</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37013-2025</t>
        </is>
      </c>
      <c r="B153" s="1" t="n">
        <v>45874</v>
      </c>
      <c r="C153" s="1" t="n">
        <v>45884</v>
      </c>
      <c r="D153" t="inlineStr">
        <is>
          <t>VÄSTMANLANDS LÄN</t>
        </is>
      </c>
      <c r="E153" t="inlineStr">
        <is>
          <t>SURAHAMMAR</t>
        </is>
      </c>
      <c r="F153" t="inlineStr">
        <is>
          <t>Bergvik skog väst AB</t>
        </is>
      </c>
      <c r="G153" t="n">
        <v>10.7</v>
      </c>
      <c r="H153" t="n">
        <v>0</v>
      </c>
      <c r="I153" t="n">
        <v>0</v>
      </c>
      <c r="J153" t="n">
        <v>0</v>
      </c>
      <c r="K153" t="n">
        <v>0</v>
      </c>
      <c r="L153" t="n">
        <v>0</v>
      </c>
      <c r="M153" t="n">
        <v>0</v>
      </c>
      <c r="N153" t="n">
        <v>0</v>
      </c>
      <c r="O153" t="n">
        <v>0</v>
      </c>
      <c r="P153" t="n">
        <v>0</v>
      </c>
      <c r="Q153" t="n">
        <v>0</v>
      </c>
      <c r="R153" s="2" t="inlineStr"/>
    </row>
    <row r="154">
      <c r="A154" t="inlineStr">
        <is>
          <t>A 37954-2025</t>
        </is>
      </c>
      <c r="B154" s="1" t="n">
        <v>45881</v>
      </c>
      <c r="C154" s="1" t="n">
        <v>45884</v>
      </c>
      <c r="D154" t="inlineStr">
        <is>
          <t>VÄSTMANLANDS LÄN</t>
        </is>
      </c>
      <c r="E154" t="inlineStr">
        <is>
          <t>SURAHAMMAR</t>
        </is>
      </c>
      <c r="G154" t="n">
        <v>9.5</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2025-08-15T08:29:40Z</dcterms:created>
  <dcterms:modified xmlns:dcterms="http://purl.org/dc/terms/" xmlns:xsi="http://www.w3.org/2001/XMLSchema-instance" xsi:type="dcterms:W3CDTF">2025-08-15T08:29:40Z</dcterms:modified>
</cp:coreProperties>
</file>