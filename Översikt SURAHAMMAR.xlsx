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45628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45628</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45628</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45628</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45628</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45628</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45628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45628</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45628</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45628</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45628</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45628</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45628</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45628</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45628</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45628</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45628</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45628</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45628</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45628</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45628</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45628</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45628</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45628</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45628</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45628</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45628</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45628</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45628</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45628</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59550-2020</t>
        </is>
      </c>
      <c r="B32" s="1" t="n">
        <v>44148</v>
      </c>
      <c r="C32" s="1" t="n">
        <v>45628</v>
      </c>
      <c r="D32" t="inlineStr">
        <is>
          <t>VÄSTMANLANDS LÄN</t>
        </is>
      </c>
      <c r="E32" t="inlineStr">
        <is>
          <t>SURAHAMMAR</t>
        </is>
      </c>
      <c r="G32" t="n">
        <v>0.8</v>
      </c>
      <c r="H32" t="n">
        <v>1</v>
      </c>
      <c r="I32" t="n">
        <v>1</v>
      </c>
      <c r="J32" t="n">
        <v>1</v>
      </c>
      <c r="K32" t="n">
        <v>0</v>
      </c>
      <c r="L32" t="n">
        <v>0</v>
      </c>
      <c r="M32" t="n">
        <v>0</v>
      </c>
      <c r="N32" t="n">
        <v>0</v>
      </c>
      <c r="O32" t="n">
        <v>1</v>
      </c>
      <c r="P32" t="n">
        <v>0</v>
      </c>
      <c r="Q32" t="n">
        <v>3</v>
      </c>
      <c r="R32" s="2" t="inlineStr">
        <is>
          <t>Ljusskivig lerskivling
Hasselticka
Blåsippa</t>
        </is>
      </c>
      <c r="S32">
        <f>HYPERLINK("https://klasma.github.io/Logging_1907/artfynd/A 59550-2020 artfynd.xlsx", "A 59550-2020")</f>
        <v/>
      </c>
      <c r="T32">
        <f>HYPERLINK("https://klasma.github.io/Logging_1907/kartor/A 59550-2020 karta.png", "A 59550-2020")</f>
        <v/>
      </c>
      <c r="V32">
        <f>HYPERLINK("https://klasma.github.io/Logging_1907/klagomål/A 59550-2020 FSC-klagomål.docx", "A 59550-2020")</f>
        <v/>
      </c>
      <c r="W32">
        <f>HYPERLINK("https://klasma.github.io/Logging_1907/klagomålsmail/A 59550-2020 FSC-klagomål mail.docx", "A 59550-2020")</f>
        <v/>
      </c>
      <c r="X32">
        <f>HYPERLINK("https://klasma.github.io/Logging_1907/tillsyn/A 59550-2020 tillsynsbegäran.docx", "A 59550-2020")</f>
        <v/>
      </c>
      <c r="Y32">
        <f>HYPERLINK("https://klasma.github.io/Logging_1907/tillsynsmail/A 59550-2020 tillsynsbegäran mail.docx", "A 59550-2020")</f>
        <v/>
      </c>
    </row>
    <row r="33" ht="15" customHeight="1">
      <c r="A33" t="inlineStr">
        <is>
          <t>A 38200-2021</t>
        </is>
      </c>
      <c r="B33" s="1" t="n">
        <v>44405</v>
      </c>
      <c r="C33" s="1" t="n">
        <v>45628</v>
      </c>
      <c r="D33" t="inlineStr">
        <is>
          <t>VÄSTMANLANDS LÄN</t>
        </is>
      </c>
      <c r="E33" t="inlineStr">
        <is>
          <t>SURAHAMMAR</t>
        </is>
      </c>
      <c r="F33" t="inlineStr">
        <is>
          <t>Sveaskog</t>
        </is>
      </c>
      <c r="G33" t="n">
        <v>1.5</v>
      </c>
      <c r="H33" t="n">
        <v>1</v>
      </c>
      <c r="I33" t="n">
        <v>0</v>
      </c>
      <c r="J33" t="n">
        <v>1</v>
      </c>
      <c r="K33" t="n">
        <v>1</v>
      </c>
      <c r="L33" t="n">
        <v>0</v>
      </c>
      <c r="M33" t="n">
        <v>0</v>
      </c>
      <c r="N33" t="n">
        <v>0</v>
      </c>
      <c r="O33" t="n">
        <v>2</v>
      </c>
      <c r="P33" t="n">
        <v>1</v>
      </c>
      <c r="Q33" t="n">
        <v>3</v>
      </c>
      <c r="R33" s="2" t="inlineStr">
        <is>
          <t>Vågticka
Svinrot
Kopparödla</t>
        </is>
      </c>
      <c r="S33">
        <f>HYPERLINK("https://klasma.github.io/Logging_1907/artfynd/A 38200-2021 artfynd.xlsx", "A 38200-2021")</f>
        <v/>
      </c>
      <c r="T33">
        <f>HYPERLINK("https://klasma.github.io/Logging_1907/kartor/A 38200-2021 karta.png", "A 38200-2021")</f>
        <v/>
      </c>
      <c r="V33">
        <f>HYPERLINK("https://klasma.github.io/Logging_1907/klagomål/A 38200-2021 FSC-klagomål.docx", "A 38200-2021")</f>
        <v/>
      </c>
      <c r="W33">
        <f>HYPERLINK("https://klasma.github.io/Logging_1907/klagomålsmail/A 38200-2021 FSC-klagomål mail.docx", "A 38200-2021")</f>
        <v/>
      </c>
      <c r="X33">
        <f>HYPERLINK("https://klasma.github.io/Logging_1907/tillsyn/A 38200-2021 tillsynsbegäran.docx", "A 38200-2021")</f>
        <v/>
      </c>
      <c r="Y33">
        <f>HYPERLINK("https://klasma.github.io/Logging_1907/tillsynsmail/A 38200-2021 tillsynsbegäran mail.docx", "A 38200-2021")</f>
        <v/>
      </c>
    </row>
    <row r="34" ht="15" customHeight="1">
      <c r="A34" t="inlineStr">
        <is>
          <t>A 8552-2022</t>
        </is>
      </c>
      <c r="B34" s="1" t="n">
        <v>44613</v>
      </c>
      <c r="C34" s="1" t="n">
        <v>45628</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42708-2022</t>
        </is>
      </c>
      <c r="B35" s="1" t="n">
        <v>44832</v>
      </c>
      <c r="C35" s="1" t="n">
        <v>45628</v>
      </c>
      <c r="D35" t="inlineStr">
        <is>
          <t>VÄSTMANLANDS LÄN</t>
        </is>
      </c>
      <c r="E35" t="inlineStr">
        <is>
          <t>SURAHAMMAR</t>
        </is>
      </c>
      <c r="G35" t="n">
        <v>27.2</v>
      </c>
      <c r="H35" t="n">
        <v>3</v>
      </c>
      <c r="I35" t="n">
        <v>0</v>
      </c>
      <c r="J35" t="n">
        <v>2</v>
      </c>
      <c r="K35" t="n">
        <v>0</v>
      </c>
      <c r="L35" t="n">
        <v>0</v>
      </c>
      <c r="M35" t="n">
        <v>0</v>
      </c>
      <c r="N35" t="n">
        <v>0</v>
      </c>
      <c r="O35" t="n">
        <v>2</v>
      </c>
      <c r="P35" t="n">
        <v>0</v>
      </c>
      <c r="Q35" t="n">
        <v>3</v>
      </c>
      <c r="R35" s="2" t="inlineStr">
        <is>
          <t>Entita
Spillkråka
Blåsippa</t>
        </is>
      </c>
      <c r="S35">
        <f>HYPERLINK("https://klasma.github.io/Logging_1907/artfynd/A 42708-2022 artfynd.xlsx", "A 42708-2022")</f>
        <v/>
      </c>
      <c r="T35">
        <f>HYPERLINK("https://klasma.github.io/Logging_1907/kartor/A 42708-2022 karta.png", "A 42708-2022")</f>
        <v/>
      </c>
      <c r="V35">
        <f>HYPERLINK("https://klasma.github.io/Logging_1907/klagomål/A 42708-2022 FSC-klagomål.docx", "A 42708-2022")</f>
        <v/>
      </c>
      <c r="W35">
        <f>HYPERLINK("https://klasma.github.io/Logging_1907/klagomålsmail/A 42708-2022 FSC-klagomål mail.docx", "A 42708-2022")</f>
        <v/>
      </c>
      <c r="X35">
        <f>HYPERLINK("https://klasma.github.io/Logging_1907/tillsyn/A 42708-2022 tillsynsbegäran.docx", "A 42708-2022")</f>
        <v/>
      </c>
      <c r="Y35">
        <f>HYPERLINK("https://klasma.github.io/Logging_1907/tillsynsmail/A 42708-2022 tillsynsbegäran mail.docx", "A 42708-2022")</f>
        <v/>
      </c>
      <c r="Z35">
        <f>HYPERLINK("https://klasma.github.io/Logging_1907/fåglar/A 42708-2022 prioriterade fågelarter.docx", "A 42708-2022")</f>
        <v/>
      </c>
    </row>
    <row r="36" ht="15" customHeight="1">
      <c r="A36" t="inlineStr">
        <is>
          <t>A 42853-2022</t>
        </is>
      </c>
      <c r="B36" s="1" t="n">
        <v>44832</v>
      </c>
      <c r="C36" s="1" t="n">
        <v>45628</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42860-2022</t>
        </is>
      </c>
      <c r="B37" s="1" t="n">
        <v>44832</v>
      </c>
      <c r="C37" s="1" t="n">
        <v>45628</v>
      </c>
      <c r="D37" t="inlineStr">
        <is>
          <t>VÄSTMANLANDS LÄN</t>
        </is>
      </c>
      <c r="E37" t="inlineStr">
        <is>
          <t>SURAHAMMAR</t>
        </is>
      </c>
      <c r="G37" t="n">
        <v>0.9</v>
      </c>
      <c r="H37" t="n">
        <v>0</v>
      </c>
      <c r="I37" t="n">
        <v>1</v>
      </c>
      <c r="J37" t="n">
        <v>0</v>
      </c>
      <c r="K37" t="n">
        <v>0</v>
      </c>
      <c r="L37" t="n">
        <v>1</v>
      </c>
      <c r="M37" t="n">
        <v>1</v>
      </c>
      <c r="N37" t="n">
        <v>0</v>
      </c>
      <c r="O37" t="n">
        <v>2</v>
      </c>
      <c r="P37" t="n">
        <v>2</v>
      </c>
      <c r="Q37" t="n">
        <v>3</v>
      </c>
      <c r="R37" s="2" t="inlineStr">
        <is>
          <t>Skogsalm
Ask
Scharlakansvårskål agg.</t>
        </is>
      </c>
      <c r="S37">
        <f>HYPERLINK("https://klasma.github.io/Logging_1907/artfynd/A 42860-2022 artfynd.xlsx", "A 42860-2022")</f>
        <v/>
      </c>
      <c r="T37">
        <f>HYPERLINK("https://klasma.github.io/Logging_1907/kartor/A 42860-2022 karta.png", "A 42860-2022")</f>
        <v/>
      </c>
      <c r="V37">
        <f>HYPERLINK("https://klasma.github.io/Logging_1907/klagomål/A 42860-2022 FSC-klagomål.docx", "A 42860-2022")</f>
        <v/>
      </c>
      <c r="W37">
        <f>HYPERLINK("https://klasma.github.io/Logging_1907/klagomålsmail/A 42860-2022 FSC-klagomål mail.docx", "A 42860-2022")</f>
        <v/>
      </c>
      <c r="X37">
        <f>HYPERLINK("https://klasma.github.io/Logging_1907/tillsyn/A 42860-2022 tillsynsbegäran.docx", "A 42860-2022")</f>
        <v/>
      </c>
      <c r="Y37">
        <f>HYPERLINK("https://klasma.github.io/Logging_1907/tillsynsmail/A 42860-2022 tillsynsbegäran mail.docx", "A 42860-2022")</f>
        <v/>
      </c>
    </row>
    <row r="38" ht="15" customHeight="1">
      <c r="A38" t="inlineStr">
        <is>
          <t>A 3012-2023</t>
        </is>
      </c>
      <c r="B38" s="1" t="n">
        <v>44945</v>
      </c>
      <c r="C38" s="1" t="n">
        <v>45628</v>
      </c>
      <c r="D38" t="inlineStr">
        <is>
          <t>VÄSTMANLANDS LÄN</t>
        </is>
      </c>
      <c r="E38" t="inlineStr">
        <is>
          <t>SURAHAMMAR</t>
        </is>
      </c>
      <c r="F38" t="inlineStr">
        <is>
          <t>Sveaskog</t>
        </is>
      </c>
      <c r="G38" t="n">
        <v>5.7</v>
      </c>
      <c r="H38" t="n">
        <v>0</v>
      </c>
      <c r="I38" t="n">
        <v>1</v>
      </c>
      <c r="J38" t="n">
        <v>0</v>
      </c>
      <c r="K38" t="n">
        <v>0</v>
      </c>
      <c r="L38" t="n">
        <v>1</v>
      </c>
      <c r="M38" t="n">
        <v>1</v>
      </c>
      <c r="N38" t="n">
        <v>0</v>
      </c>
      <c r="O38" t="n">
        <v>2</v>
      </c>
      <c r="P38" t="n">
        <v>2</v>
      </c>
      <c r="Q38" t="n">
        <v>3</v>
      </c>
      <c r="R38" s="2" t="inlineStr">
        <is>
          <t>Skogsalm
Ask
Svart trolldruva</t>
        </is>
      </c>
      <c r="S38">
        <f>HYPERLINK("https://klasma.github.io/Logging_1907/artfynd/A 3012-2023 artfynd.xlsx", "A 3012-2023")</f>
        <v/>
      </c>
      <c r="T38">
        <f>HYPERLINK("https://klasma.github.io/Logging_1907/kartor/A 3012-2023 karta.png", "A 3012-2023")</f>
        <v/>
      </c>
      <c r="V38">
        <f>HYPERLINK("https://klasma.github.io/Logging_1907/klagomål/A 3012-2023 FSC-klagomål.docx", "A 3012-2023")</f>
        <v/>
      </c>
      <c r="W38">
        <f>HYPERLINK("https://klasma.github.io/Logging_1907/klagomålsmail/A 3012-2023 FSC-klagomål mail.docx", "A 3012-2023")</f>
        <v/>
      </c>
      <c r="X38">
        <f>HYPERLINK("https://klasma.github.io/Logging_1907/tillsyn/A 3012-2023 tillsynsbegäran.docx", "A 3012-2023")</f>
        <v/>
      </c>
      <c r="Y38">
        <f>HYPERLINK("https://klasma.github.io/Logging_1907/tillsynsmail/A 3012-2023 tillsynsbegäran mail.docx", "A 3012-2023")</f>
        <v/>
      </c>
    </row>
    <row r="39" ht="15" customHeight="1">
      <c r="A39" t="inlineStr">
        <is>
          <t>A 14587-2023</t>
        </is>
      </c>
      <c r="B39" s="1" t="n">
        <v>45013</v>
      </c>
      <c r="C39" s="1" t="n">
        <v>45628</v>
      </c>
      <c r="D39" t="inlineStr">
        <is>
          <t>VÄSTMANLANDS LÄN</t>
        </is>
      </c>
      <c r="E39" t="inlineStr">
        <is>
          <t>SURAHAMMAR</t>
        </is>
      </c>
      <c r="G39" t="n">
        <v>14.8</v>
      </c>
      <c r="H39" t="n">
        <v>1</v>
      </c>
      <c r="I39" t="n">
        <v>1</v>
      </c>
      <c r="J39" t="n">
        <v>1</v>
      </c>
      <c r="K39" t="n">
        <v>0</v>
      </c>
      <c r="L39" t="n">
        <v>0</v>
      </c>
      <c r="M39" t="n">
        <v>0</v>
      </c>
      <c r="N39" t="n">
        <v>0</v>
      </c>
      <c r="O39" t="n">
        <v>1</v>
      </c>
      <c r="P39" t="n">
        <v>0</v>
      </c>
      <c r="Q39" t="n">
        <v>3</v>
      </c>
      <c r="R39" s="2" t="inlineStr">
        <is>
          <t>Skogshare
Vedticka
Mattlummer</t>
        </is>
      </c>
      <c r="S39">
        <f>HYPERLINK("https://klasma.github.io/Logging_1907/artfynd/A 14587-2023 artfynd.xlsx", "A 14587-2023")</f>
        <v/>
      </c>
      <c r="T39">
        <f>HYPERLINK("https://klasma.github.io/Logging_1907/kartor/A 14587-2023 karta.png", "A 14587-2023")</f>
        <v/>
      </c>
      <c r="V39">
        <f>HYPERLINK("https://klasma.github.io/Logging_1907/klagomål/A 14587-2023 FSC-klagomål.docx", "A 14587-2023")</f>
        <v/>
      </c>
      <c r="W39">
        <f>HYPERLINK("https://klasma.github.io/Logging_1907/klagomålsmail/A 14587-2023 FSC-klagomål mail.docx", "A 14587-2023")</f>
        <v/>
      </c>
      <c r="X39">
        <f>HYPERLINK("https://klasma.github.io/Logging_1907/tillsyn/A 14587-2023 tillsynsbegäran.docx", "A 14587-2023")</f>
        <v/>
      </c>
      <c r="Y39">
        <f>HYPERLINK("https://klasma.github.io/Logging_1907/tillsynsmail/A 14587-2023 tillsynsbegäran mail.docx", "A 14587-2023")</f>
        <v/>
      </c>
    </row>
    <row r="40" ht="15" customHeight="1">
      <c r="A40" t="inlineStr">
        <is>
          <t>A 24222-2023</t>
        </is>
      </c>
      <c r="B40" s="1" t="n">
        <v>45079</v>
      </c>
      <c r="C40" s="1" t="n">
        <v>45628</v>
      </c>
      <c r="D40" t="inlineStr">
        <is>
          <t>VÄSTMANLANDS LÄN</t>
        </is>
      </c>
      <c r="E40" t="inlineStr">
        <is>
          <t>SURAHAMMAR</t>
        </is>
      </c>
      <c r="F40" t="inlineStr">
        <is>
          <t>Sveaskog</t>
        </is>
      </c>
      <c r="G40" t="n">
        <v>9.699999999999999</v>
      </c>
      <c r="H40" t="n">
        <v>1</v>
      </c>
      <c r="I40" t="n">
        <v>1</v>
      </c>
      <c r="J40" t="n">
        <v>1</v>
      </c>
      <c r="K40" t="n">
        <v>0</v>
      </c>
      <c r="L40" t="n">
        <v>0</v>
      </c>
      <c r="M40" t="n">
        <v>0</v>
      </c>
      <c r="N40" t="n">
        <v>0</v>
      </c>
      <c r="O40" t="n">
        <v>1</v>
      </c>
      <c r="P40" t="n">
        <v>0</v>
      </c>
      <c r="Q40" t="n">
        <v>3</v>
      </c>
      <c r="R40" s="2" t="inlineStr">
        <is>
          <t>Svinrot
Blodticka
Revlummer</t>
        </is>
      </c>
      <c r="S40">
        <f>HYPERLINK("https://klasma.github.io/Logging_1907/artfynd/A 24222-2023 artfynd.xlsx", "A 24222-2023")</f>
        <v/>
      </c>
      <c r="T40">
        <f>HYPERLINK("https://klasma.github.io/Logging_1907/kartor/A 24222-2023 karta.png", "A 24222-2023")</f>
        <v/>
      </c>
      <c r="V40">
        <f>HYPERLINK("https://klasma.github.io/Logging_1907/klagomål/A 24222-2023 FSC-klagomål.docx", "A 24222-2023")</f>
        <v/>
      </c>
      <c r="W40">
        <f>HYPERLINK("https://klasma.github.io/Logging_1907/klagomålsmail/A 24222-2023 FSC-klagomål mail.docx", "A 24222-2023")</f>
        <v/>
      </c>
      <c r="X40">
        <f>HYPERLINK("https://klasma.github.io/Logging_1907/tillsyn/A 24222-2023 tillsynsbegäran.docx", "A 24222-2023")</f>
        <v/>
      </c>
      <c r="Y40">
        <f>HYPERLINK("https://klasma.github.io/Logging_1907/tillsynsmail/A 24222-2023 tillsynsbegäran mail.docx", "A 24222-2023")</f>
        <v/>
      </c>
    </row>
    <row r="41" ht="15" customHeight="1">
      <c r="A41" t="inlineStr">
        <is>
          <t>A 48128-2023</t>
        </is>
      </c>
      <c r="B41" s="1" t="n">
        <v>45205</v>
      </c>
      <c r="C41" s="1" t="n">
        <v>45628</v>
      </c>
      <c r="D41" t="inlineStr">
        <is>
          <t>VÄSTMANLANDS LÄN</t>
        </is>
      </c>
      <c r="E41" t="inlineStr">
        <is>
          <t>SURAHAMMAR</t>
        </is>
      </c>
      <c r="F41" t="inlineStr">
        <is>
          <t>Allmännings- och besparingsskogar</t>
        </is>
      </c>
      <c r="G41" t="n">
        <v>11.8</v>
      </c>
      <c r="H41" t="n">
        <v>0</v>
      </c>
      <c r="I41" t="n">
        <v>2</v>
      </c>
      <c r="J41" t="n">
        <v>1</v>
      </c>
      <c r="K41" t="n">
        <v>0</v>
      </c>
      <c r="L41" t="n">
        <v>0</v>
      </c>
      <c r="M41" t="n">
        <v>0</v>
      </c>
      <c r="N41" t="n">
        <v>0</v>
      </c>
      <c r="O41" t="n">
        <v>1</v>
      </c>
      <c r="P41" t="n">
        <v>0</v>
      </c>
      <c r="Q41" t="n">
        <v>3</v>
      </c>
      <c r="R41" s="2" t="inlineStr">
        <is>
          <t>Svinrot
Blodticka
Vedticka</t>
        </is>
      </c>
      <c r="S41">
        <f>HYPERLINK("https://klasma.github.io/Logging_1907/artfynd/A 48128-2023 artfynd.xlsx", "A 48128-2023")</f>
        <v/>
      </c>
      <c r="T41">
        <f>HYPERLINK("https://klasma.github.io/Logging_1907/kartor/A 48128-2023 karta.png", "A 48128-2023")</f>
        <v/>
      </c>
      <c r="V41">
        <f>HYPERLINK("https://klasma.github.io/Logging_1907/klagomål/A 48128-2023 FSC-klagomål.docx", "A 48128-2023")</f>
        <v/>
      </c>
      <c r="W41">
        <f>HYPERLINK("https://klasma.github.io/Logging_1907/klagomålsmail/A 48128-2023 FSC-klagomål mail.docx", "A 48128-2023")</f>
        <v/>
      </c>
      <c r="X41">
        <f>HYPERLINK("https://klasma.github.io/Logging_1907/tillsyn/A 48128-2023 tillsynsbegäran.docx", "A 48128-2023")</f>
        <v/>
      </c>
      <c r="Y41">
        <f>HYPERLINK("https://klasma.github.io/Logging_1907/tillsynsmail/A 48128-2023 tillsynsbegäran mail.docx", "A 48128-2023")</f>
        <v/>
      </c>
    </row>
    <row r="42" ht="15" customHeight="1">
      <c r="A42" t="inlineStr">
        <is>
          <t>A 49718-2023</t>
        </is>
      </c>
      <c r="B42" s="1" t="n">
        <v>45212</v>
      </c>
      <c r="C42" s="1" t="n">
        <v>45628</v>
      </c>
      <c r="D42" t="inlineStr">
        <is>
          <t>VÄSTMANLANDS LÄN</t>
        </is>
      </c>
      <c r="E42" t="inlineStr">
        <is>
          <t>SURAHAMMAR</t>
        </is>
      </c>
      <c r="G42" t="n">
        <v>3.4</v>
      </c>
      <c r="H42" t="n">
        <v>1</v>
      </c>
      <c r="I42" t="n">
        <v>1</v>
      </c>
      <c r="J42" t="n">
        <v>2</v>
      </c>
      <c r="K42" t="n">
        <v>0</v>
      </c>
      <c r="L42" t="n">
        <v>0</v>
      </c>
      <c r="M42" t="n">
        <v>0</v>
      </c>
      <c r="N42" t="n">
        <v>0</v>
      </c>
      <c r="O42" t="n">
        <v>2</v>
      </c>
      <c r="P42" t="n">
        <v>0</v>
      </c>
      <c r="Q42" t="n">
        <v>3</v>
      </c>
      <c r="R42" s="2" t="inlineStr">
        <is>
          <t>Motaggsvamp
Talltita
Zontaggsvamp</t>
        </is>
      </c>
      <c r="S42">
        <f>HYPERLINK("https://klasma.github.io/Logging_1907/artfynd/A 49718-2023 artfynd.xlsx", "A 49718-2023")</f>
        <v/>
      </c>
      <c r="T42">
        <f>HYPERLINK("https://klasma.github.io/Logging_1907/kartor/A 49718-2023 karta.png", "A 49718-2023")</f>
        <v/>
      </c>
      <c r="V42">
        <f>HYPERLINK("https://klasma.github.io/Logging_1907/klagomål/A 49718-2023 FSC-klagomål.docx", "A 49718-2023")</f>
        <v/>
      </c>
      <c r="W42">
        <f>HYPERLINK("https://klasma.github.io/Logging_1907/klagomålsmail/A 49718-2023 FSC-klagomål mail.docx", "A 49718-2023")</f>
        <v/>
      </c>
      <c r="X42">
        <f>HYPERLINK("https://klasma.github.io/Logging_1907/tillsyn/A 49718-2023 tillsynsbegäran.docx", "A 49718-2023")</f>
        <v/>
      </c>
      <c r="Y42">
        <f>HYPERLINK("https://klasma.github.io/Logging_1907/tillsynsmail/A 49718-2023 tillsynsbegäran mail.docx", "A 49718-2023")</f>
        <v/>
      </c>
      <c r="Z42">
        <f>HYPERLINK("https://klasma.github.io/Logging_1907/fåglar/A 49718-2023 prioriterade fågelarter.docx", "A 49718-2023")</f>
        <v/>
      </c>
    </row>
    <row r="43" ht="15" customHeight="1">
      <c r="A43" t="inlineStr">
        <is>
          <t>A 65024-2023</t>
        </is>
      </c>
      <c r="B43" s="1" t="n">
        <v>45282</v>
      </c>
      <c r="C43" s="1" t="n">
        <v>45628</v>
      </c>
      <c r="D43" t="inlineStr">
        <is>
          <t>VÄSTMANLANDS LÄN</t>
        </is>
      </c>
      <c r="E43" t="inlineStr">
        <is>
          <t>SURAHAMMAR</t>
        </is>
      </c>
      <c r="F43" t="inlineStr">
        <is>
          <t>Bergvik skog väst AB</t>
        </is>
      </c>
      <c r="G43" t="n">
        <v>14.9</v>
      </c>
      <c r="H43" t="n">
        <v>1</v>
      </c>
      <c r="I43" t="n">
        <v>1</v>
      </c>
      <c r="J43" t="n">
        <v>2</v>
      </c>
      <c r="K43" t="n">
        <v>0</v>
      </c>
      <c r="L43" t="n">
        <v>0</v>
      </c>
      <c r="M43" t="n">
        <v>0</v>
      </c>
      <c r="N43" t="n">
        <v>0</v>
      </c>
      <c r="O43" t="n">
        <v>2</v>
      </c>
      <c r="P43" t="n">
        <v>0</v>
      </c>
      <c r="Q43" t="n">
        <v>3</v>
      </c>
      <c r="R43" s="2" t="inlineStr">
        <is>
          <t>Gropticka
Talltita
Blodticka</t>
        </is>
      </c>
      <c r="S43">
        <f>HYPERLINK("https://klasma.github.io/Logging_1907/artfynd/A 65024-2023 artfynd.xlsx", "A 65024-2023")</f>
        <v/>
      </c>
      <c r="T43">
        <f>HYPERLINK("https://klasma.github.io/Logging_1907/kartor/A 65024-2023 karta.png", "A 65024-2023")</f>
        <v/>
      </c>
      <c r="V43">
        <f>HYPERLINK("https://klasma.github.io/Logging_1907/klagomål/A 65024-2023 FSC-klagomål.docx", "A 65024-2023")</f>
        <v/>
      </c>
      <c r="W43">
        <f>HYPERLINK("https://klasma.github.io/Logging_1907/klagomålsmail/A 65024-2023 FSC-klagomål mail.docx", "A 65024-2023")</f>
        <v/>
      </c>
      <c r="X43">
        <f>HYPERLINK("https://klasma.github.io/Logging_1907/tillsyn/A 65024-2023 tillsynsbegäran.docx", "A 65024-2023")</f>
        <v/>
      </c>
      <c r="Y43">
        <f>HYPERLINK("https://klasma.github.io/Logging_1907/tillsynsmail/A 65024-2023 tillsynsbegäran mail.docx", "A 65024-2023")</f>
        <v/>
      </c>
      <c r="Z43">
        <f>HYPERLINK("https://klasma.github.io/Logging_1907/fåglar/A 65024-2023 prioriterade fågelarter.docx", "A 65024-2023")</f>
        <v/>
      </c>
    </row>
    <row r="44" ht="15" customHeight="1">
      <c r="A44" t="inlineStr">
        <is>
          <t>A 20391-2024</t>
        </is>
      </c>
      <c r="B44" s="1" t="n">
        <v>45435</v>
      </c>
      <c r="C44" s="1" t="n">
        <v>45628</v>
      </c>
      <c r="D44" t="inlineStr">
        <is>
          <t>VÄSTMANLANDS LÄN</t>
        </is>
      </c>
      <c r="E44" t="inlineStr">
        <is>
          <t>SURAHAMMAR</t>
        </is>
      </c>
      <c r="G44" t="n">
        <v>1.5</v>
      </c>
      <c r="H44" t="n">
        <v>0</v>
      </c>
      <c r="I44" t="n">
        <v>2</v>
      </c>
      <c r="J44" t="n">
        <v>1</v>
      </c>
      <c r="K44" t="n">
        <v>0</v>
      </c>
      <c r="L44" t="n">
        <v>0</v>
      </c>
      <c r="M44" t="n">
        <v>0</v>
      </c>
      <c r="N44" t="n">
        <v>0</v>
      </c>
      <c r="O44" t="n">
        <v>1</v>
      </c>
      <c r="P44" t="n">
        <v>0</v>
      </c>
      <c r="Q44" t="n">
        <v>3</v>
      </c>
      <c r="R44" s="2" t="inlineStr">
        <is>
          <t>Vedtrappmossa
Kattfotslav
Stubbspretmossa</t>
        </is>
      </c>
      <c r="S44">
        <f>HYPERLINK("https://klasma.github.io/Logging_1907/artfynd/A 20391-2024 artfynd.xlsx", "A 20391-2024")</f>
        <v/>
      </c>
      <c r="T44">
        <f>HYPERLINK("https://klasma.github.io/Logging_1907/kartor/A 20391-2024 karta.png", "A 20391-2024")</f>
        <v/>
      </c>
      <c r="V44">
        <f>HYPERLINK("https://klasma.github.io/Logging_1907/klagomål/A 20391-2024 FSC-klagomål.docx", "A 20391-2024")</f>
        <v/>
      </c>
      <c r="W44">
        <f>HYPERLINK("https://klasma.github.io/Logging_1907/klagomålsmail/A 20391-2024 FSC-klagomål mail.docx", "A 20391-2024")</f>
        <v/>
      </c>
      <c r="X44">
        <f>HYPERLINK("https://klasma.github.io/Logging_1907/tillsyn/A 20391-2024 tillsynsbegäran.docx", "A 20391-2024")</f>
        <v/>
      </c>
      <c r="Y44">
        <f>HYPERLINK("https://klasma.github.io/Logging_1907/tillsynsmail/A 20391-2024 tillsynsbegäran mail.docx", "A 20391-2024")</f>
        <v/>
      </c>
    </row>
    <row r="45" ht="15" customHeight="1">
      <c r="A45" t="inlineStr">
        <is>
          <t>A 24561-2024</t>
        </is>
      </c>
      <c r="B45" s="1" t="n">
        <v>45460</v>
      </c>
      <c r="C45" s="1" t="n">
        <v>45628</v>
      </c>
      <c r="D45" t="inlineStr">
        <is>
          <t>VÄSTMANLANDS LÄN</t>
        </is>
      </c>
      <c r="E45" t="inlineStr">
        <is>
          <t>SURAHAMMAR</t>
        </is>
      </c>
      <c r="G45" t="n">
        <v>2.6</v>
      </c>
      <c r="H45" t="n">
        <v>2</v>
      </c>
      <c r="I45" t="n">
        <v>1</v>
      </c>
      <c r="J45" t="n">
        <v>0</v>
      </c>
      <c r="K45" t="n">
        <v>1</v>
      </c>
      <c r="L45" t="n">
        <v>0</v>
      </c>
      <c r="M45" t="n">
        <v>0</v>
      </c>
      <c r="N45" t="n">
        <v>0</v>
      </c>
      <c r="O45" t="n">
        <v>1</v>
      </c>
      <c r="P45" t="n">
        <v>1</v>
      </c>
      <c r="Q45" t="n">
        <v>3</v>
      </c>
      <c r="R45" s="2" t="inlineStr">
        <is>
          <t>Knärot
Grönpyrola
Revlummer</t>
        </is>
      </c>
      <c r="S45">
        <f>HYPERLINK("https://klasma.github.io/Logging_1907/artfynd/A 24561-2024 artfynd.xlsx", "A 24561-2024")</f>
        <v/>
      </c>
      <c r="T45">
        <f>HYPERLINK("https://klasma.github.io/Logging_1907/kartor/A 24561-2024 karta.png", "A 24561-2024")</f>
        <v/>
      </c>
      <c r="U45">
        <f>HYPERLINK("https://klasma.github.io/Logging_1907/knärot/A 24561-2024 karta knärot.png", "A 24561-2024")</f>
        <v/>
      </c>
      <c r="V45">
        <f>HYPERLINK("https://klasma.github.io/Logging_1907/klagomål/A 24561-2024 FSC-klagomål.docx", "A 24561-2024")</f>
        <v/>
      </c>
      <c r="W45">
        <f>HYPERLINK("https://klasma.github.io/Logging_1907/klagomålsmail/A 24561-2024 FSC-klagomål mail.docx", "A 24561-2024")</f>
        <v/>
      </c>
      <c r="X45">
        <f>HYPERLINK("https://klasma.github.io/Logging_1907/tillsyn/A 24561-2024 tillsynsbegäran.docx", "A 24561-2024")</f>
        <v/>
      </c>
      <c r="Y45">
        <f>HYPERLINK("https://klasma.github.io/Logging_1907/tillsynsmail/A 24561-2024 tillsynsbegäran mail.docx", "A 24561-2024")</f>
        <v/>
      </c>
    </row>
    <row r="46" ht="15" customHeight="1">
      <c r="A46" t="inlineStr">
        <is>
          <t>A 25548-2024</t>
        </is>
      </c>
      <c r="B46" s="1" t="n">
        <v>45463</v>
      </c>
      <c r="C46" s="1" t="n">
        <v>45628</v>
      </c>
      <c r="D46" t="inlineStr">
        <is>
          <t>VÄSTMANLANDS LÄN</t>
        </is>
      </c>
      <c r="E46" t="inlineStr">
        <is>
          <t>SURAHAMMAR</t>
        </is>
      </c>
      <c r="F46" t="inlineStr">
        <is>
          <t>Bergvik skog väst AB</t>
        </is>
      </c>
      <c r="G46" t="n">
        <v>5.1</v>
      </c>
      <c r="H46" t="n">
        <v>2</v>
      </c>
      <c r="I46" t="n">
        <v>1</v>
      </c>
      <c r="J46" t="n">
        <v>0</v>
      </c>
      <c r="K46" t="n">
        <v>1</v>
      </c>
      <c r="L46" t="n">
        <v>0</v>
      </c>
      <c r="M46" t="n">
        <v>0</v>
      </c>
      <c r="N46" t="n">
        <v>0</v>
      </c>
      <c r="O46" t="n">
        <v>1</v>
      </c>
      <c r="P46" t="n">
        <v>1</v>
      </c>
      <c r="Q46" t="n">
        <v>3</v>
      </c>
      <c r="R46" s="2" t="inlineStr">
        <is>
          <t>Knärot
Vedticka
Fläcknycklar</t>
        </is>
      </c>
      <c r="S46">
        <f>HYPERLINK("https://klasma.github.io/Logging_1907/artfynd/A 25548-2024 artfynd.xlsx", "A 25548-2024")</f>
        <v/>
      </c>
      <c r="T46">
        <f>HYPERLINK("https://klasma.github.io/Logging_1907/kartor/A 25548-2024 karta.png", "A 25548-2024")</f>
        <v/>
      </c>
      <c r="U46">
        <f>HYPERLINK("https://klasma.github.io/Logging_1907/knärot/A 25548-2024 karta knärot.png", "A 25548-2024")</f>
        <v/>
      </c>
      <c r="V46">
        <f>HYPERLINK("https://klasma.github.io/Logging_1907/klagomål/A 25548-2024 FSC-klagomål.docx", "A 25548-2024")</f>
        <v/>
      </c>
      <c r="W46">
        <f>HYPERLINK("https://klasma.github.io/Logging_1907/klagomålsmail/A 25548-2024 FSC-klagomål mail.docx", "A 25548-2024")</f>
        <v/>
      </c>
      <c r="X46">
        <f>HYPERLINK("https://klasma.github.io/Logging_1907/tillsyn/A 25548-2024 tillsynsbegäran.docx", "A 25548-2024")</f>
        <v/>
      </c>
      <c r="Y46">
        <f>HYPERLINK("https://klasma.github.io/Logging_1907/tillsynsmail/A 25548-2024 tillsynsbegäran mail.docx", "A 25548-2024")</f>
        <v/>
      </c>
    </row>
    <row r="47" ht="15" customHeight="1">
      <c r="A47" t="inlineStr">
        <is>
          <t>A 33094-2024</t>
        </is>
      </c>
      <c r="B47" s="1" t="n">
        <v>45517</v>
      </c>
      <c r="C47" s="1" t="n">
        <v>45628</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45628</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45628</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45628</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45628</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45628</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45628</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45628</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45628</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45628</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45628</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45628</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45628</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45628</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45628</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45628</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45628</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45628</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45628</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45628</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45628</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45628</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45628</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45628</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45628</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45628</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45628</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45628</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45628</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45628</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45628</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45628</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45628</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45628</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45628</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45628</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45628</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45628</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45628</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45628</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45628</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45628</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45628</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45628</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45628</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45628</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45628</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45628</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45628</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45628</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45628</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45628</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45628</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45628</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45628</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45628</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45628</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45628</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45628</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45628</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45628</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45628</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45628</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45628</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45628</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45628</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45628</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45628</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45628</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45628</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45628</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45628</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45628</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45628</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45628</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45628</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45628</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45628</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45628</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45628</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45628</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45628</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45628</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45628</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45628</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45628</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45628</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45628</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45628</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45628</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45628</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45628</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45628</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45628</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45628</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45628</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45628</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45628</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45628</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45628</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45628</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45628</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45628</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45628</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45628</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45628</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45628</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45628</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45628</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45628</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45628</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45628</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45628</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45628</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45628</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45628</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45628</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45628</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45628</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45628</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45628</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45628</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45628</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45628</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45628</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45628</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45628</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45628</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45628</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45628</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45628</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45628</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45628</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45628</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45628</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45628</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45628</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45628</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45628</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45628</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45628</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45628</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45628</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45628</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45628</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45628</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45628</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45628</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45628</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45628</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45628</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45628</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45628</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45628</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45628</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45628</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45628</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45628</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45628</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45628</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45628</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45628</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45628</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45628</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45628</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45628</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45628</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45628</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45628</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45628</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45628</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45628</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45628</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45628</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45628</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45628</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45628</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45628</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45628</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45628</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45628</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45628</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45628</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45628</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45628</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45628</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45628</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45628</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45628</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45628</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45628</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45628</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45628</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45628</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45628</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45628</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45628</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45628</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45628</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45628</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45628</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45628</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45628</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45628</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45628</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45628</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45628</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45628</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45628</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45628</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45628</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45628</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45628</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45628</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45628</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45628</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45628</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45628</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45628</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45628</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45628</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45628</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45628</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45628</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45628</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45628</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45628</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45628</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45628</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45628</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45628</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45628</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45628</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45628</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45628</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45628</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45628</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45628</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45628</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45628</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45628</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45628</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45628</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c r="A290" t="inlineStr">
        <is>
          <t>A 54671-2024</t>
        </is>
      </c>
      <c r="B290" s="1" t="n">
        <v>45618</v>
      </c>
      <c r="C290" s="1" t="n">
        <v>45628</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2024-12-02T14:53:06Z</dcterms:created>
  <dcterms:modified xmlns:dcterms="http://purl.org/dc/terms/" xmlns:xsi="http://www.w3.org/2001/XMLSchema-instance" xsi:type="dcterms:W3CDTF">2024-12-02T14:53:06Z</dcterms:modified>
</cp:coreProperties>
</file>