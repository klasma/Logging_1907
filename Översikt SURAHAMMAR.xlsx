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45968</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45968</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45968</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45968</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45968</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45968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45968</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45968</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45968</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34040-2024</t>
        </is>
      </c>
      <c r="B13" s="1" t="n">
        <v>45523</v>
      </c>
      <c r="C13" s="1" t="n">
        <v>45968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45968</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45968</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45968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45968</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45968</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45968</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45968</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45968</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45968</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45968</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4105-2025</t>
        </is>
      </c>
      <c r="B24" s="1" t="n">
        <v>45684</v>
      </c>
      <c r="C24" s="1" t="n">
        <v>45968</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48891-2023</t>
        </is>
      </c>
      <c r="B25" s="1" t="n">
        <v>45203</v>
      </c>
      <c r="C25" s="1" t="n">
        <v>45968</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21716-2025</t>
        </is>
      </c>
      <c r="B26" s="1" t="n">
        <v>45783.54804398148</v>
      </c>
      <c r="C26" s="1" t="n">
        <v>45968</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45968</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45968</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59550-2020</t>
        </is>
      </c>
      <c r="B29" s="1" t="n">
        <v>44148</v>
      </c>
      <c r="C29" s="1" t="n">
        <v>45968</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48128-2023</t>
        </is>
      </c>
      <c r="B30" s="1" t="n">
        <v>45205</v>
      </c>
      <c r="C30" s="1" t="n">
        <v>45968</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38200-2021</t>
        </is>
      </c>
      <c r="B31" s="1" t="n">
        <v>44405</v>
      </c>
      <c r="C31" s="1" t="n">
        <v>45968</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29707-2025</t>
        </is>
      </c>
      <c r="B32" s="1" t="n">
        <v>45825.56100694444</v>
      </c>
      <c r="C32" s="1" t="n">
        <v>45968</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42860-2022</t>
        </is>
      </c>
      <c r="B33" s="1" t="n">
        <v>44832</v>
      </c>
      <c r="C33" s="1" t="n">
        <v>45968</v>
      </c>
      <c r="D33" t="inlineStr">
        <is>
          <t>VÄSTMANLANDS LÄN</t>
        </is>
      </c>
      <c r="E33" t="inlineStr">
        <is>
          <t>SURAHAMMAR</t>
        </is>
      </c>
      <c r="G33" t="n">
        <v>0.9</v>
      </c>
      <c r="H33" t="n">
        <v>0</v>
      </c>
      <c r="I33" t="n">
        <v>1</v>
      </c>
      <c r="J33" t="n">
        <v>0</v>
      </c>
      <c r="K33" t="n">
        <v>0</v>
      </c>
      <c r="L33" t="n">
        <v>1</v>
      </c>
      <c r="M33" t="n">
        <v>1</v>
      </c>
      <c r="N33" t="n">
        <v>0</v>
      </c>
      <c r="O33" t="n">
        <v>2</v>
      </c>
      <c r="P33" t="n">
        <v>2</v>
      </c>
      <c r="Q33" t="n">
        <v>3</v>
      </c>
      <c r="R33" s="2" t="inlineStr">
        <is>
          <t>Skogsalm
Ask
Scharlakansvårskål agg.</t>
        </is>
      </c>
      <c r="S33">
        <f>HYPERLINK("https://klasma.github.io/Logging_1907/artfynd/A 42860-2022 artfynd.xlsx", "A 42860-2022")</f>
        <v/>
      </c>
      <c r="T33">
        <f>HYPERLINK("https://klasma.github.io/Logging_1907/kartor/A 42860-2022 karta.png", "A 42860-2022")</f>
        <v/>
      </c>
      <c r="V33">
        <f>HYPERLINK("https://klasma.github.io/Logging_1907/klagomål/A 42860-2022 FSC-klagomål.docx", "A 42860-2022")</f>
        <v/>
      </c>
      <c r="W33">
        <f>HYPERLINK("https://klasma.github.io/Logging_1907/klagomålsmail/A 42860-2022 FSC-klagomål mail.docx", "A 42860-2022")</f>
        <v/>
      </c>
      <c r="X33">
        <f>HYPERLINK("https://klasma.github.io/Logging_1907/tillsyn/A 42860-2022 tillsynsbegäran.docx", "A 42860-2022")</f>
        <v/>
      </c>
      <c r="Y33">
        <f>HYPERLINK("https://klasma.github.io/Logging_1907/tillsynsmail/A 42860-2022 tillsynsbegäran mail.docx", "A 42860-2022")</f>
        <v/>
      </c>
    </row>
    <row r="34" ht="15" customHeight="1">
      <c r="A34" t="inlineStr">
        <is>
          <t>A 49718-2023</t>
        </is>
      </c>
      <c r="B34" s="1" t="n">
        <v>45212</v>
      </c>
      <c r="C34" s="1" t="n">
        <v>45968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42708-2022</t>
        </is>
      </c>
      <c r="B35" s="1" t="n">
        <v>44832</v>
      </c>
      <c r="C35" s="1" t="n">
        <v>45968</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39694-2025</t>
        </is>
      </c>
      <c r="B36" s="1" t="n">
        <v>45890</v>
      </c>
      <c r="C36" s="1" t="n">
        <v>45968</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8552-2022</t>
        </is>
      </c>
      <c r="B37" s="1" t="n">
        <v>44613</v>
      </c>
      <c r="C37" s="1" t="n">
        <v>45968</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20391-2024</t>
        </is>
      </c>
      <c r="B38" s="1" t="n">
        <v>45435</v>
      </c>
      <c r="C38" s="1" t="n">
        <v>45968</v>
      </c>
      <c r="D38" t="inlineStr">
        <is>
          <t>VÄSTMANLANDS LÄN</t>
        </is>
      </c>
      <c r="E38" t="inlineStr">
        <is>
          <t>SURAHAMMAR</t>
        </is>
      </c>
      <c r="G38" t="n">
        <v>1.5</v>
      </c>
      <c r="H38" t="n">
        <v>0</v>
      </c>
      <c r="I38" t="n">
        <v>2</v>
      </c>
      <c r="J38" t="n">
        <v>1</v>
      </c>
      <c r="K38" t="n">
        <v>0</v>
      </c>
      <c r="L38" t="n">
        <v>0</v>
      </c>
      <c r="M38" t="n">
        <v>0</v>
      </c>
      <c r="N38" t="n">
        <v>0</v>
      </c>
      <c r="O38" t="n">
        <v>1</v>
      </c>
      <c r="P38" t="n">
        <v>0</v>
      </c>
      <c r="Q38" t="n">
        <v>3</v>
      </c>
      <c r="R38" s="2" t="inlineStr">
        <is>
          <t>Vedtrappmossa
Kattfotslav
Stubbspretmossa</t>
        </is>
      </c>
      <c r="S38">
        <f>HYPERLINK("https://klasma.github.io/Logging_1907/artfynd/A 20391-2024 artfynd.xlsx", "A 20391-2024")</f>
        <v/>
      </c>
      <c r="T38">
        <f>HYPERLINK("https://klasma.github.io/Logging_1907/kartor/A 20391-2024 karta.png", "A 20391-2024")</f>
        <v/>
      </c>
      <c r="V38">
        <f>HYPERLINK("https://klasma.github.io/Logging_1907/klagomål/A 20391-2024 FSC-klagomål.docx", "A 20391-2024")</f>
        <v/>
      </c>
      <c r="W38">
        <f>HYPERLINK("https://klasma.github.io/Logging_1907/klagomålsmail/A 20391-2024 FSC-klagomål mail.docx", "A 20391-2024")</f>
        <v/>
      </c>
      <c r="X38">
        <f>HYPERLINK("https://klasma.github.io/Logging_1907/tillsyn/A 20391-2024 tillsynsbegäran.docx", "A 20391-2024")</f>
        <v/>
      </c>
      <c r="Y38">
        <f>HYPERLINK("https://klasma.github.io/Logging_1907/tillsynsmail/A 20391-2024 tillsynsbegäran mail.docx", "A 20391-2024")</f>
        <v/>
      </c>
    </row>
    <row r="39" ht="15" customHeight="1">
      <c r="A39" t="inlineStr">
        <is>
          <t>A 42853-2022</t>
        </is>
      </c>
      <c r="B39" s="1" t="n">
        <v>44832</v>
      </c>
      <c r="C39" s="1" t="n">
        <v>45968</v>
      </c>
      <c r="D39" t="inlineStr">
        <is>
          <t>VÄSTMANLANDS LÄN</t>
        </is>
      </c>
      <c r="E39" t="inlineStr">
        <is>
          <t>SURAHAMMAR</t>
        </is>
      </c>
      <c r="G39" t="n">
        <v>7.4</v>
      </c>
      <c r="H39" t="n">
        <v>1</v>
      </c>
      <c r="I39" t="n">
        <v>1</v>
      </c>
      <c r="J39" t="n">
        <v>1</v>
      </c>
      <c r="K39" t="n">
        <v>0</v>
      </c>
      <c r="L39" t="n">
        <v>1</v>
      </c>
      <c r="M39" t="n">
        <v>0</v>
      </c>
      <c r="N39" t="n">
        <v>0</v>
      </c>
      <c r="O39" t="n">
        <v>2</v>
      </c>
      <c r="P39" t="n">
        <v>1</v>
      </c>
      <c r="Q39" t="n">
        <v>3</v>
      </c>
      <c r="R39" s="2" t="inlineStr">
        <is>
          <t>Ask
Kandelabersvamp
Tvåblad</t>
        </is>
      </c>
      <c r="S39">
        <f>HYPERLINK("https://klasma.github.io/Logging_1907/artfynd/A 42853-2022 artfynd.xlsx", "A 42853-2022")</f>
        <v/>
      </c>
      <c r="T39">
        <f>HYPERLINK("https://klasma.github.io/Logging_1907/kartor/A 42853-2022 karta.png", "A 42853-2022")</f>
        <v/>
      </c>
      <c r="V39">
        <f>HYPERLINK("https://klasma.github.io/Logging_1907/klagomål/A 42853-2022 FSC-klagomål.docx", "A 42853-2022")</f>
        <v/>
      </c>
      <c r="W39">
        <f>HYPERLINK("https://klasma.github.io/Logging_1907/klagomålsmail/A 42853-2022 FSC-klagomål mail.docx", "A 42853-2022")</f>
        <v/>
      </c>
      <c r="X39">
        <f>HYPERLINK("https://klasma.github.io/Logging_1907/tillsyn/A 42853-2022 tillsynsbegäran.docx", "A 42853-2022")</f>
        <v/>
      </c>
      <c r="Y39">
        <f>HYPERLINK("https://klasma.github.io/Logging_1907/tillsynsmail/A 42853-2022 tillsynsbegäran mail.docx", "A 42853-2022")</f>
        <v/>
      </c>
    </row>
    <row r="40" ht="15" customHeight="1">
      <c r="A40" t="inlineStr">
        <is>
          <t>A 37801-2021</t>
        </is>
      </c>
      <c r="B40" s="1" t="n">
        <v>44402</v>
      </c>
      <c r="C40" s="1" t="n">
        <v>45968</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37800-2021</t>
        </is>
      </c>
      <c r="B41" s="1" t="n">
        <v>44402</v>
      </c>
      <c r="C41" s="1" t="n">
        <v>45968</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4082-2025</t>
        </is>
      </c>
      <c r="B42" s="1" t="n">
        <v>45684</v>
      </c>
      <c r="C42" s="1" t="n">
        <v>45968</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41204-2023</t>
        </is>
      </c>
      <c r="B43" s="1" t="n">
        <v>45174</v>
      </c>
      <c r="C43" s="1" t="n">
        <v>45968</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62097-2024</t>
        </is>
      </c>
      <c r="B44" s="1" t="n">
        <v>45646</v>
      </c>
      <c r="C44" s="1" t="n">
        <v>45968</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40403-2025</t>
        </is>
      </c>
      <c r="B45" s="1" t="n">
        <v>45895</v>
      </c>
      <c r="C45" s="1" t="n">
        <v>45968</v>
      </c>
      <c r="D45" t="inlineStr">
        <is>
          <t>VÄSTMANLANDS LÄN</t>
        </is>
      </c>
      <c r="E45" t="inlineStr">
        <is>
          <t>SURAHAMMAR</t>
        </is>
      </c>
      <c r="F45" t="inlineStr">
        <is>
          <t>Kommuner</t>
        </is>
      </c>
      <c r="G45" t="n">
        <v>3.9</v>
      </c>
      <c r="H45" t="n">
        <v>1</v>
      </c>
      <c r="I45" t="n">
        <v>0</v>
      </c>
      <c r="J45" t="n">
        <v>1</v>
      </c>
      <c r="K45" t="n">
        <v>0</v>
      </c>
      <c r="L45" t="n">
        <v>0</v>
      </c>
      <c r="M45" t="n">
        <v>0</v>
      </c>
      <c r="N45" t="n">
        <v>0</v>
      </c>
      <c r="O45" t="n">
        <v>1</v>
      </c>
      <c r="P45" t="n">
        <v>0</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c r="Z45">
        <f>HYPERLINK("https://klasma.github.io/Logging_1907/fåglar/A 40403-2025 prioriterade fågelarter.docx", "A 40403-2025")</f>
        <v/>
      </c>
    </row>
    <row r="46" ht="15" customHeight="1">
      <c r="A46" t="inlineStr">
        <is>
          <t>A 21618-2025</t>
        </is>
      </c>
      <c r="B46" s="1" t="n">
        <v>45783</v>
      </c>
      <c r="C46" s="1" t="n">
        <v>45968</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45968</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45968</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18717-2021</t>
        </is>
      </c>
      <c r="B49" s="1" t="n">
        <v>44306</v>
      </c>
      <c r="C49" s="1" t="n">
        <v>45968</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67611-2021</t>
        </is>
      </c>
      <c r="B50" s="1" t="n">
        <v>44524</v>
      </c>
      <c r="C50" s="1" t="n">
        <v>45968</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22840-2023</t>
        </is>
      </c>
      <c r="B51" s="1" t="n">
        <v>45072</v>
      </c>
      <c r="C51" s="1" t="n">
        <v>45968</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33231-2024</t>
        </is>
      </c>
      <c r="B52" s="1" t="n">
        <v>45518</v>
      </c>
      <c r="C52" s="1" t="n">
        <v>45968</v>
      </c>
      <c r="D52" t="inlineStr">
        <is>
          <t>VÄSTMANLANDS LÄN</t>
        </is>
      </c>
      <c r="E52" t="inlineStr">
        <is>
          <t>SURAHAMMAR</t>
        </is>
      </c>
      <c r="F52" t="inlineStr">
        <is>
          <t>Bergvik skog väst AB</t>
        </is>
      </c>
      <c r="G52" t="n">
        <v>1.5</v>
      </c>
      <c r="H52" t="n">
        <v>1</v>
      </c>
      <c r="I52" t="n">
        <v>0</v>
      </c>
      <c r="J52" t="n">
        <v>0</v>
      </c>
      <c r="K52" t="n">
        <v>0</v>
      </c>
      <c r="L52" t="n">
        <v>0</v>
      </c>
      <c r="M52" t="n">
        <v>0</v>
      </c>
      <c r="N52" t="n">
        <v>0</v>
      </c>
      <c r="O52" t="n">
        <v>0</v>
      </c>
      <c r="P52" t="n">
        <v>0</v>
      </c>
      <c r="Q52" t="n">
        <v>1</v>
      </c>
      <c r="R52" s="2" t="inlineStr">
        <is>
          <t>Mindre vattensalamander</t>
        </is>
      </c>
      <c r="S52">
        <f>HYPERLINK("https://klasma.github.io/Logging_1907/artfynd/A 33231-2024 artfynd.xlsx", "A 33231-2024")</f>
        <v/>
      </c>
      <c r="T52">
        <f>HYPERLINK("https://klasma.github.io/Logging_1907/kartor/A 33231-2024 karta.png", "A 33231-2024")</f>
        <v/>
      </c>
      <c r="V52">
        <f>HYPERLINK("https://klasma.github.io/Logging_1907/klagomål/A 33231-2024 FSC-klagomål.docx", "A 33231-2024")</f>
        <v/>
      </c>
      <c r="W52">
        <f>HYPERLINK("https://klasma.github.io/Logging_1907/klagomålsmail/A 33231-2024 FSC-klagomål mail.docx", "A 33231-2024")</f>
        <v/>
      </c>
      <c r="X52">
        <f>HYPERLINK("https://klasma.github.io/Logging_1907/tillsyn/A 33231-2024 tillsynsbegäran.docx", "A 33231-2024")</f>
        <v/>
      </c>
      <c r="Y52">
        <f>HYPERLINK("https://klasma.github.io/Logging_1907/tillsynsmail/A 33231-2024 tillsynsbegäran mail.docx", "A 33231-2024")</f>
        <v/>
      </c>
    </row>
    <row r="53" ht="15" customHeight="1">
      <c r="A53" t="inlineStr">
        <is>
          <t>A 56362-2023</t>
        </is>
      </c>
      <c r="B53" s="1" t="n">
        <v>45236</v>
      </c>
      <c r="C53" s="1" t="n">
        <v>45968</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45968</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13788-2025</t>
        </is>
      </c>
      <c r="B55" s="1" t="n">
        <v>45737.45327546296</v>
      </c>
      <c r="C55" s="1" t="n">
        <v>45968</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30074-2023</t>
        </is>
      </c>
      <c r="B56" s="1" t="n">
        <v>45110</v>
      </c>
      <c r="C56" s="1" t="n">
        <v>45968</v>
      </c>
      <c r="D56" t="inlineStr">
        <is>
          <t>VÄSTMANLANDS LÄN</t>
        </is>
      </c>
      <c r="E56" t="inlineStr">
        <is>
          <t>SURAHAMMAR</t>
        </is>
      </c>
      <c r="F56" t="inlineStr">
        <is>
          <t>Sveaskog</t>
        </is>
      </c>
      <c r="G56" t="n">
        <v>1.1</v>
      </c>
      <c r="H56" t="n">
        <v>1</v>
      </c>
      <c r="I56" t="n">
        <v>0</v>
      </c>
      <c r="J56" t="n">
        <v>0</v>
      </c>
      <c r="K56" t="n">
        <v>0</v>
      </c>
      <c r="L56" t="n">
        <v>0</v>
      </c>
      <c r="M56" t="n">
        <v>0</v>
      </c>
      <c r="N56" t="n">
        <v>0</v>
      </c>
      <c r="O56" t="n">
        <v>0</v>
      </c>
      <c r="P56" t="n">
        <v>0</v>
      </c>
      <c r="Q56" t="n">
        <v>1</v>
      </c>
      <c r="R56" s="2" t="inlineStr">
        <is>
          <t>Revlummer</t>
        </is>
      </c>
      <c r="S56">
        <f>HYPERLINK("https://klasma.github.io/Logging_1907/artfynd/A 30074-2023 artfynd.xlsx", "A 30074-2023")</f>
        <v/>
      </c>
      <c r="T56">
        <f>HYPERLINK("https://klasma.github.io/Logging_1907/kartor/A 30074-2023 karta.png", "A 30074-2023")</f>
        <v/>
      </c>
      <c r="V56">
        <f>HYPERLINK("https://klasma.github.io/Logging_1907/klagomål/A 30074-2023 FSC-klagomål.docx", "A 30074-2023")</f>
        <v/>
      </c>
      <c r="W56">
        <f>HYPERLINK("https://klasma.github.io/Logging_1907/klagomålsmail/A 30074-2023 FSC-klagomål mail.docx", "A 30074-2023")</f>
        <v/>
      </c>
      <c r="X56">
        <f>HYPERLINK("https://klasma.github.io/Logging_1907/tillsyn/A 30074-2023 tillsynsbegäran.docx", "A 30074-2023")</f>
        <v/>
      </c>
      <c r="Y56">
        <f>HYPERLINK("https://klasma.github.io/Logging_1907/tillsynsmail/A 30074-2023 tillsynsbegäran mail.docx", "A 30074-2023")</f>
        <v/>
      </c>
    </row>
    <row r="57" ht="15" customHeight="1">
      <c r="A57" t="inlineStr">
        <is>
          <t>A 25583-2024</t>
        </is>
      </c>
      <c r="B57" s="1" t="n">
        <v>45463</v>
      </c>
      <c r="C57" s="1" t="n">
        <v>45968</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40411-2021</t>
        </is>
      </c>
      <c r="B58" s="1" t="n">
        <v>44419</v>
      </c>
      <c r="C58" s="1" t="n">
        <v>45968</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39099-2022</t>
        </is>
      </c>
      <c r="B59" s="1" t="n">
        <v>44817</v>
      </c>
      <c r="C59" s="1" t="n">
        <v>45968</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14001-2023</t>
        </is>
      </c>
      <c r="B60" s="1" t="n">
        <v>45007</v>
      </c>
      <c r="C60" s="1" t="n">
        <v>45968</v>
      </c>
      <c r="D60" t="inlineStr">
        <is>
          <t>VÄSTMANLANDS LÄN</t>
        </is>
      </c>
      <c r="E60" t="inlineStr">
        <is>
          <t>SURAHAMMAR</t>
        </is>
      </c>
      <c r="F60" t="inlineStr">
        <is>
          <t>Bergvik skog väst AB</t>
        </is>
      </c>
      <c r="G60" t="n">
        <v>1</v>
      </c>
      <c r="H60" t="n">
        <v>0</v>
      </c>
      <c r="I60" t="n">
        <v>0</v>
      </c>
      <c r="J60" t="n">
        <v>1</v>
      </c>
      <c r="K60" t="n">
        <v>0</v>
      </c>
      <c r="L60" t="n">
        <v>0</v>
      </c>
      <c r="M60" t="n">
        <v>0</v>
      </c>
      <c r="N60" t="n">
        <v>0</v>
      </c>
      <c r="O60" t="n">
        <v>1</v>
      </c>
      <c r="P60" t="n">
        <v>0</v>
      </c>
      <c r="Q60" t="n">
        <v>1</v>
      </c>
      <c r="R60" s="2" t="inlineStr">
        <is>
          <t>Motaggsvamp</t>
        </is>
      </c>
      <c r="S60">
        <f>HYPERLINK("https://klasma.github.io/Logging_1907/artfynd/A 14001-2023 artfynd.xlsx", "A 14001-2023")</f>
        <v/>
      </c>
      <c r="T60">
        <f>HYPERLINK("https://klasma.github.io/Logging_1907/kartor/A 14001-2023 karta.png", "A 14001-2023")</f>
        <v/>
      </c>
      <c r="V60">
        <f>HYPERLINK("https://klasma.github.io/Logging_1907/klagomål/A 14001-2023 FSC-klagomål.docx", "A 14001-2023")</f>
        <v/>
      </c>
      <c r="W60">
        <f>HYPERLINK("https://klasma.github.io/Logging_1907/klagomålsmail/A 14001-2023 FSC-klagomål mail.docx", "A 14001-2023")</f>
        <v/>
      </c>
      <c r="X60">
        <f>HYPERLINK("https://klasma.github.io/Logging_1907/tillsyn/A 14001-2023 tillsynsbegäran.docx", "A 14001-2023")</f>
        <v/>
      </c>
      <c r="Y60">
        <f>HYPERLINK("https://klasma.github.io/Logging_1907/tillsynsmail/A 14001-2023 tillsynsbegäran mail.docx", "A 14001-2023")</f>
        <v/>
      </c>
    </row>
    <row r="61" ht="15" customHeight="1">
      <c r="A61" t="inlineStr">
        <is>
          <t>A 42765-2022</t>
        </is>
      </c>
      <c r="B61" s="1" t="n">
        <v>44832</v>
      </c>
      <c r="C61" s="1" t="n">
        <v>45968</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45968</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13971-2023</t>
        </is>
      </c>
      <c r="B63" s="1" t="n">
        <v>45007</v>
      </c>
      <c r="C63" s="1" t="n">
        <v>45968</v>
      </c>
      <c r="D63" t="inlineStr">
        <is>
          <t>VÄSTMANLANDS LÄN</t>
        </is>
      </c>
      <c r="E63" t="inlineStr">
        <is>
          <t>SURAHAMMAR</t>
        </is>
      </c>
      <c r="F63" t="inlineStr">
        <is>
          <t>Bergvik skog väst AB</t>
        </is>
      </c>
      <c r="G63" t="n">
        <v>2.9</v>
      </c>
      <c r="H63" t="n">
        <v>1</v>
      </c>
      <c r="I63" t="n">
        <v>0</v>
      </c>
      <c r="J63" t="n">
        <v>0</v>
      </c>
      <c r="K63" t="n">
        <v>0</v>
      </c>
      <c r="L63" t="n">
        <v>0</v>
      </c>
      <c r="M63" t="n">
        <v>0</v>
      </c>
      <c r="N63" t="n">
        <v>0</v>
      </c>
      <c r="O63" t="n">
        <v>0</v>
      </c>
      <c r="P63" t="n">
        <v>0</v>
      </c>
      <c r="Q63" t="n">
        <v>1</v>
      </c>
      <c r="R63" s="2" t="inlineStr">
        <is>
          <t>Fläcknycklar</t>
        </is>
      </c>
      <c r="S63">
        <f>HYPERLINK("https://klasma.github.io/Logging_1907/artfynd/A 13971-2023 artfynd.xlsx", "A 13971-2023")</f>
        <v/>
      </c>
      <c r="T63">
        <f>HYPERLINK("https://klasma.github.io/Logging_1907/kartor/A 13971-2023 karta.png", "A 13971-2023")</f>
        <v/>
      </c>
      <c r="V63">
        <f>HYPERLINK("https://klasma.github.io/Logging_1907/klagomål/A 13971-2023 FSC-klagomål.docx", "A 13971-2023")</f>
        <v/>
      </c>
      <c r="W63">
        <f>HYPERLINK("https://klasma.github.io/Logging_1907/klagomålsmail/A 13971-2023 FSC-klagomål mail.docx", "A 13971-2023")</f>
        <v/>
      </c>
      <c r="X63">
        <f>HYPERLINK("https://klasma.github.io/Logging_1907/tillsyn/A 13971-2023 tillsynsbegäran.docx", "A 13971-2023")</f>
        <v/>
      </c>
      <c r="Y63">
        <f>HYPERLINK("https://klasma.github.io/Logging_1907/tillsynsmail/A 13971-2023 tillsynsbegäran mail.docx", "A 13971-2023")</f>
        <v/>
      </c>
    </row>
    <row r="64" ht="15" customHeight="1">
      <c r="A64" t="inlineStr">
        <is>
          <t>A 69777-2021</t>
        </is>
      </c>
      <c r="B64" s="1" t="n">
        <v>44532</v>
      </c>
      <c r="C64" s="1" t="n">
        <v>45968</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31176-2024</t>
        </is>
      </c>
      <c r="B65" s="1" t="n">
        <v>45503</v>
      </c>
      <c r="C65" s="1" t="n">
        <v>45968</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17632-2022</t>
        </is>
      </c>
      <c r="B66" s="1" t="n">
        <v>44680</v>
      </c>
      <c r="C66" s="1" t="n">
        <v>45968</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43451-2024</t>
        </is>
      </c>
      <c r="B67" s="1" t="n">
        <v>45568</v>
      </c>
      <c r="C67" s="1" t="n">
        <v>45968</v>
      </c>
      <c r="D67" t="inlineStr">
        <is>
          <t>VÄSTMANLANDS LÄN</t>
        </is>
      </c>
      <c r="E67" t="inlineStr">
        <is>
          <t>SURAHAMMAR</t>
        </is>
      </c>
      <c r="F67" t="inlineStr">
        <is>
          <t>Bergvik skog väst AB</t>
        </is>
      </c>
      <c r="G67" t="n">
        <v>2.9</v>
      </c>
      <c r="H67" t="n">
        <v>0</v>
      </c>
      <c r="I67" t="n">
        <v>0</v>
      </c>
      <c r="J67" t="n">
        <v>1</v>
      </c>
      <c r="K67" t="n">
        <v>0</v>
      </c>
      <c r="L67" t="n">
        <v>0</v>
      </c>
      <c r="M67" t="n">
        <v>0</v>
      </c>
      <c r="N67" t="n">
        <v>0</v>
      </c>
      <c r="O67" t="n">
        <v>1</v>
      </c>
      <c r="P67" t="n">
        <v>0</v>
      </c>
      <c r="Q67" t="n">
        <v>1</v>
      </c>
      <c r="R67" s="2" t="inlineStr">
        <is>
          <t>Ullticka</t>
        </is>
      </c>
      <c r="S67">
        <f>HYPERLINK("https://klasma.github.io/Logging_1907/artfynd/A 43451-2024 artfynd.xlsx", "A 43451-2024")</f>
        <v/>
      </c>
      <c r="T67">
        <f>HYPERLINK("https://klasma.github.io/Logging_1907/kartor/A 43451-2024 karta.png", "A 43451-2024")</f>
        <v/>
      </c>
      <c r="V67">
        <f>HYPERLINK("https://klasma.github.io/Logging_1907/klagomål/A 43451-2024 FSC-klagomål.docx", "A 43451-2024")</f>
        <v/>
      </c>
      <c r="W67">
        <f>HYPERLINK("https://klasma.github.io/Logging_1907/klagomålsmail/A 43451-2024 FSC-klagomål mail.docx", "A 43451-2024")</f>
        <v/>
      </c>
      <c r="X67">
        <f>HYPERLINK("https://klasma.github.io/Logging_1907/tillsyn/A 43451-2024 tillsynsbegäran.docx", "A 43451-2024")</f>
        <v/>
      </c>
      <c r="Y67">
        <f>HYPERLINK("https://klasma.github.io/Logging_1907/tillsynsmail/A 43451-2024 tillsynsbegäran mail.docx", "A 43451-2024")</f>
        <v/>
      </c>
    </row>
    <row r="68" ht="15" customHeight="1">
      <c r="A68" t="inlineStr">
        <is>
          <t>A 42089-2025</t>
        </is>
      </c>
      <c r="B68" s="1" t="n">
        <v>45902</v>
      </c>
      <c r="C68" s="1" t="n">
        <v>45968</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44356-2024</t>
        </is>
      </c>
      <c r="B69" s="1" t="n">
        <v>45573</v>
      </c>
      <c r="C69" s="1" t="n">
        <v>45968</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64073-2021</t>
        </is>
      </c>
      <c r="B70" s="1" t="n">
        <v>44509</v>
      </c>
      <c r="C70" s="1" t="n">
        <v>45968</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1492-2021</t>
        </is>
      </c>
      <c r="B71" s="1" t="n">
        <v>44209</v>
      </c>
      <c r="C71" s="1" t="n">
        <v>45968</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45968</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45968</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45968</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45968</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45968</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45968</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45968</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45968</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45968</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45968</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19637-2022</t>
        </is>
      </c>
      <c r="B82" s="1" t="n">
        <v>44694</v>
      </c>
      <c r="C82" s="1" t="n">
        <v>45968</v>
      </c>
      <c r="D82" t="inlineStr">
        <is>
          <t>VÄSTMANLANDS LÄN</t>
        </is>
      </c>
      <c r="E82" t="inlineStr">
        <is>
          <t>SURAHAMMAR</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34957-2022</t>
        </is>
      </c>
      <c r="B83" s="1" t="n">
        <v>44796.64672453704</v>
      </c>
      <c r="C83" s="1" t="n">
        <v>45968</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45968</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59543-2020</t>
        </is>
      </c>
      <c r="B85" s="1" t="n">
        <v>44148</v>
      </c>
      <c r="C85" s="1" t="n">
        <v>45968</v>
      </c>
      <c r="D85" t="inlineStr">
        <is>
          <t>VÄSTMANLANDS LÄN</t>
        </is>
      </c>
      <c r="E85" t="inlineStr">
        <is>
          <t>SURAHAMMAR</t>
        </is>
      </c>
      <c r="G85" t="n">
        <v>1.3</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45968</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18723-2021</t>
        </is>
      </c>
      <c r="B87" s="1" t="n">
        <v>44306</v>
      </c>
      <c r="C87" s="1" t="n">
        <v>45968</v>
      </c>
      <c r="D87" t="inlineStr">
        <is>
          <t>VÄSTMANLANDS LÄN</t>
        </is>
      </c>
      <c r="E87" t="inlineStr">
        <is>
          <t>SURAHAMMAR</t>
        </is>
      </c>
      <c r="F87" t="inlineStr">
        <is>
          <t>Bergvik skog väst AB</t>
        </is>
      </c>
      <c r="G87" t="n">
        <v>3.9</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45968</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45968</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19846-2022</t>
        </is>
      </c>
      <c r="B90" s="1" t="n">
        <v>44696.89327546296</v>
      </c>
      <c r="C90" s="1" t="n">
        <v>45968</v>
      </c>
      <c r="D90" t="inlineStr">
        <is>
          <t>VÄSTMANLANDS LÄN</t>
        </is>
      </c>
      <c r="E90" t="inlineStr">
        <is>
          <t>SURAHAMMAR</t>
        </is>
      </c>
      <c r="F90" t="inlineStr">
        <is>
          <t>Kommuner</t>
        </is>
      </c>
      <c r="G90" t="n">
        <v>3.4</v>
      </c>
      <c r="H90" t="n">
        <v>0</v>
      </c>
      <c r="I90" t="n">
        <v>0</v>
      </c>
      <c r="J90" t="n">
        <v>0</v>
      </c>
      <c r="K90" t="n">
        <v>0</v>
      </c>
      <c r="L90" t="n">
        <v>0</v>
      </c>
      <c r="M90" t="n">
        <v>0</v>
      </c>
      <c r="N90" t="n">
        <v>0</v>
      </c>
      <c r="O90" t="n">
        <v>0</v>
      </c>
      <c r="P90" t="n">
        <v>0</v>
      </c>
      <c r="Q90" t="n">
        <v>0</v>
      </c>
      <c r="R90" s="2" t="inlineStr"/>
    </row>
    <row r="91" ht="15" customHeight="1">
      <c r="A91" t="inlineStr">
        <is>
          <t>A 14626-2023</t>
        </is>
      </c>
      <c r="B91" s="1" t="n">
        <v>45012</v>
      </c>
      <c r="C91" s="1" t="n">
        <v>45968</v>
      </c>
      <c r="D91" t="inlineStr">
        <is>
          <t>VÄSTMANLANDS LÄN</t>
        </is>
      </c>
      <c r="E91" t="inlineStr">
        <is>
          <t>SURAHAMMAR</t>
        </is>
      </c>
      <c r="F91" t="inlineStr">
        <is>
          <t>Bergvik skog väst AB</t>
        </is>
      </c>
      <c r="G91" t="n">
        <v>5</v>
      </c>
      <c r="H91" t="n">
        <v>0</v>
      </c>
      <c r="I91" t="n">
        <v>0</v>
      </c>
      <c r="J91" t="n">
        <v>0</v>
      </c>
      <c r="K91" t="n">
        <v>0</v>
      </c>
      <c r="L91" t="n">
        <v>0</v>
      </c>
      <c r="M91" t="n">
        <v>0</v>
      </c>
      <c r="N91" t="n">
        <v>0</v>
      </c>
      <c r="O91" t="n">
        <v>0</v>
      </c>
      <c r="P91" t="n">
        <v>0</v>
      </c>
      <c r="Q91" t="n">
        <v>0</v>
      </c>
      <c r="R91" s="2" t="inlineStr"/>
    </row>
    <row r="92" ht="15" customHeight="1">
      <c r="A92" t="inlineStr">
        <is>
          <t>A 15739-2023</t>
        </is>
      </c>
      <c r="B92" s="1" t="n">
        <v>45021</v>
      </c>
      <c r="C92" s="1" t="n">
        <v>45968</v>
      </c>
      <c r="D92" t="inlineStr">
        <is>
          <t>VÄSTMANLANDS LÄN</t>
        </is>
      </c>
      <c r="E92" t="inlineStr">
        <is>
          <t>SURAHAMMAR</t>
        </is>
      </c>
      <c r="G92" t="n">
        <v>1.3</v>
      </c>
      <c r="H92" t="n">
        <v>0</v>
      </c>
      <c r="I92" t="n">
        <v>0</v>
      </c>
      <c r="J92" t="n">
        <v>0</v>
      </c>
      <c r="K92" t="n">
        <v>0</v>
      </c>
      <c r="L92" t="n">
        <v>0</v>
      </c>
      <c r="M92" t="n">
        <v>0</v>
      </c>
      <c r="N92" t="n">
        <v>0</v>
      </c>
      <c r="O92" t="n">
        <v>0</v>
      </c>
      <c r="P92" t="n">
        <v>0</v>
      </c>
      <c r="Q92" t="n">
        <v>0</v>
      </c>
      <c r="R92" s="2" t="inlineStr"/>
    </row>
    <row r="93" ht="15" customHeight="1">
      <c r="A93" t="inlineStr">
        <is>
          <t>A 37798-2021</t>
        </is>
      </c>
      <c r="B93" s="1" t="n">
        <v>44402</v>
      </c>
      <c r="C93" s="1" t="n">
        <v>45968</v>
      </c>
      <c r="D93" t="inlineStr">
        <is>
          <t>VÄSTMANLANDS LÄN</t>
        </is>
      </c>
      <c r="E93" t="inlineStr">
        <is>
          <t>SURAHAMMAR</t>
        </is>
      </c>
      <c r="F93" t="inlineStr">
        <is>
          <t>Kommuner</t>
        </is>
      </c>
      <c r="G93" t="n">
        <v>1.2</v>
      </c>
      <c r="H93" t="n">
        <v>0</v>
      </c>
      <c r="I93" t="n">
        <v>0</v>
      </c>
      <c r="J93" t="n">
        <v>0</v>
      </c>
      <c r="K93" t="n">
        <v>0</v>
      </c>
      <c r="L93" t="n">
        <v>0</v>
      </c>
      <c r="M93" t="n">
        <v>0</v>
      </c>
      <c r="N93" t="n">
        <v>0</v>
      </c>
      <c r="O93" t="n">
        <v>0</v>
      </c>
      <c r="P93" t="n">
        <v>0</v>
      </c>
      <c r="Q93" t="n">
        <v>0</v>
      </c>
      <c r="R93" s="2" t="inlineStr"/>
    </row>
    <row r="94" ht="15" customHeight="1">
      <c r="A94" t="inlineStr">
        <is>
          <t>A 38154-2021</t>
        </is>
      </c>
      <c r="B94" s="1" t="n">
        <v>44405.42373842592</v>
      </c>
      <c r="C94" s="1" t="n">
        <v>45968</v>
      </c>
      <c r="D94" t="inlineStr">
        <is>
          <t>VÄSTMANLANDS LÄN</t>
        </is>
      </c>
      <c r="E94" t="inlineStr">
        <is>
          <t>SURAHAMMAR</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25450-2024</t>
        </is>
      </c>
      <c r="B95" s="1" t="n">
        <v>45463</v>
      </c>
      <c r="C95" s="1" t="n">
        <v>45968</v>
      </c>
      <c r="D95" t="inlineStr">
        <is>
          <t>VÄSTMANLANDS LÄN</t>
        </is>
      </c>
      <c r="E95" t="inlineStr">
        <is>
          <t>SURAHAMMAR</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37287-2023</t>
        </is>
      </c>
      <c r="B96" s="1" t="n">
        <v>45156</v>
      </c>
      <c r="C96" s="1" t="n">
        <v>45968</v>
      </c>
      <c r="D96" t="inlineStr">
        <is>
          <t>VÄSTMANLANDS LÄN</t>
        </is>
      </c>
      <c r="E96" t="inlineStr">
        <is>
          <t>SURAHAMMAR</t>
        </is>
      </c>
      <c r="G96" t="n">
        <v>0.6</v>
      </c>
      <c r="H96" t="n">
        <v>0</v>
      </c>
      <c r="I96" t="n">
        <v>0</v>
      </c>
      <c r="J96" t="n">
        <v>0</v>
      </c>
      <c r="K96" t="n">
        <v>0</v>
      </c>
      <c r="L96" t="n">
        <v>0</v>
      </c>
      <c r="M96" t="n">
        <v>0</v>
      </c>
      <c r="N96" t="n">
        <v>0</v>
      </c>
      <c r="O96" t="n">
        <v>0</v>
      </c>
      <c r="P96" t="n">
        <v>0</v>
      </c>
      <c r="Q96" t="n">
        <v>0</v>
      </c>
      <c r="R96" s="2" t="inlineStr"/>
    </row>
    <row r="97" ht="15" customHeight="1">
      <c r="A97" t="inlineStr">
        <is>
          <t>A 48205-2023</t>
        </is>
      </c>
      <c r="B97" s="1" t="n">
        <v>45205</v>
      </c>
      <c r="C97" s="1" t="n">
        <v>45968</v>
      </c>
      <c r="D97" t="inlineStr">
        <is>
          <t>VÄSTMANLANDS LÄN</t>
        </is>
      </c>
      <c r="E97" t="inlineStr">
        <is>
          <t>SURAHAMMAR</t>
        </is>
      </c>
      <c r="F97" t="inlineStr">
        <is>
          <t>Allmännings- och besparingsskogar</t>
        </is>
      </c>
      <c r="G97" t="n">
        <v>7.6</v>
      </c>
      <c r="H97" t="n">
        <v>0</v>
      </c>
      <c r="I97" t="n">
        <v>0</v>
      </c>
      <c r="J97" t="n">
        <v>0</v>
      </c>
      <c r="K97" t="n">
        <v>0</v>
      </c>
      <c r="L97" t="n">
        <v>0</v>
      </c>
      <c r="M97" t="n">
        <v>0</v>
      </c>
      <c r="N97" t="n">
        <v>0</v>
      </c>
      <c r="O97" t="n">
        <v>0</v>
      </c>
      <c r="P97" t="n">
        <v>0</v>
      </c>
      <c r="Q97" t="n">
        <v>0</v>
      </c>
      <c r="R97" s="2" t="inlineStr"/>
    </row>
    <row r="98" ht="15" customHeight="1">
      <c r="A98" t="inlineStr">
        <is>
          <t>A 15743-2023</t>
        </is>
      </c>
      <c r="B98" s="1" t="n">
        <v>45021</v>
      </c>
      <c r="C98" s="1" t="n">
        <v>45968</v>
      </c>
      <c r="D98" t="inlineStr">
        <is>
          <t>VÄSTMANLANDS LÄN</t>
        </is>
      </c>
      <c r="E98" t="inlineStr">
        <is>
          <t>SURAHAMMAR</t>
        </is>
      </c>
      <c r="G98" t="n">
        <v>0.5</v>
      </c>
      <c r="H98" t="n">
        <v>0</v>
      </c>
      <c r="I98" t="n">
        <v>0</v>
      </c>
      <c r="J98" t="n">
        <v>0</v>
      </c>
      <c r="K98" t="n">
        <v>0</v>
      </c>
      <c r="L98" t="n">
        <v>0</v>
      </c>
      <c r="M98" t="n">
        <v>0</v>
      </c>
      <c r="N98" t="n">
        <v>0</v>
      </c>
      <c r="O98" t="n">
        <v>0</v>
      </c>
      <c r="P98" t="n">
        <v>0</v>
      </c>
      <c r="Q98" t="n">
        <v>0</v>
      </c>
      <c r="R98" s="2" t="inlineStr"/>
    </row>
    <row r="99" ht="15" customHeight="1">
      <c r="A99" t="inlineStr">
        <is>
          <t>A 30076-2023</t>
        </is>
      </c>
      <c r="B99" s="1" t="n">
        <v>45110</v>
      </c>
      <c r="C99" s="1" t="n">
        <v>45968</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16608-2022</t>
        </is>
      </c>
      <c r="B100" s="1" t="n">
        <v>44672</v>
      </c>
      <c r="C100" s="1" t="n">
        <v>45968</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45968</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41576-2022</t>
        </is>
      </c>
      <c r="B102" s="1" t="n">
        <v>44826</v>
      </c>
      <c r="C102" s="1" t="n">
        <v>45968</v>
      </c>
      <c r="D102" t="inlineStr">
        <is>
          <t>VÄSTMANLANDS LÄN</t>
        </is>
      </c>
      <c r="E102" t="inlineStr">
        <is>
          <t>SURAHAMMAR</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45968</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7848-2022</t>
        </is>
      </c>
      <c r="B104" s="1" t="n">
        <v>44608.58400462963</v>
      </c>
      <c r="C104" s="1" t="n">
        <v>45968</v>
      </c>
      <c r="D104" t="inlineStr">
        <is>
          <t>VÄSTMANLANDS LÄN</t>
        </is>
      </c>
      <c r="E104" t="inlineStr">
        <is>
          <t>SURAHAMMAR</t>
        </is>
      </c>
      <c r="G104" t="n">
        <v>2.1</v>
      </c>
      <c r="H104" t="n">
        <v>0</v>
      </c>
      <c r="I104" t="n">
        <v>0</v>
      </c>
      <c r="J104" t="n">
        <v>0</v>
      </c>
      <c r="K104" t="n">
        <v>0</v>
      </c>
      <c r="L104" t="n">
        <v>0</v>
      </c>
      <c r="M104" t="n">
        <v>0</v>
      </c>
      <c r="N104" t="n">
        <v>0</v>
      </c>
      <c r="O104" t="n">
        <v>0</v>
      </c>
      <c r="P104" t="n">
        <v>0</v>
      </c>
      <c r="Q104" t="n">
        <v>0</v>
      </c>
      <c r="R104" s="2" t="inlineStr"/>
    </row>
    <row r="105" ht="15" customHeight="1">
      <c r="A105" t="inlineStr">
        <is>
          <t>A 13119-2022</t>
        </is>
      </c>
      <c r="B105" s="1" t="n">
        <v>44643</v>
      </c>
      <c r="C105" s="1" t="n">
        <v>45968</v>
      </c>
      <c r="D105" t="inlineStr">
        <is>
          <t>VÄSTMANLANDS LÄN</t>
        </is>
      </c>
      <c r="E105" t="inlineStr">
        <is>
          <t>SURAHAMMAR</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72367-2021</t>
        </is>
      </c>
      <c r="B106" s="1" t="n">
        <v>44545</v>
      </c>
      <c r="C106" s="1" t="n">
        <v>45968</v>
      </c>
      <c r="D106" t="inlineStr">
        <is>
          <t>VÄSTMANLANDS LÄN</t>
        </is>
      </c>
      <c r="E106" t="inlineStr">
        <is>
          <t>SURAHAMMAR</t>
        </is>
      </c>
      <c r="G106" t="n">
        <v>2.5</v>
      </c>
      <c r="H106" t="n">
        <v>0</v>
      </c>
      <c r="I106" t="n">
        <v>0</v>
      </c>
      <c r="J106" t="n">
        <v>0</v>
      </c>
      <c r="K106" t="n">
        <v>0</v>
      </c>
      <c r="L106" t="n">
        <v>0</v>
      </c>
      <c r="M106" t="n">
        <v>0</v>
      </c>
      <c r="N106" t="n">
        <v>0</v>
      </c>
      <c r="O106" t="n">
        <v>0</v>
      </c>
      <c r="P106" t="n">
        <v>0</v>
      </c>
      <c r="Q106" t="n">
        <v>0</v>
      </c>
      <c r="R106" s="2" t="inlineStr"/>
    </row>
    <row r="107" ht="15" customHeight="1">
      <c r="A107" t="inlineStr">
        <is>
          <t>A 24167-2024</t>
        </is>
      </c>
      <c r="B107" s="1" t="n">
        <v>45456</v>
      </c>
      <c r="C107" s="1" t="n">
        <v>45968</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56378-2023</t>
        </is>
      </c>
      <c r="B108" s="1" t="n">
        <v>45236</v>
      </c>
      <c r="C108" s="1" t="n">
        <v>45968</v>
      </c>
      <c r="D108" t="inlineStr">
        <is>
          <t>VÄSTMANLANDS LÄN</t>
        </is>
      </c>
      <c r="E108" t="inlineStr">
        <is>
          <t>SURAHAMMAR</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19099-2022</t>
        </is>
      </c>
      <c r="B109" s="1" t="n">
        <v>44691</v>
      </c>
      <c r="C109" s="1" t="n">
        <v>45968</v>
      </c>
      <c r="D109" t="inlineStr">
        <is>
          <t>VÄSTMANLANDS LÄN</t>
        </is>
      </c>
      <c r="E109" t="inlineStr">
        <is>
          <t>SURAHAMMAR</t>
        </is>
      </c>
      <c r="F109" t="inlineStr">
        <is>
          <t>Övriga Aktiebolag</t>
        </is>
      </c>
      <c r="G109" t="n">
        <v>3.4</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44790.65153935185</v>
      </c>
      <c r="C110" s="1" t="n">
        <v>45968</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11501-2023</t>
        </is>
      </c>
      <c r="B111" s="1" t="n">
        <v>44991</v>
      </c>
      <c r="C111" s="1" t="n">
        <v>45968</v>
      </c>
      <c r="D111" t="inlineStr">
        <is>
          <t>VÄSTMANLANDS LÄN</t>
        </is>
      </c>
      <c r="E111" t="inlineStr">
        <is>
          <t>SURAHAMMAR</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8553-2023</t>
        </is>
      </c>
      <c r="B112" s="1" t="n">
        <v>44977</v>
      </c>
      <c r="C112" s="1" t="n">
        <v>45968</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19786-2023</t>
        </is>
      </c>
      <c r="B113" s="1" t="n">
        <v>45050</v>
      </c>
      <c r="C113" s="1" t="n">
        <v>45968</v>
      </c>
      <c r="D113" t="inlineStr">
        <is>
          <t>VÄSTMANLANDS LÄN</t>
        </is>
      </c>
      <c r="E113" t="inlineStr">
        <is>
          <t>SURAHAMMAR</t>
        </is>
      </c>
      <c r="F113" t="inlineStr">
        <is>
          <t>Bergvik skog väst AB</t>
        </is>
      </c>
      <c r="G113" t="n">
        <v>8.1</v>
      </c>
      <c r="H113" t="n">
        <v>0</v>
      </c>
      <c r="I113" t="n">
        <v>0</v>
      </c>
      <c r="J113" t="n">
        <v>0</v>
      </c>
      <c r="K113" t="n">
        <v>0</v>
      </c>
      <c r="L113" t="n">
        <v>0</v>
      </c>
      <c r="M113" t="n">
        <v>0</v>
      </c>
      <c r="N113" t="n">
        <v>0</v>
      </c>
      <c r="O113" t="n">
        <v>0</v>
      </c>
      <c r="P113" t="n">
        <v>0</v>
      </c>
      <c r="Q113" t="n">
        <v>0</v>
      </c>
      <c r="R113" s="2" t="inlineStr"/>
    </row>
    <row r="114" ht="15" customHeight="1">
      <c r="A114" t="inlineStr">
        <is>
          <t>A 24158-2023</t>
        </is>
      </c>
      <c r="B114" s="1" t="n">
        <v>45079</v>
      </c>
      <c r="C114" s="1" t="n">
        <v>45968</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3818-2022</t>
        </is>
      </c>
      <c r="B115" s="1" t="n">
        <v>44587</v>
      </c>
      <c r="C115" s="1" t="n">
        <v>45968</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45968</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42714-2022</t>
        </is>
      </c>
      <c r="B117" s="1" t="n">
        <v>44832</v>
      </c>
      <c r="C117" s="1" t="n">
        <v>45968</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32916-2025</t>
        </is>
      </c>
      <c r="B118" s="1" t="n">
        <v>45839</v>
      </c>
      <c r="C118" s="1" t="n">
        <v>45968</v>
      </c>
      <c r="D118" t="inlineStr">
        <is>
          <t>VÄSTMANLANDS LÄN</t>
        </is>
      </c>
      <c r="E118" t="inlineStr">
        <is>
          <t>SURAHAMMAR</t>
        </is>
      </c>
      <c r="F118" t="inlineStr">
        <is>
          <t>Kommuner</t>
        </is>
      </c>
      <c r="G118" t="n">
        <v>4.9</v>
      </c>
      <c r="H118" t="n">
        <v>0</v>
      </c>
      <c r="I118" t="n">
        <v>0</v>
      </c>
      <c r="J118" t="n">
        <v>0</v>
      </c>
      <c r="K118" t="n">
        <v>0</v>
      </c>
      <c r="L118" t="n">
        <v>0</v>
      </c>
      <c r="M118" t="n">
        <v>0</v>
      </c>
      <c r="N118" t="n">
        <v>0</v>
      </c>
      <c r="O118" t="n">
        <v>0</v>
      </c>
      <c r="P118" t="n">
        <v>0</v>
      </c>
      <c r="Q118" t="n">
        <v>0</v>
      </c>
      <c r="R118" s="2" t="inlineStr"/>
    </row>
    <row r="119" ht="15" customHeight="1">
      <c r="A119" t="inlineStr">
        <is>
          <t>A 32910-2025</t>
        </is>
      </c>
      <c r="B119" s="1" t="n">
        <v>45839</v>
      </c>
      <c r="C119" s="1" t="n">
        <v>45968</v>
      </c>
      <c r="D119" t="inlineStr">
        <is>
          <t>VÄSTMANLANDS LÄN</t>
        </is>
      </c>
      <c r="E119" t="inlineStr">
        <is>
          <t>SURAHAMMAR</t>
        </is>
      </c>
      <c r="F119" t="inlineStr">
        <is>
          <t>Kommuner</t>
        </is>
      </c>
      <c r="G119" t="n">
        <v>1.1</v>
      </c>
      <c r="H119" t="n">
        <v>0</v>
      </c>
      <c r="I119" t="n">
        <v>0</v>
      </c>
      <c r="J119" t="n">
        <v>0</v>
      </c>
      <c r="K119" t="n">
        <v>0</v>
      </c>
      <c r="L119" t="n">
        <v>0</v>
      </c>
      <c r="M119" t="n">
        <v>0</v>
      </c>
      <c r="N119" t="n">
        <v>0</v>
      </c>
      <c r="O119" t="n">
        <v>0</v>
      </c>
      <c r="P119" t="n">
        <v>0</v>
      </c>
      <c r="Q119" t="n">
        <v>0</v>
      </c>
      <c r="R119" s="2" t="inlineStr"/>
    </row>
    <row r="120" ht="15" customHeight="1">
      <c r="A120" t="inlineStr">
        <is>
          <t>A 35682-2022</t>
        </is>
      </c>
      <c r="B120" s="1" t="n">
        <v>44799.60422453703</v>
      </c>
      <c r="C120" s="1" t="n">
        <v>45968</v>
      </c>
      <c r="D120" t="inlineStr">
        <is>
          <t>VÄSTMANLANDS LÄN</t>
        </is>
      </c>
      <c r="E120" t="inlineStr">
        <is>
          <t>SURAHAMMAR</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11728-2023</t>
        </is>
      </c>
      <c r="B121" s="1" t="n">
        <v>44993</v>
      </c>
      <c r="C121" s="1" t="n">
        <v>45968</v>
      </c>
      <c r="D121" t="inlineStr">
        <is>
          <t>VÄSTMANLANDS LÄN</t>
        </is>
      </c>
      <c r="E121" t="inlineStr">
        <is>
          <t>SURAHAMMAR</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5567-2022</t>
        </is>
      </c>
      <c r="B122" s="1" t="n">
        <v>44595</v>
      </c>
      <c r="C122" s="1" t="n">
        <v>45968</v>
      </c>
      <c r="D122" t="inlineStr">
        <is>
          <t>VÄSTMANLANDS LÄN</t>
        </is>
      </c>
      <c r="E122" t="inlineStr">
        <is>
          <t>SURAHAMMAR</t>
        </is>
      </c>
      <c r="G122" t="n">
        <v>1.3</v>
      </c>
      <c r="H122" t="n">
        <v>0</v>
      </c>
      <c r="I122" t="n">
        <v>0</v>
      </c>
      <c r="J122" t="n">
        <v>0</v>
      </c>
      <c r="K122" t="n">
        <v>0</v>
      </c>
      <c r="L122" t="n">
        <v>0</v>
      </c>
      <c r="M122" t="n">
        <v>0</v>
      </c>
      <c r="N122" t="n">
        <v>0</v>
      </c>
      <c r="O122" t="n">
        <v>0</v>
      </c>
      <c r="P122" t="n">
        <v>0</v>
      </c>
      <c r="Q122" t="n">
        <v>0</v>
      </c>
      <c r="R122" s="2" t="inlineStr"/>
    </row>
    <row r="123" ht="15" customHeight="1">
      <c r="A123" t="inlineStr">
        <is>
          <t>A 42832-2022</t>
        </is>
      </c>
      <c r="B123" s="1" t="n">
        <v>44832</v>
      </c>
      <c r="C123" s="1" t="n">
        <v>45968</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24665-2023</t>
        </is>
      </c>
      <c r="B124" s="1" t="n">
        <v>45084.48592592592</v>
      </c>
      <c r="C124" s="1" t="n">
        <v>45968</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32808-2024</t>
        </is>
      </c>
      <c r="B125" s="1" t="n">
        <v>45516</v>
      </c>
      <c r="C125" s="1" t="n">
        <v>45968</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37013-2025</t>
        </is>
      </c>
      <c r="B126" s="1" t="n">
        <v>45874</v>
      </c>
      <c r="C126" s="1" t="n">
        <v>45968</v>
      </c>
      <c r="D126" t="inlineStr">
        <is>
          <t>VÄSTMANLANDS LÄN</t>
        </is>
      </c>
      <c r="E126" t="inlineStr">
        <is>
          <t>SURAHAMMAR</t>
        </is>
      </c>
      <c r="F126" t="inlineStr">
        <is>
          <t>Bergvik skog väst AB</t>
        </is>
      </c>
      <c r="G126" t="n">
        <v>10.7</v>
      </c>
      <c r="H126" t="n">
        <v>0</v>
      </c>
      <c r="I126" t="n">
        <v>0</v>
      </c>
      <c r="J126" t="n">
        <v>0</v>
      </c>
      <c r="K126" t="n">
        <v>0</v>
      </c>
      <c r="L126" t="n">
        <v>0</v>
      </c>
      <c r="M126" t="n">
        <v>0</v>
      </c>
      <c r="N126" t="n">
        <v>0</v>
      </c>
      <c r="O126" t="n">
        <v>0</v>
      </c>
      <c r="P126" t="n">
        <v>0</v>
      </c>
      <c r="Q126" t="n">
        <v>0</v>
      </c>
      <c r="R126" s="2" t="inlineStr"/>
    </row>
    <row r="127" ht="15" customHeight="1">
      <c r="A127" t="inlineStr">
        <is>
          <t>A 42841-2022</t>
        </is>
      </c>
      <c r="B127" s="1" t="n">
        <v>44832</v>
      </c>
      <c r="C127" s="1" t="n">
        <v>45968</v>
      </c>
      <c r="D127" t="inlineStr">
        <is>
          <t>VÄSTMANLANDS LÄN</t>
        </is>
      </c>
      <c r="E127" t="inlineStr">
        <is>
          <t>SURAHAMMAR</t>
        </is>
      </c>
      <c r="G127" t="n">
        <v>1.8</v>
      </c>
      <c r="H127" t="n">
        <v>0</v>
      </c>
      <c r="I127" t="n">
        <v>0</v>
      </c>
      <c r="J127" t="n">
        <v>0</v>
      </c>
      <c r="K127" t="n">
        <v>0</v>
      </c>
      <c r="L127" t="n">
        <v>0</v>
      </c>
      <c r="M127" t="n">
        <v>0</v>
      </c>
      <c r="N127" t="n">
        <v>0</v>
      </c>
      <c r="O127" t="n">
        <v>0</v>
      </c>
      <c r="P127" t="n">
        <v>0</v>
      </c>
      <c r="Q127" t="n">
        <v>0</v>
      </c>
      <c r="R127" s="2" t="inlineStr"/>
    </row>
    <row r="128" ht="15" customHeight="1">
      <c r="A128" t="inlineStr">
        <is>
          <t>A 37954-2025</t>
        </is>
      </c>
      <c r="B128" s="1" t="n">
        <v>45881</v>
      </c>
      <c r="C128" s="1" t="n">
        <v>45968</v>
      </c>
      <c r="D128" t="inlineStr">
        <is>
          <t>VÄSTMANLANDS LÄN</t>
        </is>
      </c>
      <c r="E128" t="inlineStr">
        <is>
          <t>SURAHAMMAR</t>
        </is>
      </c>
      <c r="G128" t="n">
        <v>9.5</v>
      </c>
      <c r="H128" t="n">
        <v>0</v>
      </c>
      <c r="I128" t="n">
        <v>0</v>
      </c>
      <c r="J128" t="n">
        <v>0</v>
      </c>
      <c r="K128" t="n">
        <v>0</v>
      </c>
      <c r="L128" t="n">
        <v>0</v>
      </c>
      <c r="M128" t="n">
        <v>0</v>
      </c>
      <c r="N128" t="n">
        <v>0</v>
      </c>
      <c r="O128" t="n">
        <v>0</v>
      </c>
      <c r="P128" t="n">
        <v>0</v>
      </c>
      <c r="Q128" t="n">
        <v>0</v>
      </c>
      <c r="R128" s="2" t="inlineStr"/>
    </row>
    <row r="129" ht="15" customHeight="1">
      <c r="A129" t="inlineStr">
        <is>
          <t>A 42829-2022</t>
        </is>
      </c>
      <c r="B129" s="1" t="n">
        <v>44832</v>
      </c>
      <c r="C129" s="1" t="n">
        <v>45968</v>
      </c>
      <c r="D129" t="inlineStr">
        <is>
          <t>VÄSTMANLANDS LÄN</t>
        </is>
      </c>
      <c r="E129" t="inlineStr">
        <is>
          <t>SURAHAMMAR</t>
        </is>
      </c>
      <c r="G129" t="n">
        <v>1.6</v>
      </c>
      <c r="H129" t="n">
        <v>0</v>
      </c>
      <c r="I129" t="n">
        <v>0</v>
      </c>
      <c r="J129" t="n">
        <v>0</v>
      </c>
      <c r="K129" t="n">
        <v>0</v>
      </c>
      <c r="L129" t="n">
        <v>0</v>
      </c>
      <c r="M129" t="n">
        <v>0</v>
      </c>
      <c r="N129" t="n">
        <v>0</v>
      </c>
      <c r="O129" t="n">
        <v>0</v>
      </c>
      <c r="P129" t="n">
        <v>0</v>
      </c>
      <c r="Q129" t="n">
        <v>0</v>
      </c>
      <c r="R129" s="2" t="inlineStr"/>
    </row>
    <row r="130" ht="15" customHeight="1">
      <c r="A130" t="inlineStr">
        <is>
          <t>A 2867-2024</t>
        </is>
      </c>
      <c r="B130" s="1" t="n">
        <v>45315</v>
      </c>
      <c r="C130" s="1" t="n">
        <v>45968</v>
      </c>
      <c r="D130" t="inlineStr">
        <is>
          <t>VÄSTMANLANDS LÄN</t>
        </is>
      </c>
      <c r="E130" t="inlineStr">
        <is>
          <t>SURAHAMMAR</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21509-2024</t>
        </is>
      </c>
      <c r="B131" s="1" t="n">
        <v>45441</v>
      </c>
      <c r="C131" s="1" t="n">
        <v>45968</v>
      </c>
      <c r="D131" t="inlineStr">
        <is>
          <t>VÄSTMANLANDS LÄN</t>
        </is>
      </c>
      <c r="E131" t="inlineStr">
        <is>
          <t>SURAHAMMAR</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45968</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7787-2024</t>
        </is>
      </c>
      <c r="B133" s="1" t="n">
        <v>45348</v>
      </c>
      <c r="C133" s="1" t="n">
        <v>45968</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22662-2023</t>
        </is>
      </c>
      <c r="B134" s="1" t="n">
        <v>45071</v>
      </c>
      <c r="C134" s="1" t="n">
        <v>45968</v>
      </c>
      <c r="D134" t="inlineStr">
        <is>
          <t>VÄSTMANLANDS LÄN</t>
        </is>
      </c>
      <c r="E134" t="inlineStr">
        <is>
          <t>SURAHAMMAR</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16013-2023</t>
        </is>
      </c>
      <c r="B135" s="1" t="n">
        <v>45026</v>
      </c>
      <c r="C135" s="1" t="n">
        <v>45968</v>
      </c>
      <c r="D135" t="inlineStr">
        <is>
          <t>VÄSTMANLANDS LÄN</t>
        </is>
      </c>
      <c r="E135" t="inlineStr">
        <is>
          <t>SURAHAMMAR</t>
        </is>
      </c>
      <c r="G135" t="n">
        <v>3.9</v>
      </c>
      <c r="H135" t="n">
        <v>0</v>
      </c>
      <c r="I135" t="n">
        <v>0</v>
      </c>
      <c r="J135" t="n">
        <v>0</v>
      </c>
      <c r="K135" t="n">
        <v>0</v>
      </c>
      <c r="L135" t="n">
        <v>0</v>
      </c>
      <c r="M135" t="n">
        <v>0</v>
      </c>
      <c r="N135" t="n">
        <v>0</v>
      </c>
      <c r="O135" t="n">
        <v>0</v>
      </c>
      <c r="P135" t="n">
        <v>0</v>
      </c>
      <c r="Q135" t="n">
        <v>0</v>
      </c>
      <c r="R135" s="2" t="inlineStr"/>
    </row>
    <row r="136" ht="15" customHeight="1">
      <c r="A136" t="inlineStr">
        <is>
          <t>A 34582-2025</t>
        </is>
      </c>
      <c r="B136" s="1" t="n">
        <v>45846</v>
      </c>
      <c r="C136" s="1" t="n">
        <v>45968</v>
      </c>
      <c r="D136" t="inlineStr">
        <is>
          <t>VÄSTMANLANDS LÄN</t>
        </is>
      </c>
      <c r="E136" t="inlineStr">
        <is>
          <t>SURAHAMMAR</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41555-2022</t>
        </is>
      </c>
      <c r="B137" s="1" t="n">
        <v>44826</v>
      </c>
      <c r="C137" s="1" t="n">
        <v>45968</v>
      </c>
      <c r="D137" t="inlineStr">
        <is>
          <t>VÄSTMANLANDS LÄN</t>
        </is>
      </c>
      <c r="E137" t="inlineStr">
        <is>
          <t>SURAHAMMAR</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45968</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45968</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25780-2023</t>
        </is>
      </c>
      <c r="B140" s="1" t="n">
        <v>45090.47523148148</v>
      </c>
      <c r="C140" s="1" t="n">
        <v>45968</v>
      </c>
      <c r="D140" t="inlineStr">
        <is>
          <t>VÄSTMANLANDS LÄN</t>
        </is>
      </c>
      <c r="E140" t="inlineStr">
        <is>
          <t>SURAHAMMAR</t>
        </is>
      </c>
      <c r="G140" t="n">
        <v>2.8</v>
      </c>
      <c r="H140" t="n">
        <v>0</v>
      </c>
      <c r="I140" t="n">
        <v>0</v>
      </c>
      <c r="J140" t="n">
        <v>0</v>
      </c>
      <c r="K140" t="n">
        <v>0</v>
      </c>
      <c r="L140" t="n">
        <v>0</v>
      </c>
      <c r="M140" t="n">
        <v>0</v>
      </c>
      <c r="N140" t="n">
        <v>0</v>
      </c>
      <c r="O140" t="n">
        <v>0</v>
      </c>
      <c r="P140" t="n">
        <v>0</v>
      </c>
      <c r="Q140" t="n">
        <v>0</v>
      </c>
      <c r="R140" s="2" t="inlineStr"/>
    </row>
    <row r="141" ht="15" customHeight="1">
      <c r="A141" t="inlineStr">
        <is>
          <t>A 34955-2022</t>
        </is>
      </c>
      <c r="B141" s="1" t="n">
        <v>44796</v>
      </c>
      <c r="C141" s="1" t="n">
        <v>45968</v>
      </c>
      <c r="D141" t="inlineStr">
        <is>
          <t>VÄSTMANLANDS LÄN</t>
        </is>
      </c>
      <c r="E141" t="inlineStr">
        <is>
          <t>SURAHAMMAR</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45968</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47785-2021</t>
        </is>
      </c>
      <c r="B143" s="1" t="n">
        <v>44448</v>
      </c>
      <c r="C143" s="1" t="n">
        <v>45968</v>
      </c>
      <c r="D143" t="inlineStr">
        <is>
          <t>VÄSTMANLANDS LÄN</t>
        </is>
      </c>
      <c r="E143" t="inlineStr">
        <is>
          <t>SURAHAMMAR</t>
        </is>
      </c>
      <c r="F143" t="inlineStr">
        <is>
          <t>Kommuner</t>
        </is>
      </c>
      <c r="G143" t="n">
        <v>3.3</v>
      </c>
      <c r="H143" t="n">
        <v>0</v>
      </c>
      <c r="I143" t="n">
        <v>0</v>
      </c>
      <c r="J143" t="n">
        <v>0</v>
      </c>
      <c r="K143" t="n">
        <v>0</v>
      </c>
      <c r="L143" t="n">
        <v>0</v>
      </c>
      <c r="M143" t="n">
        <v>0</v>
      </c>
      <c r="N143" t="n">
        <v>0</v>
      </c>
      <c r="O143" t="n">
        <v>0</v>
      </c>
      <c r="P143" t="n">
        <v>0</v>
      </c>
      <c r="Q143" t="n">
        <v>0</v>
      </c>
      <c r="R143" s="2" t="inlineStr"/>
    </row>
    <row r="144" ht="15" customHeight="1">
      <c r="A144" t="inlineStr">
        <is>
          <t>A 20904-2023</t>
        </is>
      </c>
      <c r="B144" s="1" t="n">
        <v>45060</v>
      </c>
      <c r="C144" s="1" t="n">
        <v>45968</v>
      </c>
      <c r="D144" t="inlineStr">
        <is>
          <t>VÄSTMANLANDS LÄN</t>
        </is>
      </c>
      <c r="E144" t="inlineStr">
        <is>
          <t>SURAHAMMAR</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42088-2025</t>
        </is>
      </c>
      <c r="B145" s="1" t="n">
        <v>45902</v>
      </c>
      <c r="C145" s="1" t="n">
        <v>45968</v>
      </c>
      <c r="D145" t="inlineStr">
        <is>
          <t>VÄSTMANLANDS LÄN</t>
        </is>
      </c>
      <c r="E145" t="inlineStr">
        <is>
          <t>SURAHAMMAR</t>
        </is>
      </c>
      <c r="G145" t="n">
        <v>1</v>
      </c>
      <c r="H145" t="n">
        <v>0</v>
      </c>
      <c r="I145" t="n">
        <v>0</v>
      </c>
      <c r="J145" t="n">
        <v>0</v>
      </c>
      <c r="K145" t="n">
        <v>0</v>
      </c>
      <c r="L145" t="n">
        <v>0</v>
      </c>
      <c r="M145" t="n">
        <v>0</v>
      </c>
      <c r="N145" t="n">
        <v>0</v>
      </c>
      <c r="O145" t="n">
        <v>0</v>
      </c>
      <c r="P145" t="n">
        <v>0</v>
      </c>
      <c r="Q145" t="n">
        <v>0</v>
      </c>
      <c r="R145" s="2" t="inlineStr"/>
    </row>
    <row r="146" ht="15" customHeight="1">
      <c r="A146" t="inlineStr">
        <is>
          <t>A 10883-2023</t>
        </is>
      </c>
      <c r="B146" s="1" t="n">
        <v>44991</v>
      </c>
      <c r="C146" s="1" t="n">
        <v>45968</v>
      </c>
      <c r="D146" t="inlineStr">
        <is>
          <t>VÄSTMANLANDS LÄN</t>
        </is>
      </c>
      <c r="E146" t="inlineStr">
        <is>
          <t>SURAHAMMAR</t>
        </is>
      </c>
      <c r="F146" t="inlineStr">
        <is>
          <t>Övriga Aktiebolag</t>
        </is>
      </c>
      <c r="G146" t="n">
        <v>12.5</v>
      </c>
      <c r="H146" t="n">
        <v>0</v>
      </c>
      <c r="I146" t="n">
        <v>0</v>
      </c>
      <c r="J146" t="n">
        <v>0</v>
      </c>
      <c r="K146" t="n">
        <v>0</v>
      </c>
      <c r="L146" t="n">
        <v>0</v>
      </c>
      <c r="M146" t="n">
        <v>0</v>
      </c>
      <c r="N146" t="n">
        <v>0</v>
      </c>
      <c r="O146" t="n">
        <v>0</v>
      </c>
      <c r="P146" t="n">
        <v>0</v>
      </c>
      <c r="Q146" t="n">
        <v>0</v>
      </c>
      <c r="R146" s="2" t="inlineStr"/>
    </row>
    <row r="147" ht="15" customHeight="1">
      <c r="A147" t="inlineStr">
        <is>
          <t>A 2660-2024</t>
        </is>
      </c>
      <c r="B147" s="1" t="n">
        <v>45310</v>
      </c>
      <c r="C147" s="1" t="n">
        <v>45968</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31107-2025</t>
        </is>
      </c>
      <c r="B148" s="1" t="n">
        <v>45831</v>
      </c>
      <c r="C148" s="1" t="n">
        <v>45968</v>
      </c>
      <c r="D148" t="inlineStr">
        <is>
          <t>VÄSTMANLANDS LÄN</t>
        </is>
      </c>
      <c r="E148" t="inlineStr">
        <is>
          <t>SURAHAMMAR</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43249-2025</t>
        </is>
      </c>
      <c r="B149" s="1" t="n">
        <v>45910.55059027778</v>
      </c>
      <c r="C149" s="1" t="n">
        <v>45968</v>
      </c>
      <c r="D149" t="inlineStr">
        <is>
          <t>VÄSTMANLANDS LÄN</t>
        </is>
      </c>
      <c r="E149" t="inlineStr">
        <is>
          <t>SURAHAMMAR</t>
        </is>
      </c>
      <c r="G149" t="n">
        <v>1.9</v>
      </c>
      <c r="H149" t="n">
        <v>0</v>
      </c>
      <c r="I149" t="n">
        <v>0</v>
      </c>
      <c r="J149" t="n">
        <v>0</v>
      </c>
      <c r="K149" t="n">
        <v>0</v>
      </c>
      <c r="L149" t="n">
        <v>0</v>
      </c>
      <c r="M149" t="n">
        <v>0</v>
      </c>
      <c r="N149" t="n">
        <v>0</v>
      </c>
      <c r="O149" t="n">
        <v>0</v>
      </c>
      <c r="P149" t="n">
        <v>0</v>
      </c>
      <c r="Q149" t="n">
        <v>0</v>
      </c>
      <c r="R149" s="2" t="inlineStr"/>
    </row>
    <row r="150" ht="15" customHeight="1">
      <c r="A150" t="inlineStr">
        <is>
          <t>A 43255-2025</t>
        </is>
      </c>
      <c r="B150" s="1" t="n">
        <v>45910.55325231481</v>
      </c>
      <c r="C150" s="1" t="n">
        <v>45968</v>
      </c>
      <c r="D150" t="inlineStr">
        <is>
          <t>VÄSTMANLANDS LÄN</t>
        </is>
      </c>
      <c r="E150" t="inlineStr">
        <is>
          <t>SURAHAMMAR</t>
        </is>
      </c>
      <c r="G150" t="n">
        <v>1.9</v>
      </c>
      <c r="H150" t="n">
        <v>0</v>
      </c>
      <c r="I150" t="n">
        <v>0</v>
      </c>
      <c r="J150" t="n">
        <v>0</v>
      </c>
      <c r="K150" t="n">
        <v>0</v>
      </c>
      <c r="L150" t="n">
        <v>0</v>
      </c>
      <c r="M150" t="n">
        <v>0</v>
      </c>
      <c r="N150" t="n">
        <v>0</v>
      </c>
      <c r="O150" t="n">
        <v>0</v>
      </c>
      <c r="P150" t="n">
        <v>0</v>
      </c>
      <c r="Q150" t="n">
        <v>0</v>
      </c>
      <c r="R150" s="2" t="inlineStr"/>
    </row>
    <row r="151">
      <c r="A151" t="inlineStr">
        <is>
          <t>A 55042-2025</t>
        </is>
      </c>
      <c r="B151" s="1" t="n">
        <v>45967.65858796296</v>
      </c>
      <c r="C151" s="1" t="n">
        <v>45968</v>
      </c>
      <c r="D151" t="inlineStr">
        <is>
          <t>VÄSTMANLANDS LÄN</t>
        </is>
      </c>
      <c r="E151" t="inlineStr">
        <is>
          <t>SURAHAMMAR</t>
        </is>
      </c>
      <c r="F151" t="inlineStr">
        <is>
          <t>Sveaskog</t>
        </is>
      </c>
      <c r="G151" t="n">
        <v>7.2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2025-11-07T10:15:10Z</dcterms:created>
  <dcterms:modified xmlns:dcterms="http://purl.org/dc/terms/" xmlns:xsi="http://www.w3.org/2001/XMLSchema-instance" xsi:type="dcterms:W3CDTF">2025-11-07T10:15:10Z</dcterms:modified>
</cp:coreProperties>
</file>