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46000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46000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46000</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46000</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46000</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46000</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46000</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46000</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46000</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46000</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46000</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46000</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46000</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46000</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46000</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46000</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46000</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46000</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46000</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46000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46000</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38172-2024</t>
        </is>
      </c>
      <c r="B24" s="1" t="n">
        <v>45545</v>
      </c>
      <c r="C24" s="1" t="n">
        <v>46000</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46000</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46000</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46000</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46000</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46000</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46000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39694-2025</t>
        </is>
      </c>
      <c r="B31" s="1" t="n">
        <v>45890</v>
      </c>
      <c r="C31" s="1" t="n">
        <v>46000</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42708-2022</t>
        </is>
      </c>
      <c r="B32" s="1" t="n">
        <v>44832</v>
      </c>
      <c r="C32" s="1" t="n">
        <v>46000</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46000</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46000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46000</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46000</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46000</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46000</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46000</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46000</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46000</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46000</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46000</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46000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46000</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46000</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46000</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46000</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46000</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46000</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46000</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46000</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46000</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46000</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46000</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46000</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55042-2025</t>
        </is>
      </c>
      <c r="B57" s="1" t="n">
        <v>45967.65858796296</v>
      </c>
      <c r="C57" s="1" t="n">
        <v>46000</v>
      </c>
      <c r="D57" t="inlineStr">
        <is>
          <t>VÄSTMANLANDS LÄN</t>
        </is>
      </c>
      <c r="E57" t="inlineStr">
        <is>
          <t>SURAHAMMAR</t>
        </is>
      </c>
      <c r="F57" t="inlineStr">
        <is>
          <t>Sveaskog</t>
        </is>
      </c>
      <c r="G57" t="n">
        <v>7.2</v>
      </c>
      <c r="H57" t="n">
        <v>0</v>
      </c>
      <c r="I57" t="n">
        <v>0</v>
      </c>
      <c r="J57" t="n">
        <v>1</v>
      </c>
      <c r="K57" t="n">
        <v>0</v>
      </c>
      <c r="L57" t="n">
        <v>0</v>
      </c>
      <c r="M57" t="n">
        <v>0</v>
      </c>
      <c r="N57" t="n">
        <v>0</v>
      </c>
      <c r="O57" t="n">
        <v>1</v>
      </c>
      <c r="P57" t="n">
        <v>0</v>
      </c>
      <c r="Q57" t="n">
        <v>1</v>
      </c>
      <c r="R57" s="2" t="inlineStr">
        <is>
          <t>Motaggsvamp</t>
        </is>
      </c>
      <c r="S57">
        <f>HYPERLINK("https://klasma.github.io/Logging_1907/artfynd/A 55042-2025 artfynd.xlsx", "A 55042-2025")</f>
        <v/>
      </c>
      <c r="T57">
        <f>HYPERLINK("https://klasma.github.io/Logging_1907/kartor/A 55042-2025 karta.png", "A 55042-2025")</f>
        <v/>
      </c>
      <c r="V57">
        <f>HYPERLINK("https://klasma.github.io/Logging_1907/klagomål/A 55042-2025 FSC-klagomål.docx", "A 55042-2025")</f>
        <v/>
      </c>
      <c r="W57">
        <f>HYPERLINK("https://klasma.github.io/Logging_1907/klagomålsmail/A 55042-2025 FSC-klagomål mail.docx", "A 55042-2025")</f>
        <v/>
      </c>
      <c r="X57">
        <f>HYPERLINK("https://klasma.github.io/Logging_1907/tillsyn/A 55042-2025 tillsynsbegäran.docx", "A 55042-2025")</f>
        <v/>
      </c>
      <c r="Y57">
        <f>HYPERLINK("https://klasma.github.io/Logging_1907/tillsynsmail/A 55042-2025 tillsynsbegäran mail.docx", "A 55042-2025")</f>
        <v/>
      </c>
    </row>
    <row r="58" ht="15" customHeight="1">
      <c r="A58" t="inlineStr">
        <is>
          <t>A 39099-2022</t>
        </is>
      </c>
      <c r="B58" s="1" t="n">
        <v>44817</v>
      </c>
      <c r="C58" s="1" t="n">
        <v>46000</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56768-2025</t>
        </is>
      </c>
      <c r="B59" s="1" t="n">
        <v>45978</v>
      </c>
      <c r="C59" s="1" t="n">
        <v>46000</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42765-2022</t>
        </is>
      </c>
      <c r="B60" s="1" t="n">
        <v>44832</v>
      </c>
      <c r="C60" s="1" t="n">
        <v>46000</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46000</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46000</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46000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44356-2024</t>
        </is>
      </c>
      <c r="B64" s="1" t="n">
        <v>45573</v>
      </c>
      <c r="C64" s="1" t="n">
        <v>46000</v>
      </c>
      <c r="D64" t="inlineStr">
        <is>
          <t>VÄSTMANLANDS LÄN</t>
        </is>
      </c>
      <c r="E64" t="inlineStr">
        <is>
          <t>SURAHAMMAR</t>
        </is>
      </c>
      <c r="F64" t="inlineStr">
        <is>
          <t>Sveaskog</t>
        </is>
      </c>
      <c r="G64" t="n">
        <v>0.7</v>
      </c>
      <c r="H64" t="n">
        <v>1</v>
      </c>
      <c r="I64" t="n">
        <v>0</v>
      </c>
      <c r="J64" t="n">
        <v>0</v>
      </c>
      <c r="K64" t="n">
        <v>0</v>
      </c>
      <c r="L64" t="n">
        <v>0</v>
      </c>
      <c r="M64" t="n">
        <v>0</v>
      </c>
      <c r="N64" t="n">
        <v>0</v>
      </c>
      <c r="O64" t="n">
        <v>0</v>
      </c>
      <c r="P64" t="n">
        <v>0</v>
      </c>
      <c r="Q64" t="n">
        <v>1</v>
      </c>
      <c r="R64" s="2" t="inlineStr">
        <is>
          <t>Revlummer</t>
        </is>
      </c>
      <c r="S64">
        <f>HYPERLINK("https://klasma.github.io/Logging_1907/artfynd/A 44356-2024 artfynd.xlsx", "A 44356-2024")</f>
        <v/>
      </c>
      <c r="T64">
        <f>HYPERLINK("https://klasma.github.io/Logging_1907/kartor/A 44356-2024 karta.png", "A 44356-2024")</f>
        <v/>
      </c>
      <c r="V64">
        <f>HYPERLINK("https://klasma.github.io/Logging_1907/klagomål/A 44356-2024 FSC-klagomål.docx", "A 44356-2024")</f>
        <v/>
      </c>
      <c r="W64">
        <f>HYPERLINK("https://klasma.github.io/Logging_1907/klagomålsmail/A 44356-2024 FSC-klagomål mail.docx", "A 44356-2024")</f>
        <v/>
      </c>
      <c r="X64">
        <f>HYPERLINK("https://klasma.github.io/Logging_1907/tillsyn/A 44356-2024 tillsynsbegäran.docx", "A 44356-2024")</f>
        <v/>
      </c>
      <c r="Y64">
        <f>HYPERLINK("https://klasma.github.io/Logging_1907/tillsynsmail/A 44356-2024 tillsynsbegäran mail.docx", "A 44356-2024")</f>
        <v/>
      </c>
    </row>
    <row r="65" ht="15" customHeight="1">
      <c r="A65" t="inlineStr">
        <is>
          <t>A 22840-2023</t>
        </is>
      </c>
      <c r="B65" s="1" t="n">
        <v>45072</v>
      </c>
      <c r="C65" s="1" t="n">
        <v>46000</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33231-2024</t>
        </is>
      </c>
      <c r="B66" s="1" t="n">
        <v>45518</v>
      </c>
      <c r="C66" s="1" t="n">
        <v>46000</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14001-2023</t>
        </is>
      </c>
      <c r="B67" s="1" t="n">
        <v>45007</v>
      </c>
      <c r="C67" s="1" t="n">
        <v>46000</v>
      </c>
      <c r="D67" t="inlineStr">
        <is>
          <t>VÄSTMANLANDS LÄN</t>
        </is>
      </c>
      <c r="E67" t="inlineStr">
        <is>
          <t>SURAHAMMAR</t>
        </is>
      </c>
      <c r="F67" t="inlineStr">
        <is>
          <t>Bergvik skog väst AB</t>
        </is>
      </c>
      <c r="G67" t="n">
        <v>1</v>
      </c>
      <c r="H67" t="n">
        <v>0</v>
      </c>
      <c r="I67" t="n">
        <v>0</v>
      </c>
      <c r="J67" t="n">
        <v>1</v>
      </c>
      <c r="K67" t="n">
        <v>0</v>
      </c>
      <c r="L67" t="n">
        <v>0</v>
      </c>
      <c r="M67" t="n">
        <v>0</v>
      </c>
      <c r="N67" t="n">
        <v>0</v>
      </c>
      <c r="O67" t="n">
        <v>1</v>
      </c>
      <c r="P67" t="n">
        <v>0</v>
      </c>
      <c r="Q67" t="n">
        <v>1</v>
      </c>
      <c r="R67" s="2" t="inlineStr">
        <is>
          <t>Motaggsvamp</t>
        </is>
      </c>
      <c r="S67">
        <f>HYPERLINK("https://klasma.github.io/Logging_1907/artfynd/A 14001-2023 artfynd.xlsx", "A 14001-2023")</f>
        <v/>
      </c>
      <c r="T67">
        <f>HYPERLINK("https://klasma.github.io/Logging_1907/kartor/A 14001-2023 karta.png", "A 14001-2023")</f>
        <v/>
      </c>
      <c r="V67">
        <f>HYPERLINK("https://klasma.github.io/Logging_1907/klagomål/A 14001-2023 FSC-klagomål.docx", "A 14001-2023")</f>
        <v/>
      </c>
      <c r="W67">
        <f>HYPERLINK("https://klasma.github.io/Logging_1907/klagomålsmail/A 14001-2023 FSC-klagomål mail.docx", "A 14001-2023")</f>
        <v/>
      </c>
      <c r="X67">
        <f>HYPERLINK("https://klasma.github.io/Logging_1907/tillsyn/A 14001-2023 tillsynsbegäran.docx", "A 14001-2023")</f>
        <v/>
      </c>
      <c r="Y67">
        <f>HYPERLINK("https://klasma.github.io/Logging_1907/tillsynsmail/A 14001-2023 tillsynsbegäran mail.docx", "A 14001-2023")</f>
        <v/>
      </c>
    </row>
    <row r="68" ht="15" customHeight="1">
      <c r="A68" t="inlineStr">
        <is>
          <t>A 13971-2023</t>
        </is>
      </c>
      <c r="B68" s="1" t="n">
        <v>45007</v>
      </c>
      <c r="C68" s="1" t="n">
        <v>46000</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31176-2024</t>
        </is>
      </c>
      <c r="B69" s="1" t="n">
        <v>45503</v>
      </c>
      <c r="C69" s="1" t="n">
        <v>46000</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43451-2024</t>
        </is>
      </c>
      <c r="B70" s="1" t="n">
        <v>45568</v>
      </c>
      <c r="C70" s="1" t="n">
        <v>46000</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1492-2021</t>
        </is>
      </c>
      <c r="B71" s="1" t="n">
        <v>44209</v>
      </c>
      <c r="C71" s="1" t="n">
        <v>46000</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46000</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46000</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46000</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46000</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46000</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46000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46000</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46000</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46000</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46000</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46000</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46000</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46000</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19846-2022</t>
        </is>
      </c>
      <c r="B85" s="1" t="n">
        <v>44696.89327546296</v>
      </c>
      <c r="C85" s="1" t="n">
        <v>46000</v>
      </c>
      <c r="D85" t="inlineStr">
        <is>
          <t>VÄSTMANLANDS LÄN</t>
        </is>
      </c>
      <c r="E85" t="inlineStr">
        <is>
          <t>SURAHAMMAR</t>
        </is>
      </c>
      <c r="F85" t="inlineStr">
        <is>
          <t>Kommuner</t>
        </is>
      </c>
      <c r="G85" t="n">
        <v>3.4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46000</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46000</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46000</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46000</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48205-2023</t>
        </is>
      </c>
      <c r="B90" s="1" t="n">
        <v>45205</v>
      </c>
      <c r="C90" s="1" t="n">
        <v>46000</v>
      </c>
      <c r="D90" t="inlineStr">
        <is>
          <t>VÄSTMANLANDS LÄN</t>
        </is>
      </c>
      <c r="E90" t="inlineStr">
        <is>
          <t>SURAHAMMAR</t>
        </is>
      </c>
      <c r="F90" t="inlineStr">
        <is>
          <t>Allmännings- och besparingsskogar</t>
        </is>
      </c>
      <c r="G90" t="n">
        <v>7.6</v>
      </c>
      <c r="H90" t="n">
        <v>0</v>
      </c>
      <c r="I90" t="n">
        <v>0</v>
      </c>
      <c r="J90" t="n">
        <v>0</v>
      </c>
      <c r="K90" t="n">
        <v>0</v>
      </c>
      <c r="L90" t="n">
        <v>0</v>
      </c>
      <c r="M90" t="n">
        <v>0</v>
      </c>
      <c r="N90" t="n">
        <v>0</v>
      </c>
      <c r="O90" t="n">
        <v>0</v>
      </c>
      <c r="P90" t="n">
        <v>0</v>
      </c>
      <c r="Q90" t="n">
        <v>0</v>
      </c>
      <c r="R90" s="2" t="inlineStr"/>
    </row>
    <row r="91" ht="15" customHeight="1">
      <c r="A91" t="inlineStr">
        <is>
          <t>A 15743-2023</t>
        </is>
      </c>
      <c r="B91" s="1" t="n">
        <v>45021</v>
      </c>
      <c r="C91" s="1" t="n">
        <v>46000</v>
      </c>
      <c r="D91" t="inlineStr">
        <is>
          <t>VÄSTMANLANDS LÄN</t>
        </is>
      </c>
      <c r="E91" t="inlineStr">
        <is>
          <t>SURAHAMMAR</t>
        </is>
      </c>
      <c r="G91" t="n">
        <v>0.5</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46000</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16608-2022</t>
        </is>
      </c>
      <c r="B93" s="1" t="n">
        <v>44672</v>
      </c>
      <c r="C93" s="1" t="n">
        <v>46000</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15637-2022</t>
        </is>
      </c>
      <c r="B94" s="1" t="n">
        <v>44662.89638888889</v>
      </c>
      <c r="C94" s="1" t="n">
        <v>46000</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46000</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46000</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46000</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46000</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46000</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34582-2025</t>
        </is>
      </c>
      <c r="B100" s="1" t="n">
        <v>45846</v>
      </c>
      <c r="C100" s="1" t="n">
        <v>46000</v>
      </c>
      <c r="D100" t="inlineStr">
        <is>
          <t>VÄSTMANLANDS LÄN</t>
        </is>
      </c>
      <c r="E100" t="inlineStr">
        <is>
          <t>SURAHAMMAR</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46000</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46000</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46000</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46000</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46000</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37287-2023</t>
        </is>
      </c>
      <c r="B106" s="1" t="n">
        <v>45156</v>
      </c>
      <c r="C106" s="1" t="n">
        <v>46000</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41576-2022</t>
        </is>
      </c>
      <c r="B107" s="1" t="n">
        <v>44826</v>
      </c>
      <c r="C107" s="1" t="n">
        <v>46000</v>
      </c>
      <c r="D107" t="inlineStr">
        <is>
          <t>VÄSTMANLANDS LÄN</t>
        </is>
      </c>
      <c r="E107" t="inlineStr">
        <is>
          <t>SURAHAMMAR</t>
        </is>
      </c>
      <c r="F107" t="inlineStr">
        <is>
          <t>Bergvik skog väst AB</t>
        </is>
      </c>
      <c r="G107" t="n">
        <v>6.4</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46000</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33931-2022</t>
        </is>
      </c>
      <c r="B109" s="1" t="n">
        <v>44790.65153935185</v>
      </c>
      <c r="C109" s="1" t="n">
        <v>46000</v>
      </c>
      <c r="D109" t="inlineStr">
        <is>
          <t>VÄSTMANLANDS LÄN</t>
        </is>
      </c>
      <c r="E109" t="inlineStr">
        <is>
          <t>SURAHAMMAR</t>
        </is>
      </c>
      <c r="G109" t="n">
        <v>2.2</v>
      </c>
      <c r="H109" t="n">
        <v>0</v>
      </c>
      <c r="I109" t="n">
        <v>0</v>
      </c>
      <c r="J109" t="n">
        <v>0</v>
      </c>
      <c r="K109" t="n">
        <v>0</v>
      </c>
      <c r="L109" t="n">
        <v>0</v>
      </c>
      <c r="M109" t="n">
        <v>0</v>
      </c>
      <c r="N109" t="n">
        <v>0</v>
      </c>
      <c r="O109" t="n">
        <v>0</v>
      </c>
      <c r="P109" t="n">
        <v>0</v>
      </c>
      <c r="Q109" t="n">
        <v>0</v>
      </c>
      <c r="R109" s="2" t="inlineStr"/>
    </row>
    <row r="110" ht="15" customHeight="1">
      <c r="A110" t="inlineStr">
        <is>
          <t>A 34584-2025</t>
        </is>
      </c>
      <c r="B110" s="1" t="n">
        <v>45846</v>
      </c>
      <c r="C110" s="1" t="n">
        <v>46000</v>
      </c>
      <c r="D110" t="inlineStr">
        <is>
          <t>VÄSTMANLANDS LÄN</t>
        </is>
      </c>
      <c r="E110" t="inlineStr">
        <is>
          <t>SURAHAMMAR</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55871-2025</t>
        </is>
      </c>
      <c r="B111" s="1" t="n">
        <v>45973.35452546296</v>
      </c>
      <c r="C111" s="1" t="n">
        <v>46000</v>
      </c>
      <c r="D111" t="inlineStr">
        <is>
          <t>VÄSTMANLANDS LÄN</t>
        </is>
      </c>
      <c r="E111" t="inlineStr">
        <is>
          <t>SURAHAMMAR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55868-2025</t>
        </is>
      </c>
      <c r="B112" s="1" t="n">
        <v>45973.35263888889</v>
      </c>
      <c r="C112" s="1" t="n">
        <v>46000</v>
      </c>
      <c r="D112" t="inlineStr">
        <is>
          <t>VÄSTMANLANDS LÄN</t>
        </is>
      </c>
      <c r="E112" t="inlineStr">
        <is>
          <t>SURAHAMMAR</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46000</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55874-2025</t>
        </is>
      </c>
      <c r="B114" s="1" t="n">
        <v>45973.3569212963</v>
      </c>
      <c r="C114" s="1" t="n">
        <v>46000</v>
      </c>
      <c r="D114" t="inlineStr">
        <is>
          <t>VÄSTMANLANDS LÄN</t>
        </is>
      </c>
      <c r="E114" t="inlineStr">
        <is>
          <t>SURAHAMMAR</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46000</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32910-2025</t>
        </is>
      </c>
      <c r="B116" s="1" t="n">
        <v>45839</v>
      </c>
      <c r="C116" s="1" t="n">
        <v>46000</v>
      </c>
      <c r="D116" t="inlineStr">
        <is>
          <t>VÄSTMANLANDS LÄN</t>
        </is>
      </c>
      <c r="E116" t="inlineStr">
        <is>
          <t>SURAHAMMAR</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24158-2023</t>
        </is>
      </c>
      <c r="B117" s="1" t="n">
        <v>45079</v>
      </c>
      <c r="C117" s="1" t="n">
        <v>46000</v>
      </c>
      <c r="D117" t="inlineStr">
        <is>
          <t>VÄSTMANLANDS LÄN</t>
        </is>
      </c>
      <c r="E117" t="inlineStr">
        <is>
          <t>SURAHAMMAR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56543-2025</t>
        </is>
      </c>
      <c r="B118" s="1" t="n">
        <v>45975</v>
      </c>
      <c r="C118" s="1" t="n">
        <v>46000</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37013-2025</t>
        </is>
      </c>
      <c r="B119" s="1" t="n">
        <v>45874</v>
      </c>
      <c r="C119" s="1" t="n">
        <v>46000</v>
      </c>
      <c r="D119" t="inlineStr">
        <is>
          <t>VÄSTMANLANDS LÄN</t>
        </is>
      </c>
      <c r="E119" t="inlineStr">
        <is>
          <t>SURAHAMMAR</t>
        </is>
      </c>
      <c r="F119" t="inlineStr">
        <is>
          <t>Bergvik skog väst AB</t>
        </is>
      </c>
      <c r="G119" t="n">
        <v>10.7</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46000</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46000</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46000</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46000</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46000</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46000</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46000</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46000</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42841-2022</t>
        </is>
      </c>
      <c r="B128" s="1" t="n">
        <v>44832</v>
      </c>
      <c r="C128" s="1" t="n">
        <v>46000</v>
      </c>
      <c r="D128" t="inlineStr">
        <is>
          <t>VÄSTMANLANDS LÄN</t>
        </is>
      </c>
      <c r="E128" t="inlineStr">
        <is>
          <t>SURAHAMMAR</t>
        </is>
      </c>
      <c r="G128" t="n">
        <v>1.8</v>
      </c>
      <c r="H128" t="n">
        <v>0</v>
      </c>
      <c r="I128" t="n">
        <v>0</v>
      </c>
      <c r="J128" t="n">
        <v>0</v>
      </c>
      <c r="K128" t="n">
        <v>0</v>
      </c>
      <c r="L128" t="n">
        <v>0</v>
      </c>
      <c r="M128" t="n">
        <v>0</v>
      </c>
      <c r="N128" t="n">
        <v>0</v>
      </c>
      <c r="O128" t="n">
        <v>0</v>
      </c>
      <c r="P128" t="n">
        <v>0</v>
      </c>
      <c r="Q128" t="n">
        <v>0</v>
      </c>
      <c r="R128" s="2" t="inlineStr"/>
    </row>
    <row r="129" ht="15" customHeight="1">
      <c r="A129" t="inlineStr">
        <is>
          <t>A 42829-2022</t>
        </is>
      </c>
      <c r="B129" s="1" t="n">
        <v>44832</v>
      </c>
      <c r="C129" s="1" t="n">
        <v>46000</v>
      </c>
      <c r="D129" t="inlineStr">
        <is>
          <t>VÄSTMANLANDS LÄN</t>
        </is>
      </c>
      <c r="E129" t="inlineStr">
        <is>
          <t>SURAHAMMAR</t>
        </is>
      </c>
      <c r="G129" t="n">
        <v>1.6</v>
      </c>
      <c r="H129" t="n">
        <v>0</v>
      </c>
      <c r="I129" t="n">
        <v>0</v>
      </c>
      <c r="J129" t="n">
        <v>0</v>
      </c>
      <c r="K129" t="n">
        <v>0</v>
      </c>
      <c r="L129" t="n">
        <v>0</v>
      </c>
      <c r="M129" t="n">
        <v>0</v>
      </c>
      <c r="N129" t="n">
        <v>0</v>
      </c>
      <c r="O129" t="n">
        <v>0</v>
      </c>
      <c r="P129" t="n">
        <v>0</v>
      </c>
      <c r="Q129" t="n">
        <v>0</v>
      </c>
      <c r="R129" s="2" t="inlineStr"/>
    </row>
    <row r="130" ht="15" customHeight="1">
      <c r="A130" t="inlineStr">
        <is>
          <t>A 56541-2025</t>
        </is>
      </c>
      <c r="B130" s="1" t="n">
        <v>45975</v>
      </c>
      <c r="C130" s="1" t="n">
        <v>46000</v>
      </c>
      <c r="D130" t="inlineStr">
        <is>
          <t>VÄSTMANLANDS LÄN</t>
        </is>
      </c>
      <c r="E130" t="inlineStr">
        <is>
          <t>SURAHAMMAR</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46000</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2867-2024</t>
        </is>
      </c>
      <c r="B132" s="1" t="n">
        <v>45315</v>
      </c>
      <c r="C132" s="1" t="n">
        <v>46000</v>
      </c>
      <c r="D132" t="inlineStr">
        <is>
          <t>VÄSTMANLANDS LÄN</t>
        </is>
      </c>
      <c r="E132" t="inlineStr">
        <is>
          <t>SURAHAMMAR</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46000</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46000</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46000</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46000</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20904-2023</t>
        </is>
      </c>
      <c r="B137" s="1" t="n">
        <v>45060</v>
      </c>
      <c r="C137" s="1" t="n">
        <v>46000</v>
      </c>
      <c r="D137" t="inlineStr">
        <is>
          <t>VÄSTMANLANDS LÄN</t>
        </is>
      </c>
      <c r="E137" t="inlineStr">
        <is>
          <t>SURAHAMMAR</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10883-2023</t>
        </is>
      </c>
      <c r="B138" s="1" t="n">
        <v>44991</v>
      </c>
      <c r="C138" s="1" t="n">
        <v>46000</v>
      </c>
      <c r="D138" t="inlineStr">
        <is>
          <t>VÄSTMANLANDS LÄN</t>
        </is>
      </c>
      <c r="E138" t="inlineStr">
        <is>
          <t>SURAHAMMAR</t>
        </is>
      </c>
      <c r="F138" t="inlineStr">
        <is>
          <t>Övriga Aktiebolag</t>
        </is>
      </c>
      <c r="G138" t="n">
        <v>12.5</v>
      </c>
      <c r="H138" t="n">
        <v>0</v>
      </c>
      <c r="I138" t="n">
        <v>0</v>
      </c>
      <c r="J138" t="n">
        <v>0</v>
      </c>
      <c r="K138" t="n">
        <v>0</v>
      </c>
      <c r="L138" t="n">
        <v>0</v>
      </c>
      <c r="M138" t="n">
        <v>0</v>
      </c>
      <c r="N138" t="n">
        <v>0</v>
      </c>
      <c r="O138" t="n">
        <v>0</v>
      </c>
      <c r="P138" t="n">
        <v>0</v>
      </c>
      <c r="Q138" t="n">
        <v>0</v>
      </c>
      <c r="R138" s="2" t="inlineStr"/>
    </row>
    <row r="139" ht="15" customHeight="1">
      <c r="A139" t="inlineStr">
        <is>
          <t>A 2660-2024</t>
        </is>
      </c>
      <c r="B139" s="1" t="n">
        <v>45310</v>
      </c>
      <c r="C139" s="1" t="n">
        <v>46000</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46000</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37798-2021</t>
        </is>
      </c>
      <c r="B141" s="1" t="n">
        <v>44402</v>
      </c>
      <c r="C141" s="1" t="n">
        <v>46000</v>
      </c>
      <c r="D141" t="inlineStr">
        <is>
          <t>VÄSTMANLANDS LÄN</t>
        </is>
      </c>
      <c r="E141" t="inlineStr">
        <is>
          <t>SURAHAMMAR</t>
        </is>
      </c>
      <c r="F141" t="inlineStr">
        <is>
          <t>Kommuner</t>
        </is>
      </c>
      <c r="G141" t="n">
        <v>1.2</v>
      </c>
      <c r="H141" t="n">
        <v>0</v>
      </c>
      <c r="I141" t="n">
        <v>0</v>
      </c>
      <c r="J141" t="n">
        <v>0</v>
      </c>
      <c r="K141" t="n">
        <v>0</v>
      </c>
      <c r="L141" t="n">
        <v>0</v>
      </c>
      <c r="M141" t="n">
        <v>0</v>
      </c>
      <c r="N141" t="n">
        <v>0</v>
      </c>
      <c r="O141" t="n">
        <v>0</v>
      </c>
      <c r="P141" t="n">
        <v>0</v>
      </c>
      <c r="Q141" t="n">
        <v>0</v>
      </c>
      <c r="R141" s="2" t="inlineStr"/>
    </row>
    <row r="142" ht="15" customHeight="1">
      <c r="A142" t="inlineStr">
        <is>
          <t>A 25450-2024</t>
        </is>
      </c>
      <c r="B142" s="1" t="n">
        <v>45463</v>
      </c>
      <c r="C142" s="1" t="n">
        <v>46000</v>
      </c>
      <c r="D142" t="inlineStr">
        <is>
          <t>VÄSTMANLANDS LÄN</t>
        </is>
      </c>
      <c r="E142" t="inlineStr">
        <is>
          <t>SURAHAMMAR</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19782-2023</t>
        </is>
      </c>
      <c r="B143" s="1" t="n">
        <v>45050</v>
      </c>
      <c r="C143" s="1" t="n">
        <v>46000</v>
      </c>
      <c r="D143" t="inlineStr">
        <is>
          <t>VÄSTMANLANDS LÄN</t>
        </is>
      </c>
      <c r="E143" t="inlineStr">
        <is>
          <t>SURAHAMMAR</t>
        </is>
      </c>
      <c r="F143" t="inlineStr">
        <is>
          <t>Bergvik skog väst AB</t>
        </is>
      </c>
      <c r="G143" t="n">
        <v>5.2</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44608.58400462963</v>
      </c>
      <c r="C144" s="1" t="n">
        <v>46000</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24167-2024</t>
        </is>
      </c>
      <c r="B145" s="1" t="n">
        <v>45456</v>
      </c>
      <c r="C145" s="1" t="n">
        <v>46000</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56378-2023</t>
        </is>
      </c>
      <c r="B146" s="1" t="n">
        <v>45236</v>
      </c>
      <c r="C146" s="1" t="n">
        <v>46000</v>
      </c>
      <c r="D146" t="inlineStr">
        <is>
          <t>VÄSTMANLANDS LÄN</t>
        </is>
      </c>
      <c r="E146" t="inlineStr">
        <is>
          <t>SURAHAMMAR</t>
        </is>
      </c>
      <c r="F146" t="inlineStr">
        <is>
          <t>Bergvik skog väst AB</t>
        </is>
      </c>
      <c r="G146" t="n">
        <v>4.6</v>
      </c>
      <c r="H146" t="n">
        <v>0</v>
      </c>
      <c r="I146" t="n">
        <v>0</v>
      </c>
      <c r="J146" t="n">
        <v>0</v>
      </c>
      <c r="K146" t="n">
        <v>0</v>
      </c>
      <c r="L146" t="n">
        <v>0</v>
      </c>
      <c r="M146" t="n">
        <v>0</v>
      </c>
      <c r="N146" t="n">
        <v>0</v>
      </c>
      <c r="O146" t="n">
        <v>0</v>
      </c>
      <c r="P146" t="n">
        <v>0</v>
      </c>
      <c r="Q146" t="n">
        <v>0</v>
      </c>
      <c r="R146" s="2" t="inlineStr"/>
    </row>
    <row r="147" ht="15" customHeight="1">
      <c r="A147" t="inlineStr">
        <is>
          <t>A 19099-2022</t>
        </is>
      </c>
      <c r="B147" s="1" t="n">
        <v>44691</v>
      </c>
      <c r="C147" s="1" t="n">
        <v>46000</v>
      </c>
      <c r="D147" t="inlineStr">
        <is>
          <t>VÄSTMANLANDS LÄN</t>
        </is>
      </c>
      <c r="E147" t="inlineStr">
        <is>
          <t>SURAHAMMAR</t>
        </is>
      </c>
      <c r="F147" t="inlineStr">
        <is>
          <t>Övriga Aktiebolag</t>
        </is>
      </c>
      <c r="G147" t="n">
        <v>3.4</v>
      </c>
      <c r="H147" t="n">
        <v>0</v>
      </c>
      <c r="I147" t="n">
        <v>0</v>
      </c>
      <c r="J147" t="n">
        <v>0</v>
      </c>
      <c r="K147" t="n">
        <v>0</v>
      </c>
      <c r="L147" t="n">
        <v>0</v>
      </c>
      <c r="M147" t="n">
        <v>0</v>
      </c>
      <c r="N147" t="n">
        <v>0</v>
      </c>
      <c r="O147" t="n">
        <v>0</v>
      </c>
      <c r="P147" t="n">
        <v>0</v>
      </c>
      <c r="Q147" t="n">
        <v>0</v>
      </c>
      <c r="R147" s="2" t="inlineStr"/>
    </row>
    <row r="148" ht="15" customHeight="1">
      <c r="A148" t="inlineStr">
        <is>
          <t>A 11501-2023</t>
        </is>
      </c>
      <c r="B148" s="1" t="n">
        <v>44991</v>
      </c>
      <c r="C148" s="1" t="n">
        <v>46000</v>
      </c>
      <c r="D148" t="inlineStr">
        <is>
          <t>VÄSTMANLANDS LÄN</t>
        </is>
      </c>
      <c r="E148" t="inlineStr">
        <is>
          <t>SURAHAMMAR</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3818-2022</t>
        </is>
      </c>
      <c r="B149" s="1" t="n">
        <v>44587</v>
      </c>
      <c r="C149" s="1" t="n">
        <v>46000</v>
      </c>
      <c r="D149" t="inlineStr">
        <is>
          <t>VÄSTMANLANDS LÄN</t>
        </is>
      </c>
      <c r="E149" t="inlineStr">
        <is>
          <t>SURAHAMMAR</t>
        </is>
      </c>
      <c r="G149" t="n">
        <v>2.6</v>
      </c>
      <c r="H149" t="n">
        <v>0</v>
      </c>
      <c r="I149" t="n">
        <v>0</v>
      </c>
      <c r="J149" t="n">
        <v>0</v>
      </c>
      <c r="K149" t="n">
        <v>0</v>
      </c>
      <c r="L149" t="n">
        <v>0</v>
      </c>
      <c r="M149" t="n">
        <v>0</v>
      </c>
      <c r="N149" t="n">
        <v>0</v>
      </c>
      <c r="O149" t="n">
        <v>0</v>
      </c>
      <c r="P149" t="n">
        <v>0</v>
      </c>
      <c r="Q149" t="n">
        <v>0</v>
      </c>
      <c r="R149" s="2" t="inlineStr"/>
    </row>
    <row r="150" ht="15" customHeight="1">
      <c r="A150" t="inlineStr">
        <is>
          <t>A 21509-2024</t>
        </is>
      </c>
      <c r="B150" s="1" t="n">
        <v>45441</v>
      </c>
      <c r="C150" s="1" t="n">
        <v>46000</v>
      </c>
      <c r="D150" t="inlineStr">
        <is>
          <t>VÄSTMANLANDS LÄN</t>
        </is>
      </c>
      <c r="E150" t="inlineStr">
        <is>
          <t>SURAHAMMAR</t>
        </is>
      </c>
      <c r="F150" t="inlineStr">
        <is>
          <t>Bergvik skog väst AB</t>
        </is>
      </c>
      <c r="G150" t="n">
        <v>3.9</v>
      </c>
      <c r="H150" t="n">
        <v>0</v>
      </c>
      <c r="I150" t="n">
        <v>0</v>
      </c>
      <c r="J150" t="n">
        <v>0</v>
      </c>
      <c r="K150" t="n">
        <v>0</v>
      </c>
      <c r="L150" t="n">
        <v>0</v>
      </c>
      <c r="M150" t="n">
        <v>0</v>
      </c>
      <c r="N150" t="n">
        <v>0</v>
      </c>
      <c r="O150" t="n">
        <v>0</v>
      </c>
      <c r="P150" t="n">
        <v>0</v>
      </c>
      <c r="Q150" t="n">
        <v>0</v>
      </c>
      <c r="R150" s="2" t="inlineStr"/>
    </row>
    <row r="151" ht="15" customHeight="1">
      <c r="A151" t="inlineStr">
        <is>
          <t>A 22662-2023</t>
        </is>
      </c>
      <c r="B151" s="1" t="n">
        <v>45071</v>
      </c>
      <c r="C151" s="1" t="n">
        <v>46000</v>
      </c>
      <c r="D151" t="inlineStr">
        <is>
          <t>VÄSTMANLANDS LÄN</t>
        </is>
      </c>
      <c r="E151" t="inlineStr">
        <is>
          <t>SURAHAMMAR</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16013-2023</t>
        </is>
      </c>
      <c r="B152" s="1" t="n">
        <v>45026</v>
      </c>
      <c r="C152" s="1" t="n">
        <v>46000</v>
      </c>
      <c r="D152" t="inlineStr">
        <is>
          <t>VÄSTMANLANDS LÄN</t>
        </is>
      </c>
      <c r="E152" t="inlineStr">
        <is>
          <t>SURAHAMMAR</t>
        </is>
      </c>
      <c r="G152" t="n">
        <v>3.9</v>
      </c>
      <c r="H152" t="n">
        <v>0</v>
      </c>
      <c r="I152" t="n">
        <v>0</v>
      </c>
      <c r="J152" t="n">
        <v>0</v>
      </c>
      <c r="K152" t="n">
        <v>0</v>
      </c>
      <c r="L152" t="n">
        <v>0</v>
      </c>
      <c r="M152" t="n">
        <v>0</v>
      </c>
      <c r="N152" t="n">
        <v>0</v>
      </c>
      <c r="O152" t="n">
        <v>0</v>
      </c>
      <c r="P152" t="n">
        <v>0</v>
      </c>
      <c r="Q152" t="n">
        <v>0</v>
      </c>
      <c r="R152" s="2" t="inlineStr"/>
    </row>
    <row r="153" ht="15" customHeight="1">
      <c r="A153" t="inlineStr">
        <is>
          <t>A 41555-2022</t>
        </is>
      </c>
      <c r="B153" s="1" t="n">
        <v>44826</v>
      </c>
      <c r="C153" s="1" t="n">
        <v>46000</v>
      </c>
      <c r="D153" t="inlineStr">
        <is>
          <t>VÄSTMANLANDS LÄN</t>
        </is>
      </c>
      <c r="E153" t="inlineStr">
        <is>
          <t>SURAHAMMAR</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46000</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46000</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c r="A156" t="inlineStr">
        <is>
          <t>A 47785-2021</t>
        </is>
      </c>
      <c r="B156" s="1" t="n">
        <v>44448</v>
      </c>
      <c r="C156" s="1" t="n">
        <v>46000</v>
      </c>
      <c r="D156" t="inlineStr">
        <is>
          <t>VÄSTMANLANDS LÄN</t>
        </is>
      </c>
      <c r="E156" t="inlineStr">
        <is>
          <t>SURAHAMMAR</t>
        </is>
      </c>
      <c r="F156" t="inlineStr">
        <is>
          <t>Kommuner</t>
        </is>
      </c>
      <c r="G156" t="n">
        <v>3.3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2025-12-09T10:22:33Z</dcterms:created>
  <dcterms:modified xmlns:dcterms="http://purl.org/dc/terms/" xmlns:xsi="http://www.w3.org/2001/XMLSchema-instance" xsi:type="dcterms:W3CDTF">2025-12-09T10:22:33Z</dcterms:modified>
</cp:coreProperties>
</file>