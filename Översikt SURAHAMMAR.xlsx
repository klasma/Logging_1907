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45901</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45901</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45901</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45901</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45901</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45901</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45901</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45901</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45901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45901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45901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45901</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45901</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45901</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45901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45901</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45901</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45901</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45901</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45901</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45901</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45901</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48128-2023</t>
        </is>
      </c>
      <c r="B31" s="1" t="n">
        <v>45205</v>
      </c>
      <c r="C31" s="1" t="n">
        <v>45901</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42708-2022</t>
        </is>
      </c>
      <c r="B32" s="1" t="n">
        <v>44832</v>
      </c>
      <c r="C32" s="1" t="n">
        <v>45901</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8552-2022</t>
        </is>
      </c>
      <c r="B33" s="1" t="n">
        <v>44613</v>
      </c>
      <c r="C33" s="1" t="n">
        <v>45901</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45901</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45901</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45901</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45901</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45901</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45901</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45901</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45901</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45901</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45901</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45901</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45901</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39099-2022</t>
        </is>
      </c>
      <c r="B46" s="1" t="n">
        <v>44817</v>
      </c>
      <c r="C46" s="1" t="n">
        <v>45901</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25583-2024</t>
        </is>
      </c>
      <c r="B47" s="1" t="n">
        <v>45463</v>
      </c>
      <c r="C47" s="1" t="n">
        <v>45901</v>
      </c>
      <c r="D47" t="inlineStr">
        <is>
          <t>VÄSTMANLANDS LÄN</t>
        </is>
      </c>
      <c r="E47" t="inlineStr">
        <is>
          <t>SURAHAMMAR</t>
        </is>
      </c>
      <c r="F47" t="inlineStr">
        <is>
          <t>Bergvik skog väst AB</t>
        </is>
      </c>
      <c r="G47" t="n">
        <v>7.8</v>
      </c>
      <c r="H47" t="n">
        <v>1</v>
      </c>
      <c r="I47" t="n">
        <v>0</v>
      </c>
      <c r="J47" t="n">
        <v>0</v>
      </c>
      <c r="K47" t="n">
        <v>0</v>
      </c>
      <c r="L47" t="n">
        <v>0</v>
      </c>
      <c r="M47" t="n">
        <v>0</v>
      </c>
      <c r="N47" t="n">
        <v>0</v>
      </c>
      <c r="O47" t="n">
        <v>0</v>
      </c>
      <c r="P47" t="n">
        <v>0</v>
      </c>
      <c r="Q47" t="n">
        <v>1</v>
      </c>
      <c r="R47" s="2" t="inlineStr">
        <is>
          <t>Blåsippa</t>
        </is>
      </c>
      <c r="S47">
        <f>HYPERLINK("https://klasma.github.io/Logging_1907/artfynd/A 25583-2024 artfynd.xlsx", "A 25583-2024")</f>
        <v/>
      </c>
      <c r="T47">
        <f>HYPERLINK("https://klasma.github.io/Logging_1907/kartor/A 25583-2024 karta.png", "A 25583-2024")</f>
        <v/>
      </c>
      <c r="V47">
        <f>HYPERLINK("https://klasma.github.io/Logging_1907/klagomål/A 25583-2024 FSC-klagomål.docx", "A 25583-2024")</f>
        <v/>
      </c>
      <c r="W47">
        <f>HYPERLINK("https://klasma.github.io/Logging_1907/klagomålsmail/A 25583-2024 FSC-klagomål mail.docx", "A 25583-2024")</f>
        <v/>
      </c>
      <c r="X47">
        <f>HYPERLINK("https://klasma.github.io/Logging_1907/tillsyn/A 25583-2024 tillsynsbegäran.docx", "A 25583-2024")</f>
        <v/>
      </c>
      <c r="Y47">
        <f>HYPERLINK("https://klasma.github.io/Logging_1907/tillsynsmail/A 25583-2024 tillsynsbegäran mail.docx", "A 25583-2024")</f>
        <v/>
      </c>
    </row>
    <row r="48" ht="15" customHeight="1">
      <c r="A48" t="inlineStr">
        <is>
          <t>A 13971-2023</t>
        </is>
      </c>
      <c r="B48" s="1" t="n">
        <v>45007</v>
      </c>
      <c r="C48" s="1" t="n">
        <v>45901</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45901</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13788-2025</t>
        </is>
      </c>
      <c r="B50" s="1" t="n">
        <v>45737.45327546296</v>
      </c>
      <c r="C50" s="1" t="n">
        <v>45901</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44356-2024</t>
        </is>
      </c>
      <c r="B51" s="1" t="n">
        <v>45573</v>
      </c>
      <c r="C51" s="1" t="n">
        <v>45901</v>
      </c>
      <c r="D51" t="inlineStr">
        <is>
          <t>VÄSTMANLANDS LÄN</t>
        </is>
      </c>
      <c r="E51" t="inlineStr">
        <is>
          <t>SURAHAMMAR</t>
        </is>
      </c>
      <c r="F51" t="inlineStr">
        <is>
          <t>Sveaskog</t>
        </is>
      </c>
      <c r="G51" t="n">
        <v>0.7</v>
      </c>
      <c r="H51" t="n">
        <v>1</v>
      </c>
      <c r="I51" t="n">
        <v>0</v>
      </c>
      <c r="J51" t="n">
        <v>0</v>
      </c>
      <c r="K51" t="n">
        <v>0</v>
      </c>
      <c r="L51" t="n">
        <v>0</v>
      </c>
      <c r="M51" t="n">
        <v>0</v>
      </c>
      <c r="N51" t="n">
        <v>0</v>
      </c>
      <c r="O51" t="n">
        <v>0</v>
      </c>
      <c r="P51" t="n">
        <v>0</v>
      </c>
      <c r="Q51" t="n">
        <v>1</v>
      </c>
      <c r="R51" s="2" t="inlineStr">
        <is>
          <t>Revlummer</t>
        </is>
      </c>
      <c r="S51">
        <f>HYPERLINK("https://klasma.github.io/Logging_1907/artfynd/A 44356-2024 artfynd.xlsx", "A 44356-2024")</f>
        <v/>
      </c>
      <c r="T51">
        <f>HYPERLINK("https://klasma.github.io/Logging_1907/kartor/A 44356-2024 karta.png", "A 44356-2024")</f>
        <v/>
      </c>
      <c r="V51">
        <f>HYPERLINK("https://klasma.github.io/Logging_1907/klagomål/A 44356-2024 FSC-klagomål.docx", "A 44356-2024")</f>
        <v/>
      </c>
      <c r="W51">
        <f>HYPERLINK("https://klasma.github.io/Logging_1907/klagomålsmail/A 44356-2024 FSC-klagomål mail.docx", "A 44356-2024")</f>
        <v/>
      </c>
      <c r="X51">
        <f>HYPERLINK("https://klasma.github.io/Logging_1907/tillsyn/A 44356-2024 tillsynsbegäran.docx", "A 44356-2024")</f>
        <v/>
      </c>
      <c r="Y51">
        <f>HYPERLINK("https://klasma.github.io/Logging_1907/tillsynsmail/A 44356-2024 tillsynsbegäran mail.docx", "A 44356-2024")</f>
        <v/>
      </c>
    </row>
    <row r="52" ht="15" customHeight="1">
      <c r="A52" t="inlineStr">
        <is>
          <t>A 69777-2021</t>
        </is>
      </c>
      <c r="B52" s="1" t="n">
        <v>44532</v>
      </c>
      <c r="C52" s="1" t="n">
        <v>45901</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45901</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45901</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45901</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45901</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45901</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40403-2025</t>
        </is>
      </c>
      <c r="B58" s="1" t="n">
        <v>45895</v>
      </c>
      <c r="C58" s="1" t="n">
        <v>45901</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22840-2023</t>
        </is>
      </c>
      <c r="B59" s="1" t="n">
        <v>45072</v>
      </c>
      <c r="C59" s="1" t="n">
        <v>45901</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40411-2021</t>
        </is>
      </c>
      <c r="B60" s="1" t="n">
        <v>44419</v>
      </c>
      <c r="C60" s="1" t="n">
        <v>45901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45901</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45901</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45901</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43451-2024</t>
        </is>
      </c>
      <c r="B64" s="1" t="n">
        <v>45568</v>
      </c>
      <c r="C64" s="1" t="n">
        <v>45901</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43177-2020</t>
        </is>
      </c>
      <c r="B65" s="1" t="n">
        <v>44081</v>
      </c>
      <c r="C65" s="1" t="n">
        <v>45901</v>
      </c>
      <c r="D65" t="inlineStr">
        <is>
          <t>VÄSTMANLANDS LÄN</t>
        </is>
      </c>
      <c r="E65" t="inlineStr">
        <is>
          <t>SURAHAMMAR</t>
        </is>
      </c>
      <c r="F65" t="inlineStr">
        <is>
          <t>Sveaskog</t>
        </is>
      </c>
      <c r="G65" t="n">
        <v>2.3</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45901</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45901</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45901</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45901</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45901</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45901</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45901</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45901</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45901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45901</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45901</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45901</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45901</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45901</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45901</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45901</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45901</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45901</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45901</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45901</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43590-2020</t>
        </is>
      </c>
      <c r="B86" s="1" t="n">
        <v>44082</v>
      </c>
      <c r="C86" s="1" t="n">
        <v>45901</v>
      </c>
      <c r="D86" t="inlineStr">
        <is>
          <t>VÄSTMANLANDS LÄN</t>
        </is>
      </c>
      <c r="E86" t="inlineStr">
        <is>
          <t>SURAHAMMAR</t>
        </is>
      </c>
      <c r="F86" t="inlineStr">
        <is>
          <t>Sveaskog</t>
        </is>
      </c>
      <c r="G86" t="n">
        <v>2.1</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45901</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45901</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45901</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45901</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7787-2024</t>
        </is>
      </c>
      <c r="B91" s="1" t="n">
        <v>45348</v>
      </c>
      <c r="C91" s="1" t="n">
        <v>45901</v>
      </c>
      <c r="D91" t="inlineStr">
        <is>
          <t>VÄSTMANLANDS LÄN</t>
        </is>
      </c>
      <c r="E91" t="inlineStr">
        <is>
          <t>SURAHAMMAR</t>
        </is>
      </c>
      <c r="G91" t="n">
        <v>1</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45901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45901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45901</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45901</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47785-2021</t>
        </is>
      </c>
      <c r="B96" s="1" t="n">
        <v>44448</v>
      </c>
      <c r="C96" s="1" t="n">
        <v>45901</v>
      </c>
      <c r="D96" t="inlineStr">
        <is>
          <t>VÄSTMANLANDS LÄN</t>
        </is>
      </c>
      <c r="E96" t="inlineStr">
        <is>
          <t>SURAHAMMAR</t>
        </is>
      </c>
      <c r="F96" t="inlineStr">
        <is>
          <t>Kommuner</t>
        </is>
      </c>
      <c r="G96" t="n">
        <v>3.3</v>
      </c>
      <c r="H96" t="n">
        <v>0</v>
      </c>
      <c r="I96" t="n">
        <v>0</v>
      </c>
      <c r="J96" t="n">
        <v>0</v>
      </c>
      <c r="K96" t="n">
        <v>0</v>
      </c>
      <c r="L96" t="n">
        <v>0</v>
      </c>
      <c r="M96" t="n">
        <v>0</v>
      </c>
      <c r="N96" t="n">
        <v>0</v>
      </c>
      <c r="O96" t="n">
        <v>0</v>
      </c>
      <c r="P96" t="n">
        <v>0</v>
      </c>
      <c r="Q96" t="n">
        <v>0</v>
      </c>
      <c r="R96" s="2" t="inlineStr"/>
    </row>
    <row r="97" ht="15" customHeight="1">
      <c r="A97" t="inlineStr">
        <is>
          <t>A 25417-2024</t>
        </is>
      </c>
      <c r="B97" s="1" t="n">
        <v>45463</v>
      </c>
      <c r="C97" s="1" t="n">
        <v>45901</v>
      </c>
      <c r="D97" t="inlineStr">
        <is>
          <t>VÄSTMANLANDS LÄN</t>
        </is>
      </c>
      <c r="E97" t="inlineStr">
        <is>
          <t>SURAHAMMAR</t>
        </is>
      </c>
      <c r="F97" t="inlineStr">
        <is>
          <t>Sveaskog</t>
        </is>
      </c>
      <c r="G97" t="n">
        <v>3.4</v>
      </c>
      <c r="H97" t="n">
        <v>0</v>
      </c>
      <c r="I97" t="n">
        <v>0</v>
      </c>
      <c r="J97" t="n">
        <v>0</v>
      </c>
      <c r="K97" t="n">
        <v>0</v>
      </c>
      <c r="L97" t="n">
        <v>0</v>
      </c>
      <c r="M97" t="n">
        <v>0</v>
      </c>
      <c r="N97" t="n">
        <v>0</v>
      </c>
      <c r="O97" t="n">
        <v>0</v>
      </c>
      <c r="P97" t="n">
        <v>0</v>
      </c>
      <c r="Q97" t="n">
        <v>0</v>
      </c>
      <c r="R97" s="2" t="inlineStr"/>
    </row>
    <row r="98" ht="15" customHeight="1">
      <c r="A98" t="inlineStr">
        <is>
          <t>A 25450-2024</t>
        </is>
      </c>
      <c r="B98" s="1" t="n">
        <v>45463</v>
      </c>
      <c r="C98" s="1" t="n">
        <v>45901</v>
      </c>
      <c r="D98" t="inlineStr">
        <is>
          <t>VÄSTMANLANDS LÄN</t>
        </is>
      </c>
      <c r="E98" t="inlineStr">
        <is>
          <t>SURAHAMMAR</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44358-2024</t>
        </is>
      </c>
      <c r="B99" s="1" t="n">
        <v>45573</v>
      </c>
      <c r="C99" s="1" t="n">
        <v>45901</v>
      </c>
      <c r="D99" t="inlineStr">
        <is>
          <t>VÄSTMANLANDS LÄN</t>
        </is>
      </c>
      <c r="E99" t="inlineStr">
        <is>
          <t>SURAHAMMAR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44359-2024</t>
        </is>
      </c>
      <c r="B100" s="1" t="n">
        <v>45573</v>
      </c>
      <c r="C100" s="1" t="n">
        <v>45901</v>
      </c>
      <c r="D100" t="inlineStr">
        <is>
          <t>VÄSTMANLANDS LÄN</t>
        </is>
      </c>
      <c r="E100" t="inlineStr">
        <is>
          <t>SURAHAMMAR</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45901</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45901</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45901</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45901</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45901</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45901</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45901</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45901</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45901</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45901</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45901</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49060-2024</t>
        </is>
      </c>
      <c r="B112" s="1" t="n">
        <v>45594</v>
      </c>
      <c r="C112" s="1" t="n">
        <v>45901</v>
      </c>
      <c r="D112" t="inlineStr">
        <is>
          <t>VÄSTMANLANDS LÄN</t>
        </is>
      </c>
      <c r="E112" t="inlineStr">
        <is>
          <t>SURAHAMMAR</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19099-2022</t>
        </is>
      </c>
      <c r="B113" s="1" t="n">
        <v>44691</v>
      </c>
      <c r="C113" s="1" t="n">
        <v>45901</v>
      </c>
      <c r="D113" t="inlineStr">
        <is>
          <t>VÄSTMANLANDS LÄN</t>
        </is>
      </c>
      <c r="E113" t="inlineStr">
        <is>
          <t>SURAHAMMAR</t>
        </is>
      </c>
      <c r="F113" t="inlineStr">
        <is>
          <t>Övriga Aktiebolag</t>
        </is>
      </c>
      <c r="G113" t="n">
        <v>3.4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45901</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45901</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25780-2023</t>
        </is>
      </c>
      <c r="B116" s="1" t="n">
        <v>45090.47523148148</v>
      </c>
      <c r="C116" s="1" t="n">
        <v>45901</v>
      </c>
      <c r="D116" t="inlineStr">
        <is>
          <t>VÄSTMANLANDS LÄN</t>
        </is>
      </c>
      <c r="E116" t="inlineStr">
        <is>
          <t>SURAHAMMAR</t>
        </is>
      </c>
      <c r="G116" t="n">
        <v>2.8</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45901</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45901</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8553-2023</t>
        </is>
      </c>
      <c r="B119" s="1" t="n">
        <v>44977</v>
      </c>
      <c r="C119" s="1" t="n">
        <v>45901</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45901</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45901</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45901</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45901</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45901</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45901</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2660-2024</t>
        </is>
      </c>
      <c r="B126" s="1" t="n">
        <v>45310</v>
      </c>
      <c r="C126" s="1" t="n">
        <v>45901</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11501-2023</t>
        </is>
      </c>
      <c r="B127" s="1" t="n">
        <v>44991</v>
      </c>
      <c r="C127" s="1" t="n">
        <v>45901</v>
      </c>
      <c r="D127" t="inlineStr">
        <is>
          <t>VÄSTMANLANDS LÄN</t>
        </is>
      </c>
      <c r="E127" t="inlineStr">
        <is>
          <t>SURAHAMMAR</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16013-2023</t>
        </is>
      </c>
      <c r="B128" s="1" t="n">
        <v>45026</v>
      </c>
      <c r="C128" s="1" t="n">
        <v>45901</v>
      </c>
      <c r="D128" t="inlineStr">
        <is>
          <t>VÄSTMANLANDS LÄN</t>
        </is>
      </c>
      <c r="E128" t="inlineStr">
        <is>
          <t>SURAHAMMAR</t>
        </is>
      </c>
      <c r="G128" t="n">
        <v>3.9</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45901</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45901</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45901</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45901</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34582-2025</t>
        </is>
      </c>
      <c r="B133" s="1" t="n">
        <v>45846</v>
      </c>
      <c r="C133" s="1" t="n">
        <v>45901</v>
      </c>
      <c r="D133" t="inlineStr">
        <is>
          <t>VÄSTMANLANDS LÄN</t>
        </is>
      </c>
      <c r="E133" t="inlineStr">
        <is>
          <t>SURAHAMMAR</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45901</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41576-2022</t>
        </is>
      </c>
      <c r="B135" s="1" t="n">
        <v>44826</v>
      </c>
      <c r="C135" s="1" t="n">
        <v>45901</v>
      </c>
      <c r="D135" t="inlineStr">
        <is>
          <t>VÄSTMANLANDS LÄN</t>
        </is>
      </c>
      <c r="E135" t="inlineStr">
        <is>
          <t>SURAHAMMAR</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45901</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32910-2025</t>
        </is>
      </c>
      <c r="B137" s="1" t="n">
        <v>45839</v>
      </c>
      <c r="C137" s="1" t="n">
        <v>45901</v>
      </c>
      <c r="D137" t="inlineStr">
        <is>
          <t>VÄSTMANLANDS LÄN</t>
        </is>
      </c>
      <c r="E137" t="inlineStr">
        <is>
          <t>SURAHAMMAR</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32916-2025</t>
        </is>
      </c>
      <c r="B138" s="1" t="n">
        <v>45839</v>
      </c>
      <c r="C138" s="1" t="n">
        <v>45901</v>
      </c>
      <c r="D138" t="inlineStr">
        <is>
          <t>VÄSTMANLANDS LÄN</t>
        </is>
      </c>
      <c r="E138" t="inlineStr">
        <is>
          <t>SURAHAMMAR</t>
        </is>
      </c>
      <c r="F138" t="inlineStr">
        <is>
          <t>Kommuner</t>
        </is>
      </c>
      <c r="G138" t="n">
        <v>4.9</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45901</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45901</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48205-2023</t>
        </is>
      </c>
      <c r="B141" s="1" t="n">
        <v>45205</v>
      </c>
      <c r="C141" s="1" t="n">
        <v>45901</v>
      </c>
      <c r="D141" t="inlineStr">
        <is>
          <t>VÄSTMANLANDS LÄN</t>
        </is>
      </c>
      <c r="E141" t="inlineStr">
        <is>
          <t>SURAHAMMAR</t>
        </is>
      </c>
      <c r="F141" t="inlineStr">
        <is>
          <t>Allmännings- och besparingsskogar</t>
        </is>
      </c>
      <c r="G141" t="n">
        <v>7.6</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45901</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33931-2022</t>
        </is>
      </c>
      <c r="B143" s="1" t="n">
        <v>44790.65153935185</v>
      </c>
      <c r="C143" s="1" t="n">
        <v>45901</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22662-2023</t>
        </is>
      </c>
      <c r="B144" s="1" t="n">
        <v>45071</v>
      </c>
      <c r="C144" s="1" t="n">
        <v>45901</v>
      </c>
      <c r="D144" t="inlineStr">
        <is>
          <t>VÄSTMANLANDS LÄN</t>
        </is>
      </c>
      <c r="E144" t="inlineStr">
        <is>
          <t>SURAHAMMAR</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44608.58400462963</v>
      </c>
      <c r="C145" s="1" t="n">
        <v>45901</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16608-2022</t>
        </is>
      </c>
      <c r="B146" s="1" t="n">
        <v>44672</v>
      </c>
      <c r="C146" s="1" t="n">
        <v>45901</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30076-2023</t>
        </is>
      </c>
      <c r="B147" s="1" t="n">
        <v>45110</v>
      </c>
      <c r="C147" s="1" t="n">
        <v>45901</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15743-2023</t>
        </is>
      </c>
      <c r="B148" s="1" t="n">
        <v>45021</v>
      </c>
      <c r="C148" s="1" t="n">
        <v>45901</v>
      </c>
      <c r="D148" t="inlineStr">
        <is>
          <t>VÄSTMANLANDS LÄN</t>
        </is>
      </c>
      <c r="E148" t="inlineStr">
        <is>
          <t>SURAHAMMAR</t>
        </is>
      </c>
      <c r="G148" t="n">
        <v>0.5</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45901</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45901</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c r="A151" t="inlineStr">
        <is>
          <t>A 10396-2025</t>
        </is>
      </c>
      <c r="B151" s="1" t="n">
        <v>45720.60721064815</v>
      </c>
      <c r="C151" s="1" t="n">
        <v>45901</v>
      </c>
      <c r="D151" t="inlineStr">
        <is>
          <t>VÄSTMANLANDS LÄN</t>
        </is>
      </c>
      <c r="E151" t="inlineStr">
        <is>
          <t>SURAHAMMAR</t>
        </is>
      </c>
      <c r="F151" t="inlineStr">
        <is>
          <t>Allmännings- och besparingsskogar</t>
        </is>
      </c>
      <c r="G151" t="n">
        <v>9.300000000000001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2025-09-01T08:34:24Z</dcterms:created>
  <dcterms:modified xmlns:dcterms="http://purl.org/dc/terms/" xmlns:xsi="http://www.w3.org/2001/XMLSchema-instance" xsi:type="dcterms:W3CDTF">2025-09-01T08:34:24Z</dcterms:modified>
</cp:coreProperties>
</file>