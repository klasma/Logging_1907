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45964</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45964</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45964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45964</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45964</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45964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45964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45964</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45964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45964</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45964</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14815-2025</t>
        </is>
      </c>
      <c r="B19" s="1" t="n">
        <v>45743.34931712963</v>
      </c>
      <c r="C19" s="1" t="n">
        <v>45964</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56299-2021</t>
        </is>
      </c>
      <c r="B20" s="1" t="n">
        <v>44477</v>
      </c>
      <c r="C20" s="1" t="n">
        <v>45964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45964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45964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45964</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45964</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45964</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45964</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45964</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45964</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45964</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48128-2023</t>
        </is>
      </c>
      <c r="B30" s="1" t="n">
        <v>45205</v>
      </c>
      <c r="C30" s="1" t="n">
        <v>45964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45964</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8552-2022</t>
        </is>
      </c>
      <c r="B32" s="1" t="n">
        <v>44613</v>
      </c>
      <c r="C32" s="1" t="n">
        <v>45964</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45964</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20391-2024</t>
        </is>
      </c>
      <c r="B34" s="1" t="n">
        <v>45435</v>
      </c>
      <c r="C34" s="1" t="n">
        <v>45964</v>
      </c>
      <c r="D34" t="inlineStr">
        <is>
          <t>VÄSTMANLANDS LÄN</t>
        </is>
      </c>
      <c r="E34" t="inlineStr">
        <is>
          <t>SURAHAMMAR</t>
        </is>
      </c>
      <c r="G34" t="n">
        <v>1.5</v>
      </c>
      <c r="H34" t="n">
        <v>0</v>
      </c>
      <c r="I34" t="n">
        <v>2</v>
      </c>
      <c r="J34" t="n">
        <v>1</v>
      </c>
      <c r="K34" t="n">
        <v>0</v>
      </c>
      <c r="L34" t="n">
        <v>0</v>
      </c>
      <c r="M34" t="n">
        <v>0</v>
      </c>
      <c r="N34" t="n">
        <v>0</v>
      </c>
      <c r="O34" t="n">
        <v>1</v>
      </c>
      <c r="P34" t="n">
        <v>0</v>
      </c>
      <c r="Q34" t="n">
        <v>3</v>
      </c>
      <c r="R34" s="2" t="inlineStr">
        <is>
          <t>Vedtrappmossa
Kattfotslav
Stubbspretmossa</t>
        </is>
      </c>
      <c r="S34">
        <f>HYPERLINK("https://klasma.github.io/Logging_1907/artfynd/A 20391-2024 artfynd.xlsx", "A 20391-2024")</f>
        <v/>
      </c>
      <c r="T34">
        <f>HYPERLINK("https://klasma.github.io/Logging_1907/kartor/A 20391-2024 karta.png", "A 20391-2024")</f>
        <v/>
      </c>
      <c r="V34">
        <f>HYPERLINK("https://klasma.github.io/Logging_1907/klagomål/A 20391-2024 FSC-klagomål.docx", "A 20391-2024")</f>
        <v/>
      </c>
      <c r="W34">
        <f>HYPERLINK("https://klasma.github.io/Logging_1907/klagomålsmail/A 20391-2024 FSC-klagomål mail.docx", "A 20391-2024")</f>
        <v/>
      </c>
      <c r="X34">
        <f>HYPERLINK("https://klasma.github.io/Logging_1907/tillsyn/A 20391-2024 tillsynsbegäran.docx", "A 20391-2024")</f>
        <v/>
      </c>
      <c r="Y34">
        <f>HYPERLINK("https://klasma.github.io/Logging_1907/tillsynsmail/A 20391-2024 tillsynsbegäran mail.docx", "A 20391-2024")</f>
        <v/>
      </c>
    </row>
    <row r="35" ht="15" customHeight="1">
      <c r="A35" t="inlineStr">
        <is>
          <t>A 42853-2022</t>
        </is>
      </c>
      <c r="B35" s="1" t="n">
        <v>44832</v>
      </c>
      <c r="C35" s="1" t="n">
        <v>45964</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38200-2021</t>
        </is>
      </c>
      <c r="B36" s="1" t="n">
        <v>44405</v>
      </c>
      <c r="C36" s="1" t="n">
        <v>45964</v>
      </c>
      <c r="D36" t="inlineStr">
        <is>
          <t>VÄSTMANLANDS LÄN</t>
        </is>
      </c>
      <c r="E36" t="inlineStr">
        <is>
          <t>SURAHAMMAR</t>
        </is>
      </c>
      <c r="F36" t="inlineStr">
        <is>
          <t>Sveaskog</t>
        </is>
      </c>
      <c r="G36" t="n">
        <v>1.5</v>
      </c>
      <c r="H36" t="n">
        <v>1</v>
      </c>
      <c r="I36" t="n">
        <v>0</v>
      </c>
      <c r="J36" t="n">
        <v>1</v>
      </c>
      <c r="K36" t="n">
        <v>1</v>
      </c>
      <c r="L36" t="n">
        <v>0</v>
      </c>
      <c r="M36" t="n">
        <v>0</v>
      </c>
      <c r="N36" t="n">
        <v>0</v>
      </c>
      <c r="O36" t="n">
        <v>2</v>
      </c>
      <c r="P36" t="n">
        <v>1</v>
      </c>
      <c r="Q36" t="n">
        <v>3</v>
      </c>
      <c r="R36" s="2" t="inlineStr">
        <is>
          <t>Vågticka
Svinrot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49718-2023</t>
        </is>
      </c>
      <c r="B37" s="1" t="n">
        <v>45212</v>
      </c>
      <c r="C37" s="1" t="n">
        <v>45964</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29707-2025</t>
        </is>
      </c>
      <c r="B38" s="1" t="n">
        <v>45825.56100694444</v>
      </c>
      <c r="C38" s="1" t="n">
        <v>45964</v>
      </c>
      <c r="D38" t="inlineStr">
        <is>
          <t>VÄSTMANLANDS LÄN</t>
        </is>
      </c>
      <c r="E38" t="inlineStr">
        <is>
          <t>SURAHAMMAR</t>
        </is>
      </c>
      <c r="F38" t="inlineStr">
        <is>
          <t>Bergvik skog väst AB</t>
        </is>
      </c>
      <c r="G38" t="n">
        <v>5.1</v>
      </c>
      <c r="H38" t="n">
        <v>0</v>
      </c>
      <c r="I38" t="n">
        <v>1</v>
      </c>
      <c r="J38" t="n">
        <v>1</v>
      </c>
      <c r="K38" t="n">
        <v>0</v>
      </c>
      <c r="L38" t="n">
        <v>0</v>
      </c>
      <c r="M38" t="n">
        <v>1</v>
      </c>
      <c r="N38" t="n">
        <v>0</v>
      </c>
      <c r="O38" t="n">
        <v>2</v>
      </c>
      <c r="P38" t="n">
        <v>1</v>
      </c>
      <c r="Q38" t="n">
        <v>3</v>
      </c>
      <c r="R38" s="2" t="inlineStr">
        <is>
          <t>Skogsalm
Veckticka
Rävticka</t>
        </is>
      </c>
      <c r="S38">
        <f>HYPERLINK("https://klasma.github.io/Logging_1907/artfynd/A 29707-2025 artfynd.xlsx", "A 29707-2025")</f>
        <v/>
      </c>
      <c r="T38">
        <f>HYPERLINK("https://klasma.github.io/Logging_1907/kartor/A 29707-2025 karta.png", "A 29707-2025")</f>
        <v/>
      </c>
      <c r="V38">
        <f>HYPERLINK("https://klasma.github.io/Logging_1907/klagomål/A 29707-2025 FSC-klagomål.docx", "A 29707-2025")</f>
        <v/>
      </c>
      <c r="W38">
        <f>HYPERLINK("https://klasma.github.io/Logging_1907/klagomålsmail/A 29707-2025 FSC-klagomål mail.docx", "A 29707-2025")</f>
        <v/>
      </c>
      <c r="X38">
        <f>HYPERLINK("https://klasma.github.io/Logging_1907/tillsyn/A 29707-2025 tillsynsbegäran.docx", "A 29707-2025")</f>
        <v/>
      </c>
      <c r="Y38">
        <f>HYPERLINK("https://klasma.github.io/Logging_1907/tillsynsmail/A 29707-2025 tillsynsbegäran mail.docx", "A 29707-2025")</f>
        <v/>
      </c>
    </row>
    <row r="39" ht="15" customHeight="1">
      <c r="A39" t="inlineStr">
        <is>
          <t>A 39694-2025</t>
        </is>
      </c>
      <c r="B39" s="1" t="n">
        <v>45890</v>
      </c>
      <c r="C39" s="1" t="n">
        <v>45964</v>
      </c>
      <c r="D39" t="inlineStr">
        <is>
          <t>VÄSTMANLANDS LÄN</t>
        </is>
      </c>
      <c r="E39" t="inlineStr">
        <is>
          <t>SURAHAMMAR</t>
        </is>
      </c>
      <c r="F39" t="inlineStr">
        <is>
          <t>Bergvik skog väst AB</t>
        </is>
      </c>
      <c r="G39" t="n">
        <v>2.9</v>
      </c>
      <c r="H39" t="n">
        <v>1</v>
      </c>
      <c r="I39" t="n">
        <v>1</v>
      </c>
      <c r="J39" t="n">
        <v>1</v>
      </c>
      <c r="K39" t="n">
        <v>0</v>
      </c>
      <c r="L39" t="n">
        <v>0</v>
      </c>
      <c r="M39" t="n">
        <v>0</v>
      </c>
      <c r="N39" t="n">
        <v>0</v>
      </c>
      <c r="O39" t="n">
        <v>1</v>
      </c>
      <c r="P39" t="n">
        <v>0</v>
      </c>
      <c r="Q39" t="n">
        <v>3</v>
      </c>
      <c r="R39" s="2" t="inlineStr">
        <is>
          <t>Motaggsvamp
Mindre märgborre
Tjäder</t>
        </is>
      </c>
      <c r="S39">
        <f>HYPERLINK("https://klasma.github.io/Logging_1907/artfynd/A 39694-2025 artfynd.xlsx", "A 39694-2025")</f>
        <v/>
      </c>
      <c r="T39">
        <f>HYPERLINK("https://klasma.github.io/Logging_1907/kartor/A 39694-2025 karta.png", "A 39694-2025")</f>
        <v/>
      </c>
      <c r="V39">
        <f>HYPERLINK("https://klasma.github.io/Logging_1907/klagomål/A 39694-2025 FSC-klagomål.docx", "A 39694-2025")</f>
        <v/>
      </c>
      <c r="W39">
        <f>HYPERLINK("https://klasma.github.io/Logging_1907/klagomålsmail/A 39694-2025 FSC-klagomål mail.docx", "A 39694-2025")</f>
        <v/>
      </c>
      <c r="X39">
        <f>HYPERLINK("https://klasma.github.io/Logging_1907/tillsyn/A 39694-2025 tillsynsbegäran.docx", "A 39694-2025")</f>
        <v/>
      </c>
      <c r="Y39">
        <f>HYPERLINK("https://klasma.github.io/Logging_1907/tillsynsmail/A 39694-2025 tillsynsbegäran mail.docx", "A 39694-2025")</f>
        <v/>
      </c>
      <c r="Z39">
        <f>HYPERLINK("https://klasma.github.io/Logging_1907/fåglar/A 39694-2025 prioriterade fågelarter.docx", "A 39694-2025")</f>
        <v/>
      </c>
    </row>
    <row r="40" ht="15" customHeight="1">
      <c r="A40" t="inlineStr">
        <is>
          <t>A 37801-2021</t>
        </is>
      </c>
      <c r="B40" s="1" t="n">
        <v>44402</v>
      </c>
      <c r="C40" s="1" t="n">
        <v>45964</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21618-2025</t>
        </is>
      </c>
      <c r="B41" s="1" t="n">
        <v>45783</v>
      </c>
      <c r="C41" s="1" t="n">
        <v>45964</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62097-2024</t>
        </is>
      </c>
      <c r="B42" s="1" t="n">
        <v>45646</v>
      </c>
      <c r="C42" s="1" t="n">
        <v>45964</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37800-2021</t>
        </is>
      </c>
      <c r="B43" s="1" t="n">
        <v>44402</v>
      </c>
      <c r="C43" s="1" t="n">
        <v>45964</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45964</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45964</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45964</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45964</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45964</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45964</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45964</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17632-2022</t>
        </is>
      </c>
      <c r="B51" s="1" t="n">
        <v>44680</v>
      </c>
      <c r="C51" s="1" t="n">
        <v>45964</v>
      </c>
      <c r="D51" t="inlineStr">
        <is>
          <t>VÄSTMANLANDS LÄN</t>
        </is>
      </c>
      <c r="E51" t="inlineStr">
        <is>
          <t>SURAHAMMAR</t>
        </is>
      </c>
      <c r="G51" t="n">
        <v>5.2</v>
      </c>
      <c r="H51" t="n">
        <v>0</v>
      </c>
      <c r="I51" t="n">
        <v>1</v>
      </c>
      <c r="J51" t="n">
        <v>0</v>
      </c>
      <c r="K51" t="n">
        <v>0</v>
      </c>
      <c r="L51" t="n">
        <v>0</v>
      </c>
      <c r="M51" t="n">
        <v>0</v>
      </c>
      <c r="N51" t="n">
        <v>0</v>
      </c>
      <c r="O51" t="n">
        <v>0</v>
      </c>
      <c r="P51" t="n">
        <v>0</v>
      </c>
      <c r="Q51" t="n">
        <v>1</v>
      </c>
      <c r="R51" s="2" t="inlineStr">
        <is>
          <t>Blodticka</t>
        </is>
      </c>
      <c r="S51">
        <f>HYPERLINK("https://klasma.github.io/Logging_1907/artfynd/A 17632-2022 artfynd.xlsx", "A 17632-2022")</f>
        <v/>
      </c>
      <c r="T51">
        <f>HYPERLINK("https://klasma.github.io/Logging_1907/kartor/A 17632-2022 karta.png", "A 17632-2022")</f>
        <v/>
      </c>
      <c r="V51">
        <f>HYPERLINK("https://klasma.github.io/Logging_1907/klagomål/A 17632-2022 FSC-klagomål.docx", "A 17632-2022")</f>
        <v/>
      </c>
      <c r="W51">
        <f>HYPERLINK("https://klasma.github.io/Logging_1907/klagomålsmail/A 17632-2022 FSC-klagomål mail.docx", "A 17632-2022")</f>
        <v/>
      </c>
      <c r="X51">
        <f>HYPERLINK("https://klasma.github.io/Logging_1907/tillsyn/A 17632-2022 tillsynsbegäran.docx", "A 17632-2022")</f>
        <v/>
      </c>
      <c r="Y51">
        <f>HYPERLINK("https://klasma.github.io/Logging_1907/tillsynsmail/A 17632-2022 tillsynsbegäran mail.docx", "A 17632-2022")</f>
        <v/>
      </c>
    </row>
    <row r="52" ht="15" customHeight="1">
      <c r="A52" t="inlineStr">
        <is>
          <t>A 31176-2024</t>
        </is>
      </c>
      <c r="B52" s="1" t="n">
        <v>45503</v>
      </c>
      <c r="C52" s="1" t="n">
        <v>45964</v>
      </c>
      <c r="D52" t="inlineStr">
        <is>
          <t>VÄSTMANLANDS LÄN</t>
        </is>
      </c>
      <c r="E52" t="inlineStr">
        <is>
          <t>SURAHAMMAR</t>
        </is>
      </c>
      <c r="F52" t="inlineStr">
        <is>
          <t>Allmännings- och besparingsskogar</t>
        </is>
      </c>
      <c r="G52" t="n">
        <v>10.7</v>
      </c>
      <c r="H52" t="n">
        <v>0</v>
      </c>
      <c r="I52" t="n">
        <v>0</v>
      </c>
      <c r="J52" t="n">
        <v>1</v>
      </c>
      <c r="K52" t="n">
        <v>0</v>
      </c>
      <c r="L52" t="n">
        <v>0</v>
      </c>
      <c r="M52" t="n">
        <v>0</v>
      </c>
      <c r="N52" t="n">
        <v>0</v>
      </c>
      <c r="O52" t="n">
        <v>1</v>
      </c>
      <c r="P52" t="n">
        <v>0</v>
      </c>
      <c r="Q52" t="n">
        <v>1</v>
      </c>
      <c r="R52" s="2" t="inlineStr">
        <is>
          <t>Doftskinn</t>
        </is>
      </c>
      <c r="S52">
        <f>HYPERLINK("https://klasma.github.io/Logging_1907/artfynd/A 31176-2024 artfynd.xlsx", "A 31176-2024")</f>
        <v/>
      </c>
      <c r="T52">
        <f>HYPERLINK("https://klasma.github.io/Logging_1907/kartor/A 31176-2024 karta.png", "A 31176-2024")</f>
        <v/>
      </c>
      <c r="V52">
        <f>HYPERLINK("https://klasma.github.io/Logging_1907/klagomål/A 31176-2024 FSC-klagomål.docx", "A 31176-2024")</f>
        <v/>
      </c>
      <c r="W52">
        <f>HYPERLINK("https://klasma.github.io/Logging_1907/klagomålsmail/A 31176-2024 FSC-klagomål mail.docx", "A 31176-2024")</f>
        <v/>
      </c>
      <c r="X52">
        <f>HYPERLINK("https://klasma.github.io/Logging_1907/tillsyn/A 31176-2024 tillsynsbegäran.docx", "A 31176-2024")</f>
        <v/>
      </c>
      <c r="Y52">
        <f>HYPERLINK("https://klasma.github.io/Logging_1907/tillsynsmail/A 31176-2024 tillsynsbegäran mail.docx", "A 31176-2024")</f>
        <v/>
      </c>
    </row>
    <row r="53" ht="15" customHeight="1">
      <c r="A53" t="inlineStr">
        <is>
          <t>A 40411-2021</t>
        </is>
      </c>
      <c r="B53" s="1" t="n">
        <v>44419</v>
      </c>
      <c r="C53" s="1" t="n">
        <v>45964</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43451-2024</t>
        </is>
      </c>
      <c r="B54" s="1" t="n">
        <v>45568</v>
      </c>
      <c r="C54" s="1" t="n">
        <v>45964</v>
      </c>
      <c r="D54" t="inlineStr">
        <is>
          <t>VÄSTMANLANDS LÄN</t>
        </is>
      </c>
      <c r="E54" t="inlineStr">
        <is>
          <t>SURAHAMMAR</t>
        </is>
      </c>
      <c r="F54" t="inlineStr">
        <is>
          <t>Bergvik skog väst AB</t>
        </is>
      </c>
      <c r="G54" t="n">
        <v>2.9</v>
      </c>
      <c r="H54" t="n">
        <v>0</v>
      </c>
      <c r="I54" t="n">
        <v>0</v>
      </c>
      <c r="J54" t="n">
        <v>1</v>
      </c>
      <c r="K54" t="n">
        <v>0</v>
      </c>
      <c r="L54" t="n">
        <v>0</v>
      </c>
      <c r="M54" t="n">
        <v>0</v>
      </c>
      <c r="N54" t="n">
        <v>0</v>
      </c>
      <c r="O54" t="n">
        <v>1</v>
      </c>
      <c r="P54" t="n">
        <v>0</v>
      </c>
      <c r="Q54" t="n">
        <v>1</v>
      </c>
      <c r="R54" s="2" t="inlineStr">
        <is>
          <t>Ullticka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56362-2023</t>
        </is>
      </c>
      <c r="B55" s="1" t="n">
        <v>45236</v>
      </c>
      <c r="C55" s="1" t="n">
        <v>45964</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47453-2024</t>
        </is>
      </c>
      <c r="B56" s="1" t="n">
        <v>45587.55017361111</v>
      </c>
      <c r="C56" s="1" t="n">
        <v>45964</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44356-2024</t>
        </is>
      </c>
      <c r="B57" s="1" t="n">
        <v>45573</v>
      </c>
      <c r="C57" s="1" t="n">
        <v>45964</v>
      </c>
      <c r="D57" t="inlineStr">
        <is>
          <t>VÄSTMANLANDS LÄN</t>
        </is>
      </c>
      <c r="E57" t="inlineStr">
        <is>
          <t>SURAHAMMAR</t>
        </is>
      </c>
      <c r="F57" t="inlineStr">
        <is>
          <t>Sveaskog</t>
        </is>
      </c>
      <c r="G57" t="n">
        <v>0.7</v>
      </c>
      <c r="H57" t="n">
        <v>1</v>
      </c>
      <c r="I57" t="n">
        <v>0</v>
      </c>
      <c r="J57" t="n">
        <v>0</v>
      </c>
      <c r="K57" t="n">
        <v>0</v>
      </c>
      <c r="L57" t="n">
        <v>0</v>
      </c>
      <c r="M57" t="n">
        <v>0</v>
      </c>
      <c r="N57" t="n">
        <v>0</v>
      </c>
      <c r="O57" t="n">
        <v>0</v>
      </c>
      <c r="P57" t="n">
        <v>0</v>
      </c>
      <c r="Q57" t="n">
        <v>1</v>
      </c>
      <c r="R57" s="2" t="inlineStr">
        <is>
          <t>Revlummer</t>
        </is>
      </c>
      <c r="S57">
        <f>HYPERLINK("https://klasma.github.io/Logging_1907/artfynd/A 44356-2024 artfynd.xlsx", "A 44356-2024")</f>
        <v/>
      </c>
      <c r="T57">
        <f>HYPERLINK("https://klasma.github.io/Logging_1907/kartor/A 44356-2024 karta.png", "A 44356-2024")</f>
        <v/>
      </c>
      <c r="V57">
        <f>HYPERLINK("https://klasma.github.io/Logging_1907/klagomål/A 44356-2024 FSC-klagomål.docx", "A 44356-2024")</f>
        <v/>
      </c>
      <c r="W57">
        <f>HYPERLINK("https://klasma.github.io/Logging_1907/klagomålsmail/A 44356-2024 FSC-klagomål mail.docx", "A 44356-2024")</f>
        <v/>
      </c>
      <c r="X57">
        <f>HYPERLINK("https://klasma.github.io/Logging_1907/tillsyn/A 44356-2024 tillsynsbegäran.docx", "A 44356-2024")</f>
        <v/>
      </c>
      <c r="Y57">
        <f>HYPERLINK("https://klasma.github.io/Logging_1907/tillsynsmail/A 44356-2024 tillsynsbegäran mail.docx", "A 44356-2024")</f>
        <v/>
      </c>
    </row>
    <row r="58" ht="15" customHeight="1">
      <c r="A58" t="inlineStr">
        <is>
          <t>A 25583-2024</t>
        </is>
      </c>
      <c r="B58" s="1" t="n">
        <v>45463</v>
      </c>
      <c r="C58" s="1" t="n">
        <v>45964</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22840-2023</t>
        </is>
      </c>
      <c r="B59" s="1" t="n">
        <v>45072</v>
      </c>
      <c r="C59" s="1" t="n">
        <v>45964</v>
      </c>
      <c r="D59" t="inlineStr">
        <is>
          <t>VÄSTMANLANDS LÄN</t>
        </is>
      </c>
      <c r="E59" t="inlineStr">
        <is>
          <t>SURAHAMMAR</t>
        </is>
      </c>
      <c r="G59" t="n">
        <v>4.3</v>
      </c>
      <c r="H59" t="n">
        <v>1</v>
      </c>
      <c r="I59" t="n">
        <v>0</v>
      </c>
      <c r="J59" t="n">
        <v>0</v>
      </c>
      <c r="K59" t="n">
        <v>0</v>
      </c>
      <c r="L59" t="n">
        <v>0</v>
      </c>
      <c r="M59" t="n">
        <v>0</v>
      </c>
      <c r="N59" t="n">
        <v>0</v>
      </c>
      <c r="O59" t="n">
        <v>0</v>
      </c>
      <c r="P59" t="n">
        <v>0</v>
      </c>
      <c r="Q59" t="n">
        <v>1</v>
      </c>
      <c r="R59" s="2" t="inlineStr">
        <is>
          <t>Fläcknycklar</t>
        </is>
      </c>
      <c r="S59">
        <f>HYPERLINK("https://klasma.github.io/Logging_1907/artfynd/A 22840-2023 artfynd.xlsx", "A 22840-2023")</f>
        <v/>
      </c>
      <c r="T59">
        <f>HYPERLINK("https://klasma.github.io/Logging_1907/kartor/A 22840-2023 karta.png", "A 22840-2023")</f>
        <v/>
      </c>
      <c r="V59">
        <f>HYPERLINK("https://klasma.github.io/Logging_1907/klagomål/A 22840-2023 FSC-klagomål.docx", "A 22840-2023")</f>
        <v/>
      </c>
      <c r="W59">
        <f>HYPERLINK("https://klasma.github.io/Logging_1907/klagomålsmail/A 22840-2023 FSC-klagomål mail.docx", "A 22840-2023")</f>
        <v/>
      </c>
      <c r="X59">
        <f>HYPERLINK("https://klasma.github.io/Logging_1907/tillsyn/A 22840-2023 tillsynsbegäran.docx", "A 22840-2023")</f>
        <v/>
      </c>
      <c r="Y59">
        <f>HYPERLINK("https://klasma.github.io/Logging_1907/tillsynsmail/A 22840-2023 tillsynsbegäran mail.docx", "A 22840-2023")</f>
        <v/>
      </c>
    </row>
    <row r="60" ht="15" customHeight="1">
      <c r="A60" t="inlineStr">
        <is>
          <t>A 13788-2025</t>
        </is>
      </c>
      <c r="B60" s="1" t="n">
        <v>45737.45327546296</v>
      </c>
      <c r="C60" s="1" t="n">
        <v>45964</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33231-2024</t>
        </is>
      </c>
      <c r="B61" s="1" t="n">
        <v>45518</v>
      </c>
      <c r="C61" s="1" t="n">
        <v>45964</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39099-2022</t>
        </is>
      </c>
      <c r="B62" s="1" t="n">
        <v>44817</v>
      </c>
      <c r="C62" s="1" t="n">
        <v>45964</v>
      </c>
      <c r="D62" t="inlineStr">
        <is>
          <t>VÄSTMANLANDS LÄN</t>
        </is>
      </c>
      <c r="E62" t="inlineStr">
        <is>
          <t>SURAHAMMAR</t>
        </is>
      </c>
      <c r="F62" t="inlineStr">
        <is>
          <t>Bergvik skog väst AB</t>
        </is>
      </c>
      <c r="G62" t="n">
        <v>7.4</v>
      </c>
      <c r="H62" t="n">
        <v>0</v>
      </c>
      <c r="I62" t="n">
        <v>1</v>
      </c>
      <c r="J62" t="n">
        <v>0</v>
      </c>
      <c r="K62" t="n">
        <v>0</v>
      </c>
      <c r="L62" t="n">
        <v>0</v>
      </c>
      <c r="M62" t="n">
        <v>0</v>
      </c>
      <c r="N62" t="n">
        <v>0</v>
      </c>
      <c r="O62" t="n">
        <v>0</v>
      </c>
      <c r="P62" t="n">
        <v>0</v>
      </c>
      <c r="Q62" t="n">
        <v>1</v>
      </c>
      <c r="R62" s="2" t="inlineStr">
        <is>
          <t>Stekelbock</t>
        </is>
      </c>
      <c r="S62">
        <f>HYPERLINK("https://klasma.github.io/Logging_1907/artfynd/A 39099-2022 artfynd.xlsx", "A 39099-2022")</f>
        <v/>
      </c>
      <c r="T62">
        <f>HYPERLINK("https://klasma.github.io/Logging_1907/kartor/A 39099-2022 karta.png", "A 39099-2022")</f>
        <v/>
      </c>
      <c r="V62">
        <f>HYPERLINK("https://klasma.github.io/Logging_1907/klagomål/A 39099-2022 FSC-klagomål.docx", "A 39099-2022")</f>
        <v/>
      </c>
      <c r="W62">
        <f>HYPERLINK("https://klasma.github.io/Logging_1907/klagomålsmail/A 39099-2022 FSC-klagomål mail.docx", "A 39099-2022")</f>
        <v/>
      </c>
      <c r="X62">
        <f>HYPERLINK("https://klasma.github.io/Logging_1907/tillsyn/A 39099-2022 tillsynsbegäran.docx", "A 39099-2022")</f>
        <v/>
      </c>
      <c r="Y62">
        <f>HYPERLINK("https://klasma.github.io/Logging_1907/tillsynsmail/A 39099-2022 tillsynsbegäran mail.docx", "A 39099-2022")</f>
        <v/>
      </c>
    </row>
    <row r="63" ht="15" customHeight="1">
      <c r="A63" t="inlineStr">
        <is>
          <t>A 42765-2022</t>
        </is>
      </c>
      <c r="B63" s="1" t="n">
        <v>44832</v>
      </c>
      <c r="C63" s="1" t="n">
        <v>45964</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10819-2024</t>
        </is>
      </c>
      <c r="B64" s="1" t="n">
        <v>45369.66049768519</v>
      </c>
      <c r="C64" s="1" t="n">
        <v>45964</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14001-2023</t>
        </is>
      </c>
      <c r="B65" s="1" t="n">
        <v>45007</v>
      </c>
      <c r="C65" s="1" t="n">
        <v>45964</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69777-2021</t>
        </is>
      </c>
      <c r="B66" s="1" t="n">
        <v>44532</v>
      </c>
      <c r="C66" s="1" t="n">
        <v>45964</v>
      </c>
      <c r="D66" t="inlineStr">
        <is>
          <t>VÄSTMANLANDS LÄN</t>
        </is>
      </c>
      <c r="E66" t="inlineStr">
        <is>
          <t>SURAHAMMAR</t>
        </is>
      </c>
      <c r="G66" t="n">
        <v>2.3</v>
      </c>
      <c r="H66" t="n">
        <v>1</v>
      </c>
      <c r="I66" t="n">
        <v>0</v>
      </c>
      <c r="J66" t="n">
        <v>0</v>
      </c>
      <c r="K66" t="n">
        <v>1</v>
      </c>
      <c r="L66" t="n">
        <v>0</v>
      </c>
      <c r="M66" t="n">
        <v>0</v>
      </c>
      <c r="N66" t="n">
        <v>0</v>
      </c>
      <c r="O66" t="n">
        <v>1</v>
      </c>
      <c r="P66" t="n">
        <v>1</v>
      </c>
      <c r="Q66" t="n">
        <v>1</v>
      </c>
      <c r="R66" s="2" t="inlineStr">
        <is>
          <t>Bombmurkla</t>
        </is>
      </c>
      <c r="S66">
        <f>HYPERLINK("https://klasma.github.io/Logging_1907/artfynd/A 69777-2021 artfynd.xlsx", "A 69777-2021")</f>
        <v/>
      </c>
      <c r="T66">
        <f>HYPERLINK("https://klasma.github.io/Logging_1907/kartor/A 69777-2021 karta.png", "A 69777-2021")</f>
        <v/>
      </c>
      <c r="V66">
        <f>HYPERLINK("https://klasma.github.io/Logging_1907/klagomål/A 69777-2021 FSC-klagomål.docx", "A 69777-2021")</f>
        <v/>
      </c>
      <c r="W66">
        <f>HYPERLINK("https://klasma.github.io/Logging_1907/klagomålsmail/A 69777-2021 FSC-klagomål mail.docx", "A 69777-2021")</f>
        <v/>
      </c>
      <c r="X66">
        <f>HYPERLINK("https://klasma.github.io/Logging_1907/tillsyn/A 69777-2021 tillsynsbegäran.docx", "A 69777-2021")</f>
        <v/>
      </c>
      <c r="Y66">
        <f>HYPERLINK("https://klasma.github.io/Logging_1907/tillsynsmail/A 69777-2021 tillsynsbegäran mail.docx", "A 69777-2021")</f>
        <v/>
      </c>
    </row>
    <row r="67" ht="15" customHeight="1">
      <c r="A67" t="inlineStr">
        <is>
          <t>A 40403-2025</t>
        </is>
      </c>
      <c r="B67" s="1" t="n">
        <v>45895</v>
      </c>
      <c r="C67" s="1" t="n">
        <v>45964</v>
      </c>
      <c r="D67" t="inlineStr">
        <is>
          <t>VÄSTMANLANDS LÄN</t>
        </is>
      </c>
      <c r="E67" t="inlineStr">
        <is>
          <t>SURAHAMMAR</t>
        </is>
      </c>
      <c r="F67" t="inlineStr">
        <is>
          <t>Kommuner</t>
        </is>
      </c>
      <c r="G67" t="n">
        <v>3.9</v>
      </c>
      <c r="H67" t="n">
        <v>0</v>
      </c>
      <c r="I67" t="n">
        <v>0</v>
      </c>
      <c r="J67" t="n">
        <v>1</v>
      </c>
      <c r="K67" t="n">
        <v>0</v>
      </c>
      <c r="L67" t="n">
        <v>0</v>
      </c>
      <c r="M67" t="n">
        <v>0</v>
      </c>
      <c r="N67" t="n">
        <v>0</v>
      </c>
      <c r="O67" t="n">
        <v>1</v>
      </c>
      <c r="P67" t="n">
        <v>0</v>
      </c>
      <c r="Q67" t="n">
        <v>1</v>
      </c>
      <c r="R67" s="2" t="inlineStr">
        <is>
          <t>Igelkott</t>
        </is>
      </c>
      <c r="S67">
        <f>HYPERLINK("https://klasma.github.io/Logging_1907/artfynd/A 40403-2025 artfynd.xlsx", "A 40403-2025")</f>
        <v/>
      </c>
      <c r="T67">
        <f>HYPERLINK("https://klasma.github.io/Logging_1907/kartor/A 40403-2025 karta.png", "A 40403-2025")</f>
        <v/>
      </c>
      <c r="V67">
        <f>HYPERLINK("https://klasma.github.io/Logging_1907/klagomål/A 40403-2025 FSC-klagomål.docx", "A 40403-2025")</f>
        <v/>
      </c>
      <c r="W67">
        <f>HYPERLINK("https://klasma.github.io/Logging_1907/klagomålsmail/A 40403-2025 FSC-klagomål mail.docx", "A 40403-2025")</f>
        <v/>
      </c>
      <c r="X67">
        <f>HYPERLINK("https://klasma.github.io/Logging_1907/tillsyn/A 40403-2025 tillsynsbegäran.docx", "A 40403-2025")</f>
        <v/>
      </c>
      <c r="Y67">
        <f>HYPERLINK("https://klasma.github.io/Logging_1907/tillsynsmail/A 40403-2025 tillsynsbegäran mail.docx", "A 40403-2025")</f>
        <v/>
      </c>
    </row>
    <row r="68" ht="15" customHeight="1">
      <c r="A68" t="inlineStr">
        <is>
          <t>A 13971-2023</t>
        </is>
      </c>
      <c r="B68" s="1" t="n">
        <v>45007</v>
      </c>
      <c r="C68" s="1" t="n">
        <v>45964</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42089-2025</t>
        </is>
      </c>
      <c r="B69" s="1" t="n">
        <v>45902</v>
      </c>
      <c r="C69" s="1" t="n">
        <v>45964</v>
      </c>
      <c r="D69" t="inlineStr">
        <is>
          <t>VÄSTMANLANDS LÄN</t>
        </is>
      </c>
      <c r="E69" t="inlineStr">
        <is>
          <t>SURAHAMMAR</t>
        </is>
      </c>
      <c r="G69" t="n">
        <v>2.2</v>
      </c>
      <c r="H69" t="n">
        <v>0</v>
      </c>
      <c r="I69" t="n">
        <v>0</v>
      </c>
      <c r="J69" t="n">
        <v>1</v>
      </c>
      <c r="K69" t="n">
        <v>0</v>
      </c>
      <c r="L69" t="n">
        <v>0</v>
      </c>
      <c r="M69" t="n">
        <v>0</v>
      </c>
      <c r="N69" t="n">
        <v>0</v>
      </c>
      <c r="O69" t="n">
        <v>1</v>
      </c>
      <c r="P69" t="n">
        <v>0</v>
      </c>
      <c r="Q69" t="n">
        <v>1</v>
      </c>
      <c r="R69" s="2" t="inlineStr">
        <is>
          <t>Motaggsvamp</t>
        </is>
      </c>
      <c r="S69">
        <f>HYPERLINK("https://klasma.github.io/Logging_1907/artfynd/A 42089-2025 artfynd.xlsx", "A 42089-2025")</f>
        <v/>
      </c>
      <c r="T69">
        <f>HYPERLINK("https://klasma.github.io/Logging_1907/kartor/A 42089-2025 karta.png", "A 42089-2025")</f>
        <v/>
      </c>
      <c r="V69">
        <f>HYPERLINK("https://klasma.github.io/Logging_1907/klagomål/A 42089-2025 FSC-klagomål.docx", "A 42089-2025")</f>
        <v/>
      </c>
      <c r="W69">
        <f>HYPERLINK("https://klasma.github.io/Logging_1907/klagomålsmail/A 42089-2025 FSC-klagomål mail.docx", "A 42089-2025")</f>
        <v/>
      </c>
      <c r="X69">
        <f>HYPERLINK("https://klasma.github.io/Logging_1907/tillsyn/A 42089-2025 tillsynsbegäran.docx", "A 42089-2025")</f>
        <v/>
      </c>
      <c r="Y69">
        <f>HYPERLINK("https://klasma.github.io/Logging_1907/tillsynsmail/A 42089-2025 tillsynsbegäran mail.docx", "A 42089-2025")</f>
        <v/>
      </c>
    </row>
    <row r="70" ht="15" customHeight="1">
      <c r="A70" t="inlineStr">
        <is>
          <t>A 1492-2021</t>
        </is>
      </c>
      <c r="B70" s="1" t="n">
        <v>44209</v>
      </c>
      <c r="C70" s="1" t="n">
        <v>45964</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45964</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45964</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45964</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45964</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45964</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45964</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45964</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45964</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19846-2022</t>
        </is>
      </c>
      <c r="B80" s="1" t="n">
        <v>44696.89327546296</v>
      </c>
      <c r="C80" s="1" t="n">
        <v>45964</v>
      </c>
      <c r="D80" t="inlineStr">
        <is>
          <t>VÄSTMANLANDS LÄN</t>
        </is>
      </c>
      <c r="E80" t="inlineStr">
        <is>
          <t>SURAHAMMAR</t>
        </is>
      </c>
      <c r="F80" t="inlineStr">
        <is>
          <t>Kommuner</t>
        </is>
      </c>
      <c r="G80" t="n">
        <v>3.4</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45964</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45964</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66342-2021</t>
        </is>
      </c>
      <c r="B83" s="1" t="n">
        <v>44518</v>
      </c>
      <c r="C83" s="1" t="n">
        <v>45964</v>
      </c>
      <c r="D83" t="inlineStr">
        <is>
          <t>VÄSTMANLANDS LÄN</t>
        </is>
      </c>
      <c r="E83" t="inlineStr">
        <is>
          <t>SURAHAMMAR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19637-2022</t>
        </is>
      </c>
      <c r="B84" s="1" t="n">
        <v>44694</v>
      </c>
      <c r="C84" s="1" t="n">
        <v>45964</v>
      </c>
      <c r="D84" t="inlineStr">
        <is>
          <t>VÄSTMANLANDS LÄN</t>
        </is>
      </c>
      <c r="E84" t="inlineStr">
        <is>
          <t>SURAHAMMAR</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45964</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59543-2020</t>
        </is>
      </c>
      <c r="B86" s="1" t="n">
        <v>44148</v>
      </c>
      <c r="C86" s="1" t="n">
        <v>45964</v>
      </c>
      <c r="D86" t="inlineStr">
        <is>
          <t>VÄSTMANLANDS LÄN</t>
        </is>
      </c>
      <c r="E86" t="inlineStr">
        <is>
          <t>SURAHAMMAR</t>
        </is>
      </c>
      <c r="G86" t="n">
        <v>1.3</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45964</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45964</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2867-2024</t>
        </is>
      </c>
      <c r="B89" s="1" t="n">
        <v>45315</v>
      </c>
      <c r="C89" s="1" t="n">
        <v>45964</v>
      </c>
      <c r="D89" t="inlineStr">
        <is>
          <t>VÄSTMANLANDS LÄN</t>
        </is>
      </c>
      <c r="E89" t="inlineStr">
        <is>
          <t>SURAHAMMAR</t>
        </is>
      </c>
      <c r="F89" t="inlineStr">
        <is>
          <t>Bergvik skog väst AB</t>
        </is>
      </c>
      <c r="G89" t="n">
        <v>1.4</v>
      </c>
      <c r="H89" t="n">
        <v>0</v>
      </c>
      <c r="I89" t="n">
        <v>0</v>
      </c>
      <c r="J89" t="n">
        <v>0</v>
      </c>
      <c r="K89" t="n">
        <v>0</v>
      </c>
      <c r="L89" t="n">
        <v>0</v>
      </c>
      <c r="M89" t="n">
        <v>0</v>
      </c>
      <c r="N89" t="n">
        <v>0</v>
      </c>
      <c r="O89" t="n">
        <v>0</v>
      </c>
      <c r="P89" t="n">
        <v>0</v>
      </c>
      <c r="Q89" t="n">
        <v>0</v>
      </c>
      <c r="R89" s="2" t="inlineStr"/>
    </row>
    <row r="90" ht="15" customHeight="1">
      <c r="A90" t="inlineStr">
        <is>
          <t>A 3085-2023</t>
        </is>
      </c>
      <c r="B90" s="1" t="n">
        <v>44946</v>
      </c>
      <c r="C90" s="1" t="n">
        <v>45964</v>
      </c>
      <c r="D90" t="inlineStr">
        <is>
          <t>VÄSTMANLANDS LÄN</t>
        </is>
      </c>
      <c r="E90" t="inlineStr">
        <is>
          <t>SURAHAMMAR</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45964</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45964</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45964</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45964</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45964</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45964</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22662-2023</t>
        </is>
      </c>
      <c r="B97" s="1" t="n">
        <v>45071</v>
      </c>
      <c r="C97" s="1" t="n">
        <v>45964</v>
      </c>
      <c r="D97" t="inlineStr">
        <is>
          <t>VÄSTMANLANDS LÄN</t>
        </is>
      </c>
      <c r="E97" t="inlineStr">
        <is>
          <t>SURAHAMMAR</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16013-2023</t>
        </is>
      </c>
      <c r="B98" s="1" t="n">
        <v>45026</v>
      </c>
      <c r="C98" s="1" t="n">
        <v>45964</v>
      </c>
      <c r="D98" t="inlineStr">
        <is>
          <t>VÄSTMANLANDS LÄN</t>
        </is>
      </c>
      <c r="E98" t="inlineStr">
        <is>
          <t>SURAHAMMAR</t>
        </is>
      </c>
      <c r="G98" t="n">
        <v>3.9</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45964</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49058-2024</t>
        </is>
      </c>
      <c r="B100" s="1" t="n">
        <v>45594</v>
      </c>
      <c r="C100" s="1" t="n">
        <v>45964</v>
      </c>
      <c r="D100" t="inlineStr">
        <is>
          <t>VÄSTMANLANDS LÄN</t>
        </is>
      </c>
      <c r="E100" t="inlineStr">
        <is>
          <t>SURAHAMMAR</t>
        </is>
      </c>
      <c r="F100" t="inlineStr">
        <is>
          <t>Sveaskog</t>
        </is>
      </c>
      <c r="G100" t="n">
        <v>11.4</v>
      </c>
      <c r="H100" t="n">
        <v>0</v>
      </c>
      <c r="I100" t="n">
        <v>0</v>
      </c>
      <c r="J100" t="n">
        <v>0</v>
      </c>
      <c r="K100" t="n">
        <v>0</v>
      </c>
      <c r="L100" t="n">
        <v>0</v>
      </c>
      <c r="M100" t="n">
        <v>0</v>
      </c>
      <c r="N100" t="n">
        <v>0</v>
      </c>
      <c r="O100" t="n">
        <v>0</v>
      </c>
      <c r="P100" t="n">
        <v>0</v>
      </c>
      <c r="Q100" t="n">
        <v>0</v>
      </c>
      <c r="R100" s="2" t="inlineStr"/>
    </row>
    <row r="101" ht="15" customHeight="1">
      <c r="A101" t="inlineStr">
        <is>
          <t>A 49060-2024</t>
        </is>
      </c>
      <c r="B101" s="1" t="n">
        <v>45594</v>
      </c>
      <c r="C101" s="1" t="n">
        <v>45964</v>
      </c>
      <c r="D101" t="inlineStr">
        <is>
          <t>VÄSTMANLANDS LÄN</t>
        </is>
      </c>
      <c r="E101" t="inlineStr">
        <is>
          <t>SURAHAMMAR</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45964</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19786-2023</t>
        </is>
      </c>
      <c r="B103" s="1" t="n">
        <v>45050</v>
      </c>
      <c r="C103" s="1" t="n">
        <v>45964</v>
      </c>
      <c r="D103" t="inlineStr">
        <is>
          <t>VÄSTMANLANDS LÄN</t>
        </is>
      </c>
      <c r="E103" t="inlineStr">
        <is>
          <t>SURAHAMMAR</t>
        </is>
      </c>
      <c r="F103" t="inlineStr">
        <is>
          <t>Bergvik skog väst AB</t>
        </is>
      </c>
      <c r="G103" t="n">
        <v>8.1</v>
      </c>
      <c r="H103" t="n">
        <v>0</v>
      </c>
      <c r="I103" t="n">
        <v>0</v>
      </c>
      <c r="J103" t="n">
        <v>0</v>
      </c>
      <c r="K103" t="n">
        <v>0</v>
      </c>
      <c r="L103" t="n">
        <v>0</v>
      </c>
      <c r="M103" t="n">
        <v>0</v>
      </c>
      <c r="N103" t="n">
        <v>0</v>
      </c>
      <c r="O103" t="n">
        <v>0</v>
      </c>
      <c r="P103" t="n">
        <v>0</v>
      </c>
      <c r="Q103" t="n">
        <v>0</v>
      </c>
      <c r="R103" s="2" t="inlineStr"/>
    </row>
    <row r="104" ht="15" customHeight="1">
      <c r="A104" t="inlineStr">
        <is>
          <t>A 41555-2022</t>
        </is>
      </c>
      <c r="B104" s="1" t="n">
        <v>44826</v>
      </c>
      <c r="C104" s="1" t="n">
        <v>45964</v>
      </c>
      <c r="D104" t="inlineStr">
        <is>
          <t>VÄSTMANLANDS LÄN</t>
        </is>
      </c>
      <c r="E104" t="inlineStr">
        <is>
          <t>SURAHAMMAR</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34955-2022</t>
        </is>
      </c>
      <c r="B105" s="1" t="n">
        <v>44796</v>
      </c>
      <c r="C105" s="1" t="n">
        <v>45964</v>
      </c>
      <c r="D105" t="inlineStr">
        <is>
          <t>VÄSTMANLANDS LÄN</t>
        </is>
      </c>
      <c r="E105" t="inlineStr">
        <is>
          <t>SURAHAMMAR</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25780-2023</t>
        </is>
      </c>
      <c r="B106" s="1" t="n">
        <v>45090.47523148148</v>
      </c>
      <c r="C106" s="1" t="n">
        <v>45964</v>
      </c>
      <c r="D106" t="inlineStr">
        <is>
          <t>VÄSTMANLANDS LÄN</t>
        </is>
      </c>
      <c r="E106" t="inlineStr">
        <is>
          <t>SURAHAMMAR</t>
        </is>
      </c>
      <c r="G106" t="n">
        <v>2.8</v>
      </c>
      <c r="H106" t="n">
        <v>0</v>
      </c>
      <c r="I106" t="n">
        <v>0</v>
      </c>
      <c r="J106" t="n">
        <v>0</v>
      </c>
      <c r="K106" t="n">
        <v>0</v>
      </c>
      <c r="L106" t="n">
        <v>0</v>
      </c>
      <c r="M106" t="n">
        <v>0</v>
      </c>
      <c r="N106" t="n">
        <v>0</v>
      </c>
      <c r="O106" t="n">
        <v>0</v>
      </c>
      <c r="P106" t="n">
        <v>0</v>
      </c>
      <c r="Q106" t="n">
        <v>0</v>
      </c>
      <c r="R106" s="2" t="inlineStr"/>
    </row>
    <row r="107" ht="15" customHeight="1">
      <c r="A107" t="inlineStr">
        <is>
          <t>A 20904-2023</t>
        </is>
      </c>
      <c r="B107" s="1" t="n">
        <v>45060</v>
      </c>
      <c r="C107" s="1" t="n">
        <v>45964</v>
      </c>
      <c r="D107" t="inlineStr">
        <is>
          <t>VÄSTMANLANDS LÄN</t>
        </is>
      </c>
      <c r="E107" t="inlineStr">
        <is>
          <t>SURAHAMMAR</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45964</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13386-2025</t>
        </is>
      </c>
      <c r="B109" s="1" t="n">
        <v>45735</v>
      </c>
      <c r="C109" s="1" t="n">
        <v>45964</v>
      </c>
      <c r="D109" t="inlineStr">
        <is>
          <t>VÄSTMANLANDS LÄN</t>
        </is>
      </c>
      <c r="E109" t="inlineStr">
        <is>
          <t>SURAHAMMAR</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10883-2023</t>
        </is>
      </c>
      <c r="B110" s="1" t="n">
        <v>44991</v>
      </c>
      <c r="C110" s="1" t="n">
        <v>45964</v>
      </c>
      <c r="D110" t="inlineStr">
        <is>
          <t>VÄSTMANLANDS LÄN</t>
        </is>
      </c>
      <c r="E110" t="inlineStr">
        <is>
          <t>SURAHAMMAR</t>
        </is>
      </c>
      <c r="F110" t="inlineStr">
        <is>
          <t>Övriga Aktiebolag</t>
        </is>
      </c>
      <c r="G110" t="n">
        <v>12.5</v>
      </c>
      <c r="H110" t="n">
        <v>0</v>
      </c>
      <c r="I110" t="n">
        <v>0</v>
      </c>
      <c r="J110" t="n">
        <v>0</v>
      </c>
      <c r="K110" t="n">
        <v>0</v>
      </c>
      <c r="L110" t="n">
        <v>0</v>
      </c>
      <c r="M110" t="n">
        <v>0</v>
      </c>
      <c r="N110" t="n">
        <v>0</v>
      </c>
      <c r="O110" t="n">
        <v>0</v>
      </c>
      <c r="P110" t="n">
        <v>0</v>
      </c>
      <c r="Q110" t="n">
        <v>0</v>
      </c>
      <c r="R110" s="2" t="inlineStr"/>
    </row>
    <row r="111" ht="15" customHeight="1">
      <c r="A111" t="inlineStr">
        <is>
          <t>A 2660-2024</t>
        </is>
      </c>
      <c r="B111" s="1" t="n">
        <v>45310</v>
      </c>
      <c r="C111" s="1" t="n">
        <v>45964</v>
      </c>
      <c r="D111" t="inlineStr">
        <is>
          <t>VÄSTMANLANDS LÄN</t>
        </is>
      </c>
      <c r="E111" t="inlineStr">
        <is>
          <t>SURAHAMMAR</t>
        </is>
      </c>
      <c r="G111" t="n">
        <v>2.1</v>
      </c>
      <c r="H111" t="n">
        <v>0</v>
      </c>
      <c r="I111" t="n">
        <v>0</v>
      </c>
      <c r="J111" t="n">
        <v>0</v>
      </c>
      <c r="K111" t="n">
        <v>0</v>
      </c>
      <c r="L111" t="n">
        <v>0</v>
      </c>
      <c r="M111" t="n">
        <v>0</v>
      </c>
      <c r="N111" t="n">
        <v>0</v>
      </c>
      <c r="O111" t="n">
        <v>0</v>
      </c>
      <c r="P111" t="n">
        <v>0</v>
      </c>
      <c r="Q111" t="n">
        <v>0</v>
      </c>
      <c r="R111" s="2" t="inlineStr"/>
    </row>
    <row r="112" ht="15" customHeight="1">
      <c r="A112" t="inlineStr">
        <is>
          <t>A 47785-2021</t>
        </is>
      </c>
      <c r="B112" s="1" t="n">
        <v>44448</v>
      </c>
      <c r="C112" s="1" t="n">
        <v>45964</v>
      </c>
      <c r="D112" t="inlineStr">
        <is>
          <t>VÄSTMANLANDS LÄN</t>
        </is>
      </c>
      <c r="E112" t="inlineStr">
        <is>
          <t>SURAHAMMAR</t>
        </is>
      </c>
      <c r="F112" t="inlineStr">
        <is>
          <t>Kommuner</t>
        </is>
      </c>
      <c r="G112" t="n">
        <v>3.3</v>
      </c>
      <c r="H112" t="n">
        <v>0</v>
      </c>
      <c r="I112" t="n">
        <v>0</v>
      </c>
      <c r="J112" t="n">
        <v>0</v>
      </c>
      <c r="K112" t="n">
        <v>0</v>
      </c>
      <c r="L112" t="n">
        <v>0</v>
      </c>
      <c r="M112" t="n">
        <v>0</v>
      </c>
      <c r="N112" t="n">
        <v>0</v>
      </c>
      <c r="O112" t="n">
        <v>0</v>
      </c>
      <c r="P112" t="n">
        <v>0</v>
      </c>
      <c r="Q112" t="n">
        <v>0</v>
      </c>
      <c r="R112" s="2" t="inlineStr"/>
    </row>
    <row r="113" ht="15" customHeight="1">
      <c r="A113" t="inlineStr">
        <is>
          <t>A 34957-2022</t>
        </is>
      </c>
      <c r="B113" s="1" t="n">
        <v>44796.64672453704</v>
      </c>
      <c r="C113" s="1" t="n">
        <v>45964</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37287-2023</t>
        </is>
      </c>
      <c r="B114" s="1" t="n">
        <v>45156</v>
      </c>
      <c r="C114" s="1" t="n">
        <v>45964</v>
      </c>
      <c r="D114" t="inlineStr">
        <is>
          <t>VÄSTMANLANDS LÄN</t>
        </is>
      </c>
      <c r="E114" t="inlineStr">
        <is>
          <t>SURAHAMMAR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45964</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41576-2022</t>
        </is>
      </c>
      <c r="B116" s="1" t="n">
        <v>44826</v>
      </c>
      <c r="C116" s="1" t="n">
        <v>45964</v>
      </c>
      <c r="D116" t="inlineStr">
        <is>
          <t>VÄSTMANLANDS LÄN</t>
        </is>
      </c>
      <c r="E116" t="inlineStr">
        <is>
          <t>SURAHAMMAR</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38154-2021</t>
        </is>
      </c>
      <c r="B117" s="1" t="n">
        <v>44405.42373842592</v>
      </c>
      <c r="C117" s="1" t="n">
        <v>45964</v>
      </c>
      <c r="D117" t="inlineStr">
        <is>
          <t>VÄSTMANLANDS LÄN</t>
        </is>
      </c>
      <c r="E117" t="inlineStr">
        <is>
          <t>SURAHAMMAR</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14626-2023</t>
        </is>
      </c>
      <c r="B118" s="1" t="n">
        <v>45012</v>
      </c>
      <c r="C118" s="1" t="n">
        <v>45964</v>
      </c>
      <c r="D118" t="inlineStr">
        <is>
          <t>VÄSTMANLANDS LÄN</t>
        </is>
      </c>
      <c r="E118" t="inlineStr">
        <is>
          <t>SURAHAMMAR</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37798-2021</t>
        </is>
      </c>
      <c r="B119" s="1" t="n">
        <v>44402</v>
      </c>
      <c r="C119" s="1" t="n">
        <v>45964</v>
      </c>
      <c r="D119" t="inlineStr">
        <is>
          <t>VÄSTMANLANDS LÄN</t>
        </is>
      </c>
      <c r="E119" t="inlineStr">
        <is>
          <t>SURAHAMMAR</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72367-2021</t>
        </is>
      </c>
      <c r="B120" s="1" t="n">
        <v>44545</v>
      </c>
      <c r="C120" s="1" t="n">
        <v>45964</v>
      </c>
      <c r="D120" t="inlineStr">
        <is>
          <t>VÄSTMANLANDS LÄN</t>
        </is>
      </c>
      <c r="E120" t="inlineStr">
        <is>
          <t>SURAHAMMAR</t>
        </is>
      </c>
      <c r="G120" t="n">
        <v>2.5</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45964</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25450-2024</t>
        </is>
      </c>
      <c r="B122" s="1" t="n">
        <v>45463</v>
      </c>
      <c r="C122" s="1" t="n">
        <v>45964</v>
      </c>
      <c r="D122" t="inlineStr">
        <is>
          <t>VÄSTMANLANDS LÄN</t>
        </is>
      </c>
      <c r="E122" t="inlineStr">
        <is>
          <t>SURAHAMMAR</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18723-2021</t>
        </is>
      </c>
      <c r="B123" s="1" t="n">
        <v>44306</v>
      </c>
      <c r="C123" s="1" t="n">
        <v>45964</v>
      </c>
      <c r="D123" t="inlineStr">
        <is>
          <t>VÄSTMANLANDS LÄN</t>
        </is>
      </c>
      <c r="E123" t="inlineStr">
        <is>
          <t>SURAHAMMAR</t>
        </is>
      </c>
      <c r="F123" t="inlineStr">
        <is>
          <t>Bergvik skog väst AB</t>
        </is>
      </c>
      <c r="G123" t="n">
        <v>3.9</v>
      </c>
      <c r="H123" t="n">
        <v>0</v>
      </c>
      <c r="I123" t="n">
        <v>0</v>
      </c>
      <c r="J123" t="n">
        <v>0</v>
      </c>
      <c r="K123" t="n">
        <v>0</v>
      </c>
      <c r="L123" t="n">
        <v>0</v>
      </c>
      <c r="M123" t="n">
        <v>0</v>
      </c>
      <c r="N123" t="n">
        <v>0</v>
      </c>
      <c r="O123" t="n">
        <v>0</v>
      </c>
      <c r="P123" t="n">
        <v>0</v>
      </c>
      <c r="Q123" t="n">
        <v>0</v>
      </c>
      <c r="R123" s="2" t="inlineStr"/>
    </row>
    <row r="124" ht="15" customHeight="1">
      <c r="A124" t="inlineStr">
        <is>
          <t>A 24158-2023</t>
        </is>
      </c>
      <c r="B124" s="1" t="n">
        <v>45079</v>
      </c>
      <c r="C124" s="1" t="n">
        <v>45964</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19782-2023</t>
        </is>
      </c>
      <c r="B125" s="1" t="n">
        <v>45050</v>
      </c>
      <c r="C125" s="1" t="n">
        <v>45964</v>
      </c>
      <c r="D125" t="inlineStr">
        <is>
          <t>VÄSTMANLANDS LÄN</t>
        </is>
      </c>
      <c r="E125" t="inlineStr">
        <is>
          <t>SURAHAMMAR</t>
        </is>
      </c>
      <c r="F125" t="inlineStr">
        <is>
          <t>Bergvik skog väst AB</t>
        </is>
      </c>
      <c r="G125" t="n">
        <v>5.2</v>
      </c>
      <c r="H125" t="n">
        <v>0</v>
      </c>
      <c r="I125" t="n">
        <v>0</v>
      </c>
      <c r="J125" t="n">
        <v>0</v>
      </c>
      <c r="K125" t="n">
        <v>0</v>
      </c>
      <c r="L125" t="n">
        <v>0</v>
      </c>
      <c r="M125" t="n">
        <v>0</v>
      </c>
      <c r="N125" t="n">
        <v>0</v>
      </c>
      <c r="O125" t="n">
        <v>0</v>
      </c>
      <c r="P125" t="n">
        <v>0</v>
      </c>
      <c r="Q125" t="n">
        <v>0</v>
      </c>
      <c r="R125" s="2" t="inlineStr"/>
    </row>
    <row r="126" ht="15" customHeight="1">
      <c r="A126" t="inlineStr">
        <is>
          <t>A 42714-2022</t>
        </is>
      </c>
      <c r="B126" s="1" t="n">
        <v>44832</v>
      </c>
      <c r="C126" s="1" t="n">
        <v>45964</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35682-2022</t>
        </is>
      </c>
      <c r="B127" s="1" t="n">
        <v>44799.60422453703</v>
      </c>
      <c r="C127" s="1" t="n">
        <v>45964</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45964</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7848-2022</t>
        </is>
      </c>
      <c r="B129" s="1" t="n">
        <v>44608.58400462963</v>
      </c>
      <c r="C129" s="1" t="n">
        <v>45964</v>
      </c>
      <c r="D129" t="inlineStr">
        <is>
          <t>VÄSTMANLANDS LÄN</t>
        </is>
      </c>
      <c r="E129" t="inlineStr">
        <is>
          <t>SURAHAMMAR</t>
        </is>
      </c>
      <c r="G129" t="n">
        <v>2.1</v>
      </c>
      <c r="H129" t="n">
        <v>0</v>
      </c>
      <c r="I129" t="n">
        <v>0</v>
      </c>
      <c r="J129" t="n">
        <v>0</v>
      </c>
      <c r="K129" t="n">
        <v>0</v>
      </c>
      <c r="L129" t="n">
        <v>0</v>
      </c>
      <c r="M129" t="n">
        <v>0</v>
      </c>
      <c r="N129" t="n">
        <v>0</v>
      </c>
      <c r="O129" t="n">
        <v>0</v>
      </c>
      <c r="P129" t="n">
        <v>0</v>
      </c>
      <c r="Q129" t="n">
        <v>0</v>
      </c>
      <c r="R129" s="2" t="inlineStr"/>
    </row>
    <row r="130" ht="15" customHeight="1">
      <c r="A130" t="inlineStr">
        <is>
          <t>A 5567-2022</t>
        </is>
      </c>
      <c r="B130" s="1" t="n">
        <v>44595</v>
      </c>
      <c r="C130" s="1" t="n">
        <v>45964</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24167-2024</t>
        </is>
      </c>
      <c r="B131" s="1" t="n">
        <v>45456</v>
      </c>
      <c r="C131" s="1" t="n">
        <v>45964</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42832-2022</t>
        </is>
      </c>
      <c r="B132" s="1" t="n">
        <v>44832</v>
      </c>
      <c r="C132" s="1" t="n">
        <v>45964</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45964</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56378-2023</t>
        </is>
      </c>
      <c r="B134" s="1" t="n">
        <v>45236</v>
      </c>
      <c r="C134" s="1" t="n">
        <v>45964</v>
      </c>
      <c r="D134" t="inlineStr">
        <is>
          <t>VÄSTMANLANDS LÄN</t>
        </is>
      </c>
      <c r="E134" t="inlineStr">
        <is>
          <t>SURAHAMMAR</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32808-2024</t>
        </is>
      </c>
      <c r="B135" s="1" t="n">
        <v>45516</v>
      </c>
      <c r="C135" s="1" t="n">
        <v>45964</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45964</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11501-2023</t>
        </is>
      </c>
      <c r="B137" s="1" t="n">
        <v>44991</v>
      </c>
      <c r="C137" s="1" t="n">
        <v>45964</v>
      </c>
      <c r="D137" t="inlineStr">
        <is>
          <t>VÄSTMANLANDS LÄN</t>
        </is>
      </c>
      <c r="E137" t="inlineStr">
        <is>
          <t>SURAHAMMAR</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42841-2022</t>
        </is>
      </c>
      <c r="B138" s="1" t="n">
        <v>44832</v>
      </c>
      <c r="C138" s="1" t="n">
        <v>45964</v>
      </c>
      <c r="D138" t="inlineStr">
        <is>
          <t>VÄSTMANLANDS LÄN</t>
        </is>
      </c>
      <c r="E138" t="inlineStr">
        <is>
          <t>SURAHAMMAR</t>
        </is>
      </c>
      <c r="G138" t="n">
        <v>1.8</v>
      </c>
      <c r="H138" t="n">
        <v>0</v>
      </c>
      <c r="I138" t="n">
        <v>0</v>
      </c>
      <c r="J138" t="n">
        <v>0</v>
      </c>
      <c r="K138" t="n">
        <v>0</v>
      </c>
      <c r="L138" t="n">
        <v>0</v>
      </c>
      <c r="M138" t="n">
        <v>0</v>
      </c>
      <c r="N138" t="n">
        <v>0</v>
      </c>
      <c r="O138" t="n">
        <v>0</v>
      </c>
      <c r="P138" t="n">
        <v>0</v>
      </c>
      <c r="Q138" t="n">
        <v>0</v>
      </c>
      <c r="R138" s="2" t="inlineStr"/>
    </row>
    <row r="139" ht="15" customHeight="1">
      <c r="A139" t="inlineStr">
        <is>
          <t>A 34584-2025</t>
        </is>
      </c>
      <c r="B139" s="1" t="n">
        <v>45846</v>
      </c>
      <c r="C139" s="1" t="n">
        <v>45964</v>
      </c>
      <c r="D139" t="inlineStr">
        <is>
          <t>VÄSTMANLANDS LÄN</t>
        </is>
      </c>
      <c r="E139" t="inlineStr">
        <is>
          <t>SURAHAMMAR</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42829-2022</t>
        </is>
      </c>
      <c r="B140" s="1" t="n">
        <v>44832</v>
      </c>
      <c r="C140" s="1" t="n">
        <v>45964</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32916-2025</t>
        </is>
      </c>
      <c r="B141" s="1" t="n">
        <v>45839</v>
      </c>
      <c r="C141" s="1" t="n">
        <v>45964</v>
      </c>
      <c r="D141" t="inlineStr">
        <is>
          <t>VÄSTMANLANDS LÄN</t>
        </is>
      </c>
      <c r="E141" t="inlineStr">
        <is>
          <t>SURAHAMMAR</t>
        </is>
      </c>
      <c r="F141" t="inlineStr">
        <is>
          <t>Kommuner</t>
        </is>
      </c>
      <c r="G141" t="n">
        <v>4.9</v>
      </c>
      <c r="H141" t="n">
        <v>0</v>
      </c>
      <c r="I141" t="n">
        <v>0</v>
      </c>
      <c r="J141" t="n">
        <v>0</v>
      </c>
      <c r="K141" t="n">
        <v>0</v>
      </c>
      <c r="L141" t="n">
        <v>0</v>
      </c>
      <c r="M141" t="n">
        <v>0</v>
      </c>
      <c r="N141" t="n">
        <v>0</v>
      </c>
      <c r="O141" t="n">
        <v>0</v>
      </c>
      <c r="P141" t="n">
        <v>0</v>
      </c>
      <c r="Q141" t="n">
        <v>0</v>
      </c>
      <c r="R141" s="2" t="inlineStr"/>
    </row>
    <row r="142" ht="15" customHeight="1">
      <c r="A142" t="inlineStr">
        <is>
          <t>A 32910-2025</t>
        </is>
      </c>
      <c r="B142" s="1" t="n">
        <v>45839</v>
      </c>
      <c r="C142" s="1" t="n">
        <v>45964</v>
      </c>
      <c r="D142" t="inlineStr">
        <is>
          <t>VÄSTMANLANDS LÄN</t>
        </is>
      </c>
      <c r="E142" t="inlineStr">
        <is>
          <t>SURAHAMMAR</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45964</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37013-2025</t>
        </is>
      </c>
      <c r="B144" s="1" t="n">
        <v>45874</v>
      </c>
      <c r="C144" s="1" t="n">
        <v>45964</v>
      </c>
      <c r="D144" t="inlineStr">
        <is>
          <t>VÄSTMANLANDS LÄN</t>
        </is>
      </c>
      <c r="E144" t="inlineStr">
        <is>
          <t>SURAHAMMAR</t>
        </is>
      </c>
      <c r="F144" t="inlineStr">
        <is>
          <t>Bergvik skog väst AB</t>
        </is>
      </c>
      <c r="G144" t="n">
        <v>10.7</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45964</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37954-2025</t>
        </is>
      </c>
      <c r="B146" s="1" t="n">
        <v>45881</v>
      </c>
      <c r="C146" s="1" t="n">
        <v>45964</v>
      </c>
      <c r="D146" t="inlineStr">
        <is>
          <t>VÄSTMANLANDS LÄN</t>
        </is>
      </c>
      <c r="E146" t="inlineStr">
        <is>
          <t>SURAHAMMAR</t>
        </is>
      </c>
      <c r="G146" t="n">
        <v>9.5</v>
      </c>
      <c r="H146" t="n">
        <v>0</v>
      </c>
      <c r="I146" t="n">
        <v>0</v>
      </c>
      <c r="J146" t="n">
        <v>0</v>
      </c>
      <c r="K146" t="n">
        <v>0</v>
      </c>
      <c r="L146" t="n">
        <v>0</v>
      </c>
      <c r="M146" t="n">
        <v>0</v>
      </c>
      <c r="N146" t="n">
        <v>0</v>
      </c>
      <c r="O146" t="n">
        <v>0</v>
      </c>
      <c r="P146" t="n">
        <v>0</v>
      </c>
      <c r="Q146" t="n">
        <v>0</v>
      </c>
      <c r="R146" s="2" t="inlineStr"/>
    </row>
    <row r="147" ht="15" customHeight="1">
      <c r="A147" t="inlineStr">
        <is>
          <t>A 42088-2025</t>
        </is>
      </c>
      <c r="B147" s="1" t="n">
        <v>45902</v>
      </c>
      <c r="C147" s="1" t="n">
        <v>45964</v>
      </c>
      <c r="D147" t="inlineStr">
        <is>
          <t>VÄSTMANLANDS LÄN</t>
        </is>
      </c>
      <c r="E147" t="inlineStr">
        <is>
          <t>SURAHAMMAR</t>
        </is>
      </c>
      <c r="G147" t="n">
        <v>1</v>
      </c>
      <c r="H147" t="n">
        <v>0</v>
      </c>
      <c r="I147" t="n">
        <v>0</v>
      </c>
      <c r="J147" t="n">
        <v>0</v>
      </c>
      <c r="K147" t="n">
        <v>0</v>
      </c>
      <c r="L147" t="n">
        <v>0</v>
      </c>
      <c r="M147" t="n">
        <v>0</v>
      </c>
      <c r="N147" t="n">
        <v>0</v>
      </c>
      <c r="O147" t="n">
        <v>0</v>
      </c>
      <c r="P147" t="n">
        <v>0</v>
      </c>
      <c r="Q147" t="n">
        <v>0</v>
      </c>
      <c r="R147" s="2" t="inlineStr"/>
    </row>
    <row r="148" ht="15" customHeight="1">
      <c r="A148" t="inlineStr">
        <is>
          <t>A 31107-2025</t>
        </is>
      </c>
      <c r="B148" s="1" t="n">
        <v>45831</v>
      </c>
      <c r="C148" s="1" t="n">
        <v>45964</v>
      </c>
      <c r="D148" t="inlineStr">
        <is>
          <t>VÄSTMANLANDS LÄN</t>
        </is>
      </c>
      <c r="E148" t="inlineStr">
        <is>
          <t>SURAHAMMAR</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43249-2025</t>
        </is>
      </c>
      <c r="B149" s="1" t="n">
        <v>45910.55059027778</v>
      </c>
      <c r="C149" s="1" t="n">
        <v>45964</v>
      </c>
      <c r="D149" t="inlineStr">
        <is>
          <t>VÄSTMANLANDS LÄN</t>
        </is>
      </c>
      <c r="E149" t="inlineStr">
        <is>
          <t>SURAHAMMAR</t>
        </is>
      </c>
      <c r="G149" t="n">
        <v>1.9</v>
      </c>
      <c r="H149" t="n">
        <v>0</v>
      </c>
      <c r="I149" t="n">
        <v>0</v>
      </c>
      <c r="J149" t="n">
        <v>0</v>
      </c>
      <c r="K149" t="n">
        <v>0</v>
      </c>
      <c r="L149" t="n">
        <v>0</v>
      </c>
      <c r="M149" t="n">
        <v>0</v>
      </c>
      <c r="N149" t="n">
        <v>0</v>
      </c>
      <c r="O149" t="n">
        <v>0</v>
      </c>
      <c r="P149" t="n">
        <v>0</v>
      </c>
      <c r="Q149" t="n">
        <v>0</v>
      </c>
      <c r="R149" s="2" t="inlineStr"/>
    </row>
    <row r="150">
      <c r="A150" t="inlineStr">
        <is>
          <t>A 43255-2025</t>
        </is>
      </c>
      <c r="B150" s="1" t="n">
        <v>45910.55325231481</v>
      </c>
      <c r="C150" s="1" t="n">
        <v>45964</v>
      </c>
      <c r="D150" t="inlineStr">
        <is>
          <t>VÄSTMANLANDS LÄN</t>
        </is>
      </c>
      <c r="E150" t="inlineStr">
        <is>
          <t>SURAHAMMAR</t>
        </is>
      </c>
      <c r="G150" t="n">
        <v>1.9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2025-11-03T10:05:10Z</dcterms:created>
  <dcterms:modified xmlns:dcterms="http://purl.org/dc/terms/" xmlns:xsi="http://www.w3.org/2001/XMLSchema-instance" xsi:type="dcterms:W3CDTF">2025-11-03T10:05:10Z</dcterms:modified>
</cp:coreProperties>
</file>