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45359</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45359</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45359</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45359</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45359</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45359</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45359</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45359</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45359</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45359</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45359</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45359</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45359</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7791-2024</t>
        </is>
      </c>
      <c r="B16" s="1" t="n">
        <v>45348</v>
      </c>
      <c r="C16" s="1" t="n">
        <v>45359</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56299-2021</t>
        </is>
      </c>
      <c r="B17" s="1" t="n">
        <v>44477</v>
      </c>
      <c r="C17" s="1" t="n">
        <v>45359</v>
      </c>
      <c r="D17" t="inlineStr">
        <is>
          <t>VÄSTMANLANDS LÄN</t>
        </is>
      </c>
      <c r="E17" t="inlineStr">
        <is>
          <t>SURAHAMMAR</t>
        </is>
      </c>
      <c r="F17" t="inlineStr">
        <is>
          <t>Bergvik skog väst AB</t>
        </is>
      </c>
      <c r="G17" t="n">
        <v>8</v>
      </c>
      <c r="H17" t="n">
        <v>1</v>
      </c>
      <c r="I17" t="n">
        <v>3</v>
      </c>
      <c r="J17" t="n">
        <v>2</v>
      </c>
      <c r="K17" t="n">
        <v>0</v>
      </c>
      <c r="L17" t="n">
        <v>0</v>
      </c>
      <c r="M17" t="n">
        <v>0</v>
      </c>
      <c r="N17" t="n">
        <v>0</v>
      </c>
      <c r="O17" t="n">
        <v>2</v>
      </c>
      <c r="P17" t="n">
        <v>0</v>
      </c>
      <c r="Q17" t="n">
        <v>5</v>
      </c>
      <c r="R17" s="2" t="inlineStr">
        <is>
          <t>Större flatbagge
Tretåig hackspett
Björksplintborre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66349-2021</t>
        </is>
      </c>
      <c r="B18" s="1" t="n">
        <v>44518</v>
      </c>
      <c r="C18" s="1" t="n">
        <v>45359</v>
      </c>
      <c r="D18" t="inlineStr">
        <is>
          <t>VÄSTMANLANDS LÄN</t>
        </is>
      </c>
      <c r="E18" t="inlineStr">
        <is>
          <t>SURAHAMMAR</t>
        </is>
      </c>
      <c r="F18" t="inlineStr">
        <is>
          <t>Sveaskog</t>
        </is>
      </c>
      <c r="G18" t="n">
        <v>6</v>
      </c>
      <c r="H18" t="n">
        <v>2</v>
      </c>
      <c r="I18" t="n">
        <v>2</v>
      </c>
      <c r="J18" t="n">
        <v>2</v>
      </c>
      <c r="K18" t="n">
        <v>0</v>
      </c>
      <c r="L18" t="n">
        <v>0</v>
      </c>
      <c r="M18" t="n">
        <v>0</v>
      </c>
      <c r="N18" t="n">
        <v>0</v>
      </c>
      <c r="O18" t="n">
        <v>2</v>
      </c>
      <c r="P18" t="n">
        <v>0</v>
      </c>
      <c r="Q18" t="n">
        <v>5</v>
      </c>
      <c r="R18" s="2" t="inlineStr">
        <is>
          <t>Krusfrö
Spillkråka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12116-2023</t>
        </is>
      </c>
      <c r="B19" s="1" t="n">
        <v>44995</v>
      </c>
      <c r="C19" s="1" t="n">
        <v>45359</v>
      </c>
      <c r="D19" t="inlineStr">
        <is>
          <t>VÄSTMANLANDS LÄN</t>
        </is>
      </c>
      <c r="E19" t="inlineStr">
        <is>
          <t>SURAHAMMAR</t>
        </is>
      </c>
      <c r="G19" t="n">
        <v>9.300000000000001</v>
      </c>
      <c r="H19" t="n">
        <v>5</v>
      </c>
      <c r="I19" t="n">
        <v>0</v>
      </c>
      <c r="J19" t="n">
        <v>3</v>
      </c>
      <c r="K19" t="n">
        <v>0</v>
      </c>
      <c r="L19" t="n">
        <v>1</v>
      </c>
      <c r="M19" t="n">
        <v>0</v>
      </c>
      <c r="N19" t="n">
        <v>0</v>
      </c>
      <c r="O19" t="n">
        <v>4</v>
      </c>
      <c r="P19" t="n">
        <v>1</v>
      </c>
      <c r="Q19" t="n">
        <v>5</v>
      </c>
      <c r="R19" s="2" t="inlineStr">
        <is>
          <t>Tornseglare
Duvhök
Spillkråka
Stenfalk
Gröngöling</t>
        </is>
      </c>
      <c r="S19">
        <f>HYPERLINK("https://klasma.github.io/Logging_1907/artfynd/A 12116-2023 artfynd.xlsx", "A 12116-2023")</f>
        <v/>
      </c>
      <c r="T19">
        <f>HYPERLINK("https://klasma.github.io/Logging_1907/kartor/A 12116-2023 karta.png", "A 12116-2023")</f>
        <v/>
      </c>
      <c r="V19">
        <f>HYPERLINK("https://klasma.github.io/Logging_1907/klagomål/A 12116-2023 FSC-klagomål.docx", "A 12116-2023")</f>
        <v/>
      </c>
      <c r="W19">
        <f>HYPERLINK("https://klasma.github.io/Logging_1907/klagomålsmail/A 12116-2023 FSC-klagomål mail.docx", "A 12116-2023")</f>
        <v/>
      </c>
      <c r="X19">
        <f>HYPERLINK("https://klasma.github.io/Logging_1907/tillsyn/A 12116-2023 tillsynsbegäran.docx", "A 12116-2023")</f>
        <v/>
      </c>
      <c r="Y19">
        <f>HYPERLINK("https://klasma.github.io/Logging_1907/tillsynsmail/A 12116-2023 tillsynsbegäran mail.docx", "A 12116-2023")</f>
        <v/>
      </c>
      <c r="Z19">
        <f>HYPERLINK("https://klasma.github.io/Logging_1907/fåglar/A 12116-2023 prioriterade fågelarter.docx", "A 12116-2023")</f>
        <v/>
      </c>
    </row>
    <row r="20" ht="15" customHeight="1">
      <c r="A20" t="inlineStr">
        <is>
          <t>A 13994-2023</t>
        </is>
      </c>
      <c r="B20" s="1" t="n">
        <v>45007</v>
      </c>
      <c r="C20" s="1" t="n">
        <v>45359</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45359</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45359</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8552-2022</t>
        </is>
      </c>
      <c r="B23" s="1" t="n">
        <v>44613</v>
      </c>
      <c r="C23" s="1" t="n">
        <v>45359</v>
      </c>
      <c r="D23" t="inlineStr">
        <is>
          <t>VÄSTMANLANDS LÄN</t>
        </is>
      </c>
      <c r="E23" t="inlineStr">
        <is>
          <t>SURAHAMMAR</t>
        </is>
      </c>
      <c r="F23" t="inlineStr">
        <is>
          <t>Bergvik skog väst AB</t>
        </is>
      </c>
      <c r="G23" t="n">
        <v>3.2</v>
      </c>
      <c r="H23" t="n">
        <v>2</v>
      </c>
      <c r="I23" t="n">
        <v>1</v>
      </c>
      <c r="J23" t="n">
        <v>2</v>
      </c>
      <c r="K23" t="n">
        <v>0</v>
      </c>
      <c r="L23" t="n">
        <v>0</v>
      </c>
      <c r="M23" t="n">
        <v>0</v>
      </c>
      <c r="N23" t="n">
        <v>0</v>
      </c>
      <c r="O23" t="n">
        <v>2</v>
      </c>
      <c r="P23" t="n">
        <v>0</v>
      </c>
      <c r="Q23" t="n">
        <v>3</v>
      </c>
      <c r="R23" s="2" t="inlineStr">
        <is>
          <t>Spillkråka
Talltita
Mindre märgborre</t>
        </is>
      </c>
      <c r="S23">
        <f>HYPERLINK("https://klasma.github.io/Logging_1907/artfynd/A 8552-2022 artfynd.xlsx", "A 8552-2022")</f>
        <v/>
      </c>
      <c r="T23">
        <f>HYPERLINK("https://klasma.github.io/Logging_1907/kartor/A 8552-2022 karta.png", "A 8552-2022")</f>
        <v/>
      </c>
      <c r="V23">
        <f>HYPERLINK("https://klasma.github.io/Logging_1907/klagomål/A 8552-2022 FSC-klagomål.docx", "A 8552-2022")</f>
        <v/>
      </c>
      <c r="W23">
        <f>HYPERLINK("https://klasma.github.io/Logging_1907/klagomålsmail/A 8552-2022 FSC-klagomål mail.docx", "A 8552-2022")</f>
        <v/>
      </c>
      <c r="X23">
        <f>HYPERLINK("https://klasma.github.io/Logging_1907/tillsyn/A 8552-2022 tillsynsbegäran.docx", "A 8552-2022")</f>
        <v/>
      </c>
      <c r="Y23">
        <f>HYPERLINK("https://klasma.github.io/Logging_1907/tillsynsmail/A 8552-2022 tillsynsbegäran mail.docx", "A 8552-2022")</f>
        <v/>
      </c>
      <c r="Z23">
        <f>HYPERLINK("https://klasma.github.io/Logging_1907/fåglar/A 8552-2022 prioriterade fågelarter.docx", "A 8552-2022")</f>
        <v/>
      </c>
    </row>
    <row r="24" ht="15" customHeight="1">
      <c r="A24" t="inlineStr">
        <is>
          <t>A 42708-2022</t>
        </is>
      </c>
      <c r="B24" s="1" t="n">
        <v>44832</v>
      </c>
      <c r="C24" s="1" t="n">
        <v>45359</v>
      </c>
      <c r="D24" t="inlineStr">
        <is>
          <t>VÄSTMANLANDS LÄN</t>
        </is>
      </c>
      <c r="E24" t="inlineStr">
        <is>
          <t>SURAHAMMAR</t>
        </is>
      </c>
      <c r="G24" t="n">
        <v>27.2</v>
      </c>
      <c r="H24" t="n">
        <v>3</v>
      </c>
      <c r="I24" t="n">
        <v>0</v>
      </c>
      <c r="J24" t="n">
        <v>2</v>
      </c>
      <c r="K24" t="n">
        <v>0</v>
      </c>
      <c r="L24" t="n">
        <v>0</v>
      </c>
      <c r="M24" t="n">
        <v>0</v>
      </c>
      <c r="N24" t="n">
        <v>0</v>
      </c>
      <c r="O24" t="n">
        <v>2</v>
      </c>
      <c r="P24" t="n">
        <v>0</v>
      </c>
      <c r="Q24" t="n">
        <v>3</v>
      </c>
      <c r="R24" s="2" t="inlineStr">
        <is>
          <t>Entita
Spillkråka
Blåsippa</t>
        </is>
      </c>
      <c r="S24">
        <f>HYPERLINK("https://klasma.github.io/Logging_1907/artfynd/A 42708-2022 artfynd.xlsx", "A 42708-2022")</f>
        <v/>
      </c>
      <c r="T24">
        <f>HYPERLINK("https://klasma.github.io/Logging_1907/kartor/A 42708-2022 karta.png", "A 42708-2022")</f>
        <v/>
      </c>
      <c r="V24">
        <f>HYPERLINK("https://klasma.github.io/Logging_1907/klagomål/A 42708-2022 FSC-klagomål.docx", "A 42708-2022")</f>
        <v/>
      </c>
      <c r="W24">
        <f>HYPERLINK("https://klasma.github.io/Logging_1907/klagomålsmail/A 42708-2022 FSC-klagomål mail.docx", "A 42708-2022")</f>
        <v/>
      </c>
      <c r="X24">
        <f>HYPERLINK("https://klasma.github.io/Logging_1907/tillsyn/A 42708-2022 tillsynsbegäran.docx", "A 42708-2022")</f>
        <v/>
      </c>
      <c r="Y24">
        <f>HYPERLINK("https://klasma.github.io/Logging_1907/tillsynsmail/A 42708-2022 tillsynsbegäran mail.docx", "A 42708-2022")</f>
        <v/>
      </c>
      <c r="Z24">
        <f>HYPERLINK("https://klasma.github.io/Logging_1907/fåglar/A 42708-2022 prioriterade fågelarter.docx", "A 42708-2022")</f>
        <v/>
      </c>
    </row>
    <row r="25" ht="15" customHeight="1">
      <c r="A25" t="inlineStr">
        <is>
          <t>A 42853-2022</t>
        </is>
      </c>
      <c r="B25" s="1" t="n">
        <v>44832</v>
      </c>
      <c r="C25" s="1" t="n">
        <v>45359</v>
      </c>
      <c r="D25" t="inlineStr">
        <is>
          <t>VÄSTMANLANDS LÄN</t>
        </is>
      </c>
      <c r="E25" t="inlineStr">
        <is>
          <t>SURAHAMMAR</t>
        </is>
      </c>
      <c r="G25" t="n">
        <v>7.4</v>
      </c>
      <c r="H25" t="n">
        <v>1</v>
      </c>
      <c r="I25" t="n">
        <v>1</v>
      </c>
      <c r="J25" t="n">
        <v>1</v>
      </c>
      <c r="K25" t="n">
        <v>0</v>
      </c>
      <c r="L25" t="n">
        <v>1</v>
      </c>
      <c r="M25" t="n">
        <v>0</v>
      </c>
      <c r="N25" t="n">
        <v>0</v>
      </c>
      <c r="O25" t="n">
        <v>2</v>
      </c>
      <c r="P25" t="n">
        <v>1</v>
      </c>
      <c r="Q25" t="n">
        <v>3</v>
      </c>
      <c r="R25" s="2" t="inlineStr">
        <is>
          <t>Ask
Kandelabersvamp
Tvåblad</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row>
    <row r="26" ht="15" customHeight="1">
      <c r="A26" t="inlineStr">
        <is>
          <t>A 42860-2022</t>
        </is>
      </c>
      <c r="B26" s="1" t="n">
        <v>44832</v>
      </c>
      <c r="C26" s="1" t="n">
        <v>45359</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3012-2023</t>
        </is>
      </c>
      <c r="B27" s="1" t="n">
        <v>44945</v>
      </c>
      <c r="C27" s="1" t="n">
        <v>45359</v>
      </c>
      <c r="D27" t="inlineStr">
        <is>
          <t>VÄSTMANLANDS LÄN</t>
        </is>
      </c>
      <c r="E27" t="inlineStr">
        <is>
          <t>SURAHAMMAR</t>
        </is>
      </c>
      <c r="F27" t="inlineStr">
        <is>
          <t>Sveaskog</t>
        </is>
      </c>
      <c r="G27" t="n">
        <v>5.7</v>
      </c>
      <c r="H27" t="n">
        <v>0</v>
      </c>
      <c r="I27" t="n">
        <v>1</v>
      </c>
      <c r="J27" t="n">
        <v>0</v>
      </c>
      <c r="K27" t="n">
        <v>0</v>
      </c>
      <c r="L27" t="n">
        <v>1</v>
      </c>
      <c r="M27" t="n">
        <v>1</v>
      </c>
      <c r="N27" t="n">
        <v>0</v>
      </c>
      <c r="O27" t="n">
        <v>2</v>
      </c>
      <c r="P27" t="n">
        <v>2</v>
      </c>
      <c r="Q27" t="n">
        <v>3</v>
      </c>
      <c r="R27" s="2" t="inlineStr">
        <is>
          <t>Skogsalm
Ask
Svart trolldruva</t>
        </is>
      </c>
      <c r="S27">
        <f>HYPERLINK("https://klasma.github.io/Logging_1907/artfynd/A 3012-2023 artfynd.xlsx", "A 3012-2023")</f>
        <v/>
      </c>
      <c r="T27">
        <f>HYPERLINK("https://klasma.github.io/Logging_1907/kartor/A 3012-2023 karta.png", "A 3012-2023")</f>
        <v/>
      </c>
      <c r="V27">
        <f>HYPERLINK("https://klasma.github.io/Logging_1907/klagomål/A 3012-2023 FSC-klagomål.docx", "A 3012-2023")</f>
        <v/>
      </c>
      <c r="W27">
        <f>HYPERLINK("https://klasma.github.io/Logging_1907/klagomålsmail/A 3012-2023 FSC-klagomål mail.docx", "A 3012-2023")</f>
        <v/>
      </c>
      <c r="X27">
        <f>HYPERLINK("https://klasma.github.io/Logging_1907/tillsyn/A 3012-2023 tillsynsbegäran.docx", "A 3012-2023")</f>
        <v/>
      </c>
      <c r="Y27">
        <f>HYPERLINK("https://klasma.github.io/Logging_1907/tillsynsmail/A 3012-2023 tillsynsbegäran mail.docx", "A 3012-2023")</f>
        <v/>
      </c>
    </row>
    <row r="28" ht="15" customHeight="1">
      <c r="A28" t="inlineStr">
        <is>
          <t>A 14587-2023</t>
        </is>
      </c>
      <c r="B28" s="1" t="n">
        <v>45013</v>
      </c>
      <c r="C28" s="1" t="n">
        <v>45359</v>
      </c>
      <c r="D28" t="inlineStr">
        <is>
          <t>VÄSTMANLANDS LÄN</t>
        </is>
      </c>
      <c r="E28" t="inlineStr">
        <is>
          <t>SURAHAMMAR</t>
        </is>
      </c>
      <c r="G28" t="n">
        <v>14.8</v>
      </c>
      <c r="H28" t="n">
        <v>1</v>
      </c>
      <c r="I28" t="n">
        <v>1</v>
      </c>
      <c r="J28" t="n">
        <v>1</v>
      </c>
      <c r="K28" t="n">
        <v>0</v>
      </c>
      <c r="L28" t="n">
        <v>0</v>
      </c>
      <c r="M28" t="n">
        <v>0</v>
      </c>
      <c r="N28" t="n">
        <v>0</v>
      </c>
      <c r="O28" t="n">
        <v>1</v>
      </c>
      <c r="P28" t="n">
        <v>0</v>
      </c>
      <c r="Q28" t="n">
        <v>3</v>
      </c>
      <c r="R28" s="2" t="inlineStr">
        <is>
          <t>Skogshare
Vedticka
Mattlummer</t>
        </is>
      </c>
      <c r="S28">
        <f>HYPERLINK("https://klasma.github.io/Logging_1907/artfynd/A 14587-2023 artfynd.xlsx", "A 14587-2023")</f>
        <v/>
      </c>
      <c r="T28">
        <f>HYPERLINK("https://klasma.github.io/Logging_1907/kartor/A 14587-2023 karta.png", "A 14587-2023")</f>
        <v/>
      </c>
      <c r="V28">
        <f>HYPERLINK("https://klasma.github.io/Logging_1907/klagomål/A 14587-2023 FSC-klagomål.docx", "A 14587-2023")</f>
        <v/>
      </c>
      <c r="W28">
        <f>HYPERLINK("https://klasma.github.io/Logging_1907/klagomålsmail/A 14587-2023 FSC-klagomål mail.docx", "A 14587-2023")</f>
        <v/>
      </c>
      <c r="X28">
        <f>HYPERLINK("https://klasma.github.io/Logging_1907/tillsyn/A 14587-2023 tillsynsbegäran.docx", "A 14587-2023")</f>
        <v/>
      </c>
      <c r="Y28">
        <f>HYPERLINK("https://klasma.github.io/Logging_1907/tillsynsmail/A 14587-2023 tillsynsbegäran mail.docx", "A 14587-2023")</f>
        <v/>
      </c>
    </row>
    <row r="29" ht="15" customHeight="1">
      <c r="A29" t="inlineStr">
        <is>
          <t>A 24222-2023</t>
        </is>
      </c>
      <c r="B29" s="1" t="n">
        <v>45079</v>
      </c>
      <c r="C29" s="1" t="n">
        <v>45359</v>
      </c>
      <c r="D29" t="inlineStr">
        <is>
          <t>VÄSTMANLANDS LÄN</t>
        </is>
      </c>
      <c r="E29" t="inlineStr">
        <is>
          <t>SURAHAMMAR</t>
        </is>
      </c>
      <c r="F29" t="inlineStr">
        <is>
          <t>Sveaskog</t>
        </is>
      </c>
      <c r="G29" t="n">
        <v>9.699999999999999</v>
      </c>
      <c r="H29" t="n">
        <v>1</v>
      </c>
      <c r="I29" t="n">
        <v>1</v>
      </c>
      <c r="J29" t="n">
        <v>1</v>
      </c>
      <c r="K29" t="n">
        <v>0</v>
      </c>
      <c r="L29" t="n">
        <v>0</v>
      </c>
      <c r="M29" t="n">
        <v>0</v>
      </c>
      <c r="N29" t="n">
        <v>0</v>
      </c>
      <c r="O29" t="n">
        <v>1</v>
      </c>
      <c r="P29" t="n">
        <v>0</v>
      </c>
      <c r="Q29" t="n">
        <v>3</v>
      </c>
      <c r="R29" s="2" t="inlineStr">
        <is>
          <t>Svinrot
Blodticka
Revlummer</t>
        </is>
      </c>
      <c r="S29">
        <f>HYPERLINK("https://klasma.github.io/Logging_1907/artfynd/A 24222-2023 artfynd.xlsx", "A 24222-2023")</f>
        <v/>
      </c>
      <c r="T29">
        <f>HYPERLINK("https://klasma.github.io/Logging_1907/kartor/A 24222-2023 karta.png", "A 24222-2023")</f>
        <v/>
      </c>
      <c r="V29">
        <f>HYPERLINK("https://klasma.github.io/Logging_1907/klagomål/A 24222-2023 FSC-klagomål.docx", "A 24222-2023")</f>
        <v/>
      </c>
      <c r="W29">
        <f>HYPERLINK("https://klasma.github.io/Logging_1907/klagomålsmail/A 24222-2023 FSC-klagomål mail.docx", "A 24222-2023")</f>
        <v/>
      </c>
      <c r="X29">
        <f>HYPERLINK("https://klasma.github.io/Logging_1907/tillsyn/A 24222-2023 tillsynsbegäran.docx", "A 24222-2023")</f>
        <v/>
      </c>
      <c r="Y29">
        <f>HYPERLINK("https://klasma.github.io/Logging_1907/tillsynsmail/A 24222-2023 tillsynsbegäran mail.docx", "A 24222-2023")</f>
        <v/>
      </c>
    </row>
    <row r="30" ht="15" customHeight="1">
      <c r="A30" t="inlineStr">
        <is>
          <t>A 48891-2023</t>
        </is>
      </c>
      <c r="B30" s="1" t="n">
        <v>45203</v>
      </c>
      <c r="C30" s="1" t="n">
        <v>45359</v>
      </c>
      <c r="D30" t="inlineStr">
        <is>
          <t>VÄSTMANLANDS LÄN</t>
        </is>
      </c>
      <c r="E30" t="inlineStr">
        <is>
          <t>SURAHAMMAR</t>
        </is>
      </c>
      <c r="F30" t="inlineStr">
        <is>
          <t>Bergvik skog väst AB</t>
        </is>
      </c>
      <c r="G30" t="n">
        <v>2.9</v>
      </c>
      <c r="H30" t="n">
        <v>2</v>
      </c>
      <c r="I30" t="n">
        <v>1</v>
      </c>
      <c r="J30" t="n">
        <v>1</v>
      </c>
      <c r="K30" t="n">
        <v>0</v>
      </c>
      <c r="L30" t="n">
        <v>0</v>
      </c>
      <c r="M30" t="n">
        <v>0</v>
      </c>
      <c r="N30" t="n">
        <v>0</v>
      </c>
      <c r="O30" t="n">
        <v>1</v>
      </c>
      <c r="P30" t="n">
        <v>0</v>
      </c>
      <c r="Q30" t="n">
        <v>3</v>
      </c>
      <c r="R30" s="2" t="inlineStr">
        <is>
          <t>Spillkråka
Flagellkvastmossa
Gröngöling</t>
        </is>
      </c>
      <c r="S30">
        <f>HYPERLINK("https://klasma.github.io/Logging_1907/artfynd/A 48891-2023 artfynd.xlsx", "A 48891-2023")</f>
        <v/>
      </c>
      <c r="T30">
        <f>HYPERLINK("https://klasma.github.io/Logging_1907/kartor/A 48891-2023 karta.png",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48128-2023</t>
        </is>
      </c>
      <c r="B31" s="1" t="n">
        <v>45205</v>
      </c>
      <c r="C31" s="1" t="n">
        <v>45359</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49718-2023</t>
        </is>
      </c>
      <c r="B32" s="1" t="n">
        <v>45212</v>
      </c>
      <c r="C32" s="1" t="n">
        <v>45359</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65024-2023</t>
        </is>
      </c>
      <c r="B33" s="1" t="n">
        <v>45282</v>
      </c>
      <c r="C33" s="1" t="n">
        <v>45359</v>
      </c>
      <c r="D33" t="inlineStr">
        <is>
          <t>VÄSTMANLANDS LÄN</t>
        </is>
      </c>
      <c r="E33" t="inlineStr">
        <is>
          <t>SURAHAMMAR</t>
        </is>
      </c>
      <c r="F33" t="inlineStr">
        <is>
          <t>Bergvik skog väst AB</t>
        </is>
      </c>
      <c r="G33" t="n">
        <v>14.9</v>
      </c>
      <c r="H33" t="n">
        <v>1</v>
      </c>
      <c r="I33" t="n">
        <v>1</v>
      </c>
      <c r="J33" t="n">
        <v>2</v>
      </c>
      <c r="K33" t="n">
        <v>0</v>
      </c>
      <c r="L33" t="n">
        <v>0</v>
      </c>
      <c r="M33" t="n">
        <v>0</v>
      </c>
      <c r="N33" t="n">
        <v>0</v>
      </c>
      <c r="O33" t="n">
        <v>2</v>
      </c>
      <c r="P33" t="n">
        <v>0</v>
      </c>
      <c r="Q33" t="n">
        <v>3</v>
      </c>
      <c r="R33" s="2" t="inlineStr">
        <is>
          <t>Gropticka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65022-2023</t>
        </is>
      </c>
      <c r="B34" s="1" t="n">
        <v>45282</v>
      </c>
      <c r="C34" s="1" t="n">
        <v>45359</v>
      </c>
      <c r="D34" t="inlineStr">
        <is>
          <t>VÄSTMANLANDS LÄN</t>
        </is>
      </c>
      <c r="E34" t="inlineStr">
        <is>
          <t>SURAHAMMAR</t>
        </is>
      </c>
      <c r="F34" t="inlineStr">
        <is>
          <t>Bergvik skog väst AB</t>
        </is>
      </c>
      <c r="G34" t="n">
        <v>11</v>
      </c>
      <c r="H34" t="n">
        <v>2</v>
      </c>
      <c r="I34" t="n">
        <v>2</v>
      </c>
      <c r="J34" t="n">
        <v>0</v>
      </c>
      <c r="K34" t="n">
        <v>1</v>
      </c>
      <c r="L34" t="n">
        <v>0</v>
      </c>
      <c r="M34" t="n">
        <v>0</v>
      </c>
      <c r="N34" t="n">
        <v>0</v>
      </c>
      <c r="O34" t="n">
        <v>1</v>
      </c>
      <c r="P34" t="n">
        <v>1</v>
      </c>
      <c r="Q34" t="n">
        <v>3</v>
      </c>
      <c r="R34" s="2" t="inlineStr">
        <is>
          <t>Knärot
Bronshjon
Plattlummer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row>
    <row r="35" ht="15" customHeight="1">
      <c r="A35" t="inlineStr">
        <is>
          <t>A 43169-2020</t>
        </is>
      </c>
      <c r="B35" s="1" t="n">
        <v>44081</v>
      </c>
      <c r="C35" s="1" t="n">
        <v>45359</v>
      </c>
      <c r="D35" t="inlineStr">
        <is>
          <t>VÄSTMANLANDS LÄN</t>
        </is>
      </c>
      <c r="E35" t="inlineStr">
        <is>
          <t>SURAHAMMAR</t>
        </is>
      </c>
      <c r="F35" t="inlineStr">
        <is>
          <t>Sveaskog</t>
        </is>
      </c>
      <c r="G35" t="n">
        <v>6.4</v>
      </c>
      <c r="H35" t="n">
        <v>0</v>
      </c>
      <c r="I35" t="n">
        <v>0</v>
      </c>
      <c r="J35" t="n">
        <v>1</v>
      </c>
      <c r="K35" t="n">
        <v>1</v>
      </c>
      <c r="L35" t="n">
        <v>0</v>
      </c>
      <c r="M35" t="n">
        <v>0</v>
      </c>
      <c r="N35" t="n">
        <v>0</v>
      </c>
      <c r="O35" t="n">
        <v>2</v>
      </c>
      <c r="P35" t="n">
        <v>1</v>
      </c>
      <c r="Q35" t="n">
        <v>2</v>
      </c>
      <c r="R35" s="2" t="inlineStr">
        <is>
          <t>Hängticka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row>
    <row r="36" ht="15" customHeight="1">
      <c r="A36" t="inlineStr">
        <is>
          <t>A 59550-2020</t>
        </is>
      </c>
      <c r="B36" s="1" t="n">
        <v>44148</v>
      </c>
      <c r="C36" s="1" t="n">
        <v>45359</v>
      </c>
      <c r="D36" t="inlineStr">
        <is>
          <t>VÄSTMANLANDS LÄN</t>
        </is>
      </c>
      <c r="E36" t="inlineStr">
        <is>
          <t>SURAHAMMAR</t>
        </is>
      </c>
      <c r="G36" t="n">
        <v>0.8</v>
      </c>
      <c r="H36" t="n">
        <v>1</v>
      </c>
      <c r="I36" t="n">
        <v>0</v>
      </c>
      <c r="J36" t="n">
        <v>1</v>
      </c>
      <c r="K36" t="n">
        <v>0</v>
      </c>
      <c r="L36" t="n">
        <v>0</v>
      </c>
      <c r="M36" t="n">
        <v>0</v>
      </c>
      <c r="N36" t="n">
        <v>0</v>
      </c>
      <c r="O36" t="n">
        <v>1</v>
      </c>
      <c r="P36" t="n">
        <v>0</v>
      </c>
      <c r="Q36" t="n">
        <v>2</v>
      </c>
      <c r="R36" s="2" t="inlineStr">
        <is>
          <t>Ljusskivig lerskivling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18717-2021</t>
        </is>
      </c>
      <c r="B37" s="1" t="n">
        <v>44306</v>
      </c>
      <c r="C37" s="1" t="n">
        <v>45359</v>
      </c>
      <c r="D37" t="inlineStr">
        <is>
          <t>VÄSTMANLANDS LÄN</t>
        </is>
      </c>
      <c r="E37" t="inlineStr">
        <is>
          <t>SURAHAMMAR</t>
        </is>
      </c>
      <c r="F37" t="inlineStr">
        <is>
          <t>Bergvik skog väst AB</t>
        </is>
      </c>
      <c r="G37" t="n">
        <v>18</v>
      </c>
      <c r="H37" t="n">
        <v>2</v>
      </c>
      <c r="I37" t="n">
        <v>0</v>
      </c>
      <c r="J37" t="n">
        <v>0</v>
      </c>
      <c r="K37" t="n">
        <v>0</v>
      </c>
      <c r="L37" t="n">
        <v>0</v>
      </c>
      <c r="M37" t="n">
        <v>0</v>
      </c>
      <c r="N37" t="n">
        <v>0</v>
      </c>
      <c r="O37" t="n">
        <v>0</v>
      </c>
      <c r="P37" t="n">
        <v>0</v>
      </c>
      <c r="Q37" t="n">
        <v>2</v>
      </c>
      <c r="R37" s="2" t="inlineStr">
        <is>
          <t>Lopplummer
Revlummer</t>
        </is>
      </c>
      <c r="S37">
        <f>HYPERLINK("https://klasma.github.io/Logging_1907/artfynd/A 18717-2021 artfynd.xlsx", "A 18717-2021")</f>
        <v/>
      </c>
      <c r="T37">
        <f>HYPERLINK("https://klasma.github.io/Logging_1907/kartor/A 18717-2021 karta.png", "A 18717-2021")</f>
        <v/>
      </c>
      <c r="V37">
        <f>HYPERLINK("https://klasma.github.io/Logging_1907/klagomål/A 18717-2021 FSC-klagomål.docx", "A 18717-2021")</f>
        <v/>
      </c>
      <c r="W37">
        <f>HYPERLINK("https://klasma.github.io/Logging_1907/klagomålsmail/A 18717-2021 FSC-klagomål mail.docx", "A 18717-2021")</f>
        <v/>
      </c>
      <c r="X37">
        <f>HYPERLINK("https://klasma.github.io/Logging_1907/tillsyn/A 18717-2021 tillsynsbegäran.docx", "A 18717-2021")</f>
        <v/>
      </c>
      <c r="Y37">
        <f>HYPERLINK("https://klasma.github.io/Logging_1907/tillsynsmail/A 18717-2021 tillsynsbegäran mail.docx", "A 18717-2021")</f>
        <v/>
      </c>
    </row>
    <row r="38" ht="15" customHeight="1">
      <c r="A38" t="inlineStr">
        <is>
          <t>A 21825-2021</t>
        </is>
      </c>
      <c r="B38" s="1" t="n">
        <v>44322</v>
      </c>
      <c r="C38" s="1" t="n">
        <v>45359</v>
      </c>
      <c r="D38" t="inlineStr">
        <is>
          <t>VÄSTMANLANDS LÄN</t>
        </is>
      </c>
      <c r="E38" t="inlineStr">
        <is>
          <t>SURAHAMMAR</t>
        </is>
      </c>
      <c r="G38" t="n">
        <v>4.7</v>
      </c>
      <c r="H38" t="n">
        <v>1</v>
      </c>
      <c r="I38" t="n">
        <v>0</v>
      </c>
      <c r="J38" t="n">
        <v>1</v>
      </c>
      <c r="K38" t="n">
        <v>0</v>
      </c>
      <c r="L38" t="n">
        <v>0</v>
      </c>
      <c r="M38" t="n">
        <v>0</v>
      </c>
      <c r="N38" t="n">
        <v>0</v>
      </c>
      <c r="O38" t="n">
        <v>1</v>
      </c>
      <c r="P38" t="n">
        <v>0</v>
      </c>
      <c r="Q38" t="n">
        <v>2</v>
      </c>
      <c r="R38" s="2" t="inlineStr">
        <is>
          <t>Svinrot
Blåsippa</t>
        </is>
      </c>
      <c r="S38">
        <f>HYPERLINK("https://klasma.github.io/Logging_1907/artfynd/A 21825-2021 artfynd.xlsx", "A 21825-2021")</f>
        <v/>
      </c>
      <c r="T38">
        <f>HYPERLINK("https://klasma.github.io/Logging_1907/kartor/A 21825-2021 karta.png", "A 21825-2021")</f>
        <v/>
      </c>
      <c r="V38">
        <f>HYPERLINK("https://klasma.github.io/Logging_1907/klagomål/A 21825-2021 FSC-klagomål.docx", "A 21825-2021")</f>
        <v/>
      </c>
      <c r="W38">
        <f>HYPERLINK("https://klasma.github.io/Logging_1907/klagomålsmail/A 21825-2021 FSC-klagomål mail.docx", "A 21825-2021")</f>
        <v/>
      </c>
      <c r="X38">
        <f>HYPERLINK("https://klasma.github.io/Logging_1907/tillsyn/A 21825-2021 tillsynsbegäran.docx", "A 21825-2021")</f>
        <v/>
      </c>
      <c r="Y38">
        <f>HYPERLINK("https://klasma.github.io/Logging_1907/tillsynsmail/A 21825-2021 tillsynsbegäran mail.docx", "A 21825-2021")</f>
        <v/>
      </c>
    </row>
    <row r="39" ht="15" customHeight="1">
      <c r="A39" t="inlineStr">
        <is>
          <t>A 37801-2021</t>
        </is>
      </c>
      <c r="B39" s="1" t="n">
        <v>44402</v>
      </c>
      <c r="C39" s="1" t="n">
        <v>45359</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45359</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38200-2021</t>
        </is>
      </c>
      <c r="B41" s="1" t="n">
        <v>44405</v>
      </c>
      <c r="C41" s="1" t="n">
        <v>45359</v>
      </c>
      <c r="D41" t="inlineStr">
        <is>
          <t>VÄSTMANLANDS LÄN</t>
        </is>
      </c>
      <c r="E41" t="inlineStr">
        <is>
          <t>SURAHAMMAR</t>
        </is>
      </c>
      <c r="F41" t="inlineStr">
        <is>
          <t>Sveaskog</t>
        </is>
      </c>
      <c r="G41" t="n">
        <v>1.5</v>
      </c>
      <c r="H41" t="n">
        <v>0</v>
      </c>
      <c r="I41" t="n">
        <v>0</v>
      </c>
      <c r="J41" t="n">
        <v>1</v>
      </c>
      <c r="K41" t="n">
        <v>1</v>
      </c>
      <c r="L41" t="n">
        <v>0</v>
      </c>
      <c r="M41" t="n">
        <v>0</v>
      </c>
      <c r="N41" t="n">
        <v>0</v>
      </c>
      <c r="O41" t="n">
        <v>2</v>
      </c>
      <c r="P41" t="n">
        <v>1</v>
      </c>
      <c r="Q41" t="n">
        <v>2</v>
      </c>
      <c r="R41" s="2" t="inlineStr">
        <is>
          <t>Vågticka
Svinrot</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7845-2022</t>
        </is>
      </c>
      <c r="B42" s="1" t="n">
        <v>44608</v>
      </c>
      <c r="C42" s="1" t="n">
        <v>45359</v>
      </c>
      <c r="D42" t="inlineStr">
        <is>
          <t>VÄSTMANLANDS LÄN</t>
        </is>
      </c>
      <c r="E42" t="inlineStr">
        <is>
          <t>SURAHAMMAR</t>
        </is>
      </c>
      <c r="G42" t="n">
        <v>3</v>
      </c>
      <c r="H42" t="n">
        <v>1</v>
      </c>
      <c r="I42" t="n">
        <v>1</v>
      </c>
      <c r="J42" t="n">
        <v>0</v>
      </c>
      <c r="K42" t="n">
        <v>1</v>
      </c>
      <c r="L42" t="n">
        <v>0</v>
      </c>
      <c r="M42" t="n">
        <v>0</v>
      </c>
      <c r="N42" t="n">
        <v>0</v>
      </c>
      <c r="O42" t="n">
        <v>1</v>
      </c>
      <c r="P42" t="n">
        <v>1</v>
      </c>
      <c r="Q42" t="n">
        <v>2</v>
      </c>
      <c r="R42" s="2" t="inlineStr">
        <is>
          <t>Knärot
Vedticka</t>
        </is>
      </c>
      <c r="S42">
        <f>HYPERLINK("https://klasma.github.io/Logging_1907/artfynd/A 7845-2022 artfynd.xlsx", "A 7845-2022")</f>
        <v/>
      </c>
      <c r="T42">
        <f>HYPERLINK("https://klasma.github.io/Logging_1907/kartor/A 7845-2022 karta.png", "A 7845-2022")</f>
        <v/>
      </c>
      <c r="U42">
        <f>HYPERLINK("https://klasma.github.io/Logging_1907/knärot/A 7845-2022 karta knärot.png", "A 7845-2022")</f>
        <v/>
      </c>
      <c r="V42">
        <f>HYPERLINK("https://klasma.github.io/Logging_1907/klagomål/A 7845-2022 FSC-klagomål.docx", "A 7845-2022")</f>
        <v/>
      </c>
      <c r="W42">
        <f>HYPERLINK("https://klasma.github.io/Logging_1907/klagomålsmail/A 7845-2022 FSC-klagomål mail.docx", "A 7845-2022")</f>
        <v/>
      </c>
      <c r="X42">
        <f>HYPERLINK("https://klasma.github.io/Logging_1907/tillsyn/A 7845-2022 tillsynsbegäran.docx", "A 7845-2022")</f>
        <v/>
      </c>
      <c r="Y42">
        <f>HYPERLINK("https://klasma.github.io/Logging_1907/tillsynsmail/A 7845-2022 tillsynsbegäran mail.docx", "A 7845-2022")</f>
        <v/>
      </c>
    </row>
    <row r="43" ht="15" customHeight="1">
      <c r="A43" t="inlineStr">
        <is>
          <t>A 16217-2023</t>
        </is>
      </c>
      <c r="B43" s="1" t="n">
        <v>45022</v>
      </c>
      <c r="C43" s="1" t="n">
        <v>45359</v>
      </c>
      <c r="D43" t="inlineStr">
        <is>
          <t>VÄSTMANLANDS LÄN</t>
        </is>
      </c>
      <c r="E43" t="inlineStr">
        <is>
          <t>SURAHAMMAR</t>
        </is>
      </c>
      <c r="G43" t="n">
        <v>2.6</v>
      </c>
      <c r="H43" t="n">
        <v>1</v>
      </c>
      <c r="I43" t="n">
        <v>1</v>
      </c>
      <c r="J43" t="n">
        <v>1</v>
      </c>
      <c r="K43" t="n">
        <v>0</v>
      </c>
      <c r="L43" t="n">
        <v>0</v>
      </c>
      <c r="M43" t="n">
        <v>0</v>
      </c>
      <c r="N43" t="n">
        <v>0</v>
      </c>
      <c r="O43" t="n">
        <v>1</v>
      </c>
      <c r="P43" t="n">
        <v>0</v>
      </c>
      <c r="Q43" t="n">
        <v>2</v>
      </c>
      <c r="R43" s="2" t="inlineStr">
        <is>
          <t>Tretåig hackspett
Gullgröppa</t>
        </is>
      </c>
      <c r="S43">
        <f>HYPERLINK("https://klasma.github.io/Logging_1907/artfynd/A 16217-2023 artfynd.xlsx", "A 16217-2023")</f>
        <v/>
      </c>
      <c r="T43">
        <f>HYPERLINK("https://klasma.github.io/Logging_1907/kartor/A 16217-2023 karta.png", "A 16217-2023")</f>
        <v/>
      </c>
      <c r="V43">
        <f>HYPERLINK("https://klasma.github.io/Logging_1907/klagomål/A 16217-2023 FSC-klagomål.docx", "A 16217-2023")</f>
        <v/>
      </c>
      <c r="W43">
        <f>HYPERLINK("https://klasma.github.io/Logging_1907/klagomålsmail/A 16217-2023 FSC-klagomål mail.docx", "A 16217-2023")</f>
        <v/>
      </c>
      <c r="X43">
        <f>HYPERLINK("https://klasma.github.io/Logging_1907/tillsyn/A 16217-2023 tillsynsbegäran.docx", "A 16217-2023")</f>
        <v/>
      </c>
      <c r="Y43">
        <f>HYPERLINK("https://klasma.github.io/Logging_1907/tillsynsmail/A 16217-2023 tillsynsbegäran mail.docx", "A 16217-2023")</f>
        <v/>
      </c>
      <c r="Z43">
        <f>HYPERLINK("https://klasma.github.io/Logging_1907/fåglar/A 16217-2023 prioriterade fågelarter.docx", "A 16217-2023")</f>
        <v/>
      </c>
    </row>
    <row r="44" ht="15" customHeight="1">
      <c r="A44" t="inlineStr">
        <is>
          <t>A 23734-2023</t>
        </is>
      </c>
      <c r="B44" s="1" t="n">
        <v>45077</v>
      </c>
      <c r="C44" s="1" t="n">
        <v>45359</v>
      </c>
      <c r="D44" t="inlineStr">
        <is>
          <t>VÄSTMANLANDS LÄN</t>
        </is>
      </c>
      <c r="E44" t="inlineStr">
        <is>
          <t>SURAHAMMAR</t>
        </is>
      </c>
      <c r="F44" t="inlineStr">
        <is>
          <t>Sveaskog</t>
        </is>
      </c>
      <c r="G44" t="n">
        <v>6.7</v>
      </c>
      <c r="H44" t="n">
        <v>0</v>
      </c>
      <c r="I44" t="n">
        <v>0</v>
      </c>
      <c r="J44" t="n">
        <v>1</v>
      </c>
      <c r="K44" t="n">
        <v>1</v>
      </c>
      <c r="L44" t="n">
        <v>0</v>
      </c>
      <c r="M44" t="n">
        <v>0</v>
      </c>
      <c r="N44" t="n">
        <v>0</v>
      </c>
      <c r="O44" t="n">
        <v>2</v>
      </c>
      <c r="P44" t="n">
        <v>1</v>
      </c>
      <c r="Q44" t="n">
        <v>2</v>
      </c>
      <c r="R44" s="2" t="inlineStr">
        <is>
          <t>Hängticka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row>
    <row r="45" ht="15" customHeight="1">
      <c r="A45" t="inlineStr">
        <is>
          <t>A 28043-2023</t>
        </is>
      </c>
      <c r="B45" s="1" t="n">
        <v>45099</v>
      </c>
      <c r="C45" s="1" t="n">
        <v>45359</v>
      </c>
      <c r="D45" t="inlineStr">
        <is>
          <t>VÄSTMANLANDS LÄN</t>
        </is>
      </c>
      <c r="E45" t="inlineStr">
        <is>
          <t>SURAHAMMAR</t>
        </is>
      </c>
      <c r="F45" t="inlineStr">
        <is>
          <t>Allmännings- och besparingsskogar</t>
        </is>
      </c>
      <c r="G45" t="n">
        <v>23.9</v>
      </c>
      <c r="H45" t="n">
        <v>1</v>
      </c>
      <c r="I45" t="n">
        <v>0</v>
      </c>
      <c r="J45" t="n">
        <v>1</v>
      </c>
      <c r="K45" t="n">
        <v>0</v>
      </c>
      <c r="L45" t="n">
        <v>0</v>
      </c>
      <c r="M45" t="n">
        <v>0</v>
      </c>
      <c r="N45" t="n">
        <v>0</v>
      </c>
      <c r="O45" t="n">
        <v>1</v>
      </c>
      <c r="P45" t="n">
        <v>0</v>
      </c>
      <c r="Q45" t="n">
        <v>2</v>
      </c>
      <c r="R45" s="2" t="inlineStr">
        <is>
          <t>Gropticka
Revlummer</t>
        </is>
      </c>
      <c r="S45">
        <f>HYPERLINK("https://klasma.github.io/Logging_1907/artfynd/A 28043-2023 artfynd.xlsx", "A 28043-2023")</f>
        <v/>
      </c>
      <c r="T45">
        <f>HYPERLINK("https://klasma.github.io/Logging_1907/kartor/A 28043-2023 karta.png", "A 28043-2023")</f>
        <v/>
      </c>
      <c r="V45">
        <f>HYPERLINK("https://klasma.github.io/Logging_1907/klagomål/A 28043-2023 FSC-klagomål.docx", "A 28043-2023")</f>
        <v/>
      </c>
      <c r="W45">
        <f>HYPERLINK("https://klasma.github.io/Logging_1907/klagomålsmail/A 28043-2023 FSC-klagomål mail.docx", "A 28043-2023")</f>
        <v/>
      </c>
      <c r="X45">
        <f>HYPERLINK("https://klasma.github.io/Logging_1907/tillsyn/A 28043-2023 tillsynsbegäran.docx", "A 28043-2023")</f>
        <v/>
      </c>
      <c r="Y45">
        <f>HYPERLINK("https://klasma.github.io/Logging_1907/tillsynsmail/A 28043-2023 tillsynsbegäran mail.docx", "A 28043-2023")</f>
        <v/>
      </c>
    </row>
    <row r="46" ht="15" customHeight="1">
      <c r="A46" t="inlineStr">
        <is>
          <t>A 41204-2023</t>
        </is>
      </c>
      <c r="B46" s="1" t="n">
        <v>45174</v>
      </c>
      <c r="C46" s="1" t="n">
        <v>45359</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7796-2024</t>
        </is>
      </c>
      <c r="B47" s="1" t="n">
        <v>45348</v>
      </c>
      <c r="C47" s="1" t="n">
        <v>45359</v>
      </c>
      <c r="D47" t="inlineStr">
        <is>
          <t>VÄSTMANLANDS LÄN</t>
        </is>
      </c>
      <c r="E47" t="inlineStr">
        <is>
          <t>SURAHAMMAR</t>
        </is>
      </c>
      <c r="G47" t="n">
        <v>10.5</v>
      </c>
      <c r="H47" t="n">
        <v>1</v>
      </c>
      <c r="I47" t="n">
        <v>1</v>
      </c>
      <c r="J47" t="n">
        <v>1</v>
      </c>
      <c r="K47" t="n">
        <v>0</v>
      </c>
      <c r="L47" t="n">
        <v>0</v>
      </c>
      <c r="M47" t="n">
        <v>0</v>
      </c>
      <c r="N47" t="n">
        <v>0</v>
      </c>
      <c r="O47" t="n">
        <v>1</v>
      </c>
      <c r="P47" t="n">
        <v>0</v>
      </c>
      <c r="Q47" t="n">
        <v>2</v>
      </c>
      <c r="R47" s="2" t="inlineStr">
        <is>
          <t>Ullticka
Plattlummer</t>
        </is>
      </c>
      <c r="S47">
        <f>HYPERLINK("https://klasma.github.io/Logging_1907/artfynd/A 7796-2024 artfynd.xlsx", "A 7796-2024")</f>
        <v/>
      </c>
      <c r="T47">
        <f>HYPERLINK("https://klasma.github.io/Logging_1907/kartor/A 7796-2024 karta.png", "A 7796-2024")</f>
        <v/>
      </c>
      <c r="V47">
        <f>HYPERLINK("https://klasma.github.io/Logging_1907/klagomål/A 7796-2024 FSC-klagomål.docx", "A 7796-2024")</f>
        <v/>
      </c>
      <c r="W47">
        <f>HYPERLINK("https://klasma.github.io/Logging_1907/klagomålsmail/A 7796-2024 FSC-klagomål mail.docx", "A 7796-2024")</f>
        <v/>
      </c>
      <c r="X47">
        <f>HYPERLINK("https://klasma.github.io/Logging_1907/tillsyn/A 7796-2024 tillsynsbegäran.docx", "A 7796-2024")</f>
        <v/>
      </c>
      <c r="Y47">
        <f>HYPERLINK("https://klasma.github.io/Logging_1907/tillsynsmail/A 7796-2024 tillsynsbegäran mail.docx", "A 7796-2024")</f>
        <v/>
      </c>
    </row>
    <row r="48" ht="15" customHeight="1">
      <c r="A48" t="inlineStr">
        <is>
          <t>A 4575-2019</t>
        </is>
      </c>
      <c r="B48" s="1" t="n">
        <v>43486</v>
      </c>
      <c r="C48" s="1" t="n">
        <v>45359</v>
      </c>
      <c r="D48" t="inlineStr">
        <is>
          <t>VÄSTMANLANDS LÄN</t>
        </is>
      </c>
      <c r="E48" t="inlineStr">
        <is>
          <t>SURAHAMMAR</t>
        </is>
      </c>
      <c r="G48" t="n">
        <v>8.800000000000001</v>
      </c>
      <c r="H48" t="n">
        <v>1</v>
      </c>
      <c r="I48" t="n">
        <v>0</v>
      </c>
      <c r="J48" t="n">
        <v>0</v>
      </c>
      <c r="K48" t="n">
        <v>1</v>
      </c>
      <c r="L48" t="n">
        <v>0</v>
      </c>
      <c r="M48" t="n">
        <v>0</v>
      </c>
      <c r="N48" t="n">
        <v>0</v>
      </c>
      <c r="O48" t="n">
        <v>1</v>
      </c>
      <c r="P48" t="n">
        <v>1</v>
      </c>
      <c r="Q48" t="n">
        <v>1</v>
      </c>
      <c r="R48" s="2" t="inlineStr">
        <is>
          <t>Knärot</t>
        </is>
      </c>
      <c r="S48">
        <f>HYPERLINK("https://klasma.github.io/Logging_1907/artfynd/A 4575-2019 artfynd.xlsx", "A 4575-2019")</f>
        <v/>
      </c>
      <c r="T48">
        <f>HYPERLINK("https://klasma.github.io/Logging_1907/kartor/A 4575-2019 karta.png", "A 4575-2019")</f>
        <v/>
      </c>
      <c r="U48">
        <f>HYPERLINK("https://klasma.github.io/Logging_1907/knärot/A 4575-2019 karta knärot.png", "A 4575-2019")</f>
        <v/>
      </c>
      <c r="V48">
        <f>HYPERLINK("https://klasma.github.io/Logging_1907/klagomål/A 4575-2019 FSC-klagomål.docx", "A 4575-2019")</f>
        <v/>
      </c>
      <c r="W48">
        <f>HYPERLINK("https://klasma.github.io/Logging_1907/klagomålsmail/A 4575-2019 FSC-klagomål mail.docx", "A 4575-2019")</f>
        <v/>
      </c>
      <c r="X48">
        <f>HYPERLINK("https://klasma.github.io/Logging_1907/tillsyn/A 4575-2019 tillsynsbegäran.docx", "A 4575-2019")</f>
        <v/>
      </c>
      <c r="Y48">
        <f>HYPERLINK("https://klasma.github.io/Logging_1907/tillsynsmail/A 4575-2019 tillsynsbegäran mail.docx", "A 4575-2019")</f>
        <v/>
      </c>
    </row>
    <row r="49" ht="15" customHeight="1">
      <c r="A49" t="inlineStr">
        <is>
          <t>A 11098-2019</t>
        </is>
      </c>
      <c r="B49" s="1" t="n">
        <v>43516</v>
      </c>
      <c r="C49" s="1" t="n">
        <v>45359</v>
      </c>
      <c r="D49" t="inlineStr">
        <is>
          <t>VÄSTMANLANDS LÄN</t>
        </is>
      </c>
      <c r="E49" t="inlineStr">
        <is>
          <t>SURAHAMMAR</t>
        </is>
      </c>
      <c r="F49" t="inlineStr">
        <is>
          <t>Övriga Aktiebolag</t>
        </is>
      </c>
      <c r="G49" t="n">
        <v>5.5</v>
      </c>
      <c r="H49" t="n">
        <v>0</v>
      </c>
      <c r="I49" t="n">
        <v>1</v>
      </c>
      <c r="J49" t="n">
        <v>0</v>
      </c>
      <c r="K49" t="n">
        <v>0</v>
      </c>
      <c r="L49" t="n">
        <v>0</v>
      </c>
      <c r="M49" t="n">
        <v>0</v>
      </c>
      <c r="N49" t="n">
        <v>0</v>
      </c>
      <c r="O49" t="n">
        <v>0</v>
      </c>
      <c r="P49" t="n">
        <v>0</v>
      </c>
      <c r="Q49" t="n">
        <v>1</v>
      </c>
      <c r="R49" s="2" t="inlineStr">
        <is>
          <t>Kamjordstjärna</t>
        </is>
      </c>
      <c r="S49">
        <f>HYPERLINK("https://klasma.github.io/Logging_1907/artfynd/A 11098-2019 artfynd.xlsx", "A 11098-2019")</f>
        <v/>
      </c>
      <c r="T49">
        <f>HYPERLINK("https://klasma.github.io/Logging_1907/kartor/A 11098-2019 karta.png", "A 11098-2019")</f>
        <v/>
      </c>
      <c r="V49">
        <f>HYPERLINK("https://klasma.github.io/Logging_1907/klagomål/A 11098-2019 FSC-klagomål.docx", "A 11098-2019")</f>
        <v/>
      </c>
      <c r="W49">
        <f>HYPERLINK("https://klasma.github.io/Logging_1907/klagomålsmail/A 11098-2019 FSC-klagomål mail.docx", "A 11098-2019")</f>
        <v/>
      </c>
      <c r="X49">
        <f>HYPERLINK("https://klasma.github.io/Logging_1907/tillsyn/A 11098-2019 tillsynsbegäran.docx", "A 11098-2019")</f>
        <v/>
      </c>
      <c r="Y49">
        <f>HYPERLINK("https://klasma.github.io/Logging_1907/tillsynsmail/A 11098-2019 tillsynsbegäran mail.docx", "A 11098-2019")</f>
        <v/>
      </c>
    </row>
    <row r="50" ht="15" customHeight="1">
      <c r="A50" t="inlineStr">
        <is>
          <t>A 16181-2019</t>
        </is>
      </c>
      <c r="B50" s="1" t="n">
        <v>43545</v>
      </c>
      <c r="C50" s="1" t="n">
        <v>45359</v>
      </c>
      <c r="D50" t="inlineStr">
        <is>
          <t>VÄSTMANLANDS LÄN</t>
        </is>
      </c>
      <c r="E50" t="inlineStr">
        <is>
          <t>SURAHAMMAR</t>
        </is>
      </c>
      <c r="G50" t="n">
        <v>0.6</v>
      </c>
      <c r="H50" t="n">
        <v>0</v>
      </c>
      <c r="I50" t="n">
        <v>1</v>
      </c>
      <c r="J50" t="n">
        <v>0</v>
      </c>
      <c r="K50" t="n">
        <v>0</v>
      </c>
      <c r="L50" t="n">
        <v>0</v>
      </c>
      <c r="M50" t="n">
        <v>0</v>
      </c>
      <c r="N50" t="n">
        <v>0</v>
      </c>
      <c r="O50" t="n">
        <v>0</v>
      </c>
      <c r="P50" t="n">
        <v>0</v>
      </c>
      <c r="Q50" t="n">
        <v>1</v>
      </c>
      <c r="R50" s="2" t="inlineStr">
        <is>
          <t>Sotlav</t>
        </is>
      </c>
      <c r="S50">
        <f>HYPERLINK("https://klasma.github.io/Logging_1907/artfynd/A 16181-2019 artfynd.xlsx", "A 16181-2019")</f>
        <v/>
      </c>
      <c r="T50">
        <f>HYPERLINK("https://klasma.github.io/Logging_1907/kartor/A 16181-2019 karta.png", "A 16181-2019")</f>
        <v/>
      </c>
      <c r="V50">
        <f>HYPERLINK("https://klasma.github.io/Logging_1907/klagomål/A 16181-2019 FSC-klagomål.docx", "A 16181-2019")</f>
        <v/>
      </c>
      <c r="W50">
        <f>HYPERLINK("https://klasma.github.io/Logging_1907/klagomålsmail/A 16181-2019 FSC-klagomål mail.docx", "A 16181-2019")</f>
        <v/>
      </c>
      <c r="X50">
        <f>HYPERLINK("https://klasma.github.io/Logging_1907/tillsyn/A 16181-2019 tillsynsbegäran.docx", "A 16181-2019")</f>
        <v/>
      </c>
      <c r="Y50">
        <f>HYPERLINK("https://klasma.github.io/Logging_1907/tillsynsmail/A 16181-2019 tillsynsbegäran mail.docx", "A 16181-2019")</f>
        <v/>
      </c>
    </row>
    <row r="51" ht="15" customHeight="1">
      <c r="A51" t="inlineStr">
        <is>
          <t>A 18948-2019</t>
        </is>
      </c>
      <c r="B51" s="1" t="n">
        <v>43563</v>
      </c>
      <c r="C51" s="1" t="n">
        <v>45359</v>
      </c>
      <c r="D51" t="inlineStr">
        <is>
          <t>VÄSTMANLANDS LÄN</t>
        </is>
      </c>
      <c r="E51" t="inlineStr">
        <is>
          <t>SURAHAMMAR</t>
        </is>
      </c>
      <c r="F51" t="inlineStr">
        <is>
          <t>Övriga Aktiebolag</t>
        </is>
      </c>
      <c r="G51" t="n">
        <v>1.9</v>
      </c>
      <c r="H51" t="n">
        <v>0</v>
      </c>
      <c r="I51" t="n">
        <v>0</v>
      </c>
      <c r="J51" t="n">
        <v>0</v>
      </c>
      <c r="K51" t="n">
        <v>0</v>
      </c>
      <c r="L51" t="n">
        <v>1</v>
      </c>
      <c r="M51" t="n">
        <v>0</v>
      </c>
      <c r="N51" t="n">
        <v>0</v>
      </c>
      <c r="O51" t="n">
        <v>1</v>
      </c>
      <c r="P51" t="n">
        <v>1</v>
      </c>
      <c r="Q51" t="n">
        <v>1</v>
      </c>
      <c r="R51" s="2" t="inlineStr">
        <is>
          <t>Ask</t>
        </is>
      </c>
      <c r="S51">
        <f>HYPERLINK("https://klasma.github.io/Logging_1907/artfynd/A 18948-2019 artfynd.xlsx", "A 18948-2019")</f>
        <v/>
      </c>
      <c r="T51">
        <f>HYPERLINK("https://klasma.github.io/Logging_1907/kartor/A 18948-2019 karta.png", "A 18948-2019")</f>
        <v/>
      </c>
      <c r="V51">
        <f>HYPERLINK("https://klasma.github.io/Logging_1907/klagomål/A 18948-2019 FSC-klagomål.docx", "A 18948-2019")</f>
        <v/>
      </c>
      <c r="W51">
        <f>HYPERLINK("https://klasma.github.io/Logging_1907/klagomålsmail/A 18948-2019 FSC-klagomål mail.docx", "A 18948-2019")</f>
        <v/>
      </c>
      <c r="X51">
        <f>HYPERLINK("https://klasma.github.io/Logging_1907/tillsyn/A 18948-2019 tillsynsbegäran.docx", "A 18948-2019")</f>
        <v/>
      </c>
      <c r="Y51">
        <f>HYPERLINK("https://klasma.github.io/Logging_1907/tillsynsmail/A 18948-2019 tillsynsbegäran mail.docx", "A 18948-2019")</f>
        <v/>
      </c>
    </row>
    <row r="52" ht="15" customHeight="1">
      <c r="A52" t="inlineStr">
        <is>
          <t>A 28276-2019</t>
        </is>
      </c>
      <c r="B52" s="1" t="n">
        <v>43623</v>
      </c>
      <c r="C52" s="1" t="n">
        <v>45359</v>
      </c>
      <c r="D52" t="inlineStr">
        <is>
          <t>VÄSTMANLANDS LÄN</t>
        </is>
      </c>
      <c r="E52" t="inlineStr">
        <is>
          <t>SURAHAMMAR</t>
        </is>
      </c>
      <c r="F52" t="inlineStr">
        <is>
          <t>Allmännings- och besparingsskogar</t>
        </is>
      </c>
      <c r="G52" t="n">
        <v>8.4</v>
      </c>
      <c r="H52" t="n">
        <v>0</v>
      </c>
      <c r="I52" t="n">
        <v>0</v>
      </c>
      <c r="J52" t="n">
        <v>1</v>
      </c>
      <c r="K52" t="n">
        <v>0</v>
      </c>
      <c r="L52" t="n">
        <v>0</v>
      </c>
      <c r="M52" t="n">
        <v>0</v>
      </c>
      <c r="N52" t="n">
        <v>0</v>
      </c>
      <c r="O52" t="n">
        <v>1</v>
      </c>
      <c r="P52" t="n">
        <v>0</v>
      </c>
      <c r="Q52" t="n">
        <v>1</v>
      </c>
      <c r="R52" s="2" t="inlineStr">
        <is>
          <t>Hapalopilus aurantiacus</t>
        </is>
      </c>
      <c r="S52">
        <f>HYPERLINK("https://klasma.github.io/Logging_1907/artfynd/A 28276-2019 artfynd.xlsx", "A 28276-2019")</f>
        <v/>
      </c>
      <c r="T52">
        <f>HYPERLINK("https://klasma.github.io/Logging_1907/kartor/A 28276-2019 karta.png", "A 28276-2019")</f>
        <v/>
      </c>
      <c r="V52">
        <f>HYPERLINK("https://klasma.github.io/Logging_1907/klagomål/A 28276-2019 FSC-klagomål.docx", "A 28276-2019")</f>
        <v/>
      </c>
      <c r="W52">
        <f>HYPERLINK("https://klasma.github.io/Logging_1907/klagomålsmail/A 28276-2019 FSC-klagomål mail.docx", "A 28276-2019")</f>
        <v/>
      </c>
      <c r="X52">
        <f>HYPERLINK("https://klasma.github.io/Logging_1907/tillsyn/A 28276-2019 tillsynsbegäran.docx", "A 28276-2019")</f>
        <v/>
      </c>
      <c r="Y52">
        <f>HYPERLINK("https://klasma.github.io/Logging_1907/tillsynsmail/A 28276-2019 tillsynsbegäran mail.docx", "A 28276-2019")</f>
        <v/>
      </c>
    </row>
    <row r="53" ht="15" customHeight="1">
      <c r="A53" t="inlineStr">
        <is>
          <t>A 33879-2019</t>
        </is>
      </c>
      <c r="B53" s="1" t="n">
        <v>43653</v>
      </c>
      <c r="C53" s="1" t="n">
        <v>45359</v>
      </c>
      <c r="D53" t="inlineStr">
        <is>
          <t>VÄSTMANLANDS LÄN</t>
        </is>
      </c>
      <c r="E53" t="inlineStr">
        <is>
          <t>SURAHAMMAR</t>
        </is>
      </c>
      <c r="F53" t="inlineStr">
        <is>
          <t>Kyrkan</t>
        </is>
      </c>
      <c r="G53" t="n">
        <v>1.8</v>
      </c>
      <c r="H53" t="n">
        <v>1</v>
      </c>
      <c r="I53" t="n">
        <v>0</v>
      </c>
      <c r="J53" t="n">
        <v>0</v>
      </c>
      <c r="K53" t="n">
        <v>1</v>
      </c>
      <c r="L53" t="n">
        <v>0</v>
      </c>
      <c r="M53" t="n">
        <v>0</v>
      </c>
      <c r="N53" t="n">
        <v>0</v>
      </c>
      <c r="O53" t="n">
        <v>1</v>
      </c>
      <c r="P53" t="n">
        <v>1</v>
      </c>
      <c r="Q53" t="n">
        <v>1</v>
      </c>
      <c r="R53" s="2" t="inlineStr">
        <is>
          <t>Bombmurkla</t>
        </is>
      </c>
      <c r="S53">
        <f>HYPERLINK("https://klasma.github.io/Logging_1907/artfynd/A 33879-2019 artfynd.xlsx", "A 33879-2019")</f>
        <v/>
      </c>
      <c r="T53">
        <f>HYPERLINK("https://klasma.github.io/Logging_1907/kartor/A 33879-2019 karta.png", "A 33879-2019")</f>
        <v/>
      </c>
      <c r="V53">
        <f>HYPERLINK("https://klasma.github.io/Logging_1907/klagomål/A 33879-2019 FSC-klagomål.docx", "A 33879-2019")</f>
        <v/>
      </c>
      <c r="W53">
        <f>HYPERLINK("https://klasma.github.io/Logging_1907/klagomålsmail/A 33879-2019 FSC-klagomål mail.docx", "A 33879-2019")</f>
        <v/>
      </c>
      <c r="X53">
        <f>HYPERLINK("https://klasma.github.io/Logging_1907/tillsyn/A 33879-2019 tillsynsbegäran.docx", "A 33879-2019")</f>
        <v/>
      </c>
      <c r="Y53">
        <f>HYPERLINK("https://klasma.github.io/Logging_1907/tillsynsmail/A 33879-2019 tillsynsbegäran mail.docx", "A 33879-2019")</f>
        <v/>
      </c>
    </row>
    <row r="54" ht="15" customHeight="1">
      <c r="A54" t="inlineStr">
        <is>
          <t>A 39755-2019</t>
        </is>
      </c>
      <c r="B54" s="1" t="n">
        <v>43692</v>
      </c>
      <c r="C54" s="1" t="n">
        <v>45359</v>
      </c>
      <c r="D54" t="inlineStr">
        <is>
          <t>VÄSTMANLANDS LÄN</t>
        </is>
      </c>
      <c r="E54" t="inlineStr">
        <is>
          <t>SURAHAMMAR</t>
        </is>
      </c>
      <c r="F54" t="inlineStr">
        <is>
          <t>Övriga Aktiebolag</t>
        </is>
      </c>
      <c r="G54" t="n">
        <v>11.8</v>
      </c>
      <c r="H54" t="n">
        <v>1</v>
      </c>
      <c r="I54" t="n">
        <v>0</v>
      </c>
      <c r="J54" t="n">
        <v>0</v>
      </c>
      <c r="K54" t="n">
        <v>0</v>
      </c>
      <c r="L54" t="n">
        <v>0</v>
      </c>
      <c r="M54" t="n">
        <v>0</v>
      </c>
      <c r="N54" t="n">
        <v>0</v>
      </c>
      <c r="O54" t="n">
        <v>0</v>
      </c>
      <c r="P54" t="n">
        <v>0</v>
      </c>
      <c r="Q54" t="n">
        <v>1</v>
      </c>
      <c r="R54" s="2" t="inlineStr">
        <is>
          <t>Kopparödla</t>
        </is>
      </c>
      <c r="S54">
        <f>HYPERLINK("https://klasma.github.io/Logging_1907/artfynd/A 39755-2019 artfynd.xlsx", "A 39755-2019")</f>
        <v/>
      </c>
      <c r="T54">
        <f>HYPERLINK("https://klasma.github.io/Logging_1907/kartor/A 39755-2019 karta.png", "A 39755-2019")</f>
        <v/>
      </c>
      <c r="V54">
        <f>HYPERLINK("https://klasma.github.io/Logging_1907/klagomål/A 39755-2019 FSC-klagomål.docx", "A 39755-2019")</f>
        <v/>
      </c>
      <c r="W54">
        <f>HYPERLINK("https://klasma.github.io/Logging_1907/klagomålsmail/A 39755-2019 FSC-klagomål mail.docx", "A 39755-2019")</f>
        <v/>
      </c>
      <c r="X54">
        <f>HYPERLINK("https://klasma.github.io/Logging_1907/tillsyn/A 39755-2019 tillsynsbegäran.docx", "A 39755-2019")</f>
        <v/>
      </c>
      <c r="Y54">
        <f>HYPERLINK("https://klasma.github.io/Logging_1907/tillsynsmail/A 39755-2019 tillsynsbegäran mail.docx", "A 39755-2019")</f>
        <v/>
      </c>
    </row>
    <row r="55" ht="15" customHeight="1">
      <c r="A55" t="inlineStr">
        <is>
          <t>A 2708-2020</t>
        </is>
      </c>
      <c r="B55" s="1" t="n">
        <v>43850</v>
      </c>
      <c r="C55" s="1" t="n">
        <v>45359</v>
      </c>
      <c r="D55" t="inlineStr">
        <is>
          <t>VÄSTMANLANDS LÄN</t>
        </is>
      </c>
      <c r="E55" t="inlineStr">
        <is>
          <t>SURAHAMMAR</t>
        </is>
      </c>
      <c r="F55" t="inlineStr">
        <is>
          <t>Övriga Aktiebolag</t>
        </is>
      </c>
      <c r="G55" t="n">
        <v>29.7</v>
      </c>
      <c r="H55" t="n">
        <v>0</v>
      </c>
      <c r="I55" t="n">
        <v>0</v>
      </c>
      <c r="J55" t="n">
        <v>1</v>
      </c>
      <c r="K55" t="n">
        <v>0</v>
      </c>
      <c r="L55" t="n">
        <v>0</v>
      </c>
      <c r="M55" t="n">
        <v>0</v>
      </c>
      <c r="N55" t="n">
        <v>0</v>
      </c>
      <c r="O55" t="n">
        <v>1</v>
      </c>
      <c r="P55" t="n">
        <v>0</v>
      </c>
      <c r="Q55" t="n">
        <v>1</v>
      </c>
      <c r="R55" s="2" t="inlineStr">
        <is>
          <t>Ullticka</t>
        </is>
      </c>
      <c r="S55">
        <f>HYPERLINK("https://klasma.github.io/Logging_1907/artfynd/A 2708-2020 artfynd.xlsx", "A 2708-2020")</f>
        <v/>
      </c>
      <c r="T55">
        <f>HYPERLINK("https://klasma.github.io/Logging_1907/kartor/A 2708-2020 karta.png", "A 2708-2020")</f>
        <v/>
      </c>
      <c r="V55">
        <f>HYPERLINK("https://klasma.github.io/Logging_1907/klagomål/A 2708-2020 FSC-klagomål.docx", "A 2708-2020")</f>
        <v/>
      </c>
      <c r="W55">
        <f>HYPERLINK("https://klasma.github.io/Logging_1907/klagomålsmail/A 2708-2020 FSC-klagomål mail.docx", "A 2708-2020")</f>
        <v/>
      </c>
      <c r="X55">
        <f>HYPERLINK("https://klasma.github.io/Logging_1907/tillsyn/A 2708-2020 tillsynsbegäran.docx", "A 2708-2020")</f>
        <v/>
      </c>
      <c r="Y55">
        <f>HYPERLINK("https://klasma.github.io/Logging_1907/tillsynsmail/A 2708-2020 tillsynsbegäran mail.docx", "A 2708-2020")</f>
        <v/>
      </c>
    </row>
    <row r="56" ht="15" customHeight="1">
      <c r="A56" t="inlineStr">
        <is>
          <t>A 6514-2020</t>
        </is>
      </c>
      <c r="B56" s="1" t="n">
        <v>43867</v>
      </c>
      <c r="C56" s="1" t="n">
        <v>45359</v>
      </c>
      <c r="D56" t="inlineStr">
        <is>
          <t>VÄSTMANLANDS LÄN</t>
        </is>
      </c>
      <c r="E56" t="inlineStr">
        <is>
          <t>SURAHAMMAR</t>
        </is>
      </c>
      <c r="G56" t="n">
        <v>2.2</v>
      </c>
      <c r="H56" t="n">
        <v>1</v>
      </c>
      <c r="I56" t="n">
        <v>0</v>
      </c>
      <c r="J56" t="n">
        <v>0</v>
      </c>
      <c r="K56" t="n">
        <v>1</v>
      </c>
      <c r="L56" t="n">
        <v>0</v>
      </c>
      <c r="M56" t="n">
        <v>0</v>
      </c>
      <c r="N56" t="n">
        <v>0</v>
      </c>
      <c r="O56" t="n">
        <v>1</v>
      </c>
      <c r="P56" t="n">
        <v>1</v>
      </c>
      <c r="Q56" t="n">
        <v>1</v>
      </c>
      <c r="R56" s="2" t="inlineStr">
        <is>
          <t>Bombmurkla</t>
        </is>
      </c>
      <c r="S56">
        <f>HYPERLINK("https://klasma.github.io/Logging_1907/artfynd/A 6514-2020 artfynd.xlsx", "A 6514-2020")</f>
        <v/>
      </c>
      <c r="T56">
        <f>HYPERLINK("https://klasma.github.io/Logging_1907/kartor/A 6514-2020 karta.png", "A 6514-2020")</f>
        <v/>
      </c>
      <c r="V56">
        <f>HYPERLINK("https://klasma.github.io/Logging_1907/klagomål/A 6514-2020 FSC-klagomål.docx", "A 6514-2020")</f>
        <v/>
      </c>
      <c r="W56">
        <f>HYPERLINK("https://klasma.github.io/Logging_1907/klagomålsmail/A 6514-2020 FSC-klagomål mail.docx", "A 6514-2020")</f>
        <v/>
      </c>
      <c r="X56">
        <f>HYPERLINK("https://klasma.github.io/Logging_1907/tillsyn/A 6514-2020 tillsynsbegäran.docx", "A 6514-2020")</f>
        <v/>
      </c>
      <c r="Y56">
        <f>HYPERLINK("https://klasma.github.io/Logging_1907/tillsynsmail/A 6514-2020 tillsynsbegäran mail.docx", "A 6514-2020")</f>
        <v/>
      </c>
    </row>
    <row r="57" ht="15" customHeight="1">
      <c r="A57" t="inlineStr">
        <is>
          <t>A 57412-2020</t>
        </is>
      </c>
      <c r="B57" s="1" t="n">
        <v>44138</v>
      </c>
      <c r="C57" s="1" t="n">
        <v>45359</v>
      </c>
      <c r="D57" t="inlineStr">
        <is>
          <t>VÄSTMANLANDS LÄN</t>
        </is>
      </c>
      <c r="E57" t="inlineStr">
        <is>
          <t>SURAHAMMAR</t>
        </is>
      </c>
      <c r="G57" t="n">
        <v>2.9</v>
      </c>
      <c r="H57" t="n">
        <v>1</v>
      </c>
      <c r="I57" t="n">
        <v>0</v>
      </c>
      <c r="J57" t="n">
        <v>1</v>
      </c>
      <c r="K57" t="n">
        <v>0</v>
      </c>
      <c r="L57" t="n">
        <v>0</v>
      </c>
      <c r="M57" t="n">
        <v>0</v>
      </c>
      <c r="N57" t="n">
        <v>0</v>
      </c>
      <c r="O57" t="n">
        <v>1</v>
      </c>
      <c r="P57" t="n">
        <v>0</v>
      </c>
      <c r="Q57" t="n">
        <v>1</v>
      </c>
      <c r="R57" s="2" t="inlineStr">
        <is>
          <t>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row>
    <row r="58" ht="15" customHeight="1">
      <c r="A58" t="inlineStr">
        <is>
          <t>A 20479-2021</t>
        </is>
      </c>
      <c r="B58" s="1" t="n">
        <v>44315</v>
      </c>
      <c r="C58" s="1" t="n">
        <v>45359</v>
      </c>
      <c r="D58" t="inlineStr">
        <is>
          <t>VÄSTMANLANDS LÄN</t>
        </is>
      </c>
      <c r="E58" t="inlineStr">
        <is>
          <t>SURAHAMMAR</t>
        </is>
      </c>
      <c r="F58" t="inlineStr">
        <is>
          <t>Sveaskog</t>
        </is>
      </c>
      <c r="G58" t="n">
        <v>3.8</v>
      </c>
      <c r="H58" t="n">
        <v>0</v>
      </c>
      <c r="I58" t="n">
        <v>1</v>
      </c>
      <c r="J58" t="n">
        <v>0</v>
      </c>
      <c r="K58" t="n">
        <v>0</v>
      </c>
      <c r="L58" t="n">
        <v>0</v>
      </c>
      <c r="M58" t="n">
        <v>0</v>
      </c>
      <c r="N58" t="n">
        <v>0</v>
      </c>
      <c r="O58" t="n">
        <v>0</v>
      </c>
      <c r="P58" t="n">
        <v>0</v>
      </c>
      <c r="Q58" t="n">
        <v>1</v>
      </c>
      <c r="R58" s="2" t="inlineStr">
        <is>
          <t>Grönpyrola</t>
        </is>
      </c>
      <c r="S58">
        <f>HYPERLINK("https://klasma.github.io/Logging_1907/artfynd/A 20479-2021 artfynd.xlsx", "A 20479-2021")</f>
        <v/>
      </c>
      <c r="T58">
        <f>HYPERLINK("https://klasma.github.io/Logging_1907/kartor/A 20479-2021 karta.png", "A 20479-2021")</f>
        <v/>
      </c>
      <c r="V58">
        <f>HYPERLINK("https://klasma.github.io/Logging_1907/klagomål/A 20479-2021 FSC-klagomål.docx", "A 20479-2021")</f>
        <v/>
      </c>
      <c r="W58">
        <f>HYPERLINK("https://klasma.github.io/Logging_1907/klagomålsmail/A 20479-2021 FSC-klagomål mail.docx", "A 20479-2021")</f>
        <v/>
      </c>
      <c r="X58">
        <f>HYPERLINK("https://klasma.github.io/Logging_1907/tillsyn/A 20479-2021 tillsynsbegäran.docx", "A 20479-2021")</f>
        <v/>
      </c>
      <c r="Y58">
        <f>HYPERLINK("https://klasma.github.io/Logging_1907/tillsynsmail/A 20479-2021 tillsynsbegäran mail.docx", "A 20479-2021")</f>
        <v/>
      </c>
    </row>
    <row r="59" ht="15" customHeight="1">
      <c r="A59" t="inlineStr">
        <is>
          <t>A 38170-2021</t>
        </is>
      </c>
      <c r="B59" s="1" t="n">
        <v>44405</v>
      </c>
      <c r="C59" s="1" t="n">
        <v>45359</v>
      </c>
      <c r="D59" t="inlineStr">
        <is>
          <t>VÄSTMANLANDS LÄN</t>
        </is>
      </c>
      <c r="E59" t="inlineStr">
        <is>
          <t>SURAHAMMAR</t>
        </is>
      </c>
      <c r="F59" t="inlineStr">
        <is>
          <t>Sveaskog</t>
        </is>
      </c>
      <c r="G59" t="n">
        <v>1.2</v>
      </c>
      <c r="H59" t="n">
        <v>1</v>
      </c>
      <c r="I59" t="n">
        <v>0</v>
      </c>
      <c r="J59" t="n">
        <v>0</v>
      </c>
      <c r="K59" t="n">
        <v>0</v>
      </c>
      <c r="L59" t="n">
        <v>0</v>
      </c>
      <c r="M59" t="n">
        <v>0</v>
      </c>
      <c r="N59" t="n">
        <v>0</v>
      </c>
      <c r="O59" t="n">
        <v>0</v>
      </c>
      <c r="P59" t="n">
        <v>0</v>
      </c>
      <c r="Q59" t="n">
        <v>1</v>
      </c>
      <c r="R59" s="2" t="inlineStr">
        <is>
          <t>Revlummer</t>
        </is>
      </c>
      <c r="S59">
        <f>HYPERLINK("https://klasma.github.io/Logging_1907/artfynd/A 38170-2021 artfynd.xlsx", "A 38170-2021")</f>
        <v/>
      </c>
      <c r="T59">
        <f>HYPERLINK("https://klasma.github.io/Logging_1907/kartor/A 38170-2021 karta.png", "A 38170-2021")</f>
        <v/>
      </c>
      <c r="V59">
        <f>HYPERLINK("https://klasma.github.io/Logging_1907/klagomål/A 38170-2021 FSC-klagomål.docx", "A 38170-2021")</f>
        <v/>
      </c>
      <c r="W59">
        <f>HYPERLINK("https://klasma.github.io/Logging_1907/klagomålsmail/A 38170-2021 FSC-klagomål mail.docx", "A 38170-2021")</f>
        <v/>
      </c>
      <c r="X59">
        <f>HYPERLINK("https://klasma.github.io/Logging_1907/tillsyn/A 38170-2021 tillsynsbegäran.docx", "A 38170-2021")</f>
        <v/>
      </c>
      <c r="Y59">
        <f>HYPERLINK("https://klasma.github.io/Logging_1907/tillsynsmail/A 38170-2021 tillsynsbegäran mail.docx", "A 38170-2021")</f>
        <v/>
      </c>
    </row>
    <row r="60" ht="15" customHeight="1">
      <c r="A60" t="inlineStr">
        <is>
          <t>A 38175-2021</t>
        </is>
      </c>
      <c r="B60" s="1" t="n">
        <v>44405</v>
      </c>
      <c r="C60" s="1" t="n">
        <v>45359</v>
      </c>
      <c r="D60" t="inlineStr">
        <is>
          <t>VÄSTMANLANDS LÄN</t>
        </is>
      </c>
      <c r="E60" t="inlineStr">
        <is>
          <t>SURAHAMMAR</t>
        </is>
      </c>
      <c r="F60" t="inlineStr">
        <is>
          <t>Sveaskog</t>
        </is>
      </c>
      <c r="G60" t="n">
        <v>3.1</v>
      </c>
      <c r="H60" t="n">
        <v>0</v>
      </c>
      <c r="I60" t="n">
        <v>0</v>
      </c>
      <c r="J60" t="n">
        <v>1</v>
      </c>
      <c r="K60" t="n">
        <v>0</v>
      </c>
      <c r="L60" t="n">
        <v>0</v>
      </c>
      <c r="M60" t="n">
        <v>0</v>
      </c>
      <c r="N60" t="n">
        <v>0</v>
      </c>
      <c r="O60" t="n">
        <v>1</v>
      </c>
      <c r="P60" t="n">
        <v>0</v>
      </c>
      <c r="Q60" t="n">
        <v>1</v>
      </c>
      <c r="R60" s="2" t="inlineStr">
        <is>
          <t>Ullticka</t>
        </is>
      </c>
      <c r="S60">
        <f>HYPERLINK("https://klasma.github.io/Logging_1907/artfynd/A 38175-2021 artfynd.xlsx", "A 38175-2021")</f>
        <v/>
      </c>
      <c r="T60">
        <f>HYPERLINK("https://klasma.github.io/Logging_1907/kartor/A 38175-2021 karta.png", "A 38175-2021")</f>
        <v/>
      </c>
      <c r="V60">
        <f>HYPERLINK("https://klasma.github.io/Logging_1907/klagomål/A 38175-2021 FSC-klagomål.docx", "A 38175-2021")</f>
        <v/>
      </c>
      <c r="W60">
        <f>HYPERLINK("https://klasma.github.io/Logging_1907/klagomålsmail/A 38175-2021 FSC-klagomål mail.docx", "A 38175-2021")</f>
        <v/>
      </c>
      <c r="X60">
        <f>HYPERLINK("https://klasma.github.io/Logging_1907/tillsyn/A 38175-2021 tillsynsbegäran.docx", "A 38175-2021")</f>
        <v/>
      </c>
      <c r="Y60">
        <f>HYPERLINK("https://klasma.github.io/Logging_1907/tillsynsmail/A 38175-2021 tillsynsbegäran mail.docx", "A 38175-2021")</f>
        <v/>
      </c>
    </row>
    <row r="61" ht="15" customHeight="1">
      <c r="A61" t="inlineStr">
        <is>
          <t>A 40411-2021</t>
        </is>
      </c>
      <c r="B61" s="1" t="n">
        <v>44419</v>
      </c>
      <c r="C61" s="1" t="n">
        <v>45359</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57168-2021</t>
        </is>
      </c>
      <c r="B62" s="1" t="n">
        <v>44482</v>
      </c>
      <c r="C62" s="1" t="n">
        <v>45359</v>
      </c>
      <c r="D62" t="inlineStr">
        <is>
          <t>VÄSTMANLANDS LÄN</t>
        </is>
      </c>
      <c r="E62" t="inlineStr">
        <is>
          <t>SURAHAMMAR</t>
        </is>
      </c>
      <c r="G62" t="n">
        <v>1.7</v>
      </c>
      <c r="H62" t="n">
        <v>0</v>
      </c>
      <c r="I62" t="n">
        <v>0</v>
      </c>
      <c r="J62" t="n">
        <v>1</v>
      </c>
      <c r="K62" t="n">
        <v>0</v>
      </c>
      <c r="L62" t="n">
        <v>0</v>
      </c>
      <c r="M62" t="n">
        <v>0</v>
      </c>
      <c r="N62" t="n">
        <v>0</v>
      </c>
      <c r="O62" t="n">
        <v>1</v>
      </c>
      <c r="P62" t="n">
        <v>0</v>
      </c>
      <c r="Q62" t="n">
        <v>1</v>
      </c>
      <c r="R62" s="2" t="inlineStr">
        <is>
          <t>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69777-2021</t>
        </is>
      </c>
      <c r="B63" s="1" t="n">
        <v>44532</v>
      </c>
      <c r="C63" s="1" t="n">
        <v>45359</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7655-2022</t>
        </is>
      </c>
      <c r="B64" s="1" t="n">
        <v>44607</v>
      </c>
      <c r="C64" s="1" t="n">
        <v>45359</v>
      </c>
      <c r="D64" t="inlineStr">
        <is>
          <t>VÄSTMANLANDS LÄN</t>
        </is>
      </c>
      <c r="E64" t="inlineStr">
        <is>
          <t>SURAHAMMAR</t>
        </is>
      </c>
      <c r="G64" t="n">
        <v>1.1</v>
      </c>
      <c r="H64" t="n">
        <v>1</v>
      </c>
      <c r="I64" t="n">
        <v>0</v>
      </c>
      <c r="J64" t="n">
        <v>0</v>
      </c>
      <c r="K64" t="n">
        <v>1</v>
      </c>
      <c r="L64" t="n">
        <v>0</v>
      </c>
      <c r="M64" t="n">
        <v>0</v>
      </c>
      <c r="N64" t="n">
        <v>0</v>
      </c>
      <c r="O64" t="n">
        <v>1</v>
      </c>
      <c r="P64" t="n">
        <v>1</v>
      </c>
      <c r="Q64" t="n">
        <v>1</v>
      </c>
      <c r="R64" s="2" t="inlineStr">
        <is>
          <t>Bombmurkla</t>
        </is>
      </c>
      <c r="S64">
        <f>HYPERLINK("https://klasma.github.io/Logging_1907/artfynd/A 7655-2022 artfynd.xlsx", "A 7655-2022")</f>
        <v/>
      </c>
      <c r="T64">
        <f>HYPERLINK("https://klasma.github.io/Logging_1907/kartor/A 7655-2022 karta.png", "A 7655-2022")</f>
        <v/>
      </c>
      <c r="V64">
        <f>HYPERLINK("https://klasma.github.io/Logging_1907/klagomål/A 7655-2022 FSC-klagomål.docx", "A 7655-2022")</f>
        <v/>
      </c>
      <c r="W64">
        <f>HYPERLINK("https://klasma.github.io/Logging_1907/klagomålsmail/A 7655-2022 FSC-klagomål mail.docx", "A 7655-2022")</f>
        <v/>
      </c>
      <c r="X64">
        <f>HYPERLINK("https://klasma.github.io/Logging_1907/tillsyn/A 7655-2022 tillsynsbegäran.docx", "A 7655-2022")</f>
        <v/>
      </c>
      <c r="Y64">
        <f>HYPERLINK("https://klasma.github.io/Logging_1907/tillsynsmail/A 7655-2022 tillsynsbegäran mail.docx", "A 7655-2022")</f>
        <v/>
      </c>
    </row>
    <row r="65" ht="15" customHeight="1">
      <c r="A65" t="inlineStr">
        <is>
          <t>A 17632-2022</t>
        </is>
      </c>
      <c r="B65" s="1" t="n">
        <v>44680</v>
      </c>
      <c r="C65" s="1" t="n">
        <v>45359</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39099-2022</t>
        </is>
      </c>
      <c r="B66" s="1" t="n">
        <v>44817</v>
      </c>
      <c r="C66" s="1" t="n">
        <v>45359</v>
      </c>
      <c r="D66" t="inlineStr">
        <is>
          <t>VÄSTMANLANDS LÄN</t>
        </is>
      </c>
      <c r="E66" t="inlineStr">
        <is>
          <t>SURAHAMMAR</t>
        </is>
      </c>
      <c r="F66" t="inlineStr">
        <is>
          <t>Bergvik skog väst AB</t>
        </is>
      </c>
      <c r="G66" t="n">
        <v>7.4</v>
      </c>
      <c r="H66" t="n">
        <v>0</v>
      </c>
      <c r="I66" t="n">
        <v>1</v>
      </c>
      <c r="J66" t="n">
        <v>0</v>
      </c>
      <c r="K66" t="n">
        <v>0</v>
      </c>
      <c r="L66" t="n">
        <v>0</v>
      </c>
      <c r="M66" t="n">
        <v>0</v>
      </c>
      <c r="N66" t="n">
        <v>0</v>
      </c>
      <c r="O66" t="n">
        <v>0</v>
      </c>
      <c r="P66" t="n">
        <v>0</v>
      </c>
      <c r="Q66" t="n">
        <v>1</v>
      </c>
      <c r="R66" s="2" t="inlineStr">
        <is>
          <t>Stekelbock</t>
        </is>
      </c>
      <c r="S66">
        <f>HYPERLINK("https://klasma.github.io/Logging_1907/artfynd/A 39099-2022 artfynd.xlsx", "A 39099-2022")</f>
        <v/>
      </c>
      <c r="T66">
        <f>HYPERLINK("https://klasma.github.io/Logging_1907/kartor/A 39099-2022 karta.png", "A 39099-2022")</f>
        <v/>
      </c>
      <c r="V66">
        <f>HYPERLINK("https://klasma.github.io/Logging_1907/klagomål/A 39099-2022 FSC-klagomål.docx", "A 39099-2022")</f>
        <v/>
      </c>
      <c r="W66">
        <f>HYPERLINK("https://klasma.github.io/Logging_1907/klagomålsmail/A 39099-2022 FSC-klagomål mail.docx", "A 39099-2022")</f>
        <v/>
      </c>
      <c r="X66">
        <f>HYPERLINK("https://klasma.github.io/Logging_1907/tillsyn/A 39099-2022 tillsynsbegäran.docx", "A 39099-2022")</f>
        <v/>
      </c>
      <c r="Y66">
        <f>HYPERLINK("https://klasma.github.io/Logging_1907/tillsynsmail/A 39099-2022 tillsynsbegäran mail.docx", "A 39099-2022")</f>
        <v/>
      </c>
    </row>
    <row r="67" ht="15" customHeight="1">
      <c r="A67" t="inlineStr">
        <is>
          <t>A 42765-2022</t>
        </is>
      </c>
      <c r="B67" s="1" t="n">
        <v>44832</v>
      </c>
      <c r="C67" s="1" t="n">
        <v>45359</v>
      </c>
      <c r="D67" t="inlineStr">
        <is>
          <t>VÄSTMANLANDS LÄN</t>
        </is>
      </c>
      <c r="E67" t="inlineStr">
        <is>
          <t>SURAHAMMAR</t>
        </is>
      </c>
      <c r="G67" t="n">
        <v>1.8</v>
      </c>
      <c r="H67" t="n">
        <v>1</v>
      </c>
      <c r="I67" t="n">
        <v>0</v>
      </c>
      <c r="J67" t="n">
        <v>0</v>
      </c>
      <c r="K67" t="n">
        <v>0</v>
      </c>
      <c r="L67" t="n">
        <v>0</v>
      </c>
      <c r="M67" t="n">
        <v>0</v>
      </c>
      <c r="N67" t="n">
        <v>0</v>
      </c>
      <c r="O67" t="n">
        <v>0</v>
      </c>
      <c r="P67" t="n">
        <v>0</v>
      </c>
      <c r="Q67" t="n">
        <v>1</v>
      </c>
      <c r="R67" s="2" t="inlineStr">
        <is>
          <t>Blåsippa</t>
        </is>
      </c>
      <c r="S67">
        <f>HYPERLINK("https://klasma.github.io/Logging_1907/artfynd/A 42765-2022 artfynd.xlsx", "A 42765-2022")</f>
        <v/>
      </c>
      <c r="T67">
        <f>HYPERLINK("https://klasma.github.io/Logging_1907/kartor/A 42765-2022 karta.png", "A 42765-2022")</f>
        <v/>
      </c>
      <c r="V67">
        <f>HYPERLINK("https://klasma.github.io/Logging_1907/klagomål/A 42765-2022 FSC-klagomål.docx", "A 42765-2022")</f>
        <v/>
      </c>
      <c r="W67">
        <f>HYPERLINK("https://klasma.github.io/Logging_1907/klagomålsmail/A 42765-2022 FSC-klagomål mail.docx", "A 42765-2022")</f>
        <v/>
      </c>
      <c r="X67">
        <f>HYPERLINK("https://klasma.github.io/Logging_1907/tillsyn/A 42765-2022 tillsynsbegäran.docx", "A 42765-2022")</f>
        <v/>
      </c>
      <c r="Y67">
        <f>HYPERLINK("https://klasma.github.io/Logging_1907/tillsynsmail/A 42765-2022 tillsynsbegäran mail.docx", "A 42765-2022")</f>
        <v/>
      </c>
    </row>
    <row r="68" ht="15" customHeight="1">
      <c r="A68" t="inlineStr">
        <is>
          <t>A 47207-2022</t>
        </is>
      </c>
      <c r="B68" s="1" t="n">
        <v>44852</v>
      </c>
      <c r="C68" s="1" t="n">
        <v>45359</v>
      </c>
      <c r="D68" t="inlineStr">
        <is>
          <t>VÄSTMANLANDS LÄN</t>
        </is>
      </c>
      <c r="E68" t="inlineStr">
        <is>
          <t>SURAHAMMAR</t>
        </is>
      </c>
      <c r="G68" t="n">
        <v>3.2</v>
      </c>
      <c r="H68" t="n">
        <v>0</v>
      </c>
      <c r="I68" t="n">
        <v>0</v>
      </c>
      <c r="J68" t="n">
        <v>1</v>
      </c>
      <c r="K68" t="n">
        <v>0</v>
      </c>
      <c r="L68" t="n">
        <v>0</v>
      </c>
      <c r="M68" t="n">
        <v>0</v>
      </c>
      <c r="N68" t="n">
        <v>0</v>
      </c>
      <c r="O68" t="n">
        <v>1</v>
      </c>
      <c r="P68" t="n">
        <v>0</v>
      </c>
      <c r="Q68" t="n">
        <v>1</v>
      </c>
      <c r="R68" s="2" t="inlineStr">
        <is>
          <t>Veckticka</t>
        </is>
      </c>
      <c r="S68">
        <f>HYPERLINK("https://klasma.github.io/Logging_1907/artfynd/A 47207-2022 artfynd.xlsx", "A 47207-2022")</f>
        <v/>
      </c>
      <c r="T68">
        <f>HYPERLINK("https://klasma.github.io/Logging_1907/kartor/A 47207-2022 karta.png", "A 47207-2022")</f>
        <v/>
      </c>
      <c r="V68">
        <f>HYPERLINK("https://klasma.github.io/Logging_1907/klagomål/A 47207-2022 FSC-klagomål.docx", "A 47207-2022")</f>
        <v/>
      </c>
      <c r="W68">
        <f>HYPERLINK("https://klasma.github.io/Logging_1907/klagomålsmail/A 47207-2022 FSC-klagomål mail.docx", "A 47207-2022")</f>
        <v/>
      </c>
      <c r="X68">
        <f>HYPERLINK("https://klasma.github.io/Logging_1907/tillsyn/A 47207-2022 tillsynsbegäran.docx", "A 47207-2022")</f>
        <v/>
      </c>
      <c r="Y68">
        <f>HYPERLINK("https://klasma.github.io/Logging_1907/tillsynsmail/A 47207-2022 tillsynsbegäran mail.docx", "A 47207-2022")</f>
        <v/>
      </c>
    </row>
    <row r="69" ht="15" customHeight="1">
      <c r="A69" t="inlineStr">
        <is>
          <t>A 13971-2023</t>
        </is>
      </c>
      <c r="B69" s="1" t="n">
        <v>45007</v>
      </c>
      <c r="C69" s="1" t="n">
        <v>45359</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14001-2023</t>
        </is>
      </c>
      <c r="B70" s="1" t="n">
        <v>45007</v>
      </c>
      <c r="C70" s="1" t="n">
        <v>45359</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16219-2023</t>
        </is>
      </c>
      <c r="B71" s="1" t="n">
        <v>45022</v>
      </c>
      <c r="C71" s="1" t="n">
        <v>45359</v>
      </c>
      <c r="D71" t="inlineStr">
        <is>
          <t>VÄSTMANLANDS LÄN</t>
        </is>
      </c>
      <c r="E71" t="inlineStr">
        <is>
          <t>SURAHAMMAR</t>
        </is>
      </c>
      <c r="G71" t="n">
        <v>5.9</v>
      </c>
      <c r="H71" t="n">
        <v>1</v>
      </c>
      <c r="I71" t="n">
        <v>0</v>
      </c>
      <c r="J71" t="n">
        <v>1</v>
      </c>
      <c r="K71" t="n">
        <v>0</v>
      </c>
      <c r="L71" t="n">
        <v>0</v>
      </c>
      <c r="M71" t="n">
        <v>0</v>
      </c>
      <c r="N71" t="n">
        <v>0</v>
      </c>
      <c r="O71" t="n">
        <v>1</v>
      </c>
      <c r="P71" t="n">
        <v>0</v>
      </c>
      <c r="Q71" t="n">
        <v>1</v>
      </c>
      <c r="R71" s="2" t="inlineStr">
        <is>
          <t>Talltita</t>
        </is>
      </c>
      <c r="S71">
        <f>HYPERLINK("https://klasma.github.io/Logging_1907/artfynd/A 16219-2023 artfynd.xlsx", "A 16219-2023")</f>
        <v/>
      </c>
      <c r="T71">
        <f>HYPERLINK("https://klasma.github.io/Logging_1907/kartor/A 16219-2023 karta.png", "A 16219-2023")</f>
        <v/>
      </c>
      <c r="V71">
        <f>HYPERLINK("https://klasma.github.io/Logging_1907/klagomål/A 16219-2023 FSC-klagomål.docx", "A 16219-2023")</f>
        <v/>
      </c>
      <c r="W71">
        <f>HYPERLINK("https://klasma.github.io/Logging_1907/klagomålsmail/A 16219-2023 FSC-klagomål mail.docx", "A 16219-2023")</f>
        <v/>
      </c>
      <c r="X71">
        <f>HYPERLINK("https://klasma.github.io/Logging_1907/tillsyn/A 16219-2023 tillsynsbegäran.docx", "A 16219-2023")</f>
        <v/>
      </c>
      <c r="Y71">
        <f>HYPERLINK("https://klasma.github.io/Logging_1907/tillsynsmail/A 16219-2023 tillsynsbegäran mail.docx", "A 16219-2023")</f>
        <v/>
      </c>
      <c r="Z71">
        <f>HYPERLINK("https://klasma.github.io/Logging_1907/fåglar/A 16219-2023 prioriterade fågelarter.docx", "A 16219-2023")</f>
        <v/>
      </c>
    </row>
    <row r="72" ht="15" customHeight="1">
      <c r="A72" t="inlineStr">
        <is>
          <t>A 22840-2023</t>
        </is>
      </c>
      <c r="B72" s="1" t="n">
        <v>45072</v>
      </c>
      <c r="C72" s="1" t="n">
        <v>45359</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24920-2023</t>
        </is>
      </c>
      <c r="B73" s="1" t="n">
        <v>45085</v>
      </c>
      <c r="C73" s="1" t="n">
        <v>45359</v>
      </c>
      <c r="D73" t="inlineStr">
        <is>
          <t>VÄSTMANLANDS LÄN</t>
        </is>
      </c>
      <c r="E73" t="inlineStr">
        <is>
          <t>SURAHAMMAR</t>
        </is>
      </c>
      <c r="F73" t="inlineStr">
        <is>
          <t>Allmännings- och besparingsskogar</t>
        </is>
      </c>
      <c r="G73" t="n">
        <v>16.2</v>
      </c>
      <c r="H73" t="n">
        <v>1</v>
      </c>
      <c r="I73" t="n">
        <v>0</v>
      </c>
      <c r="J73" t="n">
        <v>1</v>
      </c>
      <c r="K73" t="n">
        <v>0</v>
      </c>
      <c r="L73" t="n">
        <v>0</v>
      </c>
      <c r="M73" t="n">
        <v>0</v>
      </c>
      <c r="N73" t="n">
        <v>0</v>
      </c>
      <c r="O73" t="n">
        <v>1</v>
      </c>
      <c r="P73" t="n">
        <v>0</v>
      </c>
      <c r="Q73" t="n">
        <v>1</v>
      </c>
      <c r="R73" s="2" t="inlineStr">
        <is>
          <t>Talltita</t>
        </is>
      </c>
      <c r="S73">
        <f>HYPERLINK("https://klasma.github.io/Logging_1907/artfynd/A 24920-2023 artfynd.xlsx", "A 24920-2023")</f>
        <v/>
      </c>
      <c r="T73">
        <f>HYPERLINK("https://klasma.github.io/Logging_1907/kartor/A 24920-2023 karta.png", "A 24920-2023")</f>
        <v/>
      </c>
      <c r="V73">
        <f>HYPERLINK("https://klasma.github.io/Logging_1907/klagomål/A 24920-2023 FSC-klagomål.docx", "A 24920-2023")</f>
        <v/>
      </c>
      <c r="W73">
        <f>HYPERLINK("https://klasma.github.io/Logging_1907/klagomålsmail/A 24920-2023 FSC-klagomål mail.docx", "A 24920-2023")</f>
        <v/>
      </c>
      <c r="X73">
        <f>HYPERLINK("https://klasma.github.io/Logging_1907/tillsyn/A 24920-2023 tillsynsbegäran.docx", "A 24920-2023")</f>
        <v/>
      </c>
      <c r="Y73">
        <f>HYPERLINK("https://klasma.github.io/Logging_1907/tillsynsmail/A 24920-2023 tillsynsbegäran mail.docx", "A 24920-2023")</f>
        <v/>
      </c>
      <c r="Z73">
        <f>HYPERLINK("https://klasma.github.io/Logging_1907/fåglar/A 24920-2023 prioriterade fågelarter.docx", "A 24920-2023")</f>
        <v/>
      </c>
    </row>
    <row r="74" ht="15" customHeight="1">
      <c r="A74" t="inlineStr">
        <is>
          <t>A 27170-2023</t>
        </is>
      </c>
      <c r="B74" s="1" t="n">
        <v>45096</v>
      </c>
      <c r="C74" s="1" t="n">
        <v>45359</v>
      </c>
      <c r="D74" t="inlineStr">
        <is>
          <t>VÄSTMANLANDS LÄN</t>
        </is>
      </c>
      <c r="E74" t="inlineStr">
        <is>
          <t>SURAHAMMAR</t>
        </is>
      </c>
      <c r="F74" t="inlineStr">
        <is>
          <t>Sveaskog</t>
        </is>
      </c>
      <c r="G74" t="n">
        <v>11.3</v>
      </c>
      <c r="H74" t="n">
        <v>0</v>
      </c>
      <c r="I74" t="n">
        <v>1</v>
      </c>
      <c r="J74" t="n">
        <v>0</v>
      </c>
      <c r="K74" t="n">
        <v>0</v>
      </c>
      <c r="L74" t="n">
        <v>0</v>
      </c>
      <c r="M74" t="n">
        <v>0</v>
      </c>
      <c r="N74" t="n">
        <v>0</v>
      </c>
      <c r="O74" t="n">
        <v>0</v>
      </c>
      <c r="P74" t="n">
        <v>0</v>
      </c>
      <c r="Q74" t="n">
        <v>1</v>
      </c>
      <c r="R74" s="2" t="inlineStr">
        <is>
          <t>Vedticka</t>
        </is>
      </c>
      <c r="S74">
        <f>HYPERLINK("https://klasma.github.io/Logging_1907/artfynd/A 27170-2023 artfynd.xlsx", "A 27170-2023")</f>
        <v/>
      </c>
      <c r="T74">
        <f>HYPERLINK("https://klasma.github.io/Logging_1907/kartor/A 27170-2023 karta.png", "A 27170-2023")</f>
        <v/>
      </c>
      <c r="V74">
        <f>HYPERLINK("https://klasma.github.io/Logging_1907/klagomål/A 27170-2023 FSC-klagomål.docx", "A 27170-2023")</f>
        <v/>
      </c>
      <c r="W74">
        <f>HYPERLINK("https://klasma.github.io/Logging_1907/klagomålsmail/A 27170-2023 FSC-klagomål mail.docx", "A 27170-2023")</f>
        <v/>
      </c>
      <c r="X74">
        <f>HYPERLINK("https://klasma.github.io/Logging_1907/tillsyn/A 27170-2023 tillsynsbegäran.docx", "A 27170-2023")</f>
        <v/>
      </c>
      <c r="Y74">
        <f>HYPERLINK("https://klasma.github.io/Logging_1907/tillsynsmail/A 27170-2023 tillsynsbegäran mail.docx", "A 27170-2023")</f>
        <v/>
      </c>
    </row>
    <row r="75" ht="15" customHeight="1">
      <c r="A75" t="inlineStr">
        <is>
          <t>A 30074-2023</t>
        </is>
      </c>
      <c r="B75" s="1" t="n">
        <v>45110</v>
      </c>
      <c r="C75" s="1" t="n">
        <v>45359</v>
      </c>
      <c r="D75" t="inlineStr">
        <is>
          <t>VÄSTMANLANDS LÄN</t>
        </is>
      </c>
      <c r="E75" t="inlineStr">
        <is>
          <t>SURAHAMMAR</t>
        </is>
      </c>
      <c r="F75" t="inlineStr">
        <is>
          <t>Sveaskog</t>
        </is>
      </c>
      <c r="G75" t="n">
        <v>1.1</v>
      </c>
      <c r="H75" t="n">
        <v>1</v>
      </c>
      <c r="I75" t="n">
        <v>0</v>
      </c>
      <c r="J75" t="n">
        <v>0</v>
      </c>
      <c r="K75" t="n">
        <v>0</v>
      </c>
      <c r="L75" t="n">
        <v>0</v>
      </c>
      <c r="M75" t="n">
        <v>0</v>
      </c>
      <c r="N75" t="n">
        <v>0</v>
      </c>
      <c r="O75" t="n">
        <v>0</v>
      </c>
      <c r="P75" t="n">
        <v>0</v>
      </c>
      <c r="Q75" t="n">
        <v>1</v>
      </c>
      <c r="R75" s="2" t="inlineStr">
        <is>
          <t>Revlummer</t>
        </is>
      </c>
      <c r="S75">
        <f>HYPERLINK("https://klasma.github.io/Logging_1907/artfynd/A 30074-2023 artfynd.xlsx", "A 30074-2023")</f>
        <v/>
      </c>
      <c r="T75">
        <f>HYPERLINK("https://klasma.github.io/Logging_1907/kartor/A 30074-2023 karta.png", "A 30074-2023")</f>
        <v/>
      </c>
      <c r="V75">
        <f>HYPERLINK("https://klasma.github.io/Logging_1907/klagomål/A 30074-2023 FSC-klagomål.docx", "A 30074-2023")</f>
        <v/>
      </c>
      <c r="W75">
        <f>HYPERLINK("https://klasma.github.io/Logging_1907/klagomålsmail/A 30074-2023 FSC-klagomål mail.docx", "A 30074-2023")</f>
        <v/>
      </c>
      <c r="X75">
        <f>HYPERLINK("https://klasma.github.io/Logging_1907/tillsyn/A 30074-2023 tillsynsbegäran.docx", "A 30074-2023")</f>
        <v/>
      </c>
      <c r="Y75">
        <f>HYPERLINK("https://klasma.github.io/Logging_1907/tillsynsmail/A 30074-2023 tillsynsbegäran mail.docx", "A 30074-2023")</f>
        <v/>
      </c>
    </row>
    <row r="76" ht="15" customHeight="1">
      <c r="A76" t="inlineStr">
        <is>
          <t>A 30073-2023</t>
        </is>
      </c>
      <c r="B76" s="1" t="n">
        <v>45110</v>
      </c>
      <c r="C76" s="1" t="n">
        <v>45359</v>
      </c>
      <c r="D76" t="inlineStr">
        <is>
          <t>VÄSTMANLANDS LÄN</t>
        </is>
      </c>
      <c r="E76" t="inlineStr">
        <is>
          <t>SURAHAMMAR</t>
        </is>
      </c>
      <c r="F76" t="inlineStr">
        <is>
          <t>Sveaskog</t>
        </is>
      </c>
      <c r="G76" t="n">
        <v>4.7</v>
      </c>
      <c r="H76" t="n">
        <v>0</v>
      </c>
      <c r="I76" t="n">
        <v>1</v>
      </c>
      <c r="J76" t="n">
        <v>0</v>
      </c>
      <c r="K76" t="n">
        <v>0</v>
      </c>
      <c r="L76" t="n">
        <v>0</v>
      </c>
      <c r="M76" t="n">
        <v>0</v>
      </c>
      <c r="N76" t="n">
        <v>0</v>
      </c>
      <c r="O76" t="n">
        <v>0</v>
      </c>
      <c r="P76" t="n">
        <v>0</v>
      </c>
      <c r="Q76" t="n">
        <v>1</v>
      </c>
      <c r="R76" s="2" t="inlineStr">
        <is>
          <t>Grönpyrola</t>
        </is>
      </c>
      <c r="S76">
        <f>HYPERLINK("https://klasma.github.io/Logging_1907/artfynd/A 30073-2023 artfynd.xlsx", "A 30073-2023")</f>
        <v/>
      </c>
      <c r="T76">
        <f>HYPERLINK("https://klasma.github.io/Logging_1907/kartor/A 30073-2023 karta.png", "A 30073-2023")</f>
        <v/>
      </c>
      <c r="V76">
        <f>HYPERLINK("https://klasma.github.io/Logging_1907/klagomål/A 30073-2023 FSC-klagomål.docx", "A 30073-2023")</f>
        <v/>
      </c>
      <c r="W76">
        <f>HYPERLINK("https://klasma.github.io/Logging_1907/klagomålsmail/A 30073-2023 FSC-klagomål mail.docx", "A 30073-2023")</f>
        <v/>
      </c>
      <c r="X76">
        <f>HYPERLINK("https://klasma.github.io/Logging_1907/tillsyn/A 30073-2023 tillsynsbegäran.docx", "A 30073-2023")</f>
        <v/>
      </c>
      <c r="Y76">
        <f>HYPERLINK("https://klasma.github.io/Logging_1907/tillsynsmail/A 30073-2023 tillsynsbegäran mail.docx", "A 30073-2023")</f>
        <v/>
      </c>
    </row>
    <row r="77" ht="15" customHeight="1">
      <c r="A77" t="inlineStr">
        <is>
          <t>A 41622-2023</t>
        </is>
      </c>
      <c r="B77" s="1" t="n">
        <v>45175</v>
      </c>
      <c r="C77" s="1" t="n">
        <v>45359</v>
      </c>
      <c r="D77" t="inlineStr">
        <is>
          <t>VÄSTMANLANDS LÄN</t>
        </is>
      </c>
      <c r="E77" t="inlineStr">
        <is>
          <t>SURAHAMMAR</t>
        </is>
      </c>
      <c r="G77" t="n">
        <v>0.6</v>
      </c>
      <c r="H77" t="n">
        <v>1</v>
      </c>
      <c r="I77" t="n">
        <v>0</v>
      </c>
      <c r="J77" t="n">
        <v>0</v>
      </c>
      <c r="K77" t="n">
        <v>1</v>
      </c>
      <c r="L77" t="n">
        <v>0</v>
      </c>
      <c r="M77" t="n">
        <v>0</v>
      </c>
      <c r="N77" t="n">
        <v>0</v>
      </c>
      <c r="O77" t="n">
        <v>1</v>
      </c>
      <c r="P77" t="n">
        <v>1</v>
      </c>
      <c r="Q77" t="n">
        <v>1</v>
      </c>
      <c r="R77" s="2" t="inlineStr">
        <is>
          <t>Knärot</t>
        </is>
      </c>
      <c r="S77">
        <f>HYPERLINK("https://klasma.github.io/Logging_1907/artfynd/A 41622-2023 artfynd.xlsx", "A 41622-2023")</f>
        <v/>
      </c>
      <c r="T77">
        <f>HYPERLINK("https://klasma.github.io/Logging_1907/kartor/A 41622-2023 karta.png", "A 41622-2023")</f>
        <v/>
      </c>
      <c r="U77">
        <f>HYPERLINK("https://klasma.github.io/Logging_1907/knärot/A 41622-2023 karta knärot.png", "A 41622-2023")</f>
        <v/>
      </c>
      <c r="V77">
        <f>HYPERLINK("https://klasma.github.io/Logging_1907/klagomål/A 41622-2023 FSC-klagomål.docx", "A 41622-2023")</f>
        <v/>
      </c>
      <c r="W77">
        <f>HYPERLINK("https://klasma.github.io/Logging_1907/klagomålsmail/A 41622-2023 FSC-klagomål mail.docx", "A 41622-2023")</f>
        <v/>
      </c>
      <c r="X77">
        <f>HYPERLINK("https://klasma.github.io/Logging_1907/tillsyn/A 41622-2023 tillsynsbegäran.docx", "A 41622-2023")</f>
        <v/>
      </c>
      <c r="Y77">
        <f>HYPERLINK("https://klasma.github.io/Logging_1907/tillsynsmail/A 41622-2023 tillsynsbegäran mail.docx", "A 41622-2023")</f>
        <v/>
      </c>
    </row>
    <row r="78" ht="15" customHeight="1">
      <c r="A78" t="inlineStr">
        <is>
          <t>A 56362-2023</t>
        </is>
      </c>
      <c r="B78" s="1" t="n">
        <v>45236</v>
      </c>
      <c r="C78" s="1" t="n">
        <v>45359</v>
      </c>
      <c r="D78" t="inlineStr">
        <is>
          <t>VÄSTMANLANDS LÄN</t>
        </is>
      </c>
      <c r="E78" t="inlineStr">
        <is>
          <t>SURAHAMMAR</t>
        </is>
      </c>
      <c r="F78" t="inlineStr">
        <is>
          <t>Bergvik skog väst AB</t>
        </is>
      </c>
      <c r="G78" t="n">
        <v>15.2</v>
      </c>
      <c r="H78" t="n">
        <v>0</v>
      </c>
      <c r="I78" t="n">
        <v>1</v>
      </c>
      <c r="J78" t="n">
        <v>0</v>
      </c>
      <c r="K78" t="n">
        <v>0</v>
      </c>
      <c r="L78" t="n">
        <v>0</v>
      </c>
      <c r="M78" t="n">
        <v>0</v>
      </c>
      <c r="N78" t="n">
        <v>0</v>
      </c>
      <c r="O78" t="n">
        <v>0</v>
      </c>
      <c r="P78" t="n">
        <v>0</v>
      </c>
      <c r="Q78" t="n">
        <v>1</v>
      </c>
      <c r="R78" s="2" t="inlineStr">
        <is>
          <t>Grönpyrola</t>
        </is>
      </c>
      <c r="S78">
        <f>HYPERLINK("https://klasma.github.io/Logging_1907/artfynd/A 56362-2023 artfynd.xlsx", "A 56362-2023")</f>
        <v/>
      </c>
      <c r="T78">
        <f>HYPERLINK("https://klasma.github.io/Logging_1907/kartor/A 56362-2023 karta.png", "A 56362-2023")</f>
        <v/>
      </c>
      <c r="V78">
        <f>HYPERLINK("https://klasma.github.io/Logging_1907/klagomål/A 56362-2023 FSC-klagomål.docx", "A 56362-2023")</f>
        <v/>
      </c>
      <c r="W78">
        <f>HYPERLINK("https://klasma.github.io/Logging_1907/klagomålsmail/A 56362-2023 FSC-klagomål mail.docx", "A 56362-2023")</f>
        <v/>
      </c>
      <c r="X78">
        <f>HYPERLINK("https://klasma.github.io/Logging_1907/tillsyn/A 56362-2023 tillsynsbegäran.docx", "A 56362-2023")</f>
        <v/>
      </c>
      <c r="Y78">
        <f>HYPERLINK("https://klasma.github.io/Logging_1907/tillsynsmail/A 56362-2023 tillsynsbegäran mail.docx", "A 56362-2023")</f>
        <v/>
      </c>
    </row>
    <row r="79" ht="15" customHeight="1">
      <c r="A79" t="inlineStr">
        <is>
          <t>A 3649-2024</t>
        </is>
      </c>
      <c r="B79" s="1" t="n">
        <v>45321</v>
      </c>
      <c r="C79" s="1" t="n">
        <v>45359</v>
      </c>
      <c r="D79" t="inlineStr">
        <is>
          <t>VÄSTMANLANDS LÄN</t>
        </is>
      </c>
      <c r="E79" t="inlineStr">
        <is>
          <t>SURAHAMMAR</t>
        </is>
      </c>
      <c r="F79" t="inlineStr">
        <is>
          <t>Övriga Aktiebolag</t>
        </is>
      </c>
      <c r="G79" t="n">
        <v>9.300000000000001</v>
      </c>
      <c r="H79" t="n">
        <v>1</v>
      </c>
      <c r="I79" t="n">
        <v>0</v>
      </c>
      <c r="J79" t="n">
        <v>0</v>
      </c>
      <c r="K79" t="n">
        <v>1</v>
      </c>
      <c r="L79" t="n">
        <v>0</v>
      </c>
      <c r="M79" t="n">
        <v>0</v>
      </c>
      <c r="N79" t="n">
        <v>0</v>
      </c>
      <c r="O79" t="n">
        <v>1</v>
      </c>
      <c r="P79" t="n">
        <v>1</v>
      </c>
      <c r="Q79" t="n">
        <v>1</v>
      </c>
      <c r="R79" s="2" t="inlineStr">
        <is>
          <t>Väddnätfjäril</t>
        </is>
      </c>
      <c r="S79">
        <f>HYPERLINK("https://klasma.github.io/Logging_1907/artfynd/A 3649-2024 artfynd.xlsx", "A 3649-2024")</f>
        <v/>
      </c>
      <c r="T79">
        <f>HYPERLINK("https://klasma.github.io/Logging_1907/kartor/A 3649-2024 karta.png", "A 3649-2024")</f>
        <v/>
      </c>
      <c r="V79">
        <f>HYPERLINK("https://klasma.github.io/Logging_1907/klagomål/A 3649-2024 FSC-klagomål.docx", "A 3649-2024")</f>
        <v/>
      </c>
      <c r="W79">
        <f>HYPERLINK("https://klasma.github.io/Logging_1907/klagomålsmail/A 3649-2024 FSC-klagomål mail.docx", "A 3649-2024")</f>
        <v/>
      </c>
      <c r="X79">
        <f>HYPERLINK("https://klasma.github.io/Logging_1907/tillsyn/A 3649-2024 tillsynsbegäran.docx", "A 3649-2024")</f>
        <v/>
      </c>
      <c r="Y79">
        <f>HYPERLINK("https://klasma.github.io/Logging_1907/tillsynsmail/A 3649-2024 tillsynsbegäran mail.docx", "A 3649-2024")</f>
        <v/>
      </c>
    </row>
    <row r="80" ht="15" customHeight="1">
      <c r="A80" t="inlineStr">
        <is>
          <t>A 59303-2018</t>
        </is>
      </c>
      <c r="B80" s="1" t="n">
        <v>43418</v>
      </c>
      <c r="C80" s="1" t="n">
        <v>45359</v>
      </c>
      <c r="D80" t="inlineStr">
        <is>
          <t>VÄSTMANLANDS LÄN</t>
        </is>
      </c>
      <c r="E80" t="inlineStr">
        <is>
          <t>SURAHAMMAR</t>
        </is>
      </c>
      <c r="G80" t="n">
        <v>3.2</v>
      </c>
      <c r="H80" t="n">
        <v>0</v>
      </c>
      <c r="I80" t="n">
        <v>0</v>
      </c>
      <c r="J80" t="n">
        <v>0</v>
      </c>
      <c r="K80" t="n">
        <v>0</v>
      </c>
      <c r="L80" t="n">
        <v>0</v>
      </c>
      <c r="M80" t="n">
        <v>0</v>
      </c>
      <c r="N80" t="n">
        <v>0</v>
      </c>
      <c r="O80" t="n">
        <v>0</v>
      </c>
      <c r="P80" t="n">
        <v>0</v>
      </c>
      <c r="Q80" t="n">
        <v>0</v>
      </c>
      <c r="R80" s="2" t="inlineStr"/>
    </row>
    <row r="81" ht="15" customHeight="1">
      <c r="A81" t="inlineStr">
        <is>
          <t>A 69582-2018</t>
        </is>
      </c>
      <c r="B81" s="1" t="n">
        <v>43446</v>
      </c>
      <c r="C81" s="1" t="n">
        <v>45359</v>
      </c>
      <c r="D81" t="inlineStr">
        <is>
          <t>VÄSTMANLANDS LÄN</t>
        </is>
      </c>
      <c r="E81" t="inlineStr">
        <is>
          <t>SURAHAMMAR</t>
        </is>
      </c>
      <c r="G81" t="n">
        <v>1.3</v>
      </c>
      <c r="H81" t="n">
        <v>0</v>
      </c>
      <c r="I81" t="n">
        <v>0</v>
      </c>
      <c r="J81" t="n">
        <v>0</v>
      </c>
      <c r="K81" t="n">
        <v>0</v>
      </c>
      <c r="L81" t="n">
        <v>0</v>
      </c>
      <c r="M81" t="n">
        <v>0</v>
      </c>
      <c r="N81" t="n">
        <v>0</v>
      </c>
      <c r="O81" t="n">
        <v>0</v>
      </c>
      <c r="P81" t="n">
        <v>0</v>
      </c>
      <c r="Q81" t="n">
        <v>0</v>
      </c>
      <c r="R81" s="2" t="inlineStr"/>
    </row>
    <row r="82" ht="15" customHeight="1">
      <c r="A82" t="inlineStr">
        <is>
          <t>A 143-2019</t>
        </is>
      </c>
      <c r="B82" s="1" t="n">
        <v>43467</v>
      </c>
      <c r="C82" s="1" t="n">
        <v>45359</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7751-2019</t>
        </is>
      </c>
      <c r="B83" s="1" t="n">
        <v>43493</v>
      </c>
      <c r="C83" s="1" t="n">
        <v>45359</v>
      </c>
      <c r="D83" t="inlineStr">
        <is>
          <t>VÄSTMANLANDS LÄN</t>
        </is>
      </c>
      <c r="E83" t="inlineStr">
        <is>
          <t>SURAHAMMAR</t>
        </is>
      </c>
      <c r="G83" t="n">
        <v>4.1</v>
      </c>
      <c r="H83" t="n">
        <v>0</v>
      </c>
      <c r="I83" t="n">
        <v>0</v>
      </c>
      <c r="J83" t="n">
        <v>0</v>
      </c>
      <c r="K83" t="n">
        <v>0</v>
      </c>
      <c r="L83" t="n">
        <v>0</v>
      </c>
      <c r="M83" t="n">
        <v>0</v>
      </c>
      <c r="N83" t="n">
        <v>0</v>
      </c>
      <c r="O83" t="n">
        <v>0</v>
      </c>
      <c r="P83" t="n">
        <v>0</v>
      </c>
      <c r="Q83" t="n">
        <v>0</v>
      </c>
      <c r="R83" s="2" t="inlineStr"/>
    </row>
    <row r="84" ht="15" customHeight="1">
      <c r="A84" t="inlineStr">
        <is>
          <t>A 9397-2019</t>
        </is>
      </c>
      <c r="B84" s="1" t="n">
        <v>43507</v>
      </c>
      <c r="C84" s="1" t="n">
        <v>45359</v>
      </c>
      <c r="D84" t="inlineStr">
        <is>
          <t>VÄSTMANLANDS LÄN</t>
        </is>
      </c>
      <c r="E84" t="inlineStr">
        <is>
          <t>SURAHAMMAR</t>
        </is>
      </c>
      <c r="G84" t="n">
        <v>1</v>
      </c>
      <c r="H84" t="n">
        <v>0</v>
      </c>
      <c r="I84" t="n">
        <v>0</v>
      </c>
      <c r="J84" t="n">
        <v>0</v>
      </c>
      <c r="K84" t="n">
        <v>0</v>
      </c>
      <c r="L84" t="n">
        <v>0</v>
      </c>
      <c r="M84" t="n">
        <v>0</v>
      </c>
      <c r="N84" t="n">
        <v>0</v>
      </c>
      <c r="O84" t="n">
        <v>0</v>
      </c>
      <c r="P84" t="n">
        <v>0</v>
      </c>
      <c r="Q84" t="n">
        <v>0</v>
      </c>
      <c r="R84" s="2" t="inlineStr"/>
    </row>
    <row r="85" ht="15" customHeight="1">
      <c r="A85" t="inlineStr">
        <is>
          <t>A 9790-2019</t>
        </is>
      </c>
      <c r="B85" s="1" t="n">
        <v>43509</v>
      </c>
      <c r="C85" s="1" t="n">
        <v>45359</v>
      </c>
      <c r="D85" t="inlineStr">
        <is>
          <t>VÄSTMANLANDS LÄN</t>
        </is>
      </c>
      <c r="E85" t="inlineStr">
        <is>
          <t>SURAHAMMAR</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17946-2019</t>
        </is>
      </c>
      <c r="B86" s="1" t="n">
        <v>43557</v>
      </c>
      <c r="C86" s="1" t="n">
        <v>45359</v>
      </c>
      <c r="D86" t="inlineStr">
        <is>
          <t>VÄSTMANLANDS LÄN</t>
        </is>
      </c>
      <c r="E86" t="inlineStr">
        <is>
          <t>SURAHAMMAR</t>
        </is>
      </c>
      <c r="G86" t="n">
        <v>9.9</v>
      </c>
      <c r="H86" t="n">
        <v>0</v>
      </c>
      <c r="I86" t="n">
        <v>0</v>
      </c>
      <c r="J86" t="n">
        <v>0</v>
      </c>
      <c r="K86" t="n">
        <v>0</v>
      </c>
      <c r="L86" t="n">
        <v>0</v>
      </c>
      <c r="M86" t="n">
        <v>0</v>
      </c>
      <c r="N86" t="n">
        <v>0</v>
      </c>
      <c r="O86" t="n">
        <v>0</v>
      </c>
      <c r="P86" t="n">
        <v>0</v>
      </c>
      <c r="Q86" t="n">
        <v>0</v>
      </c>
      <c r="R86" s="2" t="inlineStr"/>
    </row>
    <row r="87" ht="15" customHeight="1">
      <c r="A87" t="inlineStr">
        <is>
          <t>A 18953-2019</t>
        </is>
      </c>
      <c r="B87" s="1" t="n">
        <v>43563</v>
      </c>
      <c r="C87" s="1" t="n">
        <v>45359</v>
      </c>
      <c r="D87" t="inlineStr">
        <is>
          <t>VÄSTMANLANDS LÄN</t>
        </is>
      </c>
      <c r="E87" t="inlineStr">
        <is>
          <t>SURAHAMMAR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18960-2019</t>
        </is>
      </c>
      <c r="B88" s="1" t="n">
        <v>43563</v>
      </c>
      <c r="C88" s="1" t="n">
        <v>45359</v>
      </c>
      <c r="D88" t="inlineStr">
        <is>
          <t>VÄSTMANLANDS LÄN</t>
        </is>
      </c>
      <c r="E88" t="inlineStr">
        <is>
          <t>SURAHAMMAR</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19659-2019</t>
        </is>
      </c>
      <c r="B89" s="1" t="n">
        <v>43566</v>
      </c>
      <c r="C89" s="1" t="n">
        <v>45359</v>
      </c>
      <c r="D89" t="inlineStr">
        <is>
          <t>VÄSTMANLANDS LÄN</t>
        </is>
      </c>
      <c r="E89" t="inlineStr">
        <is>
          <t>SURAHAMMAR</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20127-2019</t>
        </is>
      </c>
      <c r="B90" s="1" t="n">
        <v>43570</v>
      </c>
      <c r="C90" s="1" t="n">
        <v>45359</v>
      </c>
      <c r="D90" t="inlineStr">
        <is>
          <t>VÄSTMANLANDS LÄN</t>
        </is>
      </c>
      <c r="E90" t="inlineStr">
        <is>
          <t>SURAHAMMAR</t>
        </is>
      </c>
      <c r="G90" t="n">
        <v>2.6</v>
      </c>
      <c r="H90" t="n">
        <v>0</v>
      </c>
      <c r="I90" t="n">
        <v>0</v>
      </c>
      <c r="J90" t="n">
        <v>0</v>
      </c>
      <c r="K90" t="n">
        <v>0</v>
      </c>
      <c r="L90" t="n">
        <v>0</v>
      </c>
      <c r="M90" t="n">
        <v>0</v>
      </c>
      <c r="N90" t="n">
        <v>0</v>
      </c>
      <c r="O90" t="n">
        <v>0</v>
      </c>
      <c r="P90" t="n">
        <v>0</v>
      </c>
      <c r="Q90" t="n">
        <v>0</v>
      </c>
      <c r="R90" s="2" t="inlineStr"/>
    </row>
    <row r="91" ht="15" customHeight="1">
      <c r="A91" t="inlineStr">
        <is>
          <t>A 20904-2019</t>
        </is>
      </c>
      <c r="B91" s="1" t="n">
        <v>43578</v>
      </c>
      <c r="C91" s="1" t="n">
        <v>45359</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22834-2019</t>
        </is>
      </c>
      <c r="B92" s="1" t="n">
        <v>43591</v>
      </c>
      <c r="C92" s="1" t="n">
        <v>45359</v>
      </c>
      <c r="D92" t="inlineStr">
        <is>
          <t>VÄSTMANLANDS LÄN</t>
        </is>
      </c>
      <c r="E92" t="inlineStr">
        <is>
          <t>SURAHAMMAR</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28274-2019</t>
        </is>
      </c>
      <c r="B93" s="1" t="n">
        <v>43623</v>
      </c>
      <c r="C93" s="1" t="n">
        <v>45359</v>
      </c>
      <c r="D93" t="inlineStr">
        <is>
          <t>VÄSTMANLANDS LÄN</t>
        </is>
      </c>
      <c r="E93" t="inlineStr">
        <is>
          <t>SURAHAMMAR</t>
        </is>
      </c>
      <c r="F93" t="inlineStr">
        <is>
          <t>Allmännings- och besparingsskogar</t>
        </is>
      </c>
      <c r="G93" t="n">
        <v>0.7</v>
      </c>
      <c r="H93" t="n">
        <v>0</v>
      </c>
      <c r="I93" t="n">
        <v>0</v>
      </c>
      <c r="J93" t="n">
        <v>0</v>
      </c>
      <c r="K93" t="n">
        <v>0</v>
      </c>
      <c r="L93" t="n">
        <v>0</v>
      </c>
      <c r="M93" t="n">
        <v>0</v>
      </c>
      <c r="N93" t="n">
        <v>0</v>
      </c>
      <c r="O93" t="n">
        <v>0</v>
      </c>
      <c r="P93" t="n">
        <v>0</v>
      </c>
      <c r="Q93" t="n">
        <v>0</v>
      </c>
      <c r="R93" s="2" t="inlineStr"/>
    </row>
    <row r="94" ht="15" customHeight="1">
      <c r="A94" t="inlineStr">
        <is>
          <t>A 29523-2019</t>
        </is>
      </c>
      <c r="B94" s="1" t="n">
        <v>43630</v>
      </c>
      <c r="C94" s="1" t="n">
        <v>45359</v>
      </c>
      <c r="D94" t="inlineStr">
        <is>
          <t>VÄSTMANLANDS LÄN</t>
        </is>
      </c>
      <c r="E94" t="inlineStr">
        <is>
          <t>SURAHAMMAR</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31008-2019</t>
        </is>
      </c>
      <c r="B95" s="1" t="n">
        <v>43640</v>
      </c>
      <c r="C95" s="1" t="n">
        <v>45359</v>
      </c>
      <c r="D95" t="inlineStr">
        <is>
          <t>VÄSTMANLANDS LÄN</t>
        </is>
      </c>
      <c r="E95" t="inlineStr">
        <is>
          <t>SURAHAMMAR</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39552-2019</t>
        </is>
      </c>
      <c r="B96" s="1" t="n">
        <v>43691</v>
      </c>
      <c r="C96" s="1" t="n">
        <v>45359</v>
      </c>
      <c r="D96" t="inlineStr">
        <is>
          <t>VÄSTMANLANDS LÄN</t>
        </is>
      </c>
      <c r="E96" t="inlineStr">
        <is>
          <t>SURAHAMMAR</t>
        </is>
      </c>
      <c r="F96" t="inlineStr">
        <is>
          <t>Övriga Aktiebolag</t>
        </is>
      </c>
      <c r="G96" t="n">
        <v>4.4</v>
      </c>
      <c r="H96" t="n">
        <v>0</v>
      </c>
      <c r="I96" t="n">
        <v>0</v>
      </c>
      <c r="J96" t="n">
        <v>0</v>
      </c>
      <c r="K96" t="n">
        <v>0</v>
      </c>
      <c r="L96" t="n">
        <v>0</v>
      </c>
      <c r="M96" t="n">
        <v>0</v>
      </c>
      <c r="N96" t="n">
        <v>0</v>
      </c>
      <c r="O96" t="n">
        <v>0</v>
      </c>
      <c r="P96" t="n">
        <v>0</v>
      </c>
      <c r="Q96" t="n">
        <v>0</v>
      </c>
      <c r="R96" s="2" t="inlineStr"/>
    </row>
    <row r="97" ht="15" customHeight="1">
      <c r="A97" t="inlineStr">
        <is>
          <t>A 39754-2019</t>
        </is>
      </c>
      <c r="B97" s="1" t="n">
        <v>43692</v>
      </c>
      <c r="C97" s="1" t="n">
        <v>45359</v>
      </c>
      <c r="D97" t="inlineStr">
        <is>
          <t>VÄSTMANLANDS LÄN</t>
        </is>
      </c>
      <c r="E97" t="inlineStr">
        <is>
          <t>SURAHAMMAR</t>
        </is>
      </c>
      <c r="F97" t="inlineStr">
        <is>
          <t>Övriga Aktiebolag</t>
        </is>
      </c>
      <c r="G97" t="n">
        <v>5.7</v>
      </c>
      <c r="H97" t="n">
        <v>0</v>
      </c>
      <c r="I97" t="n">
        <v>0</v>
      </c>
      <c r="J97" t="n">
        <v>0</v>
      </c>
      <c r="K97" t="n">
        <v>0</v>
      </c>
      <c r="L97" t="n">
        <v>0</v>
      </c>
      <c r="M97" t="n">
        <v>0</v>
      </c>
      <c r="N97" t="n">
        <v>0</v>
      </c>
      <c r="O97" t="n">
        <v>0</v>
      </c>
      <c r="P97" t="n">
        <v>0</v>
      </c>
      <c r="Q97" t="n">
        <v>0</v>
      </c>
      <c r="R97" s="2" t="inlineStr"/>
    </row>
    <row r="98" ht="15" customHeight="1">
      <c r="A98" t="inlineStr">
        <is>
          <t>A 40191-2019</t>
        </is>
      </c>
      <c r="B98" s="1" t="n">
        <v>43693</v>
      </c>
      <c r="C98" s="1" t="n">
        <v>45359</v>
      </c>
      <c r="D98" t="inlineStr">
        <is>
          <t>VÄSTMANLANDS LÄN</t>
        </is>
      </c>
      <c r="E98" t="inlineStr">
        <is>
          <t>SURAHAMMAR</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60343-2019</t>
        </is>
      </c>
      <c r="B99" s="1" t="n">
        <v>43780</v>
      </c>
      <c r="C99" s="1" t="n">
        <v>45359</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64772-2019</t>
        </is>
      </c>
      <c r="B100" s="1" t="n">
        <v>43801</v>
      </c>
      <c r="C100" s="1" t="n">
        <v>45359</v>
      </c>
      <c r="D100" t="inlineStr">
        <is>
          <t>VÄSTMANLANDS LÄN</t>
        </is>
      </c>
      <c r="E100" t="inlineStr">
        <is>
          <t>SURAHAMMAR</t>
        </is>
      </c>
      <c r="F100" t="inlineStr">
        <is>
          <t>Övriga Aktiebolag</t>
        </is>
      </c>
      <c r="G100" t="n">
        <v>7</v>
      </c>
      <c r="H100" t="n">
        <v>0</v>
      </c>
      <c r="I100" t="n">
        <v>0</v>
      </c>
      <c r="J100" t="n">
        <v>0</v>
      </c>
      <c r="K100" t="n">
        <v>0</v>
      </c>
      <c r="L100" t="n">
        <v>0</v>
      </c>
      <c r="M100" t="n">
        <v>0</v>
      </c>
      <c r="N100" t="n">
        <v>0</v>
      </c>
      <c r="O100" t="n">
        <v>0</v>
      </c>
      <c r="P100" t="n">
        <v>0</v>
      </c>
      <c r="Q100" t="n">
        <v>0</v>
      </c>
      <c r="R100" s="2" t="inlineStr"/>
    </row>
    <row r="101" ht="15" customHeight="1">
      <c r="A101" t="inlineStr">
        <is>
          <t>A 66269-2019</t>
        </is>
      </c>
      <c r="B101" s="1" t="n">
        <v>43802</v>
      </c>
      <c r="C101" s="1" t="n">
        <v>45359</v>
      </c>
      <c r="D101" t="inlineStr">
        <is>
          <t>VÄSTMANLANDS LÄN</t>
        </is>
      </c>
      <c r="E101" t="inlineStr">
        <is>
          <t>SURAHAMMAR</t>
        </is>
      </c>
      <c r="G101" t="n">
        <v>0.9</v>
      </c>
      <c r="H101" t="n">
        <v>0</v>
      </c>
      <c r="I101" t="n">
        <v>0</v>
      </c>
      <c r="J101" t="n">
        <v>0</v>
      </c>
      <c r="K101" t="n">
        <v>0</v>
      </c>
      <c r="L101" t="n">
        <v>0</v>
      </c>
      <c r="M101" t="n">
        <v>0</v>
      </c>
      <c r="N101" t="n">
        <v>0</v>
      </c>
      <c r="O101" t="n">
        <v>0</v>
      </c>
      <c r="P101" t="n">
        <v>0</v>
      </c>
      <c r="Q101" t="n">
        <v>0</v>
      </c>
      <c r="R101" s="2" t="inlineStr"/>
    </row>
    <row r="102" ht="15" customHeight="1">
      <c r="A102" t="inlineStr">
        <is>
          <t>A 65619-2019</t>
        </is>
      </c>
      <c r="B102" s="1" t="n">
        <v>43804</v>
      </c>
      <c r="C102" s="1" t="n">
        <v>45359</v>
      </c>
      <c r="D102" t="inlineStr">
        <is>
          <t>VÄSTMANLANDS LÄN</t>
        </is>
      </c>
      <c r="E102" t="inlineStr">
        <is>
          <t>SURAHAMMAR</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2039-2020</t>
        </is>
      </c>
      <c r="B103" s="1" t="n">
        <v>43839</v>
      </c>
      <c r="C103" s="1" t="n">
        <v>45359</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5804-2020</t>
        </is>
      </c>
      <c r="B104" s="1" t="n">
        <v>43864</v>
      </c>
      <c r="C104" s="1" t="n">
        <v>45359</v>
      </c>
      <c r="D104" t="inlineStr">
        <is>
          <t>VÄSTMANLANDS LÄN</t>
        </is>
      </c>
      <c r="E104" t="inlineStr">
        <is>
          <t>SURAHAMMAR</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8608-2020</t>
        </is>
      </c>
      <c r="B105" s="1" t="n">
        <v>43878</v>
      </c>
      <c r="C105" s="1" t="n">
        <v>45359</v>
      </c>
      <c r="D105" t="inlineStr">
        <is>
          <t>VÄSTMANLANDS LÄN</t>
        </is>
      </c>
      <c r="E105" t="inlineStr">
        <is>
          <t>SURAHAMMAR</t>
        </is>
      </c>
      <c r="F105" t="inlineStr">
        <is>
          <t>Övriga Aktiebolag</t>
        </is>
      </c>
      <c r="G105" t="n">
        <v>20.2</v>
      </c>
      <c r="H105" t="n">
        <v>0</v>
      </c>
      <c r="I105" t="n">
        <v>0</v>
      </c>
      <c r="J105" t="n">
        <v>0</v>
      </c>
      <c r="K105" t="n">
        <v>0</v>
      </c>
      <c r="L105" t="n">
        <v>0</v>
      </c>
      <c r="M105" t="n">
        <v>0</v>
      </c>
      <c r="N105" t="n">
        <v>0</v>
      </c>
      <c r="O105" t="n">
        <v>0</v>
      </c>
      <c r="P105" t="n">
        <v>0</v>
      </c>
      <c r="Q105" t="n">
        <v>0</v>
      </c>
      <c r="R105" s="2" t="inlineStr"/>
    </row>
    <row r="106" ht="15" customHeight="1">
      <c r="A106" t="inlineStr">
        <is>
          <t>A 40660-2020</t>
        </is>
      </c>
      <c r="B106" s="1" t="n">
        <v>44069</v>
      </c>
      <c r="C106" s="1" t="n">
        <v>45359</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43171-2020</t>
        </is>
      </c>
      <c r="B107" s="1" t="n">
        <v>44081</v>
      </c>
      <c r="C107" s="1" t="n">
        <v>45359</v>
      </c>
      <c r="D107" t="inlineStr">
        <is>
          <t>VÄSTMANLANDS LÄN</t>
        </is>
      </c>
      <c r="E107" t="inlineStr">
        <is>
          <t>SURAHAMMAR</t>
        </is>
      </c>
      <c r="F107" t="inlineStr">
        <is>
          <t>Sveaskog</t>
        </is>
      </c>
      <c r="G107" t="n">
        <v>2.6</v>
      </c>
      <c r="H107" t="n">
        <v>0</v>
      </c>
      <c r="I107" t="n">
        <v>0</v>
      </c>
      <c r="J107" t="n">
        <v>0</v>
      </c>
      <c r="K107" t="n">
        <v>0</v>
      </c>
      <c r="L107" t="n">
        <v>0</v>
      </c>
      <c r="M107" t="n">
        <v>0</v>
      </c>
      <c r="N107" t="n">
        <v>0</v>
      </c>
      <c r="O107" t="n">
        <v>0</v>
      </c>
      <c r="P107" t="n">
        <v>0</v>
      </c>
      <c r="Q107" t="n">
        <v>0</v>
      </c>
      <c r="R107" s="2" t="inlineStr"/>
    </row>
    <row r="108" ht="15" customHeight="1">
      <c r="A108" t="inlineStr">
        <is>
          <t>A 43174-2020</t>
        </is>
      </c>
      <c r="B108" s="1" t="n">
        <v>44081</v>
      </c>
      <c r="C108" s="1" t="n">
        <v>45359</v>
      </c>
      <c r="D108" t="inlineStr">
        <is>
          <t>VÄSTMANLANDS LÄN</t>
        </is>
      </c>
      <c r="E108" t="inlineStr">
        <is>
          <t>SURAHAMMAR</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43177-2020</t>
        </is>
      </c>
      <c r="B109" s="1" t="n">
        <v>44081</v>
      </c>
      <c r="C109" s="1" t="n">
        <v>45359</v>
      </c>
      <c r="D109" t="inlineStr">
        <is>
          <t>VÄSTMANLANDS LÄN</t>
        </is>
      </c>
      <c r="E109" t="inlineStr">
        <is>
          <t>SURAHAMMAR</t>
        </is>
      </c>
      <c r="F109" t="inlineStr">
        <is>
          <t>Sveaskog</t>
        </is>
      </c>
      <c r="G109" t="n">
        <v>2.3</v>
      </c>
      <c r="H109" t="n">
        <v>0</v>
      </c>
      <c r="I109" t="n">
        <v>0</v>
      </c>
      <c r="J109" t="n">
        <v>0</v>
      </c>
      <c r="K109" t="n">
        <v>0</v>
      </c>
      <c r="L109" t="n">
        <v>0</v>
      </c>
      <c r="M109" t="n">
        <v>0</v>
      </c>
      <c r="N109" t="n">
        <v>0</v>
      </c>
      <c r="O109" t="n">
        <v>0</v>
      </c>
      <c r="P109" t="n">
        <v>0</v>
      </c>
      <c r="Q109" t="n">
        <v>0</v>
      </c>
      <c r="R109" s="2" t="inlineStr"/>
    </row>
    <row r="110" ht="15" customHeight="1">
      <c r="A110" t="inlineStr">
        <is>
          <t>A 43590-2020</t>
        </is>
      </c>
      <c r="B110" s="1" t="n">
        <v>44082</v>
      </c>
      <c r="C110" s="1" t="n">
        <v>45359</v>
      </c>
      <c r="D110" t="inlineStr">
        <is>
          <t>VÄSTMANLANDS LÄN</t>
        </is>
      </c>
      <c r="E110" t="inlineStr">
        <is>
          <t>SURAHAMMAR</t>
        </is>
      </c>
      <c r="F110" t="inlineStr">
        <is>
          <t>Sveaskog</t>
        </is>
      </c>
      <c r="G110" t="n">
        <v>2.1</v>
      </c>
      <c r="H110" t="n">
        <v>0</v>
      </c>
      <c r="I110" t="n">
        <v>0</v>
      </c>
      <c r="J110" t="n">
        <v>0</v>
      </c>
      <c r="K110" t="n">
        <v>0</v>
      </c>
      <c r="L110" t="n">
        <v>0</v>
      </c>
      <c r="M110" t="n">
        <v>0</v>
      </c>
      <c r="N110" t="n">
        <v>0</v>
      </c>
      <c r="O110" t="n">
        <v>0</v>
      </c>
      <c r="P110" t="n">
        <v>0</v>
      </c>
      <c r="Q110" t="n">
        <v>0</v>
      </c>
      <c r="R110" s="2" t="inlineStr"/>
    </row>
    <row r="111" ht="15" customHeight="1">
      <c r="A111" t="inlineStr">
        <is>
          <t>A 47997-2020</t>
        </is>
      </c>
      <c r="B111" s="1" t="n">
        <v>44099</v>
      </c>
      <c r="C111" s="1" t="n">
        <v>45359</v>
      </c>
      <c r="D111" t="inlineStr">
        <is>
          <t>VÄSTMANLANDS LÄN</t>
        </is>
      </c>
      <c r="E111" t="inlineStr">
        <is>
          <t>SURAHAMMAR</t>
        </is>
      </c>
      <c r="G111" t="n">
        <v>4.8</v>
      </c>
      <c r="H111" t="n">
        <v>0</v>
      </c>
      <c r="I111" t="n">
        <v>0</v>
      </c>
      <c r="J111" t="n">
        <v>0</v>
      </c>
      <c r="K111" t="n">
        <v>0</v>
      </c>
      <c r="L111" t="n">
        <v>0</v>
      </c>
      <c r="M111" t="n">
        <v>0</v>
      </c>
      <c r="N111" t="n">
        <v>0</v>
      </c>
      <c r="O111" t="n">
        <v>0</v>
      </c>
      <c r="P111" t="n">
        <v>0</v>
      </c>
      <c r="Q111" t="n">
        <v>0</v>
      </c>
      <c r="R111" s="2" t="inlineStr"/>
    </row>
    <row r="112" ht="15" customHeight="1">
      <c r="A112" t="inlineStr">
        <is>
          <t>A 52076-2020</t>
        </is>
      </c>
      <c r="B112" s="1" t="n">
        <v>44117</v>
      </c>
      <c r="C112" s="1" t="n">
        <v>45359</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52074-2020</t>
        </is>
      </c>
      <c r="B113" s="1" t="n">
        <v>44117</v>
      </c>
      <c r="C113" s="1" t="n">
        <v>45359</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54962-2020</t>
        </is>
      </c>
      <c r="B114" s="1" t="n">
        <v>44130</v>
      </c>
      <c r="C114" s="1" t="n">
        <v>45359</v>
      </c>
      <c r="D114" t="inlineStr">
        <is>
          <t>VÄSTMANLANDS LÄN</t>
        </is>
      </c>
      <c r="E114" t="inlineStr">
        <is>
          <t>SURAHAMMAR</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55397-2020</t>
        </is>
      </c>
      <c r="B115" s="1" t="n">
        <v>44131</v>
      </c>
      <c r="C115" s="1" t="n">
        <v>45359</v>
      </c>
      <c r="D115" t="inlineStr">
        <is>
          <t>VÄSTMANLANDS LÄN</t>
        </is>
      </c>
      <c r="E115" t="inlineStr">
        <is>
          <t>SURAHAMMAR</t>
        </is>
      </c>
      <c r="F115" t="inlineStr">
        <is>
          <t>Sveaskog</t>
        </is>
      </c>
      <c r="G115" t="n">
        <v>5</v>
      </c>
      <c r="H115" t="n">
        <v>0</v>
      </c>
      <c r="I115" t="n">
        <v>0</v>
      </c>
      <c r="J115" t="n">
        <v>0</v>
      </c>
      <c r="K115" t="n">
        <v>0</v>
      </c>
      <c r="L115" t="n">
        <v>0</v>
      </c>
      <c r="M115" t="n">
        <v>0</v>
      </c>
      <c r="N115" t="n">
        <v>0</v>
      </c>
      <c r="O115" t="n">
        <v>0</v>
      </c>
      <c r="P115" t="n">
        <v>0</v>
      </c>
      <c r="Q115" t="n">
        <v>0</v>
      </c>
      <c r="R115" s="2" t="inlineStr"/>
    </row>
    <row r="116" ht="15" customHeight="1">
      <c r="A116" t="inlineStr">
        <is>
          <t>A 59543-2020</t>
        </is>
      </c>
      <c r="B116" s="1" t="n">
        <v>44148</v>
      </c>
      <c r="C116" s="1" t="n">
        <v>45359</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59740-2020</t>
        </is>
      </c>
      <c r="B117" s="1" t="n">
        <v>44151</v>
      </c>
      <c r="C117" s="1" t="n">
        <v>45359</v>
      </c>
      <c r="D117" t="inlineStr">
        <is>
          <t>VÄSTMANLANDS LÄN</t>
        </is>
      </c>
      <c r="E117" t="inlineStr">
        <is>
          <t>SURAHAMMAR</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59727-2020</t>
        </is>
      </c>
      <c r="B118" s="1" t="n">
        <v>44151</v>
      </c>
      <c r="C118" s="1" t="n">
        <v>45359</v>
      </c>
      <c r="D118" t="inlineStr">
        <is>
          <t>VÄSTMANLANDS LÄN</t>
        </is>
      </c>
      <c r="E118" t="inlineStr">
        <is>
          <t>SURAHAMMAR</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1492-2021</t>
        </is>
      </c>
      <c r="B119" s="1" t="n">
        <v>44209</v>
      </c>
      <c r="C119" s="1" t="n">
        <v>45359</v>
      </c>
      <c r="D119" t="inlineStr">
        <is>
          <t>VÄSTMANLANDS LÄN</t>
        </is>
      </c>
      <c r="E119" t="inlineStr">
        <is>
          <t>SURAHAMMAR</t>
        </is>
      </c>
      <c r="G119" t="n">
        <v>1.2</v>
      </c>
      <c r="H119" t="n">
        <v>0</v>
      </c>
      <c r="I119" t="n">
        <v>0</v>
      </c>
      <c r="J119" t="n">
        <v>0</v>
      </c>
      <c r="K119" t="n">
        <v>0</v>
      </c>
      <c r="L119" t="n">
        <v>0</v>
      </c>
      <c r="M119" t="n">
        <v>0</v>
      </c>
      <c r="N119" t="n">
        <v>0</v>
      </c>
      <c r="O119" t="n">
        <v>0</v>
      </c>
      <c r="P119" t="n">
        <v>0</v>
      </c>
      <c r="Q119" t="n">
        <v>0</v>
      </c>
      <c r="R119" s="2" t="inlineStr"/>
    </row>
    <row r="120" ht="15" customHeight="1">
      <c r="A120" t="inlineStr">
        <is>
          <t>A 18723-2021</t>
        </is>
      </c>
      <c r="B120" s="1" t="n">
        <v>44306</v>
      </c>
      <c r="C120" s="1" t="n">
        <v>45359</v>
      </c>
      <c r="D120" t="inlineStr">
        <is>
          <t>VÄSTMANLANDS LÄN</t>
        </is>
      </c>
      <c r="E120" t="inlineStr">
        <is>
          <t>SURAHAMMAR</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20478-2021</t>
        </is>
      </c>
      <c r="B121" s="1" t="n">
        <v>44315</v>
      </c>
      <c r="C121" s="1" t="n">
        <v>45359</v>
      </c>
      <c r="D121" t="inlineStr">
        <is>
          <t>VÄSTMANLANDS LÄN</t>
        </is>
      </c>
      <c r="E121" t="inlineStr">
        <is>
          <t>SURAHAMMAR</t>
        </is>
      </c>
      <c r="F121" t="inlineStr">
        <is>
          <t>Sveaskog</t>
        </is>
      </c>
      <c r="G121" t="n">
        <v>6.2</v>
      </c>
      <c r="H121" t="n">
        <v>0</v>
      </c>
      <c r="I121" t="n">
        <v>0</v>
      </c>
      <c r="J121" t="n">
        <v>0</v>
      </c>
      <c r="K121" t="n">
        <v>0</v>
      </c>
      <c r="L121" t="n">
        <v>0</v>
      </c>
      <c r="M121" t="n">
        <v>0</v>
      </c>
      <c r="N121" t="n">
        <v>0</v>
      </c>
      <c r="O121" t="n">
        <v>0</v>
      </c>
      <c r="P121" t="n">
        <v>0</v>
      </c>
      <c r="Q121" t="n">
        <v>0</v>
      </c>
      <c r="R121" s="2" t="inlineStr"/>
    </row>
    <row r="122" ht="15" customHeight="1">
      <c r="A122" t="inlineStr">
        <is>
          <t>A 21839-2021</t>
        </is>
      </c>
      <c r="B122" s="1" t="n">
        <v>44322</v>
      </c>
      <c r="C122" s="1" t="n">
        <v>45359</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24804-2021</t>
        </is>
      </c>
      <c r="B123" s="1" t="n">
        <v>44340</v>
      </c>
      <c r="C123" s="1" t="n">
        <v>45359</v>
      </c>
      <c r="D123" t="inlineStr">
        <is>
          <t>VÄSTMANLANDS LÄN</t>
        </is>
      </c>
      <c r="E123" t="inlineStr">
        <is>
          <t>SURAHAMMAR</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31468-2021</t>
        </is>
      </c>
      <c r="B124" s="1" t="n">
        <v>44369</v>
      </c>
      <c r="C124" s="1" t="n">
        <v>45359</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33998-2021</t>
        </is>
      </c>
      <c r="B125" s="1" t="n">
        <v>44378</v>
      </c>
      <c r="C125" s="1" t="n">
        <v>45359</v>
      </c>
      <c r="D125" t="inlineStr">
        <is>
          <t>VÄSTMANLANDS LÄN</t>
        </is>
      </c>
      <c r="E125" t="inlineStr">
        <is>
          <t>SURAHAMMAR</t>
        </is>
      </c>
      <c r="F125" t="inlineStr">
        <is>
          <t>Bergvik skog väst AB</t>
        </is>
      </c>
      <c r="G125" t="n">
        <v>3.2</v>
      </c>
      <c r="H125" t="n">
        <v>0</v>
      </c>
      <c r="I125" t="n">
        <v>0</v>
      </c>
      <c r="J125" t="n">
        <v>0</v>
      </c>
      <c r="K125" t="n">
        <v>0</v>
      </c>
      <c r="L125" t="n">
        <v>0</v>
      </c>
      <c r="M125" t="n">
        <v>0</v>
      </c>
      <c r="N125" t="n">
        <v>0</v>
      </c>
      <c r="O125" t="n">
        <v>0</v>
      </c>
      <c r="P125" t="n">
        <v>0</v>
      </c>
      <c r="Q125" t="n">
        <v>0</v>
      </c>
      <c r="R125" s="2" t="inlineStr"/>
    </row>
    <row r="126" ht="15" customHeight="1">
      <c r="A126" t="inlineStr">
        <is>
          <t>A 34001-2021</t>
        </is>
      </c>
      <c r="B126" s="1" t="n">
        <v>44378</v>
      </c>
      <c r="C126" s="1" t="n">
        <v>45359</v>
      </c>
      <c r="D126" t="inlineStr">
        <is>
          <t>VÄSTMANLANDS LÄN</t>
        </is>
      </c>
      <c r="E126" t="inlineStr">
        <is>
          <t>SURAHAMMAR</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45359</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37799-2021</t>
        </is>
      </c>
      <c r="B128" s="1" t="n">
        <v>44402</v>
      </c>
      <c r="C128" s="1" t="n">
        <v>45359</v>
      </c>
      <c r="D128" t="inlineStr">
        <is>
          <t>VÄSTMANLANDS LÄN</t>
        </is>
      </c>
      <c r="E128" t="inlineStr">
        <is>
          <t>SURAHAMMAR</t>
        </is>
      </c>
      <c r="F128" t="inlineStr">
        <is>
          <t>Kommuner</t>
        </is>
      </c>
      <c r="G128" t="n">
        <v>2.1</v>
      </c>
      <c r="H128" t="n">
        <v>0</v>
      </c>
      <c r="I128" t="n">
        <v>0</v>
      </c>
      <c r="J128" t="n">
        <v>0</v>
      </c>
      <c r="K128" t="n">
        <v>0</v>
      </c>
      <c r="L128" t="n">
        <v>0</v>
      </c>
      <c r="M128" t="n">
        <v>0</v>
      </c>
      <c r="N128" t="n">
        <v>0</v>
      </c>
      <c r="O128" t="n">
        <v>0</v>
      </c>
      <c r="P128" t="n">
        <v>0</v>
      </c>
      <c r="Q128" t="n">
        <v>0</v>
      </c>
      <c r="R128" s="2" t="inlineStr"/>
    </row>
    <row r="129" ht="15" customHeight="1">
      <c r="A129" t="inlineStr">
        <is>
          <t>A 38150-2021</t>
        </is>
      </c>
      <c r="B129" s="1" t="n">
        <v>44405</v>
      </c>
      <c r="C129" s="1" t="n">
        <v>45359</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38178-2021</t>
        </is>
      </c>
      <c r="B130" s="1" t="n">
        <v>44405</v>
      </c>
      <c r="C130" s="1" t="n">
        <v>45359</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38149-2021</t>
        </is>
      </c>
      <c r="B131" s="1" t="n">
        <v>44405</v>
      </c>
      <c r="C131" s="1" t="n">
        <v>45359</v>
      </c>
      <c r="D131" t="inlineStr">
        <is>
          <t>VÄSTMANLANDS LÄN</t>
        </is>
      </c>
      <c r="E131" t="inlineStr">
        <is>
          <t>SURAHAMMAR</t>
        </is>
      </c>
      <c r="F131" t="inlineStr">
        <is>
          <t>Sveaskog</t>
        </is>
      </c>
      <c r="G131" t="n">
        <v>4.9</v>
      </c>
      <c r="H131" t="n">
        <v>0</v>
      </c>
      <c r="I131" t="n">
        <v>0</v>
      </c>
      <c r="J131" t="n">
        <v>0</v>
      </c>
      <c r="K131" t="n">
        <v>0</v>
      </c>
      <c r="L131" t="n">
        <v>0</v>
      </c>
      <c r="M131" t="n">
        <v>0</v>
      </c>
      <c r="N131" t="n">
        <v>0</v>
      </c>
      <c r="O131" t="n">
        <v>0</v>
      </c>
      <c r="P131" t="n">
        <v>0</v>
      </c>
      <c r="Q131" t="n">
        <v>0</v>
      </c>
      <c r="R131" s="2" t="inlineStr"/>
    </row>
    <row r="132" ht="15" customHeight="1">
      <c r="A132" t="inlineStr">
        <is>
          <t>A 38163-2021</t>
        </is>
      </c>
      <c r="B132" s="1" t="n">
        <v>44405</v>
      </c>
      <c r="C132" s="1" t="n">
        <v>45359</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38154-2021</t>
        </is>
      </c>
      <c r="B133" s="1" t="n">
        <v>44405</v>
      </c>
      <c r="C133" s="1" t="n">
        <v>45359</v>
      </c>
      <c r="D133" t="inlineStr">
        <is>
          <t>VÄSTMANLANDS LÄN</t>
        </is>
      </c>
      <c r="E133" t="inlineStr">
        <is>
          <t>SURAHAMMAR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47852-2021</t>
        </is>
      </c>
      <c r="B134" s="1" t="n">
        <v>44448</v>
      </c>
      <c r="C134" s="1" t="n">
        <v>45359</v>
      </c>
      <c r="D134" t="inlineStr">
        <is>
          <t>VÄSTMANLANDS LÄN</t>
        </is>
      </c>
      <c r="E134" t="inlineStr">
        <is>
          <t>SURAHAMMAR</t>
        </is>
      </c>
      <c r="G134" t="n">
        <v>4.1</v>
      </c>
      <c r="H134" t="n">
        <v>0</v>
      </c>
      <c r="I134" t="n">
        <v>0</v>
      </c>
      <c r="J134" t="n">
        <v>0</v>
      </c>
      <c r="K134" t="n">
        <v>0</v>
      </c>
      <c r="L134" t="n">
        <v>0</v>
      </c>
      <c r="M134" t="n">
        <v>0</v>
      </c>
      <c r="N134" t="n">
        <v>0</v>
      </c>
      <c r="O134" t="n">
        <v>0</v>
      </c>
      <c r="P134" t="n">
        <v>0</v>
      </c>
      <c r="Q134" t="n">
        <v>0</v>
      </c>
      <c r="R134" s="2" t="inlineStr"/>
    </row>
    <row r="135" ht="15" customHeight="1">
      <c r="A135" t="inlineStr">
        <is>
          <t>A 47785-2021</t>
        </is>
      </c>
      <c r="B135" s="1" t="n">
        <v>44448</v>
      </c>
      <c r="C135" s="1" t="n">
        <v>45359</v>
      </c>
      <c r="D135" t="inlineStr">
        <is>
          <t>VÄSTMANLANDS LÄN</t>
        </is>
      </c>
      <c r="E135" t="inlineStr">
        <is>
          <t>SURAHAMMAR</t>
        </is>
      </c>
      <c r="F135" t="inlineStr">
        <is>
          <t>Kommuner</t>
        </is>
      </c>
      <c r="G135" t="n">
        <v>3.3</v>
      </c>
      <c r="H135" t="n">
        <v>0</v>
      </c>
      <c r="I135" t="n">
        <v>0</v>
      </c>
      <c r="J135" t="n">
        <v>0</v>
      </c>
      <c r="K135" t="n">
        <v>0</v>
      </c>
      <c r="L135" t="n">
        <v>0</v>
      </c>
      <c r="M135" t="n">
        <v>0</v>
      </c>
      <c r="N135" t="n">
        <v>0</v>
      </c>
      <c r="O135" t="n">
        <v>0</v>
      </c>
      <c r="P135" t="n">
        <v>0</v>
      </c>
      <c r="Q135" t="n">
        <v>0</v>
      </c>
      <c r="R135" s="2" t="inlineStr"/>
    </row>
    <row r="136" ht="15" customHeight="1">
      <c r="A136" t="inlineStr">
        <is>
          <t>A 64073-2021</t>
        </is>
      </c>
      <c r="B136" s="1" t="n">
        <v>44509</v>
      </c>
      <c r="C136" s="1" t="n">
        <v>45359</v>
      </c>
      <c r="D136" t="inlineStr">
        <is>
          <t>VÄSTMANLANDS LÄN</t>
        </is>
      </c>
      <c r="E136" t="inlineStr">
        <is>
          <t>SURAHAMMAR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66343-2021</t>
        </is>
      </c>
      <c r="B137" s="1" t="n">
        <v>44518</v>
      </c>
      <c r="C137" s="1" t="n">
        <v>45359</v>
      </c>
      <c r="D137" t="inlineStr">
        <is>
          <t>VÄSTMANLANDS LÄN</t>
        </is>
      </c>
      <c r="E137" t="inlineStr">
        <is>
          <t>SURAHAMMAR</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66342-2021</t>
        </is>
      </c>
      <c r="B138" s="1" t="n">
        <v>44518</v>
      </c>
      <c r="C138" s="1" t="n">
        <v>45359</v>
      </c>
      <c r="D138" t="inlineStr">
        <is>
          <t>VÄSTMANLANDS LÄN</t>
        </is>
      </c>
      <c r="E138" t="inlineStr">
        <is>
          <t>SURAHAMMAR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66350-2021</t>
        </is>
      </c>
      <c r="B139" s="1" t="n">
        <v>44518</v>
      </c>
      <c r="C139" s="1" t="n">
        <v>45359</v>
      </c>
      <c r="D139" t="inlineStr">
        <is>
          <t>VÄSTMANLANDS LÄN</t>
        </is>
      </c>
      <c r="E139" t="inlineStr">
        <is>
          <t>SURAHAMMAR</t>
        </is>
      </c>
      <c r="F139" t="inlineStr">
        <is>
          <t>Sveaskog</t>
        </is>
      </c>
      <c r="G139" t="n">
        <v>3.5</v>
      </c>
      <c r="H139" t="n">
        <v>0</v>
      </c>
      <c r="I139" t="n">
        <v>0</v>
      </c>
      <c r="J139" t="n">
        <v>0</v>
      </c>
      <c r="K139" t="n">
        <v>0</v>
      </c>
      <c r="L139" t="n">
        <v>0</v>
      </c>
      <c r="M139" t="n">
        <v>0</v>
      </c>
      <c r="N139" t="n">
        <v>0</v>
      </c>
      <c r="O139" t="n">
        <v>0</v>
      </c>
      <c r="P139" t="n">
        <v>0</v>
      </c>
      <c r="Q139" t="n">
        <v>0</v>
      </c>
      <c r="R139" s="2" t="inlineStr"/>
    </row>
    <row r="140" ht="15" customHeight="1">
      <c r="A140" t="inlineStr">
        <is>
          <t>A 67611-2021</t>
        </is>
      </c>
      <c r="B140" s="1" t="n">
        <v>44524</v>
      </c>
      <c r="C140" s="1" t="n">
        <v>45359</v>
      </c>
      <c r="D140" t="inlineStr">
        <is>
          <t>VÄSTMANLANDS LÄN</t>
        </is>
      </c>
      <c r="E140" t="inlineStr">
        <is>
          <t>SURAHAMMAR</t>
        </is>
      </c>
      <c r="F140" t="inlineStr">
        <is>
          <t>Kommuner</t>
        </is>
      </c>
      <c r="G140" t="n">
        <v>3.8</v>
      </c>
      <c r="H140" t="n">
        <v>0</v>
      </c>
      <c r="I140" t="n">
        <v>0</v>
      </c>
      <c r="J140" t="n">
        <v>0</v>
      </c>
      <c r="K140" t="n">
        <v>0</v>
      </c>
      <c r="L140" t="n">
        <v>0</v>
      </c>
      <c r="M140" t="n">
        <v>0</v>
      </c>
      <c r="N140" t="n">
        <v>0</v>
      </c>
      <c r="O140" t="n">
        <v>0</v>
      </c>
      <c r="P140" t="n">
        <v>0</v>
      </c>
      <c r="Q140" t="n">
        <v>0</v>
      </c>
      <c r="R140" s="2" t="inlineStr"/>
    </row>
    <row r="141" ht="15" customHeight="1">
      <c r="A141" t="inlineStr">
        <is>
          <t>A 72367-2021</t>
        </is>
      </c>
      <c r="B141" s="1" t="n">
        <v>44545</v>
      </c>
      <c r="C141" s="1" t="n">
        <v>45359</v>
      </c>
      <c r="D141" t="inlineStr">
        <is>
          <t>VÄSTMANLANDS LÄN</t>
        </is>
      </c>
      <c r="E141" t="inlineStr">
        <is>
          <t>SURAHAMMAR</t>
        </is>
      </c>
      <c r="G141" t="n">
        <v>2.5</v>
      </c>
      <c r="H141" t="n">
        <v>0</v>
      </c>
      <c r="I141" t="n">
        <v>0</v>
      </c>
      <c r="J141" t="n">
        <v>0</v>
      </c>
      <c r="K141" t="n">
        <v>0</v>
      </c>
      <c r="L141" t="n">
        <v>0</v>
      </c>
      <c r="M141" t="n">
        <v>0</v>
      </c>
      <c r="N141" t="n">
        <v>0</v>
      </c>
      <c r="O141" t="n">
        <v>0</v>
      </c>
      <c r="P141" t="n">
        <v>0</v>
      </c>
      <c r="Q141" t="n">
        <v>0</v>
      </c>
      <c r="R141" s="2" t="inlineStr"/>
    </row>
    <row r="142" ht="15" customHeight="1">
      <c r="A142" t="inlineStr">
        <is>
          <t>A 73156-2021</t>
        </is>
      </c>
      <c r="B142" s="1" t="n">
        <v>44550</v>
      </c>
      <c r="C142" s="1" t="n">
        <v>45359</v>
      </c>
      <c r="D142" t="inlineStr">
        <is>
          <t>VÄSTMANLANDS LÄN</t>
        </is>
      </c>
      <c r="E142" t="inlineStr">
        <is>
          <t>SURAHAMMAR</t>
        </is>
      </c>
      <c r="F142" t="inlineStr">
        <is>
          <t>Övriga Aktiebolag</t>
        </is>
      </c>
      <c r="G142" t="n">
        <v>2.5</v>
      </c>
      <c r="H142" t="n">
        <v>0</v>
      </c>
      <c r="I142" t="n">
        <v>0</v>
      </c>
      <c r="J142" t="n">
        <v>0</v>
      </c>
      <c r="K142" t="n">
        <v>0</v>
      </c>
      <c r="L142" t="n">
        <v>0</v>
      </c>
      <c r="M142" t="n">
        <v>0</v>
      </c>
      <c r="N142" t="n">
        <v>0</v>
      </c>
      <c r="O142" t="n">
        <v>0</v>
      </c>
      <c r="P142" t="n">
        <v>0</v>
      </c>
      <c r="Q142" t="n">
        <v>0</v>
      </c>
      <c r="R142" s="2" t="inlineStr"/>
    </row>
    <row r="143" ht="15" customHeight="1">
      <c r="A143" t="inlineStr">
        <is>
          <t>A 3155-2022</t>
        </is>
      </c>
      <c r="B143" s="1" t="n">
        <v>44582</v>
      </c>
      <c r="C143" s="1" t="n">
        <v>45359</v>
      </c>
      <c r="D143" t="inlineStr">
        <is>
          <t>VÄSTMANLANDS LÄN</t>
        </is>
      </c>
      <c r="E143" t="inlineStr">
        <is>
          <t>SURAHAMMAR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3595-2022</t>
        </is>
      </c>
      <c r="B144" s="1" t="n">
        <v>44586</v>
      </c>
      <c r="C144" s="1" t="n">
        <v>45359</v>
      </c>
      <c r="D144" t="inlineStr">
        <is>
          <t>VÄSTMANLANDS LÄN</t>
        </is>
      </c>
      <c r="E144" t="inlineStr">
        <is>
          <t>SURAHAMMAR</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3818-2022</t>
        </is>
      </c>
      <c r="B145" s="1" t="n">
        <v>44587</v>
      </c>
      <c r="C145" s="1" t="n">
        <v>45359</v>
      </c>
      <c r="D145" t="inlineStr">
        <is>
          <t>VÄSTMANLANDS LÄN</t>
        </is>
      </c>
      <c r="E145" t="inlineStr">
        <is>
          <t>SURAHAMMAR</t>
        </is>
      </c>
      <c r="G145" t="n">
        <v>2.6</v>
      </c>
      <c r="H145" t="n">
        <v>0</v>
      </c>
      <c r="I145" t="n">
        <v>0</v>
      </c>
      <c r="J145" t="n">
        <v>0</v>
      </c>
      <c r="K145" t="n">
        <v>0</v>
      </c>
      <c r="L145" t="n">
        <v>0</v>
      </c>
      <c r="M145" t="n">
        <v>0</v>
      </c>
      <c r="N145" t="n">
        <v>0</v>
      </c>
      <c r="O145" t="n">
        <v>0</v>
      </c>
      <c r="P145" t="n">
        <v>0</v>
      </c>
      <c r="Q145" t="n">
        <v>0</v>
      </c>
      <c r="R145" s="2" t="inlineStr"/>
    </row>
    <row r="146" ht="15" customHeight="1">
      <c r="A146" t="inlineStr">
        <is>
          <t>A 5567-2022</t>
        </is>
      </c>
      <c r="B146" s="1" t="n">
        <v>44595</v>
      </c>
      <c r="C146" s="1" t="n">
        <v>45359</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7848-2022</t>
        </is>
      </c>
      <c r="B147" s="1" t="n">
        <v>44608</v>
      </c>
      <c r="C147" s="1" t="n">
        <v>45359</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13119-2022</t>
        </is>
      </c>
      <c r="B148" s="1" t="n">
        <v>44643</v>
      </c>
      <c r="C148" s="1" t="n">
        <v>45359</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13070-2022</t>
        </is>
      </c>
      <c r="B149" s="1" t="n">
        <v>44643</v>
      </c>
      <c r="C149" s="1" t="n">
        <v>45359</v>
      </c>
      <c r="D149" t="inlineStr">
        <is>
          <t>VÄSTMANLANDS LÄN</t>
        </is>
      </c>
      <c r="E149" t="inlineStr">
        <is>
          <t>SURAHAMMAR</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15637-2022</t>
        </is>
      </c>
      <c r="B150" s="1" t="n">
        <v>44662</v>
      </c>
      <c r="C150" s="1" t="n">
        <v>45359</v>
      </c>
      <c r="D150" t="inlineStr">
        <is>
          <t>VÄSTMANLANDS LÄN</t>
        </is>
      </c>
      <c r="E150" t="inlineStr">
        <is>
          <t>SURAHAMMAR</t>
        </is>
      </c>
      <c r="G150" t="n">
        <v>2.2</v>
      </c>
      <c r="H150" t="n">
        <v>0</v>
      </c>
      <c r="I150" t="n">
        <v>0</v>
      </c>
      <c r="J150" t="n">
        <v>0</v>
      </c>
      <c r="K150" t="n">
        <v>0</v>
      </c>
      <c r="L150" t="n">
        <v>0</v>
      </c>
      <c r="M150" t="n">
        <v>0</v>
      </c>
      <c r="N150" t="n">
        <v>0</v>
      </c>
      <c r="O150" t="n">
        <v>0</v>
      </c>
      <c r="P150" t="n">
        <v>0</v>
      </c>
      <c r="Q150" t="n">
        <v>0</v>
      </c>
      <c r="R150" s="2" t="inlineStr"/>
    </row>
    <row r="151" ht="15" customHeight="1">
      <c r="A151" t="inlineStr">
        <is>
          <t>A 16608-2022</t>
        </is>
      </c>
      <c r="B151" s="1" t="n">
        <v>44672</v>
      </c>
      <c r="C151" s="1" t="n">
        <v>45359</v>
      </c>
      <c r="D151" t="inlineStr">
        <is>
          <t>VÄSTMANLANDS LÄN</t>
        </is>
      </c>
      <c r="E151" t="inlineStr">
        <is>
          <t>SURAHAMMAR</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19099-2022</t>
        </is>
      </c>
      <c r="B152" s="1" t="n">
        <v>44691</v>
      </c>
      <c r="C152" s="1" t="n">
        <v>45359</v>
      </c>
      <c r="D152" t="inlineStr">
        <is>
          <t>VÄSTMANLANDS LÄN</t>
        </is>
      </c>
      <c r="E152" t="inlineStr">
        <is>
          <t>SURAHAMMAR</t>
        </is>
      </c>
      <c r="F152" t="inlineStr">
        <is>
          <t>Övriga Aktiebolag</t>
        </is>
      </c>
      <c r="G152" t="n">
        <v>3.4</v>
      </c>
      <c r="H152" t="n">
        <v>0</v>
      </c>
      <c r="I152" t="n">
        <v>0</v>
      </c>
      <c r="J152" t="n">
        <v>0</v>
      </c>
      <c r="K152" t="n">
        <v>0</v>
      </c>
      <c r="L152" t="n">
        <v>0</v>
      </c>
      <c r="M152" t="n">
        <v>0</v>
      </c>
      <c r="N152" t="n">
        <v>0</v>
      </c>
      <c r="O152" t="n">
        <v>0</v>
      </c>
      <c r="P152" t="n">
        <v>0</v>
      </c>
      <c r="Q152" t="n">
        <v>0</v>
      </c>
      <c r="R152" s="2" t="inlineStr"/>
    </row>
    <row r="153" ht="15" customHeight="1">
      <c r="A153" t="inlineStr">
        <is>
          <t>A 19637-2022</t>
        </is>
      </c>
      <c r="B153" s="1" t="n">
        <v>44694</v>
      </c>
      <c r="C153" s="1" t="n">
        <v>45359</v>
      </c>
      <c r="D153" t="inlineStr">
        <is>
          <t>VÄSTMANLANDS LÄN</t>
        </is>
      </c>
      <c r="E153" t="inlineStr">
        <is>
          <t>SURAHAMMAR</t>
        </is>
      </c>
      <c r="F153" t="inlineStr">
        <is>
          <t>Bergvik skog väst AB</t>
        </is>
      </c>
      <c r="G153" t="n">
        <v>0.7</v>
      </c>
      <c r="H153" t="n">
        <v>0</v>
      </c>
      <c r="I153" t="n">
        <v>0</v>
      </c>
      <c r="J153" t="n">
        <v>0</v>
      </c>
      <c r="K153" t="n">
        <v>0</v>
      </c>
      <c r="L153" t="n">
        <v>0</v>
      </c>
      <c r="M153" t="n">
        <v>0</v>
      </c>
      <c r="N153" t="n">
        <v>0</v>
      </c>
      <c r="O153" t="n">
        <v>0</v>
      </c>
      <c r="P153" t="n">
        <v>0</v>
      </c>
      <c r="Q153" t="n">
        <v>0</v>
      </c>
      <c r="R153" s="2" t="inlineStr"/>
    </row>
    <row r="154" ht="15" customHeight="1">
      <c r="A154" t="inlineStr">
        <is>
          <t>A 19844-2022</t>
        </is>
      </c>
      <c r="B154" s="1" t="n">
        <v>44696</v>
      </c>
      <c r="C154" s="1" t="n">
        <v>45359</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19845-2022</t>
        </is>
      </c>
      <c r="B155" s="1" t="n">
        <v>44696</v>
      </c>
      <c r="C155" s="1" t="n">
        <v>45359</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19846-2022</t>
        </is>
      </c>
      <c r="B156" s="1" t="n">
        <v>44696</v>
      </c>
      <c r="C156" s="1" t="n">
        <v>45359</v>
      </c>
      <c r="D156" t="inlineStr">
        <is>
          <t>VÄSTMANLANDS LÄN</t>
        </is>
      </c>
      <c r="E156" t="inlineStr">
        <is>
          <t>SURAHAMMAR</t>
        </is>
      </c>
      <c r="F156" t="inlineStr">
        <is>
          <t>Kommuner</t>
        </is>
      </c>
      <c r="G156" t="n">
        <v>3.4</v>
      </c>
      <c r="H156" t="n">
        <v>0</v>
      </c>
      <c r="I156" t="n">
        <v>0</v>
      </c>
      <c r="J156" t="n">
        <v>0</v>
      </c>
      <c r="K156" t="n">
        <v>0</v>
      </c>
      <c r="L156" t="n">
        <v>0</v>
      </c>
      <c r="M156" t="n">
        <v>0</v>
      </c>
      <c r="N156" t="n">
        <v>0</v>
      </c>
      <c r="O156" t="n">
        <v>0</v>
      </c>
      <c r="P156" t="n">
        <v>0</v>
      </c>
      <c r="Q156" t="n">
        <v>0</v>
      </c>
      <c r="R156" s="2" t="inlineStr"/>
    </row>
    <row r="157" ht="15" customHeight="1">
      <c r="A157" t="inlineStr">
        <is>
          <t>A 26700-2022</t>
        </is>
      </c>
      <c r="B157" s="1" t="n">
        <v>44739</v>
      </c>
      <c r="C157" s="1" t="n">
        <v>45359</v>
      </c>
      <c r="D157" t="inlineStr">
        <is>
          <t>VÄSTMANLANDS LÄN</t>
        </is>
      </c>
      <c r="E157" t="inlineStr">
        <is>
          <t>SURAHAMMAR</t>
        </is>
      </c>
      <c r="F157" t="inlineStr">
        <is>
          <t>Kommuner</t>
        </is>
      </c>
      <c r="G157" t="n">
        <v>3.1</v>
      </c>
      <c r="H157" t="n">
        <v>0</v>
      </c>
      <c r="I157" t="n">
        <v>0</v>
      </c>
      <c r="J157" t="n">
        <v>0</v>
      </c>
      <c r="K157" t="n">
        <v>0</v>
      </c>
      <c r="L157" t="n">
        <v>0</v>
      </c>
      <c r="M157" t="n">
        <v>0</v>
      </c>
      <c r="N157" t="n">
        <v>0</v>
      </c>
      <c r="O157" t="n">
        <v>0</v>
      </c>
      <c r="P157" t="n">
        <v>0</v>
      </c>
      <c r="Q157" t="n">
        <v>0</v>
      </c>
      <c r="R157" s="2" t="inlineStr"/>
    </row>
    <row r="158" ht="15" customHeight="1">
      <c r="A158" t="inlineStr">
        <is>
          <t>A 32475-2022</t>
        </is>
      </c>
      <c r="B158" s="1" t="n">
        <v>44782</v>
      </c>
      <c r="C158" s="1" t="n">
        <v>45359</v>
      </c>
      <c r="D158" t="inlineStr">
        <is>
          <t>VÄSTMANLANDS LÄN</t>
        </is>
      </c>
      <c r="E158" t="inlineStr">
        <is>
          <t>SURAHAMMAR</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32491-2022</t>
        </is>
      </c>
      <c r="B159" s="1" t="n">
        <v>44782</v>
      </c>
      <c r="C159" s="1" t="n">
        <v>45359</v>
      </c>
      <c r="D159" t="inlineStr">
        <is>
          <t>VÄSTMANLANDS LÄN</t>
        </is>
      </c>
      <c r="E159" t="inlineStr">
        <is>
          <t>SURAHAMMAR</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32492-2022</t>
        </is>
      </c>
      <c r="B160" s="1" t="n">
        <v>44782</v>
      </c>
      <c r="C160" s="1" t="n">
        <v>45359</v>
      </c>
      <c r="D160" t="inlineStr">
        <is>
          <t>VÄSTMANLANDS LÄN</t>
        </is>
      </c>
      <c r="E160" t="inlineStr">
        <is>
          <t>SURAHAMMAR</t>
        </is>
      </c>
      <c r="F160" t="inlineStr">
        <is>
          <t>Bergvik skog väst AB</t>
        </is>
      </c>
      <c r="G160" t="n">
        <v>5.3</v>
      </c>
      <c r="H160" t="n">
        <v>0</v>
      </c>
      <c r="I160" t="n">
        <v>0</v>
      </c>
      <c r="J160" t="n">
        <v>0</v>
      </c>
      <c r="K160" t="n">
        <v>0</v>
      </c>
      <c r="L160" t="n">
        <v>0</v>
      </c>
      <c r="M160" t="n">
        <v>0</v>
      </c>
      <c r="N160" t="n">
        <v>0</v>
      </c>
      <c r="O160" t="n">
        <v>0</v>
      </c>
      <c r="P160" t="n">
        <v>0</v>
      </c>
      <c r="Q160" t="n">
        <v>0</v>
      </c>
      <c r="R160" s="2" t="inlineStr"/>
    </row>
    <row r="161" ht="15" customHeight="1">
      <c r="A161" t="inlineStr">
        <is>
          <t>A 33931-2022</t>
        </is>
      </c>
      <c r="B161" s="1" t="n">
        <v>44790</v>
      </c>
      <c r="C161" s="1" t="n">
        <v>45359</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33946-2022</t>
        </is>
      </c>
      <c r="B162" s="1" t="n">
        <v>44790</v>
      </c>
      <c r="C162" s="1" t="n">
        <v>45359</v>
      </c>
      <c r="D162" t="inlineStr">
        <is>
          <t>VÄSTMANLANDS LÄN</t>
        </is>
      </c>
      <c r="E162" t="inlineStr">
        <is>
          <t>SURAHAMMAR</t>
        </is>
      </c>
      <c r="G162" t="n">
        <v>2.3</v>
      </c>
      <c r="H162" t="n">
        <v>0</v>
      </c>
      <c r="I162" t="n">
        <v>0</v>
      </c>
      <c r="J162" t="n">
        <v>0</v>
      </c>
      <c r="K162" t="n">
        <v>0</v>
      </c>
      <c r="L162" t="n">
        <v>0</v>
      </c>
      <c r="M162" t="n">
        <v>0</v>
      </c>
      <c r="N162" t="n">
        <v>0</v>
      </c>
      <c r="O162" t="n">
        <v>0</v>
      </c>
      <c r="P162" t="n">
        <v>0</v>
      </c>
      <c r="Q162" t="n">
        <v>0</v>
      </c>
      <c r="R162" s="2" t="inlineStr"/>
    </row>
    <row r="163" ht="15" customHeight="1">
      <c r="A163" t="inlineStr">
        <is>
          <t>A 33953-2022</t>
        </is>
      </c>
      <c r="B163" s="1" t="n">
        <v>44790</v>
      </c>
      <c r="C163" s="1" t="n">
        <v>45359</v>
      </c>
      <c r="D163" t="inlineStr">
        <is>
          <t>VÄSTMANLANDS LÄN</t>
        </is>
      </c>
      <c r="E163" t="inlineStr">
        <is>
          <t>SURAHAMMAR</t>
        </is>
      </c>
      <c r="G163" t="n">
        <v>3</v>
      </c>
      <c r="H163" t="n">
        <v>0</v>
      </c>
      <c r="I163" t="n">
        <v>0</v>
      </c>
      <c r="J163" t="n">
        <v>0</v>
      </c>
      <c r="K163" t="n">
        <v>0</v>
      </c>
      <c r="L163" t="n">
        <v>0</v>
      </c>
      <c r="M163" t="n">
        <v>0</v>
      </c>
      <c r="N163" t="n">
        <v>0</v>
      </c>
      <c r="O163" t="n">
        <v>0</v>
      </c>
      <c r="P163" t="n">
        <v>0</v>
      </c>
      <c r="Q163" t="n">
        <v>0</v>
      </c>
      <c r="R163" s="2" t="inlineStr"/>
    </row>
    <row r="164" ht="15" customHeight="1">
      <c r="A164" t="inlineStr">
        <is>
          <t>A 34957-2022</t>
        </is>
      </c>
      <c r="B164" s="1" t="n">
        <v>44796</v>
      </c>
      <c r="C164" s="1" t="n">
        <v>45359</v>
      </c>
      <c r="D164" t="inlineStr">
        <is>
          <t>VÄSTMANLANDS LÄN</t>
        </is>
      </c>
      <c r="E164" t="inlineStr">
        <is>
          <t>SURAHAMMAR</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34955-2022</t>
        </is>
      </c>
      <c r="B165" s="1" t="n">
        <v>44796</v>
      </c>
      <c r="C165" s="1" t="n">
        <v>45359</v>
      </c>
      <c r="D165" t="inlineStr">
        <is>
          <t>VÄSTMANLANDS LÄN</t>
        </is>
      </c>
      <c r="E165" t="inlineStr">
        <is>
          <t>SURAHAMMAR</t>
        </is>
      </c>
      <c r="F165" t="inlineStr">
        <is>
          <t>Sveaskog</t>
        </is>
      </c>
      <c r="G165" t="n">
        <v>4.6</v>
      </c>
      <c r="H165" t="n">
        <v>0</v>
      </c>
      <c r="I165" t="n">
        <v>0</v>
      </c>
      <c r="J165" t="n">
        <v>0</v>
      </c>
      <c r="K165" t="n">
        <v>0</v>
      </c>
      <c r="L165" t="n">
        <v>0</v>
      </c>
      <c r="M165" t="n">
        <v>0</v>
      </c>
      <c r="N165" t="n">
        <v>0</v>
      </c>
      <c r="O165" t="n">
        <v>0</v>
      </c>
      <c r="P165" t="n">
        <v>0</v>
      </c>
      <c r="Q165" t="n">
        <v>0</v>
      </c>
      <c r="R165" s="2" t="inlineStr"/>
    </row>
    <row r="166" ht="15" customHeight="1">
      <c r="A166" t="inlineStr">
        <is>
          <t>A 34956-2022</t>
        </is>
      </c>
      <c r="B166" s="1" t="n">
        <v>44796</v>
      </c>
      <c r="C166" s="1" t="n">
        <v>45359</v>
      </c>
      <c r="D166" t="inlineStr">
        <is>
          <t>VÄSTMANLANDS LÄN</t>
        </is>
      </c>
      <c r="E166" t="inlineStr">
        <is>
          <t>SURAHAMMAR</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35677-2022</t>
        </is>
      </c>
      <c r="B167" s="1" t="n">
        <v>44799</v>
      </c>
      <c r="C167" s="1" t="n">
        <v>45359</v>
      </c>
      <c r="D167" t="inlineStr">
        <is>
          <t>VÄSTMANLANDS LÄN</t>
        </is>
      </c>
      <c r="E167" t="inlineStr">
        <is>
          <t>SURAHAMMAR</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35682-2022</t>
        </is>
      </c>
      <c r="B168" s="1" t="n">
        <v>44799</v>
      </c>
      <c r="C168" s="1" t="n">
        <v>45359</v>
      </c>
      <c r="D168" t="inlineStr">
        <is>
          <t>VÄSTMANLANDS LÄN</t>
        </is>
      </c>
      <c r="E168" t="inlineStr">
        <is>
          <t>SURAHAMMAR</t>
        </is>
      </c>
      <c r="F168" t="inlineStr">
        <is>
          <t>Sveaskog</t>
        </is>
      </c>
      <c r="G168" t="n">
        <v>1.5</v>
      </c>
      <c r="H168" t="n">
        <v>0</v>
      </c>
      <c r="I168" t="n">
        <v>0</v>
      </c>
      <c r="J168" t="n">
        <v>0</v>
      </c>
      <c r="K168" t="n">
        <v>0</v>
      </c>
      <c r="L168" t="n">
        <v>0</v>
      </c>
      <c r="M168" t="n">
        <v>0</v>
      </c>
      <c r="N168" t="n">
        <v>0</v>
      </c>
      <c r="O168" t="n">
        <v>0</v>
      </c>
      <c r="P168" t="n">
        <v>0</v>
      </c>
      <c r="Q168" t="n">
        <v>0</v>
      </c>
      <c r="R168" s="2" t="inlineStr"/>
    </row>
    <row r="169" ht="15" customHeight="1">
      <c r="A169" t="inlineStr">
        <is>
          <t>A 35679-2022</t>
        </is>
      </c>
      <c r="B169" s="1" t="n">
        <v>44799</v>
      </c>
      <c r="C169" s="1" t="n">
        <v>45359</v>
      </c>
      <c r="D169" t="inlineStr">
        <is>
          <t>VÄSTMANLANDS LÄN</t>
        </is>
      </c>
      <c r="E169" t="inlineStr">
        <is>
          <t>SURAHAMMAR</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41576-2022</t>
        </is>
      </c>
      <c r="B170" s="1" t="n">
        <v>44826</v>
      </c>
      <c r="C170" s="1" t="n">
        <v>45359</v>
      </c>
      <c r="D170" t="inlineStr">
        <is>
          <t>VÄSTMANLANDS LÄN</t>
        </is>
      </c>
      <c r="E170" t="inlineStr">
        <is>
          <t>SURAHAMMAR</t>
        </is>
      </c>
      <c r="F170" t="inlineStr">
        <is>
          <t>Bergvik skog väst AB</t>
        </is>
      </c>
      <c r="G170" t="n">
        <v>6.4</v>
      </c>
      <c r="H170" t="n">
        <v>0</v>
      </c>
      <c r="I170" t="n">
        <v>0</v>
      </c>
      <c r="J170" t="n">
        <v>0</v>
      </c>
      <c r="K170" t="n">
        <v>0</v>
      </c>
      <c r="L170" t="n">
        <v>0</v>
      </c>
      <c r="M170" t="n">
        <v>0</v>
      </c>
      <c r="N170" t="n">
        <v>0</v>
      </c>
      <c r="O170" t="n">
        <v>0</v>
      </c>
      <c r="P170" t="n">
        <v>0</v>
      </c>
      <c r="Q170" t="n">
        <v>0</v>
      </c>
      <c r="R170" s="2" t="inlineStr"/>
    </row>
    <row r="171" ht="15" customHeight="1">
      <c r="A171" t="inlineStr">
        <is>
          <t>A 41555-2022</t>
        </is>
      </c>
      <c r="B171" s="1" t="n">
        <v>44826</v>
      </c>
      <c r="C171" s="1" t="n">
        <v>45359</v>
      </c>
      <c r="D171" t="inlineStr">
        <is>
          <t>VÄSTMANLANDS LÄN</t>
        </is>
      </c>
      <c r="E171" t="inlineStr">
        <is>
          <t>SURAHAMMAR</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42714-2022</t>
        </is>
      </c>
      <c r="B172" s="1" t="n">
        <v>44832</v>
      </c>
      <c r="C172" s="1" t="n">
        <v>45359</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42832-2022</t>
        </is>
      </c>
      <c r="B173" s="1" t="n">
        <v>44832</v>
      </c>
      <c r="C173" s="1" t="n">
        <v>45359</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42841-2022</t>
        </is>
      </c>
      <c r="B174" s="1" t="n">
        <v>44832</v>
      </c>
      <c r="C174" s="1" t="n">
        <v>45359</v>
      </c>
      <c r="D174" t="inlineStr">
        <is>
          <t>VÄSTMANLANDS LÄN</t>
        </is>
      </c>
      <c r="E174" t="inlineStr">
        <is>
          <t>SURAHAMMAR</t>
        </is>
      </c>
      <c r="G174" t="n">
        <v>1.8</v>
      </c>
      <c r="H174" t="n">
        <v>0</v>
      </c>
      <c r="I174" t="n">
        <v>0</v>
      </c>
      <c r="J174" t="n">
        <v>0</v>
      </c>
      <c r="K174" t="n">
        <v>0</v>
      </c>
      <c r="L174" t="n">
        <v>0</v>
      </c>
      <c r="M174" t="n">
        <v>0</v>
      </c>
      <c r="N174" t="n">
        <v>0</v>
      </c>
      <c r="O174" t="n">
        <v>0</v>
      </c>
      <c r="P174" t="n">
        <v>0</v>
      </c>
      <c r="Q174" t="n">
        <v>0</v>
      </c>
      <c r="R174" s="2" t="inlineStr"/>
    </row>
    <row r="175" ht="15" customHeight="1">
      <c r="A175" t="inlineStr">
        <is>
          <t>A 42829-2022</t>
        </is>
      </c>
      <c r="B175" s="1" t="n">
        <v>44832</v>
      </c>
      <c r="C175" s="1" t="n">
        <v>45359</v>
      </c>
      <c r="D175" t="inlineStr">
        <is>
          <t>VÄSTMANLANDS LÄN</t>
        </is>
      </c>
      <c r="E175" t="inlineStr">
        <is>
          <t>SURAHAMMAR</t>
        </is>
      </c>
      <c r="G175" t="n">
        <v>1.6</v>
      </c>
      <c r="H175" t="n">
        <v>0</v>
      </c>
      <c r="I175" t="n">
        <v>0</v>
      </c>
      <c r="J175" t="n">
        <v>0</v>
      </c>
      <c r="K175" t="n">
        <v>0</v>
      </c>
      <c r="L175" t="n">
        <v>0</v>
      </c>
      <c r="M175" t="n">
        <v>0</v>
      </c>
      <c r="N175" t="n">
        <v>0</v>
      </c>
      <c r="O175" t="n">
        <v>0</v>
      </c>
      <c r="P175" t="n">
        <v>0</v>
      </c>
      <c r="Q175" t="n">
        <v>0</v>
      </c>
      <c r="R175" s="2" t="inlineStr"/>
    </row>
    <row r="176" ht="15" customHeight="1">
      <c r="A176" t="inlineStr">
        <is>
          <t>A 48581-2022</t>
        </is>
      </c>
      <c r="B176" s="1" t="n">
        <v>44859</v>
      </c>
      <c r="C176" s="1" t="n">
        <v>45359</v>
      </c>
      <c r="D176" t="inlineStr">
        <is>
          <t>VÄSTMANLANDS LÄN</t>
        </is>
      </c>
      <c r="E176" t="inlineStr">
        <is>
          <t>SURAHAMMAR</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49686-2022</t>
        </is>
      </c>
      <c r="B177" s="1" t="n">
        <v>44862</v>
      </c>
      <c r="C177" s="1" t="n">
        <v>45359</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3085-2023</t>
        </is>
      </c>
      <c r="B178" s="1" t="n">
        <v>44946</v>
      </c>
      <c r="C178" s="1" t="n">
        <v>45359</v>
      </c>
      <c r="D178" t="inlineStr">
        <is>
          <t>VÄSTMANLANDS LÄN</t>
        </is>
      </c>
      <c r="E178" t="inlineStr">
        <is>
          <t>SURAHAMMAR</t>
        </is>
      </c>
      <c r="F178" t="inlineStr">
        <is>
          <t>Kyrkan</t>
        </is>
      </c>
      <c r="G178" t="n">
        <v>13</v>
      </c>
      <c r="H178" t="n">
        <v>0</v>
      </c>
      <c r="I178" t="n">
        <v>0</v>
      </c>
      <c r="J178" t="n">
        <v>0</v>
      </c>
      <c r="K178" t="n">
        <v>0</v>
      </c>
      <c r="L178" t="n">
        <v>0</v>
      </c>
      <c r="M178" t="n">
        <v>0</v>
      </c>
      <c r="N178" t="n">
        <v>0</v>
      </c>
      <c r="O178" t="n">
        <v>0</v>
      </c>
      <c r="P178" t="n">
        <v>0</v>
      </c>
      <c r="Q178" t="n">
        <v>0</v>
      </c>
      <c r="R178" s="2" t="inlineStr"/>
    </row>
    <row r="179" ht="15" customHeight="1">
      <c r="A179" t="inlineStr">
        <is>
          <t>A 8553-2023</t>
        </is>
      </c>
      <c r="B179" s="1" t="n">
        <v>44977</v>
      </c>
      <c r="C179" s="1" t="n">
        <v>45359</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10877-2023</t>
        </is>
      </c>
      <c r="B180" s="1" t="n">
        <v>44991</v>
      </c>
      <c r="C180" s="1" t="n">
        <v>45359</v>
      </c>
      <c r="D180" t="inlineStr">
        <is>
          <t>VÄSTMANLANDS LÄN</t>
        </is>
      </c>
      <c r="E180" t="inlineStr">
        <is>
          <t>SURAHAMMAR</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10883-2023</t>
        </is>
      </c>
      <c r="B181" s="1" t="n">
        <v>44991</v>
      </c>
      <c r="C181" s="1" t="n">
        <v>45359</v>
      </c>
      <c r="D181" t="inlineStr">
        <is>
          <t>VÄSTMANLANDS LÄN</t>
        </is>
      </c>
      <c r="E181" t="inlineStr">
        <is>
          <t>SURAHAMMAR</t>
        </is>
      </c>
      <c r="F181" t="inlineStr">
        <is>
          <t>Övriga Aktiebolag</t>
        </is>
      </c>
      <c r="G181" t="n">
        <v>12.5</v>
      </c>
      <c r="H181" t="n">
        <v>0</v>
      </c>
      <c r="I181" t="n">
        <v>0</v>
      </c>
      <c r="J181" t="n">
        <v>0</v>
      </c>
      <c r="K181" t="n">
        <v>0</v>
      </c>
      <c r="L181" t="n">
        <v>0</v>
      </c>
      <c r="M181" t="n">
        <v>0</v>
      </c>
      <c r="N181" t="n">
        <v>0</v>
      </c>
      <c r="O181" t="n">
        <v>0</v>
      </c>
      <c r="P181" t="n">
        <v>0</v>
      </c>
      <c r="Q181" t="n">
        <v>0</v>
      </c>
      <c r="R181" s="2" t="inlineStr"/>
    </row>
    <row r="182" ht="15" customHeight="1">
      <c r="A182" t="inlineStr">
        <is>
          <t>A 11259-2023</t>
        </is>
      </c>
      <c r="B182" s="1" t="n">
        <v>44991</v>
      </c>
      <c r="C182" s="1" t="n">
        <v>45359</v>
      </c>
      <c r="D182" t="inlineStr">
        <is>
          <t>VÄSTMANLANDS LÄN</t>
        </is>
      </c>
      <c r="E182" t="inlineStr">
        <is>
          <t>SURAHAMMAR</t>
        </is>
      </c>
      <c r="G182" t="n">
        <v>2.4</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45359</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45359</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45359</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45359</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45359</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45359</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45359</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45359</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45359</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45359</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45359</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45359</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45359</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45359</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45359</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45359</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45359</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45359</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45359</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45359</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45359</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45359</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45359</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45359</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45359</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45359</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45359</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45359</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45359</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45359</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45359</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45359</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45359</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45359</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45359</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45359</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45359</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45359</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45359</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45359</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45359</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45359</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45359</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37277-2023</t>
        </is>
      </c>
      <c r="B226" s="1" t="n">
        <v>45156</v>
      </c>
      <c r="C226" s="1" t="n">
        <v>45359</v>
      </c>
      <c r="D226" t="inlineStr">
        <is>
          <t>VÄSTMANLANDS LÄN</t>
        </is>
      </c>
      <c r="E226" t="inlineStr">
        <is>
          <t>SURAHAMMAR</t>
        </is>
      </c>
      <c r="G226" t="n">
        <v>4.3</v>
      </c>
      <c r="H226" t="n">
        <v>0</v>
      </c>
      <c r="I226" t="n">
        <v>0</v>
      </c>
      <c r="J226" t="n">
        <v>0</v>
      </c>
      <c r="K226" t="n">
        <v>0</v>
      </c>
      <c r="L226" t="n">
        <v>0</v>
      </c>
      <c r="M226" t="n">
        <v>0</v>
      </c>
      <c r="N226" t="n">
        <v>0</v>
      </c>
      <c r="O226" t="n">
        <v>0</v>
      </c>
      <c r="P226" t="n">
        <v>0</v>
      </c>
      <c r="Q226" t="n">
        <v>0</v>
      </c>
      <c r="R226" s="2" t="inlineStr"/>
    </row>
    <row r="227" ht="15" customHeight="1">
      <c r="A227" t="inlineStr">
        <is>
          <t>A 37635-2023</t>
        </is>
      </c>
      <c r="B227" s="1" t="n">
        <v>45159</v>
      </c>
      <c r="C227" s="1" t="n">
        <v>45359</v>
      </c>
      <c r="D227" t="inlineStr">
        <is>
          <t>VÄSTMANLANDS LÄN</t>
        </is>
      </c>
      <c r="E227" t="inlineStr">
        <is>
          <t>SURAHAMMAR</t>
        </is>
      </c>
      <c r="G227" t="n">
        <v>1</v>
      </c>
      <c r="H227" t="n">
        <v>0</v>
      </c>
      <c r="I227" t="n">
        <v>0</v>
      </c>
      <c r="J227" t="n">
        <v>0</v>
      </c>
      <c r="K227" t="n">
        <v>0</v>
      </c>
      <c r="L227" t="n">
        <v>0</v>
      </c>
      <c r="M227" t="n">
        <v>0</v>
      </c>
      <c r="N227" t="n">
        <v>0</v>
      </c>
      <c r="O227" t="n">
        <v>0</v>
      </c>
      <c r="P227" t="n">
        <v>0</v>
      </c>
      <c r="Q227" t="n">
        <v>0</v>
      </c>
      <c r="R227" s="2" t="inlineStr"/>
    </row>
    <row r="228" ht="15" customHeight="1">
      <c r="A228" t="inlineStr">
        <is>
          <t>A 37639-2023</t>
        </is>
      </c>
      <c r="B228" s="1" t="n">
        <v>45159</v>
      </c>
      <c r="C228" s="1" t="n">
        <v>45359</v>
      </c>
      <c r="D228" t="inlineStr">
        <is>
          <t>VÄSTMANLANDS LÄN</t>
        </is>
      </c>
      <c r="E228" t="inlineStr">
        <is>
          <t>SURAHAMMAR</t>
        </is>
      </c>
      <c r="G228" t="n">
        <v>4.9</v>
      </c>
      <c r="H228" t="n">
        <v>0</v>
      </c>
      <c r="I228" t="n">
        <v>0</v>
      </c>
      <c r="J228" t="n">
        <v>0</v>
      </c>
      <c r="K228" t="n">
        <v>0</v>
      </c>
      <c r="L228" t="n">
        <v>0</v>
      </c>
      <c r="M228" t="n">
        <v>0</v>
      </c>
      <c r="N228" t="n">
        <v>0</v>
      </c>
      <c r="O228" t="n">
        <v>0</v>
      </c>
      <c r="P228" t="n">
        <v>0</v>
      </c>
      <c r="Q228" t="n">
        <v>0</v>
      </c>
      <c r="R228" s="2" t="inlineStr"/>
    </row>
    <row r="229" ht="15" customHeight="1">
      <c r="A229" t="inlineStr">
        <is>
          <t>A 40956-2023</t>
        </is>
      </c>
      <c r="B229" s="1" t="n">
        <v>45169</v>
      </c>
      <c r="C229" s="1" t="n">
        <v>45359</v>
      </c>
      <c r="D229" t="inlineStr">
        <is>
          <t>VÄSTMANLANDS LÄN</t>
        </is>
      </c>
      <c r="E229" t="inlineStr">
        <is>
          <t>SURAHAMMAR</t>
        </is>
      </c>
      <c r="F229" t="inlineStr">
        <is>
          <t>Bergvik skog väst AB</t>
        </is>
      </c>
      <c r="G229" t="n">
        <v>7.6</v>
      </c>
      <c r="H229" t="n">
        <v>0</v>
      </c>
      <c r="I229" t="n">
        <v>0</v>
      </c>
      <c r="J229" t="n">
        <v>0</v>
      </c>
      <c r="K229" t="n">
        <v>0</v>
      </c>
      <c r="L229" t="n">
        <v>0</v>
      </c>
      <c r="M229" t="n">
        <v>0</v>
      </c>
      <c r="N229" t="n">
        <v>0</v>
      </c>
      <c r="O229" t="n">
        <v>0</v>
      </c>
      <c r="P229" t="n">
        <v>0</v>
      </c>
      <c r="Q229" t="n">
        <v>0</v>
      </c>
      <c r="R229" s="2" t="inlineStr"/>
    </row>
    <row r="230" ht="15" customHeight="1">
      <c r="A230" t="inlineStr">
        <is>
          <t>A 40445-2023</t>
        </is>
      </c>
      <c r="B230" s="1" t="n">
        <v>45170</v>
      </c>
      <c r="C230" s="1" t="n">
        <v>45359</v>
      </c>
      <c r="D230" t="inlineStr">
        <is>
          <t>VÄSTMANLANDS LÄN</t>
        </is>
      </c>
      <c r="E230" t="inlineStr">
        <is>
          <t>SURAHAMMAR</t>
        </is>
      </c>
      <c r="G230" t="n">
        <v>15.6</v>
      </c>
      <c r="H230" t="n">
        <v>0</v>
      </c>
      <c r="I230" t="n">
        <v>0</v>
      </c>
      <c r="J230" t="n">
        <v>0</v>
      </c>
      <c r="K230" t="n">
        <v>0</v>
      </c>
      <c r="L230" t="n">
        <v>0</v>
      </c>
      <c r="M230" t="n">
        <v>0</v>
      </c>
      <c r="N230" t="n">
        <v>0</v>
      </c>
      <c r="O230" t="n">
        <v>0</v>
      </c>
      <c r="P230" t="n">
        <v>0</v>
      </c>
      <c r="Q230" t="n">
        <v>0</v>
      </c>
      <c r="R230" s="2" t="inlineStr"/>
    </row>
    <row r="231" ht="15" customHeight="1">
      <c r="A231" t="inlineStr">
        <is>
          <t>A 48906-2023</t>
        </is>
      </c>
      <c r="B231" s="1" t="n">
        <v>45203</v>
      </c>
      <c r="C231" s="1" t="n">
        <v>45359</v>
      </c>
      <c r="D231" t="inlineStr">
        <is>
          <t>VÄSTMANLANDS LÄN</t>
        </is>
      </c>
      <c r="E231" t="inlineStr">
        <is>
          <t>SURAHAMMAR</t>
        </is>
      </c>
      <c r="F231" t="inlineStr">
        <is>
          <t>Bergvik skog väst AB</t>
        </is>
      </c>
      <c r="G231" t="n">
        <v>2.5</v>
      </c>
      <c r="H231" t="n">
        <v>0</v>
      </c>
      <c r="I231" t="n">
        <v>0</v>
      </c>
      <c r="J231" t="n">
        <v>0</v>
      </c>
      <c r="K231" t="n">
        <v>0</v>
      </c>
      <c r="L231" t="n">
        <v>0</v>
      </c>
      <c r="M231" t="n">
        <v>0</v>
      </c>
      <c r="N231" t="n">
        <v>0</v>
      </c>
      <c r="O231" t="n">
        <v>0</v>
      </c>
      <c r="P231" t="n">
        <v>0</v>
      </c>
      <c r="Q231" t="n">
        <v>0</v>
      </c>
      <c r="R231" s="2" t="inlineStr"/>
      <c r="U231">
        <f>HYPERLINK("https://klasma.github.io/Logging_1907/knärot/A 48906-2023 karta knärot.png", "A 48906-2023")</f>
        <v/>
      </c>
      <c r="V231">
        <f>HYPERLINK("https://klasma.github.io/Logging_1907/klagomål/A 48906-2023 FSC-klagomål.docx", "A 48906-2023")</f>
        <v/>
      </c>
      <c r="W231">
        <f>HYPERLINK("https://klasma.github.io/Logging_1907/klagomålsmail/A 48906-2023 FSC-klagomål mail.docx", "A 48906-2023")</f>
        <v/>
      </c>
      <c r="X231">
        <f>HYPERLINK("https://klasma.github.io/Logging_1907/tillsyn/A 48906-2023 tillsynsbegäran.docx", "A 48906-2023")</f>
        <v/>
      </c>
      <c r="Y231">
        <f>HYPERLINK("https://klasma.github.io/Logging_1907/tillsynsmail/A 48906-2023 tillsynsbegäran mail.docx", "A 48906-2023")</f>
        <v/>
      </c>
    </row>
    <row r="232" ht="15" customHeight="1">
      <c r="A232" t="inlineStr">
        <is>
          <t>A 48205-2023</t>
        </is>
      </c>
      <c r="B232" s="1" t="n">
        <v>45205</v>
      </c>
      <c r="C232" s="1" t="n">
        <v>45359</v>
      </c>
      <c r="D232" t="inlineStr">
        <is>
          <t>VÄSTMANLANDS LÄN</t>
        </is>
      </c>
      <c r="E232" t="inlineStr">
        <is>
          <t>SURAHAMMAR</t>
        </is>
      </c>
      <c r="F232" t="inlineStr">
        <is>
          <t>Allmännings- och besparingsskogar</t>
        </is>
      </c>
      <c r="G232" t="n">
        <v>7.6</v>
      </c>
      <c r="H232" t="n">
        <v>0</v>
      </c>
      <c r="I232" t="n">
        <v>0</v>
      </c>
      <c r="J232" t="n">
        <v>0</v>
      </c>
      <c r="K232" t="n">
        <v>0</v>
      </c>
      <c r="L232" t="n">
        <v>0</v>
      </c>
      <c r="M232" t="n">
        <v>0</v>
      </c>
      <c r="N232" t="n">
        <v>0</v>
      </c>
      <c r="O232" t="n">
        <v>0</v>
      </c>
      <c r="P232" t="n">
        <v>0</v>
      </c>
      <c r="Q232" t="n">
        <v>0</v>
      </c>
      <c r="R232" s="2" t="inlineStr"/>
    </row>
    <row r="233" ht="15" customHeight="1">
      <c r="A233" t="inlineStr">
        <is>
          <t>A 56378-2023</t>
        </is>
      </c>
      <c r="B233" s="1" t="n">
        <v>45236</v>
      </c>
      <c r="C233" s="1" t="n">
        <v>45359</v>
      </c>
      <c r="D233" t="inlineStr">
        <is>
          <t>VÄSTMANLANDS LÄN</t>
        </is>
      </c>
      <c r="E233" t="inlineStr">
        <is>
          <t>SURAHAMMAR</t>
        </is>
      </c>
      <c r="F233" t="inlineStr">
        <is>
          <t>Bergvik skog väst AB</t>
        </is>
      </c>
      <c r="G233" t="n">
        <v>3.6</v>
      </c>
      <c r="H233" t="n">
        <v>0</v>
      </c>
      <c r="I233" t="n">
        <v>0</v>
      </c>
      <c r="J233" t="n">
        <v>0</v>
      </c>
      <c r="K233" t="n">
        <v>0</v>
      </c>
      <c r="L233" t="n">
        <v>0</v>
      </c>
      <c r="M233" t="n">
        <v>0</v>
      </c>
      <c r="N233" t="n">
        <v>0</v>
      </c>
      <c r="O233" t="n">
        <v>0</v>
      </c>
      <c r="P233" t="n">
        <v>0</v>
      </c>
      <c r="Q233" t="n">
        <v>0</v>
      </c>
      <c r="R233" s="2" t="inlineStr"/>
    </row>
    <row r="234" ht="15" customHeight="1">
      <c r="A234" t="inlineStr">
        <is>
          <t>A 56183-2023</t>
        </is>
      </c>
      <c r="B234" s="1" t="n">
        <v>45240</v>
      </c>
      <c r="C234" s="1" t="n">
        <v>45359</v>
      </c>
      <c r="D234" t="inlineStr">
        <is>
          <t>VÄSTMANLANDS LÄN</t>
        </is>
      </c>
      <c r="E234" t="inlineStr">
        <is>
          <t>SURAHAMMAR</t>
        </is>
      </c>
      <c r="F234" t="inlineStr">
        <is>
          <t>Allmännings- och besparingsskogar</t>
        </is>
      </c>
      <c r="G234" t="n">
        <v>2</v>
      </c>
      <c r="H234" t="n">
        <v>0</v>
      </c>
      <c r="I234" t="n">
        <v>0</v>
      </c>
      <c r="J234" t="n">
        <v>0</v>
      </c>
      <c r="K234" t="n">
        <v>0</v>
      </c>
      <c r="L234" t="n">
        <v>0</v>
      </c>
      <c r="M234" t="n">
        <v>0</v>
      </c>
      <c r="N234" t="n">
        <v>0</v>
      </c>
      <c r="O234" t="n">
        <v>0</v>
      </c>
      <c r="P234" t="n">
        <v>0</v>
      </c>
      <c r="Q234" t="n">
        <v>0</v>
      </c>
      <c r="R234" s="2" t="inlineStr"/>
    </row>
    <row r="235" ht="15" customHeight="1">
      <c r="A235" t="inlineStr">
        <is>
          <t>A 58338-2023</t>
        </is>
      </c>
      <c r="B235" s="1" t="n">
        <v>45250</v>
      </c>
      <c r="C235" s="1" t="n">
        <v>45359</v>
      </c>
      <c r="D235" t="inlineStr">
        <is>
          <t>VÄSTMANLANDS LÄN</t>
        </is>
      </c>
      <c r="E235" t="inlineStr">
        <is>
          <t>SURAHAMMAR</t>
        </is>
      </c>
      <c r="F235" t="inlineStr">
        <is>
          <t>Allmännings- och besparingsskogar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58356-2023</t>
        </is>
      </c>
      <c r="B236" s="1" t="n">
        <v>45250</v>
      </c>
      <c r="C236" s="1" t="n">
        <v>45359</v>
      </c>
      <c r="D236" t="inlineStr">
        <is>
          <t>VÄSTMANLANDS LÄN</t>
        </is>
      </c>
      <c r="E236" t="inlineStr">
        <is>
          <t>SURAHAMMAR</t>
        </is>
      </c>
      <c r="F236" t="inlineStr">
        <is>
          <t>Allmännings- och besparingsskogar</t>
        </is>
      </c>
      <c r="G236" t="n">
        <v>2.2</v>
      </c>
      <c r="H236" t="n">
        <v>0</v>
      </c>
      <c r="I236" t="n">
        <v>0</v>
      </c>
      <c r="J236" t="n">
        <v>0</v>
      </c>
      <c r="K236" t="n">
        <v>0</v>
      </c>
      <c r="L236" t="n">
        <v>0</v>
      </c>
      <c r="M236" t="n">
        <v>0</v>
      </c>
      <c r="N236" t="n">
        <v>0</v>
      </c>
      <c r="O236" t="n">
        <v>0</v>
      </c>
      <c r="P236" t="n">
        <v>0</v>
      </c>
      <c r="Q236" t="n">
        <v>0</v>
      </c>
      <c r="R236" s="2" t="inlineStr"/>
    </row>
    <row r="237" ht="15" customHeight="1">
      <c r="A237" t="inlineStr">
        <is>
          <t>A 59317-2023</t>
        </is>
      </c>
      <c r="B237" s="1" t="n">
        <v>45253</v>
      </c>
      <c r="C237" s="1" t="n">
        <v>45359</v>
      </c>
      <c r="D237" t="inlineStr">
        <is>
          <t>VÄSTMANLANDS LÄN</t>
        </is>
      </c>
      <c r="E237" t="inlineStr">
        <is>
          <t>SURAHAMMAR</t>
        </is>
      </c>
      <c r="G237" t="n">
        <v>7.1</v>
      </c>
      <c r="H237" t="n">
        <v>0</v>
      </c>
      <c r="I237" t="n">
        <v>0</v>
      </c>
      <c r="J237" t="n">
        <v>0</v>
      </c>
      <c r="K237" t="n">
        <v>0</v>
      </c>
      <c r="L237" t="n">
        <v>0</v>
      </c>
      <c r="M237" t="n">
        <v>0</v>
      </c>
      <c r="N237" t="n">
        <v>0</v>
      </c>
      <c r="O237" t="n">
        <v>0</v>
      </c>
      <c r="P237" t="n">
        <v>0</v>
      </c>
      <c r="Q237" t="n">
        <v>0</v>
      </c>
      <c r="R237" s="2" t="inlineStr"/>
    </row>
    <row r="238" ht="15" customHeight="1">
      <c r="A238" t="inlineStr">
        <is>
          <t>A 64343-2023</t>
        </is>
      </c>
      <c r="B238" s="1" t="n">
        <v>45280</v>
      </c>
      <c r="C238" s="1" t="n">
        <v>45359</v>
      </c>
      <c r="D238" t="inlineStr">
        <is>
          <t>VÄSTMANLANDS LÄN</t>
        </is>
      </c>
      <c r="E238" t="inlineStr">
        <is>
          <t>SURAHAMMAR</t>
        </is>
      </c>
      <c r="G238" t="n">
        <v>2.9</v>
      </c>
      <c r="H238" t="n">
        <v>0</v>
      </c>
      <c r="I238" t="n">
        <v>0</v>
      </c>
      <c r="J238" t="n">
        <v>0</v>
      </c>
      <c r="K238" t="n">
        <v>0</v>
      </c>
      <c r="L238" t="n">
        <v>0</v>
      </c>
      <c r="M238" t="n">
        <v>0</v>
      </c>
      <c r="N238" t="n">
        <v>0</v>
      </c>
      <c r="O238" t="n">
        <v>0</v>
      </c>
      <c r="P238" t="n">
        <v>0</v>
      </c>
      <c r="Q238" t="n">
        <v>0</v>
      </c>
      <c r="R238" s="2" t="inlineStr"/>
    </row>
    <row r="239" ht="15" customHeight="1">
      <c r="A239" t="inlineStr">
        <is>
          <t>A 1316-2024</t>
        </is>
      </c>
      <c r="B239" s="1" t="n">
        <v>45303</v>
      </c>
      <c r="C239" s="1" t="n">
        <v>45359</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45359</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2680-2024</t>
        </is>
      </c>
      <c r="B241" s="1" t="n">
        <v>45310</v>
      </c>
      <c r="C241" s="1" t="n">
        <v>45359</v>
      </c>
      <c r="D241" t="inlineStr">
        <is>
          <t>VÄSTMANLANDS LÄN</t>
        </is>
      </c>
      <c r="E241" t="inlineStr">
        <is>
          <t>SURAHAMMAR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45359</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2866-2024</t>
        </is>
      </c>
      <c r="B243" s="1" t="n">
        <v>45315</v>
      </c>
      <c r="C243" s="1" t="n">
        <v>45359</v>
      </c>
      <c r="D243" t="inlineStr">
        <is>
          <t>VÄSTMANLANDS LÄN</t>
        </is>
      </c>
      <c r="E243" t="inlineStr">
        <is>
          <t>SURAHAMMAR</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4759-2024</t>
        </is>
      </c>
      <c r="B244" s="1" t="n">
        <v>45328</v>
      </c>
      <c r="C244" s="1" t="n">
        <v>45359</v>
      </c>
      <c r="D244" t="inlineStr">
        <is>
          <t>VÄSTMANLANDS LÄN</t>
        </is>
      </c>
      <c r="E244" t="inlineStr">
        <is>
          <t>SURAHAMMAR</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5168-2024</t>
        </is>
      </c>
      <c r="B245" s="1" t="n">
        <v>45330</v>
      </c>
      <c r="C245" s="1" t="n">
        <v>45359</v>
      </c>
      <c r="D245" t="inlineStr">
        <is>
          <t>VÄSTMANLANDS LÄN</t>
        </is>
      </c>
      <c r="E245" t="inlineStr">
        <is>
          <t>SURAHAMMAR</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7787-2024</t>
        </is>
      </c>
      <c r="B246" s="1" t="n">
        <v>45348</v>
      </c>
      <c r="C246" s="1" t="n">
        <v>45359</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45359</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c r="A248" t="inlineStr">
        <is>
          <t>A 8066-2024</t>
        </is>
      </c>
      <c r="B248" s="1" t="n">
        <v>45351</v>
      </c>
      <c r="C248" s="1" t="n">
        <v>45359</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2024-03-08T13:56:40Z</dcterms:created>
  <dcterms:modified xmlns:dcterms="http://purl.org/dc/terms/" xmlns:xsi="http://www.w3.org/2001/XMLSchema-instance" xsi:type="dcterms:W3CDTF">2024-03-08T13:56:40Z</dcterms:modified>
</cp:coreProperties>
</file>