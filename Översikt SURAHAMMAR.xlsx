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45658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45658</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45658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45658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45658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45658</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45658</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45658</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45658</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45658</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45658</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45658</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45658</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45658</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45658</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45658</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45658</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45658</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45658</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45658</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45658</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45658</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45658</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45658</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45658</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45658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45658</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45658</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45658</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45658</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45658</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45658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45658</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45658</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45658</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45658</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45658</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45658</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45658</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45658</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45658</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45658</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45658</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45658</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45658</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45658</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57412-2020</t>
        </is>
      </c>
      <c r="B50" s="1" t="n">
        <v>44138</v>
      </c>
      <c r="C50" s="1" t="n">
        <v>45658</v>
      </c>
      <c r="D50" t="inlineStr">
        <is>
          <t>VÄSTMANLANDS LÄN</t>
        </is>
      </c>
      <c r="E50" t="inlineStr">
        <is>
          <t>SURAHAMMAR</t>
        </is>
      </c>
      <c r="G50" t="n">
        <v>2.9</v>
      </c>
      <c r="H50" t="n">
        <v>2</v>
      </c>
      <c r="I50" t="n">
        <v>0</v>
      </c>
      <c r="J50" t="n">
        <v>2</v>
      </c>
      <c r="K50" t="n">
        <v>0</v>
      </c>
      <c r="L50" t="n">
        <v>0</v>
      </c>
      <c r="M50" t="n">
        <v>0</v>
      </c>
      <c r="N50" t="n">
        <v>0</v>
      </c>
      <c r="O50" t="n">
        <v>2</v>
      </c>
      <c r="P50" t="n">
        <v>0</v>
      </c>
      <c r="Q50" t="n">
        <v>2</v>
      </c>
      <c r="R50" s="2" t="inlineStr">
        <is>
          <t>Duvhök
Gulsparv</t>
        </is>
      </c>
      <c r="S50">
        <f>HYPERLINK("https://klasma.github.io/Logging_1907/artfynd/A 57412-2020 artfynd.xlsx", "A 57412-2020")</f>
        <v/>
      </c>
      <c r="T50">
        <f>HYPERLINK("https://klasma.github.io/Logging_1907/kartor/A 57412-2020 karta.png", "A 57412-2020")</f>
        <v/>
      </c>
      <c r="V50">
        <f>HYPERLINK("https://klasma.github.io/Logging_1907/klagomål/A 57412-2020 FSC-klagomål.docx", "A 57412-2020")</f>
        <v/>
      </c>
      <c r="W50">
        <f>HYPERLINK("https://klasma.github.io/Logging_1907/klagomålsmail/A 57412-2020 FSC-klagomål mail.docx", "A 57412-2020")</f>
        <v/>
      </c>
      <c r="X50">
        <f>HYPERLINK("https://klasma.github.io/Logging_1907/tillsyn/A 57412-2020 tillsynsbegäran.docx", "A 57412-2020")</f>
        <v/>
      </c>
      <c r="Y50">
        <f>HYPERLINK("https://klasma.github.io/Logging_1907/tillsynsmail/A 57412-2020 tillsynsbegäran mail.docx", "A 57412-2020")</f>
        <v/>
      </c>
      <c r="Z50">
        <f>HYPERLINK("https://klasma.github.io/Logging_1907/fåglar/A 57412-2020 prioriterade fågelarter.docx", "A 57412-2020")</f>
        <v/>
      </c>
    </row>
    <row r="51" ht="15" customHeight="1">
      <c r="A51" t="inlineStr">
        <is>
          <t>A 18717-2021</t>
        </is>
      </c>
      <c r="B51" s="1" t="n">
        <v>44306</v>
      </c>
      <c r="C51" s="1" t="n">
        <v>45658</v>
      </c>
      <c r="D51" t="inlineStr">
        <is>
          <t>VÄSTMANLANDS LÄN</t>
        </is>
      </c>
      <c r="E51" t="inlineStr">
        <is>
          <t>SURAHAMMAR</t>
        </is>
      </c>
      <c r="F51" t="inlineStr">
        <is>
          <t>Bergvik skog väst AB</t>
        </is>
      </c>
      <c r="G51" t="n">
        <v>18</v>
      </c>
      <c r="H51" t="n">
        <v>2</v>
      </c>
      <c r="I51" t="n">
        <v>0</v>
      </c>
      <c r="J51" t="n">
        <v>0</v>
      </c>
      <c r="K51" t="n">
        <v>0</v>
      </c>
      <c r="L51" t="n">
        <v>0</v>
      </c>
      <c r="M51" t="n">
        <v>0</v>
      </c>
      <c r="N51" t="n">
        <v>0</v>
      </c>
      <c r="O51" t="n">
        <v>0</v>
      </c>
      <c r="P51" t="n">
        <v>0</v>
      </c>
      <c r="Q51" t="n">
        <v>2</v>
      </c>
      <c r="R51" s="2" t="inlineStr">
        <is>
          <t>Lopplummer
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21825-2021</t>
        </is>
      </c>
      <c r="B52" s="1" t="n">
        <v>44322</v>
      </c>
      <c r="C52" s="1" t="n">
        <v>45658</v>
      </c>
      <c r="D52" t="inlineStr">
        <is>
          <t>VÄSTMANLANDS LÄN</t>
        </is>
      </c>
      <c r="E52" t="inlineStr">
        <is>
          <t>SURAHAMMAR</t>
        </is>
      </c>
      <c r="G52" t="n">
        <v>4.7</v>
      </c>
      <c r="H52" t="n">
        <v>1</v>
      </c>
      <c r="I52" t="n">
        <v>0</v>
      </c>
      <c r="J52" t="n">
        <v>1</v>
      </c>
      <c r="K52" t="n">
        <v>0</v>
      </c>
      <c r="L52" t="n">
        <v>0</v>
      </c>
      <c r="M52" t="n">
        <v>0</v>
      </c>
      <c r="N52" t="n">
        <v>0</v>
      </c>
      <c r="O52" t="n">
        <v>1</v>
      </c>
      <c r="P52" t="n">
        <v>0</v>
      </c>
      <c r="Q52" t="n">
        <v>2</v>
      </c>
      <c r="R52" s="2" t="inlineStr">
        <is>
          <t>Svinrot
Blåsippa</t>
        </is>
      </c>
      <c r="S52">
        <f>HYPERLINK("https://klasma.github.io/Logging_1907/artfynd/A 21825-2021 artfynd.xlsx", "A 21825-2021")</f>
        <v/>
      </c>
      <c r="T52">
        <f>HYPERLINK("https://klasma.github.io/Logging_1907/kartor/A 21825-2021 karta.png", "A 21825-2021")</f>
        <v/>
      </c>
      <c r="V52">
        <f>HYPERLINK("https://klasma.github.io/Logging_1907/klagomål/A 21825-2021 FSC-klagomål.docx", "A 21825-2021")</f>
        <v/>
      </c>
      <c r="W52">
        <f>HYPERLINK("https://klasma.github.io/Logging_1907/klagomålsmail/A 21825-2021 FSC-klagomål mail.docx", "A 21825-2021")</f>
        <v/>
      </c>
      <c r="X52">
        <f>HYPERLINK("https://klasma.github.io/Logging_1907/tillsyn/A 21825-2021 tillsynsbegäran.docx", "A 21825-2021")</f>
        <v/>
      </c>
      <c r="Y52">
        <f>HYPERLINK("https://klasma.github.io/Logging_1907/tillsynsmail/A 21825-2021 tillsynsbegäran mail.docx", "A 21825-2021")</f>
        <v/>
      </c>
    </row>
    <row r="53" ht="15" customHeight="1">
      <c r="A53" t="inlineStr">
        <is>
          <t>A 37801-2021</t>
        </is>
      </c>
      <c r="B53" s="1" t="n">
        <v>44402</v>
      </c>
      <c r="C53" s="1" t="n">
        <v>45658</v>
      </c>
      <c r="D53" t="inlineStr">
        <is>
          <t>VÄSTMANLANDS LÄN</t>
        </is>
      </c>
      <c r="E53" t="inlineStr">
        <is>
          <t>SURAHAMMAR</t>
        </is>
      </c>
      <c r="F53" t="inlineStr">
        <is>
          <t>Kommuner</t>
        </is>
      </c>
      <c r="G53" t="n">
        <v>2.3</v>
      </c>
      <c r="H53" t="n">
        <v>1</v>
      </c>
      <c r="I53" t="n">
        <v>0</v>
      </c>
      <c r="J53" t="n">
        <v>1</v>
      </c>
      <c r="K53" t="n">
        <v>0</v>
      </c>
      <c r="L53" t="n">
        <v>0</v>
      </c>
      <c r="M53" t="n">
        <v>0</v>
      </c>
      <c r="N53" t="n">
        <v>0</v>
      </c>
      <c r="O53" t="n">
        <v>1</v>
      </c>
      <c r="P53" t="n">
        <v>0</v>
      </c>
      <c r="Q53" t="n">
        <v>2</v>
      </c>
      <c r="R53" s="2" t="inlineStr">
        <is>
          <t>Veckticka
Nattviol</t>
        </is>
      </c>
      <c r="S53">
        <f>HYPERLINK("https://klasma.github.io/Logging_1907/artfynd/A 37801-2021 artfynd.xlsx", "A 37801-2021")</f>
        <v/>
      </c>
      <c r="T53">
        <f>HYPERLINK("https://klasma.github.io/Logging_1907/kartor/A 37801-2021 karta.png", "A 37801-2021")</f>
        <v/>
      </c>
      <c r="V53">
        <f>HYPERLINK("https://klasma.github.io/Logging_1907/klagomål/A 37801-2021 FSC-klagomål.docx", "A 37801-2021")</f>
        <v/>
      </c>
      <c r="W53">
        <f>HYPERLINK("https://klasma.github.io/Logging_1907/klagomålsmail/A 37801-2021 FSC-klagomål mail.docx", "A 37801-2021")</f>
        <v/>
      </c>
      <c r="X53">
        <f>HYPERLINK("https://klasma.github.io/Logging_1907/tillsyn/A 37801-2021 tillsynsbegäran.docx", "A 37801-2021")</f>
        <v/>
      </c>
      <c r="Y53">
        <f>HYPERLINK("https://klasma.github.io/Logging_1907/tillsynsmail/A 37801-2021 tillsynsbegäran mail.docx", "A 37801-2021")</f>
        <v/>
      </c>
    </row>
    <row r="54" ht="15" customHeight="1">
      <c r="A54" t="inlineStr">
        <is>
          <t>A 37800-2021</t>
        </is>
      </c>
      <c r="B54" s="1" t="n">
        <v>44402</v>
      </c>
      <c r="C54" s="1" t="n">
        <v>45658</v>
      </c>
      <c r="D54" t="inlineStr">
        <is>
          <t>VÄSTMANLANDS LÄN</t>
        </is>
      </c>
      <c r="E54" t="inlineStr">
        <is>
          <t>SURAHAMMAR</t>
        </is>
      </c>
      <c r="F54" t="inlineStr">
        <is>
          <t>Kommuner</t>
        </is>
      </c>
      <c r="G54" t="n">
        <v>1.3</v>
      </c>
      <c r="H54" t="n">
        <v>1</v>
      </c>
      <c r="I54" t="n">
        <v>0</v>
      </c>
      <c r="J54" t="n">
        <v>1</v>
      </c>
      <c r="K54" t="n">
        <v>0</v>
      </c>
      <c r="L54" t="n">
        <v>0</v>
      </c>
      <c r="M54" t="n">
        <v>0</v>
      </c>
      <c r="N54" t="n">
        <v>0</v>
      </c>
      <c r="O54" t="n">
        <v>1</v>
      </c>
      <c r="P54" t="n">
        <v>0</v>
      </c>
      <c r="Q54" t="n">
        <v>2</v>
      </c>
      <c r="R54" s="2" t="inlineStr">
        <is>
          <t>Svinrot
Grönvit nattviol</t>
        </is>
      </c>
      <c r="S54">
        <f>HYPERLINK("https://klasma.github.io/Logging_1907/artfynd/A 37800-2021 artfynd.xlsx", "A 37800-2021")</f>
        <v/>
      </c>
      <c r="T54">
        <f>HYPERLINK("https://klasma.github.io/Logging_1907/kartor/A 37800-2021 karta.png", "A 37800-2021")</f>
        <v/>
      </c>
      <c r="V54">
        <f>HYPERLINK("https://klasma.github.io/Logging_1907/klagomål/A 37800-2021 FSC-klagomål.docx", "A 37800-2021")</f>
        <v/>
      </c>
      <c r="W54">
        <f>HYPERLINK("https://klasma.github.io/Logging_1907/klagomålsmail/A 37800-2021 FSC-klagomål mail.docx", "A 37800-2021")</f>
        <v/>
      </c>
      <c r="X54">
        <f>HYPERLINK("https://klasma.github.io/Logging_1907/tillsyn/A 37800-2021 tillsynsbegäran.docx", "A 37800-2021")</f>
        <v/>
      </c>
      <c r="Y54">
        <f>HYPERLINK("https://klasma.github.io/Logging_1907/tillsynsmail/A 37800-2021 tillsynsbegäran mail.docx", "A 37800-2021")</f>
        <v/>
      </c>
    </row>
    <row r="55" ht="15" customHeight="1">
      <c r="A55" t="inlineStr">
        <is>
          <t>A 57168-2021</t>
        </is>
      </c>
      <c r="B55" s="1" t="n">
        <v>44482</v>
      </c>
      <c r="C55" s="1" t="n">
        <v>45658</v>
      </c>
      <c r="D55" t="inlineStr">
        <is>
          <t>VÄSTMANLANDS LÄN</t>
        </is>
      </c>
      <c r="E55" t="inlineStr">
        <is>
          <t>SURAHAMMAR</t>
        </is>
      </c>
      <c r="G55" t="n">
        <v>1.7</v>
      </c>
      <c r="H55" t="n">
        <v>0</v>
      </c>
      <c r="I55" t="n">
        <v>0</v>
      </c>
      <c r="J55" t="n">
        <v>1</v>
      </c>
      <c r="K55" t="n">
        <v>0</v>
      </c>
      <c r="L55" t="n">
        <v>1</v>
      </c>
      <c r="M55" t="n">
        <v>0</v>
      </c>
      <c r="N55" t="n">
        <v>0</v>
      </c>
      <c r="O55" t="n">
        <v>2</v>
      </c>
      <c r="P55" t="n">
        <v>1</v>
      </c>
      <c r="Q55" t="n">
        <v>2</v>
      </c>
      <c r="R55" s="2" t="inlineStr">
        <is>
          <t>Ask
Svartöra</t>
        </is>
      </c>
      <c r="S55">
        <f>HYPERLINK("https://klasma.github.io/Logging_1907/artfynd/A 57168-2021 artfynd.xlsx", "A 57168-2021")</f>
        <v/>
      </c>
      <c r="T55">
        <f>HYPERLINK("https://klasma.github.io/Logging_1907/kartor/A 57168-2021 karta.png", "A 57168-2021")</f>
        <v/>
      </c>
      <c r="V55">
        <f>HYPERLINK("https://klasma.github.io/Logging_1907/klagomål/A 57168-2021 FSC-klagomål.docx", "A 57168-2021")</f>
        <v/>
      </c>
      <c r="W55">
        <f>HYPERLINK("https://klasma.github.io/Logging_1907/klagomålsmail/A 57168-2021 FSC-klagomål mail.docx", "A 57168-2021")</f>
        <v/>
      </c>
      <c r="X55">
        <f>HYPERLINK("https://klasma.github.io/Logging_1907/tillsyn/A 57168-2021 tillsynsbegäran.docx", "A 57168-2021")</f>
        <v/>
      </c>
      <c r="Y55">
        <f>HYPERLINK("https://klasma.github.io/Logging_1907/tillsynsmail/A 57168-2021 tillsynsbegäran mail.docx", "A 57168-2021")</f>
        <v/>
      </c>
    </row>
    <row r="56" ht="15" customHeight="1">
      <c r="A56" t="inlineStr">
        <is>
          <t>A 66343-2021</t>
        </is>
      </c>
      <c r="B56" s="1" t="n">
        <v>44518</v>
      </c>
      <c r="C56" s="1" t="n">
        <v>45658</v>
      </c>
      <c r="D56" t="inlineStr">
        <is>
          <t>VÄSTMANLANDS LÄN</t>
        </is>
      </c>
      <c r="E56" t="inlineStr">
        <is>
          <t>SURAHAMMAR</t>
        </is>
      </c>
      <c r="F56" t="inlineStr">
        <is>
          <t>Sveaskog</t>
        </is>
      </c>
      <c r="G56" t="n">
        <v>2.5</v>
      </c>
      <c r="H56" t="n">
        <v>0</v>
      </c>
      <c r="I56" t="n">
        <v>1</v>
      </c>
      <c r="J56" t="n">
        <v>0</v>
      </c>
      <c r="K56" t="n">
        <v>1</v>
      </c>
      <c r="L56" t="n">
        <v>0</v>
      </c>
      <c r="M56" t="n">
        <v>0</v>
      </c>
      <c r="N56" t="n">
        <v>0</v>
      </c>
      <c r="O56" t="n">
        <v>1</v>
      </c>
      <c r="P56" t="n">
        <v>1</v>
      </c>
      <c r="Q56" t="n">
        <v>2</v>
      </c>
      <c r="R56" s="2" t="inlineStr">
        <is>
          <t>Torrmusseron
Blåmossa</t>
        </is>
      </c>
      <c r="S56">
        <f>HYPERLINK("https://klasma.github.io/Logging_1907/artfynd/A 66343-2021 artfynd.xlsx", "A 66343-2021")</f>
        <v/>
      </c>
      <c r="T56">
        <f>HYPERLINK("https://klasma.github.io/Logging_1907/kartor/A 66343-2021 karta.png", "A 66343-2021")</f>
        <v/>
      </c>
      <c r="V56">
        <f>HYPERLINK("https://klasma.github.io/Logging_1907/klagomål/A 66343-2021 FSC-klagomål.docx", "A 66343-2021")</f>
        <v/>
      </c>
      <c r="W56">
        <f>HYPERLINK("https://klasma.github.io/Logging_1907/klagomålsmail/A 66343-2021 FSC-klagomål mail.docx", "A 66343-2021")</f>
        <v/>
      </c>
      <c r="X56">
        <f>HYPERLINK("https://klasma.github.io/Logging_1907/tillsyn/A 66343-2021 tillsynsbegäran.docx", "A 66343-2021")</f>
        <v/>
      </c>
      <c r="Y56">
        <f>HYPERLINK("https://klasma.github.io/Logging_1907/tillsynsmail/A 66343-2021 tillsynsbegäran mail.docx", "A 66343-2021")</f>
        <v/>
      </c>
    </row>
    <row r="57" ht="15" customHeight="1">
      <c r="A57" t="inlineStr">
        <is>
          <t>A 7845-2022</t>
        </is>
      </c>
      <c r="B57" s="1" t="n">
        <v>44608</v>
      </c>
      <c r="C57" s="1" t="n">
        <v>45658</v>
      </c>
      <c r="D57" t="inlineStr">
        <is>
          <t>VÄSTMANLANDS LÄN</t>
        </is>
      </c>
      <c r="E57" t="inlineStr">
        <is>
          <t>SURAHAMMAR</t>
        </is>
      </c>
      <c r="G57" t="n">
        <v>3</v>
      </c>
      <c r="H57" t="n">
        <v>1</v>
      </c>
      <c r="I57" t="n">
        <v>1</v>
      </c>
      <c r="J57" t="n">
        <v>0</v>
      </c>
      <c r="K57" t="n">
        <v>1</v>
      </c>
      <c r="L57" t="n">
        <v>0</v>
      </c>
      <c r="M57" t="n">
        <v>0</v>
      </c>
      <c r="N57" t="n">
        <v>0</v>
      </c>
      <c r="O57" t="n">
        <v>1</v>
      </c>
      <c r="P57" t="n">
        <v>1</v>
      </c>
      <c r="Q57" t="n">
        <v>2</v>
      </c>
      <c r="R57" s="2" t="inlineStr">
        <is>
          <t>Knärot
Vedticka</t>
        </is>
      </c>
      <c r="S57">
        <f>HYPERLINK("https://klasma.github.io/Logging_1907/artfynd/A 7845-2022 artfynd.xlsx", "A 7845-2022")</f>
        <v/>
      </c>
      <c r="T57">
        <f>HYPERLINK("https://klasma.github.io/Logging_1907/kartor/A 7845-2022 karta.png", "A 7845-2022")</f>
        <v/>
      </c>
      <c r="U57">
        <f>HYPERLINK("https://klasma.github.io/Logging_1907/knärot/A 7845-2022 karta knärot.png", "A 7845-2022")</f>
        <v/>
      </c>
      <c r="V57">
        <f>HYPERLINK("https://klasma.github.io/Logging_1907/klagomål/A 7845-2022 FSC-klagomål.docx", "A 7845-2022")</f>
        <v/>
      </c>
      <c r="W57">
        <f>HYPERLINK("https://klasma.github.io/Logging_1907/klagomålsmail/A 7845-2022 FSC-klagomål mail.docx", "A 7845-2022")</f>
        <v/>
      </c>
      <c r="X57">
        <f>HYPERLINK("https://klasma.github.io/Logging_1907/tillsyn/A 7845-2022 tillsynsbegäran.docx", "A 7845-2022")</f>
        <v/>
      </c>
      <c r="Y57">
        <f>HYPERLINK("https://klasma.github.io/Logging_1907/tillsynsmail/A 7845-2022 tillsynsbegäran mail.docx", "A 7845-2022")</f>
        <v/>
      </c>
    </row>
    <row r="58" ht="15" customHeight="1">
      <c r="A58" t="inlineStr">
        <is>
          <t>A 16217-2023</t>
        </is>
      </c>
      <c r="B58" s="1" t="n">
        <v>45022</v>
      </c>
      <c r="C58" s="1" t="n">
        <v>45658</v>
      </c>
      <c r="D58" t="inlineStr">
        <is>
          <t>VÄSTMANLANDS LÄN</t>
        </is>
      </c>
      <c r="E58" t="inlineStr">
        <is>
          <t>SURAHAMMAR</t>
        </is>
      </c>
      <c r="G58" t="n">
        <v>2.6</v>
      </c>
      <c r="H58" t="n">
        <v>1</v>
      </c>
      <c r="I58" t="n">
        <v>1</v>
      </c>
      <c r="J58" t="n">
        <v>1</v>
      </c>
      <c r="K58" t="n">
        <v>0</v>
      </c>
      <c r="L58" t="n">
        <v>0</v>
      </c>
      <c r="M58" t="n">
        <v>0</v>
      </c>
      <c r="N58" t="n">
        <v>0</v>
      </c>
      <c r="O58" t="n">
        <v>1</v>
      </c>
      <c r="P58" t="n">
        <v>0</v>
      </c>
      <c r="Q58" t="n">
        <v>2</v>
      </c>
      <c r="R58" s="2" t="inlineStr">
        <is>
          <t>Tretåig hackspett
Gullgröppa</t>
        </is>
      </c>
      <c r="S58">
        <f>HYPERLINK("https://klasma.github.io/Logging_1907/artfynd/A 16217-2023 artfynd.xlsx", "A 16217-2023")</f>
        <v/>
      </c>
      <c r="T58">
        <f>HYPERLINK("https://klasma.github.io/Logging_1907/kartor/A 16217-2023 karta.png", "A 16217-2023")</f>
        <v/>
      </c>
      <c r="V58">
        <f>HYPERLINK("https://klasma.github.io/Logging_1907/klagomål/A 16217-2023 FSC-klagomål.docx", "A 16217-2023")</f>
        <v/>
      </c>
      <c r="W58">
        <f>HYPERLINK("https://klasma.github.io/Logging_1907/klagomålsmail/A 16217-2023 FSC-klagomål mail.docx", "A 16217-2023")</f>
        <v/>
      </c>
      <c r="X58">
        <f>HYPERLINK("https://klasma.github.io/Logging_1907/tillsyn/A 16217-2023 tillsynsbegäran.docx", "A 16217-2023")</f>
        <v/>
      </c>
      <c r="Y58">
        <f>HYPERLINK("https://klasma.github.io/Logging_1907/tillsynsmail/A 16217-2023 tillsynsbegäran mail.docx", "A 16217-2023")</f>
        <v/>
      </c>
      <c r="Z58">
        <f>HYPERLINK("https://klasma.github.io/Logging_1907/fåglar/A 16217-2023 prioriterade fågelarter.docx", "A 16217-2023")</f>
        <v/>
      </c>
    </row>
    <row r="59" ht="15" customHeight="1">
      <c r="A59" t="inlineStr">
        <is>
          <t>A 23734-2023</t>
        </is>
      </c>
      <c r="B59" s="1" t="n">
        <v>45077</v>
      </c>
      <c r="C59" s="1" t="n">
        <v>45658</v>
      </c>
      <c r="D59" t="inlineStr">
        <is>
          <t>VÄSTMANLANDS LÄN</t>
        </is>
      </c>
      <c r="E59" t="inlineStr">
        <is>
          <t>SURAHAMMAR</t>
        </is>
      </c>
      <c r="F59" t="inlineStr">
        <is>
          <t>Sveaskog</t>
        </is>
      </c>
      <c r="G59" t="n">
        <v>6.7</v>
      </c>
      <c r="H59" t="n">
        <v>0</v>
      </c>
      <c r="I59" t="n">
        <v>0</v>
      </c>
      <c r="J59" t="n">
        <v>1</v>
      </c>
      <c r="K59" t="n">
        <v>1</v>
      </c>
      <c r="L59" t="n">
        <v>0</v>
      </c>
      <c r="M59" t="n">
        <v>0</v>
      </c>
      <c r="N59" t="n">
        <v>0</v>
      </c>
      <c r="O59" t="n">
        <v>2</v>
      </c>
      <c r="P59" t="n">
        <v>1</v>
      </c>
      <c r="Q59" t="n">
        <v>2</v>
      </c>
      <c r="R59" s="2" t="inlineStr">
        <is>
          <t>Hängticka
Kandelabersvamp</t>
        </is>
      </c>
      <c r="S59">
        <f>HYPERLINK("https://klasma.github.io/Logging_1907/artfynd/A 23734-2023 artfynd.xlsx", "A 23734-2023")</f>
        <v/>
      </c>
      <c r="T59">
        <f>HYPERLINK("https://klasma.github.io/Logging_1907/kartor/A 23734-2023 karta.png", "A 23734-2023")</f>
        <v/>
      </c>
      <c r="V59">
        <f>HYPERLINK("https://klasma.github.io/Logging_1907/klagomål/A 23734-2023 FSC-klagomål.docx", "A 23734-2023")</f>
        <v/>
      </c>
      <c r="W59">
        <f>HYPERLINK("https://klasma.github.io/Logging_1907/klagomålsmail/A 23734-2023 FSC-klagomål mail.docx", "A 23734-2023")</f>
        <v/>
      </c>
      <c r="X59">
        <f>HYPERLINK("https://klasma.github.io/Logging_1907/tillsyn/A 23734-2023 tillsynsbegäran.docx", "A 23734-2023")</f>
        <v/>
      </c>
      <c r="Y59">
        <f>HYPERLINK("https://klasma.github.io/Logging_1907/tillsynsmail/A 23734-2023 tillsynsbegäran mail.docx", "A 23734-2023")</f>
        <v/>
      </c>
    </row>
    <row r="60" ht="15" customHeight="1">
      <c r="A60" t="inlineStr">
        <is>
          <t>A 28043-2023</t>
        </is>
      </c>
      <c r="B60" s="1" t="n">
        <v>45099</v>
      </c>
      <c r="C60" s="1" t="n">
        <v>45658</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45658</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45658</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45658</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45658</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45658</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45658</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45658</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45658</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45658</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45658</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45658</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45658</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45658</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45658</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45658</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45658</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45658</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45658</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45658</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45658</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45658</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45658</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45658</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45658</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45658</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45658</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45658</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45658</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45658</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45658</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45658</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45658</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45658</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45658</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45658</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45658</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45658</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45658</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45658</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45658</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45658</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45658</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45658</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45658</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45658</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45658</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45658</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45658</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45658</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45658</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45658</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45658</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45658</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45658</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45658</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45658</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45658</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45658</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45658</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45658</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45658</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45658</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45658</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45658</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45658</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45658</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45658</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45658</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45658</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45658</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45658</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45658</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45658</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45658</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45658</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45658</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45658</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45658</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45658</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45658</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45658</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45658</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45658</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45658</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45658</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45658</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45658</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45658</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45658</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45658</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45658</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45658</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45658</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45658</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45658</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45658</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45658</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45658</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45658</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45658</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45658</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45658</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45658</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45658</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45658</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45658</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45658</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45658</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45658</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45658</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45658</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45658</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45658</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45658</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45658</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45658</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45658</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45658</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45658</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45658</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45658</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45658</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45658</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45658</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45658</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45658</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45658</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45658</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45658</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45658</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45658</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45658</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45658</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45658</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45658</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45658</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45658</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45658</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45658</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45658</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45658</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45658</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45658</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45658</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45658</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45658</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45658</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45658</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45658</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45658</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45658</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45658</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45658</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45658</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45658</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45658</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45658</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45658</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45658</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45658</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45658</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45658</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45658</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45658</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45658</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45658</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45658</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45658</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45658</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45658</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45658</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45658</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45658</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45658</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45658</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45658</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45658</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45658</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45658</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45658</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45658</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45658</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45658</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45658</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45658</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45658</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45658</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45658</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45658</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45658</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45658</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45658</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45658</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45658</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45658</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45658</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45658</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45658</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45658</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45658</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45658</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45658</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45658</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45658</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45658</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45658</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45658</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45658</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45658</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45658</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45658</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45658</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45658</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45658</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45658</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45658</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45658</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45658</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45658</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45658</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45658</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45658</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45658</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45658</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45658</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45658</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45658</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45658</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45658</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45658</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45658</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45658</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2025-01-01T19:36:33Z</dcterms:created>
  <dcterms:modified xmlns:dcterms="http://purl.org/dc/terms/" xmlns:xsi="http://www.w3.org/2001/XMLSchema-instance" xsi:type="dcterms:W3CDTF">2025-01-01T19:36:33Z</dcterms:modified>
</cp:coreProperties>
</file>