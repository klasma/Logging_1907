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46297</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240</v>
      </c>
      <c r="U3" t="n">
        <v>104</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46297</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245</v>
      </c>
      <c r="U5" t="n">
        <v>109</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46297</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46297</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46297</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46297</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46297</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920-2026</t>
        </is>
      </c>
      <c r="B11" t="inlineStr">
        <is>
          <t>samrådsanmälan</t>
        </is>
      </c>
      <c r="C11" t="inlineStr">
        <is>
          <t>Skogsgödsling</t>
        </is>
      </c>
      <c r="D11" s="1" t="n">
        <v>46111</v>
      </c>
      <c r="E11" s="1" t="n">
        <v>46297</v>
      </c>
      <c r="F11" t="inlineStr">
        <is>
          <t>VÄSTMANLANDS LÄN</t>
        </is>
      </c>
      <c r="G11" t="inlineStr">
        <is>
          <t>SURAHAMMAR</t>
        </is>
      </c>
      <c r="H11" t="inlineStr">
        <is>
          <t>Allmännings- och besparingsskogar</t>
        </is>
      </c>
      <c r="I11" t="n">
        <v>66.5</v>
      </c>
      <c r="J11" t="n">
        <v>7</v>
      </c>
      <c r="K11" t="n">
        <v>2</v>
      </c>
      <c r="L11" t="n">
        <v>5</v>
      </c>
      <c r="M11" t="n">
        <v>0</v>
      </c>
      <c r="N11" t="n">
        <v>0</v>
      </c>
      <c r="O11" t="n">
        <v>0</v>
      </c>
      <c r="P11" t="n">
        <v>0</v>
      </c>
      <c r="Q11" t="n">
        <v>5</v>
      </c>
      <c r="R11" t="n">
        <v>0</v>
      </c>
      <c r="S11" t="n">
        <v>15</v>
      </c>
      <c r="T11" t="n">
        <v>24</v>
      </c>
      <c r="U11" t="n">
        <v>3</v>
      </c>
      <c r="V11" s="2" t="inlineStr">
        <is>
          <t>Dofttaggsvamp
Motaggsvamp
Skogshare
Tallkötticka
Talltita
Bollvitmossa
Grönpyrola
Järpe
Kärrviol
Linnea
Mattlummer
Tjäder
Orre
Fläcknycklar
Revlummer</t>
        </is>
      </c>
      <c r="W11">
        <f>HYPERLINK("https://klasma.github.io/Logging_1907/artfynd/S 920-2026 artfynd.xlsx", "S 920-2026")</f>
        <v/>
      </c>
      <c r="X11">
        <f>HYPERLINK("https://klasma.github.io/Logging_1907/kartor/S 920-2026 karta.png", "S 920-2026")</f>
        <v/>
      </c>
      <c r="Y11">
        <f>HYPERLINK("https://klasma.github.io/Logging_1907/kartor_geotiff/S 920-2026 georefererad karta.tif", "S 920-2026")</f>
        <v/>
      </c>
      <c r="AA11">
        <f>HYPERLINK("https://klasma.github.io/Logging_1907/klagomål/S 920-2026 FSC-klagomål.docx", "S 920-2026")</f>
        <v/>
      </c>
      <c r="AB11">
        <f>HYPERLINK("https://klasma.github.io/Logging_1907/klagomålsmail/S 920-2026 FSC-klagomål mail.docx", "S 920-2026")</f>
        <v/>
      </c>
      <c r="AC11">
        <f>HYPERLINK("https://klasma.github.io/Logging_1907/tillsyn/S 920-2026 tillsynsbegäran.docx", "S 920-2026")</f>
        <v/>
      </c>
      <c r="AD11">
        <f>HYPERLINK("https://klasma.github.io/Logging_1907/tillsynsmail/S 920-2026 tillsynsbegäran mail.docx", "S 920-2026")</f>
        <v/>
      </c>
      <c r="AE11">
        <f>HYPERLINK("https://klasma.github.io/Logging_1907/fåglar/S 920-2026 prioriterade fågelarter.docx", "S 920-2026")</f>
        <v/>
      </c>
    </row>
    <row r="12" ht="15" customHeight="1">
      <c r="A12" t="inlineStr">
        <is>
          <t>S 2049-2026</t>
        </is>
      </c>
      <c r="B12" t="inlineStr">
        <is>
          <t>samrådsanmälan</t>
        </is>
      </c>
      <c r="C12" t="inlineStr">
        <is>
          <t>Annan skogsbruksåtgärd</t>
        </is>
      </c>
      <c r="D12" s="1" t="n">
        <v>46216</v>
      </c>
      <c r="E12" s="1" t="n">
        <v>46297</v>
      </c>
      <c r="F12" t="inlineStr">
        <is>
          <t>VÄSTMANLANDS LÄN</t>
        </is>
      </c>
      <c r="G12" t="inlineStr">
        <is>
          <t>SURAHAMMAR</t>
        </is>
      </c>
      <c r="H12" t="inlineStr">
        <is>
          <t>Bergvik skog väst AB</t>
        </is>
      </c>
      <c r="I12" t="n">
        <v>11.9</v>
      </c>
      <c r="J12" t="n">
        <v>10</v>
      </c>
      <c r="K12" t="n">
        <v>3</v>
      </c>
      <c r="L12" t="n">
        <v>5</v>
      </c>
      <c r="M12" t="n">
        <v>1</v>
      </c>
      <c r="N12" t="n">
        <v>0</v>
      </c>
      <c r="O12" t="n">
        <v>0</v>
      </c>
      <c r="P12" t="n">
        <v>0</v>
      </c>
      <c r="Q12" t="n">
        <v>6</v>
      </c>
      <c r="R12" t="n">
        <v>1</v>
      </c>
      <c r="S12" t="n">
        <v>15</v>
      </c>
      <c r="T12" t="n">
        <v>24</v>
      </c>
      <c r="U12" t="n">
        <v>9</v>
      </c>
      <c r="V12" s="2" t="inlineStr">
        <is>
          <t>Knärot
Brunlångöra
Dropptaggsvamp
Nordfladdermus
Orange taggsvamp
Talltita
Mindre märgborre
Vedticka
Västlig hakmossa
Stjärtmes
Tjäder
Tofsmes
Dvärgpipistrell
Svartvit flugsnappare
Revlummer</t>
        </is>
      </c>
      <c r="W12">
        <f>HYPERLINK("https://klasma.github.io/Logging_1907/artfynd/S 2049-2026 artfynd.xlsx", "S 2049-2026")</f>
        <v/>
      </c>
      <c r="X12">
        <f>HYPERLINK("https://klasma.github.io/Logging_1907/kartor/S 2049-2026 karta.png", "S 2049-2026")</f>
        <v/>
      </c>
      <c r="Y12">
        <f>HYPERLINK("https://klasma.github.io/Logging_1907/kartor_geotiff/S 2049-2026 georefererad karta.tif", "S 2049-2026")</f>
        <v/>
      </c>
      <c r="Z12">
        <f>HYPERLINK("https://klasma.github.io/Logging_1907/knärot/S 2049-2026 karta knärot.png", "S 2049-2026")</f>
        <v/>
      </c>
      <c r="AA12">
        <f>HYPERLINK("https://klasma.github.io/Logging_1907/klagomål/S 2049-2026 FSC-klagomål.docx", "S 2049-2026")</f>
        <v/>
      </c>
      <c r="AB12">
        <f>HYPERLINK("https://klasma.github.io/Logging_1907/klagomålsmail/S 2049-2026 FSC-klagomål mail.docx", "S 2049-2026")</f>
        <v/>
      </c>
      <c r="AC12">
        <f>HYPERLINK("https://klasma.github.io/Logging_1907/tillsyn/S 2049-2026 tillsynsbegäran.docx", "S 2049-2026")</f>
        <v/>
      </c>
      <c r="AD12">
        <f>HYPERLINK("https://klasma.github.io/Logging_1907/tillsynsmail/S 2049-2026 tillsynsbegäran mail.docx", "S 2049-2026")</f>
        <v/>
      </c>
      <c r="AE12">
        <f>HYPERLINK("https://klasma.github.io/Logging_1907/fåglar/S 2049-2026 prioriterade fågelarter.docx", "S 2049-2026")</f>
        <v/>
      </c>
    </row>
    <row r="13" ht="15" customHeight="1">
      <c r="A13" t="inlineStr">
        <is>
          <t>S 2048-2026</t>
        </is>
      </c>
      <c r="B13" t="inlineStr">
        <is>
          <t>samrådsanmälan</t>
        </is>
      </c>
      <c r="C13" t="inlineStr">
        <is>
          <t>Annan skogsbruksåtgärd</t>
        </is>
      </c>
      <c r="D13" s="1" t="n">
        <v>46216</v>
      </c>
      <c r="E13" s="1" t="n">
        <v>46297</v>
      </c>
      <c r="F13" t="inlineStr">
        <is>
          <t>VÄSTMANLANDS LÄN</t>
        </is>
      </c>
      <c r="G13" t="inlineStr">
        <is>
          <t>SURAHAMMAR</t>
        </is>
      </c>
      <c r="H13" t="inlineStr">
        <is>
          <t>Bergvik skog väst AB</t>
        </is>
      </c>
      <c r="I13" t="n">
        <v>25.7</v>
      </c>
      <c r="J13" t="n">
        <v>9</v>
      </c>
      <c r="K13" t="n">
        <v>3</v>
      </c>
      <c r="L13" t="n">
        <v>6</v>
      </c>
      <c r="M13" t="n">
        <v>1</v>
      </c>
      <c r="N13" t="n">
        <v>0</v>
      </c>
      <c r="O13" t="n">
        <v>0</v>
      </c>
      <c r="P13" t="n">
        <v>0</v>
      </c>
      <c r="Q13" t="n">
        <v>7</v>
      </c>
      <c r="R13" t="n">
        <v>1</v>
      </c>
      <c r="S13" t="n">
        <v>15</v>
      </c>
      <c r="T13" t="n">
        <v>24</v>
      </c>
      <c r="U13" t="n">
        <v>6</v>
      </c>
      <c r="V13" s="2" t="inlineStr">
        <is>
          <t>Knärot
Brunlångöra
Motaggsvamp
Nordfladdermus
Tallticka
Talltita
Vaddporing
Bollvitmossa
Mindre märgborre
Västlig hakmossa
Spillkråka
Tjäder
Dvärgpipistrell
Orre
Svartvit flugsnappare</t>
        </is>
      </c>
      <c r="W13">
        <f>HYPERLINK("https://klasma.github.io/Logging_1907/artfynd/S 2048-2026 artfynd.xlsx", "S 2048-2026")</f>
        <v/>
      </c>
      <c r="X13">
        <f>HYPERLINK("https://klasma.github.io/Logging_1907/kartor/S 2048-2026 karta.png", "S 2048-2026")</f>
        <v/>
      </c>
      <c r="Y13">
        <f>HYPERLINK("https://klasma.github.io/Logging_1907/kartor_geotiff/S 2048-2026 georefererad karta.tif", "S 2048-2026")</f>
        <v/>
      </c>
      <c r="Z13">
        <f>HYPERLINK("https://klasma.github.io/Logging_1907/knärot/S 2048-2026 karta knärot.png", "S 2048-2026")</f>
        <v/>
      </c>
      <c r="AA13">
        <f>HYPERLINK("https://klasma.github.io/Logging_1907/klagomål/S 2048-2026 FSC-klagomål.docx", "S 2048-2026")</f>
        <v/>
      </c>
      <c r="AB13">
        <f>HYPERLINK("https://klasma.github.io/Logging_1907/klagomålsmail/S 2048-2026 FSC-klagomål mail.docx", "S 2048-2026")</f>
        <v/>
      </c>
      <c r="AC13">
        <f>HYPERLINK("https://klasma.github.io/Logging_1907/tillsyn/S 2048-2026 tillsynsbegäran.docx", "S 2048-2026")</f>
        <v/>
      </c>
      <c r="AD13">
        <f>HYPERLINK("https://klasma.github.io/Logging_1907/tillsynsmail/S 2048-2026 tillsynsbegäran mail.docx", "S 2048-2026")</f>
        <v/>
      </c>
      <c r="AE13">
        <f>HYPERLINK("https://klasma.github.io/Logging_1907/fåglar/S 2048-2026 prioriterade fågelarter.docx", "S 2048-2026")</f>
        <v/>
      </c>
    </row>
    <row r="14" ht="15" customHeight="1">
      <c r="A14" t="inlineStr">
        <is>
          <t>A 32212-2026</t>
        </is>
      </c>
      <c r="B14" t="inlineStr">
        <is>
          <t>avverkningsanmälan</t>
        </is>
      </c>
      <c r="C14" t="inlineStr">
        <is>
          <t>Föryngringsavverkning</t>
        </is>
      </c>
      <c r="D14" s="1" t="n">
        <v>46237</v>
      </c>
      <c r="E14" s="1" t="n">
        <v>46297</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46297</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46297</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46297</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46297</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46297</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46297</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46297</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46297</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46297</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46297</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46297</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46297</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46297</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46297</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46297</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36260-2026</t>
        </is>
      </c>
      <c r="B30" t="inlineStr">
        <is>
          <t>avverkningsanmälan</t>
        </is>
      </c>
      <c r="C30" t="inlineStr">
        <is>
          <t>Föryngringsavverkning</t>
        </is>
      </c>
      <c r="D30" s="1" t="n">
        <v>46268</v>
      </c>
      <c r="E30" s="1" t="n">
        <v>46297</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22840-2023</t>
        </is>
      </c>
      <c r="B31" t="inlineStr">
        <is>
          <t>avverkningsanmälan</t>
        </is>
      </c>
      <c r="C31" t="inlineStr">
        <is>
          <t>Föryngringsavverkning</t>
        </is>
      </c>
      <c r="D31" s="1" t="n">
        <v>45072</v>
      </c>
      <c r="E31" s="1" t="n">
        <v>46297</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38172-2024</t>
        </is>
      </c>
      <c r="B32" t="inlineStr">
        <is>
          <t>avverkningsanmälan</t>
        </is>
      </c>
      <c r="C32" t="inlineStr">
        <is>
          <t>Avverkning för att bevara och utveckla /försöksver</t>
        </is>
      </c>
      <c r="D32" s="1" t="n">
        <v>45545</v>
      </c>
      <c r="E32" s="1" t="n">
        <v>46297</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46297</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46297</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46297</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46297</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46297</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46297</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46297</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46297</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46297</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46297</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46297</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46297</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46297</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63146-2025</t>
        </is>
      </c>
      <c r="B46" t="inlineStr">
        <is>
          <t>avverkningsanmälan</t>
        </is>
      </c>
      <c r="C46" t="inlineStr">
        <is>
          <t>Föryngringsavverkning</t>
        </is>
      </c>
      <c r="D46" s="1" t="n">
        <v>46009</v>
      </c>
      <c r="E46" s="1" t="n">
        <v>46297</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46297</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46297</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42765-2022</t>
        </is>
      </c>
      <c r="B49" t="inlineStr">
        <is>
          <t>avverkningsanmälan</t>
        </is>
      </c>
      <c r="C49" t="inlineStr">
        <is>
          <t>Avverkning för annat ändamål</t>
        </is>
      </c>
      <c r="D49" s="1" t="n">
        <v>44832</v>
      </c>
      <c r="E49" s="1" t="n">
        <v>46297</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t="n">
        <v>1</v>
      </c>
      <c r="V49" s="2" t="inlineStr">
        <is>
          <t>Krusfrö
Barkticka
Blåsippa</t>
        </is>
      </c>
      <c r="W49">
        <f>HYPERLINK("https://klasma.github.io/Logging_1907/artfynd/A 42765-2022 artfynd.xlsx", "A 42765-2022")</f>
        <v/>
      </c>
      <c r="X49">
        <f>HYPERLINK("https://klasma.github.io/Logging_1907/kartor/A 42765-2022 karta.png", "A 42765-2022")</f>
        <v/>
      </c>
      <c r="Y49">
        <f>HYPERLINK("https://klasma.github.io/Logging_1907/kartor_geotiff/A 42765-2022 georefererad karta.tif", "A 42765-2022")</f>
        <v/>
      </c>
      <c r="AA49">
        <f>HYPERLINK("https://klasma.github.io/Logging_1907/klagomål/A 42765-2022 FSC-klagomål.docx", "A 42765-2022")</f>
        <v/>
      </c>
      <c r="AB49">
        <f>HYPERLINK("https://klasma.github.io/Logging_1907/klagomålsmail/A 42765-2022 FSC-klagomål mail.docx", "A 42765-2022")</f>
        <v/>
      </c>
      <c r="AC49">
        <f>HYPERLINK("https://klasma.github.io/Logging_1907/tillsyn/A 42765-2022 tillsynsbegäran.docx", "A 42765-2022")</f>
        <v/>
      </c>
      <c r="AD49">
        <f>HYPERLINK("https://klasma.github.io/Logging_1907/tillsynsmail/A 42765-2022 tillsynsbegäran mail.docx", "A 42765-2022")</f>
        <v/>
      </c>
    </row>
    <row r="50" ht="15" customHeight="1">
      <c r="A50" t="inlineStr">
        <is>
          <t>A 36264-2026</t>
        </is>
      </c>
      <c r="B50" t="inlineStr">
        <is>
          <t>avverkningsanmälan</t>
        </is>
      </c>
      <c r="C50" t="inlineStr">
        <is>
          <t>Föryngringsavverkning</t>
        </is>
      </c>
      <c r="D50" s="1" t="n">
        <v>46268</v>
      </c>
      <c r="E50" s="1" t="n">
        <v>46297</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46297</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46297</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46297</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46297</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46297</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46297</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40403-2025</t>
        </is>
      </c>
      <c r="B57" t="inlineStr">
        <is>
          <t>avverkningsanmälan</t>
        </is>
      </c>
      <c r="C57" t="inlineStr">
        <is>
          <t>Föryngringsavverkning</t>
        </is>
      </c>
      <c r="D57" s="1" t="n">
        <v>45895</v>
      </c>
      <c r="E57" s="1" t="n">
        <v>46297</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13788-2025</t>
        </is>
      </c>
      <c r="B58" t="inlineStr">
        <is>
          <t>avverkningsanmälan</t>
        </is>
      </c>
      <c r="C58" t="inlineStr">
        <is>
          <t>Föryngringsavverkning</t>
        </is>
      </c>
      <c r="D58" s="1" t="n">
        <v>45737</v>
      </c>
      <c r="E58" s="1" t="n">
        <v>46297</v>
      </c>
      <c r="F58" t="inlineStr">
        <is>
          <t>VÄSTMANLANDS LÄN</t>
        </is>
      </c>
      <c r="G58" t="inlineStr">
        <is>
          <t>SURAHAMMAR</t>
        </is>
      </c>
      <c r="I58" t="n">
        <v>9.699999999999999</v>
      </c>
      <c r="J58" t="n">
        <v>2</v>
      </c>
      <c r="K58" t="n">
        <v>0</v>
      </c>
      <c r="L58" t="n">
        <v>1</v>
      </c>
      <c r="M58" t="n">
        <v>0</v>
      </c>
      <c r="N58" t="n">
        <v>0</v>
      </c>
      <c r="O58" t="n">
        <v>0</v>
      </c>
      <c r="P58" t="n">
        <v>0</v>
      </c>
      <c r="Q58" t="n">
        <v>1</v>
      </c>
      <c r="R58" t="n">
        <v>0</v>
      </c>
      <c r="S58" t="n">
        <v>2</v>
      </c>
      <c r="T58" t="n">
        <v>2</v>
      </c>
      <c r="U58" t="n">
        <v>2</v>
      </c>
      <c r="V58" s="2" t="inlineStr">
        <is>
          <t>Sparvuggla
Nattskärra</t>
        </is>
      </c>
      <c r="W58">
        <f>HYPERLINK("https://klasma.github.io/Logging_1907/artfynd/A 13788-2025 artfynd.xlsx", "A 13788-2025")</f>
        <v/>
      </c>
      <c r="X58">
        <f>HYPERLINK("https://klasma.github.io/Logging_1907/kartor/A 13788-2025 karta.png", "A 13788-2025")</f>
        <v/>
      </c>
      <c r="Y58">
        <f>HYPERLINK("https://klasma.github.io/Logging_1907/kartor_geotiff/A 13788-2025 georefererad karta.tif", "A 13788-2025")</f>
        <v/>
      </c>
      <c r="AA58">
        <f>HYPERLINK("https://klasma.github.io/Logging_1907/klagomål/A 13788-2025 FSC-klagomål.docx", "A 13788-2025")</f>
        <v/>
      </c>
      <c r="AB58">
        <f>HYPERLINK("https://klasma.github.io/Logging_1907/klagomålsmail/A 13788-2025 FSC-klagomål mail.docx", "A 13788-2025")</f>
        <v/>
      </c>
      <c r="AC58">
        <f>HYPERLINK("https://klasma.github.io/Logging_1907/tillsyn/A 13788-2025 tillsynsbegäran.docx", "A 13788-2025")</f>
        <v/>
      </c>
      <c r="AD58">
        <f>HYPERLINK("https://klasma.github.io/Logging_1907/tillsynsmail/A 13788-2025 tillsynsbegäran mail.docx", "A 13788-2025")</f>
        <v/>
      </c>
      <c r="AE58">
        <f>HYPERLINK("https://klasma.github.io/Logging_1907/fåglar/A 13788-2025 prioriterade fågelarter.docx", "A 13788-2025")</f>
        <v/>
      </c>
    </row>
    <row r="59" ht="15" customHeight="1">
      <c r="A59" t="inlineStr">
        <is>
          <t>A 14001-2023</t>
        </is>
      </c>
      <c r="B59" t="inlineStr">
        <is>
          <t>avverkningsanmälan</t>
        </is>
      </c>
      <c r="C59" t="inlineStr">
        <is>
          <t>Föryngringsavverkning</t>
        </is>
      </c>
      <c r="D59" s="1" t="n">
        <v>45007</v>
      </c>
      <c r="E59" s="1" t="n">
        <v>46297</v>
      </c>
      <c r="F59" t="inlineStr">
        <is>
          <t>VÄSTMANLANDS LÄN</t>
        </is>
      </c>
      <c r="G59" t="inlineStr">
        <is>
          <t>SURAHAMMAR</t>
        </is>
      </c>
      <c r="H59" t="inlineStr">
        <is>
          <t>Bergvik skog väst AB</t>
        </is>
      </c>
      <c r="I59" t="n">
        <v>1</v>
      </c>
      <c r="J59" t="n">
        <v>0</v>
      </c>
      <c r="K59" t="n">
        <v>0</v>
      </c>
      <c r="L59" t="n">
        <v>1</v>
      </c>
      <c r="M59" t="n">
        <v>1</v>
      </c>
      <c r="N59" t="n">
        <v>0</v>
      </c>
      <c r="O59" t="n">
        <v>0</v>
      </c>
      <c r="P59" t="n">
        <v>0</v>
      </c>
      <c r="Q59" t="n">
        <v>2</v>
      </c>
      <c r="R59" t="n">
        <v>1</v>
      </c>
      <c r="S59" t="n">
        <v>2</v>
      </c>
      <c r="T59" t="n">
        <v>2</v>
      </c>
      <c r="U59" t="n">
        <v>0</v>
      </c>
      <c r="V59" s="2" t="inlineStr">
        <is>
          <t>Garnlav
Motaggsvamp</t>
        </is>
      </c>
      <c r="W59">
        <f>HYPERLINK("https://klasma.github.io/Logging_1907/artfynd/A 14001-2023 artfynd.xlsx", "A 14001-2023")</f>
        <v/>
      </c>
      <c r="X59">
        <f>HYPERLINK("https://klasma.github.io/Logging_1907/kartor/A 14001-2023 karta.png", "A 14001-2023")</f>
        <v/>
      </c>
      <c r="Y59">
        <f>HYPERLINK("https://klasma.github.io/Logging_1907/kartor_geotiff/A 14001-2023 georefererad karta.tif", "A 14001-2023")</f>
        <v/>
      </c>
      <c r="AA59">
        <f>HYPERLINK("https://klasma.github.io/Logging_1907/klagomål/A 14001-2023 FSC-klagomål.docx", "A 14001-2023")</f>
        <v/>
      </c>
      <c r="AB59">
        <f>HYPERLINK("https://klasma.github.io/Logging_1907/klagomålsmail/A 14001-2023 FSC-klagomål mail.docx", "A 14001-2023")</f>
        <v/>
      </c>
      <c r="AC59">
        <f>HYPERLINK("https://klasma.github.io/Logging_1907/tillsyn/A 14001-2023 tillsynsbegäran.docx", "A 14001-2023")</f>
        <v/>
      </c>
      <c r="AD59">
        <f>HYPERLINK("https://klasma.github.io/Logging_1907/tillsynsmail/A 14001-2023 tillsynsbegäran mail.docx", "A 14001-2023")</f>
        <v/>
      </c>
    </row>
    <row r="60" ht="15" customHeight="1">
      <c r="A60" t="inlineStr">
        <is>
          <t>A 47453-2024</t>
        </is>
      </c>
      <c r="B60" t="inlineStr">
        <is>
          <t>avverkningsanmälan</t>
        </is>
      </c>
      <c r="C60" t="inlineStr">
        <is>
          <t>Föryngringsavverkning</t>
        </is>
      </c>
      <c r="D60" s="1" t="n">
        <v>45587</v>
      </c>
      <c r="E60" s="1" t="n">
        <v>46297</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11501-2023</t>
        </is>
      </c>
      <c r="B61" t="inlineStr">
        <is>
          <t>avverkningsanmälan</t>
        </is>
      </c>
      <c r="C61" t="inlineStr">
        <is>
          <t>Föryngringsavverkning</t>
        </is>
      </c>
      <c r="D61" s="1" t="n">
        <v>44991</v>
      </c>
      <c r="E61" s="1" t="n">
        <v>46297</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46297</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63138-2025</t>
        </is>
      </c>
      <c r="B63" t="inlineStr">
        <is>
          <t>avverkningsanmälan</t>
        </is>
      </c>
      <c r="C63" t="inlineStr">
        <is>
          <t>Föryngringsavverkning</t>
        </is>
      </c>
      <c r="D63" s="1" t="n">
        <v>46009</v>
      </c>
      <c r="E63" s="1" t="n">
        <v>46297</v>
      </c>
      <c r="F63" t="inlineStr">
        <is>
          <t>VÄSTMANLANDS LÄN</t>
        </is>
      </c>
      <c r="G63" t="inlineStr">
        <is>
          <t>SURAHAMMAR</t>
        </is>
      </c>
      <c r="H63" t="inlineStr">
        <is>
          <t>Bergvik skog väst AB</t>
        </is>
      </c>
      <c r="I63" t="n">
        <v>2.5</v>
      </c>
      <c r="J63" t="n">
        <v>1</v>
      </c>
      <c r="K63" t="n">
        <v>1</v>
      </c>
      <c r="L63" t="n">
        <v>0</v>
      </c>
      <c r="M63" t="n">
        <v>0</v>
      </c>
      <c r="N63" t="n">
        <v>0</v>
      </c>
      <c r="O63" t="n">
        <v>0</v>
      </c>
      <c r="P63" t="n">
        <v>0</v>
      </c>
      <c r="Q63" t="n">
        <v>0</v>
      </c>
      <c r="R63" t="n">
        <v>0</v>
      </c>
      <c r="S63" t="n">
        <v>2</v>
      </c>
      <c r="T63" t="n">
        <v>3</v>
      </c>
      <c r="U63" t="n">
        <v>2</v>
      </c>
      <c r="V63" s="2" t="inlineStr">
        <is>
          <t>Mindre märgborre
Tjäder</t>
        </is>
      </c>
      <c r="W63">
        <f>HYPERLINK("https://klasma.github.io/Logging_1907/artfynd/A 63138-2025 artfynd.xlsx", "A 63138-2025")</f>
        <v/>
      </c>
      <c r="X63">
        <f>HYPERLINK("https://klasma.github.io/Logging_1907/kartor/A 63138-2025 karta.png", "A 63138-2025")</f>
        <v/>
      </c>
      <c r="Y63">
        <f>HYPERLINK("https://klasma.github.io/Logging_1907/kartor_geotiff/A 63138-2025 georefererad karta.tif", "A 63138-2025")</f>
        <v/>
      </c>
      <c r="AA63">
        <f>HYPERLINK("https://klasma.github.io/Logging_1907/klagomål/A 63138-2025 FSC-klagomål.docx", "A 63138-2025")</f>
        <v/>
      </c>
      <c r="AB63">
        <f>HYPERLINK("https://klasma.github.io/Logging_1907/klagomålsmail/A 63138-2025 FSC-klagomål mail.docx", "A 63138-2025")</f>
        <v/>
      </c>
      <c r="AC63">
        <f>HYPERLINK("https://klasma.github.io/Logging_1907/tillsyn/A 63138-2025 tillsynsbegäran.docx", "A 63138-2025")</f>
        <v/>
      </c>
      <c r="AD63">
        <f>HYPERLINK("https://klasma.github.io/Logging_1907/tillsynsmail/A 63138-2025 tillsynsbegäran mail.docx", "A 63138-2025")</f>
        <v/>
      </c>
      <c r="AE63">
        <f>HYPERLINK("https://klasma.github.io/Logging_1907/fåglar/A 63138-2025 prioriterade fågelarter.docx", "A 63138-2025")</f>
        <v/>
      </c>
    </row>
    <row r="64" ht="15" customHeight="1">
      <c r="A64" t="inlineStr">
        <is>
          <t>A 37013-2025</t>
        </is>
      </c>
      <c r="B64" t="inlineStr">
        <is>
          <t>avverkningsanmälan</t>
        </is>
      </c>
      <c r="C64" t="inlineStr">
        <is>
          <t>Föryngringsavverkning</t>
        </is>
      </c>
      <c r="D64" s="1" t="n">
        <v>45874</v>
      </c>
      <c r="E64" s="1" t="n">
        <v>46297</v>
      </c>
      <c r="F64" t="inlineStr">
        <is>
          <t>VÄSTMANLANDS LÄN</t>
        </is>
      </c>
      <c r="G64" t="inlineStr">
        <is>
          <t>SURAHAMMAR</t>
        </is>
      </c>
      <c r="H64" t="inlineStr">
        <is>
          <t>Bergvik skog väst AB</t>
        </is>
      </c>
      <c r="I64" t="n">
        <v>10.7</v>
      </c>
      <c r="J64" t="n">
        <v>0</v>
      </c>
      <c r="K64" t="n">
        <v>0</v>
      </c>
      <c r="L64" t="n">
        <v>0</v>
      </c>
      <c r="M64" t="n">
        <v>2</v>
      </c>
      <c r="N64" t="n">
        <v>0</v>
      </c>
      <c r="O64" t="n">
        <v>0</v>
      </c>
      <c r="P64" t="n">
        <v>0</v>
      </c>
      <c r="Q64" t="n">
        <v>2</v>
      </c>
      <c r="R64" t="n">
        <v>2</v>
      </c>
      <c r="S64" t="n">
        <v>2</v>
      </c>
      <c r="T64" t="n">
        <v>2</v>
      </c>
      <c r="U64" t="n">
        <v>0</v>
      </c>
      <c r="V64" s="2" t="inlineStr">
        <is>
          <t>Brunfläckig pärlemorfjäril
Fältgentiana</t>
        </is>
      </c>
      <c r="W64">
        <f>HYPERLINK("https://klasma.github.io/Logging_1907/artfynd/A 37013-2025 artfynd.xlsx", "A 37013-2025")</f>
        <v/>
      </c>
      <c r="X64">
        <f>HYPERLINK("https://klasma.github.io/Logging_1907/kartor/A 37013-2025 karta.png", "A 37013-2025")</f>
        <v/>
      </c>
      <c r="Y64">
        <f>HYPERLINK("https://klasma.github.io/Logging_1907/kartor_geotiff/A 37013-2025 georefererad karta.tif", "A 37013-2025")</f>
        <v/>
      </c>
      <c r="AA64">
        <f>HYPERLINK("https://klasma.github.io/Logging_1907/klagomål/A 37013-2025 FSC-klagomål.docx", "A 37013-2025")</f>
        <v/>
      </c>
      <c r="AB64">
        <f>HYPERLINK("https://klasma.github.io/Logging_1907/klagomålsmail/A 37013-2025 FSC-klagomål mail.docx", "A 37013-2025")</f>
        <v/>
      </c>
      <c r="AC64">
        <f>HYPERLINK("https://klasma.github.io/Logging_1907/tillsyn/A 37013-2025 tillsynsbegäran.docx", "A 37013-2025")</f>
        <v/>
      </c>
      <c r="AD64">
        <f>HYPERLINK("https://klasma.github.io/Logging_1907/tillsynsmail/A 37013-2025 tillsynsbegäran mail.docx", "A 37013-2025")</f>
        <v/>
      </c>
    </row>
    <row r="65" ht="15" customHeight="1">
      <c r="A65" t="inlineStr">
        <is>
          <t>A 30074-2023</t>
        </is>
      </c>
      <c r="B65" t="inlineStr">
        <is>
          <t>avverkningsanmälan</t>
        </is>
      </c>
      <c r="C65" t="inlineStr">
        <is>
          <t>Föryngringsavverkning</t>
        </is>
      </c>
      <c r="D65" s="1" t="n">
        <v>45110</v>
      </c>
      <c r="E65" s="1" t="n">
        <v>46297</v>
      </c>
      <c r="F65" t="inlineStr">
        <is>
          <t>VÄSTMANLANDS LÄN</t>
        </is>
      </c>
      <c r="G65" t="inlineStr">
        <is>
          <t>SURAHAMMAR</t>
        </is>
      </c>
      <c r="H65" t="inlineStr">
        <is>
          <t>Sveaskog</t>
        </is>
      </c>
      <c r="I65" t="n">
        <v>1.1</v>
      </c>
      <c r="J65" t="n">
        <v>1</v>
      </c>
      <c r="K65" t="n">
        <v>1</v>
      </c>
      <c r="L65" t="n">
        <v>0</v>
      </c>
      <c r="M65" t="n">
        <v>0</v>
      </c>
      <c r="N65" t="n">
        <v>0</v>
      </c>
      <c r="O65" t="n">
        <v>0</v>
      </c>
      <c r="P65" t="n">
        <v>0</v>
      </c>
      <c r="Q65" t="n">
        <v>0</v>
      </c>
      <c r="R65" t="n">
        <v>0</v>
      </c>
      <c r="S65" t="n">
        <v>2</v>
      </c>
      <c r="T65" t="n">
        <v>2</v>
      </c>
      <c r="U65" t="n">
        <v>0</v>
      </c>
      <c r="V65" s="2" t="inlineStr">
        <is>
          <t>Grönpyrola
Revlummer</t>
        </is>
      </c>
      <c r="W65">
        <f>HYPERLINK("https://klasma.github.io/Logging_1907/artfynd/A 30074-2023 artfynd.xlsx", "A 30074-2023")</f>
        <v/>
      </c>
      <c r="X65">
        <f>HYPERLINK("https://klasma.github.io/Logging_1907/kartor/A 30074-2023 karta.png", "A 30074-2023")</f>
        <v/>
      </c>
      <c r="Y65">
        <f>HYPERLINK("https://klasma.github.io/Logging_1907/kartor_geotiff/A 30074-2023 georefererad karta.tif", "A 30074-2023")</f>
        <v/>
      </c>
      <c r="AA65">
        <f>HYPERLINK("https://klasma.github.io/Logging_1907/klagomål/A 30074-2023 FSC-klagomål.docx", "A 30074-2023")</f>
        <v/>
      </c>
      <c r="AB65">
        <f>HYPERLINK("https://klasma.github.io/Logging_1907/klagomålsmail/A 30074-2023 FSC-klagomål mail.docx", "A 30074-2023")</f>
        <v/>
      </c>
      <c r="AC65">
        <f>HYPERLINK("https://klasma.github.io/Logging_1907/tillsyn/A 30074-2023 tillsynsbegäran.docx", "A 30074-2023")</f>
        <v/>
      </c>
      <c r="AD65">
        <f>HYPERLINK("https://klasma.github.io/Logging_1907/tillsynsmail/A 30074-2023 tillsynsbegäran mail.docx", "A 30074-2023")</f>
        <v/>
      </c>
    </row>
    <row r="66" ht="15" customHeight="1">
      <c r="A66" t="inlineStr">
        <is>
          <t>A 13971-2023</t>
        </is>
      </c>
      <c r="B66" t="inlineStr">
        <is>
          <t>avverkningsanmälan</t>
        </is>
      </c>
      <c r="C66" t="inlineStr">
        <is>
          <t>Föryngringsavverkning</t>
        </is>
      </c>
      <c r="D66" s="1" t="n">
        <v>45007</v>
      </c>
      <c r="E66" s="1" t="n">
        <v>46297</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46297</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46297</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46297</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46297</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46297</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46297</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46297</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8553-2023</t>
        </is>
      </c>
      <c r="B74" t="inlineStr">
        <is>
          <t>avverkningsanmälan</t>
        </is>
      </c>
      <c r="C74" t="inlineStr">
        <is>
          <t>Avverkning för att bevara och utveckla /försöksver</t>
        </is>
      </c>
      <c r="D74" s="1" t="n">
        <v>44977</v>
      </c>
      <c r="E74" s="1" t="n">
        <v>46297</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16013-2023</t>
        </is>
      </c>
      <c r="B75" t="inlineStr">
        <is>
          <t>avverkningsanmälan</t>
        </is>
      </c>
      <c r="C75" t="inlineStr">
        <is>
          <t>Föryngringsavverkning</t>
        </is>
      </c>
      <c r="D75" s="1" t="n">
        <v>45026</v>
      </c>
      <c r="E75" s="1" t="n">
        <v>46297</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t="n">
        <v>0</v>
      </c>
      <c r="V75" s="2" t="inlineStr">
        <is>
          <t>Garnlav</t>
        </is>
      </c>
      <c r="W75">
        <f>HYPERLINK("https://klasma.github.io/Logging_1907/artfynd/A 16013-2023 artfynd.xlsx", "A 16013-2023")</f>
        <v/>
      </c>
      <c r="X75">
        <f>HYPERLINK("https://klasma.github.io/Logging_1907/kartor/A 16013-2023 karta.png", "A 16013-2023")</f>
        <v/>
      </c>
      <c r="Y75">
        <f>HYPERLINK("https://klasma.github.io/Logging_1907/kartor_geotiff/A 16013-2023 georefererad karta.tif", "A 16013-2023")</f>
        <v/>
      </c>
      <c r="AA75">
        <f>HYPERLINK("https://klasma.github.io/Logging_1907/klagomål/A 16013-2023 FSC-klagomål.docx", "A 16013-2023")</f>
        <v/>
      </c>
      <c r="AB75">
        <f>HYPERLINK("https://klasma.github.io/Logging_1907/klagomålsmail/A 16013-2023 FSC-klagomål mail.docx", "A 16013-2023")</f>
        <v/>
      </c>
      <c r="AC75">
        <f>HYPERLINK("https://klasma.github.io/Logging_1907/tillsyn/A 16013-2023 tillsynsbegäran.docx", "A 16013-2023")</f>
        <v/>
      </c>
      <c r="AD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46297</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34584-2025</t>
        </is>
      </c>
      <c r="B77" t="inlineStr">
        <is>
          <t>avverkningsanmälan</t>
        </is>
      </c>
      <c r="C77" t="inlineStr">
        <is>
          <t>Föryngringsavverkning</t>
        </is>
      </c>
      <c r="D77" s="1" t="n">
        <v>45846</v>
      </c>
      <c r="E77" s="1" t="n">
        <v>46297</v>
      </c>
      <c r="F77" t="inlineStr">
        <is>
          <t>VÄSTMANLANDS LÄN</t>
        </is>
      </c>
      <c r="G77" t="inlineStr">
        <is>
          <t>SURAHAMMAR</t>
        </is>
      </c>
      <c r="H77" t="inlineStr">
        <is>
          <t>Bergvik skog väst AB</t>
        </is>
      </c>
      <c r="I77" t="n">
        <v>2.7</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HYPERLINK("https://klasma.github.io/Logging_1907/artfynd/A 34584-2025 artfynd.xlsx", "A 34584-2025")</f>
        <v/>
      </c>
      <c r="X77">
        <f>HYPERLINK("https://klasma.github.io/Logging_1907/kartor/A 34584-2025 karta.png", "A 34584-2025")</f>
        <v/>
      </c>
      <c r="Y77">
        <f>HYPERLINK("https://klasma.github.io/Logging_1907/kartor_geotiff/A 34584-2025 georefererad karta.tif", "A 34584-2025")</f>
        <v/>
      </c>
      <c r="AA77">
        <f>HYPERLINK("https://klasma.github.io/Logging_1907/klagomål/A 34584-2025 FSC-klagomål.docx", "A 34584-2025")</f>
        <v/>
      </c>
      <c r="AB77">
        <f>HYPERLINK("https://klasma.github.io/Logging_1907/klagomålsmail/A 34584-2025 FSC-klagomål mail.docx", "A 34584-2025")</f>
        <v/>
      </c>
      <c r="AC77">
        <f>HYPERLINK("https://klasma.github.io/Logging_1907/tillsyn/A 34584-2025 tillsynsbegäran.docx", "A 34584-2025")</f>
        <v/>
      </c>
      <c r="AD77">
        <f>HYPERLINK("https://klasma.github.io/Logging_1907/tillsynsmail/A 34584-2025 tillsynsbegäran mail.docx", "A 34584-2025")</f>
        <v/>
      </c>
      <c r="AE77">
        <f>HYPERLINK("https://klasma.github.io/Logging_1907/fåglar/A 34584-2025 prioriterade fågelarter.docx", "A 34584-2025")</f>
        <v/>
      </c>
    </row>
    <row r="78" ht="15" customHeight="1">
      <c r="A78" t="inlineStr">
        <is>
          <t>A 33231-2024</t>
        </is>
      </c>
      <c r="B78" t="inlineStr">
        <is>
          <t>avverkningsanmälan</t>
        </is>
      </c>
      <c r="C78" t="inlineStr">
        <is>
          <t>Föryngringsavverkning</t>
        </is>
      </c>
      <c r="D78" s="1" t="n">
        <v>45518</v>
      </c>
      <c r="E78" s="1" t="n">
        <v>46297</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46297</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46297</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46297</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46297</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46297</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31589-2026</t>
        </is>
      </c>
      <c r="B84" t="inlineStr">
        <is>
          <t>avverkningsanmälan</t>
        </is>
      </c>
      <c r="C84" t="inlineStr">
        <is>
          <t>Föryngringsavverkning</t>
        </is>
      </c>
      <c r="D84" s="1" t="n">
        <v>46224</v>
      </c>
      <c r="E84" s="1" t="n">
        <v>46297</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17632-2022</t>
        </is>
      </c>
      <c r="B85" t="inlineStr">
        <is>
          <t>avverkningsanmälan</t>
        </is>
      </c>
      <c r="C85" t="inlineStr">
        <is>
          <t>Föryngringsavverkning</t>
        </is>
      </c>
      <c r="D85" s="1" t="n">
        <v>44680</v>
      </c>
      <c r="E85" s="1" t="n">
        <v>46297</v>
      </c>
      <c r="F85" t="inlineStr">
        <is>
          <t>VÄSTMANLANDS LÄN</t>
        </is>
      </c>
      <c r="G85" t="inlineStr">
        <is>
          <t>SURAHAMMAR</t>
        </is>
      </c>
      <c r="I85" t="n">
        <v>5.2</v>
      </c>
      <c r="J85" t="n">
        <v>0</v>
      </c>
      <c r="K85" t="n">
        <v>1</v>
      </c>
      <c r="L85" t="n">
        <v>0</v>
      </c>
      <c r="M85" t="n">
        <v>0</v>
      </c>
      <c r="N85" t="n">
        <v>0</v>
      </c>
      <c r="O85" t="n">
        <v>0</v>
      </c>
      <c r="P85" t="n">
        <v>0</v>
      </c>
      <c r="Q85" t="n">
        <v>0</v>
      </c>
      <c r="R85" t="n">
        <v>0</v>
      </c>
      <c r="S85" t="n">
        <v>1</v>
      </c>
      <c r="T85" t="n">
        <v>1</v>
      </c>
      <c r="U85" t="n">
        <v>0</v>
      </c>
      <c r="V85" s="2" t="inlineStr">
        <is>
          <t>Blodticka</t>
        </is>
      </c>
      <c r="W85">
        <f>HYPERLINK("https://klasma.github.io/Logging_1907/artfynd/A 17632-2022 artfynd.xlsx", "A 17632-2022")</f>
        <v/>
      </c>
      <c r="X85">
        <f>HYPERLINK("https://klasma.github.io/Logging_1907/kartor/A 17632-2022 karta.png", "A 17632-2022")</f>
        <v/>
      </c>
      <c r="Y85">
        <f>HYPERLINK("https://klasma.github.io/Logging_1907/kartor_geotiff/A 17632-2022 georefererad karta.tif", "A 17632-2022")</f>
        <v/>
      </c>
      <c r="AA85">
        <f>HYPERLINK("https://klasma.github.io/Logging_1907/klagomål/A 17632-2022 FSC-klagomål.docx", "A 17632-2022")</f>
        <v/>
      </c>
      <c r="AB85">
        <f>HYPERLINK("https://klasma.github.io/Logging_1907/klagomålsmail/A 17632-2022 FSC-klagomål mail.docx", "A 17632-2022")</f>
        <v/>
      </c>
      <c r="AC85">
        <f>HYPERLINK("https://klasma.github.io/Logging_1907/tillsyn/A 17632-2022 tillsynsbegäran.docx", "A 17632-2022")</f>
        <v/>
      </c>
      <c r="AD85">
        <f>HYPERLINK("https://klasma.github.io/Logging_1907/tillsynsmail/A 17632-2022 tillsynsbegäran mail.docx", "A 17632-2022")</f>
        <v/>
      </c>
    </row>
    <row r="86" ht="15" customHeight="1">
      <c r="A86" t="inlineStr">
        <is>
          <t>A 64073-2021</t>
        </is>
      </c>
      <c r="B86" t="inlineStr">
        <is>
          <t>avverkningsanmälan</t>
        </is>
      </c>
      <c r="C86" t="inlineStr">
        <is>
          <t>Avverkning för annat ändamål</t>
        </is>
      </c>
      <c r="D86" s="1" t="n">
        <v>44509</v>
      </c>
      <c r="E86" s="1" t="n">
        <v>46297</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46297</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46297</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46297</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46297</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46297</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46297</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46297</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46297</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46297</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42832-2022</t>
        </is>
      </c>
      <c r="B96" t="inlineStr">
        <is>
          <t>avverkningsanmälan</t>
        </is>
      </c>
      <c r="C96" t="inlineStr">
        <is>
          <t>Avverkning för annat ändamål</t>
        </is>
      </c>
      <c r="D96" s="1" t="n">
        <v>44832</v>
      </c>
      <c r="E96" s="1" t="n">
        <v>46297</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46297</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46297</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15739-2023</t>
        </is>
      </c>
      <c r="B99" t="inlineStr">
        <is>
          <t>avverkningsanmälan</t>
        </is>
      </c>
      <c r="C99" t="inlineStr">
        <is>
          <t>Föryngringsavverkning</t>
        </is>
      </c>
      <c r="D99" s="1" t="n">
        <v>45021</v>
      </c>
      <c r="E99" s="1" t="n">
        <v>46297</v>
      </c>
      <c r="F99" t="inlineStr">
        <is>
          <t>VÄSTMANLANDS LÄN</t>
        </is>
      </c>
      <c r="G99" t="inlineStr">
        <is>
          <t>SURAHAMMAR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4724-2026</t>
        </is>
      </c>
      <c r="B100" t="inlineStr">
        <is>
          <t>avverkningsanmälan</t>
        </is>
      </c>
      <c r="C100" t="inlineStr">
        <is>
          <t>Föryngringsavverkning</t>
        </is>
      </c>
      <c r="D100" s="1" t="n">
        <v>46048</v>
      </c>
      <c r="E100" s="1" t="n">
        <v>46297</v>
      </c>
      <c r="F100" t="inlineStr">
        <is>
          <t>VÄSTMANLANDS LÄN</t>
        </is>
      </c>
      <c r="G100" t="inlineStr">
        <is>
          <t>SURAHAMMAR</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4734-2026</t>
        </is>
      </c>
      <c r="B101" t="inlineStr">
        <is>
          <t>avverkningsanmälan</t>
        </is>
      </c>
      <c r="C101" t="inlineStr">
        <is>
          <t>Föryngringsavverkning</t>
        </is>
      </c>
      <c r="D101" s="1" t="n">
        <v>46048</v>
      </c>
      <c r="E101" s="1" t="n">
        <v>46297</v>
      </c>
      <c r="F101" t="inlineStr">
        <is>
          <t>VÄSTMANLANDS LÄN</t>
        </is>
      </c>
      <c r="G101" t="inlineStr">
        <is>
          <t>SURAHAMMAR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3818-2022</t>
        </is>
      </c>
      <c r="B102" t="inlineStr">
        <is>
          <t>avverkningsanmälan</t>
        </is>
      </c>
      <c r="C102" t="inlineStr">
        <is>
          <t>Föryngringsavverkning</t>
        </is>
      </c>
      <c r="D102" s="1" t="n">
        <v>44587</v>
      </c>
      <c r="E102" s="1" t="n">
        <v>46297</v>
      </c>
      <c r="F102" t="inlineStr">
        <is>
          <t>VÄSTMANLANDS LÄN</t>
        </is>
      </c>
      <c r="G102" t="inlineStr">
        <is>
          <t>SURAHAMMAR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10244-2026</t>
        </is>
      </c>
      <c r="B103" t="inlineStr">
        <is>
          <t>avverkningsanmälan</t>
        </is>
      </c>
      <c r="C103" t="inlineStr">
        <is>
          <t>Föryngringsavverkning</t>
        </is>
      </c>
      <c r="D103" s="1" t="n">
        <v>46076</v>
      </c>
      <c r="E103" s="1" t="n">
        <v>46297</v>
      </c>
      <c r="F103" t="inlineStr">
        <is>
          <t>VÄSTMANLANDS LÄN</t>
        </is>
      </c>
      <c r="G103" t="inlineStr">
        <is>
          <t>SURAHAMMAR</t>
        </is>
      </c>
      <c r="H103" t="inlineStr">
        <is>
          <t>Allmännings- och besparingsskogar</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10562-2026</t>
        </is>
      </c>
      <c r="B104" t="inlineStr">
        <is>
          <t>avverkningsanmälan</t>
        </is>
      </c>
      <c r="C104" t="inlineStr">
        <is>
          <t>Föryngringsavverkning</t>
        </is>
      </c>
      <c r="D104" s="1" t="n">
        <v>46077</v>
      </c>
      <c r="E104" s="1" t="n">
        <v>46297</v>
      </c>
      <c r="F104" t="inlineStr">
        <is>
          <t>VÄSTMANLANDS LÄN</t>
        </is>
      </c>
      <c r="G104" t="inlineStr">
        <is>
          <t>SURAHAMMAR</t>
        </is>
      </c>
      <c r="H104" t="inlineStr">
        <is>
          <t>Övriga Aktiebolag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12841-2026</t>
        </is>
      </c>
      <c r="B105" t="inlineStr">
        <is>
          <t>avverkningsanmälan</t>
        </is>
      </c>
      <c r="C105" t="inlineStr">
        <is>
          <t>Föryngringsavverkning</t>
        </is>
      </c>
      <c r="D105" s="1" t="n">
        <v>46091</v>
      </c>
      <c r="E105" s="1" t="n">
        <v>46297</v>
      </c>
      <c r="F105" t="inlineStr">
        <is>
          <t>VÄSTMANLANDS LÄN</t>
        </is>
      </c>
      <c r="G105" t="inlineStr">
        <is>
          <t>SURAHAMMAR</t>
        </is>
      </c>
      <c r="H105" t="inlineStr">
        <is>
          <t>Bergvik skog väst AB</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19782-2023</t>
        </is>
      </c>
      <c r="B106" t="inlineStr">
        <is>
          <t>avverkningsanmälan</t>
        </is>
      </c>
      <c r="C106" t="inlineStr">
        <is>
          <t>Föryngringsavverkning</t>
        </is>
      </c>
      <c r="D106" s="1" t="n">
        <v>45050</v>
      </c>
      <c r="E106" s="1" t="n">
        <v>46297</v>
      </c>
      <c r="F106" t="inlineStr">
        <is>
          <t>VÄSTMANLANDS LÄN</t>
        </is>
      </c>
      <c r="G106" t="inlineStr">
        <is>
          <t>SURAHAMMAR</t>
        </is>
      </c>
      <c r="H106" t="inlineStr">
        <is>
          <t>Bergvik skog väst AB</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14626-2023</t>
        </is>
      </c>
      <c r="B107" t="inlineStr">
        <is>
          <t>avverkningsanmälan</t>
        </is>
      </c>
      <c r="C107" t="inlineStr">
        <is>
          <t>Föryngringsavverkning</t>
        </is>
      </c>
      <c r="D107" s="1" t="n">
        <v>45012</v>
      </c>
      <c r="E107" s="1" t="n">
        <v>46297</v>
      </c>
      <c r="F107" t="inlineStr">
        <is>
          <t>VÄSTMANLANDS LÄN</t>
        </is>
      </c>
      <c r="G107" t="inlineStr">
        <is>
          <t>SURAHAMMAR</t>
        </is>
      </c>
      <c r="H107" t="inlineStr">
        <is>
          <t>Bergvik skog väst AB</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56378-2023</t>
        </is>
      </c>
      <c r="B108" t="inlineStr">
        <is>
          <t>avverkningsanmälan</t>
        </is>
      </c>
      <c r="C108" t="inlineStr">
        <is>
          <t>Föryngringsavverkning</t>
        </is>
      </c>
      <c r="D108" s="1" t="n">
        <v>45236</v>
      </c>
      <c r="E108" s="1" t="n">
        <v>46297</v>
      </c>
      <c r="F108" t="inlineStr">
        <is>
          <t>VÄSTMANLANDS LÄN</t>
        </is>
      </c>
      <c r="G108" t="inlineStr">
        <is>
          <t>SURAHAMMAR</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46297</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55873-2025</t>
        </is>
      </c>
      <c r="B110" t="inlineStr">
        <is>
          <t>avverkningsanmälan</t>
        </is>
      </c>
      <c r="C110" t="inlineStr">
        <is>
          <t>Föryngringsavverkning</t>
        </is>
      </c>
      <c r="D110" s="1" t="n">
        <v>45973</v>
      </c>
      <c r="E110" s="1" t="n">
        <v>46297</v>
      </c>
      <c r="F110" t="inlineStr">
        <is>
          <t>VÄSTMANLANDS LÄN</t>
        </is>
      </c>
      <c r="G110" t="inlineStr">
        <is>
          <t>SURAHAMMAR</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19246-2026</t>
        </is>
      </c>
      <c r="B111" t="inlineStr">
        <is>
          <t>avverkningsanmälan</t>
        </is>
      </c>
      <c r="C111" t="inlineStr">
        <is>
          <t>Avverkning för annat ändamål</t>
        </is>
      </c>
      <c r="D111" s="1" t="n">
        <v>46132</v>
      </c>
      <c r="E111" s="1" t="n">
        <v>46297</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20904-2023</t>
        </is>
      </c>
      <c r="B112" t="inlineStr">
        <is>
          <t>avverkningsanmälan</t>
        </is>
      </c>
      <c r="C112" t="inlineStr">
        <is>
          <t>Avverkning för att bevara och utveckla /försöksver</t>
        </is>
      </c>
      <c r="D112" s="1" t="n">
        <v>45060</v>
      </c>
      <c r="E112" s="1" t="n">
        <v>46297</v>
      </c>
      <c r="F112" t="inlineStr">
        <is>
          <t>VÄSTMANLANDS LÄN</t>
        </is>
      </c>
      <c r="G112" t="inlineStr">
        <is>
          <t>SURAHAMMAR</t>
        </is>
      </c>
      <c r="H112" t="inlineStr">
        <is>
          <t>Sveaskog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42829-2022</t>
        </is>
      </c>
      <c r="B113" t="inlineStr">
        <is>
          <t>avverkningsanmälan</t>
        </is>
      </c>
      <c r="C113" t="inlineStr">
        <is>
          <t>Avverkning för annat ändamål</t>
        </is>
      </c>
      <c r="D113" s="1" t="n">
        <v>44832</v>
      </c>
      <c r="E113" s="1" t="n">
        <v>46297</v>
      </c>
      <c r="F113" t="inlineStr">
        <is>
          <t>VÄSTMANLANDS LÄN</t>
        </is>
      </c>
      <c r="G113" t="inlineStr">
        <is>
          <t>SURAHAMMAR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46297</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32808-2024</t>
        </is>
      </c>
      <c r="B115" t="inlineStr">
        <is>
          <t>avverkningsanmälan</t>
        </is>
      </c>
      <c r="C115" t="inlineStr">
        <is>
          <t>Föryngringsavverkning</t>
        </is>
      </c>
      <c r="D115" s="1" t="n">
        <v>45516</v>
      </c>
      <c r="E115" s="1" t="n">
        <v>46297</v>
      </c>
      <c r="F115" t="inlineStr">
        <is>
          <t>VÄSTMANLANDS LÄN</t>
        </is>
      </c>
      <c r="G115" t="inlineStr">
        <is>
          <t>SURAHAMMAR</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33931-2022</t>
        </is>
      </c>
      <c r="B116" t="inlineStr">
        <is>
          <t>avverkningsanmälan</t>
        </is>
      </c>
      <c r="C116" t="inlineStr">
        <is>
          <t>Föryngringsavverkning</t>
        </is>
      </c>
      <c r="D116" s="1" t="n">
        <v>44790</v>
      </c>
      <c r="E116" s="1" t="n">
        <v>46297</v>
      </c>
      <c r="F116" t="inlineStr">
        <is>
          <t>VÄSTMANLANDS LÄN</t>
        </is>
      </c>
      <c r="G116" t="inlineStr">
        <is>
          <t>SURAHAMMAR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20535-2026</t>
        </is>
      </c>
      <c r="B117" t="inlineStr">
        <is>
          <t>avverkningsanmälan</t>
        </is>
      </c>
      <c r="C117" t="inlineStr">
        <is>
          <t>Avverkning för annat ändamål</t>
        </is>
      </c>
      <c r="D117" s="1" t="n">
        <v>46140</v>
      </c>
      <c r="E117" s="1" t="n">
        <v>46297</v>
      </c>
      <c r="F117" t="inlineStr">
        <is>
          <t>VÄSTMANLANDS LÄN</t>
        </is>
      </c>
      <c r="G117" t="inlineStr">
        <is>
          <t>SURAHAMMAR</t>
        </is>
      </c>
      <c r="H117" t="inlineStr">
        <is>
          <t>Bergvik skog väst AB</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22662-2023</t>
        </is>
      </c>
      <c r="B118" t="inlineStr">
        <is>
          <t>avverkningsanmälan</t>
        </is>
      </c>
      <c r="C118" t="inlineStr">
        <is>
          <t>Avverkning för att bevara och utveckla /försöksver</t>
        </is>
      </c>
      <c r="D118" s="1" t="n">
        <v>45071</v>
      </c>
      <c r="E118" s="1" t="n">
        <v>46297</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37954-2025</t>
        </is>
      </c>
      <c r="B119" t="inlineStr">
        <is>
          <t>avverkningsanmälan</t>
        </is>
      </c>
      <c r="C119" t="inlineStr">
        <is>
          <t>Föryngringsavverkning</t>
        </is>
      </c>
      <c r="D119" s="1" t="n">
        <v>45881</v>
      </c>
      <c r="E119" s="1" t="n">
        <v>46297</v>
      </c>
      <c r="F119" t="inlineStr">
        <is>
          <t>VÄSTMANLANDS LÄN</t>
        </is>
      </c>
      <c r="G119" t="inlineStr">
        <is>
          <t>SURAHAMMAR</t>
        </is>
      </c>
      <c r="I119" t="n">
        <v>9.5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49058-2024</t>
        </is>
      </c>
      <c r="B120" t="inlineStr">
        <is>
          <t>avverkningsanmälan</t>
        </is>
      </c>
      <c r="C120" t="inlineStr">
        <is>
          <t>Föryngringsavverkning</t>
        </is>
      </c>
      <c r="D120" s="1" t="n">
        <v>45594</v>
      </c>
      <c r="E120" s="1" t="n">
        <v>46297</v>
      </c>
      <c r="F120" t="inlineStr">
        <is>
          <t>VÄSTMANLANDS LÄN</t>
        </is>
      </c>
      <c r="G120" t="inlineStr">
        <is>
          <t>SURAHAMMAR</t>
        </is>
      </c>
      <c r="H120" t="inlineStr">
        <is>
          <t>Sveaskog</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25450-2024</t>
        </is>
      </c>
      <c r="B121" t="inlineStr">
        <is>
          <t>avverkningsanmälan</t>
        </is>
      </c>
      <c r="C121" t="inlineStr">
        <is>
          <t>Föryngringsavverkning</t>
        </is>
      </c>
      <c r="D121" s="1" t="n">
        <v>45463</v>
      </c>
      <c r="E121" s="1" t="n">
        <v>46297</v>
      </c>
      <c r="F121" t="inlineStr">
        <is>
          <t>VÄSTMANLANDS LÄN</t>
        </is>
      </c>
      <c r="G121" t="inlineStr">
        <is>
          <t>SURAHAMMAR</t>
        </is>
      </c>
      <c r="H121" t="inlineStr">
        <is>
          <t>Bergvik skog väst AB</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24201-2026</t>
        </is>
      </c>
      <c r="B122" t="inlineStr">
        <is>
          <t>avverkningsanmälan</t>
        </is>
      </c>
      <c r="C122" t="inlineStr">
        <is>
          <t>Föryngringsavverkning</t>
        </is>
      </c>
      <c r="D122" s="1" t="n">
        <v>46168</v>
      </c>
      <c r="E122" s="1" t="n">
        <v>46297</v>
      </c>
      <c r="F122" t="inlineStr">
        <is>
          <t>VÄSTMANLANDS LÄN</t>
        </is>
      </c>
      <c r="G122" t="inlineStr">
        <is>
          <t>SURAHAMMAR</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24665-2023</t>
        </is>
      </c>
      <c r="B123" t="inlineStr">
        <is>
          <t>avverkningsanmälan</t>
        </is>
      </c>
      <c r="C123" t="inlineStr">
        <is>
          <t>Föryngringsavverkning</t>
        </is>
      </c>
      <c r="D123" s="1" t="n">
        <v>45084</v>
      </c>
      <c r="E123" s="1" t="n">
        <v>46297</v>
      </c>
      <c r="F123" t="inlineStr">
        <is>
          <t>VÄSTMANLANDS LÄN</t>
        </is>
      </c>
      <c r="G123" t="inlineStr">
        <is>
          <t>SURAHAMMAR</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72367-2021</t>
        </is>
      </c>
      <c r="B124" t="inlineStr">
        <is>
          <t>avverkningsanmälan</t>
        </is>
      </c>
      <c r="C124" t="inlineStr">
        <is>
          <t>Föryngringsavverkning</t>
        </is>
      </c>
      <c r="D124" s="1" t="n">
        <v>44545</v>
      </c>
      <c r="E124" s="1" t="n">
        <v>46297</v>
      </c>
      <c r="F124" t="inlineStr">
        <is>
          <t>VÄSTMANLANDS LÄN</t>
        </is>
      </c>
      <c r="G124" t="inlineStr">
        <is>
          <t>SURAHAMMAR</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42714-2022</t>
        </is>
      </c>
      <c r="B125" t="inlineStr">
        <is>
          <t>avverkningsanmälan</t>
        </is>
      </c>
      <c r="C125" t="inlineStr">
        <is>
          <t>Föryngringsavverkning</t>
        </is>
      </c>
      <c r="D125" s="1" t="n">
        <v>44832</v>
      </c>
      <c r="E125" s="1" t="n">
        <v>46297</v>
      </c>
      <c r="F125" t="inlineStr">
        <is>
          <t>VÄSTMANLANDS LÄN</t>
        </is>
      </c>
      <c r="G125" t="inlineStr">
        <is>
          <t>SURAHAMMAR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19099-2022</t>
        </is>
      </c>
      <c r="B126" t="inlineStr">
        <is>
          <t>avverkningsanmälan</t>
        </is>
      </c>
      <c r="C126" t="inlineStr">
        <is>
          <t>Föryngringsavverkning</t>
        </is>
      </c>
      <c r="D126" s="1" t="n">
        <v>44691</v>
      </c>
      <c r="E126" s="1" t="n">
        <v>46297</v>
      </c>
      <c r="F126" t="inlineStr">
        <is>
          <t>VÄSTMANLANDS LÄN</t>
        </is>
      </c>
      <c r="G126" t="inlineStr">
        <is>
          <t>SURAHAMMAR</t>
        </is>
      </c>
      <c r="H126" t="inlineStr">
        <is>
          <t>Övriga Aktiebolag</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22628-2026</t>
        </is>
      </c>
      <c r="B127" t="inlineStr">
        <is>
          <t>avverkningsanmälan</t>
        </is>
      </c>
      <c r="C127" t="inlineStr">
        <is>
          <t>Föryngringsavverkning</t>
        </is>
      </c>
      <c r="D127" s="1" t="n">
        <v>46155</v>
      </c>
      <c r="E127" s="1" t="n">
        <v>46297</v>
      </c>
      <c r="F127" t="inlineStr">
        <is>
          <t>VÄSTMANLANDS LÄN</t>
        </is>
      </c>
      <c r="G127" t="inlineStr">
        <is>
          <t>SURAHAMMAR</t>
        </is>
      </c>
      <c r="H127" t="inlineStr">
        <is>
          <t>Sveaskog</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25780-2023</t>
        </is>
      </c>
      <c r="B128" t="inlineStr">
        <is>
          <t>avverkningsanmälan</t>
        </is>
      </c>
      <c r="C128" t="inlineStr">
        <is>
          <t>Föryngringsavverkning</t>
        </is>
      </c>
      <c r="D128" s="1" t="n">
        <v>45090</v>
      </c>
      <c r="E128" s="1" t="n">
        <v>46297</v>
      </c>
      <c r="F128" t="inlineStr">
        <is>
          <t>VÄSTMANLANDS LÄN</t>
        </is>
      </c>
      <c r="G128" t="inlineStr">
        <is>
          <t>SURAHAMMAR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35682-2022</t>
        </is>
      </c>
      <c r="B129" t="inlineStr">
        <is>
          <t>avverkningsanmälan</t>
        </is>
      </c>
      <c r="C129" t="inlineStr">
        <is>
          <t>Föryngringsavverkning</t>
        </is>
      </c>
      <c r="D129" s="1" t="n">
        <v>44799</v>
      </c>
      <c r="E129" s="1" t="n">
        <v>46297</v>
      </c>
      <c r="F129" t="inlineStr">
        <is>
          <t>VÄSTMANLANDS LÄN</t>
        </is>
      </c>
      <c r="G129" t="inlineStr">
        <is>
          <t>SURAHAMMAR</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31061-2026</t>
        </is>
      </c>
      <c r="B130" t="inlineStr">
        <is>
          <t>avverkningsanmälan</t>
        </is>
      </c>
      <c r="C130" t="inlineStr">
        <is>
          <t>Föryngringsavverkning</t>
        </is>
      </c>
      <c r="D130" s="1" t="n">
        <v>46215</v>
      </c>
      <c r="E130" s="1" t="n">
        <v>46297</v>
      </c>
      <c r="F130" t="inlineStr">
        <is>
          <t>VÄSTMANLANDS LÄN</t>
        </is>
      </c>
      <c r="G130" t="inlineStr">
        <is>
          <t>SURAHAMMAR</t>
        </is>
      </c>
      <c r="H130" t="inlineStr">
        <is>
          <t>Sveaskog</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2867-2024</t>
        </is>
      </c>
      <c r="B131" t="inlineStr">
        <is>
          <t>avverkningsanmälan</t>
        </is>
      </c>
      <c r="C131" t="inlineStr">
        <is>
          <t>Föryngringsavverkning</t>
        </is>
      </c>
      <c r="D131" s="1" t="n">
        <v>45315</v>
      </c>
      <c r="E131" s="1" t="n">
        <v>46297</v>
      </c>
      <c r="F131" t="inlineStr">
        <is>
          <t>VÄSTMANLANDS LÄN</t>
        </is>
      </c>
      <c r="G131" t="inlineStr">
        <is>
          <t>SURAHAMMAR</t>
        </is>
      </c>
      <c r="H131" t="inlineStr">
        <is>
          <t>Bergvik skog väst AB</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2660-2024</t>
        </is>
      </c>
      <c r="B132" t="inlineStr">
        <is>
          <t>avverkningsanmälan</t>
        </is>
      </c>
      <c r="C132" t="inlineStr">
        <is>
          <t>Föryngringsavverkning</t>
        </is>
      </c>
      <c r="D132" s="1" t="n">
        <v>45310</v>
      </c>
      <c r="E132" s="1" t="n">
        <v>46297</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5567-2022</t>
        </is>
      </c>
      <c r="B133" t="inlineStr">
        <is>
          <t>avverkningsanmälan</t>
        </is>
      </c>
      <c r="C133" t="inlineStr">
        <is>
          <t>Föryngringsavverkning</t>
        </is>
      </c>
      <c r="D133" s="1" t="n">
        <v>44595</v>
      </c>
      <c r="E133" s="1" t="n">
        <v>46297</v>
      </c>
      <c r="F133" t="inlineStr">
        <is>
          <t>VÄSTMANLANDS LÄN</t>
        </is>
      </c>
      <c r="G133" t="inlineStr">
        <is>
          <t>SURAHAMMAR</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3085-2023</t>
        </is>
      </c>
      <c r="B134" t="inlineStr">
        <is>
          <t>avverkningsanmälan</t>
        </is>
      </c>
      <c r="C134" t="inlineStr">
        <is>
          <t>Föryngringsavverkning</t>
        </is>
      </c>
      <c r="D134" s="1" t="n">
        <v>44946</v>
      </c>
      <c r="E134" s="1" t="n">
        <v>46297</v>
      </c>
      <c r="F134" t="inlineStr">
        <is>
          <t>VÄSTMANLANDS LÄN</t>
        </is>
      </c>
      <c r="G134" t="inlineStr">
        <is>
          <t>SURAHAMMAR</t>
        </is>
      </c>
      <c r="H134" t="inlineStr">
        <is>
          <t>Kyrkan</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7848-2022</t>
        </is>
      </c>
      <c r="B135" t="inlineStr">
        <is>
          <t>avverkningsanmälan</t>
        </is>
      </c>
      <c r="C135" t="inlineStr">
        <is>
          <t>Föryngringsavverkning</t>
        </is>
      </c>
      <c r="D135" s="1" t="n">
        <v>44608</v>
      </c>
      <c r="E135" s="1" t="n">
        <v>46297</v>
      </c>
      <c r="F135" t="inlineStr">
        <is>
          <t>VÄSTMANLANDS LÄN</t>
        </is>
      </c>
      <c r="G135" t="inlineStr">
        <is>
          <t>SURAHAMMAR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46297</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46297</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15743-2023</t>
        </is>
      </c>
      <c r="B138" t="inlineStr">
        <is>
          <t>avverkningsanmälan</t>
        </is>
      </c>
      <c r="C138" t="inlineStr">
        <is>
          <t>Föryngringsavverkning</t>
        </is>
      </c>
      <c r="D138" s="1" t="n">
        <v>45021</v>
      </c>
      <c r="E138" s="1" t="n">
        <v>46297</v>
      </c>
      <c r="F138" t="inlineStr">
        <is>
          <t>VÄSTMANLANDS LÄN</t>
        </is>
      </c>
      <c r="G138" t="inlineStr">
        <is>
          <t>SURAHAMMAR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33933-2026</t>
        </is>
      </c>
      <c r="B139" t="inlineStr">
        <is>
          <t>avverkningsanmälan</t>
        </is>
      </c>
      <c r="C139" t="inlineStr">
        <is>
          <t>Föryngringsavverkning</t>
        </is>
      </c>
      <c r="D139" s="1" t="n">
        <v>46248</v>
      </c>
      <c r="E139" s="1" t="n">
        <v>46297</v>
      </c>
      <c r="F139" t="inlineStr">
        <is>
          <t>VÄSTMANLANDS LÄN</t>
        </is>
      </c>
      <c r="G139" t="inlineStr">
        <is>
          <t>SURAHAMMAR</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15637-2022</t>
        </is>
      </c>
      <c r="B140" t="inlineStr">
        <is>
          <t>avverkningsanmälan</t>
        </is>
      </c>
      <c r="C140" t="inlineStr">
        <is>
          <t>Föryngringsavverkning</t>
        </is>
      </c>
      <c r="D140" s="1" t="n">
        <v>44662</v>
      </c>
      <c r="E140" s="1" t="n">
        <v>46297</v>
      </c>
      <c r="F140" t="inlineStr">
        <is>
          <t>VÄSTMANLANDS LÄN</t>
        </is>
      </c>
      <c r="G140" t="inlineStr">
        <is>
          <t>SURAHAMMAR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19786-2023</t>
        </is>
      </c>
      <c r="B141" t="inlineStr">
        <is>
          <t>avverkningsanmälan</t>
        </is>
      </c>
      <c r="C141" t="inlineStr">
        <is>
          <t>Föryngringsavverkning</t>
        </is>
      </c>
      <c r="D141" s="1" t="n">
        <v>45050</v>
      </c>
      <c r="E141" s="1" t="n">
        <v>46297</v>
      </c>
      <c r="F141" t="inlineStr">
        <is>
          <t>VÄSTMANLANDS LÄN</t>
        </is>
      </c>
      <c r="G141" t="inlineStr">
        <is>
          <t>SURAHAMMAR</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7787-2024</t>
        </is>
      </c>
      <c r="B142" t="inlineStr">
        <is>
          <t>avverkningsanmälan</t>
        </is>
      </c>
      <c r="C142" t="inlineStr">
        <is>
          <t>Föryngringsavverkning</t>
        </is>
      </c>
      <c r="D142" s="1" t="n">
        <v>45348</v>
      </c>
      <c r="E142" s="1" t="n">
        <v>46297</v>
      </c>
      <c r="F142" t="inlineStr">
        <is>
          <t>VÄSTMANLANDS LÄN</t>
        </is>
      </c>
      <c r="G142" t="inlineStr">
        <is>
          <t>SURAHAMMAR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46297</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46297</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46297</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2026-10-02T02:03:54Z</dcterms:created>
  <dcterms:modified xmlns:dcterms="http://purl.org/dc/terms/" xmlns:xsi="http://www.w3.org/2001/XMLSchema-instance" xsi:type="dcterms:W3CDTF">2026-10-02T02:03:54Z</dcterms:modified>
</cp:coreProperties>
</file>