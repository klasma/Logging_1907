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45347</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45347</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45347</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45347</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45347</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45347</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45347</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45347</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45347</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45347</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45347</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45347</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45347</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45347</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45347</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45347</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45347</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45347</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45347</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45347</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45347</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45347</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45347</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45347</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45347</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45347</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45347</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45347</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45347</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45347</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45347</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45347</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45347</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45347</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45347</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45347</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45347</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45347</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45347</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45347</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45347</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45347</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4575-2019</t>
        </is>
      </c>
      <c r="B45" s="1" t="n">
        <v>43486</v>
      </c>
      <c r="C45" s="1" t="n">
        <v>45347</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45347</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45347</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45347</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45347</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45347</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45347</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45347</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45347</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45347</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45347</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45347</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45347</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45347</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45347</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45347</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45347</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45347</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45347</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45347</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45347</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45347</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45347</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45347</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45347</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c r="Z69">
        <f>HYPERLINK("https://klasma.github.io/Logging_1907/fåglar/A 16219-2023 prioriterade fågelarter.docx", "A 16219-2023")</f>
        <v/>
      </c>
    </row>
    <row r="70" ht="15" customHeight="1">
      <c r="A70" t="inlineStr">
        <is>
          <t>A 22840-2023</t>
        </is>
      </c>
      <c r="B70" s="1" t="n">
        <v>45072</v>
      </c>
      <c r="C70" s="1" t="n">
        <v>45347</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45347</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c r="Z71">
        <f>HYPERLINK("https://klasma.github.io/Logging_1907/fåglar/A 24920-2023 prioriterade fågelarter.docx", "A 24920-2023")</f>
        <v/>
      </c>
    </row>
    <row r="72" ht="15" customHeight="1">
      <c r="A72" t="inlineStr">
        <is>
          <t>A 27170-2023</t>
        </is>
      </c>
      <c r="B72" s="1" t="n">
        <v>45096</v>
      </c>
      <c r="C72" s="1" t="n">
        <v>45347</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45347</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45347</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45347</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45347</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3649-2024</t>
        </is>
      </c>
      <c r="B77" s="1" t="n">
        <v>45321</v>
      </c>
      <c r="C77" s="1" t="n">
        <v>45347</v>
      </c>
      <c r="D77" t="inlineStr">
        <is>
          <t>VÄSTMANLANDS LÄN</t>
        </is>
      </c>
      <c r="E77" t="inlineStr">
        <is>
          <t>SURAHAMMAR</t>
        </is>
      </c>
      <c r="F77" t="inlineStr">
        <is>
          <t>Övriga Aktiebolag</t>
        </is>
      </c>
      <c r="G77" t="n">
        <v>9.300000000000001</v>
      </c>
      <c r="H77" t="n">
        <v>1</v>
      </c>
      <c r="I77" t="n">
        <v>0</v>
      </c>
      <c r="J77" t="n">
        <v>0</v>
      </c>
      <c r="K77" t="n">
        <v>1</v>
      </c>
      <c r="L77" t="n">
        <v>0</v>
      </c>
      <c r="M77" t="n">
        <v>0</v>
      </c>
      <c r="N77" t="n">
        <v>0</v>
      </c>
      <c r="O77" t="n">
        <v>1</v>
      </c>
      <c r="P77" t="n">
        <v>1</v>
      </c>
      <c r="Q77" t="n">
        <v>1</v>
      </c>
      <c r="R77" s="2" t="inlineStr">
        <is>
          <t>Väddnätfjäril</t>
        </is>
      </c>
      <c r="S77">
        <f>HYPERLINK("https://klasma.github.io/Logging_1907/artfynd/A 3649-2024 artfynd.xlsx", "A 3649-2024")</f>
        <v/>
      </c>
      <c r="T77">
        <f>HYPERLINK("https://klasma.github.io/Logging_1907/kartor/A 3649-2024 karta.png", "A 3649-2024")</f>
        <v/>
      </c>
      <c r="V77">
        <f>HYPERLINK("https://klasma.github.io/Logging_1907/klagomål/A 3649-2024 FSC-klagomål.docx", "A 3649-2024")</f>
        <v/>
      </c>
      <c r="W77">
        <f>HYPERLINK("https://klasma.github.io/Logging_1907/klagomålsmail/A 3649-2024 FSC-klagomål mail.docx", "A 3649-2024")</f>
        <v/>
      </c>
      <c r="X77">
        <f>HYPERLINK("https://klasma.github.io/Logging_1907/tillsyn/A 3649-2024 tillsynsbegäran.docx", "A 3649-2024")</f>
        <v/>
      </c>
      <c r="Y77">
        <f>HYPERLINK("https://klasma.github.io/Logging_1907/tillsynsmail/A 3649-2024 tillsynsbegäran mail.docx", "A 3649-2024")</f>
        <v/>
      </c>
    </row>
    <row r="78" ht="15" customHeight="1">
      <c r="A78" t="inlineStr">
        <is>
          <t>A 59303-2018</t>
        </is>
      </c>
      <c r="B78" s="1" t="n">
        <v>43418</v>
      </c>
      <c r="C78" s="1" t="n">
        <v>45347</v>
      </c>
      <c r="D78" t="inlineStr">
        <is>
          <t>VÄSTMANLANDS LÄN</t>
        </is>
      </c>
      <c r="E78" t="inlineStr">
        <is>
          <t>SURAHAMMAR</t>
        </is>
      </c>
      <c r="G78" t="n">
        <v>3.2</v>
      </c>
      <c r="H78" t="n">
        <v>0</v>
      </c>
      <c r="I78" t="n">
        <v>0</v>
      </c>
      <c r="J78" t="n">
        <v>0</v>
      </c>
      <c r="K78" t="n">
        <v>0</v>
      </c>
      <c r="L78" t="n">
        <v>0</v>
      </c>
      <c r="M78" t="n">
        <v>0</v>
      </c>
      <c r="N78" t="n">
        <v>0</v>
      </c>
      <c r="O78" t="n">
        <v>0</v>
      </c>
      <c r="P78" t="n">
        <v>0</v>
      </c>
      <c r="Q78" t="n">
        <v>0</v>
      </c>
      <c r="R78" s="2" t="inlineStr"/>
    </row>
    <row r="79" ht="15" customHeight="1">
      <c r="A79" t="inlineStr">
        <is>
          <t>A 69582-2018</t>
        </is>
      </c>
      <c r="B79" s="1" t="n">
        <v>43446</v>
      </c>
      <c r="C79" s="1" t="n">
        <v>45347</v>
      </c>
      <c r="D79" t="inlineStr">
        <is>
          <t>VÄSTMANLANDS LÄN</t>
        </is>
      </c>
      <c r="E79" t="inlineStr">
        <is>
          <t>SURAHAMMAR</t>
        </is>
      </c>
      <c r="G79" t="n">
        <v>1.3</v>
      </c>
      <c r="H79" t="n">
        <v>0</v>
      </c>
      <c r="I79" t="n">
        <v>0</v>
      </c>
      <c r="J79" t="n">
        <v>0</v>
      </c>
      <c r="K79" t="n">
        <v>0</v>
      </c>
      <c r="L79" t="n">
        <v>0</v>
      </c>
      <c r="M79" t="n">
        <v>0</v>
      </c>
      <c r="N79" t="n">
        <v>0</v>
      </c>
      <c r="O79" t="n">
        <v>0</v>
      </c>
      <c r="P79" t="n">
        <v>0</v>
      </c>
      <c r="Q79" t="n">
        <v>0</v>
      </c>
      <c r="R79" s="2" t="inlineStr"/>
    </row>
    <row r="80" ht="15" customHeight="1">
      <c r="A80" t="inlineStr">
        <is>
          <t>A 143-2019</t>
        </is>
      </c>
      <c r="B80" s="1" t="n">
        <v>43467</v>
      </c>
      <c r="C80" s="1" t="n">
        <v>45347</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7751-2019</t>
        </is>
      </c>
      <c r="B81" s="1" t="n">
        <v>43493</v>
      </c>
      <c r="C81" s="1" t="n">
        <v>45347</v>
      </c>
      <c r="D81" t="inlineStr">
        <is>
          <t>VÄSTMANLANDS LÄN</t>
        </is>
      </c>
      <c r="E81" t="inlineStr">
        <is>
          <t>SURAHAMMAR</t>
        </is>
      </c>
      <c r="G81" t="n">
        <v>4.1</v>
      </c>
      <c r="H81" t="n">
        <v>0</v>
      </c>
      <c r="I81" t="n">
        <v>0</v>
      </c>
      <c r="J81" t="n">
        <v>0</v>
      </c>
      <c r="K81" t="n">
        <v>0</v>
      </c>
      <c r="L81" t="n">
        <v>0</v>
      </c>
      <c r="M81" t="n">
        <v>0</v>
      </c>
      <c r="N81" t="n">
        <v>0</v>
      </c>
      <c r="O81" t="n">
        <v>0</v>
      </c>
      <c r="P81" t="n">
        <v>0</v>
      </c>
      <c r="Q81" t="n">
        <v>0</v>
      </c>
      <c r="R81" s="2" t="inlineStr"/>
    </row>
    <row r="82" ht="15" customHeight="1">
      <c r="A82" t="inlineStr">
        <is>
          <t>A 9397-2019</t>
        </is>
      </c>
      <c r="B82" s="1" t="n">
        <v>43507</v>
      </c>
      <c r="C82" s="1" t="n">
        <v>45347</v>
      </c>
      <c r="D82" t="inlineStr">
        <is>
          <t>VÄSTMANLANDS LÄN</t>
        </is>
      </c>
      <c r="E82" t="inlineStr">
        <is>
          <t>SURAHAMMAR</t>
        </is>
      </c>
      <c r="G82" t="n">
        <v>1</v>
      </c>
      <c r="H82" t="n">
        <v>0</v>
      </c>
      <c r="I82" t="n">
        <v>0</v>
      </c>
      <c r="J82" t="n">
        <v>0</v>
      </c>
      <c r="K82" t="n">
        <v>0</v>
      </c>
      <c r="L82" t="n">
        <v>0</v>
      </c>
      <c r="M82" t="n">
        <v>0</v>
      </c>
      <c r="N82" t="n">
        <v>0</v>
      </c>
      <c r="O82" t="n">
        <v>0</v>
      </c>
      <c r="P82" t="n">
        <v>0</v>
      </c>
      <c r="Q82" t="n">
        <v>0</v>
      </c>
      <c r="R82" s="2" t="inlineStr"/>
    </row>
    <row r="83" ht="15" customHeight="1">
      <c r="A83" t="inlineStr">
        <is>
          <t>A 9790-2019</t>
        </is>
      </c>
      <c r="B83" s="1" t="n">
        <v>43509</v>
      </c>
      <c r="C83" s="1" t="n">
        <v>45347</v>
      </c>
      <c r="D83" t="inlineStr">
        <is>
          <t>VÄSTMANLANDS LÄN</t>
        </is>
      </c>
      <c r="E83" t="inlineStr">
        <is>
          <t>SURAHAMMAR</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17946-2019</t>
        </is>
      </c>
      <c r="B84" s="1" t="n">
        <v>43557</v>
      </c>
      <c r="C84" s="1" t="n">
        <v>45347</v>
      </c>
      <c r="D84" t="inlineStr">
        <is>
          <t>VÄSTMANLANDS LÄN</t>
        </is>
      </c>
      <c r="E84" t="inlineStr">
        <is>
          <t>SURAHAMMAR</t>
        </is>
      </c>
      <c r="G84" t="n">
        <v>9.9</v>
      </c>
      <c r="H84" t="n">
        <v>0</v>
      </c>
      <c r="I84" t="n">
        <v>0</v>
      </c>
      <c r="J84" t="n">
        <v>0</v>
      </c>
      <c r="K84" t="n">
        <v>0</v>
      </c>
      <c r="L84" t="n">
        <v>0</v>
      </c>
      <c r="M84" t="n">
        <v>0</v>
      </c>
      <c r="N84" t="n">
        <v>0</v>
      </c>
      <c r="O84" t="n">
        <v>0</v>
      </c>
      <c r="P84" t="n">
        <v>0</v>
      </c>
      <c r="Q84" t="n">
        <v>0</v>
      </c>
      <c r="R84" s="2" t="inlineStr"/>
    </row>
    <row r="85" ht="15" customHeight="1">
      <c r="A85" t="inlineStr">
        <is>
          <t>A 18953-2019</t>
        </is>
      </c>
      <c r="B85" s="1" t="n">
        <v>43563</v>
      </c>
      <c r="C85" s="1" t="n">
        <v>45347</v>
      </c>
      <c r="D85" t="inlineStr">
        <is>
          <t>VÄSTMANLANDS LÄN</t>
        </is>
      </c>
      <c r="E85" t="inlineStr">
        <is>
          <t>SURAHAMMAR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18960-2019</t>
        </is>
      </c>
      <c r="B86" s="1" t="n">
        <v>43563</v>
      </c>
      <c r="C86" s="1" t="n">
        <v>45347</v>
      </c>
      <c r="D86" t="inlineStr">
        <is>
          <t>VÄSTMANLANDS LÄN</t>
        </is>
      </c>
      <c r="E86" t="inlineStr">
        <is>
          <t>SURAHAMMAR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19659-2019</t>
        </is>
      </c>
      <c r="B87" s="1" t="n">
        <v>43566</v>
      </c>
      <c r="C87" s="1" t="n">
        <v>45347</v>
      </c>
      <c r="D87" t="inlineStr">
        <is>
          <t>VÄSTMANLANDS LÄN</t>
        </is>
      </c>
      <c r="E87" t="inlineStr">
        <is>
          <t>SURAHAMMAR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20127-2019</t>
        </is>
      </c>
      <c r="B88" s="1" t="n">
        <v>43570</v>
      </c>
      <c r="C88" s="1" t="n">
        <v>45347</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20904-2019</t>
        </is>
      </c>
      <c r="B89" s="1" t="n">
        <v>43578</v>
      </c>
      <c r="C89" s="1" t="n">
        <v>45347</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22834-2019</t>
        </is>
      </c>
      <c r="B90" s="1" t="n">
        <v>43591</v>
      </c>
      <c r="C90" s="1" t="n">
        <v>45347</v>
      </c>
      <c r="D90" t="inlineStr">
        <is>
          <t>VÄSTMANLANDS LÄN</t>
        </is>
      </c>
      <c r="E90" t="inlineStr">
        <is>
          <t>SURAHAMMAR</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28274-2019</t>
        </is>
      </c>
      <c r="B91" s="1" t="n">
        <v>43623</v>
      </c>
      <c r="C91" s="1" t="n">
        <v>45347</v>
      </c>
      <c r="D91" t="inlineStr">
        <is>
          <t>VÄSTMANLANDS LÄN</t>
        </is>
      </c>
      <c r="E91" t="inlineStr">
        <is>
          <t>SURAHAMMAR</t>
        </is>
      </c>
      <c r="F91" t="inlineStr">
        <is>
          <t>Allmännings- och besparingsskogar</t>
        </is>
      </c>
      <c r="G91" t="n">
        <v>0.7</v>
      </c>
      <c r="H91" t="n">
        <v>0</v>
      </c>
      <c r="I91" t="n">
        <v>0</v>
      </c>
      <c r="J91" t="n">
        <v>0</v>
      </c>
      <c r="K91" t="n">
        <v>0</v>
      </c>
      <c r="L91" t="n">
        <v>0</v>
      </c>
      <c r="M91" t="n">
        <v>0</v>
      </c>
      <c r="N91" t="n">
        <v>0</v>
      </c>
      <c r="O91" t="n">
        <v>0</v>
      </c>
      <c r="P91" t="n">
        <v>0</v>
      </c>
      <c r="Q91" t="n">
        <v>0</v>
      </c>
      <c r="R91" s="2" t="inlineStr"/>
    </row>
    <row r="92" ht="15" customHeight="1">
      <c r="A92" t="inlineStr">
        <is>
          <t>A 29523-2019</t>
        </is>
      </c>
      <c r="B92" s="1" t="n">
        <v>43630</v>
      </c>
      <c r="C92" s="1" t="n">
        <v>45347</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31008-2019</t>
        </is>
      </c>
      <c r="B93" s="1" t="n">
        <v>43640</v>
      </c>
      <c r="C93" s="1" t="n">
        <v>45347</v>
      </c>
      <c r="D93" t="inlineStr">
        <is>
          <t>VÄSTMANLANDS LÄN</t>
        </is>
      </c>
      <c r="E93" t="inlineStr">
        <is>
          <t>SURAHAMMAR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39552-2019</t>
        </is>
      </c>
      <c r="B94" s="1" t="n">
        <v>43691</v>
      </c>
      <c r="C94" s="1" t="n">
        <v>45347</v>
      </c>
      <c r="D94" t="inlineStr">
        <is>
          <t>VÄSTMANLANDS LÄN</t>
        </is>
      </c>
      <c r="E94" t="inlineStr">
        <is>
          <t>SURAHAMMAR</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39754-2019</t>
        </is>
      </c>
      <c r="B95" s="1" t="n">
        <v>43692</v>
      </c>
      <c r="C95" s="1" t="n">
        <v>45347</v>
      </c>
      <c r="D95" t="inlineStr">
        <is>
          <t>VÄSTMANLANDS LÄN</t>
        </is>
      </c>
      <c r="E95" t="inlineStr">
        <is>
          <t>SURAHAMMAR</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40191-2019</t>
        </is>
      </c>
      <c r="B96" s="1" t="n">
        <v>43693</v>
      </c>
      <c r="C96" s="1" t="n">
        <v>45347</v>
      </c>
      <c r="D96" t="inlineStr">
        <is>
          <t>VÄSTMANLANDS LÄN</t>
        </is>
      </c>
      <c r="E96" t="inlineStr">
        <is>
          <t>SURAHAMMAR</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60343-2019</t>
        </is>
      </c>
      <c r="B97" s="1" t="n">
        <v>43780</v>
      </c>
      <c r="C97" s="1" t="n">
        <v>45347</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64772-2019</t>
        </is>
      </c>
      <c r="B98" s="1" t="n">
        <v>43801</v>
      </c>
      <c r="C98" s="1" t="n">
        <v>45347</v>
      </c>
      <c r="D98" t="inlineStr">
        <is>
          <t>VÄSTMANLANDS LÄN</t>
        </is>
      </c>
      <c r="E98" t="inlineStr">
        <is>
          <t>SURAHAMMAR</t>
        </is>
      </c>
      <c r="F98" t="inlineStr">
        <is>
          <t>Övriga Aktiebolag</t>
        </is>
      </c>
      <c r="G98" t="n">
        <v>7</v>
      </c>
      <c r="H98" t="n">
        <v>0</v>
      </c>
      <c r="I98" t="n">
        <v>0</v>
      </c>
      <c r="J98" t="n">
        <v>0</v>
      </c>
      <c r="K98" t="n">
        <v>0</v>
      </c>
      <c r="L98" t="n">
        <v>0</v>
      </c>
      <c r="M98" t="n">
        <v>0</v>
      </c>
      <c r="N98" t="n">
        <v>0</v>
      </c>
      <c r="O98" t="n">
        <v>0</v>
      </c>
      <c r="P98" t="n">
        <v>0</v>
      </c>
      <c r="Q98" t="n">
        <v>0</v>
      </c>
      <c r="R98" s="2" t="inlineStr"/>
    </row>
    <row r="99" ht="15" customHeight="1">
      <c r="A99" t="inlineStr">
        <is>
          <t>A 66269-2019</t>
        </is>
      </c>
      <c r="B99" s="1" t="n">
        <v>43802</v>
      </c>
      <c r="C99" s="1" t="n">
        <v>45347</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65619-2019</t>
        </is>
      </c>
      <c r="B100" s="1" t="n">
        <v>43804</v>
      </c>
      <c r="C100" s="1" t="n">
        <v>45347</v>
      </c>
      <c r="D100" t="inlineStr">
        <is>
          <t>VÄSTMANLANDS LÄN</t>
        </is>
      </c>
      <c r="E100" t="inlineStr">
        <is>
          <t>SURAHAMMAR</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2039-2020</t>
        </is>
      </c>
      <c r="B101" s="1" t="n">
        <v>43839</v>
      </c>
      <c r="C101" s="1" t="n">
        <v>45347</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5804-2020</t>
        </is>
      </c>
      <c r="B102" s="1" t="n">
        <v>43864</v>
      </c>
      <c r="C102" s="1" t="n">
        <v>45347</v>
      </c>
      <c r="D102" t="inlineStr">
        <is>
          <t>VÄSTMANLANDS LÄN</t>
        </is>
      </c>
      <c r="E102" t="inlineStr">
        <is>
          <t>SURAHAMMAR</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8608-2020</t>
        </is>
      </c>
      <c r="B103" s="1" t="n">
        <v>43878</v>
      </c>
      <c r="C103" s="1" t="n">
        <v>45347</v>
      </c>
      <c r="D103" t="inlineStr">
        <is>
          <t>VÄSTMANLANDS LÄN</t>
        </is>
      </c>
      <c r="E103" t="inlineStr">
        <is>
          <t>SURAHAMMAR</t>
        </is>
      </c>
      <c r="F103" t="inlineStr">
        <is>
          <t>Övriga Aktiebolag</t>
        </is>
      </c>
      <c r="G103" t="n">
        <v>20.2</v>
      </c>
      <c r="H103" t="n">
        <v>0</v>
      </c>
      <c r="I103" t="n">
        <v>0</v>
      </c>
      <c r="J103" t="n">
        <v>0</v>
      </c>
      <c r="K103" t="n">
        <v>0</v>
      </c>
      <c r="L103" t="n">
        <v>0</v>
      </c>
      <c r="M103" t="n">
        <v>0</v>
      </c>
      <c r="N103" t="n">
        <v>0</v>
      </c>
      <c r="O103" t="n">
        <v>0</v>
      </c>
      <c r="P103" t="n">
        <v>0</v>
      </c>
      <c r="Q103" t="n">
        <v>0</v>
      </c>
      <c r="R103" s="2" t="inlineStr"/>
    </row>
    <row r="104" ht="15" customHeight="1">
      <c r="A104" t="inlineStr">
        <is>
          <t>A 40660-2020</t>
        </is>
      </c>
      <c r="B104" s="1" t="n">
        <v>44069</v>
      </c>
      <c r="C104" s="1" t="n">
        <v>45347</v>
      </c>
      <c r="D104" t="inlineStr">
        <is>
          <t>VÄSTMANLANDS LÄN</t>
        </is>
      </c>
      <c r="E104" t="inlineStr">
        <is>
          <t>SURAHAMMAR</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43171-2020</t>
        </is>
      </c>
      <c r="B105" s="1" t="n">
        <v>44081</v>
      </c>
      <c r="C105" s="1" t="n">
        <v>45347</v>
      </c>
      <c r="D105" t="inlineStr">
        <is>
          <t>VÄSTMANLANDS LÄN</t>
        </is>
      </c>
      <c r="E105" t="inlineStr">
        <is>
          <t>SURAHAMMAR</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43174-2020</t>
        </is>
      </c>
      <c r="B106" s="1" t="n">
        <v>44081</v>
      </c>
      <c r="C106" s="1" t="n">
        <v>45347</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43177-2020</t>
        </is>
      </c>
      <c r="B107" s="1" t="n">
        <v>44081</v>
      </c>
      <c r="C107" s="1" t="n">
        <v>45347</v>
      </c>
      <c r="D107" t="inlineStr">
        <is>
          <t>VÄSTMANLANDS LÄN</t>
        </is>
      </c>
      <c r="E107" t="inlineStr">
        <is>
          <t>SURAHAMMAR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43590-2020</t>
        </is>
      </c>
      <c r="B108" s="1" t="n">
        <v>44082</v>
      </c>
      <c r="C108" s="1" t="n">
        <v>45347</v>
      </c>
      <c r="D108" t="inlineStr">
        <is>
          <t>VÄSTMANLANDS LÄN</t>
        </is>
      </c>
      <c r="E108" t="inlineStr">
        <is>
          <t>SURAHAMMAR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47997-2020</t>
        </is>
      </c>
      <c r="B109" s="1" t="n">
        <v>44099</v>
      </c>
      <c r="C109" s="1" t="n">
        <v>45347</v>
      </c>
      <c r="D109" t="inlineStr">
        <is>
          <t>VÄSTMANLANDS LÄN</t>
        </is>
      </c>
      <c r="E109" t="inlineStr">
        <is>
          <t>SURAHAMMAR</t>
        </is>
      </c>
      <c r="G109" t="n">
        <v>4.8</v>
      </c>
      <c r="H109" t="n">
        <v>0</v>
      </c>
      <c r="I109" t="n">
        <v>0</v>
      </c>
      <c r="J109" t="n">
        <v>0</v>
      </c>
      <c r="K109" t="n">
        <v>0</v>
      </c>
      <c r="L109" t="n">
        <v>0</v>
      </c>
      <c r="M109" t="n">
        <v>0</v>
      </c>
      <c r="N109" t="n">
        <v>0</v>
      </c>
      <c r="O109" t="n">
        <v>0</v>
      </c>
      <c r="P109" t="n">
        <v>0</v>
      </c>
      <c r="Q109" t="n">
        <v>0</v>
      </c>
      <c r="R109" s="2" t="inlineStr"/>
    </row>
    <row r="110" ht="15" customHeight="1">
      <c r="A110" t="inlineStr">
        <is>
          <t>A 52076-2020</t>
        </is>
      </c>
      <c r="B110" s="1" t="n">
        <v>44117</v>
      </c>
      <c r="C110" s="1" t="n">
        <v>45347</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45347</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54962-2020</t>
        </is>
      </c>
      <c r="B112" s="1" t="n">
        <v>44130</v>
      </c>
      <c r="C112" s="1" t="n">
        <v>45347</v>
      </c>
      <c r="D112" t="inlineStr">
        <is>
          <t>VÄSTMANLANDS LÄN</t>
        </is>
      </c>
      <c r="E112" t="inlineStr">
        <is>
          <t>SURAHAMMAR</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55397-2020</t>
        </is>
      </c>
      <c r="B113" s="1" t="n">
        <v>44131</v>
      </c>
      <c r="C113" s="1" t="n">
        <v>45347</v>
      </c>
      <c r="D113" t="inlineStr">
        <is>
          <t>VÄSTMANLANDS LÄN</t>
        </is>
      </c>
      <c r="E113" t="inlineStr">
        <is>
          <t>SURAHAMMAR</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59543-2020</t>
        </is>
      </c>
      <c r="B114" s="1" t="n">
        <v>44148</v>
      </c>
      <c r="C114" s="1" t="n">
        <v>45347</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59740-2020</t>
        </is>
      </c>
      <c r="B115" s="1" t="n">
        <v>44151</v>
      </c>
      <c r="C115" s="1" t="n">
        <v>45347</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59727-2020</t>
        </is>
      </c>
      <c r="B116" s="1" t="n">
        <v>44151</v>
      </c>
      <c r="C116" s="1" t="n">
        <v>45347</v>
      </c>
      <c r="D116" t="inlineStr">
        <is>
          <t>VÄSTMANLANDS LÄN</t>
        </is>
      </c>
      <c r="E116" t="inlineStr">
        <is>
          <t>SURAHAMMAR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1492-2021</t>
        </is>
      </c>
      <c r="B117" s="1" t="n">
        <v>44209</v>
      </c>
      <c r="C117" s="1" t="n">
        <v>45347</v>
      </c>
      <c r="D117" t="inlineStr">
        <is>
          <t>VÄSTMANLANDS LÄN</t>
        </is>
      </c>
      <c r="E117" t="inlineStr">
        <is>
          <t>SURAHAMMAR</t>
        </is>
      </c>
      <c r="G117" t="n">
        <v>1.2</v>
      </c>
      <c r="H117" t="n">
        <v>0</v>
      </c>
      <c r="I117" t="n">
        <v>0</v>
      </c>
      <c r="J117" t="n">
        <v>0</v>
      </c>
      <c r="K117" t="n">
        <v>0</v>
      </c>
      <c r="L117" t="n">
        <v>0</v>
      </c>
      <c r="M117" t="n">
        <v>0</v>
      </c>
      <c r="N117" t="n">
        <v>0</v>
      </c>
      <c r="O117" t="n">
        <v>0</v>
      </c>
      <c r="P117" t="n">
        <v>0</v>
      </c>
      <c r="Q117" t="n">
        <v>0</v>
      </c>
      <c r="R117" s="2" t="inlineStr"/>
    </row>
    <row r="118" ht="15" customHeight="1">
      <c r="A118" t="inlineStr">
        <is>
          <t>A 18723-2021</t>
        </is>
      </c>
      <c r="B118" s="1" t="n">
        <v>44306</v>
      </c>
      <c r="C118" s="1" t="n">
        <v>45347</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20478-2021</t>
        </is>
      </c>
      <c r="B119" s="1" t="n">
        <v>44315</v>
      </c>
      <c r="C119" s="1" t="n">
        <v>45347</v>
      </c>
      <c r="D119" t="inlineStr">
        <is>
          <t>VÄSTMANLANDS LÄN</t>
        </is>
      </c>
      <c r="E119" t="inlineStr">
        <is>
          <t>SURAHAMMAR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21839-2021</t>
        </is>
      </c>
      <c r="B120" s="1" t="n">
        <v>44322</v>
      </c>
      <c r="C120" s="1" t="n">
        <v>45347</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24804-2021</t>
        </is>
      </c>
      <c r="B121" s="1" t="n">
        <v>44340</v>
      </c>
      <c r="C121" s="1" t="n">
        <v>45347</v>
      </c>
      <c r="D121" t="inlineStr">
        <is>
          <t>VÄSTMANLANDS LÄN</t>
        </is>
      </c>
      <c r="E121" t="inlineStr">
        <is>
          <t>SURAHAMMAR</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31468-2021</t>
        </is>
      </c>
      <c r="B122" s="1" t="n">
        <v>44369</v>
      </c>
      <c r="C122" s="1" t="n">
        <v>45347</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33998-2021</t>
        </is>
      </c>
      <c r="B123" s="1" t="n">
        <v>44378</v>
      </c>
      <c r="C123" s="1" t="n">
        <v>45347</v>
      </c>
      <c r="D123" t="inlineStr">
        <is>
          <t>VÄSTMANLANDS LÄN</t>
        </is>
      </c>
      <c r="E123" t="inlineStr">
        <is>
          <t>SURAHAMMAR</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34001-2021</t>
        </is>
      </c>
      <c r="B124" s="1" t="n">
        <v>44378</v>
      </c>
      <c r="C124" s="1" t="n">
        <v>45347</v>
      </c>
      <c r="D124" t="inlineStr">
        <is>
          <t>VÄSTMANLANDS LÄN</t>
        </is>
      </c>
      <c r="E124" t="inlineStr">
        <is>
          <t>SURAHAMMAR</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45347</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37799-2021</t>
        </is>
      </c>
      <c r="B126" s="1" t="n">
        <v>44402</v>
      </c>
      <c r="C126" s="1" t="n">
        <v>45347</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38150-2021</t>
        </is>
      </c>
      <c r="B127" s="1" t="n">
        <v>44405</v>
      </c>
      <c r="C127" s="1" t="n">
        <v>45347</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38178-2021</t>
        </is>
      </c>
      <c r="B128" s="1" t="n">
        <v>44405</v>
      </c>
      <c r="C128" s="1" t="n">
        <v>45347</v>
      </c>
      <c r="D128" t="inlineStr">
        <is>
          <t>VÄSTMANLANDS LÄN</t>
        </is>
      </c>
      <c r="E128" t="inlineStr">
        <is>
          <t>SURAHAMMAR</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38149-2021</t>
        </is>
      </c>
      <c r="B129" s="1" t="n">
        <v>44405</v>
      </c>
      <c r="C129" s="1" t="n">
        <v>45347</v>
      </c>
      <c r="D129" t="inlineStr">
        <is>
          <t>VÄSTMANLANDS LÄN</t>
        </is>
      </c>
      <c r="E129" t="inlineStr">
        <is>
          <t>SURAHAMMAR</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38163-2021</t>
        </is>
      </c>
      <c r="B130" s="1" t="n">
        <v>44405</v>
      </c>
      <c r="C130" s="1" t="n">
        <v>45347</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v>
      </c>
      <c r="C131" s="1" t="n">
        <v>45347</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47852-2021</t>
        </is>
      </c>
      <c r="B132" s="1" t="n">
        <v>44448</v>
      </c>
      <c r="C132" s="1" t="n">
        <v>45347</v>
      </c>
      <c r="D132" t="inlineStr">
        <is>
          <t>VÄSTMANLANDS LÄN</t>
        </is>
      </c>
      <c r="E132" t="inlineStr">
        <is>
          <t>SURAHAMMAR</t>
        </is>
      </c>
      <c r="G132" t="n">
        <v>4.1</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45347</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64073-2021</t>
        </is>
      </c>
      <c r="B134" s="1" t="n">
        <v>44509</v>
      </c>
      <c r="C134" s="1" t="n">
        <v>45347</v>
      </c>
      <c r="D134" t="inlineStr">
        <is>
          <t>VÄSTMANLANDS LÄN</t>
        </is>
      </c>
      <c r="E134" t="inlineStr">
        <is>
          <t>SURAHAMMAR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66343-2021</t>
        </is>
      </c>
      <c r="B135" s="1" t="n">
        <v>44518</v>
      </c>
      <c r="C135" s="1" t="n">
        <v>45347</v>
      </c>
      <c r="D135" t="inlineStr">
        <is>
          <t>VÄSTMANLANDS LÄN</t>
        </is>
      </c>
      <c r="E135" t="inlineStr">
        <is>
          <t>SURAHAMMAR</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66342-2021</t>
        </is>
      </c>
      <c r="B136" s="1" t="n">
        <v>44518</v>
      </c>
      <c r="C136" s="1" t="n">
        <v>45347</v>
      </c>
      <c r="D136" t="inlineStr">
        <is>
          <t>VÄSTMANLANDS LÄN</t>
        </is>
      </c>
      <c r="E136" t="inlineStr">
        <is>
          <t>SURAHAMMAR</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66350-2021</t>
        </is>
      </c>
      <c r="B137" s="1" t="n">
        <v>44518</v>
      </c>
      <c r="C137" s="1" t="n">
        <v>45347</v>
      </c>
      <c r="D137" t="inlineStr">
        <is>
          <t>VÄSTMANLANDS LÄN</t>
        </is>
      </c>
      <c r="E137" t="inlineStr">
        <is>
          <t>SURAHAMMAR</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67611-2021</t>
        </is>
      </c>
      <c r="B138" s="1" t="n">
        <v>44524</v>
      </c>
      <c r="C138" s="1" t="n">
        <v>45347</v>
      </c>
      <c r="D138" t="inlineStr">
        <is>
          <t>VÄSTMANLANDS LÄN</t>
        </is>
      </c>
      <c r="E138" t="inlineStr">
        <is>
          <t>SURAHAMMAR</t>
        </is>
      </c>
      <c r="F138" t="inlineStr">
        <is>
          <t>Kommuner</t>
        </is>
      </c>
      <c r="G138" t="n">
        <v>3.8</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45347</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73156-2021</t>
        </is>
      </c>
      <c r="B140" s="1" t="n">
        <v>44550</v>
      </c>
      <c r="C140" s="1" t="n">
        <v>45347</v>
      </c>
      <c r="D140" t="inlineStr">
        <is>
          <t>VÄSTMANLANDS LÄN</t>
        </is>
      </c>
      <c r="E140" t="inlineStr">
        <is>
          <t>SURAHAMMAR</t>
        </is>
      </c>
      <c r="F140" t="inlineStr">
        <is>
          <t>Övriga Aktiebolag</t>
        </is>
      </c>
      <c r="G140" t="n">
        <v>2.5</v>
      </c>
      <c r="H140" t="n">
        <v>0</v>
      </c>
      <c r="I140" t="n">
        <v>0</v>
      </c>
      <c r="J140" t="n">
        <v>0</v>
      </c>
      <c r="K140" t="n">
        <v>0</v>
      </c>
      <c r="L140" t="n">
        <v>0</v>
      </c>
      <c r="M140" t="n">
        <v>0</v>
      </c>
      <c r="N140" t="n">
        <v>0</v>
      </c>
      <c r="O140" t="n">
        <v>0</v>
      </c>
      <c r="P140" t="n">
        <v>0</v>
      </c>
      <c r="Q140" t="n">
        <v>0</v>
      </c>
      <c r="R140" s="2" t="inlineStr"/>
    </row>
    <row r="141" ht="15" customHeight="1">
      <c r="A141" t="inlineStr">
        <is>
          <t>A 3155-2022</t>
        </is>
      </c>
      <c r="B141" s="1" t="n">
        <v>44582</v>
      </c>
      <c r="C141" s="1" t="n">
        <v>45347</v>
      </c>
      <c r="D141" t="inlineStr">
        <is>
          <t>VÄSTMANLANDS LÄN</t>
        </is>
      </c>
      <c r="E141" t="inlineStr">
        <is>
          <t>SURAHAMMAR</t>
        </is>
      </c>
      <c r="G141" t="n">
        <v>5.5</v>
      </c>
      <c r="H141" t="n">
        <v>0</v>
      </c>
      <c r="I141" t="n">
        <v>0</v>
      </c>
      <c r="J141" t="n">
        <v>0</v>
      </c>
      <c r="K141" t="n">
        <v>0</v>
      </c>
      <c r="L141" t="n">
        <v>0</v>
      </c>
      <c r="M141" t="n">
        <v>0</v>
      </c>
      <c r="N141" t="n">
        <v>0</v>
      </c>
      <c r="O141" t="n">
        <v>0</v>
      </c>
      <c r="P141" t="n">
        <v>0</v>
      </c>
      <c r="Q141" t="n">
        <v>0</v>
      </c>
      <c r="R141" s="2" t="inlineStr"/>
    </row>
    <row r="142" ht="15" customHeight="1">
      <c r="A142" t="inlineStr">
        <is>
          <t>A 3595-2022</t>
        </is>
      </c>
      <c r="B142" s="1" t="n">
        <v>44586</v>
      </c>
      <c r="C142" s="1" t="n">
        <v>45347</v>
      </c>
      <c r="D142" t="inlineStr">
        <is>
          <t>VÄSTMANLANDS LÄN</t>
        </is>
      </c>
      <c r="E142" t="inlineStr">
        <is>
          <t>SURAHAMMAR</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45347</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45347</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v>
      </c>
      <c r="C145" s="1" t="n">
        <v>45347</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13119-2022</t>
        </is>
      </c>
      <c r="B146" s="1" t="n">
        <v>44643</v>
      </c>
      <c r="C146" s="1" t="n">
        <v>45347</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13070-2022</t>
        </is>
      </c>
      <c r="B147" s="1" t="n">
        <v>44643</v>
      </c>
      <c r="C147" s="1" t="n">
        <v>45347</v>
      </c>
      <c r="D147" t="inlineStr">
        <is>
          <t>VÄSTMANLANDS LÄN</t>
        </is>
      </c>
      <c r="E147" t="inlineStr">
        <is>
          <t>SURAHAMMAR</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v>
      </c>
      <c r="C148" s="1" t="n">
        <v>45347</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45347</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45347</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19637-2022</t>
        </is>
      </c>
      <c r="B151" s="1" t="n">
        <v>44694</v>
      </c>
      <c r="C151" s="1" t="n">
        <v>45347</v>
      </c>
      <c r="D151" t="inlineStr">
        <is>
          <t>VÄSTMANLANDS LÄN</t>
        </is>
      </c>
      <c r="E151" t="inlineStr">
        <is>
          <t>SURAHAMMAR</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19844-2022</t>
        </is>
      </c>
      <c r="B152" s="1" t="n">
        <v>44696</v>
      </c>
      <c r="C152" s="1" t="n">
        <v>45347</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19845-2022</t>
        </is>
      </c>
      <c r="B153" s="1" t="n">
        <v>44696</v>
      </c>
      <c r="C153" s="1" t="n">
        <v>45347</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19846-2022</t>
        </is>
      </c>
      <c r="B154" s="1" t="n">
        <v>44696</v>
      </c>
      <c r="C154" s="1" t="n">
        <v>45347</v>
      </c>
      <c r="D154" t="inlineStr">
        <is>
          <t>VÄSTMANLANDS LÄN</t>
        </is>
      </c>
      <c r="E154" t="inlineStr">
        <is>
          <t>SURAHAMMAR</t>
        </is>
      </c>
      <c r="F154" t="inlineStr">
        <is>
          <t>Kommuner</t>
        </is>
      </c>
      <c r="G154" t="n">
        <v>3.4</v>
      </c>
      <c r="H154" t="n">
        <v>0</v>
      </c>
      <c r="I154" t="n">
        <v>0</v>
      </c>
      <c r="J154" t="n">
        <v>0</v>
      </c>
      <c r="K154" t="n">
        <v>0</v>
      </c>
      <c r="L154" t="n">
        <v>0</v>
      </c>
      <c r="M154" t="n">
        <v>0</v>
      </c>
      <c r="N154" t="n">
        <v>0</v>
      </c>
      <c r="O154" t="n">
        <v>0</v>
      </c>
      <c r="P154" t="n">
        <v>0</v>
      </c>
      <c r="Q154" t="n">
        <v>0</v>
      </c>
      <c r="R154" s="2" t="inlineStr"/>
    </row>
    <row r="155" ht="15" customHeight="1">
      <c r="A155" t="inlineStr">
        <is>
          <t>A 26700-2022</t>
        </is>
      </c>
      <c r="B155" s="1" t="n">
        <v>44739</v>
      </c>
      <c r="C155" s="1" t="n">
        <v>45347</v>
      </c>
      <c r="D155" t="inlineStr">
        <is>
          <t>VÄSTMANLANDS LÄN</t>
        </is>
      </c>
      <c r="E155" t="inlineStr">
        <is>
          <t>SURAHAMMAR</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32475-2022</t>
        </is>
      </c>
      <c r="B156" s="1" t="n">
        <v>44782</v>
      </c>
      <c r="C156" s="1" t="n">
        <v>45347</v>
      </c>
      <c r="D156" t="inlineStr">
        <is>
          <t>VÄSTMANLANDS LÄN</t>
        </is>
      </c>
      <c r="E156" t="inlineStr">
        <is>
          <t>SURAHAMMAR</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32491-2022</t>
        </is>
      </c>
      <c r="B157" s="1" t="n">
        <v>44782</v>
      </c>
      <c r="C157" s="1" t="n">
        <v>45347</v>
      </c>
      <c r="D157" t="inlineStr">
        <is>
          <t>VÄSTMANLANDS LÄN</t>
        </is>
      </c>
      <c r="E157" t="inlineStr">
        <is>
          <t>SURAHAMMAR</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32492-2022</t>
        </is>
      </c>
      <c r="B158" s="1" t="n">
        <v>44782</v>
      </c>
      <c r="C158" s="1" t="n">
        <v>45347</v>
      </c>
      <c r="D158" t="inlineStr">
        <is>
          <t>VÄSTMANLANDS LÄN</t>
        </is>
      </c>
      <c r="E158" t="inlineStr">
        <is>
          <t>SURAHAMMAR</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33931-2022</t>
        </is>
      </c>
      <c r="B159" s="1" t="n">
        <v>44790</v>
      </c>
      <c r="C159" s="1" t="n">
        <v>45347</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33946-2022</t>
        </is>
      </c>
      <c r="B160" s="1" t="n">
        <v>44790</v>
      </c>
      <c r="C160" s="1" t="n">
        <v>45347</v>
      </c>
      <c r="D160" t="inlineStr">
        <is>
          <t>VÄSTMANLANDS LÄN</t>
        </is>
      </c>
      <c r="E160" t="inlineStr">
        <is>
          <t>SURAHAMMAR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33953-2022</t>
        </is>
      </c>
      <c r="B161" s="1" t="n">
        <v>44790</v>
      </c>
      <c r="C161" s="1" t="n">
        <v>45347</v>
      </c>
      <c r="D161" t="inlineStr">
        <is>
          <t>VÄSTMANLANDS LÄN</t>
        </is>
      </c>
      <c r="E161" t="inlineStr">
        <is>
          <t>SURAHAMMAR</t>
        </is>
      </c>
      <c r="G161" t="n">
        <v>3</v>
      </c>
      <c r="H161" t="n">
        <v>0</v>
      </c>
      <c r="I161" t="n">
        <v>0</v>
      </c>
      <c r="J161" t="n">
        <v>0</v>
      </c>
      <c r="K161" t="n">
        <v>0</v>
      </c>
      <c r="L161" t="n">
        <v>0</v>
      </c>
      <c r="M161" t="n">
        <v>0</v>
      </c>
      <c r="N161" t="n">
        <v>0</v>
      </c>
      <c r="O161" t="n">
        <v>0</v>
      </c>
      <c r="P161" t="n">
        <v>0</v>
      </c>
      <c r="Q161" t="n">
        <v>0</v>
      </c>
      <c r="R161" s="2" t="inlineStr"/>
    </row>
    <row r="162" ht="15" customHeight="1">
      <c r="A162" t="inlineStr">
        <is>
          <t>A 34957-2022</t>
        </is>
      </c>
      <c r="B162" s="1" t="n">
        <v>44796</v>
      </c>
      <c r="C162" s="1" t="n">
        <v>45347</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34955-2022</t>
        </is>
      </c>
      <c r="B163" s="1" t="n">
        <v>44796</v>
      </c>
      <c r="C163" s="1" t="n">
        <v>45347</v>
      </c>
      <c r="D163" t="inlineStr">
        <is>
          <t>VÄSTMANLANDS LÄN</t>
        </is>
      </c>
      <c r="E163" t="inlineStr">
        <is>
          <t>SURAHAMMAR</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34956-2022</t>
        </is>
      </c>
      <c r="B164" s="1" t="n">
        <v>44796</v>
      </c>
      <c r="C164" s="1" t="n">
        <v>45347</v>
      </c>
      <c r="D164" t="inlineStr">
        <is>
          <t>VÄSTMANLANDS LÄN</t>
        </is>
      </c>
      <c r="E164" t="inlineStr">
        <is>
          <t>SURAHAMMAR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35677-2022</t>
        </is>
      </c>
      <c r="B165" s="1" t="n">
        <v>44799</v>
      </c>
      <c r="C165" s="1" t="n">
        <v>45347</v>
      </c>
      <c r="D165" t="inlineStr">
        <is>
          <t>VÄSTMANLANDS LÄN</t>
        </is>
      </c>
      <c r="E165" t="inlineStr">
        <is>
          <t>SURAHAMMAR</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35682-2022</t>
        </is>
      </c>
      <c r="B166" s="1" t="n">
        <v>44799</v>
      </c>
      <c r="C166" s="1" t="n">
        <v>45347</v>
      </c>
      <c r="D166" t="inlineStr">
        <is>
          <t>VÄSTMANLANDS LÄN</t>
        </is>
      </c>
      <c r="E166" t="inlineStr">
        <is>
          <t>SURAHAMMAR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35679-2022</t>
        </is>
      </c>
      <c r="B167" s="1" t="n">
        <v>44799</v>
      </c>
      <c r="C167" s="1" t="n">
        <v>45347</v>
      </c>
      <c r="D167" t="inlineStr">
        <is>
          <t>VÄSTMANLANDS LÄN</t>
        </is>
      </c>
      <c r="E167" t="inlineStr">
        <is>
          <t>SURAHAMMAR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41576-2022</t>
        </is>
      </c>
      <c r="B168" s="1" t="n">
        <v>44826</v>
      </c>
      <c r="C168" s="1" t="n">
        <v>45347</v>
      </c>
      <c r="D168" t="inlineStr">
        <is>
          <t>VÄSTMANLANDS LÄN</t>
        </is>
      </c>
      <c r="E168" t="inlineStr">
        <is>
          <t>SURAHAMMAR</t>
        </is>
      </c>
      <c r="F168" t="inlineStr">
        <is>
          <t>Bergvik skog väst AB</t>
        </is>
      </c>
      <c r="G168" t="n">
        <v>6.4</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45347</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42714-2022</t>
        </is>
      </c>
      <c r="B170" s="1" t="n">
        <v>44832</v>
      </c>
      <c r="C170" s="1" t="n">
        <v>45347</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42832-2022</t>
        </is>
      </c>
      <c r="B171" s="1" t="n">
        <v>44832</v>
      </c>
      <c r="C171" s="1" t="n">
        <v>45347</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42841-2022</t>
        </is>
      </c>
      <c r="B172" s="1" t="n">
        <v>44832</v>
      </c>
      <c r="C172" s="1" t="n">
        <v>45347</v>
      </c>
      <c r="D172" t="inlineStr">
        <is>
          <t>VÄSTMANLANDS LÄN</t>
        </is>
      </c>
      <c r="E172" t="inlineStr">
        <is>
          <t>SURAHAMMAR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42829-2022</t>
        </is>
      </c>
      <c r="B173" s="1" t="n">
        <v>44832</v>
      </c>
      <c r="C173" s="1" t="n">
        <v>45347</v>
      </c>
      <c r="D173" t="inlineStr">
        <is>
          <t>VÄSTMANLANDS LÄN</t>
        </is>
      </c>
      <c r="E173" t="inlineStr">
        <is>
          <t>SURAHAMMAR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48581-2022</t>
        </is>
      </c>
      <c r="B174" s="1" t="n">
        <v>44859</v>
      </c>
      <c r="C174" s="1" t="n">
        <v>45347</v>
      </c>
      <c r="D174" t="inlineStr">
        <is>
          <t>VÄSTMANLANDS LÄN</t>
        </is>
      </c>
      <c r="E174" t="inlineStr">
        <is>
          <t>SURAHAMMAR</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49686-2022</t>
        </is>
      </c>
      <c r="B175" s="1" t="n">
        <v>44862</v>
      </c>
      <c r="C175" s="1" t="n">
        <v>45347</v>
      </c>
      <c r="D175" t="inlineStr">
        <is>
          <t>VÄSTMANLANDS LÄN</t>
        </is>
      </c>
      <c r="E175" t="inlineStr">
        <is>
          <t>SURAHAMMAR</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3085-2023</t>
        </is>
      </c>
      <c r="B176" s="1" t="n">
        <v>44946</v>
      </c>
      <c r="C176" s="1" t="n">
        <v>45347</v>
      </c>
      <c r="D176" t="inlineStr">
        <is>
          <t>VÄSTMANLANDS LÄN</t>
        </is>
      </c>
      <c r="E176" t="inlineStr">
        <is>
          <t>SURAHAMMAR</t>
        </is>
      </c>
      <c r="F176" t="inlineStr">
        <is>
          <t>Kyrkan</t>
        </is>
      </c>
      <c r="G176" t="n">
        <v>13</v>
      </c>
      <c r="H176" t="n">
        <v>0</v>
      </c>
      <c r="I176" t="n">
        <v>0</v>
      </c>
      <c r="J176" t="n">
        <v>0</v>
      </c>
      <c r="K176" t="n">
        <v>0</v>
      </c>
      <c r="L176" t="n">
        <v>0</v>
      </c>
      <c r="M176" t="n">
        <v>0</v>
      </c>
      <c r="N176" t="n">
        <v>0</v>
      </c>
      <c r="O176" t="n">
        <v>0</v>
      </c>
      <c r="P176" t="n">
        <v>0</v>
      </c>
      <c r="Q176" t="n">
        <v>0</v>
      </c>
      <c r="R176" s="2" t="inlineStr"/>
    </row>
    <row r="177" ht="15" customHeight="1">
      <c r="A177" t="inlineStr">
        <is>
          <t>A 8553-2023</t>
        </is>
      </c>
      <c r="B177" s="1" t="n">
        <v>44977</v>
      </c>
      <c r="C177" s="1" t="n">
        <v>45347</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10877-2023</t>
        </is>
      </c>
      <c r="B178" s="1" t="n">
        <v>44991</v>
      </c>
      <c r="C178" s="1" t="n">
        <v>45347</v>
      </c>
      <c r="D178" t="inlineStr">
        <is>
          <t>VÄSTMANLANDS LÄN</t>
        </is>
      </c>
      <c r="E178" t="inlineStr">
        <is>
          <t>SURAHAMMAR</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10883-2023</t>
        </is>
      </c>
      <c r="B179" s="1" t="n">
        <v>44991</v>
      </c>
      <c r="C179" s="1" t="n">
        <v>45347</v>
      </c>
      <c r="D179" t="inlineStr">
        <is>
          <t>VÄSTMANLANDS LÄN</t>
        </is>
      </c>
      <c r="E179" t="inlineStr">
        <is>
          <t>SURAHAMMAR</t>
        </is>
      </c>
      <c r="F179" t="inlineStr">
        <is>
          <t>Övriga Aktiebolag</t>
        </is>
      </c>
      <c r="G179" t="n">
        <v>12.5</v>
      </c>
      <c r="H179" t="n">
        <v>0</v>
      </c>
      <c r="I179" t="n">
        <v>0</v>
      </c>
      <c r="J179" t="n">
        <v>0</v>
      </c>
      <c r="K179" t="n">
        <v>0</v>
      </c>
      <c r="L179" t="n">
        <v>0</v>
      </c>
      <c r="M179" t="n">
        <v>0</v>
      </c>
      <c r="N179" t="n">
        <v>0</v>
      </c>
      <c r="O179" t="n">
        <v>0</v>
      </c>
      <c r="P179" t="n">
        <v>0</v>
      </c>
      <c r="Q179" t="n">
        <v>0</v>
      </c>
      <c r="R179" s="2" t="inlineStr"/>
    </row>
    <row r="180" ht="15" customHeight="1">
      <c r="A180" t="inlineStr">
        <is>
          <t>A 11259-2023</t>
        </is>
      </c>
      <c r="B180" s="1" t="n">
        <v>44991</v>
      </c>
      <c r="C180" s="1" t="n">
        <v>45347</v>
      </c>
      <c r="D180" t="inlineStr">
        <is>
          <t>VÄSTMANLANDS LÄN</t>
        </is>
      </c>
      <c r="E180" t="inlineStr">
        <is>
          <t>SURAHAMMAR</t>
        </is>
      </c>
      <c r="G180" t="n">
        <v>2.4</v>
      </c>
      <c r="H180" t="n">
        <v>0</v>
      </c>
      <c r="I180" t="n">
        <v>0</v>
      </c>
      <c r="J180" t="n">
        <v>0</v>
      </c>
      <c r="K180" t="n">
        <v>0</v>
      </c>
      <c r="L180" t="n">
        <v>0</v>
      </c>
      <c r="M180" t="n">
        <v>0</v>
      </c>
      <c r="N180" t="n">
        <v>0</v>
      </c>
      <c r="O180" t="n">
        <v>0</v>
      </c>
      <c r="P180" t="n">
        <v>0</v>
      </c>
      <c r="Q180" t="n">
        <v>0</v>
      </c>
      <c r="R180" s="2" t="inlineStr"/>
    </row>
    <row r="181" ht="15" customHeight="1">
      <c r="A181" t="inlineStr">
        <is>
          <t>A 11501-2023</t>
        </is>
      </c>
      <c r="B181" s="1" t="n">
        <v>44991</v>
      </c>
      <c r="C181" s="1" t="n">
        <v>45347</v>
      </c>
      <c r="D181" t="inlineStr">
        <is>
          <t>VÄSTMANLANDS LÄN</t>
        </is>
      </c>
      <c r="E181" t="inlineStr">
        <is>
          <t>SURAHAMMAR</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11728-2023</t>
        </is>
      </c>
      <c r="B182" s="1" t="n">
        <v>44993</v>
      </c>
      <c r="C182" s="1" t="n">
        <v>45347</v>
      </c>
      <c r="D182" t="inlineStr">
        <is>
          <t>VÄSTMANLANDS LÄN</t>
        </is>
      </c>
      <c r="E182" t="inlineStr">
        <is>
          <t>SURAHAMMAR</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13479-2023</t>
        </is>
      </c>
      <c r="B183" s="1" t="n">
        <v>45005</v>
      </c>
      <c r="C183" s="1" t="n">
        <v>45347</v>
      </c>
      <c r="D183" t="inlineStr">
        <is>
          <t>VÄSTMANLANDS LÄN</t>
        </is>
      </c>
      <c r="E183" t="inlineStr">
        <is>
          <t>SURAHAMMAR</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14626-2023</t>
        </is>
      </c>
      <c r="B184" s="1" t="n">
        <v>45012</v>
      </c>
      <c r="C184" s="1" t="n">
        <v>45347</v>
      </c>
      <c r="D184" t="inlineStr">
        <is>
          <t>VÄSTMANLANDS LÄN</t>
        </is>
      </c>
      <c r="E184" t="inlineStr">
        <is>
          <t>SURAHAMMAR</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14583-2023</t>
        </is>
      </c>
      <c r="B185" s="1" t="n">
        <v>45013</v>
      </c>
      <c r="C185" s="1" t="n">
        <v>45347</v>
      </c>
      <c r="D185" t="inlineStr">
        <is>
          <t>VÄSTMANLANDS LÄN</t>
        </is>
      </c>
      <c r="E185" t="inlineStr">
        <is>
          <t>SURAHAMMAR</t>
        </is>
      </c>
      <c r="G185" t="n">
        <v>0.9</v>
      </c>
      <c r="H185" t="n">
        <v>0</v>
      </c>
      <c r="I185" t="n">
        <v>0</v>
      </c>
      <c r="J185" t="n">
        <v>0</v>
      </c>
      <c r="K185" t="n">
        <v>0</v>
      </c>
      <c r="L185" t="n">
        <v>0</v>
      </c>
      <c r="M185" t="n">
        <v>0</v>
      </c>
      <c r="N185" t="n">
        <v>0</v>
      </c>
      <c r="O185" t="n">
        <v>0</v>
      </c>
      <c r="P185" t="n">
        <v>0</v>
      </c>
      <c r="Q185" t="n">
        <v>0</v>
      </c>
      <c r="R185" s="2" t="inlineStr"/>
    </row>
    <row r="186" ht="15" customHeight="1">
      <c r="A186" t="inlineStr">
        <is>
          <t>A 15743-2023</t>
        </is>
      </c>
      <c r="B186" s="1" t="n">
        <v>45021</v>
      </c>
      <c r="C186" s="1" t="n">
        <v>45347</v>
      </c>
      <c r="D186" t="inlineStr">
        <is>
          <t>VÄSTMANLANDS LÄN</t>
        </is>
      </c>
      <c r="E186" t="inlineStr">
        <is>
          <t>SURAHAMMAR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15739-2023</t>
        </is>
      </c>
      <c r="B187" s="1" t="n">
        <v>45021</v>
      </c>
      <c r="C187" s="1" t="n">
        <v>45347</v>
      </c>
      <c r="D187" t="inlineStr">
        <is>
          <t>VÄSTMANLANDS LÄN</t>
        </is>
      </c>
      <c r="E187" t="inlineStr">
        <is>
          <t>SURAHAMMAR</t>
        </is>
      </c>
      <c r="G187" t="n">
        <v>1.3</v>
      </c>
      <c r="H187" t="n">
        <v>0</v>
      </c>
      <c r="I187" t="n">
        <v>0</v>
      </c>
      <c r="J187" t="n">
        <v>0</v>
      </c>
      <c r="K187" t="n">
        <v>0</v>
      </c>
      <c r="L187" t="n">
        <v>0</v>
      </c>
      <c r="M187" t="n">
        <v>0</v>
      </c>
      <c r="N187" t="n">
        <v>0</v>
      </c>
      <c r="O187" t="n">
        <v>0</v>
      </c>
      <c r="P187" t="n">
        <v>0</v>
      </c>
      <c r="Q187" t="n">
        <v>0</v>
      </c>
      <c r="R187" s="2" t="inlineStr"/>
    </row>
    <row r="188" ht="15" customHeight="1">
      <c r="A188" t="inlineStr">
        <is>
          <t>A 16013-2023</t>
        </is>
      </c>
      <c r="B188" s="1" t="n">
        <v>45026</v>
      </c>
      <c r="C188" s="1" t="n">
        <v>45347</v>
      </c>
      <c r="D188" t="inlineStr">
        <is>
          <t>VÄSTMANLANDS LÄN</t>
        </is>
      </c>
      <c r="E188" t="inlineStr">
        <is>
          <t>SURAHAMMAR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18223-2023</t>
        </is>
      </c>
      <c r="B189" s="1" t="n">
        <v>45041</v>
      </c>
      <c r="C189" s="1" t="n">
        <v>45347</v>
      </c>
      <c r="D189" t="inlineStr">
        <is>
          <t>VÄSTMANLANDS LÄN</t>
        </is>
      </c>
      <c r="E189" t="inlineStr">
        <is>
          <t>SURAHAMMAR</t>
        </is>
      </c>
      <c r="F189" t="inlineStr">
        <is>
          <t>Övriga Aktiebolag</t>
        </is>
      </c>
      <c r="G189" t="n">
        <v>3.1</v>
      </c>
      <c r="H189" t="n">
        <v>0</v>
      </c>
      <c r="I189" t="n">
        <v>0</v>
      </c>
      <c r="J189" t="n">
        <v>0</v>
      </c>
      <c r="K189" t="n">
        <v>0</v>
      </c>
      <c r="L189" t="n">
        <v>0</v>
      </c>
      <c r="M189" t="n">
        <v>0</v>
      </c>
      <c r="N189" t="n">
        <v>0</v>
      </c>
      <c r="O189" t="n">
        <v>0</v>
      </c>
      <c r="P189" t="n">
        <v>0</v>
      </c>
      <c r="Q189" t="n">
        <v>0</v>
      </c>
      <c r="R189" s="2" t="inlineStr"/>
    </row>
    <row r="190" ht="15" customHeight="1">
      <c r="A190" t="inlineStr">
        <is>
          <t>A 19778-2023</t>
        </is>
      </c>
      <c r="B190" s="1" t="n">
        <v>45050</v>
      </c>
      <c r="C190" s="1" t="n">
        <v>45347</v>
      </c>
      <c r="D190" t="inlineStr">
        <is>
          <t>VÄSTMANLANDS LÄN</t>
        </is>
      </c>
      <c r="E190" t="inlineStr">
        <is>
          <t>SURAHAMMAR</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19779-2023</t>
        </is>
      </c>
      <c r="B191" s="1" t="n">
        <v>45050</v>
      </c>
      <c r="C191" s="1" t="n">
        <v>45347</v>
      </c>
      <c r="D191" t="inlineStr">
        <is>
          <t>VÄSTMANLANDS LÄN</t>
        </is>
      </c>
      <c r="E191" t="inlineStr">
        <is>
          <t>SURAHAMMAR</t>
        </is>
      </c>
      <c r="F191" t="inlineStr">
        <is>
          <t>Bergvik skog väst AB</t>
        </is>
      </c>
      <c r="G191" t="n">
        <v>11.1</v>
      </c>
      <c r="H191" t="n">
        <v>0</v>
      </c>
      <c r="I191" t="n">
        <v>0</v>
      </c>
      <c r="J191" t="n">
        <v>0</v>
      </c>
      <c r="K191" t="n">
        <v>0</v>
      </c>
      <c r="L191" t="n">
        <v>0</v>
      </c>
      <c r="M191" t="n">
        <v>0</v>
      </c>
      <c r="N191" t="n">
        <v>0</v>
      </c>
      <c r="O191" t="n">
        <v>0</v>
      </c>
      <c r="P191" t="n">
        <v>0</v>
      </c>
      <c r="Q191" t="n">
        <v>0</v>
      </c>
      <c r="R191" s="2" t="inlineStr"/>
    </row>
    <row r="192" ht="15" customHeight="1">
      <c r="A192" t="inlineStr">
        <is>
          <t>A 19786-2023</t>
        </is>
      </c>
      <c r="B192" s="1" t="n">
        <v>45050</v>
      </c>
      <c r="C192" s="1" t="n">
        <v>45347</v>
      </c>
      <c r="D192" t="inlineStr">
        <is>
          <t>VÄSTMANLANDS LÄN</t>
        </is>
      </c>
      <c r="E192" t="inlineStr">
        <is>
          <t>SURAHAMMAR</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19782-2023</t>
        </is>
      </c>
      <c r="B193" s="1" t="n">
        <v>45050</v>
      </c>
      <c r="C193" s="1" t="n">
        <v>45347</v>
      </c>
      <c r="D193" t="inlineStr">
        <is>
          <t>VÄSTMANLANDS LÄN</t>
        </is>
      </c>
      <c r="E193" t="inlineStr">
        <is>
          <t>SURAHAMMAR</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20020-2023</t>
        </is>
      </c>
      <c r="B194" s="1" t="n">
        <v>45054</v>
      </c>
      <c r="C194" s="1" t="n">
        <v>45347</v>
      </c>
      <c r="D194" t="inlineStr">
        <is>
          <t>VÄSTMANLANDS LÄN</t>
        </is>
      </c>
      <c r="E194" t="inlineStr">
        <is>
          <t>SURAHAMMAR</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20018-2023</t>
        </is>
      </c>
      <c r="B195" s="1" t="n">
        <v>45054</v>
      </c>
      <c r="C195" s="1" t="n">
        <v>45347</v>
      </c>
      <c r="D195" t="inlineStr">
        <is>
          <t>VÄSTMANLANDS LÄN</t>
        </is>
      </c>
      <c r="E195" t="inlineStr">
        <is>
          <t>SURAHAMMAR</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20019-2023</t>
        </is>
      </c>
      <c r="B196" s="1" t="n">
        <v>45054</v>
      </c>
      <c r="C196" s="1" t="n">
        <v>45347</v>
      </c>
      <c r="D196" t="inlineStr">
        <is>
          <t>VÄSTMANLANDS LÄN</t>
        </is>
      </c>
      <c r="E196" t="inlineStr">
        <is>
          <t>SURAHAMMAR</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20023-2023</t>
        </is>
      </c>
      <c r="B197" s="1" t="n">
        <v>45054</v>
      </c>
      <c r="C197" s="1" t="n">
        <v>45347</v>
      </c>
      <c r="D197" t="inlineStr">
        <is>
          <t>VÄSTMANLANDS LÄN</t>
        </is>
      </c>
      <c r="E197" t="inlineStr">
        <is>
          <t>SURAHAMMAR</t>
        </is>
      </c>
      <c r="F197" t="inlineStr">
        <is>
          <t>Sveaskog</t>
        </is>
      </c>
      <c r="G197" t="n">
        <v>7.8</v>
      </c>
      <c r="H197" t="n">
        <v>0</v>
      </c>
      <c r="I197" t="n">
        <v>0</v>
      </c>
      <c r="J197" t="n">
        <v>0</v>
      </c>
      <c r="K197" t="n">
        <v>0</v>
      </c>
      <c r="L197" t="n">
        <v>0</v>
      </c>
      <c r="M197" t="n">
        <v>0</v>
      </c>
      <c r="N197" t="n">
        <v>0</v>
      </c>
      <c r="O197" t="n">
        <v>0</v>
      </c>
      <c r="P197" t="n">
        <v>0</v>
      </c>
      <c r="Q197" t="n">
        <v>0</v>
      </c>
      <c r="R197" s="2" t="inlineStr"/>
    </row>
    <row r="198" ht="15" customHeight="1">
      <c r="A198" t="inlineStr">
        <is>
          <t>A 20429-2023</t>
        </is>
      </c>
      <c r="B198" s="1" t="n">
        <v>45056</v>
      </c>
      <c r="C198" s="1" t="n">
        <v>45347</v>
      </c>
      <c r="D198" t="inlineStr">
        <is>
          <t>VÄSTMANLANDS LÄN</t>
        </is>
      </c>
      <c r="E198" t="inlineStr">
        <is>
          <t>SURAHAMMAR</t>
        </is>
      </c>
      <c r="G198" t="n">
        <v>5</v>
      </c>
      <c r="H198" t="n">
        <v>0</v>
      </c>
      <c r="I198" t="n">
        <v>0</v>
      </c>
      <c r="J198" t="n">
        <v>0</v>
      </c>
      <c r="K198" t="n">
        <v>0</v>
      </c>
      <c r="L198" t="n">
        <v>0</v>
      </c>
      <c r="M198" t="n">
        <v>0</v>
      </c>
      <c r="N198" t="n">
        <v>0</v>
      </c>
      <c r="O198" t="n">
        <v>0</v>
      </c>
      <c r="P198" t="n">
        <v>0</v>
      </c>
      <c r="Q198" t="n">
        <v>0</v>
      </c>
      <c r="R198" s="2" t="inlineStr"/>
    </row>
    <row r="199" ht="15" customHeight="1">
      <c r="A199" t="inlineStr">
        <is>
          <t>A 20904-2023</t>
        </is>
      </c>
      <c r="B199" s="1" t="n">
        <v>45060</v>
      </c>
      <c r="C199" s="1" t="n">
        <v>45347</v>
      </c>
      <c r="D199" t="inlineStr">
        <is>
          <t>VÄSTMANLANDS LÄN</t>
        </is>
      </c>
      <c r="E199" t="inlineStr">
        <is>
          <t>SURAHAMMAR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21906-2023</t>
        </is>
      </c>
      <c r="B200" s="1" t="n">
        <v>45068</v>
      </c>
      <c r="C200" s="1" t="n">
        <v>45347</v>
      </c>
      <c r="D200" t="inlineStr">
        <is>
          <t>VÄSTMANLANDS LÄN</t>
        </is>
      </c>
      <c r="E200" t="inlineStr">
        <is>
          <t>SURAHAMMAR</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21905-2023</t>
        </is>
      </c>
      <c r="B201" s="1" t="n">
        <v>45068</v>
      </c>
      <c r="C201" s="1" t="n">
        <v>45347</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21904-2023</t>
        </is>
      </c>
      <c r="B202" s="1" t="n">
        <v>45068</v>
      </c>
      <c r="C202" s="1" t="n">
        <v>45347</v>
      </c>
      <c r="D202" t="inlineStr">
        <is>
          <t>VÄSTMANLANDS LÄN</t>
        </is>
      </c>
      <c r="E202" t="inlineStr">
        <is>
          <t>SURAHAMMAR</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22915-2023</t>
        </is>
      </c>
      <c r="B203" s="1" t="n">
        <v>45070</v>
      </c>
      <c r="C203" s="1" t="n">
        <v>45347</v>
      </c>
      <c r="D203" t="inlineStr">
        <is>
          <t>VÄSTMANLANDS LÄN</t>
        </is>
      </c>
      <c r="E203" t="inlineStr">
        <is>
          <t>SURAHAMMAR</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22660-2023</t>
        </is>
      </c>
      <c r="B204" s="1" t="n">
        <v>45071</v>
      </c>
      <c r="C204" s="1" t="n">
        <v>45347</v>
      </c>
      <c r="D204" t="inlineStr">
        <is>
          <t>VÄSTMANLANDS LÄN</t>
        </is>
      </c>
      <c r="E204" t="inlineStr">
        <is>
          <t>SURAHAMMAR</t>
        </is>
      </c>
      <c r="F204" t="inlineStr">
        <is>
          <t>Sveaskog</t>
        </is>
      </c>
      <c r="G204" t="n">
        <v>15.3</v>
      </c>
      <c r="H204" t="n">
        <v>0</v>
      </c>
      <c r="I204" t="n">
        <v>0</v>
      </c>
      <c r="J204" t="n">
        <v>0</v>
      </c>
      <c r="K204" t="n">
        <v>0</v>
      </c>
      <c r="L204" t="n">
        <v>0</v>
      </c>
      <c r="M204" t="n">
        <v>0</v>
      </c>
      <c r="N204" t="n">
        <v>0</v>
      </c>
      <c r="O204" t="n">
        <v>0</v>
      </c>
      <c r="P204" t="n">
        <v>0</v>
      </c>
      <c r="Q204" t="n">
        <v>0</v>
      </c>
      <c r="R204" s="2" t="inlineStr"/>
    </row>
    <row r="205" ht="15" customHeight="1">
      <c r="A205" t="inlineStr">
        <is>
          <t>A 22662-2023</t>
        </is>
      </c>
      <c r="B205" s="1" t="n">
        <v>45071</v>
      </c>
      <c r="C205" s="1" t="n">
        <v>45347</v>
      </c>
      <c r="D205" t="inlineStr">
        <is>
          <t>VÄSTMANLANDS LÄN</t>
        </is>
      </c>
      <c r="E205" t="inlineStr">
        <is>
          <t>SURAHAMMAR</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22661-2023</t>
        </is>
      </c>
      <c r="B206" s="1" t="n">
        <v>45071</v>
      </c>
      <c r="C206" s="1" t="n">
        <v>45347</v>
      </c>
      <c r="D206" t="inlineStr">
        <is>
          <t>VÄSTMANLANDS LÄN</t>
        </is>
      </c>
      <c r="E206" t="inlineStr">
        <is>
          <t>SURAHAMMAR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22659-2023</t>
        </is>
      </c>
      <c r="B207" s="1" t="n">
        <v>45071</v>
      </c>
      <c r="C207" s="1" t="n">
        <v>45347</v>
      </c>
      <c r="D207" t="inlineStr">
        <is>
          <t>VÄSTMANLANDS LÄN</t>
        </is>
      </c>
      <c r="E207" t="inlineStr">
        <is>
          <t>SURAHAMMAR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23731-2023</t>
        </is>
      </c>
      <c r="B208" s="1" t="n">
        <v>45077</v>
      </c>
      <c r="C208" s="1" t="n">
        <v>45347</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24156-2023</t>
        </is>
      </c>
      <c r="B209" s="1" t="n">
        <v>45079</v>
      </c>
      <c r="C209" s="1" t="n">
        <v>45347</v>
      </c>
      <c r="D209" t="inlineStr">
        <is>
          <t>VÄSTMANLANDS LÄN</t>
        </is>
      </c>
      <c r="E209" t="inlineStr">
        <is>
          <t>SURAHAMMAR</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24158-2023</t>
        </is>
      </c>
      <c r="B210" s="1" t="n">
        <v>45079</v>
      </c>
      <c r="C210" s="1" t="n">
        <v>45347</v>
      </c>
      <c r="D210" t="inlineStr">
        <is>
          <t>VÄSTMANLANDS LÄN</t>
        </is>
      </c>
      <c r="E210" t="inlineStr">
        <is>
          <t>SURAHAMMAR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24197-2023</t>
        </is>
      </c>
      <c r="B211" s="1" t="n">
        <v>45079</v>
      </c>
      <c r="C211" s="1" t="n">
        <v>45347</v>
      </c>
      <c r="D211" t="inlineStr">
        <is>
          <t>VÄSTMANLANDS LÄN</t>
        </is>
      </c>
      <c r="E211" t="inlineStr">
        <is>
          <t>SURAHAMMAR</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24180-2023</t>
        </is>
      </c>
      <c r="B212" s="1" t="n">
        <v>45079</v>
      </c>
      <c r="C212" s="1" t="n">
        <v>45347</v>
      </c>
      <c r="D212" t="inlineStr">
        <is>
          <t>VÄSTMANLANDS LÄN</t>
        </is>
      </c>
      <c r="E212" t="inlineStr">
        <is>
          <t>SURAHAMMAR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24665-2023</t>
        </is>
      </c>
      <c r="B213" s="1" t="n">
        <v>45084</v>
      </c>
      <c r="C213" s="1" t="n">
        <v>45347</v>
      </c>
      <c r="D213" t="inlineStr">
        <is>
          <t>VÄSTMANLANDS LÄN</t>
        </is>
      </c>
      <c r="E213" t="inlineStr">
        <is>
          <t>SURAHAMMAR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25775-2023</t>
        </is>
      </c>
      <c r="B214" s="1" t="n">
        <v>45090</v>
      </c>
      <c r="C214" s="1" t="n">
        <v>45347</v>
      </c>
      <c r="D214" t="inlineStr">
        <is>
          <t>VÄSTMANLANDS LÄN</t>
        </is>
      </c>
      <c r="E214" t="inlineStr">
        <is>
          <t>SURAHAMMAR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25780-2023</t>
        </is>
      </c>
      <c r="B215" s="1" t="n">
        <v>45090</v>
      </c>
      <c r="C215" s="1" t="n">
        <v>45347</v>
      </c>
      <c r="D215" t="inlineStr">
        <is>
          <t>VÄSTMANLANDS LÄN</t>
        </is>
      </c>
      <c r="E215" t="inlineStr">
        <is>
          <t>SURAHAMMAR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27140-2023</t>
        </is>
      </c>
      <c r="B216" s="1" t="n">
        <v>45096</v>
      </c>
      <c r="C216" s="1" t="n">
        <v>45347</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27156-2023</t>
        </is>
      </c>
      <c r="B217" s="1" t="n">
        <v>45096</v>
      </c>
      <c r="C217" s="1" t="n">
        <v>45347</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27142-2023</t>
        </is>
      </c>
      <c r="B218" s="1" t="n">
        <v>45096</v>
      </c>
      <c r="C218" s="1" t="n">
        <v>45347</v>
      </c>
      <c r="D218" t="inlineStr">
        <is>
          <t>VÄSTMANLANDS LÄN</t>
        </is>
      </c>
      <c r="E218" t="inlineStr">
        <is>
          <t>SURAHAMMAR</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27171-2023</t>
        </is>
      </c>
      <c r="B219" s="1" t="n">
        <v>45096</v>
      </c>
      <c r="C219" s="1" t="n">
        <v>45347</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28051-2023</t>
        </is>
      </c>
      <c r="B220" s="1" t="n">
        <v>45099</v>
      </c>
      <c r="C220" s="1" t="n">
        <v>45347</v>
      </c>
      <c r="D220" t="inlineStr">
        <is>
          <t>VÄSTMANLANDS LÄN</t>
        </is>
      </c>
      <c r="E220" t="inlineStr">
        <is>
          <t>SURAHAMMAR</t>
        </is>
      </c>
      <c r="F220" t="inlineStr">
        <is>
          <t>Allmännings- och besparingsskogar</t>
        </is>
      </c>
      <c r="G220" t="n">
        <v>23.3</v>
      </c>
      <c r="H220" t="n">
        <v>0</v>
      </c>
      <c r="I220" t="n">
        <v>0</v>
      </c>
      <c r="J220" t="n">
        <v>0</v>
      </c>
      <c r="K220" t="n">
        <v>0</v>
      </c>
      <c r="L220" t="n">
        <v>0</v>
      </c>
      <c r="M220" t="n">
        <v>0</v>
      </c>
      <c r="N220" t="n">
        <v>0</v>
      </c>
      <c r="O220" t="n">
        <v>0</v>
      </c>
      <c r="P220" t="n">
        <v>0</v>
      </c>
      <c r="Q220" t="n">
        <v>0</v>
      </c>
      <c r="R220" s="2" t="inlineStr"/>
    </row>
    <row r="221" ht="15" customHeight="1">
      <c r="A221" t="inlineStr">
        <is>
          <t>A 30076-2023</t>
        </is>
      </c>
      <c r="B221" s="1" t="n">
        <v>45110</v>
      </c>
      <c r="C221" s="1" t="n">
        <v>45347</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37138-2023</t>
        </is>
      </c>
      <c r="B222" s="1" t="n">
        <v>45155</v>
      </c>
      <c r="C222" s="1" t="n">
        <v>45347</v>
      </c>
      <c r="D222" t="inlineStr">
        <is>
          <t>VÄSTMANLANDS LÄN</t>
        </is>
      </c>
      <c r="E222" t="inlineStr">
        <is>
          <t>SURAHAMMAR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37287-2023</t>
        </is>
      </c>
      <c r="B223" s="1" t="n">
        <v>45156</v>
      </c>
      <c r="C223" s="1" t="n">
        <v>45347</v>
      </c>
      <c r="D223" t="inlineStr">
        <is>
          <t>VÄSTMANLANDS LÄN</t>
        </is>
      </c>
      <c r="E223" t="inlineStr">
        <is>
          <t>SURAHAMMAR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37277-2023</t>
        </is>
      </c>
      <c r="B224" s="1" t="n">
        <v>45156</v>
      </c>
      <c r="C224" s="1" t="n">
        <v>45347</v>
      </c>
      <c r="D224" t="inlineStr">
        <is>
          <t>VÄSTMANLANDS LÄN</t>
        </is>
      </c>
      <c r="E224" t="inlineStr">
        <is>
          <t>SURAHAMMAR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37635-2023</t>
        </is>
      </c>
      <c r="B225" s="1" t="n">
        <v>45159</v>
      </c>
      <c r="C225" s="1" t="n">
        <v>45347</v>
      </c>
      <c r="D225" t="inlineStr">
        <is>
          <t>VÄSTMANLANDS LÄN</t>
        </is>
      </c>
      <c r="E225" t="inlineStr">
        <is>
          <t>SURAHAMMAR</t>
        </is>
      </c>
      <c r="G225" t="n">
        <v>1</v>
      </c>
      <c r="H225" t="n">
        <v>0</v>
      </c>
      <c r="I225" t="n">
        <v>0</v>
      </c>
      <c r="J225" t="n">
        <v>0</v>
      </c>
      <c r="K225" t="n">
        <v>0</v>
      </c>
      <c r="L225" t="n">
        <v>0</v>
      </c>
      <c r="M225" t="n">
        <v>0</v>
      </c>
      <c r="N225" t="n">
        <v>0</v>
      </c>
      <c r="O225" t="n">
        <v>0</v>
      </c>
      <c r="P225" t="n">
        <v>0</v>
      </c>
      <c r="Q225" t="n">
        <v>0</v>
      </c>
      <c r="R225" s="2" t="inlineStr"/>
    </row>
    <row r="226" ht="15" customHeight="1">
      <c r="A226" t="inlineStr">
        <is>
          <t>A 37639-2023</t>
        </is>
      </c>
      <c r="B226" s="1" t="n">
        <v>45159</v>
      </c>
      <c r="C226" s="1" t="n">
        <v>45347</v>
      </c>
      <c r="D226" t="inlineStr">
        <is>
          <t>VÄSTMANLANDS LÄN</t>
        </is>
      </c>
      <c r="E226" t="inlineStr">
        <is>
          <t>SURAHAMMAR</t>
        </is>
      </c>
      <c r="G226" t="n">
        <v>4.9</v>
      </c>
      <c r="H226" t="n">
        <v>0</v>
      </c>
      <c r="I226" t="n">
        <v>0</v>
      </c>
      <c r="J226" t="n">
        <v>0</v>
      </c>
      <c r="K226" t="n">
        <v>0</v>
      </c>
      <c r="L226" t="n">
        <v>0</v>
      </c>
      <c r="M226" t="n">
        <v>0</v>
      </c>
      <c r="N226" t="n">
        <v>0</v>
      </c>
      <c r="O226" t="n">
        <v>0</v>
      </c>
      <c r="P226" t="n">
        <v>0</v>
      </c>
      <c r="Q226" t="n">
        <v>0</v>
      </c>
      <c r="R226" s="2" t="inlineStr"/>
    </row>
    <row r="227" ht="15" customHeight="1">
      <c r="A227" t="inlineStr">
        <is>
          <t>A 40956-2023</t>
        </is>
      </c>
      <c r="B227" s="1" t="n">
        <v>45169</v>
      </c>
      <c r="C227" s="1" t="n">
        <v>45347</v>
      </c>
      <c r="D227" t="inlineStr">
        <is>
          <t>VÄSTMANLANDS LÄN</t>
        </is>
      </c>
      <c r="E227" t="inlineStr">
        <is>
          <t>SURAHAMMAR</t>
        </is>
      </c>
      <c r="F227" t="inlineStr">
        <is>
          <t>Bergvik skog väst AB</t>
        </is>
      </c>
      <c r="G227" t="n">
        <v>7.6</v>
      </c>
      <c r="H227" t="n">
        <v>0</v>
      </c>
      <c r="I227" t="n">
        <v>0</v>
      </c>
      <c r="J227" t="n">
        <v>0</v>
      </c>
      <c r="K227" t="n">
        <v>0</v>
      </c>
      <c r="L227" t="n">
        <v>0</v>
      </c>
      <c r="M227" t="n">
        <v>0</v>
      </c>
      <c r="N227" t="n">
        <v>0</v>
      </c>
      <c r="O227" t="n">
        <v>0</v>
      </c>
      <c r="P227" t="n">
        <v>0</v>
      </c>
      <c r="Q227" t="n">
        <v>0</v>
      </c>
      <c r="R227" s="2" t="inlineStr"/>
    </row>
    <row r="228" ht="15" customHeight="1">
      <c r="A228" t="inlineStr">
        <is>
          <t>A 40445-2023</t>
        </is>
      </c>
      <c r="B228" s="1" t="n">
        <v>45170</v>
      </c>
      <c r="C228" s="1" t="n">
        <v>45347</v>
      </c>
      <c r="D228" t="inlineStr">
        <is>
          <t>VÄSTMANLANDS LÄN</t>
        </is>
      </c>
      <c r="E228" t="inlineStr">
        <is>
          <t>SURAHAMMAR</t>
        </is>
      </c>
      <c r="G228" t="n">
        <v>15.6</v>
      </c>
      <c r="H228" t="n">
        <v>0</v>
      </c>
      <c r="I228" t="n">
        <v>0</v>
      </c>
      <c r="J228" t="n">
        <v>0</v>
      </c>
      <c r="K228" t="n">
        <v>0</v>
      </c>
      <c r="L228" t="n">
        <v>0</v>
      </c>
      <c r="M228" t="n">
        <v>0</v>
      </c>
      <c r="N228" t="n">
        <v>0</v>
      </c>
      <c r="O228" t="n">
        <v>0</v>
      </c>
      <c r="P228" t="n">
        <v>0</v>
      </c>
      <c r="Q228" t="n">
        <v>0</v>
      </c>
      <c r="R228" s="2" t="inlineStr"/>
    </row>
    <row r="229" ht="15" customHeight="1">
      <c r="A229" t="inlineStr">
        <is>
          <t>A 48906-2023</t>
        </is>
      </c>
      <c r="B229" s="1" t="n">
        <v>45203</v>
      </c>
      <c r="C229" s="1" t="n">
        <v>45347</v>
      </c>
      <c r="D229" t="inlineStr">
        <is>
          <t>VÄSTMANLANDS LÄN</t>
        </is>
      </c>
      <c r="E229" t="inlineStr">
        <is>
          <t>SURAHAMMAR</t>
        </is>
      </c>
      <c r="F229" t="inlineStr">
        <is>
          <t>Bergvik skog väst AB</t>
        </is>
      </c>
      <c r="G229" t="n">
        <v>2.5</v>
      </c>
      <c r="H229" t="n">
        <v>0</v>
      </c>
      <c r="I229" t="n">
        <v>0</v>
      </c>
      <c r="J229" t="n">
        <v>0</v>
      </c>
      <c r="K229" t="n">
        <v>0</v>
      </c>
      <c r="L229" t="n">
        <v>0</v>
      </c>
      <c r="M229" t="n">
        <v>0</v>
      </c>
      <c r="N229" t="n">
        <v>0</v>
      </c>
      <c r="O229" t="n">
        <v>0</v>
      </c>
      <c r="P229" t="n">
        <v>0</v>
      </c>
      <c r="Q229" t="n">
        <v>0</v>
      </c>
      <c r="R229" s="2" t="inlineStr"/>
      <c r="U229">
        <f>HYPERLINK("https://klasma.github.io/Logging_1907/knärot/A 48906-2023 karta knärot.png", "A 48906-2023")</f>
        <v/>
      </c>
      <c r="V229">
        <f>HYPERLINK("https://klasma.github.io/Logging_1907/klagomål/A 48906-2023 FSC-klagomål.docx", "A 48906-2023")</f>
        <v/>
      </c>
      <c r="W229">
        <f>HYPERLINK("https://klasma.github.io/Logging_1907/klagomålsmail/A 48906-2023 FSC-klagomål mail.docx", "A 48906-2023")</f>
        <v/>
      </c>
      <c r="X229">
        <f>HYPERLINK("https://klasma.github.io/Logging_1907/tillsyn/A 48906-2023 tillsynsbegäran.docx", "A 48906-2023")</f>
        <v/>
      </c>
      <c r="Y229">
        <f>HYPERLINK("https://klasma.github.io/Logging_1907/tillsynsmail/A 48906-2023 tillsynsbegäran mail.docx", "A 48906-2023")</f>
        <v/>
      </c>
    </row>
    <row r="230" ht="15" customHeight="1">
      <c r="A230" t="inlineStr">
        <is>
          <t>A 48205-2023</t>
        </is>
      </c>
      <c r="B230" s="1" t="n">
        <v>45205</v>
      </c>
      <c r="C230" s="1" t="n">
        <v>45347</v>
      </c>
      <c r="D230" t="inlineStr">
        <is>
          <t>VÄSTMANLANDS LÄN</t>
        </is>
      </c>
      <c r="E230" t="inlineStr">
        <is>
          <t>SURAHAMMAR</t>
        </is>
      </c>
      <c r="F230" t="inlineStr">
        <is>
          <t>Allmännings- och besparingsskogar</t>
        </is>
      </c>
      <c r="G230" t="n">
        <v>7.6</v>
      </c>
      <c r="H230" t="n">
        <v>0</v>
      </c>
      <c r="I230" t="n">
        <v>0</v>
      </c>
      <c r="J230" t="n">
        <v>0</v>
      </c>
      <c r="K230" t="n">
        <v>0</v>
      </c>
      <c r="L230" t="n">
        <v>0</v>
      </c>
      <c r="M230" t="n">
        <v>0</v>
      </c>
      <c r="N230" t="n">
        <v>0</v>
      </c>
      <c r="O230" t="n">
        <v>0</v>
      </c>
      <c r="P230" t="n">
        <v>0</v>
      </c>
      <c r="Q230" t="n">
        <v>0</v>
      </c>
      <c r="R230" s="2" t="inlineStr"/>
    </row>
    <row r="231" ht="15" customHeight="1">
      <c r="A231" t="inlineStr">
        <is>
          <t>A 56378-2023</t>
        </is>
      </c>
      <c r="B231" s="1" t="n">
        <v>45236</v>
      </c>
      <c r="C231" s="1" t="n">
        <v>45347</v>
      </c>
      <c r="D231" t="inlineStr">
        <is>
          <t>VÄSTMANLANDS LÄN</t>
        </is>
      </c>
      <c r="E231" t="inlineStr">
        <is>
          <t>SURAHAMMAR</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56183-2023</t>
        </is>
      </c>
      <c r="B232" s="1" t="n">
        <v>45240</v>
      </c>
      <c r="C232" s="1" t="n">
        <v>45347</v>
      </c>
      <c r="D232" t="inlineStr">
        <is>
          <t>VÄSTMANLANDS LÄN</t>
        </is>
      </c>
      <c r="E232" t="inlineStr">
        <is>
          <t>SURAHAMMAR</t>
        </is>
      </c>
      <c r="F232" t="inlineStr">
        <is>
          <t>Allmännings- och besparingsskogar</t>
        </is>
      </c>
      <c r="G232" t="n">
        <v>2</v>
      </c>
      <c r="H232" t="n">
        <v>0</v>
      </c>
      <c r="I232" t="n">
        <v>0</v>
      </c>
      <c r="J232" t="n">
        <v>0</v>
      </c>
      <c r="K232" t="n">
        <v>0</v>
      </c>
      <c r="L232" t="n">
        <v>0</v>
      </c>
      <c r="M232" t="n">
        <v>0</v>
      </c>
      <c r="N232" t="n">
        <v>0</v>
      </c>
      <c r="O232" t="n">
        <v>0</v>
      </c>
      <c r="P232" t="n">
        <v>0</v>
      </c>
      <c r="Q232" t="n">
        <v>0</v>
      </c>
      <c r="R232" s="2" t="inlineStr"/>
    </row>
    <row r="233" ht="15" customHeight="1">
      <c r="A233" t="inlineStr">
        <is>
          <t>A 58338-2023</t>
        </is>
      </c>
      <c r="B233" s="1" t="n">
        <v>45250</v>
      </c>
      <c r="C233" s="1" t="n">
        <v>45347</v>
      </c>
      <c r="D233" t="inlineStr">
        <is>
          <t>VÄSTMANLANDS LÄN</t>
        </is>
      </c>
      <c r="E233" t="inlineStr">
        <is>
          <t>SURAHAMMAR</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58356-2023</t>
        </is>
      </c>
      <c r="B234" s="1" t="n">
        <v>45250</v>
      </c>
      <c r="C234" s="1" t="n">
        <v>45347</v>
      </c>
      <c r="D234" t="inlineStr">
        <is>
          <t>VÄSTMANLANDS LÄN</t>
        </is>
      </c>
      <c r="E234" t="inlineStr">
        <is>
          <t>SURAHAMMAR</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59317-2023</t>
        </is>
      </c>
      <c r="B235" s="1" t="n">
        <v>45253</v>
      </c>
      <c r="C235" s="1" t="n">
        <v>45347</v>
      </c>
      <c r="D235" t="inlineStr">
        <is>
          <t>VÄSTMANLANDS LÄN</t>
        </is>
      </c>
      <c r="E235" t="inlineStr">
        <is>
          <t>SURAHAMMAR</t>
        </is>
      </c>
      <c r="G235" t="n">
        <v>7.1</v>
      </c>
      <c r="H235" t="n">
        <v>0</v>
      </c>
      <c r="I235" t="n">
        <v>0</v>
      </c>
      <c r="J235" t="n">
        <v>0</v>
      </c>
      <c r="K235" t="n">
        <v>0</v>
      </c>
      <c r="L235" t="n">
        <v>0</v>
      </c>
      <c r="M235" t="n">
        <v>0</v>
      </c>
      <c r="N235" t="n">
        <v>0</v>
      </c>
      <c r="O235" t="n">
        <v>0</v>
      </c>
      <c r="P235" t="n">
        <v>0</v>
      </c>
      <c r="Q235" t="n">
        <v>0</v>
      </c>
      <c r="R235" s="2" t="inlineStr"/>
    </row>
    <row r="236" ht="15" customHeight="1">
      <c r="A236" t="inlineStr">
        <is>
          <t>A 64343-2023</t>
        </is>
      </c>
      <c r="B236" s="1" t="n">
        <v>45280</v>
      </c>
      <c r="C236" s="1" t="n">
        <v>45347</v>
      </c>
      <c r="D236" t="inlineStr">
        <is>
          <t>VÄSTMANLANDS LÄN</t>
        </is>
      </c>
      <c r="E236" t="inlineStr">
        <is>
          <t>SURAHAMMAR</t>
        </is>
      </c>
      <c r="G236" t="n">
        <v>2.9</v>
      </c>
      <c r="H236" t="n">
        <v>0</v>
      </c>
      <c r="I236" t="n">
        <v>0</v>
      </c>
      <c r="J236" t="n">
        <v>0</v>
      </c>
      <c r="K236" t="n">
        <v>0</v>
      </c>
      <c r="L236" t="n">
        <v>0</v>
      </c>
      <c r="M236" t="n">
        <v>0</v>
      </c>
      <c r="N236" t="n">
        <v>0</v>
      </c>
      <c r="O236" t="n">
        <v>0</v>
      </c>
      <c r="P236" t="n">
        <v>0</v>
      </c>
      <c r="Q236" t="n">
        <v>0</v>
      </c>
      <c r="R236" s="2" t="inlineStr"/>
    </row>
    <row r="237" ht="15" customHeight="1">
      <c r="A237" t="inlineStr">
        <is>
          <t>A 1316-2024</t>
        </is>
      </c>
      <c r="B237" s="1" t="n">
        <v>45303</v>
      </c>
      <c r="C237" s="1" t="n">
        <v>45347</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2660-2024</t>
        </is>
      </c>
      <c r="B238" s="1" t="n">
        <v>45310</v>
      </c>
      <c r="C238" s="1" t="n">
        <v>45347</v>
      </c>
      <c r="D238" t="inlineStr">
        <is>
          <t>VÄSTMANLANDS LÄN</t>
        </is>
      </c>
      <c r="E238" t="inlineStr">
        <is>
          <t>SURAHAMMAR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45347</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2867-2024</t>
        </is>
      </c>
      <c r="B240" s="1" t="n">
        <v>45315</v>
      </c>
      <c r="C240" s="1" t="n">
        <v>45347</v>
      </c>
      <c r="D240" t="inlineStr">
        <is>
          <t>VÄSTMANLANDS LÄN</t>
        </is>
      </c>
      <c r="E240" t="inlineStr">
        <is>
          <t>SURAHAMMAR</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45347</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4759-2024</t>
        </is>
      </c>
      <c r="B242" s="1" t="n">
        <v>45328</v>
      </c>
      <c r="C242" s="1" t="n">
        <v>45347</v>
      </c>
      <c r="D242" t="inlineStr">
        <is>
          <t>VÄSTMANLANDS LÄN</t>
        </is>
      </c>
      <c r="E242" t="inlineStr">
        <is>
          <t>SURAHAMMAR</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c r="A243" t="inlineStr">
        <is>
          <t>A 5168-2024</t>
        </is>
      </c>
      <c r="B243" s="1" t="n">
        <v>45330</v>
      </c>
      <c r="C243" s="1" t="n">
        <v>45347</v>
      </c>
      <c r="D243" t="inlineStr">
        <is>
          <t>VÄSTMANLANDS LÄN</t>
        </is>
      </c>
      <c r="E243" t="inlineStr">
        <is>
          <t>SURAHAMMAR</t>
        </is>
      </c>
      <c r="F243" t="inlineStr">
        <is>
          <t>Övriga Aktiebolag</t>
        </is>
      </c>
      <c r="G243" t="n">
        <v>3.4</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2024-02-25T12:51:23Z</dcterms:created>
  <dcterms:modified xmlns:dcterms="http://purl.org/dc/terms/" xmlns:xsi="http://www.w3.org/2001/XMLSchema-instance" xsi:type="dcterms:W3CDTF">2024-02-25T12:51:24Z</dcterms:modified>
</cp:coreProperties>
</file>