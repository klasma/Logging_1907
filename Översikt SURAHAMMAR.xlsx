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46053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46053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46053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46053</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46053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46053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46053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46053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46053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46053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46053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46053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46053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46053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46053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46053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46053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46053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46053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46053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46053</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46053</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46053</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46053</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46053</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46053</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42860-2022</t>
        </is>
      </c>
      <c r="B28" s="1" t="n">
        <v>44832</v>
      </c>
      <c r="C28" s="1" t="n">
        <v>46053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46053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46053</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46053</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8552-2022</t>
        </is>
      </c>
      <c r="B32" s="1" t="n">
        <v>44613</v>
      </c>
      <c r="C32" s="1" t="n">
        <v>46053</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49718-2023</t>
        </is>
      </c>
      <c r="B33" s="1" t="n">
        <v>45212</v>
      </c>
      <c r="C33" s="1" t="n">
        <v>46053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46053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46053</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42708-2022</t>
        </is>
      </c>
      <c r="B36" s="1" t="n">
        <v>44832</v>
      </c>
      <c r="C36" s="1" t="n">
        <v>46053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46053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46053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46053</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40403-2025</t>
        </is>
      </c>
      <c r="B40" s="1" t="n">
        <v>45895</v>
      </c>
      <c r="C40" s="1" t="n">
        <v>46053</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46053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46053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46053</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46053</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41576-2022</t>
        </is>
      </c>
      <c r="B45" s="1" t="n">
        <v>44826</v>
      </c>
      <c r="C45" s="1" t="n">
        <v>46053</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37800-2021</t>
        </is>
      </c>
      <c r="B46" s="1" t="n">
        <v>44402</v>
      </c>
      <c r="C46" s="1" t="n">
        <v>46053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38170-2021</t>
        </is>
      </c>
      <c r="B47" s="1" t="n">
        <v>44405.43472222222</v>
      </c>
      <c r="C47" s="1" t="n">
        <v>46053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46053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46053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46053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46053</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46053</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34582-2025</t>
        </is>
      </c>
      <c r="B53" s="1" t="n">
        <v>45846</v>
      </c>
      <c r="C53" s="1" t="n">
        <v>46053</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42089-2025</t>
        </is>
      </c>
      <c r="B54" s="1" t="n">
        <v>45902</v>
      </c>
      <c r="C54" s="1" t="n">
        <v>46053</v>
      </c>
      <c r="D54" t="inlineStr">
        <is>
          <t>VÄSTMANLANDS LÄN</t>
        </is>
      </c>
      <c r="E54" t="inlineStr">
        <is>
          <t>SURAHAMMAR</t>
        </is>
      </c>
      <c r="G54" t="n">
        <v>2.2</v>
      </c>
      <c r="H54" t="n">
        <v>0</v>
      </c>
      <c r="I54" t="n">
        <v>0</v>
      </c>
      <c r="J54" t="n">
        <v>1</v>
      </c>
      <c r="K54" t="n">
        <v>0</v>
      </c>
      <c r="L54" t="n">
        <v>0</v>
      </c>
      <c r="M54" t="n">
        <v>0</v>
      </c>
      <c r="N54" t="n">
        <v>0</v>
      </c>
      <c r="O54" t="n">
        <v>1</v>
      </c>
      <c r="P54" t="n">
        <v>0</v>
      </c>
      <c r="Q54" t="n">
        <v>1</v>
      </c>
      <c r="R54" s="2" t="inlineStr">
        <is>
          <t>Motaggsvamp</t>
        </is>
      </c>
      <c r="S54">
        <f>HYPERLINK("https://klasma.github.io/Logging_1907/artfynd/A 42089-2025 artfynd.xlsx", "A 42089-2025")</f>
        <v/>
      </c>
      <c r="T54">
        <f>HYPERLINK("https://klasma.github.io/Logging_1907/kartor/A 42089-2025 karta.png", "A 42089-2025")</f>
        <v/>
      </c>
      <c r="V54">
        <f>HYPERLINK("https://klasma.github.io/Logging_1907/klagomål/A 42089-2025 FSC-klagomål.docx", "A 42089-2025")</f>
        <v/>
      </c>
      <c r="W54">
        <f>HYPERLINK("https://klasma.github.io/Logging_1907/klagomålsmail/A 42089-2025 FSC-klagomål mail.docx", "A 42089-2025")</f>
        <v/>
      </c>
      <c r="X54">
        <f>HYPERLINK("https://klasma.github.io/Logging_1907/tillsyn/A 42089-2025 tillsynsbegäran.docx", "A 42089-2025")</f>
        <v/>
      </c>
      <c r="Y54">
        <f>HYPERLINK("https://klasma.github.io/Logging_1907/tillsynsmail/A 42089-2025 tillsynsbegäran mail.docx", "A 42089-2025")</f>
        <v/>
      </c>
    </row>
    <row r="55" ht="15" customHeight="1">
      <c r="A55" t="inlineStr">
        <is>
          <t>A 13788-2025</t>
        </is>
      </c>
      <c r="B55" s="1" t="n">
        <v>45737.45327546296</v>
      </c>
      <c r="C55" s="1" t="n">
        <v>46053</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69777-2021</t>
        </is>
      </c>
      <c r="B56" s="1" t="n">
        <v>44532</v>
      </c>
      <c r="C56" s="1" t="n">
        <v>46053</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46053</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47453-2024</t>
        </is>
      </c>
      <c r="B58" s="1" t="n">
        <v>45587.55017361111</v>
      </c>
      <c r="C58" s="1" t="n">
        <v>46053</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10819-2024</t>
        </is>
      </c>
      <c r="B59" s="1" t="n">
        <v>45369.66049768519</v>
      </c>
      <c r="C59" s="1" t="n">
        <v>46053</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46053</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56768-2025</t>
        </is>
      </c>
      <c r="B61" s="1" t="n">
        <v>45978</v>
      </c>
      <c r="C61" s="1" t="n">
        <v>46053</v>
      </c>
      <c r="D61" t="inlineStr">
        <is>
          <t>VÄSTMANLANDS LÄN</t>
        </is>
      </c>
      <c r="E61" t="inlineStr">
        <is>
          <t>SURAHAMMAR</t>
        </is>
      </c>
      <c r="F61" t="inlineStr">
        <is>
          <t>Sveaskog</t>
        </is>
      </c>
      <c r="G61" t="n">
        <v>3.8</v>
      </c>
      <c r="H61" t="n">
        <v>0</v>
      </c>
      <c r="I61" t="n">
        <v>0</v>
      </c>
      <c r="J61" t="n">
        <v>1</v>
      </c>
      <c r="K61" t="n">
        <v>0</v>
      </c>
      <c r="L61" t="n">
        <v>0</v>
      </c>
      <c r="M61" t="n">
        <v>0</v>
      </c>
      <c r="N61" t="n">
        <v>0</v>
      </c>
      <c r="O61" t="n">
        <v>1</v>
      </c>
      <c r="P61" t="n">
        <v>0</v>
      </c>
      <c r="Q61" t="n">
        <v>1</v>
      </c>
      <c r="R61" s="2" t="inlineStr">
        <is>
          <t>Motaggsvamp</t>
        </is>
      </c>
      <c r="S61">
        <f>HYPERLINK("https://klasma.github.io/Logging_1907/artfynd/A 56768-2025 artfynd.xlsx", "A 56768-2025")</f>
        <v/>
      </c>
      <c r="T61">
        <f>HYPERLINK("https://klasma.github.io/Logging_1907/kartor/A 56768-2025 karta.png", "A 56768-2025")</f>
        <v/>
      </c>
      <c r="V61">
        <f>HYPERLINK("https://klasma.github.io/Logging_1907/klagomål/A 56768-2025 FSC-klagomål.docx", "A 56768-2025")</f>
        <v/>
      </c>
      <c r="W61">
        <f>HYPERLINK("https://klasma.github.io/Logging_1907/klagomålsmail/A 56768-2025 FSC-klagomål mail.docx", "A 56768-2025")</f>
        <v/>
      </c>
      <c r="X61">
        <f>HYPERLINK("https://klasma.github.io/Logging_1907/tillsyn/A 56768-2025 tillsynsbegäran.docx", "A 56768-2025")</f>
        <v/>
      </c>
      <c r="Y61">
        <f>HYPERLINK("https://klasma.github.io/Logging_1907/tillsynsmail/A 56768-2025 tillsynsbegäran mail.docx", "A 56768-2025")</f>
        <v/>
      </c>
    </row>
    <row r="62" ht="15" customHeight="1">
      <c r="A62" t="inlineStr">
        <is>
          <t>A 40411-2021</t>
        </is>
      </c>
      <c r="B62" s="1" t="n">
        <v>44419</v>
      </c>
      <c r="C62" s="1" t="n">
        <v>46053</v>
      </c>
      <c r="D62" t="inlineStr">
        <is>
          <t>VÄSTMANLANDS LÄN</t>
        </is>
      </c>
      <c r="E62" t="inlineStr">
        <is>
          <t>SURAHAMMAR</t>
        </is>
      </c>
      <c r="F62" t="inlineStr">
        <is>
          <t>Sveaskog</t>
        </is>
      </c>
      <c r="G62" t="n">
        <v>2.4</v>
      </c>
      <c r="H62" t="n">
        <v>1</v>
      </c>
      <c r="I62" t="n">
        <v>0</v>
      </c>
      <c r="J62" t="n">
        <v>0</v>
      </c>
      <c r="K62" t="n">
        <v>0</v>
      </c>
      <c r="L62" t="n">
        <v>0</v>
      </c>
      <c r="M62" t="n">
        <v>0</v>
      </c>
      <c r="N62" t="n">
        <v>0</v>
      </c>
      <c r="O62" t="n">
        <v>0</v>
      </c>
      <c r="P62" t="n">
        <v>0</v>
      </c>
      <c r="Q62" t="n">
        <v>1</v>
      </c>
      <c r="R62" s="2" t="inlineStr">
        <is>
          <t>Kopparödla</t>
        </is>
      </c>
      <c r="S62">
        <f>HYPERLINK("https://klasma.github.io/Logging_1907/artfynd/A 40411-2021 artfynd.xlsx", "A 40411-2021")</f>
        <v/>
      </c>
      <c r="T62">
        <f>HYPERLINK("https://klasma.github.io/Logging_1907/kartor/A 40411-2021 karta.png", "A 40411-2021")</f>
        <v/>
      </c>
      <c r="V62">
        <f>HYPERLINK("https://klasma.github.io/Logging_1907/klagomål/A 40411-2021 FSC-klagomål.docx", "A 40411-2021")</f>
        <v/>
      </c>
      <c r="W62">
        <f>HYPERLINK("https://klasma.github.io/Logging_1907/klagomålsmail/A 40411-2021 FSC-klagomål mail.docx", "A 40411-2021")</f>
        <v/>
      </c>
      <c r="X62">
        <f>HYPERLINK("https://klasma.github.io/Logging_1907/tillsyn/A 40411-2021 tillsynsbegäran.docx", "A 40411-2021")</f>
        <v/>
      </c>
      <c r="Y62">
        <f>HYPERLINK("https://klasma.github.io/Logging_1907/tillsynsmail/A 40411-2021 tillsynsbegäran mail.docx", "A 40411-2021")</f>
        <v/>
      </c>
    </row>
    <row r="63" ht="15" customHeight="1">
      <c r="A63" t="inlineStr">
        <is>
          <t>A 33231-2024</t>
        </is>
      </c>
      <c r="B63" s="1" t="n">
        <v>45518</v>
      </c>
      <c r="C63" s="1" t="n">
        <v>46053</v>
      </c>
      <c r="D63" t="inlineStr">
        <is>
          <t>VÄSTMANLANDS LÄN</t>
        </is>
      </c>
      <c r="E63" t="inlineStr">
        <is>
          <t>SURAHAMMAR</t>
        </is>
      </c>
      <c r="F63" t="inlineStr">
        <is>
          <t>Bergvik skog väst AB</t>
        </is>
      </c>
      <c r="G63" t="n">
        <v>1.5</v>
      </c>
      <c r="H63" t="n">
        <v>1</v>
      </c>
      <c r="I63" t="n">
        <v>0</v>
      </c>
      <c r="J63" t="n">
        <v>0</v>
      </c>
      <c r="K63" t="n">
        <v>0</v>
      </c>
      <c r="L63" t="n">
        <v>0</v>
      </c>
      <c r="M63" t="n">
        <v>0</v>
      </c>
      <c r="N63" t="n">
        <v>0</v>
      </c>
      <c r="O63" t="n">
        <v>0</v>
      </c>
      <c r="P63" t="n">
        <v>0</v>
      </c>
      <c r="Q63" t="n">
        <v>1</v>
      </c>
      <c r="R63" s="2" t="inlineStr">
        <is>
          <t>Mindre vattensalamander</t>
        </is>
      </c>
      <c r="S63">
        <f>HYPERLINK("https://klasma.github.io/Logging_1907/artfynd/A 33231-2024 artfynd.xlsx", "A 33231-2024")</f>
        <v/>
      </c>
      <c r="T63">
        <f>HYPERLINK("https://klasma.github.io/Logging_1907/kartor/A 33231-2024 karta.png", "A 33231-2024")</f>
        <v/>
      </c>
      <c r="V63">
        <f>HYPERLINK("https://klasma.github.io/Logging_1907/klagomål/A 33231-2024 FSC-klagomål.docx", "A 33231-2024")</f>
        <v/>
      </c>
      <c r="W63">
        <f>HYPERLINK("https://klasma.github.io/Logging_1907/klagomålsmail/A 33231-2024 FSC-klagomål mail.docx", "A 33231-2024")</f>
        <v/>
      </c>
      <c r="X63">
        <f>HYPERLINK("https://klasma.github.io/Logging_1907/tillsyn/A 33231-2024 tillsynsbegäran.docx", "A 33231-2024")</f>
        <v/>
      </c>
      <c r="Y63">
        <f>HYPERLINK("https://klasma.github.io/Logging_1907/tillsynsmail/A 33231-2024 tillsynsbegäran mail.docx", "A 33231-2024")</f>
        <v/>
      </c>
    </row>
    <row r="64" ht="15" customHeight="1">
      <c r="A64" t="inlineStr">
        <is>
          <t>A 30074-2023</t>
        </is>
      </c>
      <c r="B64" s="1" t="n">
        <v>45110</v>
      </c>
      <c r="C64" s="1" t="n">
        <v>46053</v>
      </c>
      <c r="D64" t="inlineStr">
        <is>
          <t>VÄSTMANLANDS LÄN</t>
        </is>
      </c>
      <c r="E64" t="inlineStr">
        <is>
          <t>SURAHAMMAR</t>
        </is>
      </c>
      <c r="F64" t="inlineStr">
        <is>
          <t>Sveaskog</t>
        </is>
      </c>
      <c r="G64" t="n">
        <v>1.1</v>
      </c>
      <c r="H64" t="n">
        <v>1</v>
      </c>
      <c r="I64" t="n">
        <v>0</v>
      </c>
      <c r="J64" t="n">
        <v>0</v>
      </c>
      <c r="K64" t="n">
        <v>0</v>
      </c>
      <c r="L64" t="n">
        <v>0</v>
      </c>
      <c r="M64" t="n">
        <v>0</v>
      </c>
      <c r="N64" t="n">
        <v>0</v>
      </c>
      <c r="O64" t="n">
        <v>0</v>
      </c>
      <c r="P64" t="n">
        <v>0</v>
      </c>
      <c r="Q64" t="n">
        <v>1</v>
      </c>
      <c r="R64" s="2" t="inlineStr">
        <is>
          <t>Revlummer</t>
        </is>
      </c>
      <c r="S64">
        <f>HYPERLINK("https://klasma.github.io/Logging_1907/artfynd/A 30074-2023 artfynd.xlsx", "A 30074-2023")</f>
        <v/>
      </c>
      <c r="T64">
        <f>HYPERLINK("https://klasma.github.io/Logging_1907/kartor/A 30074-2023 karta.png", "A 30074-2023")</f>
        <v/>
      </c>
      <c r="V64">
        <f>HYPERLINK("https://klasma.github.io/Logging_1907/klagomål/A 30074-2023 FSC-klagomål.docx", "A 30074-2023")</f>
        <v/>
      </c>
      <c r="W64">
        <f>HYPERLINK("https://klasma.github.io/Logging_1907/klagomålsmail/A 30074-2023 FSC-klagomål mail.docx", "A 30074-2023")</f>
        <v/>
      </c>
      <c r="X64">
        <f>HYPERLINK("https://klasma.github.io/Logging_1907/tillsyn/A 30074-2023 tillsynsbegäran.docx", "A 30074-2023")</f>
        <v/>
      </c>
      <c r="Y64">
        <f>HYPERLINK("https://klasma.github.io/Logging_1907/tillsynsmail/A 30074-2023 tillsynsbegäran mail.docx", "A 30074-2023")</f>
        <v/>
      </c>
    </row>
    <row r="65" ht="15" customHeight="1">
      <c r="A65" t="inlineStr">
        <is>
          <t>A 31176-2024</t>
        </is>
      </c>
      <c r="B65" s="1" t="n">
        <v>45503</v>
      </c>
      <c r="C65" s="1" t="n">
        <v>46053</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25583-2024</t>
        </is>
      </c>
      <c r="B66" s="1" t="n">
        <v>45463</v>
      </c>
      <c r="C66" s="1" t="n">
        <v>46053</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46053</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63145-2025</t>
        </is>
      </c>
      <c r="B68" s="1" t="n">
        <v>46009</v>
      </c>
      <c r="C68" s="1" t="n">
        <v>46053</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42765-2022</t>
        </is>
      </c>
      <c r="B69" s="1" t="n">
        <v>44832</v>
      </c>
      <c r="C69" s="1" t="n">
        <v>46053</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46053</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17632-2022</t>
        </is>
      </c>
      <c r="B71" s="1" t="n">
        <v>44680</v>
      </c>
      <c r="C71" s="1" t="n">
        <v>46053</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46053</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46053</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46053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46053</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46053</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46053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46053</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46053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46053</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46053</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46053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46053</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46053</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46053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46053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46053</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46053</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46053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46053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46053</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7787-2024</t>
        </is>
      </c>
      <c r="B92" s="1" t="n">
        <v>45348</v>
      </c>
      <c r="C92" s="1" t="n">
        <v>46053</v>
      </c>
      <c r="D92" t="inlineStr">
        <is>
          <t>VÄSTMANLANDS LÄN</t>
        </is>
      </c>
      <c r="E92" t="inlineStr">
        <is>
          <t>SURAHAMMAR</t>
        </is>
      </c>
      <c r="G92" t="n">
        <v>1</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46053</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46053</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46053</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46053</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46053</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46053</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46053</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32808-2024</t>
        </is>
      </c>
      <c r="B100" s="1" t="n">
        <v>45516</v>
      </c>
      <c r="C100" s="1" t="n">
        <v>46053</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43255-2025</t>
        </is>
      </c>
      <c r="B101" s="1" t="n">
        <v>45910.55325231481</v>
      </c>
      <c r="C101" s="1" t="n">
        <v>46053</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46053</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43249-2025</t>
        </is>
      </c>
      <c r="B103" s="1" t="n">
        <v>45910.55059027778</v>
      </c>
      <c r="C103" s="1" t="n">
        <v>46053</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3818-2022</t>
        </is>
      </c>
      <c r="B104" s="1" t="n">
        <v>44587</v>
      </c>
      <c r="C104" s="1" t="n">
        <v>46053</v>
      </c>
      <c r="D104" t="inlineStr">
        <is>
          <t>VÄSTMANLANDS LÄN</t>
        </is>
      </c>
      <c r="E104" t="inlineStr">
        <is>
          <t>SURAHAMMAR</t>
        </is>
      </c>
      <c r="G104" t="n">
        <v>2.6</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46053</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46053</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14626-2023</t>
        </is>
      </c>
      <c r="B107" s="1" t="n">
        <v>45012</v>
      </c>
      <c r="C107" s="1" t="n">
        <v>46053</v>
      </c>
      <c r="D107" t="inlineStr">
        <is>
          <t>VÄSTMANLANDS LÄN</t>
        </is>
      </c>
      <c r="E107" t="inlineStr">
        <is>
          <t>SURAHAMMAR</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46053</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46053</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11728-2023</t>
        </is>
      </c>
      <c r="B110" s="1" t="n">
        <v>44993</v>
      </c>
      <c r="C110" s="1" t="n">
        <v>46053</v>
      </c>
      <c r="D110" t="inlineStr">
        <is>
          <t>VÄSTMANLANDS LÄN</t>
        </is>
      </c>
      <c r="E110" t="inlineStr">
        <is>
          <t>SURAHAMMAR</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46053</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11501-2023</t>
        </is>
      </c>
      <c r="B112" s="1" t="n">
        <v>44991</v>
      </c>
      <c r="C112" s="1" t="n">
        <v>46053</v>
      </c>
      <c r="D112" t="inlineStr">
        <is>
          <t>VÄSTMANLANDS LÄN</t>
        </is>
      </c>
      <c r="E112" t="inlineStr">
        <is>
          <t>SURAHAMMAR</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16013-2023</t>
        </is>
      </c>
      <c r="B113" s="1" t="n">
        <v>45026</v>
      </c>
      <c r="C113" s="1" t="n">
        <v>46053</v>
      </c>
      <c r="D113" t="inlineStr">
        <is>
          <t>VÄSTMANLANDS LÄN</t>
        </is>
      </c>
      <c r="E113" t="inlineStr">
        <is>
          <t>SURAHAMMAR</t>
        </is>
      </c>
      <c r="G113" t="n">
        <v>3.9</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46053</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46053</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20904-2023</t>
        </is>
      </c>
      <c r="B116" s="1" t="n">
        <v>45060</v>
      </c>
      <c r="C116" s="1" t="n">
        <v>46053</v>
      </c>
      <c r="D116" t="inlineStr">
        <is>
          <t>VÄSTMANLANDS LÄN</t>
        </is>
      </c>
      <c r="E116" t="inlineStr">
        <is>
          <t>SURAHAMMAR</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42829-2022</t>
        </is>
      </c>
      <c r="B117" s="1" t="n">
        <v>44832</v>
      </c>
      <c r="C117" s="1" t="n">
        <v>46053</v>
      </c>
      <c r="D117" t="inlineStr">
        <is>
          <t>VÄSTMANLANDS LÄN</t>
        </is>
      </c>
      <c r="E117" t="inlineStr">
        <is>
          <t>SURAHAMMAR</t>
        </is>
      </c>
      <c r="G117" t="n">
        <v>1.6</v>
      </c>
      <c r="H117" t="n">
        <v>0</v>
      </c>
      <c r="I117" t="n">
        <v>0</v>
      </c>
      <c r="J117" t="n">
        <v>0</v>
      </c>
      <c r="K117" t="n">
        <v>0</v>
      </c>
      <c r="L117" t="n">
        <v>0</v>
      </c>
      <c r="M117" t="n">
        <v>0</v>
      </c>
      <c r="N117" t="n">
        <v>0</v>
      </c>
      <c r="O117" t="n">
        <v>0</v>
      </c>
      <c r="P117" t="n">
        <v>0</v>
      </c>
      <c r="Q117" t="n">
        <v>0</v>
      </c>
      <c r="R117" s="2" t="inlineStr"/>
    </row>
    <row r="118" ht="15" customHeight="1">
      <c r="A118" t="inlineStr">
        <is>
          <t>A 34955-2022</t>
        </is>
      </c>
      <c r="B118" s="1" t="n">
        <v>44796</v>
      </c>
      <c r="C118" s="1" t="n">
        <v>46053</v>
      </c>
      <c r="D118" t="inlineStr">
        <is>
          <t>VÄSTMANLANDS LÄN</t>
        </is>
      </c>
      <c r="E118" t="inlineStr">
        <is>
          <t>SURAHAMMAR</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37013-2025</t>
        </is>
      </c>
      <c r="B119" s="1" t="n">
        <v>45874</v>
      </c>
      <c r="C119" s="1" t="n">
        <v>46053</v>
      </c>
      <c r="D119" t="inlineStr">
        <is>
          <t>VÄSTMANLANDS LÄN</t>
        </is>
      </c>
      <c r="E119" t="inlineStr">
        <is>
          <t>SURAHAMMAR</t>
        </is>
      </c>
      <c r="F119" t="inlineStr">
        <is>
          <t>Bergvik skog väst AB</t>
        </is>
      </c>
      <c r="G119" t="n">
        <v>10.7</v>
      </c>
      <c r="H119" t="n">
        <v>0</v>
      </c>
      <c r="I119" t="n">
        <v>0</v>
      </c>
      <c r="J119" t="n">
        <v>0</v>
      </c>
      <c r="K119" t="n">
        <v>0</v>
      </c>
      <c r="L119" t="n">
        <v>0</v>
      </c>
      <c r="M119" t="n">
        <v>0</v>
      </c>
      <c r="N119" t="n">
        <v>0</v>
      </c>
      <c r="O119" t="n">
        <v>0</v>
      </c>
      <c r="P119" t="n">
        <v>0</v>
      </c>
      <c r="Q119" t="n">
        <v>0</v>
      </c>
      <c r="R119" s="2" t="inlineStr"/>
    </row>
    <row r="120" ht="15" customHeight="1">
      <c r="A120" t="inlineStr">
        <is>
          <t>A 55868-2025</t>
        </is>
      </c>
      <c r="B120" s="1" t="n">
        <v>45973.35263888889</v>
      </c>
      <c r="C120" s="1" t="n">
        <v>46053</v>
      </c>
      <c r="D120" t="inlineStr">
        <is>
          <t>VÄSTMANLANDS LÄN</t>
        </is>
      </c>
      <c r="E120" t="inlineStr">
        <is>
          <t>SURAHAMMAR</t>
        </is>
      </c>
      <c r="F120" t="inlineStr">
        <is>
          <t>Sveaskog</t>
        </is>
      </c>
      <c r="G120" t="n">
        <v>2.8</v>
      </c>
      <c r="H120" t="n">
        <v>0</v>
      </c>
      <c r="I120" t="n">
        <v>0</v>
      </c>
      <c r="J120" t="n">
        <v>0</v>
      </c>
      <c r="K120" t="n">
        <v>0</v>
      </c>
      <c r="L120" t="n">
        <v>0</v>
      </c>
      <c r="M120" t="n">
        <v>0</v>
      </c>
      <c r="N120" t="n">
        <v>0</v>
      </c>
      <c r="O120" t="n">
        <v>0</v>
      </c>
      <c r="P120" t="n">
        <v>0</v>
      </c>
      <c r="Q120" t="n">
        <v>0</v>
      </c>
      <c r="R120" s="2" t="inlineStr"/>
    </row>
    <row r="121" ht="15" customHeight="1">
      <c r="A121" t="inlineStr">
        <is>
          <t>A 55874-2025</t>
        </is>
      </c>
      <c r="B121" s="1" t="n">
        <v>45973.3569212963</v>
      </c>
      <c r="C121" s="1" t="n">
        <v>46053</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37954-2025</t>
        </is>
      </c>
      <c r="B122" s="1" t="n">
        <v>45881</v>
      </c>
      <c r="C122" s="1" t="n">
        <v>46053</v>
      </c>
      <c r="D122" t="inlineStr">
        <is>
          <t>VÄSTMANLANDS LÄN</t>
        </is>
      </c>
      <c r="E122" t="inlineStr">
        <is>
          <t>SURAHAMMAR</t>
        </is>
      </c>
      <c r="G122" t="n">
        <v>9.5</v>
      </c>
      <c r="H122" t="n">
        <v>0</v>
      </c>
      <c r="I122" t="n">
        <v>0</v>
      </c>
      <c r="J122" t="n">
        <v>0</v>
      </c>
      <c r="K122" t="n">
        <v>0</v>
      </c>
      <c r="L122" t="n">
        <v>0</v>
      </c>
      <c r="M122" t="n">
        <v>0</v>
      </c>
      <c r="N122" t="n">
        <v>0</v>
      </c>
      <c r="O122" t="n">
        <v>0</v>
      </c>
      <c r="P122" t="n">
        <v>0</v>
      </c>
      <c r="Q122" t="n">
        <v>0</v>
      </c>
      <c r="R122" s="2" t="inlineStr"/>
    </row>
    <row r="123" ht="15" customHeight="1">
      <c r="A123" t="inlineStr">
        <is>
          <t>A 55871-2025</t>
        </is>
      </c>
      <c r="B123" s="1" t="n">
        <v>45973.35452546296</v>
      </c>
      <c r="C123" s="1" t="n">
        <v>46053</v>
      </c>
      <c r="D123" t="inlineStr">
        <is>
          <t>VÄSTMANLANDS LÄN</t>
        </is>
      </c>
      <c r="E123" t="inlineStr">
        <is>
          <t>SURAHAMMAR</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46053</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55873-2025</t>
        </is>
      </c>
      <c r="B125" s="1" t="n">
        <v>45973.35608796297</v>
      </c>
      <c r="C125" s="1" t="n">
        <v>46053</v>
      </c>
      <c r="D125" t="inlineStr">
        <is>
          <t>VÄSTMANLANDS LÄN</t>
        </is>
      </c>
      <c r="E125" t="inlineStr">
        <is>
          <t>SURAHAMMAR</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56543-2025</t>
        </is>
      </c>
      <c r="B126" s="1" t="n">
        <v>45975</v>
      </c>
      <c r="C126" s="1" t="n">
        <v>46053</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48205-2023</t>
        </is>
      </c>
      <c r="B127" s="1" t="n">
        <v>45205</v>
      </c>
      <c r="C127" s="1" t="n">
        <v>46053</v>
      </c>
      <c r="D127" t="inlineStr">
        <is>
          <t>VÄSTMANLANDS LÄN</t>
        </is>
      </c>
      <c r="E127" t="inlineStr">
        <is>
          <t>SURAHAMMAR</t>
        </is>
      </c>
      <c r="F127" t="inlineStr">
        <is>
          <t>Allmännings- och besparingsskogar</t>
        </is>
      </c>
      <c r="G127" t="n">
        <v>7.6</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46053</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46053</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59399-2025</t>
        </is>
      </c>
      <c r="B130" s="1" t="n">
        <v>45989</v>
      </c>
      <c r="C130" s="1" t="n">
        <v>46053</v>
      </c>
      <c r="D130" t="inlineStr">
        <is>
          <t>VÄSTMANLANDS LÄN</t>
        </is>
      </c>
      <c r="E130" t="inlineStr">
        <is>
          <t>SURAHAMMAR</t>
        </is>
      </c>
      <c r="F130" t="inlineStr">
        <is>
          <t>Kommuner</t>
        </is>
      </c>
      <c r="G130" t="n">
        <v>2.1</v>
      </c>
      <c r="H130" t="n">
        <v>0</v>
      </c>
      <c r="I130" t="n">
        <v>0</v>
      </c>
      <c r="J130" t="n">
        <v>0</v>
      </c>
      <c r="K130" t="n">
        <v>0</v>
      </c>
      <c r="L130" t="n">
        <v>0</v>
      </c>
      <c r="M130" t="n">
        <v>0</v>
      </c>
      <c r="N130" t="n">
        <v>0</v>
      </c>
      <c r="O130" t="n">
        <v>0</v>
      </c>
      <c r="P130" t="n">
        <v>0</v>
      </c>
      <c r="Q130" t="n">
        <v>0</v>
      </c>
      <c r="R130" s="2" t="inlineStr"/>
    </row>
    <row r="131" ht="15" customHeight="1">
      <c r="A131" t="inlineStr">
        <is>
          <t>A 30076-2023</t>
        </is>
      </c>
      <c r="B131" s="1" t="n">
        <v>45110</v>
      </c>
      <c r="C131" s="1" t="n">
        <v>46053</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46053</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46053</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46053</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46053</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46053</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46053</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46053</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4734-2026</t>
        </is>
      </c>
      <c r="B139" s="1" t="n">
        <v>46048</v>
      </c>
      <c r="C139" s="1" t="n">
        <v>46053</v>
      </c>
      <c r="D139" t="inlineStr">
        <is>
          <t>VÄSTMANLANDS LÄN</t>
        </is>
      </c>
      <c r="E139" t="inlineStr">
        <is>
          <t>SURAHAMMAR</t>
        </is>
      </c>
      <c r="G139" t="n">
        <v>0.7</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46053</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63138-2025</t>
        </is>
      </c>
      <c r="B141" s="1" t="n">
        <v>46009</v>
      </c>
      <c r="C141" s="1" t="n">
        <v>46053</v>
      </c>
      <c r="D141" t="inlineStr">
        <is>
          <t>VÄSTMANLANDS LÄN</t>
        </is>
      </c>
      <c r="E141" t="inlineStr">
        <is>
          <t>SURAHAMMAR</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5697-2026</t>
        </is>
      </c>
      <c r="B142" s="1" t="n">
        <v>46051.50020833333</v>
      </c>
      <c r="C142" s="1" t="n">
        <v>46053</v>
      </c>
      <c r="D142" t="inlineStr">
        <is>
          <t>VÄSTMANLANDS LÄN</t>
        </is>
      </c>
      <c r="E142" t="inlineStr">
        <is>
          <t>SURAHAMMAR</t>
        </is>
      </c>
      <c r="F142" t="inlineStr">
        <is>
          <t>Sveaskog</t>
        </is>
      </c>
      <c r="G142" t="n">
        <v>3</v>
      </c>
      <c r="H142" t="n">
        <v>0</v>
      </c>
      <c r="I142" t="n">
        <v>0</v>
      </c>
      <c r="J142" t="n">
        <v>0</v>
      </c>
      <c r="K142" t="n">
        <v>0</v>
      </c>
      <c r="L142" t="n">
        <v>0</v>
      </c>
      <c r="M142" t="n">
        <v>0</v>
      </c>
      <c r="N142" t="n">
        <v>0</v>
      </c>
      <c r="O142" t="n">
        <v>0</v>
      </c>
      <c r="P142" t="n">
        <v>0</v>
      </c>
      <c r="Q142" t="n">
        <v>0</v>
      </c>
      <c r="R142" s="2" t="inlineStr"/>
    </row>
    <row r="143" ht="15" customHeight="1">
      <c r="A143" t="inlineStr">
        <is>
          <t>A 5698-2026</t>
        </is>
      </c>
      <c r="B143" s="1" t="n">
        <v>46051.50196759259</v>
      </c>
      <c r="C143" s="1" t="n">
        <v>46053</v>
      </c>
      <c r="D143" t="inlineStr">
        <is>
          <t>VÄSTMANLANDS LÄN</t>
        </is>
      </c>
      <c r="E143" t="inlineStr">
        <is>
          <t>SURAHAMMAR</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42714-2022</t>
        </is>
      </c>
      <c r="B144" s="1" t="n">
        <v>44832</v>
      </c>
      <c r="C144" s="1" t="n">
        <v>46053</v>
      </c>
      <c r="D144" t="inlineStr">
        <is>
          <t>VÄSTMANLANDS LÄN</t>
        </is>
      </c>
      <c r="E144" t="inlineStr">
        <is>
          <t>SURAHAMMAR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37287-2023</t>
        </is>
      </c>
      <c r="B145" s="1" t="n">
        <v>45156</v>
      </c>
      <c r="C145" s="1" t="n">
        <v>46053</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5696-2026</t>
        </is>
      </c>
      <c r="B146" s="1" t="n">
        <v>46051.4975</v>
      </c>
      <c r="C146" s="1" t="n">
        <v>46053</v>
      </c>
      <c r="D146" t="inlineStr">
        <is>
          <t>VÄSTMANLANDS LÄN</t>
        </is>
      </c>
      <c r="E146" t="inlineStr">
        <is>
          <t>SURAHAMMAR</t>
        </is>
      </c>
      <c r="F146" t="inlineStr">
        <is>
          <t>Sveaskog</t>
        </is>
      </c>
      <c r="G146" t="n">
        <v>10.4</v>
      </c>
      <c r="H146" t="n">
        <v>0</v>
      </c>
      <c r="I146" t="n">
        <v>0</v>
      </c>
      <c r="J146" t="n">
        <v>0</v>
      </c>
      <c r="K146" t="n">
        <v>0</v>
      </c>
      <c r="L146" t="n">
        <v>0</v>
      </c>
      <c r="M146" t="n">
        <v>0</v>
      </c>
      <c r="N146" t="n">
        <v>0</v>
      </c>
      <c r="O146" t="n">
        <v>0</v>
      </c>
      <c r="P146" t="n">
        <v>0</v>
      </c>
      <c r="Q146" t="n">
        <v>0</v>
      </c>
      <c r="R146" s="2" t="inlineStr"/>
    </row>
    <row r="147" ht="15" customHeight="1">
      <c r="A147" t="inlineStr">
        <is>
          <t>A 49058-2024</t>
        </is>
      </c>
      <c r="B147" s="1" t="n">
        <v>45594</v>
      </c>
      <c r="C147" s="1" t="n">
        <v>46053</v>
      </c>
      <c r="D147" t="inlineStr">
        <is>
          <t>VÄSTMANLANDS LÄN</t>
        </is>
      </c>
      <c r="E147" t="inlineStr">
        <is>
          <t>SURAHAMMAR</t>
        </is>
      </c>
      <c r="F147" t="inlineStr">
        <is>
          <t>Sveaskog</t>
        </is>
      </c>
      <c r="G147" t="n">
        <v>11.4</v>
      </c>
      <c r="H147" t="n">
        <v>0</v>
      </c>
      <c r="I147" t="n">
        <v>0</v>
      </c>
      <c r="J147" t="n">
        <v>0</v>
      </c>
      <c r="K147" t="n">
        <v>0</v>
      </c>
      <c r="L147" t="n">
        <v>0</v>
      </c>
      <c r="M147" t="n">
        <v>0</v>
      </c>
      <c r="N147" t="n">
        <v>0</v>
      </c>
      <c r="O147" t="n">
        <v>0</v>
      </c>
      <c r="P147" t="n">
        <v>0</v>
      </c>
      <c r="Q147" t="n">
        <v>0</v>
      </c>
      <c r="R147" s="2" t="inlineStr"/>
    </row>
    <row r="148" ht="15" customHeight="1">
      <c r="A148" t="inlineStr">
        <is>
          <t>A 49060-2024</t>
        </is>
      </c>
      <c r="B148" s="1" t="n">
        <v>45594</v>
      </c>
      <c r="C148" s="1" t="n">
        <v>46053</v>
      </c>
      <c r="D148" t="inlineStr">
        <is>
          <t>VÄSTMANLANDS LÄN</t>
        </is>
      </c>
      <c r="E148" t="inlineStr">
        <is>
          <t>SURAHAMMAR</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46053</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25780-2023</t>
        </is>
      </c>
      <c r="B150" s="1" t="n">
        <v>45090.47523148148</v>
      </c>
      <c r="C150" s="1" t="n">
        <v>46053</v>
      </c>
      <c r="D150" t="inlineStr">
        <is>
          <t>VÄSTMANLANDS LÄN</t>
        </is>
      </c>
      <c r="E150" t="inlineStr">
        <is>
          <t>SURAHAMMAR</t>
        </is>
      </c>
      <c r="G150" t="n">
        <v>2.8</v>
      </c>
      <c r="H150" t="n">
        <v>0</v>
      </c>
      <c r="I150" t="n">
        <v>0</v>
      </c>
      <c r="J150" t="n">
        <v>0</v>
      </c>
      <c r="K150" t="n">
        <v>0</v>
      </c>
      <c r="L150" t="n">
        <v>0</v>
      </c>
      <c r="M150" t="n">
        <v>0</v>
      </c>
      <c r="N150" t="n">
        <v>0</v>
      </c>
      <c r="O150" t="n">
        <v>0</v>
      </c>
      <c r="P150" t="n">
        <v>0</v>
      </c>
      <c r="Q150" t="n">
        <v>0</v>
      </c>
      <c r="R150" s="2" t="inlineStr"/>
    </row>
    <row r="151" ht="15" customHeight="1">
      <c r="A151" t="inlineStr">
        <is>
          <t>A 13386-2025</t>
        </is>
      </c>
      <c r="B151" s="1" t="n">
        <v>45735</v>
      </c>
      <c r="C151" s="1" t="n">
        <v>46053</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35682-2022</t>
        </is>
      </c>
      <c r="B152" s="1" t="n">
        <v>44799.60422453703</v>
      </c>
      <c r="C152" s="1" t="n">
        <v>46053</v>
      </c>
      <c r="D152" t="inlineStr">
        <is>
          <t>VÄSTMANLANDS LÄN</t>
        </is>
      </c>
      <c r="E152" t="inlineStr">
        <is>
          <t>SURAHAMMAR</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2867-2024</t>
        </is>
      </c>
      <c r="B153" s="1" t="n">
        <v>45315</v>
      </c>
      <c r="C153" s="1" t="n">
        <v>46053</v>
      </c>
      <c r="D153" t="inlineStr">
        <is>
          <t>VÄSTMANLANDS LÄN</t>
        </is>
      </c>
      <c r="E153" t="inlineStr">
        <is>
          <t>SURAHAMMAR</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2660-2024</t>
        </is>
      </c>
      <c r="B154" s="1" t="n">
        <v>45310</v>
      </c>
      <c r="C154" s="1" t="n">
        <v>46053</v>
      </c>
      <c r="D154" t="inlineStr">
        <is>
          <t>VÄSTMANLANDS LÄN</t>
        </is>
      </c>
      <c r="E154" t="inlineStr">
        <is>
          <t>SURAHAMMAR</t>
        </is>
      </c>
      <c r="G154" t="n">
        <v>2.1</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46053</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46053</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3085-2023</t>
        </is>
      </c>
      <c r="B157" s="1" t="n">
        <v>44946</v>
      </c>
      <c r="C157" s="1" t="n">
        <v>46053</v>
      </c>
      <c r="D157" t="inlineStr">
        <is>
          <t>VÄSTMANLANDS LÄN</t>
        </is>
      </c>
      <c r="E157" t="inlineStr">
        <is>
          <t>SURAHAMMAR</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44608.58400462963</v>
      </c>
      <c r="C158" s="1" t="n">
        <v>46053</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16608-2022</t>
        </is>
      </c>
      <c r="B159" s="1" t="n">
        <v>44672</v>
      </c>
      <c r="C159" s="1" t="n">
        <v>46053</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15743-2023</t>
        </is>
      </c>
      <c r="B160" s="1" t="n">
        <v>45021</v>
      </c>
      <c r="C160" s="1" t="n">
        <v>46053</v>
      </c>
      <c r="D160" t="inlineStr">
        <is>
          <t>VÄSTMANLANDS LÄN</t>
        </is>
      </c>
      <c r="E160" t="inlineStr">
        <is>
          <t>SURAHAMMAR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44662.89638888889</v>
      </c>
      <c r="C161" s="1" t="n">
        <v>46053</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c r="A162" t="inlineStr">
        <is>
          <t>A 19786-2023</t>
        </is>
      </c>
      <c r="B162" s="1" t="n">
        <v>45050</v>
      </c>
      <c r="C162" s="1" t="n">
        <v>46053</v>
      </c>
      <c r="D162" t="inlineStr">
        <is>
          <t>VÄSTMANLANDS LÄN</t>
        </is>
      </c>
      <c r="E162" t="inlineStr">
        <is>
          <t>SURAHAMMAR</t>
        </is>
      </c>
      <c r="F162" t="inlineStr">
        <is>
          <t>Bergvik skog väst AB</t>
        </is>
      </c>
      <c r="G162" t="n">
        <v>8.1</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2026-01-31T11:03:33Z</dcterms:created>
  <dcterms:modified xmlns:dcterms="http://purl.org/dc/terms/" xmlns:xsi="http://www.w3.org/2001/XMLSchema-instance" xsi:type="dcterms:W3CDTF">2026-01-31T11:03:33Z</dcterms:modified>
</cp:coreProperties>
</file>