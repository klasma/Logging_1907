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46030</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46030</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46030</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46030</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46030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46030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46030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46030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46030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46030</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46030</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46030</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46030</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46030</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46030</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38172-2024</t>
        </is>
      </c>
      <c r="B23" s="1" t="n">
        <v>45545</v>
      </c>
      <c r="C23" s="1" t="n">
        <v>46030</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46030</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46030</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21716-2025</t>
        </is>
      </c>
      <c r="B26" s="1" t="n">
        <v>45783.54804398148</v>
      </c>
      <c r="C26" s="1" t="n">
        <v>46030</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46030</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48128-2023</t>
        </is>
      </c>
      <c r="B28" s="1" t="n">
        <v>45205</v>
      </c>
      <c r="C28" s="1" t="n">
        <v>46030</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46030</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46030</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39694-2025</t>
        </is>
      </c>
      <c r="B31" s="1" t="n">
        <v>45890</v>
      </c>
      <c r="C31" s="1" t="n">
        <v>46030</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46030</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46030</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49718-2023</t>
        </is>
      </c>
      <c r="B34" s="1" t="n">
        <v>45212</v>
      </c>
      <c r="C34" s="1" t="n">
        <v>46030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20391-2024</t>
        </is>
      </c>
      <c r="B35" s="1" t="n">
        <v>45435</v>
      </c>
      <c r="C35" s="1" t="n">
        <v>46030</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46030</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46030</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46030</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46030</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46030</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63146-2025</t>
        </is>
      </c>
      <c r="B41" s="1" t="n">
        <v>46009</v>
      </c>
      <c r="C41" s="1" t="n">
        <v>46030</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37800-2021</t>
        </is>
      </c>
      <c r="B42" s="1" t="n">
        <v>44402</v>
      </c>
      <c r="C42" s="1" t="n">
        <v>46030</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46030</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46030</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46030</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46030</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46030</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46030</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46030</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46030</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46030</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46030</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56768-2025</t>
        </is>
      </c>
      <c r="B53" s="1" t="n">
        <v>45978</v>
      </c>
      <c r="C53" s="1" t="n">
        <v>46030</v>
      </c>
      <c r="D53" t="inlineStr">
        <is>
          <t>VÄSTMANLANDS LÄN</t>
        </is>
      </c>
      <c r="E53" t="inlineStr">
        <is>
          <t>SURAHAMMAR</t>
        </is>
      </c>
      <c r="F53" t="inlineStr">
        <is>
          <t>Sveaskog</t>
        </is>
      </c>
      <c r="G53" t="n">
        <v>3.8</v>
      </c>
      <c r="H53" t="n">
        <v>0</v>
      </c>
      <c r="I53" t="n">
        <v>0</v>
      </c>
      <c r="J53" t="n">
        <v>1</v>
      </c>
      <c r="K53" t="n">
        <v>0</v>
      </c>
      <c r="L53" t="n">
        <v>0</v>
      </c>
      <c r="M53" t="n">
        <v>0</v>
      </c>
      <c r="N53" t="n">
        <v>0</v>
      </c>
      <c r="O53" t="n">
        <v>1</v>
      </c>
      <c r="P53" t="n">
        <v>0</v>
      </c>
      <c r="Q53" t="n">
        <v>1</v>
      </c>
      <c r="R53" s="2" t="inlineStr">
        <is>
          <t>Motaggsvamp</t>
        </is>
      </c>
      <c r="S53">
        <f>HYPERLINK("https://klasma.github.io/Logging_1907/artfynd/A 56768-2025 artfynd.xlsx", "A 56768-2025")</f>
        <v/>
      </c>
      <c r="T53">
        <f>HYPERLINK("https://klasma.github.io/Logging_1907/kartor/A 56768-2025 karta.png", "A 56768-2025")</f>
        <v/>
      </c>
      <c r="V53">
        <f>HYPERLINK("https://klasma.github.io/Logging_1907/klagomål/A 56768-2025 FSC-klagomål.docx", "A 56768-2025")</f>
        <v/>
      </c>
      <c r="W53">
        <f>HYPERLINK("https://klasma.github.io/Logging_1907/klagomålsmail/A 56768-2025 FSC-klagomål mail.docx", "A 56768-2025")</f>
        <v/>
      </c>
      <c r="X53">
        <f>HYPERLINK("https://klasma.github.io/Logging_1907/tillsyn/A 56768-2025 tillsynsbegäran.docx", "A 56768-2025")</f>
        <v/>
      </c>
      <c r="Y53">
        <f>HYPERLINK("https://klasma.github.io/Logging_1907/tillsynsmail/A 56768-2025 tillsynsbegäran mail.docx", "A 56768-2025")</f>
        <v/>
      </c>
    </row>
    <row r="54" ht="15" customHeight="1">
      <c r="A54" t="inlineStr">
        <is>
          <t>A 56362-2023</t>
        </is>
      </c>
      <c r="B54" s="1" t="n">
        <v>45236</v>
      </c>
      <c r="C54" s="1" t="n">
        <v>46030</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42089-2025</t>
        </is>
      </c>
      <c r="B55" s="1" t="n">
        <v>45902</v>
      </c>
      <c r="C55" s="1" t="n">
        <v>46030</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47453-2024</t>
        </is>
      </c>
      <c r="B56" s="1" t="n">
        <v>45587.55017361111</v>
      </c>
      <c r="C56" s="1" t="n">
        <v>46030</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25583-2024</t>
        </is>
      </c>
      <c r="B57" s="1" t="n">
        <v>45463</v>
      </c>
      <c r="C57" s="1" t="n">
        <v>46030</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39099-2022</t>
        </is>
      </c>
      <c r="B58" s="1" t="n">
        <v>44817</v>
      </c>
      <c r="C58" s="1" t="n">
        <v>46030</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46030</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46030</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69777-2021</t>
        </is>
      </c>
      <c r="B61" s="1" t="n">
        <v>44532</v>
      </c>
      <c r="C61" s="1" t="n">
        <v>46030</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55042-2025</t>
        </is>
      </c>
      <c r="B62" s="1" t="n">
        <v>45967.65858796296</v>
      </c>
      <c r="C62" s="1" t="n">
        <v>46030</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63145-2025</t>
        </is>
      </c>
      <c r="B63" s="1" t="n">
        <v>46009</v>
      </c>
      <c r="C63" s="1" t="n">
        <v>46030</v>
      </c>
      <c r="D63" t="inlineStr">
        <is>
          <t>VÄSTMANLANDS LÄN</t>
        </is>
      </c>
      <c r="E63" t="inlineStr">
        <is>
          <t>SURAHAMMAR</t>
        </is>
      </c>
      <c r="F63" t="inlineStr">
        <is>
          <t>Bergvik skog väst AB</t>
        </is>
      </c>
      <c r="G63" t="n">
        <v>40.5</v>
      </c>
      <c r="H63" t="n">
        <v>0</v>
      </c>
      <c r="I63" t="n">
        <v>1</v>
      </c>
      <c r="J63" t="n">
        <v>0</v>
      </c>
      <c r="K63" t="n">
        <v>0</v>
      </c>
      <c r="L63" t="n">
        <v>0</v>
      </c>
      <c r="M63" t="n">
        <v>0</v>
      </c>
      <c r="N63" t="n">
        <v>0</v>
      </c>
      <c r="O63" t="n">
        <v>0</v>
      </c>
      <c r="P63" t="n">
        <v>0</v>
      </c>
      <c r="Q63" t="n">
        <v>1</v>
      </c>
      <c r="R63" s="2" t="inlineStr">
        <is>
          <t>Svart trolldruva</t>
        </is>
      </c>
      <c r="S63">
        <f>HYPERLINK("https://klasma.github.io/Logging_1907/artfynd/A 63145-2025 artfynd.xlsx", "A 63145-2025")</f>
        <v/>
      </c>
      <c r="T63">
        <f>HYPERLINK("https://klasma.github.io/Logging_1907/kartor/A 63145-2025 karta.png", "A 63145-2025")</f>
        <v/>
      </c>
      <c r="V63">
        <f>HYPERLINK("https://klasma.github.io/Logging_1907/klagomål/A 63145-2025 FSC-klagomål.docx", "A 63145-2025")</f>
        <v/>
      </c>
      <c r="W63">
        <f>HYPERLINK("https://klasma.github.io/Logging_1907/klagomålsmail/A 63145-2025 FSC-klagomål mail.docx", "A 63145-2025")</f>
        <v/>
      </c>
      <c r="X63">
        <f>HYPERLINK("https://klasma.github.io/Logging_1907/tillsyn/A 63145-2025 tillsynsbegäran.docx", "A 63145-2025")</f>
        <v/>
      </c>
      <c r="Y63">
        <f>HYPERLINK("https://klasma.github.io/Logging_1907/tillsynsmail/A 63145-2025 tillsynsbegäran mail.docx", "A 63145-2025")</f>
        <v/>
      </c>
    </row>
    <row r="64" ht="15" customHeight="1">
      <c r="A64" t="inlineStr">
        <is>
          <t>A 17632-2022</t>
        </is>
      </c>
      <c r="B64" s="1" t="n">
        <v>44680</v>
      </c>
      <c r="C64" s="1" t="n">
        <v>46030</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44356-2024</t>
        </is>
      </c>
      <c r="B65" s="1" t="n">
        <v>45573</v>
      </c>
      <c r="C65" s="1" t="n">
        <v>46030</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22840-2023</t>
        </is>
      </c>
      <c r="B66" s="1" t="n">
        <v>45072</v>
      </c>
      <c r="C66" s="1" t="n">
        <v>46030</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33231-2024</t>
        </is>
      </c>
      <c r="B67" s="1" t="n">
        <v>45518</v>
      </c>
      <c r="C67" s="1" t="n">
        <v>46030</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14001-2023</t>
        </is>
      </c>
      <c r="B68" s="1" t="n">
        <v>45007</v>
      </c>
      <c r="C68" s="1" t="n">
        <v>46030</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13971-2023</t>
        </is>
      </c>
      <c r="B69" s="1" t="n">
        <v>45007</v>
      </c>
      <c r="C69" s="1" t="n">
        <v>46030</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31176-2024</t>
        </is>
      </c>
      <c r="B70" s="1" t="n">
        <v>45503</v>
      </c>
      <c r="C70" s="1" t="n">
        <v>46030</v>
      </c>
      <c r="D70" t="inlineStr">
        <is>
          <t>VÄSTMANLANDS LÄN</t>
        </is>
      </c>
      <c r="E70" t="inlineStr">
        <is>
          <t>SURAHAMMAR</t>
        </is>
      </c>
      <c r="F70" t="inlineStr">
        <is>
          <t>Allmännings- och besparingsskogar</t>
        </is>
      </c>
      <c r="G70" t="n">
        <v>10.7</v>
      </c>
      <c r="H70" t="n">
        <v>0</v>
      </c>
      <c r="I70" t="n">
        <v>0</v>
      </c>
      <c r="J70" t="n">
        <v>1</v>
      </c>
      <c r="K70" t="n">
        <v>0</v>
      </c>
      <c r="L70" t="n">
        <v>0</v>
      </c>
      <c r="M70" t="n">
        <v>0</v>
      </c>
      <c r="N70" t="n">
        <v>0</v>
      </c>
      <c r="O70" t="n">
        <v>1</v>
      </c>
      <c r="P70" t="n">
        <v>0</v>
      </c>
      <c r="Q70" t="n">
        <v>1</v>
      </c>
      <c r="R70" s="2" t="inlineStr">
        <is>
          <t>Doftskinn</t>
        </is>
      </c>
      <c r="S70">
        <f>HYPERLINK("https://klasma.github.io/Logging_1907/artfynd/A 31176-2024 artfynd.xlsx", "A 31176-2024")</f>
        <v/>
      </c>
      <c r="T70">
        <f>HYPERLINK("https://klasma.github.io/Logging_1907/kartor/A 31176-2024 karta.png", "A 31176-2024")</f>
        <v/>
      </c>
      <c r="V70">
        <f>HYPERLINK("https://klasma.github.io/Logging_1907/klagomål/A 31176-2024 FSC-klagomål.docx", "A 31176-2024")</f>
        <v/>
      </c>
      <c r="W70">
        <f>HYPERLINK("https://klasma.github.io/Logging_1907/klagomålsmail/A 31176-2024 FSC-klagomål mail.docx", "A 31176-2024")</f>
        <v/>
      </c>
      <c r="X70">
        <f>HYPERLINK("https://klasma.github.io/Logging_1907/tillsyn/A 31176-2024 tillsynsbegäran.docx", "A 31176-2024")</f>
        <v/>
      </c>
      <c r="Y70">
        <f>HYPERLINK("https://klasma.github.io/Logging_1907/tillsynsmail/A 31176-2024 tillsynsbegäran mail.docx", "A 31176-2024")</f>
        <v/>
      </c>
    </row>
    <row r="71" ht="15" customHeight="1">
      <c r="A71" t="inlineStr">
        <is>
          <t>A 43451-2024</t>
        </is>
      </c>
      <c r="B71" s="1" t="n">
        <v>45568</v>
      </c>
      <c r="C71" s="1" t="n">
        <v>46030</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1492-2021</t>
        </is>
      </c>
      <c r="B72" s="1" t="n">
        <v>44209</v>
      </c>
      <c r="C72" s="1" t="n">
        <v>46030</v>
      </c>
      <c r="D72" t="inlineStr">
        <is>
          <t>VÄSTMANLANDS LÄN</t>
        </is>
      </c>
      <c r="E72" t="inlineStr">
        <is>
          <t>SURAHAMMAR</t>
        </is>
      </c>
      <c r="G72" t="n">
        <v>1.2</v>
      </c>
      <c r="H72" t="n">
        <v>0</v>
      </c>
      <c r="I72" t="n">
        <v>0</v>
      </c>
      <c r="J72" t="n">
        <v>0</v>
      </c>
      <c r="K72" t="n">
        <v>0</v>
      </c>
      <c r="L72" t="n">
        <v>0</v>
      </c>
      <c r="M72" t="n">
        <v>0</v>
      </c>
      <c r="N72" t="n">
        <v>0</v>
      </c>
      <c r="O72" t="n">
        <v>0</v>
      </c>
      <c r="P72" t="n">
        <v>0</v>
      </c>
      <c r="Q72" t="n">
        <v>0</v>
      </c>
      <c r="R72" s="2" t="inlineStr"/>
    </row>
    <row r="73" ht="15" customHeight="1">
      <c r="A73" t="inlineStr">
        <is>
          <t>A 64073-2021</t>
        </is>
      </c>
      <c r="B73" s="1" t="n">
        <v>44509</v>
      </c>
      <c r="C73" s="1" t="n">
        <v>46030</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46030</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46030</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46030</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46030</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46030</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46030</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46030</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46030</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46030</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46030</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46030</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46030</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46030</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46030</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46030</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46030</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46030</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46030</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46030</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46030</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46030</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46030</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13119-2022</t>
        </is>
      </c>
      <c r="B96" s="1" t="n">
        <v>44643</v>
      </c>
      <c r="C96" s="1" t="n">
        <v>46030</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46030</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46030</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55868-2025</t>
        </is>
      </c>
      <c r="B99" s="1" t="n">
        <v>45973.35263888889</v>
      </c>
      <c r="C99" s="1" t="n">
        <v>46030</v>
      </c>
      <c r="D99" t="inlineStr">
        <is>
          <t>VÄSTMANLANDS LÄN</t>
        </is>
      </c>
      <c r="E99" t="inlineStr">
        <is>
          <t>SURAHAMMAR</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55874-2025</t>
        </is>
      </c>
      <c r="B100" s="1" t="n">
        <v>45973.3569212963</v>
      </c>
      <c r="C100" s="1" t="n">
        <v>46030</v>
      </c>
      <c r="D100" t="inlineStr">
        <is>
          <t>VÄSTMANLANDS LÄN</t>
        </is>
      </c>
      <c r="E100" t="inlineStr">
        <is>
          <t>SURAHAMMAR</t>
        </is>
      </c>
      <c r="F100" t="inlineStr">
        <is>
          <t>Sveaskog</t>
        </is>
      </c>
      <c r="G100" t="n">
        <v>2.1</v>
      </c>
      <c r="H100" t="n">
        <v>0</v>
      </c>
      <c r="I100" t="n">
        <v>0</v>
      </c>
      <c r="J100" t="n">
        <v>0</v>
      </c>
      <c r="K100" t="n">
        <v>0</v>
      </c>
      <c r="L100" t="n">
        <v>0</v>
      </c>
      <c r="M100" t="n">
        <v>0</v>
      </c>
      <c r="N100" t="n">
        <v>0</v>
      </c>
      <c r="O100" t="n">
        <v>0</v>
      </c>
      <c r="P100" t="n">
        <v>0</v>
      </c>
      <c r="Q100" t="n">
        <v>0</v>
      </c>
      <c r="R100" s="2" t="inlineStr"/>
    </row>
    <row r="101" ht="15" customHeight="1">
      <c r="A101" t="inlineStr">
        <is>
          <t>A 55873-2025</t>
        </is>
      </c>
      <c r="B101" s="1" t="n">
        <v>45973.35608796297</v>
      </c>
      <c r="C101" s="1" t="n">
        <v>46030</v>
      </c>
      <c r="D101" t="inlineStr">
        <is>
          <t>VÄSTMANLANDS LÄN</t>
        </is>
      </c>
      <c r="E101" t="inlineStr">
        <is>
          <t>SURAHAMMAR</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55871-2025</t>
        </is>
      </c>
      <c r="B102" s="1" t="n">
        <v>45973.35452546296</v>
      </c>
      <c r="C102" s="1" t="n">
        <v>46030</v>
      </c>
      <c r="D102" t="inlineStr">
        <is>
          <t>VÄSTMANLANDS LÄN</t>
        </is>
      </c>
      <c r="E102" t="inlineStr">
        <is>
          <t>SURAHAMMAR</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15739-2023</t>
        </is>
      </c>
      <c r="B103" s="1" t="n">
        <v>45021</v>
      </c>
      <c r="C103" s="1" t="n">
        <v>46030</v>
      </c>
      <c r="D103" t="inlineStr">
        <is>
          <t>VÄSTMANLANDS LÄN</t>
        </is>
      </c>
      <c r="E103" t="inlineStr">
        <is>
          <t>SURAHAMMAR</t>
        </is>
      </c>
      <c r="G103" t="n">
        <v>1.3</v>
      </c>
      <c r="H103" t="n">
        <v>0</v>
      </c>
      <c r="I103" t="n">
        <v>0</v>
      </c>
      <c r="J103" t="n">
        <v>0</v>
      </c>
      <c r="K103" t="n">
        <v>0</v>
      </c>
      <c r="L103" t="n">
        <v>0</v>
      </c>
      <c r="M103" t="n">
        <v>0</v>
      </c>
      <c r="N103" t="n">
        <v>0</v>
      </c>
      <c r="O103" t="n">
        <v>0</v>
      </c>
      <c r="P103" t="n">
        <v>0</v>
      </c>
      <c r="Q103" t="n">
        <v>0</v>
      </c>
      <c r="R103" s="2" t="inlineStr"/>
    </row>
    <row r="104" ht="15" customHeight="1">
      <c r="A104" t="inlineStr">
        <is>
          <t>A 56541-2025</t>
        </is>
      </c>
      <c r="B104" s="1" t="n">
        <v>45975</v>
      </c>
      <c r="C104" s="1" t="n">
        <v>46030</v>
      </c>
      <c r="D104" t="inlineStr">
        <is>
          <t>VÄSTMANLANDS LÄN</t>
        </is>
      </c>
      <c r="E104" t="inlineStr">
        <is>
          <t>SURAHAMMAR</t>
        </is>
      </c>
      <c r="F104" t="inlineStr">
        <is>
          <t>Sveaskog</t>
        </is>
      </c>
      <c r="G104" t="n">
        <v>7.6</v>
      </c>
      <c r="H104" t="n">
        <v>0</v>
      </c>
      <c r="I104" t="n">
        <v>0</v>
      </c>
      <c r="J104" t="n">
        <v>0</v>
      </c>
      <c r="K104" t="n">
        <v>0</v>
      </c>
      <c r="L104" t="n">
        <v>0</v>
      </c>
      <c r="M104" t="n">
        <v>0</v>
      </c>
      <c r="N104" t="n">
        <v>0</v>
      </c>
      <c r="O104" t="n">
        <v>0</v>
      </c>
      <c r="P104" t="n">
        <v>0</v>
      </c>
      <c r="Q104" t="n">
        <v>0</v>
      </c>
      <c r="R104" s="2" t="inlineStr"/>
    </row>
    <row r="105" ht="15" customHeight="1">
      <c r="A105" t="inlineStr">
        <is>
          <t>A 56543-2025</t>
        </is>
      </c>
      <c r="B105" s="1" t="n">
        <v>45975</v>
      </c>
      <c r="C105" s="1" t="n">
        <v>46030</v>
      </c>
      <c r="D105" t="inlineStr">
        <is>
          <t>VÄSTMANLANDS LÄN</t>
        </is>
      </c>
      <c r="E105" t="inlineStr">
        <is>
          <t>SURAHAMMAR</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38154-2021</t>
        </is>
      </c>
      <c r="B106" s="1" t="n">
        <v>44405.42373842592</v>
      </c>
      <c r="C106" s="1" t="n">
        <v>46030</v>
      </c>
      <c r="D106" t="inlineStr">
        <is>
          <t>VÄSTMANLANDS LÄN</t>
        </is>
      </c>
      <c r="E106" t="inlineStr">
        <is>
          <t>SURAHAMMAR</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7787-2024</t>
        </is>
      </c>
      <c r="B107" s="1" t="n">
        <v>45348</v>
      </c>
      <c r="C107" s="1" t="n">
        <v>46030</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34582-2025</t>
        </is>
      </c>
      <c r="B108" s="1" t="n">
        <v>45846</v>
      </c>
      <c r="C108" s="1" t="n">
        <v>46030</v>
      </c>
      <c r="D108" t="inlineStr">
        <is>
          <t>VÄSTMANLANDS LÄN</t>
        </is>
      </c>
      <c r="E108" t="inlineStr">
        <is>
          <t>SURAHAMMAR</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42088-2025</t>
        </is>
      </c>
      <c r="B109" s="1" t="n">
        <v>45902</v>
      </c>
      <c r="C109" s="1" t="n">
        <v>46030</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31107-2025</t>
        </is>
      </c>
      <c r="B110" s="1" t="n">
        <v>45831</v>
      </c>
      <c r="C110" s="1" t="n">
        <v>46030</v>
      </c>
      <c r="D110" t="inlineStr">
        <is>
          <t>VÄSTMANLANDS LÄN</t>
        </is>
      </c>
      <c r="E110" t="inlineStr">
        <is>
          <t>SURAHAMMAR</t>
        </is>
      </c>
      <c r="F110" t="inlineStr">
        <is>
          <t>Kommuner</t>
        </is>
      </c>
      <c r="G110" t="n">
        <v>1.7</v>
      </c>
      <c r="H110" t="n">
        <v>0</v>
      </c>
      <c r="I110" t="n">
        <v>0</v>
      </c>
      <c r="J110" t="n">
        <v>0</v>
      </c>
      <c r="K110" t="n">
        <v>0</v>
      </c>
      <c r="L110" t="n">
        <v>0</v>
      </c>
      <c r="M110" t="n">
        <v>0</v>
      </c>
      <c r="N110" t="n">
        <v>0</v>
      </c>
      <c r="O110" t="n">
        <v>0</v>
      </c>
      <c r="P110" t="n">
        <v>0</v>
      </c>
      <c r="Q110" t="n">
        <v>0</v>
      </c>
      <c r="R110" s="2" t="inlineStr"/>
    </row>
    <row r="111" ht="15" customHeight="1">
      <c r="A111" t="inlineStr">
        <is>
          <t>A 37287-2023</t>
        </is>
      </c>
      <c r="B111" s="1" t="n">
        <v>45156</v>
      </c>
      <c r="C111" s="1" t="n">
        <v>46030</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43249-2025</t>
        </is>
      </c>
      <c r="B112" s="1" t="n">
        <v>45910.55059027778</v>
      </c>
      <c r="C112" s="1" t="n">
        <v>46030</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43255-2025</t>
        </is>
      </c>
      <c r="B113" s="1" t="n">
        <v>45910.55325231481</v>
      </c>
      <c r="C113" s="1" t="n">
        <v>46030</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41576-2022</t>
        </is>
      </c>
      <c r="B114" s="1" t="n">
        <v>44826</v>
      </c>
      <c r="C114" s="1" t="n">
        <v>46030</v>
      </c>
      <c r="D114" t="inlineStr">
        <is>
          <t>VÄSTMANLANDS LÄN</t>
        </is>
      </c>
      <c r="E114" t="inlineStr">
        <is>
          <t>SURAHAMMAR</t>
        </is>
      </c>
      <c r="F114" t="inlineStr">
        <is>
          <t>Bergvik skog väst AB</t>
        </is>
      </c>
      <c r="G114" t="n">
        <v>6.4</v>
      </c>
      <c r="H114" t="n">
        <v>0</v>
      </c>
      <c r="I114" t="n">
        <v>0</v>
      </c>
      <c r="J114" t="n">
        <v>0</v>
      </c>
      <c r="K114" t="n">
        <v>0</v>
      </c>
      <c r="L114" t="n">
        <v>0</v>
      </c>
      <c r="M114" t="n">
        <v>0</v>
      </c>
      <c r="N114" t="n">
        <v>0</v>
      </c>
      <c r="O114" t="n">
        <v>0</v>
      </c>
      <c r="P114" t="n">
        <v>0</v>
      </c>
      <c r="Q114" t="n">
        <v>0</v>
      </c>
      <c r="R114" s="2" t="inlineStr"/>
    </row>
    <row r="115" ht="15" customHeight="1">
      <c r="A115" t="inlineStr">
        <is>
          <t>A 72367-2021</t>
        </is>
      </c>
      <c r="B115" s="1" t="n">
        <v>44545</v>
      </c>
      <c r="C115" s="1" t="n">
        <v>46030</v>
      </c>
      <c r="D115" t="inlineStr">
        <is>
          <t>VÄSTMANLANDS LÄN</t>
        </is>
      </c>
      <c r="E115" t="inlineStr">
        <is>
          <t>SURAHAMMAR</t>
        </is>
      </c>
      <c r="G115" t="n">
        <v>2.5</v>
      </c>
      <c r="H115" t="n">
        <v>0</v>
      </c>
      <c r="I115" t="n">
        <v>0</v>
      </c>
      <c r="J115" t="n">
        <v>0</v>
      </c>
      <c r="K115" t="n">
        <v>0</v>
      </c>
      <c r="L115" t="n">
        <v>0</v>
      </c>
      <c r="M115" t="n">
        <v>0</v>
      </c>
      <c r="N115" t="n">
        <v>0</v>
      </c>
      <c r="O115" t="n">
        <v>0</v>
      </c>
      <c r="P115" t="n">
        <v>0</v>
      </c>
      <c r="Q115" t="n">
        <v>0</v>
      </c>
      <c r="R115" s="2" t="inlineStr"/>
    </row>
    <row r="116" ht="15" customHeight="1">
      <c r="A116" t="inlineStr">
        <is>
          <t>A 33931-2022</t>
        </is>
      </c>
      <c r="B116" s="1" t="n">
        <v>44790.65153935185</v>
      </c>
      <c r="C116" s="1" t="n">
        <v>46030</v>
      </c>
      <c r="D116" t="inlineStr">
        <is>
          <t>VÄSTMANLANDS LÄN</t>
        </is>
      </c>
      <c r="E116" t="inlineStr">
        <is>
          <t>SURAHAMMAR</t>
        </is>
      </c>
      <c r="G116" t="n">
        <v>2.2</v>
      </c>
      <c r="H116" t="n">
        <v>0</v>
      </c>
      <c r="I116" t="n">
        <v>0</v>
      </c>
      <c r="J116" t="n">
        <v>0</v>
      </c>
      <c r="K116" t="n">
        <v>0</v>
      </c>
      <c r="L116" t="n">
        <v>0</v>
      </c>
      <c r="M116" t="n">
        <v>0</v>
      </c>
      <c r="N116" t="n">
        <v>0</v>
      </c>
      <c r="O116" t="n">
        <v>0</v>
      </c>
      <c r="P116" t="n">
        <v>0</v>
      </c>
      <c r="Q116" t="n">
        <v>0</v>
      </c>
      <c r="R116" s="2" t="inlineStr"/>
    </row>
    <row r="117" ht="15" customHeight="1">
      <c r="A117" t="inlineStr">
        <is>
          <t>A 34584-2025</t>
        </is>
      </c>
      <c r="B117" s="1" t="n">
        <v>45846</v>
      </c>
      <c r="C117" s="1" t="n">
        <v>46030</v>
      </c>
      <c r="D117" t="inlineStr">
        <is>
          <t>VÄSTMANLANDS LÄN</t>
        </is>
      </c>
      <c r="E117" t="inlineStr">
        <is>
          <t>SURAHAMMAR</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24158-2023</t>
        </is>
      </c>
      <c r="B118" s="1" t="n">
        <v>45079</v>
      </c>
      <c r="C118" s="1" t="n">
        <v>46030</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32916-2025</t>
        </is>
      </c>
      <c r="B119" s="1" t="n">
        <v>45839</v>
      </c>
      <c r="C119" s="1" t="n">
        <v>46030</v>
      </c>
      <c r="D119" t="inlineStr">
        <is>
          <t>VÄSTMANLANDS LÄN</t>
        </is>
      </c>
      <c r="E119" t="inlineStr">
        <is>
          <t>SURAHAMMAR</t>
        </is>
      </c>
      <c r="F119" t="inlineStr">
        <is>
          <t>Kommuner</t>
        </is>
      </c>
      <c r="G119" t="n">
        <v>4.9</v>
      </c>
      <c r="H119" t="n">
        <v>0</v>
      </c>
      <c r="I119" t="n">
        <v>0</v>
      </c>
      <c r="J119" t="n">
        <v>0</v>
      </c>
      <c r="K119" t="n">
        <v>0</v>
      </c>
      <c r="L119" t="n">
        <v>0</v>
      </c>
      <c r="M119" t="n">
        <v>0</v>
      </c>
      <c r="N119" t="n">
        <v>0</v>
      </c>
      <c r="O119" t="n">
        <v>0</v>
      </c>
      <c r="P119" t="n">
        <v>0</v>
      </c>
      <c r="Q119" t="n">
        <v>0</v>
      </c>
      <c r="R119" s="2" t="inlineStr"/>
    </row>
    <row r="120" ht="15" customHeight="1">
      <c r="A120" t="inlineStr">
        <is>
          <t>A 32910-2025</t>
        </is>
      </c>
      <c r="B120" s="1" t="n">
        <v>45839</v>
      </c>
      <c r="C120" s="1" t="n">
        <v>46030</v>
      </c>
      <c r="D120" t="inlineStr">
        <is>
          <t>VÄSTMANLANDS LÄN</t>
        </is>
      </c>
      <c r="E120" t="inlineStr">
        <is>
          <t>SURAHAMMAR</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46030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37013-2025</t>
        </is>
      </c>
      <c r="B122" s="1" t="n">
        <v>45874</v>
      </c>
      <c r="C122" s="1" t="n">
        <v>46030</v>
      </c>
      <c r="D122" t="inlineStr">
        <is>
          <t>VÄSTMANLANDS LÄN</t>
        </is>
      </c>
      <c r="E122" t="inlineStr">
        <is>
          <t>SURAHAMMAR</t>
        </is>
      </c>
      <c r="F122" t="inlineStr">
        <is>
          <t>Bergvik skog väst AB</t>
        </is>
      </c>
      <c r="G122" t="n">
        <v>10.7</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46030</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59399-2025</t>
        </is>
      </c>
      <c r="B124" s="1" t="n">
        <v>45989</v>
      </c>
      <c r="C124" s="1" t="n">
        <v>46030</v>
      </c>
      <c r="D124" t="inlineStr">
        <is>
          <t>VÄSTMANLANDS LÄN</t>
        </is>
      </c>
      <c r="E124" t="inlineStr">
        <is>
          <t>SURAHAMMAR</t>
        </is>
      </c>
      <c r="F124" t="inlineStr">
        <is>
          <t>Kommuner</t>
        </is>
      </c>
      <c r="G124" t="n">
        <v>2.1</v>
      </c>
      <c r="H124" t="n">
        <v>0</v>
      </c>
      <c r="I124" t="n">
        <v>0</v>
      </c>
      <c r="J124" t="n">
        <v>0</v>
      </c>
      <c r="K124" t="n">
        <v>0</v>
      </c>
      <c r="L124" t="n">
        <v>0</v>
      </c>
      <c r="M124" t="n">
        <v>0</v>
      </c>
      <c r="N124" t="n">
        <v>0</v>
      </c>
      <c r="O124" t="n">
        <v>0</v>
      </c>
      <c r="P124" t="n">
        <v>0</v>
      </c>
      <c r="Q124" t="n">
        <v>0</v>
      </c>
      <c r="R124" s="2" t="inlineStr"/>
    </row>
    <row r="125" ht="15" customHeight="1">
      <c r="A125" t="inlineStr">
        <is>
          <t>A 11728-2023</t>
        </is>
      </c>
      <c r="B125" s="1" t="n">
        <v>44993</v>
      </c>
      <c r="C125" s="1" t="n">
        <v>46030</v>
      </c>
      <c r="D125" t="inlineStr">
        <is>
          <t>VÄSTMANLANDS LÄN</t>
        </is>
      </c>
      <c r="E125" t="inlineStr">
        <is>
          <t>SURAHAMMAR</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37954-2025</t>
        </is>
      </c>
      <c r="B126" s="1" t="n">
        <v>45881</v>
      </c>
      <c r="C126" s="1" t="n">
        <v>46030</v>
      </c>
      <c r="D126" t="inlineStr">
        <is>
          <t>VÄSTMANLANDS LÄN</t>
        </is>
      </c>
      <c r="E126" t="inlineStr">
        <is>
          <t>SURAHAMMAR</t>
        </is>
      </c>
      <c r="G126" t="n">
        <v>9.5</v>
      </c>
      <c r="H126" t="n">
        <v>0</v>
      </c>
      <c r="I126" t="n">
        <v>0</v>
      </c>
      <c r="J126" t="n">
        <v>0</v>
      </c>
      <c r="K126" t="n">
        <v>0</v>
      </c>
      <c r="L126" t="n">
        <v>0</v>
      </c>
      <c r="M126" t="n">
        <v>0</v>
      </c>
      <c r="N126" t="n">
        <v>0</v>
      </c>
      <c r="O126" t="n">
        <v>0</v>
      </c>
      <c r="P126" t="n">
        <v>0</v>
      </c>
      <c r="Q126" t="n">
        <v>0</v>
      </c>
      <c r="R126" s="2" t="inlineStr"/>
    </row>
    <row r="127" ht="15" customHeight="1">
      <c r="A127" t="inlineStr">
        <is>
          <t>A 5567-2022</t>
        </is>
      </c>
      <c r="B127" s="1" t="n">
        <v>44595</v>
      </c>
      <c r="C127" s="1" t="n">
        <v>46030</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42832-2022</t>
        </is>
      </c>
      <c r="B128" s="1" t="n">
        <v>44832</v>
      </c>
      <c r="C128" s="1" t="n">
        <v>46030</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24665-2023</t>
        </is>
      </c>
      <c r="B129" s="1" t="n">
        <v>45084.48592592592</v>
      </c>
      <c r="C129" s="1" t="n">
        <v>46030</v>
      </c>
      <c r="D129" t="inlineStr">
        <is>
          <t>VÄSTMANLANDS LÄN</t>
        </is>
      </c>
      <c r="E129" t="inlineStr">
        <is>
          <t>SURAHAMMAR</t>
        </is>
      </c>
      <c r="G129" t="n">
        <v>0.9</v>
      </c>
      <c r="H129" t="n">
        <v>0</v>
      </c>
      <c r="I129" t="n">
        <v>0</v>
      </c>
      <c r="J129" t="n">
        <v>0</v>
      </c>
      <c r="K129" t="n">
        <v>0</v>
      </c>
      <c r="L129" t="n">
        <v>0</v>
      </c>
      <c r="M129" t="n">
        <v>0</v>
      </c>
      <c r="N129" t="n">
        <v>0</v>
      </c>
      <c r="O129" t="n">
        <v>0</v>
      </c>
      <c r="P129" t="n">
        <v>0</v>
      </c>
      <c r="Q129" t="n">
        <v>0</v>
      </c>
      <c r="R129" s="2" t="inlineStr"/>
    </row>
    <row r="130" ht="15" customHeight="1">
      <c r="A130" t="inlineStr">
        <is>
          <t>A 32808-2024</t>
        </is>
      </c>
      <c r="B130" s="1" t="n">
        <v>45516</v>
      </c>
      <c r="C130" s="1" t="n">
        <v>46030</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42841-2022</t>
        </is>
      </c>
      <c r="B131" s="1" t="n">
        <v>44832</v>
      </c>
      <c r="C131" s="1" t="n">
        <v>46030</v>
      </c>
      <c r="D131" t="inlineStr">
        <is>
          <t>VÄSTMANLANDS LÄN</t>
        </is>
      </c>
      <c r="E131" t="inlineStr">
        <is>
          <t>SURAHAMMAR</t>
        </is>
      </c>
      <c r="G131" t="n">
        <v>1.8</v>
      </c>
      <c r="H131" t="n">
        <v>0</v>
      </c>
      <c r="I131" t="n">
        <v>0</v>
      </c>
      <c r="J131" t="n">
        <v>0</v>
      </c>
      <c r="K131" t="n">
        <v>0</v>
      </c>
      <c r="L131" t="n">
        <v>0</v>
      </c>
      <c r="M131" t="n">
        <v>0</v>
      </c>
      <c r="N131" t="n">
        <v>0</v>
      </c>
      <c r="O131" t="n">
        <v>0</v>
      </c>
      <c r="P131" t="n">
        <v>0</v>
      </c>
      <c r="Q131" t="n">
        <v>0</v>
      </c>
      <c r="R131" s="2" t="inlineStr"/>
    </row>
    <row r="132" ht="15" customHeight="1">
      <c r="A132" t="inlineStr">
        <is>
          <t>A 42829-2022</t>
        </is>
      </c>
      <c r="B132" s="1" t="n">
        <v>44832</v>
      </c>
      <c r="C132" s="1" t="n">
        <v>46030</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2867-2024</t>
        </is>
      </c>
      <c r="B133" s="1" t="n">
        <v>45315</v>
      </c>
      <c r="C133" s="1" t="n">
        <v>46030</v>
      </c>
      <c r="D133" t="inlineStr">
        <is>
          <t>VÄSTMANLANDS LÄN</t>
        </is>
      </c>
      <c r="E133" t="inlineStr">
        <is>
          <t>SURAHAMMAR</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63138-2025</t>
        </is>
      </c>
      <c r="B134" s="1" t="n">
        <v>46009</v>
      </c>
      <c r="C134" s="1" t="n">
        <v>46030</v>
      </c>
      <c r="D134" t="inlineStr">
        <is>
          <t>VÄSTMANLANDS LÄN</t>
        </is>
      </c>
      <c r="E134" t="inlineStr">
        <is>
          <t>SURAHAMMAR</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46030</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46030</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46030</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34955-2022</t>
        </is>
      </c>
      <c r="B138" s="1" t="n">
        <v>44796</v>
      </c>
      <c r="C138" s="1" t="n">
        <v>46030</v>
      </c>
      <c r="D138" t="inlineStr">
        <is>
          <t>VÄSTMANLANDS LÄN</t>
        </is>
      </c>
      <c r="E138" t="inlineStr">
        <is>
          <t>SURAHAMMAR</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20904-2023</t>
        </is>
      </c>
      <c r="B139" s="1" t="n">
        <v>45060</v>
      </c>
      <c r="C139" s="1" t="n">
        <v>46030</v>
      </c>
      <c r="D139" t="inlineStr">
        <is>
          <t>VÄSTMANLANDS LÄN</t>
        </is>
      </c>
      <c r="E139" t="inlineStr">
        <is>
          <t>SURAHAMMAR</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10883-2023</t>
        </is>
      </c>
      <c r="B140" s="1" t="n">
        <v>44991</v>
      </c>
      <c r="C140" s="1" t="n">
        <v>46030</v>
      </c>
      <c r="D140" t="inlineStr">
        <is>
          <t>VÄSTMANLANDS LÄN</t>
        </is>
      </c>
      <c r="E140" t="inlineStr">
        <is>
          <t>SURAHAMMAR</t>
        </is>
      </c>
      <c r="F140" t="inlineStr">
        <is>
          <t>Övriga Aktiebolag</t>
        </is>
      </c>
      <c r="G140" t="n">
        <v>12.5</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46030</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14626-2023</t>
        </is>
      </c>
      <c r="B142" s="1" t="n">
        <v>45012</v>
      </c>
      <c r="C142" s="1" t="n">
        <v>46030</v>
      </c>
      <c r="D142" t="inlineStr">
        <is>
          <t>VÄSTMANLANDS LÄN</t>
        </is>
      </c>
      <c r="E142" t="inlineStr">
        <is>
          <t>SURAHAMMAR</t>
        </is>
      </c>
      <c r="F142" t="inlineStr">
        <is>
          <t>Bergvik skog väst AB</t>
        </is>
      </c>
      <c r="G142" t="n">
        <v>5</v>
      </c>
      <c r="H142" t="n">
        <v>0</v>
      </c>
      <c r="I142" t="n">
        <v>0</v>
      </c>
      <c r="J142" t="n">
        <v>0</v>
      </c>
      <c r="K142" t="n">
        <v>0</v>
      </c>
      <c r="L142" t="n">
        <v>0</v>
      </c>
      <c r="M142" t="n">
        <v>0</v>
      </c>
      <c r="N142" t="n">
        <v>0</v>
      </c>
      <c r="O142" t="n">
        <v>0</v>
      </c>
      <c r="P142" t="n">
        <v>0</v>
      </c>
      <c r="Q142" t="n">
        <v>0</v>
      </c>
      <c r="R142" s="2" t="inlineStr"/>
    </row>
    <row r="143" ht="15" customHeight="1">
      <c r="A143" t="inlineStr">
        <is>
          <t>A 37798-2021</t>
        </is>
      </c>
      <c r="B143" s="1" t="n">
        <v>44402</v>
      </c>
      <c r="C143" s="1" t="n">
        <v>46030</v>
      </c>
      <c r="D143" t="inlineStr">
        <is>
          <t>VÄSTMANLANDS LÄN</t>
        </is>
      </c>
      <c r="E143" t="inlineStr">
        <is>
          <t>SURAHAMMAR</t>
        </is>
      </c>
      <c r="F143" t="inlineStr">
        <is>
          <t>Kommuner</t>
        </is>
      </c>
      <c r="G143" t="n">
        <v>1.2</v>
      </c>
      <c r="H143" t="n">
        <v>0</v>
      </c>
      <c r="I143" t="n">
        <v>0</v>
      </c>
      <c r="J143" t="n">
        <v>0</v>
      </c>
      <c r="K143" t="n">
        <v>0</v>
      </c>
      <c r="L143" t="n">
        <v>0</v>
      </c>
      <c r="M143" t="n">
        <v>0</v>
      </c>
      <c r="N143" t="n">
        <v>0</v>
      </c>
      <c r="O143" t="n">
        <v>0</v>
      </c>
      <c r="P143" t="n">
        <v>0</v>
      </c>
      <c r="Q143" t="n">
        <v>0</v>
      </c>
      <c r="R143" s="2" t="inlineStr"/>
    </row>
    <row r="144" ht="15" customHeight="1">
      <c r="A144" t="inlineStr">
        <is>
          <t>A 25450-2024</t>
        </is>
      </c>
      <c r="B144" s="1" t="n">
        <v>45463</v>
      </c>
      <c r="C144" s="1" t="n">
        <v>46030</v>
      </c>
      <c r="D144" t="inlineStr">
        <is>
          <t>VÄSTMANLANDS LÄN</t>
        </is>
      </c>
      <c r="E144" t="inlineStr">
        <is>
          <t>SURAHAMMAR</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19782-2023</t>
        </is>
      </c>
      <c r="B145" s="1" t="n">
        <v>45050</v>
      </c>
      <c r="C145" s="1" t="n">
        <v>46030</v>
      </c>
      <c r="D145" t="inlineStr">
        <is>
          <t>VÄSTMANLANDS LÄN</t>
        </is>
      </c>
      <c r="E145" t="inlineStr">
        <is>
          <t>SURAHAMMAR</t>
        </is>
      </c>
      <c r="F145" t="inlineStr">
        <is>
          <t>Bergvik skog väst AB</t>
        </is>
      </c>
      <c r="G145" t="n">
        <v>5.2</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44608.58400462963</v>
      </c>
      <c r="C146" s="1" t="n">
        <v>46030</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24167-2024</t>
        </is>
      </c>
      <c r="B147" s="1" t="n">
        <v>45456</v>
      </c>
      <c r="C147" s="1" t="n">
        <v>46030</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56378-2023</t>
        </is>
      </c>
      <c r="B148" s="1" t="n">
        <v>45236</v>
      </c>
      <c r="C148" s="1" t="n">
        <v>46030</v>
      </c>
      <c r="D148" t="inlineStr">
        <is>
          <t>VÄSTMANLANDS LÄN</t>
        </is>
      </c>
      <c r="E148" t="inlineStr">
        <is>
          <t>SURAHAMMAR</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46030</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11501-2023</t>
        </is>
      </c>
      <c r="B150" s="1" t="n">
        <v>44991</v>
      </c>
      <c r="C150" s="1" t="n">
        <v>46030</v>
      </c>
      <c r="D150" t="inlineStr">
        <is>
          <t>VÄSTMANLANDS LÄN</t>
        </is>
      </c>
      <c r="E150" t="inlineStr">
        <is>
          <t>SURAHAMMAR</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3818-2022</t>
        </is>
      </c>
      <c r="B151" s="1" t="n">
        <v>44587</v>
      </c>
      <c r="C151" s="1" t="n">
        <v>46030</v>
      </c>
      <c r="D151" t="inlineStr">
        <is>
          <t>VÄSTMANLANDS LÄN</t>
        </is>
      </c>
      <c r="E151" t="inlineStr">
        <is>
          <t>SURAHAMMAR</t>
        </is>
      </c>
      <c r="G151" t="n">
        <v>2.6</v>
      </c>
      <c r="H151" t="n">
        <v>0</v>
      </c>
      <c r="I151" t="n">
        <v>0</v>
      </c>
      <c r="J151" t="n">
        <v>0</v>
      </c>
      <c r="K151" t="n">
        <v>0</v>
      </c>
      <c r="L151" t="n">
        <v>0</v>
      </c>
      <c r="M151" t="n">
        <v>0</v>
      </c>
      <c r="N151" t="n">
        <v>0</v>
      </c>
      <c r="O151" t="n">
        <v>0</v>
      </c>
      <c r="P151" t="n">
        <v>0</v>
      </c>
      <c r="Q151" t="n">
        <v>0</v>
      </c>
      <c r="R151" s="2" t="inlineStr"/>
    </row>
    <row r="152" ht="15" customHeight="1">
      <c r="A152" t="inlineStr">
        <is>
          <t>A 21509-2024</t>
        </is>
      </c>
      <c r="B152" s="1" t="n">
        <v>45441</v>
      </c>
      <c r="C152" s="1" t="n">
        <v>46030</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22662-2023</t>
        </is>
      </c>
      <c r="B153" s="1" t="n">
        <v>45071</v>
      </c>
      <c r="C153" s="1" t="n">
        <v>46030</v>
      </c>
      <c r="D153" t="inlineStr">
        <is>
          <t>VÄSTMANLANDS LÄN</t>
        </is>
      </c>
      <c r="E153" t="inlineStr">
        <is>
          <t>SURAHAMMAR</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16013-2023</t>
        </is>
      </c>
      <c r="B154" s="1" t="n">
        <v>45026</v>
      </c>
      <c r="C154" s="1" t="n">
        <v>46030</v>
      </c>
      <c r="D154" t="inlineStr">
        <is>
          <t>VÄSTMANLANDS LÄN</t>
        </is>
      </c>
      <c r="E154" t="inlineStr">
        <is>
          <t>SURAHAMMAR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41555-2022</t>
        </is>
      </c>
      <c r="B155" s="1" t="n">
        <v>44826</v>
      </c>
      <c r="C155" s="1" t="n">
        <v>46030</v>
      </c>
      <c r="D155" t="inlineStr">
        <is>
          <t>VÄSTMANLANDS LÄN</t>
        </is>
      </c>
      <c r="E155" t="inlineStr">
        <is>
          <t>SURAHAMMAR</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25780-2023</t>
        </is>
      </c>
      <c r="B156" s="1" t="n">
        <v>45090.47523148148</v>
      </c>
      <c r="C156" s="1" t="n">
        <v>46030</v>
      </c>
      <c r="D156" t="inlineStr">
        <is>
          <t>VÄSTMANLANDS LÄN</t>
        </is>
      </c>
      <c r="E156" t="inlineStr">
        <is>
          <t>SURAHAMMAR</t>
        </is>
      </c>
      <c r="G156" t="n">
        <v>2.8</v>
      </c>
      <c r="H156" t="n">
        <v>0</v>
      </c>
      <c r="I156" t="n">
        <v>0</v>
      </c>
      <c r="J156" t="n">
        <v>0</v>
      </c>
      <c r="K156" t="n">
        <v>0</v>
      </c>
      <c r="L156" t="n">
        <v>0</v>
      </c>
      <c r="M156" t="n">
        <v>0</v>
      </c>
      <c r="N156" t="n">
        <v>0</v>
      </c>
      <c r="O156" t="n">
        <v>0</v>
      </c>
      <c r="P156" t="n">
        <v>0</v>
      </c>
      <c r="Q156" t="n">
        <v>0</v>
      </c>
      <c r="R156" s="2" t="inlineStr"/>
    </row>
    <row r="157" ht="15" customHeight="1">
      <c r="A157" t="inlineStr">
        <is>
          <t>A 13386-2025</t>
        </is>
      </c>
      <c r="B157" s="1" t="n">
        <v>45735</v>
      </c>
      <c r="C157" s="1" t="n">
        <v>46030</v>
      </c>
      <c r="D157" t="inlineStr">
        <is>
          <t>VÄSTMANLANDS LÄN</t>
        </is>
      </c>
      <c r="E157" t="inlineStr">
        <is>
          <t>SURAHAMMAR</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c r="A158" t="inlineStr">
        <is>
          <t>A 47785-2021</t>
        </is>
      </c>
      <c r="B158" s="1" t="n">
        <v>44448</v>
      </c>
      <c r="C158" s="1" t="n">
        <v>46030</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2026-01-08T10:50:18Z</dcterms:created>
  <dcterms:modified xmlns:dcterms="http://purl.org/dc/terms/" xmlns:xsi="http://www.w3.org/2001/XMLSchema-instance" xsi:type="dcterms:W3CDTF">2026-01-08T10:50:18Z</dcterms:modified>
</cp:coreProperties>
</file>