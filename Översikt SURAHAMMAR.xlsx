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46091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46091</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46091</v>
      </c>
      <c r="D4" t="inlineStr">
        <is>
          <t>VÄSTMANLANDS LÄN</t>
        </is>
      </c>
      <c r="E4" t="inlineStr">
        <is>
          <t>SURAHAMMAR</t>
        </is>
      </c>
      <c r="F4" t="inlineStr">
        <is>
          <t>Bergvik skog väst AB</t>
        </is>
      </c>
      <c r="G4" t="n">
        <v>25.7</v>
      </c>
      <c r="H4" t="n">
        <v>17</v>
      </c>
      <c r="I4" t="n">
        <v>7</v>
      </c>
      <c r="J4" t="n">
        <v>6</v>
      </c>
      <c r="K4" t="n">
        <v>1</v>
      </c>
      <c r="L4" t="n">
        <v>1</v>
      </c>
      <c r="M4" t="n">
        <v>0</v>
      </c>
      <c r="N4" t="n">
        <v>0</v>
      </c>
      <c r="O4" t="n">
        <v>8</v>
      </c>
      <c r="P4" t="n">
        <v>2</v>
      </c>
      <c r="Q4" t="n">
        <v>26</v>
      </c>
      <c r="R4" s="2" t="inlineStr">
        <is>
          <t>Grönfink
Knärot
Järpe
Motaggsvamp
Skogshare
Slaguggla
Spillkråka
Talltita
Dropptaggsvamp
Fjällig taggsvamp s.str.
Gulgrön kantmusseron
Mindre märgborre
Skarp dropptaggsvamp
Smal svampklubba
Vedticka
Bivråk
Gröngöling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46091</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46091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46091</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46091</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46091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46091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46091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46091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46091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46091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46091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46091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46091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46091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46091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38172-2024</t>
        </is>
      </c>
      <c r="B20" s="1" t="n">
        <v>45545</v>
      </c>
      <c r="C20" s="1" t="n">
        <v>46091</v>
      </c>
      <c r="D20" t="inlineStr">
        <is>
          <t>VÄSTMANLANDS LÄN</t>
        </is>
      </c>
      <c r="E20" t="inlineStr">
        <is>
          <t>SURAHAMMAR</t>
        </is>
      </c>
      <c r="F20" t="inlineStr">
        <is>
          <t>Sveaskog</t>
        </is>
      </c>
      <c r="G20" t="n">
        <v>5.2</v>
      </c>
      <c r="H20" t="n">
        <v>3</v>
      </c>
      <c r="I20" t="n">
        <v>0</v>
      </c>
      <c r="J20" t="n">
        <v>2</v>
      </c>
      <c r="K20" t="n">
        <v>1</v>
      </c>
      <c r="L20" t="n">
        <v>0</v>
      </c>
      <c r="M20" t="n">
        <v>0</v>
      </c>
      <c r="N20" t="n">
        <v>0</v>
      </c>
      <c r="O20" t="n">
        <v>3</v>
      </c>
      <c r="P20" t="n">
        <v>1</v>
      </c>
      <c r="Q20" t="n">
        <v>5</v>
      </c>
      <c r="R20" s="2" t="inlineStr">
        <is>
          <t>Knärot
Gropticka
Vedtrappmossa
Lopplummer (aggregat)
Revlummer</t>
        </is>
      </c>
      <c r="S20">
        <f>HYPERLINK("https://klasma.github.io/Logging_1907/artfynd/A 38172-2024 artfynd.xlsx", "A 38172-2024")</f>
        <v/>
      </c>
      <c r="T20">
        <f>HYPERLINK("https://klasma.github.io/Logging_1907/kartor/A 38172-2024 karta.png", "A 38172-2024")</f>
        <v/>
      </c>
      <c r="U20">
        <f>HYPERLINK("https://klasma.github.io/Logging_1907/knärot/A 38172-2024 karta knärot.png", "A 38172-2024")</f>
        <v/>
      </c>
      <c r="V20">
        <f>HYPERLINK("https://klasma.github.io/Logging_1907/klagomål/A 38172-2024 FSC-klagomål.docx", "A 38172-2024")</f>
        <v/>
      </c>
      <c r="W20">
        <f>HYPERLINK("https://klasma.github.io/Logging_1907/klagomålsmail/A 38172-2024 FSC-klagomål mail.docx", "A 38172-2024")</f>
        <v/>
      </c>
      <c r="X20">
        <f>HYPERLINK("https://klasma.github.io/Logging_1907/tillsyn/A 38172-2024 tillsynsbegäran.docx", "A 38172-2024")</f>
        <v/>
      </c>
      <c r="Y20">
        <f>HYPERLINK("https://klasma.github.io/Logging_1907/tillsynsmail/A 38172-2024 tillsynsbegäran mail.docx", "A 38172-2024")</f>
        <v/>
      </c>
    </row>
    <row r="21" ht="15" customHeight="1">
      <c r="A21" t="inlineStr">
        <is>
          <t>A 39594-2025</t>
        </is>
      </c>
      <c r="B21" s="1" t="n">
        <v>45890</v>
      </c>
      <c r="C21" s="1" t="n">
        <v>46091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46091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21716-2025</t>
        </is>
      </c>
      <c r="B23" s="1" t="n">
        <v>45783.54804398148</v>
      </c>
      <c r="C23" s="1" t="n">
        <v>46091</v>
      </c>
      <c r="D23" t="inlineStr">
        <is>
          <t>VÄSTMANLANDS LÄN</t>
        </is>
      </c>
      <c r="E23" t="inlineStr">
        <is>
          <t>SURAHAMMAR</t>
        </is>
      </c>
      <c r="F23" t="inlineStr">
        <is>
          <t>Allmännings- och besparingsskogar</t>
        </is>
      </c>
      <c r="G23" t="n">
        <v>21.1</v>
      </c>
      <c r="H23" t="n">
        <v>3</v>
      </c>
      <c r="I23" t="n">
        <v>1</v>
      </c>
      <c r="J23" t="n">
        <v>2</v>
      </c>
      <c r="K23" t="n">
        <v>1</v>
      </c>
      <c r="L23" t="n">
        <v>0</v>
      </c>
      <c r="M23" t="n">
        <v>0</v>
      </c>
      <c r="N23" t="n">
        <v>0</v>
      </c>
      <c r="O23" t="n">
        <v>3</v>
      </c>
      <c r="P23" t="n">
        <v>1</v>
      </c>
      <c r="Q23" t="n">
        <v>4</v>
      </c>
      <c r="R23" s="2" t="inlineStr">
        <is>
          <t>Knärot
Spillkråka
Talltita
Vedticka</t>
        </is>
      </c>
      <c r="S23">
        <f>HYPERLINK("https://klasma.github.io/Logging_1907/artfynd/A 21716-2025 artfynd.xlsx", "A 21716-2025")</f>
        <v/>
      </c>
      <c r="T23">
        <f>HYPERLINK("https://klasma.github.io/Logging_1907/kartor/A 21716-2025 karta.png", "A 21716-2025")</f>
        <v/>
      </c>
      <c r="U23">
        <f>HYPERLINK("https://klasma.github.io/Logging_1907/knärot/A 21716-2025 karta knärot.png", "A 21716-2025")</f>
        <v/>
      </c>
      <c r="V23">
        <f>HYPERLINK("https://klasma.github.io/Logging_1907/klagomål/A 21716-2025 FSC-klagomål.docx", "A 21716-2025")</f>
        <v/>
      </c>
      <c r="W23">
        <f>HYPERLINK("https://klasma.github.io/Logging_1907/klagomålsmail/A 21716-2025 FSC-klagomål mail.docx", "A 21716-2025")</f>
        <v/>
      </c>
      <c r="X23">
        <f>HYPERLINK("https://klasma.github.io/Logging_1907/tillsyn/A 21716-2025 tillsynsbegäran.docx", "A 21716-2025")</f>
        <v/>
      </c>
      <c r="Y23">
        <f>HYPERLINK("https://klasma.github.io/Logging_1907/tillsynsmail/A 21716-2025 tillsynsbegäran mail.docx", "A 21716-2025")</f>
        <v/>
      </c>
      <c r="Z23">
        <f>HYPERLINK("https://klasma.github.io/Logging_1907/fåglar/A 21716-2025 prioriterade fågelarter.docx", "A 21716-2025")</f>
        <v/>
      </c>
    </row>
    <row r="24" ht="15" customHeight="1">
      <c r="A24" t="inlineStr">
        <is>
          <t>A 25548-2024</t>
        </is>
      </c>
      <c r="B24" s="1" t="n">
        <v>45463</v>
      </c>
      <c r="C24" s="1" t="n">
        <v>46091</v>
      </c>
      <c r="D24" t="inlineStr">
        <is>
          <t>VÄSTMANLANDS LÄN</t>
        </is>
      </c>
      <c r="E24" t="inlineStr">
        <is>
          <t>SURAHAMMAR</t>
        </is>
      </c>
      <c r="F24" t="inlineStr">
        <is>
          <t>Bergvik skog väst AB</t>
        </is>
      </c>
      <c r="G24" t="n">
        <v>5.1</v>
      </c>
      <c r="H24" t="n">
        <v>3</v>
      </c>
      <c r="I24" t="n">
        <v>1</v>
      </c>
      <c r="J24" t="n">
        <v>0</v>
      </c>
      <c r="K24" t="n">
        <v>1</v>
      </c>
      <c r="L24" t="n">
        <v>0</v>
      </c>
      <c r="M24" t="n">
        <v>0</v>
      </c>
      <c r="N24" t="n">
        <v>0</v>
      </c>
      <c r="O24" t="n">
        <v>1</v>
      </c>
      <c r="P24" t="n">
        <v>1</v>
      </c>
      <c r="Q24" t="n">
        <v>4</v>
      </c>
      <c r="R24" s="2" t="inlineStr">
        <is>
          <t>Knärot
Vedticka
Fläcknycklar
Nattviol</t>
        </is>
      </c>
      <c r="S24">
        <f>HYPERLINK("https://klasma.github.io/Logging_1907/artfynd/A 25548-2024 artfynd.xlsx", "A 25548-2024")</f>
        <v/>
      </c>
      <c r="T24">
        <f>HYPERLINK("https://klasma.github.io/Logging_1907/kartor/A 25548-2024 karta.png", "A 25548-2024")</f>
        <v/>
      </c>
      <c r="U24">
        <f>HYPERLINK("https://klasma.github.io/Logging_1907/knärot/A 25548-2024 karta knärot.png", "A 25548-2024")</f>
        <v/>
      </c>
      <c r="V24">
        <f>HYPERLINK("https://klasma.github.io/Logging_1907/klagomål/A 25548-2024 FSC-klagomål.docx", "A 25548-2024")</f>
        <v/>
      </c>
      <c r="W24">
        <f>HYPERLINK("https://klasma.github.io/Logging_1907/klagomålsmail/A 25548-2024 FSC-klagomål mail.docx", "A 25548-2024")</f>
        <v/>
      </c>
      <c r="X24">
        <f>HYPERLINK("https://klasma.github.io/Logging_1907/tillsyn/A 25548-2024 tillsynsbegäran.docx", "A 25548-2024")</f>
        <v/>
      </c>
      <c r="Y24">
        <f>HYPERLINK("https://klasma.github.io/Logging_1907/tillsynsmail/A 25548-2024 tillsynsbegäran mail.docx", "A 25548-2024")</f>
        <v/>
      </c>
    </row>
    <row r="25" ht="15" customHeight="1">
      <c r="A25" t="inlineStr">
        <is>
          <t>A 65024-2023</t>
        </is>
      </c>
      <c r="B25" s="1" t="n">
        <v>45282</v>
      </c>
      <c r="C25" s="1" t="n">
        <v>46091</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46091</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4105-2025</t>
        </is>
      </c>
      <c r="B27" s="1" t="n">
        <v>45684</v>
      </c>
      <c r="C27" s="1" t="n">
        <v>46091</v>
      </c>
      <c r="D27" t="inlineStr">
        <is>
          <t>VÄSTMANLANDS LÄN</t>
        </is>
      </c>
      <c r="E27" t="inlineStr">
        <is>
          <t>SURAHAMMAR</t>
        </is>
      </c>
      <c r="F27" t="inlineStr">
        <is>
          <t>Bergvik skog väst AB</t>
        </is>
      </c>
      <c r="G27" t="n">
        <v>14.7</v>
      </c>
      <c r="H27" t="n">
        <v>3</v>
      </c>
      <c r="I27" t="n">
        <v>0</v>
      </c>
      <c r="J27" t="n">
        <v>2</v>
      </c>
      <c r="K27" t="n">
        <v>1</v>
      </c>
      <c r="L27" t="n">
        <v>0</v>
      </c>
      <c r="M27" t="n">
        <v>0</v>
      </c>
      <c r="N27" t="n">
        <v>0</v>
      </c>
      <c r="O27" t="n">
        <v>3</v>
      </c>
      <c r="P27" t="n">
        <v>1</v>
      </c>
      <c r="Q27" t="n">
        <v>4</v>
      </c>
      <c r="R27" s="2" t="inlineStr">
        <is>
          <t>Knärot
Havsörn
Ullticka
Revlummer</t>
        </is>
      </c>
      <c r="S27">
        <f>HYPERLINK("https://klasma.github.io/Logging_1907/artfynd/A 4105-2025 artfynd.xlsx", "A 4105-2025")</f>
        <v/>
      </c>
      <c r="T27">
        <f>HYPERLINK("https://klasma.github.io/Logging_1907/kartor/A 4105-2025 karta.png", "A 4105-2025")</f>
        <v/>
      </c>
      <c r="U27">
        <f>HYPERLINK("https://klasma.github.io/Logging_1907/knärot/A 4105-2025 karta knärot.png", "A 4105-2025")</f>
        <v/>
      </c>
      <c r="V27">
        <f>HYPERLINK("https://klasma.github.io/Logging_1907/klagomål/A 4105-2025 FSC-klagomål.docx", "A 4105-2025")</f>
        <v/>
      </c>
      <c r="W27">
        <f>HYPERLINK("https://klasma.github.io/Logging_1907/klagomålsmail/A 4105-2025 FSC-klagomål mail.docx", "A 4105-2025")</f>
        <v/>
      </c>
      <c r="X27">
        <f>HYPERLINK("https://klasma.github.io/Logging_1907/tillsyn/A 4105-2025 tillsynsbegäran.docx", "A 4105-2025")</f>
        <v/>
      </c>
      <c r="Y27">
        <f>HYPERLINK("https://klasma.github.io/Logging_1907/tillsynsmail/A 4105-2025 tillsynsbegäran mail.docx", "A 4105-2025")</f>
        <v/>
      </c>
      <c r="Z27">
        <f>HYPERLINK("https://klasma.github.io/Logging_1907/fåglar/A 4105-2025 prioriterade fågelarter.docx", "A 4105-2025")</f>
        <v/>
      </c>
    </row>
    <row r="28" ht="15" customHeight="1">
      <c r="A28" t="inlineStr">
        <is>
          <t>A 10236-2026</t>
        </is>
      </c>
      <c r="B28" s="1" t="n">
        <v>46076.54277777778</v>
      </c>
      <c r="C28" s="1" t="n">
        <v>46091</v>
      </c>
      <c r="D28" t="inlineStr">
        <is>
          <t>VÄSTMANLANDS LÄN</t>
        </is>
      </c>
      <c r="E28" t="inlineStr">
        <is>
          <t>SURAHAMMAR</t>
        </is>
      </c>
      <c r="F28" t="inlineStr">
        <is>
          <t>Allmännings- och besparingsskogar</t>
        </is>
      </c>
      <c r="G28" t="n">
        <v>2.8</v>
      </c>
      <c r="H28" t="n">
        <v>2</v>
      </c>
      <c r="I28" t="n">
        <v>1</v>
      </c>
      <c r="J28" t="n">
        <v>0</v>
      </c>
      <c r="K28" t="n">
        <v>1</v>
      </c>
      <c r="L28" t="n">
        <v>0</v>
      </c>
      <c r="M28" t="n">
        <v>0</v>
      </c>
      <c r="N28" t="n">
        <v>0</v>
      </c>
      <c r="O28" t="n">
        <v>1</v>
      </c>
      <c r="P28" t="n">
        <v>1</v>
      </c>
      <c r="Q28" t="n">
        <v>4</v>
      </c>
      <c r="R28" s="2" t="inlineStr">
        <is>
          <t>Vågticka
Brandticka
Lopplummer (aggregat)
Revlummer</t>
        </is>
      </c>
      <c r="S28">
        <f>HYPERLINK("https://klasma.github.io/Logging_1907/artfynd/A 10236-2026 artfynd.xlsx", "A 10236-2026")</f>
        <v/>
      </c>
      <c r="T28">
        <f>HYPERLINK("https://klasma.github.io/Logging_1907/kartor/A 10236-2026 karta.png", "A 10236-2026")</f>
        <v/>
      </c>
      <c r="V28">
        <f>HYPERLINK("https://klasma.github.io/Logging_1907/klagomål/A 10236-2026 FSC-klagomål.docx", "A 10236-2026")</f>
        <v/>
      </c>
      <c r="W28">
        <f>HYPERLINK("https://klasma.github.io/Logging_1907/klagomålsmail/A 10236-2026 FSC-klagomål mail.docx", "A 10236-2026")</f>
        <v/>
      </c>
      <c r="X28">
        <f>HYPERLINK("https://klasma.github.io/Logging_1907/tillsyn/A 10236-2026 tillsynsbegäran.docx", "A 10236-2026")</f>
        <v/>
      </c>
      <c r="Y28">
        <f>HYPERLINK("https://klasma.github.io/Logging_1907/tillsynsmail/A 10236-2026 tillsynsbegäran mail.docx", "A 10236-2026")</f>
        <v/>
      </c>
    </row>
    <row r="29" ht="15" customHeight="1">
      <c r="A29" t="inlineStr">
        <is>
          <t>A 42860-2022</t>
        </is>
      </c>
      <c r="B29" s="1" t="n">
        <v>44832</v>
      </c>
      <c r="C29" s="1" t="n">
        <v>46091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46091</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46091</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39694-2025</t>
        </is>
      </c>
      <c r="B32" s="1" t="n">
        <v>45890</v>
      </c>
      <c r="C32" s="1" t="n">
        <v>46091</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49718-2023</t>
        </is>
      </c>
      <c r="B33" s="1" t="n">
        <v>45212</v>
      </c>
      <c r="C33" s="1" t="n">
        <v>46091</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46091</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29707-2025</t>
        </is>
      </c>
      <c r="B35" s="1" t="n">
        <v>45825.56100694444</v>
      </c>
      <c r="C35" s="1" t="n">
        <v>46091</v>
      </c>
      <c r="D35" t="inlineStr">
        <is>
          <t>VÄSTMANLANDS LÄN</t>
        </is>
      </c>
      <c r="E35" t="inlineStr">
        <is>
          <t>SURAHAMMAR</t>
        </is>
      </c>
      <c r="F35" t="inlineStr">
        <is>
          <t>Bergvik skog väst AB</t>
        </is>
      </c>
      <c r="G35" t="n">
        <v>5.1</v>
      </c>
      <c r="H35" t="n">
        <v>0</v>
      </c>
      <c r="I35" t="n">
        <v>1</v>
      </c>
      <c r="J35" t="n">
        <v>1</v>
      </c>
      <c r="K35" t="n">
        <v>0</v>
      </c>
      <c r="L35" t="n">
        <v>0</v>
      </c>
      <c r="M35" t="n">
        <v>1</v>
      </c>
      <c r="N35" t="n">
        <v>0</v>
      </c>
      <c r="O35" t="n">
        <v>2</v>
      </c>
      <c r="P35" t="n">
        <v>1</v>
      </c>
      <c r="Q35" t="n">
        <v>3</v>
      </c>
      <c r="R35" s="2" t="inlineStr">
        <is>
          <t>Skogsalm
Veckticka
Rävticka</t>
        </is>
      </c>
      <c r="S35">
        <f>HYPERLINK("https://klasma.github.io/Logging_1907/artfynd/A 29707-2025 artfynd.xlsx", "A 29707-2025")</f>
        <v/>
      </c>
      <c r="T35">
        <f>HYPERLINK("https://klasma.github.io/Logging_1907/kartor/A 29707-2025 karta.png", "A 29707-2025")</f>
        <v/>
      </c>
      <c r="V35">
        <f>HYPERLINK("https://klasma.github.io/Logging_1907/klagomål/A 29707-2025 FSC-klagomål.docx", "A 29707-2025")</f>
        <v/>
      </c>
      <c r="W35">
        <f>HYPERLINK("https://klasma.github.io/Logging_1907/klagomålsmail/A 29707-2025 FSC-klagomål mail.docx", "A 29707-2025")</f>
        <v/>
      </c>
      <c r="X35">
        <f>HYPERLINK("https://klasma.github.io/Logging_1907/tillsyn/A 29707-2025 tillsynsbegäran.docx", "A 29707-2025")</f>
        <v/>
      </c>
      <c r="Y35">
        <f>HYPERLINK("https://klasma.github.io/Logging_1907/tillsynsmail/A 29707-2025 tillsynsbegäran mail.docx", "A 29707-2025")</f>
        <v/>
      </c>
    </row>
    <row r="36" ht="15" customHeight="1">
      <c r="A36" t="inlineStr">
        <is>
          <t>A 8552-2022</t>
        </is>
      </c>
      <c r="B36" s="1" t="n">
        <v>44613</v>
      </c>
      <c r="C36" s="1" t="n">
        <v>46091</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46091</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46091</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42853-2022</t>
        </is>
      </c>
      <c r="B39" s="1" t="n">
        <v>44832</v>
      </c>
      <c r="C39" s="1" t="n">
        <v>46091</v>
      </c>
      <c r="D39" t="inlineStr">
        <is>
          <t>VÄSTMANLANDS LÄN</t>
        </is>
      </c>
      <c r="E39" t="inlineStr">
        <is>
          <t>SURAHAMMAR</t>
        </is>
      </c>
      <c r="G39" t="n">
        <v>7.4</v>
      </c>
      <c r="H39" t="n">
        <v>1</v>
      </c>
      <c r="I39" t="n">
        <v>1</v>
      </c>
      <c r="J39" t="n">
        <v>1</v>
      </c>
      <c r="K39" t="n">
        <v>0</v>
      </c>
      <c r="L39" t="n">
        <v>1</v>
      </c>
      <c r="M39" t="n">
        <v>0</v>
      </c>
      <c r="N39" t="n">
        <v>0</v>
      </c>
      <c r="O39" t="n">
        <v>2</v>
      </c>
      <c r="P39" t="n">
        <v>1</v>
      </c>
      <c r="Q39" t="n">
        <v>3</v>
      </c>
      <c r="R39" s="2" t="inlineStr">
        <is>
          <t>Ask
Kandelabersvamp
Tvåblad</t>
        </is>
      </c>
      <c r="S39">
        <f>HYPERLINK("https://klasma.github.io/Logging_1907/artfynd/A 42853-2022 artfynd.xlsx", "A 42853-2022")</f>
        <v/>
      </c>
      <c r="T39">
        <f>HYPERLINK("https://klasma.github.io/Logging_1907/kartor/A 42853-2022 karta.png", "A 42853-2022")</f>
        <v/>
      </c>
      <c r="V39">
        <f>HYPERLINK("https://klasma.github.io/Logging_1907/klagomål/A 42853-2022 FSC-klagomål.docx", "A 42853-2022")</f>
        <v/>
      </c>
      <c r="W39">
        <f>HYPERLINK("https://klasma.github.io/Logging_1907/klagomålsmail/A 42853-2022 FSC-klagomål mail.docx", "A 42853-2022")</f>
        <v/>
      </c>
      <c r="X39">
        <f>HYPERLINK("https://klasma.github.io/Logging_1907/tillsyn/A 42853-2022 tillsynsbegäran.docx", "A 42853-2022")</f>
        <v/>
      </c>
      <c r="Y39">
        <f>HYPERLINK("https://klasma.github.io/Logging_1907/tillsynsmail/A 42853-2022 tillsynsbegäran mail.docx", "A 42853-2022")</f>
        <v/>
      </c>
    </row>
    <row r="40" ht="15" customHeight="1">
      <c r="A40" t="inlineStr">
        <is>
          <t>A 37801-2021</t>
        </is>
      </c>
      <c r="B40" s="1" t="n">
        <v>44402</v>
      </c>
      <c r="C40" s="1" t="n">
        <v>46091</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18717-2021</t>
        </is>
      </c>
      <c r="B41" s="1" t="n">
        <v>44306</v>
      </c>
      <c r="C41" s="1" t="n">
        <v>46091</v>
      </c>
      <c r="D41" t="inlineStr">
        <is>
          <t>VÄSTMANLANDS LÄN</t>
        </is>
      </c>
      <c r="E41" t="inlineStr">
        <is>
          <t>SURAHAMMAR</t>
        </is>
      </c>
      <c r="F41" t="inlineStr">
        <is>
          <t>Bergvik skog väst AB</t>
        </is>
      </c>
      <c r="G41" t="n">
        <v>18</v>
      </c>
      <c r="H41" t="n">
        <v>2</v>
      </c>
      <c r="I41" t="n">
        <v>0</v>
      </c>
      <c r="J41" t="n">
        <v>0</v>
      </c>
      <c r="K41" t="n">
        <v>0</v>
      </c>
      <c r="L41" t="n">
        <v>0</v>
      </c>
      <c r="M41" t="n">
        <v>0</v>
      </c>
      <c r="N41" t="n">
        <v>0</v>
      </c>
      <c r="O41" t="n">
        <v>0</v>
      </c>
      <c r="P41" t="n">
        <v>0</v>
      </c>
      <c r="Q41" t="n">
        <v>2</v>
      </c>
      <c r="R41" s="2" t="inlineStr">
        <is>
          <t>Lopplummer (aggregat)
Revlummer</t>
        </is>
      </c>
      <c r="S41">
        <f>HYPERLINK("https://klasma.github.io/Logging_1907/artfynd/A 18717-2021 artfynd.xlsx", "A 18717-2021")</f>
        <v/>
      </c>
      <c r="T41">
        <f>HYPERLINK("https://klasma.github.io/Logging_1907/kartor/A 18717-2021 karta.png", "A 18717-2021")</f>
        <v/>
      </c>
      <c r="V41">
        <f>HYPERLINK("https://klasma.github.io/Logging_1907/klagomål/A 18717-2021 FSC-klagomål.docx", "A 18717-2021")</f>
        <v/>
      </c>
      <c r="W41">
        <f>HYPERLINK("https://klasma.github.io/Logging_1907/klagomålsmail/A 18717-2021 FSC-klagomål mail.docx", "A 18717-2021")</f>
        <v/>
      </c>
      <c r="X41">
        <f>HYPERLINK("https://klasma.github.io/Logging_1907/tillsyn/A 18717-2021 tillsynsbegäran.docx", "A 18717-2021")</f>
        <v/>
      </c>
      <c r="Y41">
        <f>HYPERLINK("https://klasma.github.io/Logging_1907/tillsynsmail/A 18717-2021 tillsynsbegäran mail.docx", "A 18717-2021")</f>
        <v/>
      </c>
    </row>
    <row r="42" ht="15" customHeight="1">
      <c r="A42" t="inlineStr">
        <is>
          <t>A 21618-2025</t>
        </is>
      </c>
      <c r="B42" s="1" t="n">
        <v>45783</v>
      </c>
      <c r="C42" s="1" t="n">
        <v>46091</v>
      </c>
      <c r="D42" t="inlineStr">
        <is>
          <t>VÄSTMANLANDS LÄN</t>
        </is>
      </c>
      <c r="E42" t="inlineStr">
        <is>
          <t>SURAHAMMAR</t>
        </is>
      </c>
      <c r="F42" t="inlineStr">
        <is>
          <t>Bergvik skog väst AB</t>
        </is>
      </c>
      <c r="G42" t="n">
        <v>1.1</v>
      </c>
      <c r="H42" t="n">
        <v>2</v>
      </c>
      <c r="I42" t="n">
        <v>1</v>
      </c>
      <c r="J42" t="n">
        <v>0</v>
      </c>
      <c r="K42" t="n">
        <v>0</v>
      </c>
      <c r="L42" t="n">
        <v>0</v>
      </c>
      <c r="M42" t="n">
        <v>0</v>
      </c>
      <c r="N42" t="n">
        <v>0</v>
      </c>
      <c r="O42" t="n">
        <v>0</v>
      </c>
      <c r="P42" t="n">
        <v>0</v>
      </c>
      <c r="Q42" t="n">
        <v>2</v>
      </c>
      <c r="R42" s="2" t="inlineStr">
        <is>
          <t>Plattlummer
Mattlummer</t>
        </is>
      </c>
      <c r="S42">
        <f>HYPERLINK("https://klasma.github.io/Logging_1907/artfynd/A 21618-2025 artfynd.xlsx", "A 21618-2025")</f>
        <v/>
      </c>
      <c r="T42">
        <f>HYPERLINK("https://klasma.github.io/Logging_1907/kartor/A 21618-2025 karta.png", "A 21618-2025")</f>
        <v/>
      </c>
      <c r="V42">
        <f>HYPERLINK("https://klasma.github.io/Logging_1907/klagomål/A 21618-2025 FSC-klagomål.docx", "A 21618-2025")</f>
        <v/>
      </c>
      <c r="W42">
        <f>HYPERLINK("https://klasma.github.io/Logging_1907/klagomålsmail/A 21618-2025 FSC-klagomål mail.docx", "A 21618-2025")</f>
        <v/>
      </c>
      <c r="X42">
        <f>HYPERLINK("https://klasma.github.io/Logging_1907/tillsyn/A 21618-2025 tillsynsbegäran.docx", "A 21618-2025")</f>
        <v/>
      </c>
      <c r="Y42">
        <f>HYPERLINK("https://klasma.github.io/Logging_1907/tillsynsmail/A 21618-2025 tillsynsbegäran mail.docx", "A 21618-2025")</f>
        <v/>
      </c>
    </row>
    <row r="43" ht="15" customHeight="1">
      <c r="A43" t="inlineStr">
        <is>
          <t>A 40403-2025</t>
        </is>
      </c>
      <c r="B43" s="1" t="n">
        <v>45895</v>
      </c>
      <c r="C43" s="1" t="n">
        <v>46091</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62097-2024</t>
        </is>
      </c>
      <c r="B44" s="1" t="n">
        <v>45646</v>
      </c>
      <c r="C44" s="1" t="n">
        <v>46091</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46091</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63146-2025</t>
        </is>
      </c>
      <c r="B46" s="1" t="n">
        <v>46009</v>
      </c>
      <c r="C46" s="1" t="n">
        <v>46091</v>
      </c>
      <c r="D46" t="inlineStr">
        <is>
          <t>VÄSTMANLANDS LÄN</t>
        </is>
      </c>
      <c r="E46" t="inlineStr">
        <is>
          <t>SURAHAMMAR</t>
        </is>
      </c>
      <c r="F46" t="inlineStr">
        <is>
          <t>Bergvik skog väst AB</t>
        </is>
      </c>
      <c r="G46" t="n">
        <v>10.2</v>
      </c>
      <c r="H46" t="n">
        <v>1</v>
      </c>
      <c r="I46" t="n">
        <v>1</v>
      </c>
      <c r="J46" t="n">
        <v>0</v>
      </c>
      <c r="K46" t="n">
        <v>0</v>
      </c>
      <c r="L46" t="n">
        <v>0</v>
      </c>
      <c r="M46" t="n">
        <v>0</v>
      </c>
      <c r="N46" t="n">
        <v>0</v>
      </c>
      <c r="O46" t="n">
        <v>0</v>
      </c>
      <c r="P46" t="n">
        <v>0</v>
      </c>
      <c r="Q46" t="n">
        <v>2</v>
      </c>
      <c r="R46" s="2" t="inlineStr">
        <is>
          <t>Svart trolldruva
Blåsippa</t>
        </is>
      </c>
      <c r="S46">
        <f>HYPERLINK("https://klasma.github.io/Logging_1907/artfynd/A 63146-2025 artfynd.xlsx", "A 63146-2025")</f>
        <v/>
      </c>
      <c r="T46">
        <f>HYPERLINK("https://klasma.github.io/Logging_1907/kartor/A 63146-2025 karta.png", "A 63146-2025")</f>
        <v/>
      </c>
      <c r="V46">
        <f>HYPERLINK("https://klasma.github.io/Logging_1907/klagomål/A 63146-2025 FSC-klagomål.docx", "A 63146-2025")</f>
        <v/>
      </c>
      <c r="W46">
        <f>HYPERLINK("https://klasma.github.io/Logging_1907/klagomålsmail/A 63146-2025 FSC-klagomål mail.docx", "A 63146-2025")</f>
        <v/>
      </c>
      <c r="X46">
        <f>HYPERLINK("https://klasma.github.io/Logging_1907/tillsyn/A 63146-2025 tillsynsbegäran.docx", "A 63146-2025")</f>
        <v/>
      </c>
      <c r="Y46">
        <f>HYPERLINK("https://klasma.github.io/Logging_1907/tillsynsmail/A 63146-2025 tillsynsbegäran mail.docx", "A 63146-2025")</f>
        <v/>
      </c>
    </row>
    <row r="47" ht="15" customHeight="1">
      <c r="A47" t="inlineStr">
        <is>
          <t>A 41576-2022</t>
        </is>
      </c>
      <c r="B47" s="1" t="n">
        <v>44826</v>
      </c>
      <c r="C47" s="1" t="n">
        <v>46091</v>
      </c>
      <c r="D47" t="inlineStr">
        <is>
          <t>VÄSTMANLANDS LÄN</t>
        </is>
      </c>
      <c r="E47" t="inlineStr">
        <is>
          <t>SURAHAMMAR</t>
        </is>
      </c>
      <c r="F47" t="inlineStr">
        <is>
          <t>Bergvik skog väst AB</t>
        </is>
      </c>
      <c r="G47" t="n">
        <v>6.4</v>
      </c>
      <c r="H47" t="n">
        <v>2</v>
      </c>
      <c r="I47" t="n">
        <v>0</v>
      </c>
      <c r="J47" t="n">
        <v>1</v>
      </c>
      <c r="K47" t="n">
        <v>0</v>
      </c>
      <c r="L47" t="n">
        <v>0</v>
      </c>
      <c r="M47" t="n">
        <v>0</v>
      </c>
      <c r="N47" t="n">
        <v>0</v>
      </c>
      <c r="O47" t="n">
        <v>1</v>
      </c>
      <c r="P47" t="n">
        <v>0</v>
      </c>
      <c r="Q47" t="n">
        <v>2</v>
      </c>
      <c r="R47" s="2" t="inlineStr">
        <is>
          <t>Talltita
Kungsfågel</t>
        </is>
      </c>
      <c r="S47">
        <f>HYPERLINK("https://klasma.github.io/Logging_1907/artfynd/A 41576-2022 artfynd.xlsx", "A 41576-2022")</f>
        <v/>
      </c>
      <c r="T47">
        <f>HYPERLINK("https://klasma.github.io/Logging_1907/kartor/A 41576-2022 karta.png", "A 41576-2022")</f>
        <v/>
      </c>
      <c r="V47">
        <f>HYPERLINK("https://klasma.github.io/Logging_1907/klagomål/A 41576-2022 FSC-klagomål.docx", "A 41576-2022")</f>
        <v/>
      </c>
      <c r="W47">
        <f>HYPERLINK("https://klasma.github.io/Logging_1907/klagomålsmail/A 41576-2022 FSC-klagomål mail.docx", "A 41576-2022")</f>
        <v/>
      </c>
      <c r="X47">
        <f>HYPERLINK("https://klasma.github.io/Logging_1907/tillsyn/A 41576-2022 tillsynsbegäran.docx", "A 41576-2022")</f>
        <v/>
      </c>
      <c r="Y47">
        <f>HYPERLINK("https://klasma.github.io/Logging_1907/tillsynsmail/A 41576-2022 tillsynsbegäran mail.docx", "A 41576-2022")</f>
        <v/>
      </c>
      <c r="Z47">
        <f>HYPERLINK("https://klasma.github.io/Logging_1907/fåglar/A 41576-2022 prioriterade fågelarter.docx", "A 41576-2022")</f>
        <v/>
      </c>
    </row>
    <row r="48" ht="15" customHeight="1">
      <c r="A48" t="inlineStr">
        <is>
          <t>A 37800-2021</t>
        </is>
      </c>
      <c r="B48" s="1" t="n">
        <v>44402</v>
      </c>
      <c r="C48" s="1" t="n">
        <v>46091</v>
      </c>
      <c r="D48" t="inlineStr">
        <is>
          <t>VÄSTMANLANDS LÄN</t>
        </is>
      </c>
      <c r="E48" t="inlineStr">
        <is>
          <t>SURAHAMMAR</t>
        </is>
      </c>
      <c r="F48" t="inlineStr">
        <is>
          <t>Kommuner</t>
        </is>
      </c>
      <c r="G48" t="n">
        <v>1.3</v>
      </c>
      <c r="H48" t="n">
        <v>1</v>
      </c>
      <c r="I48" t="n">
        <v>0</v>
      </c>
      <c r="J48" t="n">
        <v>1</v>
      </c>
      <c r="K48" t="n">
        <v>0</v>
      </c>
      <c r="L48" t="n">
        <v>0</v>
      </c>
      <c r="M48" t="n">
        <v>0</v>
      </c>
      <c r="N48" t="n">
        <v>0</v>
      </c>
      <c r="O48" t="n">
        <v>1</v>
      </c>
      <c r="P48" t="n">
        <v>0</v>
      </c>
      <c r="Q48" t="n">
        <v>2</v>
      </c>
      <c r="R48" s="2" t="inlineStr">
        <is>
          <t>Svinrot
Grönvit nattviol</t>
        </is>
      </c>
      <c r="S48">
        <f>HYPERLINK("https://klasma.github.io/Logging_1907/artfynd/A 37800-2021 artfynd.xlsx", "A 37800-2021")</f>
        <v/>
      </c>
      <c r="T48">
        <f>HYPERLINK("https://klasma.github.io/Logging_1907/kartor/A 37800-2021 karta.png", "A 37800-2021")</f>
        <v/>
      </c>
      <c r="V48">
        <f>HYPERLINK("https://klasma.github.io/Logging_1907/klagomål/A 37800-2021 FSC-klagomål.docx", "A 37800-2021")</f>
        <v/>
      </c>
      <c r="W48">
        <f>HYPERLINK("https://klasma.github.io/Logging_1907/klagomålsmail/A 37800-2021 FSC-klagomål mail.docx", "A 37800-2021")</f>
        <v/>
      </c>
      <c r="X48">
        <f>HYPERLINK("https://klasma.github.io/Logging_1907/tillsyn/A 37800-2021 tillsynsbegäran.docx", "A 37800-2021")</f>
        <v/>
      </c>
      <c r="Y48">
        <f>HYPERLINK("https://klasma.github.io/Logging_1907/tillsynsmail/A 37800-2021 tillsynsbegäran mail.docx", "A 37800-2021")</f>
        <v/>
      </c>
    </row>
    <row r="49" ht="15" customHeight="1">
      <c r="A49" t="inlineStr">
        <is>
          <t>A 38170-2021</t>
        </is>
      </c>
      <c r="B49" s="1" t="n">
        <v>44405.43472222222</v>
      </c>
      <c r="C49" s="1" t="n">
        <v>46091</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46091</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46091</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46091</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46091</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34582-2025</t>
        </is>
      </c>
      <c r="B54" s="1" t="n">
        <v>45846</v>
      </c>
      <c r="C54" s="1" t="n">
        <v>46091</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42089-2025</t>
        </is>
      </c>
      <c r="B55" s="1" t="n">
        <v>45902</v>
      </c>
      <c r="C55" s="1" t="n">
        <v>46091</v>
      </c>
      <c r="D55" t="inlineStr">
        <is>
          <t>VÄSTMANLANDS LÄN</t>
        </is>
      </c>
      <c r="E55" t="inlineStr">
        <is>
          <t>SURAHAMMAR</t>
        </is>
      </c>
      <c r="G55" t="n">
        <v>2.2</v>
      </c>
      <c r="H55" t="n">
        <v>0</v>
      </c>
      <c r="I55" t="n">
        <v>0</v>
      </c>
      <c r="J55" t="n">
        <v>1</v>
      </c>
      <c r="K55" t="n">
        <v>0</v>
      </c>
      <c r="L55" t="n">
        <v>0</v>
      </c>
      <c r="M55" t="n">
        <v>0</v>
      </c>
      <c r="N55" t="n">
        <v>0</v>
      </c>
      <c r="O55" t="n">
        <v>1</v>
      </c>
      <c r="P55" t="n">
        <v>0</v>
      </c>
      <c r="Q55" t="n">
        <v>1</v>
      </c>
      <c r="R55" s="2" t="inlineStr">
        <is>
          <t>Motaggsvamp</t>
        </is>
      </c>
      <c r="S55">
        <f>HYPERLINK("https://klasma.github.io/Logging_1907/artfynd/A 42089-2025 artfynd.xlsx", "A 42089-2025")</f>
        <v/>
      </c>
      <c r="T55">
        <f>HYPERLINK("https://klasma.github.io/Logging_1907/kartor/A 42089-2025 karta.png", "A 42089-2025")</f>
        <v/>
      </c>
      <c r="V55">
        <f>HYPERLINK("https://klasma.github.io/Logging_1907/klagomål/A 42089-2025 FSC-klagomål.docx", "A 42089-2025")</f>
        <v/>
      </c>
      <c r="W55">
        <f>HYPERLINK("https://klasma.github.io/Logging_1907/klagomålsmail/A 42089-2025 FSC-klagomål mail.docx", "A 42089-2025")</f>
        <v/>
      </c>
      <c r="X55">
        <f>HYPERLINK("https://klasma.github.io/Logging_1907/tillsyn/A 42089-2025 tillsynsbegäran.docx", "A 42089-2025")</f>
        <v/>
      </c>
      <c r="Y55">
        <f>HYPERLINK("https://klasma.github.io/Logging_1907/tillsynsmail/A 42089-2025 tillsynsbegäran mail.docx", "A 42089-2025")</f>
        <v/>
      </c>
    </row>
    <row r="56" ht="15" customHeight="1">
      <c r="A56" t="inlineStr">
        <is>
          <t>A 13788-2025</t>
        </is>
      </c>
      <c r="B56" s="1" t="n">
        <v>45737.45327546296</v>
      </c>
      <c r="C56" s="1" t="n">
        <v>46091</v>
      </c>
      <c r="D56" t="inlineStr">
        <is>
          <t>VÄSTMANLANDS LÄN</t>
        </is>
      </c>
      <c r="E56" t="inlineStr">
        <is>
          <t>SURAHAMMAR</t>
        </is>
      </c>
      <c r="G56" t="n">
        <v>9.699999999999999</v>
      </c>
      <c r="H56" t="n">
        <v>1</v>
      </c>
      <c r="I56" t="n">
        <v>0</v>
      </c>
      <c r="J56" t="n">
        <v>0</v>
      </c>
      <c r="K56" t="n">
        <v>0</v>
      </c>
      <c r="L56" t="n">
        <v>0</v>
      </c>
      <c r="M56" t="n">
        <v>0</v>
      </c>
      <c r="N56" t="n">
        <v>0</v>
      </c>
      <c r="O56" t="n">
        <v>0</v>
      </c>
      <c r="P56" t="n">
        <v>0</v>
      </c>
      <c r="Q56" t="n">
        <v>1</v>
      </c>
      <c r="R56" s="2" t="inlineStr">
        <is>
          <t>Sparvuggla</t>
        </is>
      </c>
      <c r="S56">
        <f>HYPERLINK("https://klasma.github.io/Logging_1907/artfynd/A 13788-2025 artfynd.xlsx", "A 13788-2025")</f>
        <v/>
      </c>
      <c r="T56">
        <f>HYPERLINK("https://klasma.github.io/Logging_1907/kartor/A 13788-2025 karta.png", "A 13788-2025")</f>
        <v/>
      </c>
      <c r="V56">
        <f>HYPERLINK("https://klasma.github.io/Logging_1907/klagomål/A 13788-2025 FSC-klagomål.docx", "A 13788-2025")</f>
        <v/>
      </c>
      <c r="W56">
        <f>HYPERLINK("https://klasma.github.io/Logging_1907/klagomålsmail/A 13788-2025 FSC-klagomål mail.docx", "A 13788-2025")</f>
        <v/>
      </c>
      <c r="X56">
        <f>HYPERLINK("https://klasma.github.io/Logging_1907/tillsyn/A 13788-2025 tillsynsbegäran.docx", "A 13788-2025")</f>
        <v/>
      </c>
      <c r="Y56">
        <f>HYPERLINK("https://klasma.github.io/Logging_1907/tillsynsmail/A 13788-2025 tillsynsbegäran mail.docx", "A 13788-2025")</f>
        <v/>
      </c>
      <c r="Z56">
        <f>HYPERLINK("https://klasma.github.io/Logging_1907/fåglar/A 13788-2025 prioriterade fågelarter.docx", "A 13788-2025")</f>
        <v/>
      </c>
    </row>
    <row r="57" ht="15" customHeight="1">
      <c r="A57" t="inlineStr">
        <is>
          <t>A 69777-2021</t>
        </is>
      </c>
      <c r="B57" s="1" t="n">
        <v>44532</v>
      </c>
      <c r="C57" s="1" t="n">
        <v>46091</v>
      </c>
      <c r="D57" t="inlineStr">
        <is>
          <t>VÄSTMANLANDS LÄN</t>
        </is>
      </c>
      <c r="E57" t="inlineStr">
        <is>
          <t>SURAHAMMAR</t>
        </is>
      </c>
      <c r="G57" t="n">
        <v>2.3</v>
      </c>
      <c r="H57" t="n">
        <v>1</v>
      </c>
      <c r="I57" t="n">
        <v>0</v>
      </c>
      <c r="J57" t="n">
        <v>0</v>
      </c>
      <c r="K57" t="n">
        <v>1</v>
      </c>
      <c r="L57" t="n">
        <v>0</v>
      </c>
      <c r="M57" t="n">
        <v>0</v>
      </c>
      <c r="N57" t="n">
        <v>0</v>
      </c>
      <c r="O57" t="n">
        <v>1</v>
      </c>
      <c r="P57" t="n">
        <v>1</v>
      </c>
      <c r="Q57" t="n">
        <v>1</v>
      </c>
      <c r="R57" s="2" t="inlineStr">
        <is>
          <t>Bombmurkla</t>
        </is>
      </c>
      <c r="S57">
        <f>HYPERLINK("https://klasma.github.io/Logging_1907/artfynd/A 69777-2021 artfynd.xlsx", "A 69777-2021")</f>
        <v/>
      </c>
      <c r="T57">
        <f>HYPERLINK("https://klasma.github.io/Logging_1907/kartor/A 69777-2021 karta.png", "A 69777-2021")</f>
        <v/>
      </c>
      <c r="V57">
        <f>HYPERLINK("https://klasma.github.io/Logging_1907/klagomål/A 69777-2021 FSC-klagomål.docx", "A 69777-2021")</f>
        <v/>
      </c>
      <c r="W57">
        <f>HYPERLINK("https://klasma.github.io/Logging_1907/klagomålsmail/A 69777-2021 FSC-klagomål mail.docx", "A 69777-2021")</f>
        <v/>
      </c>
      <c r="X57">
        <f>HYPERLINK("https://klasma.github.io/Logging_1907/tillsyn/A 69777-2021 tillsynsbegäran.docx", "A 69777-2021")</f>
        <v/>
      </c>
      <c r="Y57">
        <f>HYPERLINK("https://klasma.github.io/Logging_1907/tillsynsmail/A 69777-2021 tillsynsbegäran mail.docx", "A 69777-2021")</f>
        <v/>
      </c>
    </row>
    <row r="58" ht="15" customHeight="1">
      <c r="A58" t="inlineStr">
        <is>
          <t>A 14001-2023</t>
        </is>
      </c>
      <c r="B58" s="1" t="n">
        <v>45007</v>
      </c>
      <c r="C58" s="1" t="n">
        <v>46091</v>
      </c>
      <c r="D58" t="inlineStr">
        <is>
          <t>VÄSTMANLANDS LÄN</t>
        </is>
      </c>
      <c r="E58" t="inlineStr">
        <is>
          <t>SURAHAMMAR</t>
        </is>
      </c>
      <c r="F58" t="inlineStr">
        <is>
          <t>Bergvik skog väst AB</t>
        </is>
      </c>
      <c r="G58" t="n">
        <v>1</v>
      </c>
      <c r="H58" t="n">
        <v>0</v>
      </c>
      <c r="I58" t="n">
        <v>0</v>
      </c>
      <c r="J58" t="n">
        <v>1</v>
      </c>
      <c r="K58" t="n">
        <v>0</v>
      </c>
      <c r="L58" t="n">
        <v>0</v>
      </c>
      <c r="M58" t="n">
        <v>0</v>
      </c>
      <c r="N58" t="n">
        <v>0</v>
      </c>
      <c r="O58" t="n">
        <v>1</v>
      </c>
      <c r="P58" t="n">
        <v>0</v>
      </c>
      <c r="Q58" t="n">
        <v>1</v>
      </c>
      <c r="R58" s="2" t="inlineStr">
        <is>
          <t>Motaggsvamp</t>
        </is>
      </c>
      <c r="S58">
        <f>HYPERLINK("https://klasma.github.io/Logging_1907/artfynd/A 14001-2023 artfynd.xlsx", "A 14001-2023")</f>
        <v/>
      </c>
      <c r="T58">
        <f>HYPERLINK("https://klasma.github.io/Logging_1907/kartor/A 14001-2023 karta.png", "A 14001-2023")</f>
        <v/>
      </c>
      <c r="V58">
        <f>HYPERLINK("https://klasma.github.io/Logging_1907/klagomål/A 14001-2023 FSC-klagomål.docx", "A 14001-2023")</f>
        <v/>
      </c>
      <c r="W58">
        <f>HYPERLINK("https://klasma.github.io/Logging_1907/klagomålsmail/A 14001-2023 FSC-klagomål mail.docx", "A 14001-2023")</f>
        <v/>
      </c>
      <c r="X58">
        <f>HYPERLINK("https://klasma.github.io/Logging_1907/tillsyn/A 14001-2023 tillsynsbegäran.docx", "A 14001-2023")</f>
        <v/>
      </c>
      <c r="Y58">
        <f>HYPERLINK("https://klasma.github.io/Logging_1907/tillsynsmail/A 14001-2023 tillsynsbegäran mail.docx", "A 14001-2023")</f>
        <v/>
      </c>
    </row>
    <row r="59" ht="15" customHeight="1">
      <c r="A59" t="inlineStr">
        <is>
          <t>A 47453-2024</t>
        </is>
      </c>
      <c r="B59" s="1" t="n">
        <v>45587.55017361111</v>
      </c>
      <c r="C59" s="1" t="n">
        <v>46091</v>
      </c>
      <c r="D59" t="inlineStr">
        <is>
          <t>VÄSTMANLANDS LÄN</t>
        </is>
      </c>
      <c r="E59" t="inlineStr">
        <is>
          <t>SURAHAMMAR</t>
        </is>
      </c>
      <c r="G59" t="n">
        <v>5.1</v>
      </c>
      <c r="H59" t="n">
        <v>1</v>
      </c>
      <c r="I59" t="n">
        <v>0</v>
      </c>
      <c r="J59" t="n">
        <v>0</v>
      </c>
      <c r="K59" t="n">
        <v>0</v>
      </c>
      <c r="L59" t="n">
        <v>0</v>
      </c>
      <c r="M59" t="n">
        <v>0</v>
      </c>
      <c r="N59" t="n">
        <v>0</v>
      </c>
      <c r="O59" t="n">
        <v>0</v>
      </c>
      <c r="P59" t="n">
        <v>0</v>
      </c>
      <c r="Q59" t="n">
        <v>1</v>
      </c>
      <c r="R59" s="2" t="inlineStr">
        <is>
          <t>Göktyta</t>
        </is>
      </c>
      <c r="S59">
        <f>HYPERLINK("https://klasma.github.io/Logging_1907/artfynd/A 47453-2024 artfynd.xlsx", "A 47453-2024")</f>
        <v/>
      </c>
      <c r="T59">
        <f>HYPERLINK("https://klasma.github.io/Logging_1907/kartor/A 47453-2024 karta.png", "A 47453-2024")</f>
        <v/>
      </c>
      <c r="V59">
        <f>HYPERLINK("https://klasma.github.io/Logging_1907/klagomål/A 47453-2024 FSC-klagomål.docx", "A 47453-2024")</f>
        <v/>
      </c>
      <c r="W59">
        <f>HYPERLINK("https://klasma.github.io/Logging_1907/klagomålsmail/A 47453-2024 FSC-klagomål mail.docx", "A 47453-2024")</f>
        <v/>
      </c>
      <c r="X59">
        <f>HYPERLINK("https://klasma.github.io/Logging_1907/tillsyn/A 47453-2024 tillsynsbegäran.docx", "A 47453-2024")</f>
        <v/>
      </c>
      <c r="Y59">
        <f>HYPERLINK("https://klasma.github.io/Logging_1907/tillsynsmail/A 47453-2024 tillsynsbegäran mail.docx", "A 47453-2024")</f>
        <v/>
      </c>
      <c r="Z59">
        <f>HYPERLINK("https://klasma.github.io/Logging_1907/fåglar/A 47453-2024 prioriterade fågelarter.docx", "A 47453-2024")</f>
        <v/>
      </c>
    </row>
    <row r="60" ht="15" customHeight="1">
      <c r="A60" t="inlineStr">
        <is>
          <t>A 55042-2025</t>
        </is>
      </c>
      <c r="B60" s="1" t="n">
        <v>45967.65858796296</v>
      </c>
      <c r="C60" s="1" t="n">
        <v>46091</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10819-2024</t>
        </is>
      </c>
      <c r="B61" s="1" t="n">
        <v>45369.66049768519</v>
      </c>
      <c r="C61" s="1" t="n">
        <v>46091</v>
      </c>
      <c r="D61" t="inlineStr">
        <is>
          <t>VÄSTMANLANDS LÄN</t>
        </is>
      </c>
      <c r="E61" t="inlineStr">
        <is>
          <t>SURAHAMMAR</t>
        </is>
      </c>
      <c r="G61" t="n">
        <v>2</v>
      </c>
      <c r="H61" t="n">
        <v>0</v>
      </c>
      <c r="I61" t="n">
        <v>1</v>
      </c>
      <c r="J61" t="n">
        <v>0</v>
      </c>
      <c r="K61" t="n">
        <v>0</v>
      </c>
      <c r="L61" t="n">
        <v>0</v>
      </c>
      <c r="M61" t="n">
        <v>0</v>
      </c>
      <c r="N61" t="n">
        <v>0</v>
      </c>
      <c r="O61" t="n">
        <v>0</v>
      </c>
      <c r="P61" t="n">
        <v>0</v>
      </c>
      <c r="Q61" t="n">
        <v>1</v>
      </c>
      <c r="R61" s="2" t="inlineStr">
        <is>
          <t>Tibast</t>
        </is>
      </c>
      <c r="S61">
        <f>HYPERLINK("https://klasma.github.io/Logging_1907/artfynd/A 10819-2024 artfynd.xlsx", "A 10819-2024")</f>
        <v/>
      </c>
      <c r="T61">
        <f>HYPERLINK("https://klasma.github.io/Logging_1907/kartor/A 10819-2024 karta.png", "A 10819-2024")</f>
        <v/>
      </c>
      <c r="V61">
        <f>HYPERLINK("https://klasma.github.io/Logging_1907/klagomål/A 10819-2024 FSC-klagomål.docx", "A 10819-2024")</f>
        <v/>
      </c>
      <c r="W61">
        <f>HYPERLINK("https://klasma.github.io/Logging_1907/klagomålsmail/A 10819-2024 FSC-klagomål mail.docx", "A 10819-2024")</f>
        <v/>
      </c>
      <c r="X61">
        <f>HYPERLINK("https://klasma.github.io/Logging_1907/tillsyn/A 10819-2024 tillsynsbegäran.docx", "A 10819-2024")</f>
        <v/>
      </c>
      <c r="Y61">
        <f>HYPERLINK("https://klasma.github.io/Logging_1907/tillsynsmail/A 10819-2024 tillsynsbegäran mail.docx", "A 10819-2024")</f>
        <v/>
      </c>
    </row>
    <row r="62" ht="15" customHeight="1">
      <c r="A62" t="inlineStr">
        <is>
          <t>A 55871-2025</t>
        </is>
      </c>
      <c r="B62" s="1" t="n">
        <v>45973.35452546296</v>
      </c>
      <c r="C62" s="1" t="n">
        <v>46091</v>
      </c>
      <c r="D62" t="inlineStr">
        <is>
          <t>VÄSTMANLANDS LÄN</t>
        </is>
      </c>
      <c r="E62" t="inlineStr">
        <is>
          <t>SURAHAMMAR</t>
        </is>
      </c>
      <c r="F62" t="inlineStr">
        <is>
          <t>Sveaskog</t>
        </is>
      </c>
      <c r="G62" t="n">
        <v>1.4</v>
      </c>
      <c r="H62" t="n">
        <v>1</v>
      </c>
      <c r="I62" t="n">
        <v>0</v>
      </c>
      <c r="J62" t="n">
        <v>0</v>
      </c>
      <c r="K62" t="n">
        <v>0</v>
      </c>
      <c r="L62" t="n">
        <v>0</v>
      </c>
      <c r="M62" t="n">
        <v>0</v>
      </c>
      <c r="N62" t="n">
        <v>0</v>
      </c>
      <c r="O62" t="n">
        <v>0</v>
      </c>
      <c r="P62" t="n">
        <v>0</v>
      </c>
      <c r="Q62" t="n">
        <v>1</v>
      </c>
      <c r="R62" s="2" t="inlineStr">
        <is>
          <t>Lopplummer (aggregat)</t>
        </is>
      </c>
      <c r="S62">
        <f>HYPERLINK("https://klasma.github.io/Logging_1907/artfynd/A 55871-2025 artfynd.xlsx", "A 55871-2025")</f>
        <v/>
      </c>
      <c r="T62">
        <f>HYPERLINK("https://klasma.github.io/Logging_1907/kartor/A 55871-2025 karta.png", "A 55871-2025")</f>
        <v/>
      </c>
      <c r="V62">
        <f>HYPERLINK("https://klasma.github.io/Logging_1907/klagomål/A 55871-2025 FSC-klagomål.docx", "A 55871-2025")</f>
        <v/>
      </c>
      <c r="W62">
        <f>HYPERLINK("https://klasma.github.io/Logging_1907/klagomålsmail/A 55871-2025 FSC-klagomål mail.docx", "A 55871-2025")</f>
        <v/>
      </c>
      <c r="X62">
        <f>HYPERLINK("https://klasma.github.io/Logging_1907/tillsyn/A 55871-2025 tillsynsbegäran.docx", "A 55871-2025")</f>
        <v/>
      </c>
      <c r="Y62">
        <f>HYPERLINK("https://klasma.github.io/Logging_1907/tillsynsmail/A 55871-2025 tillsynsbegäran mail.docx", "A 55871-2025")</f>
        <v/>
      </c>
    </row>
    <row r="63" ht="15" customHeight="1">
      <c r="A63" t="inlineStr">
        <is>
          <t>A 56768-2025</t>
        </is>
      </c>
      <c r="B63" s="1" t="n">
        <v>45978</v>
      </c>
      <c r="C63" s="1" t="n">
        <v>46091</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40411-2021</t>
        </is>
      </c>
      <c r="B64" s="1" t="n">
        <v>44419</v>
      </c>
      <c r="C64" s="1" t="n">
        <v>46091</v>
      </c>
      <c r="D64" t="inlineStr">
        <is>
          <t>VÄSTMANLANDS LÄN</t>
        </is>
      </c>
      <c r="E64" t="inlineStr">
        <is>
          <t>SURAHAMMAR</t>
        </is>
      </c>
      <c r="F64" t="inlineStr">
        <is>
          <t>Sveaskog</t>
        </is>
      </c>
      <c r="G64" t="n">
        <v>2.4</v>
      </c>
      <c r="H64" t="n">
        <v>1</v>
      </c>
      <c r="I64" t="n">
        <v>0</v>
      </c>
      <c r="J64" t="n">
        <v>0</v>
      </c>
      <c r="K64" t="n">
        <v>0</v>
      </c>
      <c r="L64" t="n">
        <v>0</v>
      </c>
      <c r="M64" t="n">
        <v>0</v>
      </c>
      <c r="N64" t="n">
        <v>0</v>
      </c>
      <c r="O64" t="n">
        <v>0</v>
      </c>
      <c r="P64" t="n">
        <v>0</v>
      </c>
      <c r="Q64" t="n">
        <v>1</v>
      </c>
      <c r="R64" s="2" t="inlineStr">
        <is>
          <t>Kopparödla</t>
        </is>
      </c>
      <c r="S64">
        <f>HYPERLINK("https://klasma.github.io/Logging_1907/artfynd/A 40411-2021 artfynd.xlsx", "A 40411-2021")</f>
        <v/>
      </c>
      <c r="T64">
        <f>HYPERLINK("https://klasma.github.io/Logging_1907/kartor/A 40411-2021 karta.png", "A 40411-2021")</f>
        <v/>
      </c>
      <c r="V64">
        <f>HYPERLINK("https://klasma.github.io/Logging_1907/klagomål/A 40411-2021 FSC-klagomål.docx", "A 40411-2021")</f>
        <v/>
      </c>
      <c r="W64">
        <f>HYPERLINK("https://klasma.github.io/Logging_1907/klagomålsmail/A 40411-2021 FSC-klagomål mail.docx", "A 40411-2021")</f>
        <v/>
      </c>
      <c r="X64">
        <f>HYPERLINK("https://klasma.github.io/Logging_1907/tillsyn/A 40411-2021 tillsynsbegäran.docx", "A 40411-2021")</f>
        <v/>
      </c>
      <c r="Y64">
        <f>HYPERLINK("https://klasma.github.io/Logging_1907/tillsynsmail/A 40411-2021 tillsynsbegäran mail.docx", "A 40411-2021")</f>
        <v/>
      </c>
    </row>
    <row r="65" ht="15" customHeight="1">
      <c r="A65" t="inlineStr">
        <is>
          <t>A 33231-2024</t>
        </is>
      </c>
      <c r="B65" s="1" t="n">
        <v>45518</v>
      </c>
      <c r="C65" s="1" t="n">
        <v>46091</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30074-2023</t>
        </is>
      </c>
      <c r="B66" s="1" t="n">
        <v>45110</v>
      </c>
      <c r="C66" s="1" t="n">
        <v>46091</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31176-2024</t>
        </is>
      </c>
      <c r="B67" s="1" t="n">
        <v>45503</v>
      </c>
      <c r="C67" s="1" t="n">
        <v>46091</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63145-2025</t>
        </is>
      </c>
      <c r="B68" s="1" t="n">
        <v>46009</v>
      </c>
      <c r="C68" s="1" t="n">
        <v>46091</v>
      </c>
      <c r="D68" t="inlineStr">
        <is>
          <t>VÄSTMANLANDS LÄN</t>
        </is>
      </c>
      <c r="E68" t="inlineStr">
        <is>
          <t>SURAHAMMAR</t>
        </is>
      </c>
      <c r="F68" t="inlineStr">
        <is>
          <t>Bergvik skog väst AB</t>
        </is>
      </c>
      <c r="G68" t="n">
        <v>40.5</v>
      </c>
      <c r="H68" t="n">
        <v>0</v>
      </c>
      <c r="I68" t="n">
        <v>1</v>
      </c>
      <c r="J68" t="n">
        <v>0</v>
      </c>
      <c r="K68" t="n">
        <v>0</v>
      </c>
      <c r="L68" t="n">
        <v>0</v>
      </c>
      <c r="M68" t="n">
        <v>0</v>
      </c>
      <c r="N68" t="n">
        <v>0</v>
      </c>
      <c r="O68" t="n">
        <v>0</v>
      </c>
      <c r="P68" t="n">
        <v>0</v>
      </c>
      <c r="Q68" t="n">
        <v>1</v>
      </c>
      <c r="R68" s="2" t="inlineStr">
        <is>
          <t>Svart trolldruva</t>
        </is>
      </c>
      <c r="S68">
        <f>HYPERLINK("https://klasma.github.io/Logging_1907/artfynd/A 63145-2025 artfynd.xlsx", "A 63145-2025")</f>
        <v/>
      </c>
      <c r="T68">
        <f>HYPERLINK("https://klasma.github.io/Logging_1907/kartor/A 63145-2025 karta.png", "A 63145-2025")</f>
        <v/>
      </c>
      <c r="V68">
        <f>HYPERLINK("https://klasma.github.io/Logging_1907/klagomål/A 63145-2025 FSC-klagomål.docx", "A 63145-2025")</f>
        <v/>
      </c>
      <c r="W68">
        <f>HYPERLINK("https://klasma.github.io/Logging_1907/klagomålsmail/A 63145-2025 FSC-klagomål mail.docx", "A 63145-2025")</f>
        <v/>
      </c>
      <c r="X68">
        <f>HYPERLINK("https://klasma.github.io/Logging_1907/tillsyn/A 63145-2025 tillsynsbegäran.docx", "A 63145-2025")</f>
        <v/>
      </c>
      <c r="Y68">
        <f>HYPERLINK("https://klasma.github.io/Logging_1907/tillsynsmail/A 63145-2025 tillsynsbegäran mail.docx", "A 63145-2025")</f>
        <v/>
      </c>
    </row>
    <row r="69" ht="15" customHeight="1">
      <c r="A69" t="inlineStr">
        <is>
          <t>A 25583-2024</t>
        </is>
      </c>
      <c r="B69" s="1" t="n">
        <v>45463</v>
      </c>
      <c r="C69" s="1" t="n">
        <v>46091</v>
      </c>
      <c r="D69" t="inlineStr">
        <is>
          <t>VÄSTMANLANDS LÄN</t>
        </is>
      </c>
      <c r="E69" t="inlineStr">
        <is>
          <t>SURAHAMMAR</t>
        </is>
      </c>
      <c r="F69" t="inlineStr">
        <is>
          <t>Bergvik skog väst AB</t>
        </is>
      </c>
      <c r="G69" t="n">
        <v>7.8</v>
      </c>
      <c r="H69" t="n">
        <v>1</v>
      </c>
      <c r="I69" t="n">
        <v>0</v>
      </c>
      <c r="J69" t="n">
        <v>0</v>
      </c>
      <c r="K69" t="n">
        <v>0</v>
      </c>
      <c r="L69" t="n">
        <v>0</v>
      </c>
      <c r="M69" t="n">
        <v>0</v>
      </c>
      <c r="N69" t="n">
        <v>0</v>
      </c>
      <c r="O69" t="n">
        <v>0</v>
      </c>
      <c r="P69" t="n">
        <v>0</v>
      </c>
      <c r="Q69" t="n">
        <v>1</v>
      </c>
      <c r="R69" s="2" t="inlineStr">
        <is>
          <t>Blåsippa</t>
        </is>
      </c>
      <c r="S69">
        <f>HYPERLINK("https://klasma.github.io/Logging_1907/artfynd/A 25583-2024 artfynd.xlsx", "A 25583-2024")</f>
        <v/>
      </c>
      <c r="T69">
        <f>HYPERLINK("https://klasma.github.io/Logging_1907/kartor/A 25583-2024 karta.png", "A 25583-2024")</f>
        <v/>
      </c>
      <c r="V69">
        <f>HYPERLINK("https://klasma.github.io/Logging_1907/klagomål/A 25583-2024 FSC-klagomål.docx", "A 25583-2024")</f>
        <v/>
      </c>
      <c r="W69">
        <f>HYPERLINK("https://klasma.github.io/Logging_1907/klagomålsmail/A 25583-2024 FSC-klagomål mail.docx", "A 25583-2024")</f>
        <v/>
      </c>
      <c r="X69">
        <f>HYPERLINK("https://klasma.github.io/Logging_1907/tillsyn/A 25583-2024 tillsynsbegäran.docx", "A 25583-2024")</f>
        <v/>
      </c>
      <c r="Y69">
        <f>HYPERLINK("https://klasma.github.io/Logging_1907/tillsynsmail/A 25583-2024 tillsynsbegäran mail.docx", "A 25583-2024")</f>
        <v/>
      </c>
    </row>
    <row r="70" ht="15" customHeight="1">
      <c r="A70" t="inlineStr">
        <is>
          <t>A 13971-2023</t>
        </is>
      </c>
      <c r="B70" s="1" t="n">
        <v>45007</v>
      </c>
      <c r="C70" s="1" t="n">
        <v>46091</v>
      </c>
      <c r="D70" t="inlineStr">
        <is>
          <t>VÄSTMANLANDS LÄN</t>
        </is>
      </c>
      <c r="E70" t="inlineStr">
        <is>
          <t>SURAHAMMAR</t>
        </is>
      </c>
      <c r="F70" t="inlineStr">
        <is>
          <t>Bergvik skog väst AB</t>
        </is>
      </c>
      <c r="G70" t="n">
        <v>2.9</v>
      </c>
      <c r="H70" t="n">
        <v>1</v>
      </c>
      <c r="I70" t="n">
        <v>0</v>
      </c>
      <c r="J70" t="n">
        <v>0</v>
      </c>
      <c r="K70" t="n">
        <v>0</v>
      </c>
      <c r="L70" t="n">
        <v>0</v>
      </c>
      <c r="M70" t="n">
        <v>0</v>
      </c>
      <c r="N70" t="n">
        <v>0</v>
      </c>
      <c r="O70" t="n">
        <v>0</v>
      </c>
      <c r="P70" t="n">
        <v>0</v>
      </c>
      <c r="Q70" t="n">
        <v>1</v>
      </c>
      <c r="R70" s="2" t="inlineStr">
        <is>
          <t>Fläcknycklar</t>
        </is>
      </c>
      <c r="S70">
        <f>HYPERLINK("https://klasma.github.io/Logging_1907/artfynd/A 13971-2023 artfynd.xlsx", "A 13971-2023")</f>
        <v/>
      </c>
      <c r="T70">
        <f>HYPERLINK("https://klasma.github.io/Logging_1907/kartor/A 13971-2023 karta.png", "A 13971-2023")</f>
        <v/>
      </c>
      <c r="V70">
        <f>HYPERLINK("https://klasma.github.io/Logging_1907/klagomål/A 13971-2023 FSC-klagomål.docx", "A 13971-2023")</f>
        <v/>
      </c>
      <c r="W70">
        <f>HYPERLINK("https://klasma.github.io/Logging_1907/klagomålsmail/A 13971-2023 FSC-klagomål mail.docx", "A 13971-2023")</f>
        <v/>
      </c>
      <c r="X70">
        <f>HYPERLINK("https://klasma.github.io/Logging_1907/tillsyn/A 13971-2023 tillsynsbegäran.docx", "A 13971-2023")</f>
        <v/>
      </c>
      <c r="Y70">
        <f>HYPERLINK("https://klasma.github.io/Logging_1907/tillsynsmail/A 13971-2023 tillsynsbegäran mail.docx", "A 13971-2023")</f>
        <v/>
      </c>
    </row>
    <row r="71" ht="15" customHeight="1">
      <c r="A71" t="inlineStr">
        <is>
          <t>A 42765-2022</t>
        </is>
      </c>
      <c r="B71" s="1" t="n">
        <v>44832</v>
      </c>
      <c r="C71" s="1" t="n">
        <v>46091</v>
      </c>
      <c r="D71" t="inlineStr">
        <is>
          <t>VÄSTMANLANDS LÄN</t>
        </is>
      </c>
      <c r="E71" t="inlineStr">
        <is>
          <t>SURAHAMMAR</t>
        </is>
      </c>
      <c r="G71" t="n">
        <v>1.8</v>
      </c>
      <c r="H71" t="n">
        <v>1</v>
      </c>
      <c r="I71" t="n">
        <v>0</v>
      </c>
      <c r="J71" t="n">
        <v>0</v>
      </c>
      <c r="K71" t="n">
        <v>0</v>
      </c>
      <c r="L71" t="n">
        <v>0</v>
      </c>
      <c r="M71" t="n">
        <v>0</v>
      </c>
      <c r="N71" t="n">
        <v>0</v>
      </c>
      <c r="O71" t="n">
        <v>0</v>
      </c>
      <c r="P71" t="n">
        <v>0</v>
      </c>
      <c r="Q71" t="n">
        <v>1</v>
      </c>
      <c r="R71" s="2" t="inlineStr">
        <is>
          <t>Blåsippa</t>
        </is>
      </c>
      <c r="S71">
        <f>HYPERLINK("https://klasma.github.io/Logging_1907/artfynd/A 42765-2022 artfynd.xlsx", "A 42765-2022")</f>
        <v/>
      </c>
      <c r="T71">
        <f>HYPERLINK("https://klasma.github.io/Logging_1907/kartor/A 42765-2022 karta.png", "A 42765-2022")</f>
        <v/>
      </c>
      <c r="V71">
        <f>HYPERLINK("https://klasma.github.io/Logging_1907/klagomål/A 42765-2022 FSC-klagomål.docx", "A 42765-2022")</f>
        <v/>
      </c>
      <c r="W71">
        <f>HYPERLINK("https://klasma.github.io/Logging_1907/klagomålsmail/A 42765-2022 FSC-klagomål mail.docx", "A 42765-2022")</f>
        <v/>
      </c>
      <c r="X71">
        <f>HYPERLINK("https://klasma.github.io/Logging_1907/tillsyn/A 42765-2022 tillsynsbegäran.docx", "A 42765-2022")</f>
        <v/>
      </c>
      <c r="Y71">
        <f>HYPERLINK("https://klasma.github.io/Logging_1907/tillsynsmail/A 42765-2022 tillsynsbegäran mail.docx", "A 42765-2022")</f>
        <v/>
      </c>
    </row>
    <row r="72" ht="15" customHeight="1">
      <c r="A72" t="inlineStr">
        <is>
          <t>A 44356-2024</t>
        </is>
      </c>
      <c r="B72" s="1" t="n">
        <v>45573</v>
      </c>
      <c r="C72" s="1" t="n">
        <v>46091</v>
      </c>
      <c r="D72" t="inlineStr">
        <is>
          <t>VÄSTMANLANDS LÄN</t>
        </is>
      </c>
      <c r="E72" t="inlineStr">
        <is>
          <t>SURAHAMMAR</t>
        </is>
      </c>
      <c r="F72" t="inlineStr">
        <is>
          <t>Sveaskog</t>
        </is>
      </c>
      <c r="G72" t="n">
        <v>0.7</v>
      </c>
      <c r="H72" t="n">
        <v>1</v>
      </c>
      <c r="I72" t="n">
        <v>0</v>
      </c>
      <c r="J72" t="n">
        <v>0</v>
      </c>
      <c r="K72" t="n">
        <v>0</v>
      </c>
      <c r="L72" t="n">
        <v>0</v>
      </c>
      <c r="M72" t="n">
        <v>0</v>
      </c>
      <c r="N72" t="n">
        <v>0</v>
      </c>
      <c r="O72" t="n">
        <v>0</v>
      </c>
      <c r="P72" t="n">
        <v>0</v>
      </c>
      <c r="Q72" t="n">
        <v>1</v>
      </c>
      <c r="R72" s="2" t="inlineStr">
        <is>
          <t>Revlummer</t>
        </is>
      </c>
      <c r="S72">
        <f>HYPERLINK("https://klasma.github.io/Logging_1907/artfynd/A 44356-2024 artfynd.xlsx", "A 44356-2024")</f>
        <v/>
      </c>
      <c r="T72">
        <f>HYPERLINK("https://klasma.github.io/Logging_1907/kartor/A 44356-2024 karta.png", "A 44356-2024")</f>
        <v/>
      </c>
      <c r="V72">
        <f>HYPERLINK("https://klasma.github.io/Logging_1907/klagomål/A 44356-2024 FSC-klagomål.docx", "A 44356-2024")</f>
        <v/>
      </c>
      <c r="W72">
        <f>HYPERLINK("https://klasma.github.io/Logging_1907/klagomålsmail/A 44356-2024 FSC-klagomål mail.docx", "A 44356-2024")</f>
        <v/>
      </c>
      <c r="X72">
        <f>HYPERLINK("https://klasma.github.io/Logging_1907/tillsyn/A 44356-2024 tillsynsbegäran.docx", "A 44356-2024")</f>
        <v/>
      </c>
      <c r="Y72">
        <f>HYPERLINK("https://klasma.github.io/Logging_1907/tillsynsmail/A 44356-2024 tillsynsbegäran mail.docx", "A 44356-2024")</f>
        <v/>
      </c>
    </row>
    <row r="73" ht="15" customHeight="1">
      <c r="A73" t="inlineStr">
        <is>
          <t>A 17632-2022</t>
        </is>
      </c>
      <c r="B73" s="1" t="n">
        <v>44680</v>
      </c>
      <c r="C73" s="1" t="n">
        <v>46091</v>
      </c>
      <c r="D73" t="inlineStr">
        <is>
          <t>VÄSTMANLANDS LÄN</t>
        </is>
      </c>
      <c r="E73" t="inlineStr">
        <is>
          <t>SURAHAMMAR</t>
        </is>
      </c>
      <c r="G73" t="n">
        <v>5.2</v>
      </c>
      <c r="H73" t="n">
        <v>0</v>
      </c>
      <c r="I73" t="n">
        <v>1</v>
      </c>
      <c r="J73" t="n">
        <v>0</v>
      </c>
      <c r="K73" t="n">
        <v>0</v>
      </c>
      <c r="L73" t="n">
        <v>0</v>
      </c>
      <c r="M73" t="n">
        <v>0</v>
      </c>
      <c r="N73" t="n">
        <v>0</v>
      </c>
      <c r="O73" t="n">
        <v>0</v>
      </c>
      <c r="P73" t="n">
        <v>0</v>
      </c>
      <c r="Q73" t="n">
        <v>1</v>
      </c>
      <c r="R73" s="2" t="inlineStr">
        <is>
          <t>Blodticka</t>
        </is>
      </c>
      <c r="S73">
        <f>HYPERLINK("https://klasma.github.io/Logging_1907/artfynd/A 17632-2022 artfynd.xlsx", "A 17632-2022")</f>
        <v/>
      </c>
      <c r="T73">
        <f>HYPERLINK("https://klasma.github.io/Logging_1907/kartor/A 17632-2022 karta.png", "A 17632-2022")</f>
        <v/>
      </c>
      <c r="V73">
        <f>HYPERLINK("https://klasma.github.io/Logging_1907/klagomål/A 17632-2022 FSC-klagomål.docx", "A 17632-2022")</f>
        <v/>
      </c>
      <c r="W73">
        <f>HYPERLINK("https://klasma.github.io/Logging_1907/klagomålsmail/A 17632-2022 FSC-klagomål mail.docx", "A 17632-2022")</f>
        <v/>
      </c>
      <c r="X73">
        <f>HYPERLINK("https://klasma.github.io/Logging_1907/tillsyn/A 17632-2022 tillsynsbegäran.docx", "A 17632-2022")</f>
        <v/>
      </c>
      <c r="Y73">
        <f>HYPERLINK("https://klasma.github.io/Logging_1907/tillsynsmail/A 17632-2022 tillsynsbegäran mail.docx", "A 17632-2022")</f>
        <v/>
      </c>
    </row>
    <row r="74" ht="15" customHeight="1">
      <c r="A74" t="inlineStr">
        <is>
          <t>A 22840-2023</t>
        </is>
      </c>
      <c r="B74" s="1" t="n">
        <v>45072</v>
      </c>
      <c r="C74" s="1" t="n">
        <v>46091</v>
      </c>
      <c r="D74" t="inlineStr">
        <is>
          <t>VÄSTMANLANDS LÄN</t>
        </is>
      </c>
      <c r="E74" t="inlineStr">
        <is>
          <t>SURAHAMMAR</t>
        </is>
      </c>
      <c r="G74" t="n">
        <v>4.3</v>
      </c>
      <c r="H74" t="n">
        <v>1</v>
      </c>
      <c r="I74" t="n">
        <v>0</v>
      </c>
      <c r="J74" t="n">
        <v>0</v>
      </c>
      <c r="K74" t="n">
        <v>0</v>
      </c>
      <c r="L74" t="n">
        <v>0</v>
      </c>
      <c r="M74" t="n">
        <v>0</v>
      </c>
      <c r="N74" t="n">
        <v>0</v>
      </c>
      <c r="O74" t="n">
        <v>0</v>
      </c>
      <c r="P74" t="n">
        <v>0</v>
      </c>
      <c r="Q74" t="n">
        <v>1</v>
      </c>
      <c r="R74" s="2" t="inlineStr">
        <is>
          <t>Fläcknycklar</t>
        </is>
      </c>
      <c r="S74">
        <f>HYPERLINK("https://klasma.github.io/Logging_1907/artfynd/A 22840-2023 artfynd.xlsx", "A 22840-2023")</f>
        <v/>
      </c>
      <c r="T74">
        <f>HYPERLINK("https://klasma.github.io/Logging_1907/kartor/A 22840-2023 karta.png", "A 22840-2023")</f>
        <v/>
      </c>
      <c r="V74">
        <f>HYPERLINK("https://klasma.github.io/Logging_1907/klagomål/A 22840-2023 FSC-klagomål.docx", "A 22840-2023")</f>
        <v/>
      </c>
      <c r="W74">
        <f>HYPERLINK("https://klasma.github.io/Logging_1907/klagomålsmail/A 22840-2023 FSC-klagomål mail.docx", "A 22840-2023")</f>
        <v/>
      </c>
      <c r="X74">
        <f>HYPERLINK("https://klasma.github.io/Logging_1907/tillsyn/A 22840-2023 tillsynsbegäran.docx", "A 22840-2023")</f>
        <v/>
      </c>
      <c r="Y74">
        <f>HYPERLINK("https://klasma.github.io/Logging_1907/tillsynsmail/A 22840-2023 tillsynsbegäran mail.docx", "A 22840-2023")</f>
        <v/>
      </c>
    </row>
    <row r="75" ht="15" customHeight="1">
      <c r="A75" t="inlineStr">
        <is>
          <t>A 43451-2024</t>
        </is>
      </c>
      <c r="B75" s="1" t="n">
        <v>45568</v>
      </c>
      <c r="C75" s="1" t="n">
        <v>46091</v>
      </c>
      <c r="D75" t="inlineStr">
        <is>
          <t>VÄSTMANLANDS LÄN</t>
        </is>
      </c>
      <c r="E75" t="inlineStr">
        <is>
          <t>SURAHAMMAR</t>
        </is>
      </c>
      <c r="F75" t="inlineStr">
        <is>
          <t>Bergvik skog väst AB</t>
        </is>
      </c>
      <c r="G75" t="n">
        <v>2.9</v>
      </c>
      <c r="H75" t="n">
        <v>0</v>
      </c>
      <c r="I75" t="n">
        <v>0</v>
      </c>
      <c r="J75" t="n">
        <v>1</v>
      </c>
      <c r="K75" t="n">
        <v>0</v>
      </c>
      <c r="L75" t="n">
        <v>0</v>
      </c>
      <c r="M75" t="n">
        <v>0</v>
      </c>
      <c r="N75" t="n">
        <v>0</v>
      </c>
      <c r="O75" t="n">
        <v>1</v>
      </c>
      <c r="P75" t="n">
        <v>0</v>
      </c>
      <c r="Q75" t="n">
        <v>1</v>
      </c>
      <c r="R75" s="2" t="inlineStr">
        <is>
          <t>Ullticka</t>
        </is>
      </c>
      <c r="S75">
        <f>HYPERLINK("https://klasma.github.io/Logging_1907/artfynd/A 43451-2024 artfynd.xlsx", "A 43451-2024")</f>
        <v/>
      </c>
      <c r="T75">
        <f>HYPERLINK("https://klasma.github.io/Logging_1907/kartor/A 43451-2024 karta.png", "A 43451-2024")</f>
        <v/>
      </c>
      <c r="V75">
        <f>HYPERLINK("https://klasma.github.io/Logging_1907/klagomål/A 43451-2024 FSC-klagomål.docx", "A 43451-2024")</f>
        <v/>
      </c>
      <c r="W75">
        <f>HYPERLINK("https://klasma.github.io/Logging_1907/klagomålsmail/A 43451-2024 FSC-klagomål mail.docx", "A 43451-2024")</f>
        <v/>
      </c>
      <c r="X75">
        <f>HYPERLINK("https://klasma.github.io/Logging_1907/tillsyn/A 43451-2024 tillsynsbegäran.docx", "A 43451-2024")</f>
        <v/>
      </c>
      <c r="Y75">
        <f>HYPERLINK("https://klasma.github.io/Logging_1907/tillsynsmail/A 43451-2024 tillsynsbegäran mail.docx", "A 43451-2024")</f>
        <v/>
      </c>
    </row>
    <row r="76" ht="15" customHeight="1">
      <c r="A76" t="inlineStr">
        <is>
          <t>A 64073-2021</t>
        </is>
      </c>
      <c r="B76" s="1" t="n">
        <v>44509</v>
      </c>
      <c r="C76" s="1" t="n">
        <v>46091</v>
      </c>
      <c r="D76" t="inlineStr">
        <is>
          <t>VÄSTMANLANDS LÄN</t>
        </is>
      </c>
      <c r="E76" t="inlineStr">
        <is>
          <t>SURAHAMMAR</t>
        </is>
      </c>
      <c r="G76" t="n">
        <v>0.4</v>
      </c>
      <c r="H76" t="n">
        <v>0</v>
      </c>
      <c r="I76" t="n">
        <v>0</v>
      </c>
      <c r="J76" t="n">
        <v>0</v>
      </c>
      <c r="K76" t="n">
        <v>0</v>
      </c>
      <c r="L76" t="n">
        <v>0</v>
      </c>
      <c r="M76" t="n">
        <v>0</v>
      </c>
      <c r="N76" t="n">
        <v>0</v>
      </c>
      <c r="O76" t="n">
        <v>0</v>
      </c>
      <c r="P76" t="n">
        <v>0</v>
      </c>
      <c r="Q76" t="n">
        <v>0</v>
      </c>
      <c r="R76" s="2" t="inlineStr"/>
    </row>
    <row r="77" ht="15" customHeight="1">
      <c r="A77" t="inlineStr">
        <is>
          <t>A 24804-2021</t>
        </is>
      </c>
      <c r="B77" s="1" t="n">
        <v>44340</v>
      </c>
      <c r="C77" s="1" t="n">
        <v>46091</v>
      </c>
      <c r="D77" t="inlineStr">
        <is>
          <t>VÄSTMANLANDS LÄN</t>
        </is>
      </c>
      <c r="E77" t="inlineStr">
        <is>
          <t>SURAHAMMAR</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46091</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19844-2022</t>
        </is>
      </c>
      <c r="B79" s="1" t="n">
        <v>44696.88001157407</v>
      </c>
      <c r="C79" s="1" t="n">
        <v>46091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32491-2022</t>
        </is>
      </c>
      <c r="B80" s="1" t="n">
        <v>44782</v>
      </c>
      <c r="C80" s="1" t="n">
        <v>46091</v>
      </c>
      <c r="D80" t="inlineStr">
        <is>
          <t>VÄSTMANLANDS LÄN</t>
        </is>
      </c>
      <c r="E80" t="inlineStr">
        <is>
          <t>SURAHAMMAR</t>
        </is>
      </c>
      <c r="F80" t="inlineStr">
        <is>
          <t>Bergvik skog väst AB</t>
        </is>
      </c>
      <c r="G80" t="n">
        <v>1.5</v>
      </c>
      <c r="H80" t="n">
        <v>0</v>
      </c>
      <c r="I80" t="n">
        <v>0</v>
      </c>
      <c r="J80" t="n">
        <v>0</v>
      </c>
      <c r="K80" t="n">
        <v>0</v>
      </c>
      <c r="L80" t="n">
        <v>0</v>
      </c>
      <c r="M80" t="n">
        <v>0</v>
      </c>
      <c r="N80" t="n">
        <v>0</v>
      </c>
      <c r="O80" t="n">
        <v>0</v>
      </c>
      <c r="P80" t="n">
        <v>0</v>
      </c>
      <c r="Q80" t="n">
        <v>0</v>
      </c>
      <c r="R80" s="2" t="inlineStr"/>
    </row>
    <row r="81" ht="15" customHeight="1">
      <c r="A81" t="inlineStr">
        <is>
          <t>A 37799-2021</t>
        </is>
      </c>
      <c r="B81" s="1" t="n">
        <v>44402</v>
      </c>
      <c r="C81" s="1" t="n">
        <v>46091</v>
      </c>
      <c r="D81" t="inlineStr">
        <is>
          <t>VÄSTMANLANDS LÄN</t>
        </is>
      </c>
      <c r="E81" t="inlineStr">
        <is>
          <t>SURAHAMMAR</t>
        </is>
      </c>
      <c r="F81" t="inlineStr">
        <is>
          <t>Kommuner</t>
        </is>
      </c>
      <c r="G81" t="n">
        <v>2.1</v>
      </c>
      <c r="H81" t="n">
        <v>0</v>
      </c>
      <c r="I81" t="n">
        <v>0</v>
      </c>
      <c r="J81" t="n">
        <v>0</v>
      </c>
      <c r="K81" t="n">
        <v>0</v>
      </c>
      <c r="L81" t="n">
        <v>0</v>
      </c>
      <c r="M81" t="n">
        <v>0</v>
      </c>
      <c r="N81" t="n">
        <v>0</v>
      </c>
      <c r="O81" t="n">
        <v>0</v>
      </c>
      <c r="P81" t="n">
        <v>0</v>
      </c>
      <c r="Q81" t="n">
        <v>0</v>
      </c>
      <c r="R81" s="2" t="inlineStr"/>
    </row>
    <row r="82" ht="15" customHeight="1">
      <c r="A82" t="inlineStr">
        <is>
          <t>A 73156-2021</t>
        </is>
      </c>
      <c r="B82" s="1" t="n">
        <v>44550</v>
      </c>
      <c r="C82" s="1" t="n">
        <v>46091</v>
      </c>
      <c r="D82" t="inlineStr">
        <is>
          <t>VÄSTMANLANDS LÄN</t>
        </is>
      </c>
      <c r="E82" t="inlineStr">
        <is>
          <t>SURAHAMMAR</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38178-2021</t>
        </is>
      </c>
      <c r="B83" s="1" t="n">
        <v>44405</v>
      </c>
      <c r="C83" s="1" t="n">
        <v>46091</v>
      </c>
      <c r="D83" t="inlineStr">
        <is>
          <t>VÄSTMANLANDS LÄN</t>
        </is>
      </c>
      <c r="E83" t="inlineStr">
        <is>
          <t>SURAHAMMAR</t>
        </is>
      </c>
      <c r="F83" t="inlineStr">
        <is>
          <t>Sveaskog</t>
        </is>
      </c>
      <c r="G83" t="n">
        <v>1.3</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46091</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31468-2021</t>
        </is>
      </c>
      <c r="B85" s="1" t="n">
        <v>44369</v>
      </c>
      <c r="C85" s="1" t="n">
        <v>46091</v>
      </c>
      <c r="D85" t="inlineStr">
        <is>
          <t>VÄSTMANLANDS LÄN</t>
        </is>
      </c>
      <c r="E85" t="inlineStr">
        <is>
          <t>SURAHAMMAR</t>
        </is>
      </c>
      <c r="G85" t="n">
        <v>1.1</v>
      </c>
      <c r="H85" t="n">
        <v>0</v>
      </c>
      <c r="I85" t="n">
        <v>0</v>
      </c>
      <c r="J85" t="n">
        <v>0</v>
      </c>
      <c r="K85" t="n">
        <v>0</v>
      </c>
      <c r="L85" t="n">
        <v>0</v>
      </c>
      <c r="M85" t="n">
        <v>0</v>
      </c>
      <c r="N85" t="n">
        <v>0</v>
      </c>
      <c r="O85" t="n">
        <v>0</v>
      </c>
      <c r="P85" t="n">
        <v>0</v>
      </c>
      <c r="Q85" t="n">
        <v>0</v>
      </c>
      <c r="R85" s="2" t="inlineStr"/>
    </row>
    <row r="86" ht="15" customHeight="1">
      <c r="A86" t="inlineStr">
        <is>
          <t>A 3595-2022</t>
        </is>
      </c>
      <c r="B86" s="1" t="n">
        <v>44586</v>
      </c>
      <c r="C86" s="1" t="n">
        <v>46091</v>
      </c>
      <c r="D86" t="inlineStr">
        <is>
          <t>VÄSTMANLANDS LÄN</t>
        </is>
      </c>
      <c r="E86" t="inlineStr">
        <is>
          <t>SURAHAMMAR</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3155-2022</t>
        </is>
      </c>
      <c r="B87" s="1" t="n">
        <v>44582</v>
      </c>
      <c r="C87" s="1" t="n">
        <v>46091</v>
      </c>
      <c r="D87" t="inlineStr">
        <is>
          <t>VÄSTMANLANDS LÄN</t>
        </is>
      </c>
      <c r="E87" t="inlineStr">
        <is>
          <t>SURAHAMMAR</t>
        </is>
      </c>
      <c r="G87" t="n">
        <v>5.5</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46091</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46091</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46091</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46091</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46091</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18723-2021</t>
        </is>
      </c>
      <c r="B93" s="1" t="n">
        <v>44306</v>
      </c>
      <c r="C93" s="1" t="n">
        <v>46091</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21509-2024</t>
        </is>
      </c>
      <c r="B94" s="1" t="n">
        <v>45441</v>
      </c>
      <c r="C94" s="1" t="n">
        <v>46091</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46091</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46091</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46091</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15739-2023</t>
        </is>
      </c>
      <c r="B98" s="1" t="n">
        <v>45021</v>
      </c>
      <c r="C98" s="1" t="n">
        <v>46091</v>
      </c>
      <c r="D98" t="inlineStr">
        <is>
          <t>VÄSTMANLANDS LÄN</t>
        </is>
      </c>
      <c r="E98" t="inlineStr">
        <is>
          <t>SURAHAMMAR</t>
        </is>
      </c>
      <c r="G98" t="n">
        <v>1.3</v>
      </c>
      <c r="H98" t="n">
        <v>0</v>
      </c>
      <c r="I98" t="n">
        <v>0</v>
      </c>
      <c r="J98" t="n">
        <v>0</v>
      </c>
      <c r="K98" t="n">
        <v>0</v>
      </c>
      <c r="L98" t="n">
        <v>0</v>
      </c>
      <c r="M98" t="n">
        <v>0</v>
      </c>
      <c r="N98" t="n">
        <v>0</v>
      </c>
      <c r="O98" t="n">
        <v>0</v>
      </c>
      <c r="P98" t="n">
        <v>0</v>
      </c>
      <c r="Q98" t="n">
        <v>0</v>
      </c>
      <c r="R98" s="2" t="inlineStr"/>
    </row>
    <row r="99" ht="15" customHeight="1">
      <c r="A99" t="inlineStr">
        <is>
          <t>A 38154-2021</t>
        </is>
      </c>
      <c r="B99" s="1" t="n">
        <v>44405.42373842592</v>
      </c>
      <c r="C99" s="1" t="n">
        <v>46091</v>
      </c>
      <c r="D99" t="inlineStr">
        <is>
          <t>VÄSTMANLANDS LÄN</t>
        </is>
      </c>
      <c r="E99" t="inlineStr">
        <is>
          <t>SURAHAMMAR</t>
        </is>
      </c>
      <c r="F99" t="inlineStr">
        <is>
          <t>Sveaskog</t>
        </is>
      </c>
      <c r="G99" t="n">
        <v>1.3</v>
      </c>
      <c r="H99" t="n">
        <v>0</v>
      </c>
      <c r="I99" t="n">
        <v>0</v>
      </c>
      <c r="J99" t="n">
        <v>0</v>
      </c>
      <c r="K99" t="n">
        <v>0</v>
      </c>
      <c r="L99" t="n">
        <v>0</v>
      </c>
      <c r="M99" t="n">
        <v>0</v>
      </c>
      <c r="N99" t="n">
        <v>0</v>
      </c>
      <c r="O99" t="n">
        <v>0</v>
      </c>
      <c r="P99" t="n">
        <v>0</v>
      </c>
      <c r="Q99" t="n">
        <v>0</v>
      </c>
      <c r="R99" s="2" t="inlineStr"/>
    </row>
    <row r="100" ht="15" customHeight="1">
      <c r="A100" t="inlineStr">
        <is>
          <t>A 32808-2024</t>
        </is>
      </c>
      <c r="B100" s="1" t="n">
        <v>45516</v>
      </c>
      <c r="C100" s="1" t="n">
        <v>46091</v>
      </c>
      <c r="D100" t="inlineStr">
        <is>
          <t>VÄSTMANLANDS LÄN</t>
        </is>
      </c>
      <c r="E100" t="inlineStr">
        <is>
          <t>SURAHAMMAR</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46091</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3818-2022</t>
        </is>
      </c>
      <c r="B102" s="1" t="n">
        <v>44587</v>
      </c>
      <c r="C102" s="1" t="n">
        <v>46091</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43255-2025</t>
        </is>
      </c>
      <c r="B103" s="1" t="n">
        <v>45910.55325231481</v>
      </c>
      <c r="C103" s="1" t="n">
        <v>46091</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46091</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46091</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13119-2022</t>
        </is>
      </c>
      <c r="B106" s="1" t="n">
        <v>44643</v>
      </c>
      <c r="C106" s="1" t="n">
        <v>46091</v>
      </c>
      <c r="D106" t="inlineStr">
        <is>
          <t>VÄSTMANLANDS LÄN</t>
        </is>
      </c>
      <c r="E106" t="inlineStr">
        <is>
          <t>SURAHAMMAR</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46091</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46091</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8553-2023</t>
        </is>
      </c>
      <c r="B109" s="1" t="n">
        <v>44977</v>
      </c>
      <c r="C109" s="1" t="n">
        <v>46091</v>
      </c>
      <c r="D109" t="inlineStr">
        <is>
          <t>VÄSTMANLANDS LÄN</t>
        </is>
      </c>
      <c r="E109" t="inlineStr">
        <is>
          <t>SURAHAMMAR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56378-2023</t>
        </is>
      </c>
      <c r="B110" s="1" t="n">
        <v>45236</v>
      </c>
      <c r="C110" s="1" t="n">
        <v>46091</v>
      </c>
      <c r="D110" t="inlineStr">
        <is>
          <t>VÄSTMANLANDS LÄN</t>
        </is>
      </c>
      <c r="E110" t="inlineStr">
        <is>
          <t>SURAHAMMAR</t>
        </is>
      </c>
      <c r="F110" t="inlineStr">
        <is>
          <t>Bergvik skog väst AB</t>
        </is>
      </c>
      <c r="G110" t="n">
        <v>4.6</v>
      </c>
      <c r="H110" t="n">
        <v>0</v>
      </c>
      <c r="I110" t="n">
        <v>0</v>
      </c>
      <c r="J110" t="n">
        <v>0</v>
      </c>
      <c r="K110" t="n">
        <v>0</v>
      </c>
      <c r="L110" t="n">
        <v>0</v>
      </c>
      <c r="M110" t="n">
        <v>0</v>
      </c>
      <c r="N110" t="n">
        <v>0</v>
      </c>
      <c r="O110" t="n">
        <v>0</v>
      </c>
      <c r="P110" t="n">
        <v>0</v>
      </c>
      <c r="Q110" t="n">
        <v>0</v>
      </c>
      <c r="R110" s="2" t="inlineStr"/>
    </row>
    <row r="111" ht="15" customHeight="1">
      <c r="A111" t="inlineStr">
        <is>
          <t>A 11728-2023</t>
        </is>
      </c>
      <c r="B111" s="1" t="n">
        <v>44993</v>
      </c>
      <c r="C111" s="1" t="n">
        <v>46091</v>
      </c>
      <c r="D111" t="inlineStr">
        <is>
          <t>VÄSTMANLANDS LÄN</t>
        </is>
      </c>
      <c r="E111" t="inlineStr">
        <is>
          <t>SURAHAMMAR</t>
        </is>
      </c>
      <c r="F111" t="inlineStr">
        <is>
          <t>Bergvik skog väst AB</t>
        </is>
      </c>
      <c r="G111" t="n">
        <v>0.4</v>
      </c>
      <c r="H111" t="n">
        <v>0</v>
      </c>
      <c r="I111" t="n">
        <v>0</v>
      </c>
      <c r="J111" t="n">
        <v>0</v>
      </c>
      <c r="K111" t="n">
        <v>0</v>
      </c>
      <c r="L111" t="n">
        <v>0</v>
      </c>
      <c r="M111" t="n">
        <v>0</v>
      </c>
      <c r="N111" t="n">
        <v>0</v>
      </c>
      <c r="O111" t="n">
        <v>0</v>
      </c>
      <c r="P111" t="n">
        <v>0</v>
      </c>
      <c r="Q111" t="n">
        <v>0</v>
      </c>
      <c r="R111" s="2" t="inlineStr"/>
    </row>
    <row r="112" ht="15" customHeight="1">
      <c r="A112" t="inlineStr">
        <is>
          <t>A 11501-2023</t>
        </is>
      </c>
      <c r="B112" s="1" t="n">
        <v>44991</v>
      </c>
      <c r="C112" s="1" t="n">
        <v>46091</v>
      </c>
      <c r="D112" t="inlineStr">
        <is>
          <t>VÄSTMANLANDS LÄN</t>
        </is>
      </c>
      <c r="E112" t="inlineStr">
        <is>
          <t>SURAHAMMAR</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16013-2023</t>
        </is>
      </c>
      <c r="B113" s="1" t="n">
        <v>45026</v>
      </c>
      <c r="C113" s="1" t="n">
        <v>46091</v>
      </c>
      <c r="D113" t="inlineStr">
        <is>
          <t>VÄSTMANLANDS LÄN</t>
        </is>
      </c>
      <c r="E113" t="inlineStr">
        <is>
          <t>SURAHAMMAR</t>
        </is>
      </c>
      <c r="G113" t="n">
        <v>3.9</v>
      </c>
      <c r="H113" t="n">
        <v>0</v>
      </c>
      <c r="I113" t="n">
        <v>0</v>
      </c>
      <c r="J113" t="n">
        <v>0</v>
      </c>
      <c r="K113" t="n">
        <v>0</v>
      </c>
      <c r="L113" t="n">
        <v>0</v>
      </c>
      <c r="M113" t="n">
        <v>0</v>
      </c>
      <c r="N113" t="n">
        <v>0</v>
      </c>
      <c r="O113" t="n">
        <v>0</v>
      </c>
      <c r="P113" t="n">
        <v>0</v>
      </c>
      <c r="Q113" t="n">
        <v>0</v>
      </c>
      <c r="R113" s="2" t="inlineStr"/>
    </row>
    <row r="114" ht="15" customHeight="1">
      <c r="A114" t="inlineStr">
        <is>
          <t>A 20904-2023</t>
        </is>
      </c>
      <c r="B114" s="1" t="n">
        <v>45060</v>
      </c>
      <c r="C114" s="1" t="n">
        <v>46091</v>
      </c>
      <c r="D114" t="inlineStr">
        <is>
          <t>VÄSTMANLANDS LÄN</t>
        </is>
      </c>
      <c r="E114" t="inlineStr">
        <is>
          <t>SURAHAMMAR</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42829-2022</t>
        </is>
      </c>
      <c r="B115" s="1" t="n">
        <v>44832</v>
      </c>
      <c r="C115" s="1" t="n">
        <v>46091</v>
      </c>
      <c r="D115" t="inlineStr">
        <is>
          <t>VÄSTMANLANDS LÄN</t>
        </is>
      </c>
      <c r="E115" t="inlineStr">
        <is>
          <t>SURAHAMMAR</t>
        </is>
      </c>
      <c r="G115" t="n">
        <v>1.6</v>
      </c>
      <c r="H115" t="n">
        <v>0</v>
      </c>
      <c r="I115" t="n">
        <v>0</v>
      </c>
      <c r="J115" t="n">
        <v>0</v>
      </c>
      <c r="K115" t="n">
        <v>0</v>
      </c>
      <c r="L115" t="n">
        <v>0</v>
      </c>
      <c r="M115" t="n">
        <v>0</v>
      </c>
      <c r="N115" t="n">
        <v>0</v>
      </c>
      <c r="O115" t="n">
        <v>0</v>
      </c>
      <c r="P115" t="n">
        <v>0</v>
      </c>
      <c r="Q115" t="n">
        <v>0</v>
      </c>
      <c r="R115" s="2" t="inlineStr"/>
    </row>
    <row r="116" ht="15" customHeight="1">
      <c r="A116" t="inlineStr">
        <is>
          <t>A 34584-2025</t>
        </is>
      </c>
      <c r="B116" s="1" t="n">
        <v>45846</v>
      </c>
      <c r="C116" s="1" t="n">
        <v>46091</v>
      </c>
      <c r="D116" t="inlineStr">
        <is>
          <t>VÄSTMANLANDS LÄN</t>
        </is>
      </c>
      <c r="E116" t="inlineStr">
        <is>
          <t>SURAHAMMAR</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34955-2022</t>
        </is>
      </c>
      <c r="B117" s="1" t="n">
        <v>44796</v>
      </c>
      <c r="C117" s="1" t="n">
        <v>46091</v>
      </c>
      <c r="D117" t="inlineStr">
        <is>
          <t>VÄSTMANLANDS LÄN</t>
        </is>
      </c>
      <c r="E117" t="inlineStr">
        <is>
          <t>SURAHAMMAR</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55868-2025</t>
        </is>
      </c>
      <c r="B118" s="1" t="n">
        <v>45973.35263888889</v>
      </c>
      <c r="C118" s="1" t="n">
        <v>46091</v>
      </c>
      <c r="D118" t="inlineStr">
        <is>
          <t>VÄSTMANLANDS LÄN</t>
        </is>
      </c>
      <c r="E118" t="inlineStr">
        <is>
          <t>SURAHAMMAR</t>
        </is>
      </c>
      <c r="F118" t="inlineStr">
        <is>
          <t>Sveaskog</t>
        </is>
      </c>
      <c r="G118" t="n">
        <v>2.8</v>
      </c>
      <c r="H118" t="n">
        <v>0</v>
      </c>
      <c r="I118" t="n">
        <v>0</v>
      </c>
      <c r="J118" t="n">
        <v>0</v>
      </c>
      <c r="K118" t="n">
        <v>0</v>
      </c>
      <c r="L118" t="n">
        <v>0</v>
      </c>
      <c r="M118" t="n">
        <v>0</v>
      </c>
      <c r="N118" t="n">
        <v>0</v>
      </c>
      <c r="O118" t="n">
        <v>0</v>
      </c>
      <c r="P118" t="n">
        <v>0</v>
      </c>
      <c r="Q118" t="n">
        <v>0</v>
      </c>
      <c r="R118" s="2" t="inlineStr"/>
    </row>
    <row r="119" ht="15" customHeight="1">
      <c r="A119" t="inlineStr">
        <is>
          <t>A 55874-2025</t>
        </is>
      </c>
      <c r="B119" s="1" t="n">
        <v>45973.3569212963</v>
      </c>
      <c r="C119" s="1" t="n">
        <v>46091</v>
      </c>
      <c r="D119" t="inlineStr">
        <is>
          <t>VÄSTMANLANDS LÄN</t>
        </is>
      </c>
      <c r="E119" t="inlineStr">
        <is>
          <t>SURAHAMMAR</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32910-2025</t>
        </is>
      </c>
      <c r="B120" s="1" t="n">
        <v>45839</v>
      </c>
      <c r="C120" s="1" t="n">
        <v>46091</v>
      </c>
      <c r="D120" t="inlineStr">
        <is>
          <t>VÄSTMANLANDS LÄN</t>
        </is>
      </c>
      <c r="E120" t="inlineStr">
        <is>
          <t>SURAHAMMAR</t>
        </is>
      </c>
      <c r="F120" t="inlineStr">
        <is>
          <t>Kommuner</t>
        </is>
      </c>
      <c r="G120" t="n">
        <v>1.1</v>
      </c>
      <c r="H120" t="n">
        <v>0</v>
      </c>
      <c r="I120" t="n">
        <v>0</v>
      </c>
      <c r="J120" t="n">
        <v>0</v>
      </c>
      <c r="K120" t="n">
        <v>0</v>
      </c>
      <c r="L120" t="n">
        <v>0</v>
      </c>
      <c r="M120" t="n">
        <v>0</v>
      </c>
      <c r="N120" t="n">
        <v>0</v>
      </c>
      <c r="O120" t="n">
        <v>0</v>
      </c>
      <c r="P120" t="n">
        <v>0</v>
      </c>
      <c r="Q120" t="n">
        <v>0</v>
      </c>
      <c r="R120" s="2" t="inlineStr"/>
    </row>
    <row r="121" ht="15" customHeight="1">
      <c r="A121" t="inlineStr">
        <is>
          <t>A 32916-2025</t>
        </is>
      </c>
      <c r="B121" s="1" t="n">
        <v>45839</v>
      </c>
      <c r="C121" s="1" t="n">
        <v>46091</v>
      </c>
      <c r="D121" t="inlineStr">
        <is>
          <t>VÄSTMANLANDS LÄN</t>
        </is>
      </c>
      <c r="E121" t="inlineStr">
        <is>
          <t>SURAHAMMAR</t>
        </is>
      </c>
      <c r="F121" t="inlineStr">
        <is>
          <t>Kommuner</t>
        </is>
      </c>
      <c r="G121" t="n">
        <v>4.9</v>
      </c>
      <c r="H121" t="n">
        <v>0</v>
      </c>
      <c r="I121" t="n">
        <v>0</v>
      </c>
      <c r="J121" t="n">
        <v>0</v>
      </c>
      <c r="K121" t="n">
        <v>0</v>
      </c>
      <c r="L121" t="n">
        <v>0</v>
      </c>
      <c r="M121" t="n">
        <v>0</v>
      </c>
      <c r="N121" t="n">
        <v>0</v>
      </c>
      <c r="O121" t="n">
        <v>0</v>
      </c>
      <c r="P121" t="n">
        <v>0</v>
      </c>
      <c r="Q121" t="n">
        <v>0</v>
      </c>
      <c r="R121" s="2" t="inlineStr"/>
    </row>
    <row r="122" ht="15" customHeight="1">
      <c r="A122" t="inlineStr">
        <is>
          <t>A 55873-2025</t>
        </is>
      </c>
      <c r="B122" s="1" t="n">
        <v>45973.35608796297</v>
      </c>
      <c r="C122" s="1" t="n">
        <v>46091</v>
      </c>
      <c r="D122" t="inlineStr">
        <is>
          <t>VÄSTMANLANDS LÄN</t>
        </is>
      </c>
      <c r="E122" t="inlineStr">
        <is>
          <t>SURAHAMMAR</t>
        </is>
      </c>
      <c r="F122" t="inlineStr">
        <is>
          <t>Sveaskog</t>
        </is>
      </c>
      <c r="G122" t="n">
        <v>0.5</v>
      </c>
      <c r="H122" t="n">
        <v>0</v>
      </c>
      <c r="I122" t="n">
        <v>0</v>
      </c>
      <c r="J122" t="n">
        <v>0</v>
      </c>
      <c r="K122" t="n">
        <v>0</v>
      </c>
      <c r="L122" t="n">
        <v>0</v>
      </c>
      <c r="M122" t="n">
        <v>0</v>
      </c>
      <c r="N122" t="n">
        <v>0</v>
      </c>
      <c r="O122" t="n">
        <v>0</v>
      </c>
      <c r="P122" t="n">
        <v>0</v>
      </c>
      <c r="Q122" t="n">
        <v>0</v>
      </c>
      <c r="R122" s="2" t="inlineStr"/>
    </row>
    <row r="123" ht="15" customHeight="1">
      <c r="A123" t="inlineStr">
        <is>
          <t>A 37798-2021</t>
        </is>
      </c>
      <c r="B123" s="1" t="n">
        <v>44402</v>
      </c>
      <c r="C123" s="1" t="n">
        <v>46091</v>
      </c>
      <c r="D123" t="inlineStr">
        <is>
          <t>VÄSTMANLANDS LÄN</t>
        </is>
      </c>
      <c r="E123" t="inlineStr">
        <is>
          <t>SURAHAMMAR</t>
        </is>
      </c>
      <c r="F123" t="inlineStr">
        <is>
          <t>Kommuner</t>
        </is>
      </c>
      <c r="G123" t="n">
        <v>1.2</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46091</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48205-2023</t>
        </is>
      </c>
      <c r="B125" s="1" t="n">
        <v>45205</v>
      </c>
      <c r="C125" s="1" t="n">
        <v>46091</v>
      </c>
      <c r="D125" t="inlineStr">
        <is>
          <t>VÄSTMANLANDS LÄN</t>
        </is>
      </c>
      <c r="E125" t="inlineStr">
        <is>
          <t>SURAHAMMAR</t>
        </is>
      </c>
      <c r="F125" t="inlineStr">
        <is>
          <t>Allmännings- och besparingsskogar</t>
        </is>
      </c>
      <c r="G125" t="n">
        <v>7.6</v>
      </c>
      <c r="H125" t="n">
        <v>0</v>
      </c>
      <c r="I125" t="n">
        <v>0</v>
      </c>
      <c r="J125" t="n">
        <v>0</v>
      </c>
      <c r="K125" t="n">
        <v>0</v>
      </c>
      <c r="L125" t="n">
        <v>0</v>
      </c>
      <c r="M125" t="n">
        <v>0</v>
      </c>
      <c r="N125" t="n">
        <v>0</v>
      </c>
      <c r="O125" t="n">
        <v>0</v>
      </c>
      <c r="P125" t="n">
        <v>0</v>
      </c>
      <c r="Q125" t="n">
        <v>0</v>
      </c>
      <c r="R125" s="2" t="inlineStr"/>
    </row>
    <row r="126" ht="15" customHeight="1">
      <c r="A126" t="inlineStr">
        <is>
          <t>A 37013-2025</t>
        </is>
      </c>
      <c r="B126" s="1" t="n">
        <v>45874</v>
      </c>
      <c r="C126" s="1" t="n">
        <v>46091</v>
      </c>
      <c r="D126" t="inlineStr">
        <is>
          <t>VÄSTMANLANDS LÄN</t>
        </is>
      </c>
      <c r="E126" t="inlineStr">
        <is>
          <t>SURAHAMMAR</t>
        </is>
      </c>
      <c r="F126" t="inlineStr">
        <is>
          <t>Bergvik skog väst AB</t>
        </is>
      </c>
      <c r="G126" t="n">
        <v>10.7</v>
      </c>
      <c r="H126" t="n">
        <v>0</v>
      </c>
      <c r="I126" t="n">
        <v>0</v>
      </c>
      <c r="J126" t="n">
        <v>0</v>
      </c>
      <c r="K126" t="n">
        <v>0</v>
      </c>
      <c r="L126" t="n">
        <v>0</v>
      </c>
      <c r="M126" t="n">
        <v>0</v>
      </c>
      <c r="N126" t="n">
        <v>0</v>
      </c>
      <c r="O126" t="n">
        <v>0</v>
      </c>
      <c r="P126" t="n">
        <v>0</v>
      </c>
      <c r="Q126" t="n">
        <v>0</v>
      </c>
      <c r="R126" s="2" t="inlineStr"/>
    </row>
    <row r="127" ht="15" customHeight="1">
      <c r="A127" t="inlineStr">
        <is>
          <t>A 33931-2022</t>
        </is>
      </c>
      <c r="B127" s="1" t="n">
        <v>44790.65153935185</v>
      </c>
      <c r="C127" s="1" t="n">
        <v>46091</v>
      </c>
      <c r="D127" t="inlineStr">
        <is>
          <t>VÄSTMANLANDS LÄN</t>
        </is>
      </c>
      <c r="E127" t="inlineStr">
        <is>
          <t>SURAHAMMAR</t>
        </is>
      </c>
      <c r="G127" t="n">
        <v>2.2</v>
      </c>
      <c r="H127" t="n">
        <v>0</v>
      </c>
      <c r="I127" t="n">
        <v>0</v>
      </c>
      <c r="J127" t="n">
        <v>0</v>
      </c>
      <c r="K127" t="n">
        <v>0</v>
      </c>
      <c r="L127" t="n">
        <v>0</v>
      </c>
      <c r="M127" t="n">
        <v>0</v>
      </c>
      <c r="N127" t="n">
        <v>0</v>
      </c>
      <c r="O127" t="n">
        <v>0</v>
      </c>
      <c r="P127" t="n">
        <v>0</v>
      </c>
      <c r="Q127" t="n">
        <v>0</v>
      </c>
      <c r="R127" s="2" t="inlineStr"/>
    </row>
    <row r="128" ht="15" customHeight="1">
      <c r="A128" t="inlineStr">
        <is>
          <t>A 37954-2025</t>
        </is>
      </c>
      <c r="B128" s="1" t="n">
        <v>45881</v>
      </c>
      <c r="C128" s="1" t="n">
        <v>46091</v>
      </c>
      <c r="D128" t="inlineStr">
        <is>
          <t>VÄSTMANLANDS LÄN</t>
        </is>
      </c>
      <c r="E128" t="inlineStr">
        <is>
          <t>SURAHAMMAR</t>
        </is>
      </c>
      <c r="G128" t="n">
        <v>9.5</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46091</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59399-2025</t>
        </is>
      </c>
      <c r="B130" s="1" t="n">
        <v>45989</v>
      </c>
      <c r="C130" s="1" t="n">
        <v>46091</v>
      </c>
      <c r="D130" t="inlineStr">
        <is>
          <t>VÄSTMANLANDS LÄN</t>
        </is>
      </c>
      <c r="E130" t="inlineStr">
        <is>
          <t>SURAHAMMAR</t>
        </is>
      </c>
      <c r="F130" t="inlineStr">
        <is>
          <t>Kommuner</t>
        </is>
      </c>
      <c r="G130" t="n">
        <v>2.1</v>
      </c>
      <c r="H130" t="n">
        <v>0</v>
      </c>
      <c r="I130" t="n">
        <v>0</v>
      </c>
      <c r="J130" t="n">
        <v>0</v>
      </c>
      <c r="K130" t="n">
        <v>0</v>
      </c>
      <c r="L130" t="n">
        <v>0</v>
      </c>
      <c r="M130" t="n">
        <v>0</v>
      </c>
      <c r="N130" t="n">
        <v>0</v>
      </c>
      <c r="O130" t="n">
        <v>0</v>
      </c>
      <c r="P130" t="n">
        <v>0</v>
      </c>
      <c r="Q130" t="n">
        <v>0</v>
      </c>
      <c r="R130" s="2" t="inlineStr"/>
    </row>
    <row r="131" ht="15" customHeight="1">
      <c r="A131" t="inlineStr">
        <is>
          <t>A 30076-2023</t>
        </is>
      </c>
      <c r="B131" s="1" t="n">
        <v>45110</v>
      </c>
      <c r="C131" s="1" t="n">
        <v>46091</v>
      </c>
      <c r="D131" t="inlineStr">
        <is>
          <t>VÄSTMANLANDS LÄN</t>
        </is>
      </c>
      <c r="E131" t="inlineStr">
        <is>
          <t>SURAHAMMAR</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46091</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46091</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63138-2025</t>
        </is>
      </c>
      <c r="B134" s="1" t="n">
        <v>46009</v>
      </c>
      <c r="C134" s="1" t="n">
        <v>46091</v>
      </c>
      <c r="D134" t="inlineStr">
        <is>
          <t>VÄSTMANLANDS LÄN</t>
        </is>
      </c>
      <c r="E134" t="inlineStr">
        <is>
          <t>SURAHAMMAR</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5697-2026</t>
        </is>
      </c>
      <c r="B135" s="1" t="n">
        <v>46051.50020833333</v>
      </c>
      <c r="C135" s="1" t="n">
        <v>46091</v>
      </c>
      <c r="D135" t="inlineStr">
        <is>
          <t>VÄSTMANLANDS LÄN</t>
        </is>
      </c>
      <c r="E135" t="inlineStr">
        <is>
          <t>SURAHAMMAR</t>
        </is>
      </c>
      <c r="F135" t="inlineStr">
        <is>
          <t>Sveaskog</t>
        </is>
      </c>
      <c r="G135" t="n">
        <v>3</v>
      </c>
      <c r="H135" t="n">
        <v>0</v>
      </c>
      <c r="I135" t="n">
        <v>0</v>
      </c>
      <c r="J135" t="n">
        <v>0</v>
      </c>
      <c r="K135" t="n">
        <v>0</v>
      </c>
      <c r="L135" t="n">
        <v>0</v>
      </c>
      <c r="M135" t="n">
        <v>0</v>
      </c>
      <c r="N135" t="n">
        <v>0</v>
      </c>
      <c r="O135" t="n">
        <v>0</v>
      </c>
      <c r="P135" t="n">
        <v>0</v>
      </c>
      <c r="Q135" t="n">
        <v>0</v>
      </c>
      <c r="R135" s="2" t="inlineStr"/>
    </row>
    <row r="136" ht="15" customHeight="1">
      <c r="A136" t="inlineStr">
        <is>
          <t>A 5698-2026</t>
        </is>
      </c>
      <c r="B136" s="1" t="n">
        <v>46051.50196759259</v>
      </c>
      <c r="C136" s="1" t="n">
        <v>46091</v>
      </c>
      <c r="D136" t="inlineStr">
        <is>
          <t>VÄSTMANLANDS LÄN</t>
        </is>
      </c>
      <c r="E136" t="inlineStr">
        <is>
          <t>SURAHAMMAR</t>
        </is>
      </c>
      <c r="F136" t="inlineStr">
        <is>
          <t>Sveaskog</t>
        </is>
      </c>
      <c r="G136" t="n">
        <v>1.9</v>
      </c>
      <c r="H136" t="n">
        <v>0</v>
      </c>
      <c r="I136" t="n">
        <v>0</v>
      </c>
      <c r="J136" t="n">
        <v>0</v>
      </c>
      <c r="K136" t="n">
        <v>0</v>
      </c>
      <c r="L136" t="n">
        <v>0</v>
      </c>
      <c r="M136" t="n">
        <v>0</v>
      </c>
      <c r="N136" t="n">
        <v>0</v>
      </c>
      <c r="O136" t="n">
        <v>0</v>
      </c>
      <c r="P136" t="n">
        <v>0</v>
      </c>
      <c r="Q136" t="n">
        <v>0</v>
      </c>
      <c r="R136" s="2" t="inlineStr"/>
    </row>
    <row r="137" ht="15" customHeight="1">
      <c r="A137" t="inlineStr">
        <is>
          <t>A 25450-2024</t>
        </is>
      </c>
      <c r="B137" s="1" t="n">
        <v>45463</v>
      </c>
      <c r="C137" s="1" t="n">
        <v>46091</v>
      </c>
      <c r="D137" t="inlineStr">
        <is>
          <t>VÄSTMANLANDS LÄN</t>
        </is>
      </c>
      <c r="E137" t="inlineStr">
        <is>
          <t>SURAHAMMAR</t>
        </is>
      </c>
      <c r="F137" t="inlineStr">
        <is>
          <t>Bergvik skog väst AB</t>
        </is>
      </c>
      <c r="G137" t="n">
        <v>2.4</v>
      </c>
      <c r="H137" t="n">
        <v>0</v>
      </c>
      <c r="I137" t="n">
        <v>0</v>
      </c>
      <c r="J137" t="n">
        <v>0</v>
      </c>
      <c r="K137" t="n">
        <v>0</v>
      </c>
      <c r="L137" t="n">
        <v>0</v>
      </c>
      <c r="M137" t="n">
        <v>0</v>
      </c>
      <c r="N137" t="n">
        <v>0</v>
      </c>
      <c r="O137" t="n">
        <v>0</v>
      </c>
      <c r="P137" t="n">
        <v>0</v>
      </c>
      <c r="Q137" t="n">
        <v>0</v>
      </c>
      <c r="R137" s="2" t="inlineStr"/>
    </row>
    <row r="138" ht="15" customHeight="1">
      <c r="A138" t="inlineStr">
        <is>
          <t>A 5696-2026</t>
        </is>
      </c>
      <c r="B138" s="1" t="n">
        <v>46051.4975</v>
      </c>
      <c r="C138" s="1" t="n">
        <v>46091</v>
      </c>
      <c r="D138" t="inlineStr">
        <is>
          <t>VÄSTMANLANDS LÄN</t>
        </is>
      </c>
      <c r="E138" t="inlineStr">
        <is>
          <t>SURAHAMMAR</t>
        </is>
      </c>
      <c r="F138" t="inlineStr">
        <is>
          <t>Sveaskog</t>
        </is>
      </c>
      <c r="G138" t="n">
        <v>10.4</v>
      </c>
      <c r="H138" t="n">
        <v>0</v>
      </c>
      <c r="I138" t="n">
        <v>0</v>
      </c>
      <c r="J138" t="n">
        <v>0</v>
      </c>
      <c r="K138" t="n">
        <v>0</v>
      </c>
      <c r="L138" t="n">
        <v>0</v>
      </c>
      <c r="M138" t="n">
        <v>0</v>
      </c>
      <c r="N138" t="n">
        <v>0</v>
      </c>
      <c r="O138" t="n">
        <v>0</v>
      </c>
      <c r="P138" t="n">
        <v>0</v>
      </c>
      <c r="Q138" t="n">
        <v>0</v>
      </c>
      <c r="R138" s="2" t="inlineStr"/>
    </row>
    <row r="139" ht="15" customHeight="1">
      <c r="A139" t="inlineStr">
        <is>
          <t>A 10883-2023</t>
        </is>
      </c>
      <c r="B139" s="1" t="n">
        <v>44991</v>
      </c>
      <c r="C139" s="1" t="n">
        <v>46091</v>
      </c>
      <c r="D139" t="inlineStr">
        <is>
          <t>VÄSTMANLANDS LÄN</t>
        </is>
      </c>
      <c r="E139" t="inlineStr">
        <is>
          <t>SURAHAMMAR</t>
        </is>
      </c>
      <c r="F139" t="inlineStr">
        <is>
          <t>Övriga Aktiebolag</t>
        </is>
      </c>
      <c r="G139" t="n">
        <v>12.5</v>
      </c>
      <c r="H139" t="n">
        <v>0</v>
      </c>
      <c r="I139" t="n">
        <v>0</v>
      </c>
      <c r="J139" t="n">
        <v>0</v>
      </c>
      <c r="K139" t="n">
        <v>0</v>
      </c>
      <c r="L139" t="n">
        <v>0</v>
      </c>
      <c r="M139" t="n">
        <v>0</v>
      </c>
      <c r="N139" t="n">
        <v>0</v>
      </c>
      <c r="O139" t="n">
        <v>0</v>
      </c>
      <c r="P139" t="n">
        <v>0</v>
      </c>
      <c r="Q139" t="n">
        <v>0</v>
      </c>
      <c r="R139" s="2" t="inlineStr"/>
    </row>
    <row r="140" ht="15" customHeight="1">
      <c r="A140" t="inlineStr">
        <is>
          <t>A 24665-2023</t>
        </is>
      </c>
      <c r="B140" s="1" t="n">
        <v>45084.48592592592</v>
      </c>
      <c r="C140" s="1" t="n">
        <v>46091</v>
      </c>
      <c r="D140" t="inlineStr">
        <is>
          <t>VÄSTMANLANDS LÄN</t>
        </is>
      </c>
      <c r="E140" t="inlineStr">
        <is>
          <t>SURAHAMMAR</t>
        </is>
      </c>
      <c r="G140" t="n">
        <v>0.9</v>
      </c>
      <c r="H140" t="n">
        <v>0</v>
      </c>
      <c r="I140" t="n">
        <v>0</v>
      </c>
      <c r="J140" t="n">
        <v>0</v>
      </c>
      <c r="K140" t="n">
        <v>0</v>
      </c>
      <c r="L140" t="n">
        <v>0</v>
      </c>
      <c r="M140" t="n">
        <v>0</v>
      </c>
      <c r="N140" t="n">
        <v>0</v>
      </c>
      <c r="O140" t="n">
        <v>0</v>
      </c>
      <c r="P140" t="n">
        <v>0</v>
      </c>
      <c r="Q140" t="n">
        <v>0</v>
      </c>
      <c r="R140" s="2" t="inlineStr"/>
    </row>
    <row r="141" ht="15" customHeight="1">
      <c r="A141" t="inlineStr">
        <is>
          <t>A 24167-2024</t>
        </is>
      </c>
      <c r="B141" s="1" t="n">
        <v>45456</v>
      </c>
      <c r="C141" s="1" t="n">
        <v>46091</v>
      </c>
      <c r="D141" t="inlineStr">
        <is>
          <t>VÄSTMANLANDS LÄN</t>
        </is>
      </c>
      <c r="E141" t="inlineStr">
        <is>
          <t>SURAHAMMAR</t>
        </is>
      </c>
      <c r="G141" t="n">
        <v>0.6</v>
      </c>
      <c r="H141" t="n">
        <v>0</v>
      </c>
      <c r="I141" t="n">
        <v>0</v>
      </c>
      <c r="J141" t="n">
        <v>0</v>
      </c>
      <c r="K141" t="n">
        <v>0</v>
      </c>
      <c r="L141" t="n">
        <v>0</v>
      </c>
      <c r="M141" t="n">
        <v>0</v>
      </c>
      <c r="N141" t="n">
        <v>0</v>
      </c>
      <c r="O141" t="n">
        <v>0</v>
      </c>
      <c r="P141" t="n">
        <v>0</v>
      </c>
      <c r="Q141" t="n">
        <v>0</v>
      </c>
      <c r="R141" s="2" t="inlineStr"/>
    </row>
    <row r="142" ht="15" customHeight="1">
      <c r="A142" t="inlineStr">
        <is>
          <t>A 72367-2021</t>
        </is>
      </c>
      <c r="B142" s="1" t="n">
        <v>44545</v>
      </c>
      <c r="C142" s="1" t="n">
        <v>46091</v>
      </c>
      <c r="D142" t="inlineStr">
        <is>
          <t>VÄSTMANLANDS LÄN</t>
        </is>
      </c>
      <c r="E142" t="inlineStr">
        <is>
          <t>SURAHAMMAR</t>
        </is>
      </c>
      <c r="G142" t="n">
        <v>2.5</v>
      </c>
      <c r="H142" t="n">
        <v>0</v>
      </c>
      <c r="I142" t="n">
        <v>0</v>
      </c>
      <c r="J142" t="n">
        <v>0</v>
      </c>
      <c r="K142" t="n">
        <v>0</v>
      </c>
      <c r="L142" t="n">
        <v>0</v>
      </c>
      <c r="M142" t="n">
        <v>0</v>
      </c>
      <c r="N142" t="n">
        <v>0</v>
      </c>
      <c r="O142" t="n">
        <v>0</v>
      </c>
      <c r="P142" t="n">
        <v>0</v>
      </c>
      <c r="Q142" t="n">
        <v>0</v>
      </c>
      <c r="R142" s="2" t="inlineStr"/>
    </row>
    <row r="143" ht="15" customHeight="1">
      <c r="A143" t="inlineStr">
        <is>
          <t>A 42714-2022</t>
        </is>
      </c>
      <c r="B143" s="1" t="n">
        <v>44832</v>
      </c>
      <c r="C143" s="1" t="n">
        <v>46091</v>
      </c>
      <c r="D143" t="inlineStr">
        <is>
          <t>VÄSTMANLANDS LÄN</t>
        </is>
      </c>
      <c r="E143" t="inlineStr">
        <is>
          <t>SURAHAMMAR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37287-2023</t>
        </is>
      </c>
      <c r="B144" s="1" t="n">
        <v>45156</v>
      </c>
      <c r="C144" s="1" t="n">
        <v>46091</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49058-2024</t>
        </is>
      </c>
      <c r="B145" s="1" t="n">
        <v>45594</v>
      </c>
      <c r="C145" s="1" t="n">
        <v>46091</v>
      </c>
      <c r="D145" t="inlineStr">
        <is>
          <t>VÄSTMANLANDS LÄN</t>
        </is>
      </c>
      <c r="E145" t="inlineStr">
        <is>
          <t>SURAHAMMAR</t>
        </is>
      </c>
      <c r="F145" t="inlineStr">
        <is>
          <t>Sveaskog</t>
        </is>
      </c>
      <c r="G145" t="n">
        <v>11.4</v>
      </c>
      <c r="H145" t="n">
        <v>0</v>
      </c>
      <c r="I145" t="n">
        <v>0</v>
      </c>
      <c r="J145" t="n">
        <v>0</v>
      </c>
      <c r="K145" t="n">
        <v>0</v>
      </c>
      <c r="L145" t="n">
        <v>0</v>
      </c>
      <c r="M145" t="n">
        <v>0</v>
      </c>
      <c r="N145" t="n">
        <v>0</v>
      </c>
      <c r="O145" t="n">
        <v>0</v>
      </c>
      <c r="P145" t="n">
        <v>0</v>
      </c>
      <c r="Q145" t="n">
        <v>0</v>
      </c>
      <c r="R145" s="2" t="inlineStr"/>
    </row>
    <row r="146" ht="15" customHeight="1">
      <c r="A146" t="inlineStr">
        <is>
          <t>A 49060-2024</t>
        </is>
      </c>
      <c r="B146" s="1" t="n">
        <v>45594</v>
      </c>
      <c r="C146" s="1" t="n">
        <v>46091</v>
      </c>
      <c r="D146" t="inlineStr">
        <is>
          <t>VÄSTMANLANDS LÄN</t>
        </is>
      </c>
      <c r="E146" t="inlineStr">
        <is>
          <t>SURAHAMMAR</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19099-2022</t>
        </is>
      </c>
      <c r="B147" s="1" t="n">
        <v>44691</v>
      </c>
      <c r="C147" s="1" t="n">
        <v>46091</v>
      </c>
      <c r="D147" t="inlineStr">
        <is>
          <t>VÄSTMANLANDS LÄN</t>
        </is>
      </c>
      <c r="E147" t="inlineStr">
        <is>
          <t>SURAHAMMAR</t>
        </is>
      </c>
      <c r="F147" t="inlineStr">
        <is>
          <t>Övriga Aktiebolag</t>
        </is>
      </c>
      <c r="G147" t="n">
        <v>3.4</v>
      </c>
      <c r="H147" t="n">
        <v>0</v>
      </c>
      <c r="I147" t="n">
        <v>0</v>
      </c>
      <c r="J147" t="n">
        <v>0</v>
      </c>
      <c r="K147" t="n">
        <v>0</v>
      </c>
      <c r="L147" t="n">
        <v>0</v>
      </c>
      <c r="M147" t="n">
        <v>0</v>
      </c>
      <c r="N147" t="n">
        <v>0</v>
      </c>
      <c r="O147" t="n">
        <v>0</v>
      </c>
      <c r="P147" t="n">
        <v>0</v>
      </c>
      <c r="Q147" t="n">
        <v>0</v>
      </c>
      <c r="R147" s="2" t="inlineStr"/>
    </row>
    <row r="148" ht="15" customHeight="1">
      <c r="A148" t="inlineStr">
        <is>
          <t>A 10244-2026</t>
        </is>
      </c>
      <c r="B148" s="1" t="n">
        <v>46076.55032407407</v>
      </c>
      <c r="C148" s="1" t="n">
        <v>46091</v>
      </c>
      <c r="D148" t="inlineStr">
        <is>
          <t>VÄSTMANLANDS LÄN</t>
        </is>
      </c>
      <c r="E148" t="inlineStr">
        <is>
          <t>SURAHAMMAR</t>
        </is>
      </c>
      <c r="F148" t="inlineStr">
        <is>
          <t>Allmännings- och besparingsskogar</t>
        </is>
      </c>
      <c r="G148" t="n">
        <v>8.699999999999999</v>
      </c>
      <c r="H148" t="n">
        <v>0</v>
      </c>
      <c r="I148" t="n">
        <v>0</v>
      </c>
      <c r="J148" t="n">
        <v>0</v>
      </c>
      <c r="K148" t="n">
        <v>0</v>
      </c>
      <c r="L148" t="n">
        <v>0</v>
      </c>
      <c r="M148" t="n">
        <v>0</v>
      </c>
      <c r="N148" t="n">
        <v>0</v>
      </c>
      <c r="O148" t="n">
        <v>0</v>
      </c>
      <c r="P148" t="n">
        <v>0</v>
      </c>
      <c r="Q148" t="n">
        <v>0</v>
      </c>
      <c r="R148" s="2" t="inlineStr"/>
    </row>
    <row r="149" ht="15" customHeight="1">
      <c r="A149" t="inlineStr">
        <is>
          <t>A 10249-2026</t>
        </is>
      </c>
      <c r="B149" s="1" t="n">
        <v>46076.55456018518</v>
      </c>
      <c r="C149" s="1" t="n">
        <v>46091</v>
      </c>
      <c r="D149" t="inlineStr">
        <is>
          <t>VÄSTMANLANDS LÄN</t>
        </is>
      </c>
      <c r="E149" t="inlineStr">
        <is>
          <t>SURAHAMMAR</t>
        </is>
      </c>
      <c r="F149" t="inlineStr">
        <is>
          <t>Allmännings- och besparingsskogar</t>
        </is>
      </c>
      <c r="G149" t="n">
        <v>4.8</v>
      </c>
      <c r="H149" t="n">
        <v>0</v>
      </c>
      <c r="I149" t="n">
        <v>0</v>
      </c>
      <c r="J149" t="n">
        <v>0</v>
      </c>
      <c r="K149" t="n">
        <v>0</v>
      </c>
      <c r="L149" t="n">
        <v>0</v>
      </c>
      <c r="M149" t="n">
        <v>0</v>
      </c>
      <c r="N149" t="n">
        <v>0</v>
      </c>
      <c r="O149" t="n">
        <v>0</v>
      </c>
      <c r="P149" t="n">
        <v>0</v>
      </c>
      <c r="Q149" t="n">
        <v>0</v>
      </c>
      <c r="R149" s="2" t="inlineStr"/>
    </row>
    <row r="150" ht="15" customHeight="1">
      <c r="A150" t="inlineStr">
        <is>
          <t>A 25780-2023</t>
        </is>
      </c>
      <c r="B150" s="1" t="n">
        <v>45090.47523148148</v>
      </c>
      <c r="C150" s="1" t="n">
        <v>46091</v>
      </c>
      <c r="D150" t="inlineStr">
        <is>
          <t>VÄSTMANLANDS LÄN</t>
        </is>
      </c>
      <c r="E150" t="inlineStr">
        <is>
          <t>SURAHAMMAR</t>
        </is>
      </c>
      <c r="G150" t="n">
        <v>2.8</v>
      </c>
      <c r="H150" t="n">
        <v>0</v>
      </c>
      <c r="I150" t="n">
        <v>0</v>
      </c>
      <c r="J150" t="n">
        <v>0</v>
      </c>
      <c r="K150" t="n">
        <v>0</v>
      </c>
      <c r="L150" t="n">
        <v>0</v>
      </c>
      <c r="M150" t="n">
        <v>0</v>
      </c>
      <c r="N150" t="n">
        <v>0</v>
      </c>
      <c r="O150" t="n">
        <v>0</v>
      </c>
      <c r="P150" t="n">
        <v>0</v>
      </c>
      <c r="Q150" t="n">
        <v>0</v>
      </c>
      <c r="R150" s="2" t="inlineStr"/>
    </row>
    <row r="151" ht="15" customHeight="1">
      <c r="A151" t="inlineStr">
        <is>
          <t>A 10512-2026</t>
        </is>
      </c>
      <c r="B151" s="1" t="n">
        <v>46077.56861111111</v>
      </c>
      <c r="C151" s="1" t="n">
        <v>46091</v>
      </c>
      <c r="D151" t="inlineStr">
        <is>
          <t>VÄSTMANLANDS LÄN</t>
        </is>
      </c>
      <c r="E151" t="inlineStr">
        <is>
          <t>SURAHAMMAR</t>
        </is>
      </c>
      <c r="F151" t="inlineStr">
        <is>
          <t>Övriga Aktiebolag</t>
        </is>
      </c>
      <c r="G151" t="n">
        <v>4.3</v>
      </c>
      <c r="H151" t="n">
        <v>0</v>
      </c>
      <c r="I151" t="n">
        <v>0</v>
      </c>
      <c r="J151" t="n">
        <v>0</v>
      </c>
      <c r="K151" t="n">
        <v>0</v>
      </c>
      <c r="L151" t="n">
        <v>0</v>
      </c>
      <c r="M151" t="n">
        <v>0</v>
      </c>
      <c r="N151" t="n">
        <v>0</v>
      </c>
      <c r="O151" t="n">
        <v>0</v>
      </c>
      <c r="P151" t="n">
        <v>0</v>
      </c>
      <c r="Q151" t="n">
        <v>0</v>
      </c>
      <c r="R151" s="2" t="inlineStr"/>
    </row>
    <row r="152" ht="15" customHeight="1">
      <c r="A152" t="inlineStr">
        <is>
          <t>A 10562-2026</t>
        </is>
      </c>
      <c r="B152" s="1" t="n">
        <v>46077.64043981482</v>
      </c>
      <c r="C152" s="1" t="n">
        <v>46091</v>
      </c>
      <c r="D152" t="inlineStr">
        <is>
          <t>VÄSTMANLANDS LÄN</t>
        </is>
      </c>
      <c r="E152" t="inlineStr">
        <is>
          <t>SURAHAMMAR</t>
        </is>
      </c>
      <c r="F152" t="inlineStr">
        <is>
          <t>Övriga Aktiebolag</t>
        </is>
      </c>
      <c r="G152" t="n">
        <v>2.3</v>
      </c>
      <c r="H152" t="n">
        <v>0</v>
      </c>
      <c r="I152" t="n">
        <v>0</v>
      </c>
      <c r="J152" t="n">
        <v>0</v>
      </c>
      <c r="K152" t="n">
        <v>0</v>
      </c>
      <c r="L152" t="n">
        <v>0</v>
      </c>
      <c r="M152" t="n">
        <v>0</v>
      </c>
      <c r="N152" t="n">
        <v>0</v>
      </c>
      <c r="O152" t="n">
        <v>0</v>
      </c>
      <c r="P152" t="n">
        <v>0</v>
      </c>
      <c r="Q152" t="n">
        <v>0</v>
      </c>
      <c r="R152" s="2" t="inlineStr"/>
    </row>
    <row r="153" ht="15" customHeight="1">
      <c r="A153" t="inlineStr">
        <is>
          <t>A 13386-2025</t>
        </is>
      </c>
      <c r="B153" s="1" t="n">
        <v>45735</v>
      </c>
      <c r="C153" s="1" t="n">
        <v>46091</v>
      </c>
      <c r="D153" t="inlineStr">
        <is>
          <t>VÄSTMANLANDS LÄN</t>
        </is>
      </c>
      <c r="E153" t="inlineStr">
        <is>
          <t>SURAHAMMAR</t>
        </is>
      </c>
      <c r="F153" t="inlineStr">
        <is>
          <t>Bergvik skog väst AB</t>
        </is>
      </c>
      <c r="G153" t="n">
        <v>4</v>
      </c>
      <c r="H153" t="n">
        <v>0</v>
      </c>
      <c r="I153" t="n">
        <v>0</v>
      </c>
      <c r="J153" t="n">
        <v>0</v>
      </c>
      <c r="K153" t="n">
        <v>0</v>
      </c>
      <c r="L153" t="n">
        <v>0</v>
      </c>
      <c r="M153" t="n">
        <v>0</v>
      </c>
      <c r="N153" t="n">
        <v>0</v>
      </c>
      <c r="O153" t="n">
        <v>0</v>
      </c>
      <c r="P153" t="n">
        <v>0</v>
      </c>
      <c r="Q153" t="n">
        <v>0</v>
      </c>
      <c r="R153" s="2" t="inlineStr"/>
    </row>
    <row r="154" ht="15" customHeight="1">
      <c r="A154" t="inlineStr">
        <is>
          <t>A 35682-2022</t>
        </is>
      </c>
      <c r="B154" s="1" t="n">
        <v>44799.60422453703</v>
      </c>
      <c r="C154" s="1" t="n">
        <v>46091</v>
      </c>
      <c r="D154" t="inlineStr">
        <is>
          <t>VÄSTMANLANDS LÄN</t>
        </is>
      </c>
      <c r="E154" t="inlineStr">
        <is>
          <t>SURAHAMMAR</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2867-2024</t>
        </is>
      </c>
      <c r="B155" s="1" t="n">
        <v>45315</v>
      </c>
      <c r="C155" s="1" t="n">
        <v>46091</v>
      </c>
      <c r="D155" t="inlineStr">
        <is>
          <t>VÄSTMANLANDS LÄN</t>
        </is>
      </c>
      <c r="E155" t="inlineStr">
        <is>
          <t>SURAHAMMAR</t>
        </is>
      </c>
      <c r="F155" t="inlineStr">
        <is>
          <t>Bergvik skog väst AB</t>
        </is>
      </c>
      <c r="G155" t="n">
        <v>1.4</v>
      </c>
      <c r="H155" t="n">
        <v>0</v>
      </c>
      <c r="I155" t="n">
        <v>0</v>
      </c>
      <c r="J155" t="n">
        <v>0</v>
      </c>
      <c r="K155" t="n">
        <v>0</v>
      </c>
      <c r="L155" t="n">
        <v>0</v>
      </c>
      <c r="M155" t="n">
        <v>0</v>
      </c>
      <c r="N155" t="n">
        <v>0</v>
      </c>
      <c r="O155" t="n">
        <v>0</v>
      </c>
      <c r="P155" t="n">
        <v>0</v>
      </c>
      <c r="Q155" t="n">
        <v>0</v>
      </c>
      <c r="R155" s="2" t="inlineStr"/>
    </row>
    <row r="156" ht="15" customHeight="1">
      <c r="A156" t="inlineStr">
        <is>
          <t>A 2660-2024</t>
        </is>
      </c>
      <c r="B156" s="1" t="n">
        <v>45310</v>
      </c>
      <c r="C156" s="1" t="n">
        <v>46091</v>
      </c>
      <c r="D156" t="inlineStr">
        <is>
          <t>VÄSTMANLANDS LÄN</t>
        </is>
      </c>
      <c r="E156" t="inlineStr">
        <is>
          <t>SURAHAMMAR</t>
        </is>
      </c>
      <c r="G156" t="n">
        <v>2.1</v>
      </c>
      <c r="H156" t="n">
        <v>0</v>
      </c>
      <c r="I156" t="n">
        <v>0</v>
      </c>
      <c r="J156" t="n">
        <v>0</v>
      </c>
      <c r="K156" t="n">
        <v>0</v>
      </c>
      <c r="L156" t="n">
        <v>0</v>
      </c>
      <c r="M156" t="n">
        <v>0</v>
      </c>
      <c r="N156" t="n">
        <v>0</v>
      </c>
      <c r="O156" t="n">
        <v>0</v>
      </c>
      <c r="P156" t="n">
        <v>0</v>
      </c>
      <c r="Q156" t="n">
        <v>0</v>
      </c>
      <c r="R156" s="2" t="inlineStr"/>
    </row>
    <row r="157" ht="15" customHeight="1">
      <c r="A157" t="inlineStr">
        <is>
          <t>A 10347-2026</t>
        </is>
      </c>
      <c r="B157" s="1" t="n">
        <v>46076.69101851852</v>
      </c>
      <c r="C157" s="1" t="n">
        <v>46091</v>
      </c>
      <c r="D157" t="inlineStr">
        <is>
          <t>VÄSTMANLANDS LÄN</t>
        </is>
      </c>
      <c r="E157" t="inlineStr">
        <is>
          <t>SURAHAMMAR</t>
        </is>
      </c>
      <c r="F157" t="inlineStr">
        <is>
          <t>Allmännings- och besparingsskogar</t>
        </is>
      </c>
      <c r="G157" t="n">
        <v>3</v>
      </c>
      <c r="H157" t="n">
        <v>0</v>
      </c>
      <c r="I157" t="n">
        <v>0</v>
      </c>
      <c r="J157" t="n">
        <v>0</v>
      </c>
      <c r="K157" t="n">
        <v>0</v>
      </c>
      <c r="L157" t="n">
        <v>0</v>
      </c>
      <c r="M157" t="n">
        <v>0</v>
      </c>
      <c r="N157" t="n">
        <v>0</v>
      </c>
      <c r="O157" t="n">
        <v>0</v>
      </c>
      <c r="P157" t="n">
        <v>0</v>
      </c>
      <c r="Q157" t="n">
        <v>0</v>
      </c>
      <c r="R157" s="2" t="inlineStr"/>
    </row>
    <row r="158" ht="15" customHeight="1">
      <c r="A158" t="inlineStr">
        <is>
          <t>A 41555-2022</t>
        </is>
      </c>
      <c r="B158" s="1" t="n">
        <v>44826</v>
      </c>
      <c r="C158" s="1" t="n">
        <v>46091</v>
      </c>
      <c r="D158" t="inlineStr">
        <is>
          <t>VÄSTMANLANDS LÄN</t>
        </is>
      </c>
      <c r="E158" t="inlineStr">
        <is>
          <t>SURAHAMMAR</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4724-2026</t>
        </is>
      </c>
      <c r="B159" s="1" t="n">
        <v>46048</v>
      </c>
      <c r="C159" s="1" t="n">
        <v>46091</v>
      </c>
      <c r="D159" t="inlineStr">
        <is>
          <t>VÄSTMANLANDS LÄN</t>
        </is>
      </c>
      <c r="E159" t="inlineStr">
        <is>
          <t>SURAHAMMAR</t>
        </is>
      </c>
      <c r="G159" t="n">
        <v>1.7</v>
      </c>
      <c r="H159" t="n">
        <v>0</v>
      </c>
      <c r="I159" t="n">
        <v>0</v>
      </c>
      <c r="J159" t="n">
        <v>0</v>
      </c>
      <c r="K159" t="n">
        <v>0</v>
      </c>
      <c r="L159" t="n">
        <v>0</v>
      </c>
      <c r="M159" t="n">
        <v>0</v>
      </c>
      <c r="N159" t="n">
        <v>0</v>
      </c>
      <c r="O159" t="n">
        <v>0</v>
      </c>
      <c r="P159" t="n">
        <v>0</v>
      </c>
      <c r="Q159" t="n">
        <v>0</v>
      </c>
      <c r="R159" s="2" t="inlineStr"/>
    </row>
    <row r="160" ht="15" customHeight="1">
      <c r="A160" t="inlineStr">
        <is>
          <t>A 4734-2026</t>
        </is>
      </c>
      <c r="B160" s="1" t="n">
        <v>46048</v>
      </c>
      <c r="C160" s="1" t="n">
        <v>46091</v>
      </c>
      <c r="D160" t="inlineStr">
        <is>
          <t>VÄSTMANLANDS LÄN</t>
        </is>
      </c>
      <c r="E160" t="inlineStr">
        <is>
          <t>SURAHAMMAR</t>
        </is>
      </c>
      <c r="G160" t="n">
        <v>0.7</v>
      </c>
      <c r="H160" t="n">
        <v>0</v>
      </c>
      <c r="I160" t="n">
        <v>0</v>
      </c>
      <c r="J160" t="n">
        <v>0</v>
      </c>
      <c r="K160" t="n">
        <v>0</v>
      </c>
      <c r="L160" t="n">
        <v>0</v>
      </c>
      <c r="M160" t="n">
        <v>0</v>
      </c>
      <c r="N160" t="n">
        <v>0</v>
      </c>
      <c r="O160" t="n">
        <v>0</v>
      </c>
      <c r="P160" t="n">
        <v>0</v>
      </c>
      <c r="Q160" t="n">
        <v>0</v>
      </c>
      <c r="R160" s="2" t="inlineStr"/>
    </row>
    <row r="161" ht="15" customHeight="1">
      <c r="A161" t="inlineStr">
        <is>
          <t>A 5567-2022</t>
        </is>
      </c>
      <c r="B161" s="1" t="n">
        <v>44595</v>
      </c>
      <c r="C161" s="1" t="n">
        <v>46091</v>
      </c>
      <c r="D161" t="inlineStr">
        <is>
          <t>VÄSTMANLANDS LÄN</t>
        </is>
      </c>
      <c r="E161" t="inlineStr">
        <is>
          <t>SURAHAMMAR</t>
        </is>
      </c>
      <c r="G161" t="n">
        <v>1.3</v>
      </c>
      <c r="H161" t="n">
        <v>0</v>
      </c>
      <c r="I161" t="n">
        <v>0</v>
      </c>
      <c r="J161" t="n">
        <v>0</v>
      </c>
      <c r="K161" t="n">
        <v>0</v>
      </c>
      <c r="L161" t="n">
        <v>0</v>
      </c>
      <c r="M161" t="n">
        <v>0</v>
      </c>
      <c r="N161" t="n">
        <v>0</v>
      </c>
      <c r="O161" t="n">
        <v>0</v>
      </c>
      <c r="P161" t="n">
        <v>0</v>
      </c>
      <c r="Q161" t="n">
        <v>0</v>
      </c>
      <c r="R161" s="2" t="inlineStr"/>
    </row>
    <row r="162" ht="15" customHeight="1">
      <c r="A162" t="inlineStr">
        <is>
          <t>A 3085-2023</t>
        </is>
      </c>
      <c r="B162" s="1" t="n">
        <v>44946</v>
      </c>
      <c r="C162" s="1" t="n">
        <v>46091</v>
      </c>
      <c r="D162" t="inlineStr">
        <is>
          <t>VÄSTMANLANDS LÄN</t>
        </is>
      </c>
      <c r="E162" t="inlineStr">
        <is>
          <t>SURAHAMMAR</t>
        </is>
      </c>
      <c r="F162" t="inlineStr">
        <is>
          <t>Kyrkan</t>
        </is>
      </c>
      <c r="G162" t="n">
        <v>13</v>
      </c>
      <c r="H162" t="n">
        <v>0</v>
      </c>
      <c r="I162" t="n">
        <v>0</v>
      </c>
      <c r="J162" t="n">
        <v>0</v>
      </c>
      <c r="K162" t="n">
        <v>0</v>
      </c>
      <c r="L162" t="n">
        <v>0</v>
      </c>
      <c r="M162" t="n">
        <v>0</v>
      </c>
      <c r="N162" t="n">
        <v>0</v>
      </c>
      <c r="O162" t="n">
        <v>0</v>
      </c>
      <c r="P162" t="n">
        <v>0</v>
      </c>
      <c r="Q162" t="n">
        <v>0</v>
      </c>
      <c r="R162" s="2" t="inlineStr"/>
    </row>
    <row r="163" ht="15" customHeight="1">
      <c r="A163" t="inlineStr">
        <is>
          <t>A 7848-2022</t>
        </is>
      </c>
      <c r="B163" s="1" t="n">
        <v>44608.58400462963</v>
      </c>
      <c r="C163" s="1" t="n">
        <v>46091</v>
      </c>
      <c r="D163" t="inlineStr">
        <is>
          <t>VÄSTMANLANDS LÄN</t>
        </is>
      </c>
      <c r="E163" t="inlineStr">
        <is>
          <t>SURAHAMMAR</t>
        </is>
      </c>
      <c r="G163" t="n">
        <v>2.1</v>
      </c>
      <c r="H163" t="n">
        <v>0</v>
      </c>
      <c r="I163" t="n">
        <v>0</v>
      </c>
      <c r="J163" t="n">
        <v>0</v>
      </c>
      <c r="K163" t="n">
        <v>0</v>
      </c>
      <c r="L163" t="n">
        <v>0</v>
      </c>
      <c r="M163" t="n">
        <v>0</v>
      </c>
      <c r="N163" t="n">
        <v>0</v>
      </c>
      <c r="O163" t="n">
        <v>0</v>
      </c>
      <c r="P163" t="n">
        <v>0</v>
      </c>
      <c r="Q163" t="n">
        <v>0</v>
      </c>
      <c r="R163" s="2" t="inlineStr"/>
    </row>
    <row r="164" ht="15" customHeight="1">
      <c r="A164" t="inlineStr">
        <is>
          <t>A 16608-2022</t>
        </is>
      </c>
      <c r="B164" s="1" t="n">
        <v>44672</v>
      </c>
      <c r="C164" s="1" t="n">
        <v>46091</v>
      </c>
      <c r="D164" t="inlineStr">
        <is>
          <t>VÄSTMANLANDS LÄN</t>
        </is>
      </c>
      <c r="E164" t="inlineStr">
        <is>
          <t>SURAHAMMAR</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15743-2023</t>
        </is>
      </c>
      <c r="B165" s="1" t="n">
        <v>45021</v>
      </c>
      <c r="C165" s="1" t="n">
        <v>46091</v>
      </c>
      <c r="D165" t="inlineStr">
        <is>
          <t>VÄSTMANLANDS LÄN</t>
        </is>
      </c>
      <c r="E165" t="inlineStr">
        <is>
          <t>SURAHAMMAR</t>
        </is>
      </c>
      <c r="G165" t="n">
        <v>0.5</v>
      </c>
      <c r="H165" t="n">
        <v>0</v>
      </c>
      <c r="I165" t="n">
        <v>0</v>
      </c>
      <c r="J165" t="n">
        <v>0</v>
      </c>
      <c r="K165" t="n">
        <v>0</v>
      </c>
      <c r="L165" t="n">
        <v>0</v>
      </c>
      <c r="M165" t="n">
        <v>0</v>
      </c>
      <c r="N165" t="n">
        <v>0</v>
      </c>
      <c r="O165" t="n">
        <v>0</v>
      </c>
      <c r="P165" t="n">
        <v>0</v>
      </c>
      <c r="Q165" t="n">
        <v>0</v>
      </c>
      <c r="R165" s="2" t="inlineStr"/>
    </row>
    <row r="166" ht="15" customHeight="1">
      <c r="A166" t="inlineStr">
        <is>
          <t>A 15637-2022</t>
        </is>
      </c>
      <c r="B166" s="1" t="n">
        <v>44662.89638888889</v>
      </c>
      <c r="C166" s="1" t="n">
        <v>46091</v>
      </c>
      <c r="D166" t="inlineStr">
        <is>
          <t>VÄSTMANLANDS LÄN</t>
        </is>
      </c>
      <c r="E166" t="inlineStr">
        <is>
          <t>SURAHAMMAR</t>
        </is>
      </c>
      <c r="G166" t="n">
        <v>2.2</v>
      </c>
      <c r="H166" t="n">
        <v>0</v>
      </c>
      <c r="I166" t="n">
        <v>0</v>
      </c>
      <c r="J166" t="n">
        <v>0</v>
      </c>
      <c r="K166" t="n">
        <v>0</v>
      </c>
      <c r="L166" t="n">
        <v>0</v>
      </c>
      <c r="M166" t="n">
        <v>0</v>
      </c>
      <c r="N166" t="n">
        <v>0</v>
      </c>
      <c r="O166" t="n">
        <v>0</v>
      </c>
      <c r="P166" t="n">
        <v>0</v>
      </c>
      <c r="Q166" t="n">
        <v>0</v>
      </c>
      <c r="R166" s="2" t="inlineStr"/>
    </row>
    <row r="167" ht="15" customHeight="1">
      <c r="A167" t="inlineStr">
        <is>
          <t>A 19786-2023</t>
        </is>
      </c>
      <c r="B167" s="1" t="n">
        <v>45050</v>
      </c>
      <c r="C167" s="1" t="n">
        <v>46091</v>
      </c>
      <c r="D167" t="inlineStr">
        <is>
          <t>VÄSTMANLANDS LÄN</t>
        </is>
      </c>
      <c r="E167" t="inlineStr">
        <is>
          <t>SURAHAMMAR</t>
        </is>
      </c>
      <c r="F167" t="inlineStr">
        <is>
          <t>Bergvik skog väst AB</t>
        </is>
      </c>
      <c r="G167" t="n">
        <v>8.1</v>
      </c>
      <c r="H167" t="n">
        <v>0</v>
      </c>
      <c r="I167" t="n">
        <v>0</v>
      </c>
      <c r="J167" t="n">
        <v>0</v>
      </c>
      <c r="K167" t="n">
        <v>0</v>
      </c>
      <c r="L167" t="n">
        <v>0</v>
      </c>
      <c r="M167" t="n">
        <v>0</v>
      </c>
      <c r="N167" t="n">
        <v>0</v>
      </c>
      <c r="O167" t="n">
        <v>0</v>
      </c>
      <c r="P167" t="n">
        <v>0</v>
      </c>
      <c r="Q167" t="n">
        <v>0</v>
      </c>
      <c r="R167" s="2" t="inlineStr"/>
    </row>
    <row r="168">
      <c r="A168" t="inlineStr">
        <is>
          <t>A 7787-2024</t>
        </is>
      </c>
      <c r="B168" s="1" t="n">
        <v>45348</v>
      </c>
      <c r="C168" s="1" t="n">
        <v>46091</v>
      </c>
      <c r="D168" t="inlineStr">
        <is>
          <t>VÄSTMANLANDS LÄN</t>
        </is>
      </c>
      <c r="E168" t="inlineStr">
        <is>
          <t>SURAHAMMAR</t>
        </is>
      </c>
      <c r="G168" t="n">
        <v>1</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2026-03-10T11:16:45Z</dcterms:created>
  <dcterms:modified xmlns:dcterms="http://purl.org/dc/terms/" xmlns:xsi="http://www.w3.org/2001/XMLSchema-instance" xsi:type="dcterms:W3CDTF">2026-03-10T11:16:45Z</dcterms:modified>
</cp:coreProperties>
</file>