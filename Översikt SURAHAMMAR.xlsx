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46249</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46249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46249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46249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46249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46249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46249</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46249</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46249</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46249</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46249</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46249</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46249</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46249</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46249</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46249</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46249</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46249</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46249</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46249</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46249</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46249</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46249</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46249</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46249</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46249</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46249</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46249</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46249</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46249</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46249</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46249</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46249</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46249</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46249</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46249</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46249</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46249</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46249</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63146-2025</t>
        </is>
      </c>
      <c r="B44" t="inlineStr">
        <is>
          <t>avverkningsanmälan</t>
        </is>
      </c>
      <c r="C44" t="inlineStr">
        <is>
          <t>Föryngringsavverkning</t>
        </is>
      </c>
      <c r="D44" s="1" t="n">
        <v>46009</v>
      </c>
      <c r="E44" s="1" t="n">
        <v>46249</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4082-2025</t>
        </is>
      </c>
      <c r="B45" t="inlineStr">
        <is>
          <t>avverkningsanmälan</t>
        </is>
      </c>
      <c r="C45" t="inlineStr">
        <is>
          <t>Föryngringsavverkning</t>
        </is>
      </c>
      <c r="D45" s="1" t="n">
        <v>45684</v>
      </c>
      <c r="E45" s="1" t="n">
        <v>46249</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46249</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42765-2022</t>
        </is>
      </c>
      <c r="B47" t="inlineStr">
        <is>
          <t>avverkningsanmälan</t>
        </is>
      </c>
      <c r="C47" t="inlineStr">
        <is>
          <t>Avverkning för annat ändamål</t>
        </is>
      </c>
      <c r="D47" s="1" t="n">
        <v>44832</v>
      </c>
      <c r="E47" s="1" t="n">
        <v>46249</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32443-2026</t>
        </is>
      </c>
      <c r="B48" t="inlineStr">
        <is>
          <t>avverkningsanmälan</t>
        </is>
      </c>
      <c r="C48" t="inlineStr">
        <is>
          <t>Föryngringsavverkning</t>
        </is>
      </c>
      <c r="D48" s="1" t="n">
        <v>46239</v>
      </c>
      <c r="E48" s="1" t="n">
        <v>46249</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S 1450-2022</t>
        </is>
      </c>
      <c r="B49" t="inlineStr">
        <is>
          <t>samrådsanmälan</t>
        </is>
      </c>
      <c r="C49" t="inlineStr">
        <is>
          <t>Skogsgödsling</t>
        </is>
      </c>
      <c r="D49" s="1" t="n">
        <v>44635</v>
      </c>
      <c r="E49" s="1" t="n">
        <v>46249</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46249</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46249</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46249</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40403-2025</t>
        </is>
      </c>
      <c r="B53" t="inlineStr">
        <is>
          <t>avverkningsanmälan</t>
        </is>
      </c>
      <c r="C53" t="inlineStr">
        <is>
          <t>Föryngringsavverkning</t>
        </is>
      </c>
      <c r="D53" s="1" t="n">
        <v>45895</v>
      </c>
      <c r="E53" s="1" t="n">
        <v>46249</v>
      </c>
      <c r="F53" t="inlineStr">
        <is>
          <t>VÄSTMANLANDS LÄN</t>
        </is>
      </c>
      <c r="G53" t="inlineStr">
        <is>
          <t>SURAHAMMAR</t>
        </is>
      </c>
      <c r="H53" t="inlineStr">
        <is>
          <t>Kommuner</t>
        </is>
      </c>
      <c r="I53" t="n">
        <v>3.9</v>
      </c>
      <c r="J53" t="n">
        <v>1</v>
      </c>
      <c r="K53" t="n">
        <v>0</v>
      </c>
      <c r="L53" t="n">
        <v>0</v>
      </c>
      <c r="M53" t="n">
        <v>1</v>
      </c>
      <c r="N53" t="n">
        <v>0</v>
      </c>
      <c r="O53" t="n">
        <v>0</v>
      </c>
      <c r="P53" t="n">
        <v>0</v>
      </c>
      <c r="Q53" t="n">
        <v>1</v>
      </c>
      <c r="R53" t="n">
        <v>1</v>
      </c>
      <c r="S53" t="n">
        <v>2</v>
      </c>
      <c r="T53" t="n">
        <v>3</v>
      </c>
      <c r="U53" t="n">
        <v>1</v>
      </c>
      <c r="V53" s="2" t="inlineStr">
        <is>
          <t>Igelkott
Gröngöling</t>
        </is>
      </c>
      <c r="W53">
        <f>HYPERLINK("https://klasma.github.io/Logging_1907/artfynd/A 40403-2025 artfynd.xlsx", "A 40403-2025")</f>
        <v/>
      </c>
      <c r="X53">
        <f>HYPERLINK("https://klasma.github.io/Logging_1907/kartor/A 40403-2025 karta.png", "A 40403-2025")</f>
        <v/>
      </c>
      <c r="Y53">
        <f>HYPERLINK("https://klasma.github.io/Logging_1907/kartor_geotiff/A 40403-2025 georefererad karta.tif", "A 40403-2025")</f>
        <v/>
      </c>
      <c r="AA53">
        <f>HYPERLINK("https://klasma.github.io/Logging_1907/klagomål/A 40403-2025 FSC-klagomål.docx", "A 40403-2025")</f>
        <v/>
      </c>
      <c r="AB53">
        <f>HYPERLINK("https://klasma.github.io/Logging_1907/klagomålsmail/A 40403-2025 FSC-klagomål mail.docx", "A 40403-2025")</f>
        <v/>
      </c>
      <c r="AC53">
        <f>HYPERLINK("https://klasma.github.io/Logging_1907/tillsyn/A 40403-2025 tillsynsbegäran.docx", "A 40403-2025")</f>
        <v/>
      </c>
      <c r="AD53">
        <f>HYPERLINK("https://klasma.github.io/Logging_1907/tillsynsmail/A 40403-2025 tillsynsbegäran mail.docx", "A 40403-2025")</f>
        <v/>
      </c>
    </row>
    <row r="54" ht="15" customHeight="1">
      <c r="A54" t="inlineStr">
        <is>
          <t>A 14001-2023</t>
        </is>
      </c>
      <c r="B54" t="inlineStr">
        <is>
          <t>avverkningsanmälan</t>
        </is>
      </c>
      <c r="C54" t="inlineStr">
        <is>
          <t>Föryngringsavverkning</t>
        </is>
      </c>
      <c r="D54" s="1" t="n">
        <v>45007</v>
      </c>
      <c r="E54" s="1" t="n">
        <v>46249</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47453-2024</t>
        </is>
      </c>
      <c r="B55" t="inlineStr">
        <is>
          <t>avverkningsanmälan</t>
        </is>
      </c>
      <c r="C55" t="inlineStr">
        <is>
          <t>Föryngringsavverkning</t>
        </is>
      </c>
      <c r="D55" s="1" t="n">
        <v>45587</v>
      </c>
      <c r="E55" s="1" t="n">
        <v>46249</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46249</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63138-2025</t>
        </is>
      </c>
      <c r="B57" t="inlineStr">
        <is>
          <t>avverkningsanmälan</t>
        </is>
      </c>
      <c r="C57" t="inlineStr">
        <is>
          <t>Föryngringsavverkning</t>
        </is>
      </c>
      <c r="D57" s="1" t="n">
        <v>46009</v>
      </c>
      <c r="E57" s="1" t="n">
        <v>46249</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41204-2023</t>
        </is>
      </c>
      <c r="B58" t="inlineStr">
        <is>
          <t>avverkningsanmälan</t>
        </is>
      </c>
      <c r="C58" t="inlineStr">
        <is>
          <t>Föryngringsavverkning</t>
        </is>
      </c>
      <c r="D58" s="1" t="n">
        <v>45174</v>
      </c>
      <c r="E58" s="1" t="n">
        <v>46249</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30074-2023</t>
        </is>
      </c>
      <c r="B59" t="inlineStr">
        <is>
          <t>avverkningsanmälan</t>
        </is>
      </c>
      <c r="C59" t="inlineStr">
        <is>
          <t>Föryngringsavverkning</t>
        </is>
      </c>
      <c r="D59" s="1" t="n">
        <v>45110</v>
      </c>
      <c r="E59" s="1" t="n">
        <v>46249</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13971-2023</t>
        </is>
      </c>
      <c r="B60" t="inlineStr">
        <is>
          <t>avverkningsanmälan</t>
        </is>
      </c>
      <c r="C60" t="inlineStr">
        <is>
          <t>Föryngringsavverkning</t>
        </is>
      </c>
      <c r="D60" s="1" t="n">
        <v>45007</v>
      </c>
      <c r="E60" s="1" t="n">
        <v>46249</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46249</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46249</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46249</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46249</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46249</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46249</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46249</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46249</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17632-2022</t>
        </is>
      </c>
      <c r="B69" t="inlineStr">
        <is>
          <t>avverkningsanmälan</t>
        </is>
      </c>
      <c r="C69" t="inlineStr">
        <is>
          <t>Föryngringsavverkning</t>
        </is>
      </c>
      <c r="D69" s="1" t="n">
        <v>44680</v>
      </c>
      <c r="E69" s="1" t="n">
        <v>46249</v>
      </c>
      <c r="F69" t="inlineStr">
        <is>
          <t>VÄSTMANLANDS LÄN</t>
        </is>
      </c>
      <c r="G69" t="inlineStr">
        <is>
          <t>SURAHAMMAR</t>
        </is>
      </c>
      <c r="I69" t="n">
        <v>5.2</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HYPERLINK("https://klasma.github.io/Logging_1907/artfynd/A 17632-2022 artfynd.xlsx", "A 17632-2022")</f>
        <v/>
      </c>
      <c r="X69">
        <f>HYPERLINK("https://klasma.github.io/Logging_1907/kartor/A 17632-2022 karta.png", "A 17632-2022")</f>
        <v/>
      </c>
      <c r="Y69">
        <f>HYPERLINK("https://klasma.github.io/Logging_1907/kartor_geotiff/A 17632-2022 georefererad karta.tif", "A 17632-2022")</f>
        <v/>
      </c>
      <c r="AA69">
        <f>HYPERLINK("https://klasma.github.io/Logging_1907/klagomål/A 17632-2022 FSC-klagomål.docx", "A 17632-2022")</f>
        <v/>
      </c>
      <c r="AB69">
        <f>HYPERLINK("https://klasma.github.io/Logging_1907/klagomålsmail/A 17632-2022 FSC-klagomål mail.docx", "A 17632-2022")</f>
        <v/>
      </c>
      <c r="AC69">
        <f>HYPERLINK("https://klasma.github.io/Logging_1907/tillsyn/A 17632-2022 tillsynsbegäran.docx", "A 17632-2022")</f>
        <v/>
      </c>
      <c r="AD69">
        <f>HYPERLINK("https://klasma.github.io/Logging_1907/tillsynsmail/A 17632-2022 tillsynsbegäran mail.docx", "A 17632-2022")</f>
        <v/>
      </c>
    </row>
    <row r="70" ht="15" customHeight="1">
      <c r="A70" t="inlineStr">
        <is>
          <t>A 8553-2023</t>
        </is>
      </c>
      <c r="B70" t="inlineStr">
        <is>
          <t>avverkningsanmälan</t>
        </is>
      </c>
      <c r="C70" t="inlineStr">
        <is>
          <t>Avverkning för att bevara och utveckla /försöksver</t>
        </is>
      </c>
      <c r="D70" s="1" t="n">
        <v>44977</v>
      </c>
      <c r="E70" s="1" t="n">
        <v>46249</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16013-2023</t>
        </is>
      </c>
      <c r="B71" t="inlineStr">
        <is>
          <t>avverkningsanmälan</t>
        </is>
      </c>
      <c r="C71" t="inlineStr">
        <is>
          <t>Föryngringsavverkning</t>
        </is>
      </c>
      <c r="D71" s="1" t="n">
        <v>45026</v>
      </c>
      <c r="E71" s="1" t="n">
        <v>46249</v>
      </c>
      <c r="F71" t="inlineStr">
        <is>
          <t>VÄSTMANLANDS LÄN</t>
        </is>
      </c>
      <c r="G71" t="inlineStr">
        <is>
          <t>SURAHAMMAR</t>
        </is>
      </c>
      <c r="I71" t="n">
        <v>3.9</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HYPERLINK("https://klasma.github.io/Logging_1907/artfynd/A 16013-2023 artfynd.xlsx", "A 16013-2023")</f>
        <v/>
      </c>
      <c r="X71">
        <f>HYPERLINK("https://klasma.github.io/Logging_1907/kartor/A 16013-2023 karta.png", "A 16013-2023")</f>
        <v/>
      </c>
      <c r="Y71">
        <f>HYPERLINK("https://klasma.github.io/Logging_1907/kartor_geotiff/A 16013-2023 georefererad karta.tif", "A 16013-2023")</f>
        <v/>
      </c>
      <c r="AA71">
        <f>HYPERLINK("https://klasma.github.io/Logging_1907/klagomål/A 16013-2023 FSC-klagomål.docx", "A 16013-2023")</f>
        <v/>
      </c>
      <c r="AB71">
        <f>HYPERLINK("https://klasma.github.io/Logging_1907/klagomålsmail/A 16013-2023 FSC-klagomål mail.docx", "A 16013-2023")</f>
        <v/>
      </c>
      <c r="AC71">
        <f>HYPERLINK("https://klasma.github.io/Logging_1907/tillsyn/A 16013-2023 tillsynsbegäran.docx", "A 16013-2023")</f>
        <v/>
      </c>
      <c r="AD71">
        <f>HYPERLINK("https://klasma.github.io/Logging_1907/tillsynsmail/A 16013-2023 tillsynsbegäran mail.docx", "A 16013-2023")</f>
        <v/>
      </c>
    </row>
    <row r="72" ht="15" customHeight="1">
      <c r="A72" t="inlineStr">
        <is>
          <t>A 34955-2022</t>
        </is>
      </c>
      <c r="B72" t="inlineStr">
        <is>
          <t>avverkningsanmälan</t>
        </is>
      </c>
      <c r="C72" t="inlineStr">
        <is>
          <t>Föryngringsavverkning</t>
        </is>
      </c>
      <c r="D72" s="1" t="n">
        <v>44796</v>
      </c>
      <c r="E72" s="1" t="n">
        <v>46249</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46249</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46249</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46249</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46249</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46249</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46249</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31589-2026</t>
        </is>
      </c>
      <c r="B79" t="inlineStr">
        <is>
          <t>avverkningsanmälan</t>
        </is>
      </c>
      <c r="C79" t="inlineStr">
        <is>
          <t>Föryngringsavverkning</t>
        </is>
      </c>
      <c r="D79" s="1" t="n">
        <v>46224</v>
      </c>
      <c r="E79" s="1" t="n">
        <v>46249</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44356-2024</t>
        </is>
      </c>
      <c r="B80" t="inlineStr">
        <is>
          <t>avverkningsanmälan</t>
        </is>
      </c>
      <c r="C80" t="inlineStr">
        <is>
          <t>Föryngringsavverkning</t>
        </is>
      </c>
      <c r="D80" s="1" t="n">
        <v>45573</v>
      </c>
      <c r="E80" s="1" t="n">
        <v>46249</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34584-2025</t>
        </is>
      </c>
      <c r="B81" t="inlineStr">
        <is>
          <t>avverkningsanmälan</t>
        </is>
      </c>
      <c r="C81" t="inlineStr">
        <is>
          <t>Föryngringsavverkning</t>
        </is>
      </c>
      <c r="D81" s="1" t="n">
        <v>45846</v>
      </c>
      <c r="E81" s="1" t="n">
        <v>46249</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46249</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46249</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46249</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46249</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46249</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46249</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46249</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35682-2022</t>
        </is>
      </c>
      <c r="B89" t="inlineStr">
        <is>
          <t>avverkningsanmälan</t>
        </is>
      </c>
      <c r="C89" t="inlineStr">
        <is>
          <t>Föryngringsavverkning</t>
        </is>
      </c>
      <c r="D89" s="1" t="n">
        <v>44799</v>
      </c>
      <c r="E89" s="1" t="n">
        <v>46249</v>
      </c>
      <c r="F89" t="inlineStr">
        <is>
          <t>VÄSTMANLANDS LÄN</t>
        </is>
      </c>
      <c r="G89" t="inlineStr">
        <is>
          <t>SURAHAMMAR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21509-2024</t>
        </is>
      </c>
      <c r="B90" t="inlineStr">
        <is>
          <t>avverkningsanmälan</t>
        </is>
      </c>
      <c r="C90" t="inlineStr">
        <is>
          <t>Föryngringsavverkning</t>
        </is>
      </c>
      <c r="D90" s="1" t="n">
        <v>45441</v>
      </c>
      <c r="E90" s="1" t="n">
        <v>46249</v>
      </c>
      <c r="F90" t="inlineStr">
        <is>
          <t>VÄSTMANLANDS LÄN</t>
        </is>
      </c>
      <c r="G90" t="inlineStr">
        <is>
          <t>SURAHAMMAR</t>
        </is>
      </c>
      <c r="H90" t="inlineStr">
        <is>
          <t>Bergvik skog väst AB</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42832-2022</t>
        </is>
      </c>
      <c r="B91" t="inlineStr">
        <is>
          <t>avverkningsanmälan</t>
        </is>
      </c>
      <c r="C91" t="inlineStr">
        <is>
          <t>Avverkning för annat ändamål</t>
        </is>
      </c>
      <c r="D91" s="1" t="n">
        <v>44832</v>
      </c>
      <c r="E91" s="1" t="n">
        <v>46249</v>
      </c>
      <c r="F91" t="inlineStr">
        <is>
          <t>VÄSTMANLANDS LÄN</t>
        </is>
      </c>
      <c r="G91" t="inlineStr">
        <is>
          <t>SURAHAMMAR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42841-2022</t>
        </is>
      </c>
      <c r="B92" t="inlineStr">
        <is>
          <t>avverkningsanmälan</t>
        </is>
      </c>
      <c r="C92" t="inlineStr">
        <is>
          <t>Avverkning för annat ändamål</t>
        </is>
      </c>
      <c r="D92" s="1" t="n">
        <v>44832</v>
      </c>
      <c r="E92" s="1" t="n">
        <v>46249</v>
      </c>
      <c r="F92" t="inlineStr">
        <is>
          <t>VÄSTMANLANDS LÄN</t>
        </is>
      </c>
      <c r="G92" t="inlineStr">
        <is>
          <t>SURAHAMMAR</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24158-2023</t>
        </is>
      </c>
      <c r="B93" t="inlineStr">
        <is>
          <t>avverkningsanmälan</t>
        </is>
      </c>
      <c r="C93" t="inlineStr">
        <is>
          <t>Föryngringsavverkning</t>
        </is>
      </c>
      <c r="D93" s="1" t="n">
        <v>45079</v>
      </c>
      <c r="E93" s="1" t="n">
        <v>46249</v>
      </c>
      <c r="F93" t="inlineStr">
        <is>
          <t>VÄSTMANLANDS LÄN</t>
        </is>
      </c>
      <c r="G93" t="inlineStr">
        <is>
          <t>SURAHAMMAR</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46249</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46249</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37954-2025</t>
        </is>
      </c>
      <c r="B96" t="inlineStr">
        <is>
          <t>avverkningsanmälan</t>
        </is>
      </c>
      <c r="C96" t="inlineStr">
        <is>
          <t>Föryngringsavverkning</t>
        </is>
      </c>
      <c r="D96" s="1" t="n">
        <v>45881</v>
      </c>
      <c r="E96" s="1" t="n">
        <v>46249</v>
      </c>
      <c r="F96" t="inlineStr">
        <is>
          <t>VÄSTMANLANDS LÄN</t>
        </is>
      </c>
      <c r="G96" t="inlineStr">
        <is>
          <t>SURAHAMMAR</t>
        </is>
      </c>
      <c r="I96" t="n">
        <v>9.5</v>
      </c>
      <c r="J96" t="n">
        <v>0</v>
      </c>
      <c r="K96" t="n">
        <v>0</v>
      </c>
      <c r="L96" t="n">
        <v>0</v>
      </c>
      <c r="M96" t="n">
        <v>0</v>
      </c>
      <c r="N96" t="n">
        <v>0</v>
      </c>
      <c r="O96" t="n">
        <v>0</v>
      </c>
      <c r="P96" t="n">
        <v>0</v>
      </c>
      <c r="Q96" t="n">
        <v>0</v>
      </c>
      <c r="R96" t="n">
        <v>0</v>
      </c>
      <c r="S96" t="n">
        <v>0</v>
      </c>
      <c r="T96" t="n">
        <v>0</v>
      </c>
      <c r="U96" t="n">
        <v>0</v>
      </c>
      <c r="V96" s="2" t="inlineStr"/>
    </row>
    <row r="97" ht="15" customHeight="1">
      <c r="A97" t="inlineStr">
        <is>
          <t>A 2867-2024</t>
        </is>
      </c>
      <c r="B97" t="inlineStr">
        <is>
          <t>avverkningsanmälan</t>
        </is>
      </c>
      <c r="C97" t="inlineStr">
        <is>
          <t>Föryngringsavverkning</t>
        </is>
      </c>
      <c r="D97" s="1" t="n">
        <v>45315</v>
      </c>
      <c r="E97" s="1" t="n">
        <v>46249</v>
      </c>
      <c r="F97" t="inlineStr">
        <is>
          <t>VÄSTMANLANDS LÄN</t>
        </is>
      </c>
      <c r="G97" t="inlineStr">
        <is>
          <t>SURAHAMMAR</t>
        </is>
      </c>
      <c r="H97" t="inlineStr">
        <is>
          <t>Bergvik skog väst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2660-2024</t>
        </is>
      </c>
      <c r="B98" t="inlineStr">
        <is>
          <t>avverkningsanmälan</t>
        </is>
      </c>
      <c r="C98" t="inlineStr">
        <is>
          <t>Föryngringsavverkning</t>
        </is>
      </c>
      <c r="D98" s="1" t="n">
        <v>45310</v>
      </c>
      <c r="E98" s="1" t="n">
        <v>46249</v>
      </c>
      <c r="F98" t="inlineStr">
        <is>
          <t>VÄSTMANLANDS LÄN</t>
        </is>
      </c>
      <c r="G98" t="inlineStr">
        <is>
          <t>SURAHAMMAR</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10347-2026</t>
        </is>
      </c>
      <c r="B99" t="inlineStr">
        <is>
          <t>avverkningsanmälan</t>
        </is>
      </c>
      <c r="C99" t="inlineStr">
        <is>
          <t>Föryngringsavverkning</t>
        </is>
      </c>
      <c r="D99" s="1" t="n">
        <v>46076</v>
      </c>
      <c r="E99" s="1" t="n">
        <v>46249</v>
      </c>
      <c r="F99" t="inlineStr">
        <is>
          <t>VÄSTMANLANDS LÄN</t>
        </is>
      </c>
      <c r="G99" t="inlineStr">
        <is>
          <t>SURAHAMMAR</t>
        </is>
      </c>
      <c r="H99" t="inlineStr">
        <is>
          <t>Allmännings- och besparingsskogar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46249</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5567-2022</t>
        </is>
      </c>
      <c r="B101" t="inlineStr">
        <is>
          <t>avverkningsanmälan</t>
        </is>
      </c>
      <c r="C101" t="inlineStr">
        <is>
          <t>Föryngringsavverkning</t>
        </is>
      </c>
      <c r="D101" s="1" t="n">
        <v>44595</v>
      </c>
      <c r="E101" s="1" t="n">
        <v>46249</v>
      </c>
      <c r="F101" t="inlineStr">
        <is>
          <t>VÄSTMANLANDS LÄN</t>
        </is>
      </c>
      <c r="G101" t="inlineStr">
        <is>
          <t>SURAHAMMAR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12841-2026</t>
        </is>
      </c>
      <c r="B102" t="inlineStr">
        <is>
          <t>avverkningsanmälan</t>
        </is>
      </c>
      <c r="C102" t="inlineStr">
        <is>
          <t>Föryngringsavverkning</t>
        </is>
      </c>
      <c r="D102" s="1" t="n">
        <v>46091</v>
      </c>
      <c r="E102" s="1" t="n">
        <v>46249</v>
      </c>
      <c r="F102" t="inlineStr">
        <is>
          <t>VÄSTMANLANDS LÄN</t>
        </is>
      </c>
      <c r="G102" t="inlineStr">
        <is>
          <t>SURAHAMMAR</t>
        </is>
      </c>
      <c r="H102" t="inlineStr">
        <is>
          <t>Bergvik skog väst AB</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19782-2023</t>
        </is>
      </c>
      <c r="B103" t="inlineStr">
        <is>
          <t>avverkningsanmälan</t>
        </is>
      </c>
      <c r="C103" t="inlineStr">
        <is>
          <t>Föryngringsavverkning</t>
        </is>
      </c>
      <c r="D103" s="1" t="n">
        <v>45050</v>
      </c>
      <c r="E103" s="1" t="n">
        <v>46249</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46249</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46249</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46249</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3085-2023</t>
        </is>
      </c>
      <c r="B107" t="inlineStr">
        <is>
          <t>avverkningsanmälan</t>
        </is>
      </c>
      <c r="C107" t="inlineStr">
        <is>
          <t>Föryngringsavverkning</t>
        </is>
      </c>
      <c r="D107" s="1" t="n">
        <v>44946</v>
      </c>
      <c r="E107" s="1" t="n">
        <v>46249</v>
      </c>
      <c r="F107" t="inlineStr">
        <is>
          <t>VÄSTMANLANDS LÄN</t>
        </is>
      </c>
      <c r="G107" t="inlineStr">
        <is>
          <t>SURAHAMMAR</t>
        </is>
      </c>
      <c r="H107" t="inlineStr">
        <is>
          <t>Kyrkan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11728-2023</t>
        </is>
      </c>
      <c r="B108" t="inlineStr">
        <is>
          <t>avverkningsanmälan</t>
        </is>
      </c>
      <c r="C108" t="inlineStr">
        <is>
          <t>Avverkning för att bevara och utveckla /försöksver</t>
        </is>
      </c>
      <c r="D108" s="1" t="n">
        <v>44993</v>
      </c>
      <c r="E108" s="1" t="n">
        <v>46249</v>
      </c>
      <c r="F108" t="inlineStr">
        <is>
          <t>VÄSTMANLANDS LÄN</t>
        </is>
      </c>
      <c r="G108" t="inlineStr">
        <is>
          <t>SURAHAMMAR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20904-2023</t>
        </is>
      </c>
      <c r="B109" t="inlineStr">
        <is>
          <t>avverkningsanmälan</t>
        </is>
      </c>
      <c r="C109" t="inlineStr">
        <is>
          <t>Avverkning för att bevara och utveckla /försöksver</t>
        </is>
      </c>
      <c r="D109" s="1" t="n">
        <v>45060</v>
      </c>
      <c r="E109" s="1" t="n">
        <v>46249</v>
      </c>
      <c r="F109" t="inlineStr">
        <is>
          <t>VÄSTMANLANDS LÄN</t>
        </is>
      </c>
      <c r="G109" t="inlineStr">
        <is>
          <t>SURAHAMMAR</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7848-2022</t>
        </is>
      </c>
      <c r="B110" t="inlineStr">
        <is>
          <t>avverkningsanmälan</t>
        </is>
      </c>
      <c r="C110" t="inlineStr">
        <is>
          <t>Föryngringsavverkning</t>
        </is>
      </c>
      <c r="D110" s="1" t="n">
        <v>44608</v>
      </c>
      <c r="E110" s="1" t="n">
        <v>46249</v>
      </c>
      <c r="F110" t="inlineStr">
        <is>
          <t>VÄSTMANLANDS LÄN</t>
        </is>
      </c>
      <c r="G110" t="inlineStr">
        <is>
          <t>SURAHAMMAR</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46249</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46249</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15743-2023</t>
        </is>
      </c>
      <c r="B113" t="inlineStr">
        <is>
          <t>avverkningsanmälan</t>
        </is>
      </c>
      <c r="C113" t="inlineStr">
        <is>
          <t>Föryngringsavverkning</t>
        </is>
      </c>
      <c r="D113" s="1" t="n">
        <v>45021</v>
      </c>
      <c r="E113" s="1" t="n">
        <v>46249</v>
      </c>
      <c r="F113" t="inlineStr">
        <is>
          <t>VÄSTMANLANDS LÄN</t>
        </is>
      </c>
      <c r="G113" t="inlineStr">
        <is>
          <t>SURAHAMMAR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46249</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46249</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46249</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46249</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46249</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15637-2022</t>
        </is>
      </c>
      <c r="B119" t="inlineStr">
        <is>
          <t>avverkningsanmälan</t>
        </is>
      </c>
      <c r="C119" t="inlineStr">
        <is>
          <t>Föryngringsavverkning</t>
        </is>
      </c>
      <c r="D119" s="1" t="n">
        <v>44662</v>
      </c>
      <c r="E119" s="1" t="n">
        <v>46249</v>
      </c>
      <c r="F119" t="inlineStr">
        <is>
          <t>VÄSTMANLANDS LÄN</t>
        </is>
      </c>
      <c r="G119" t="inlineStr">
        <is>
          <t>SURAHAMMAR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19786-2023</t>
        </is>
      </c>
      <c r="B120" t="inlineStr">
        <is>
          <t>avverkningsanmälan</t>
        </is>
      </c>
      <c r="C120" t="inlineStr">
        <is>
          <t>Föryngringsavverkning</t>
        </is>
      </c>
      <c r="D120" s="1" t="n">
        <v>45050</v>
      </c>
      <c r="E120" s="1" t="n">
        <v>46249</v>
      </c>
      <c r="F120" t="inlineStr">
        <is>
          <t>VÄSTMANLANDS LÄN</t>
        </is>
      </c>
      <c r="G120" t="inlineStr">
        <is>
          <t>SURAHAMMAR</t>
        </is>
      </c>
      <c r="H120" t="inlineStr">
        <is>
          <t>Bergvik skog väst AB</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46249</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46249</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10244-2026</t>
        </is>
      </c>
      <c r="B123" t="inlineStr">
        <is>
          <t>avverkningsanmälan</t>
        </is>
      </c>
      <c r="C123" t="inlineStr">
        <is>
          <t>Föryngringsavverkning</t>
        </is>
      </c>
      <c r="D123" s="1" t="n">
        <v>46076</v>
      </c>
      <c r="E123" s="1" t="n">
        <v>46249</v>
      </c>
      <c r="F123" t="inlineStr">
        <is>
          <t>VÄSTMANLANDS LÄN</t>
        </is>
      </c>
      <c r="G123" t="inlineStr">
        <is>
          <t>SURAHAMMAR</t>
        </is>
      </c>
      <c r="H123" t="inlineStr">
        <is>
          <t>Allmännings- och besparingsskogar</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10249-2026</t>
        </is>
      </c>
      <c r="B124" t="inlineStr">
        <is>
          <t>avverkningsanmälan</t>
        </is>
      </c>
      <c r="C124" t="inlineStr">
        <is>
          <t>Föryngringsavverkning</t>
        </is>
      </c>
      <c r="D124" s="1" t="n">
        <v>46076</v>
      </c>
      <c r="E124" s="1" t="n">
        <v>46249</v>
      </c>
      <c r="F124" t="inlineStr">
        <is>
          <t>VÄSTMANLANDS LÄN</t>
        </is>
      </c>
      <c r="G124" t="inlineStr">
        <is>
          <t>SURAHAMMAR</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10562-2026</t>
        </is>
      </c>
      <c r="B125" t="inlineStr">
        <is>
          <t>avverkningsanmälan</t>
        </is>
      </c>
      <c r="C125" t="inlineStr">
        <is>
          <t>Föryngringsavverkning</t>
        </is>
      </c>
      <c r="D125" s="1" t="n">
        <v>46077</v>
      </c>
      <c r="E125" s="1" t="n">
        <v>46249</v>
      </c>
      <c r="F125" t="inlineStr">
        <is>
          <t>VÄSTMANLANDS LÄN</t>
        </is>
      </c>
      <c r="G125" t="inlineStr">
        <is>
          <t>SURAHAMMAR</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49058-2024</t>
        </is>
      </c>
      <c r="B126" t="inlineStr">
        <is>
          <t>avverkningsanmälan</t>
        </is>
      </c>
      <c r="C126" t="inlineStr">
        <is>
          <t>Föryngringsavverkning</t>
        </is>
      </c>
      <c r="D126" s="1" t="n">
        <v>45594</v>
      </c>
      <c r="E126" s="1" t="n">
        <v>46249</v>
      </c>
      <c r="F126" t="inlineStr">
        <is>
          <t>VÄSTMANLANDS LÄN</t>
        </is>
      </c>
      <c r="G126" t="inlineStr">
        <is>
          <t>SURAHAMMAR</t>
        </is>
      </c>
      <c r="H126" t="inlineStr">
        <is>
          <t>Sveaskog</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7787-2024</t>
        </is>
      </c>
      <c r="B127" t="inlineStr">
        <is>
          <t>avverkningsanmälan</t>
        </is>
      </c>
      <c r="C127" t="inlineStr">
        <is>
          <t>Föryngringsavverkning</t>
        </is>
      </c>
      <c r="D127" s="1" t="n">
        <v>45348</v>
      </c>
      <c r="E127" s="1" t="n">
        <v>46249</v>
      </c>
      <c r="F127" t="inlineStr">
        <is>
          <t>VÄSTMANLANDS LÄN</t>
        </is>
      </c>
      <c r="G127" t="inlineStr">
        <is>
          <t>SURAHAMMAR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46249</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46249</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24665-2023</t>
        </is>
      </c>
      <c r="B130" t="inlineStr">
        <is>
          <t>avverkningsanmälan</t>
        </is>
      </c>
      <c r="C130" t="inlineStr">
        <is>
          <t>Föryngringsavverkning</t>
        </is>
      </c>
      <c r="D130" s="1" t="n">
        <v>45084</v>
      </c>
      <c r="E130" s="1" t="n">
        <v>46249</v>
      </c>
      <c r="F130" t="inlineStr">
        <is>
          <t>VÄSTMANLANDS LÄN</t>
        </is>
      </c>
      <c r="G130" t="inlineStr">
        <is>
          <t>SURAHAMMAR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46249</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15739-2023</t>
        </is>
      </c>
      <c r="B132" t="inlineStr">
        <is>
          <t>avverkningsanmälan</t>
        </is>
      </c>
      <c r="C132" t="inlineStr">
        <is>
          <t>Föryngringsavverkning</t>
        </is>
      </c>
      <c r="D132" s="1" t="n">
        <v>45021</v>
      </c>
      <c r="E132" s="1" t="n">
        <v>46249</v>
      </c>
      <c r="F132" t="inlineStr">
        <is>
          <t>VÄSTMANLANDS LÄN</t>
        </is>
      </c>
      <c r="G132" t="inlineStr">
        <is>
          <t>SURAHAMMAR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72367-2021</t>
        </is>
      </c>
      <c r="B133" t="inlineStr">
        <is>
          <t>avverkningsanmälan</t>
        </is>
      </c>
      <c r="C133" t="inlineStr">
        <is>
          <t>Föryngringsavverkning</t>
        </is>
      </c>
      <c r="D133" s="1" t="n">
        <v>44545</v>
      </c>
      <c r="E133" s="1" t="n">
        <v>46249</v>
      </c>
      <c r="F133" t="inlineStr">
        <is>
          <t>VÄSTMANLANDS LÄN</t>
        </is>
      </c>
      <c r="G133" t="inlineStr">
        <is>
          <t>SURAHAMMAR</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42714-2022</t>
        </is>
      </c>
      <c r="B134" t="inlineStr">
        <is>
          <t>avverkningsanmälan</t>
        </is>
      </c>
      <c r="C134" t="inlineStr">
        <is>
          <t>Föryngringsavverkning</t>
        </is>
      </c>
      <c r="D134" s="1" t="n">
        <v>44832</v>
      </c>
      <c r="E134" s="1" t="n">
        <v>46249</v>
      </c>
      <c r="F134" t="inlineStr">
        <is>
          <t>VÄSTMANLANDS LÄN</t>
        </is>
      </c>
      <c r="G134" t="inlineStr">
        <is>
          <t>SURAHAMMAR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19099-2022</t>
        </is>
      </c>
      <c r="B135" t="inlineStr">
        <is>
          <t>avverkningsanmälan</t>
        </is>
      </c>
      <c r="C135" t="inlineStr">
        <is>
          <t>Föryngringsavverkning</t>
        </is>
      </c>
      <c r="D135" s="1" t="n">
        <v>44691</v>
      </c>
      <c r="E135" s="1" t="n">
        <v>46249</v>
      </c>
      <c r="F135" t="inlineStr">
        <is>
          <t>VÄSTMANLANDS LÄN</t>
        </is>
      </c>
      <c r="G135" t="inlineStr">
        <is>
          <t>SURAHAMMAR</t>
        </is>
      </c>
      <c r="H135" t="inlineStr">
        <is>
          <t>Övriga Aktiebolag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46249</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32223-2026</t>
        </is>
      </c>
      <c r="B137" t="inlineStr">
        <is>
          <t>avverkningsanmälan</t>
        </is>
      </c>
      <c r="C137" t="inlineStr">
        <is>
          <t>Föryngringsavverkning</t>
        </is>
      </c>
      <c r="D137" s="1" t="n">
        <v>46237</v>
      </c>
      <c r="E137" s="1" t="n">
        <v>46249</v>
      </c>
      <c r="F137" t="inlineStr">
        <is>
          <t>VÄSTMANLANDS LÄN</t>
        </is>
      </c>
      <c r="G137" t="inlineStr">
        <is>
          <t>SURAHAMMAR</t>
        </is>
      </c>
      <c r="H137" t="inlineStr">
        <is>
          <t>Allmännings- och besparingsskogar</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32501-2026</t>
        </is>
      </c>
      <c r="B138" t="inlineStr">
        <is>
          <t>avverkningsanmälan</t>
        </is>
      </c>
      <c r="C138" t="inlineStr">
        <is>
          <t>Avverkning för annat ändamål</t>
        </is>
      </c>
      <c r="D138" s="1" t="n">
        <v>46239</v>
      </c>
      <c r="E138" s="1" t="n">
        <v>46249</v>
      </c>
      <c r="F138" t="inlineStr">
        <is>
          <t>VÄSTMANLANDS LÄN</t>
        </is>
      </c>
      <c r="G138" t="inlineStr">
        <is>
          <t>SURAHAMMAR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22628-2026</t>
        </is>
      </c>
      <c r="B139" t="inlineStr">
        <is>
          <t>avverkningsanmälan</t>
        </is>
      </c>
      <c r="C139" t="inlineStr">
        <is>
          <t>Föryngringsavverkning</t>
        </is>
      </c>
      <c r="D139" s="1" t="n">
        <v>46155</v>
      </c>
      <c r="E139" s="1" t="n">
        <v>46249</v>
      </c>
      <c r="F139" t="inlineStr">
        <is>
          <t>VÄSTMANLANDS LÄN</t>
        </is>
      </c>
      <c r="G139" t="inlineStr">
        <is>
          <t>SURAHAMMAR</t>
        </is>
      </c>
      <c r="H139" t="inlineStr">
        <is>
          <t>Sveaskog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46249</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c r="A141" t="inlineStr">
        <is>
          <t>S 3542-2022</t>
        </is>
      </c>
      <c r="B141" t="inlineStr">
        <is>
          <t>samrådsanmälan</t>
        </is>
      </c>
      <c r="C141" t="inlineStr">
        <is>
          <t>Skogsbilväg</t>
        </is>
      </c>
      <c r="D141" s="1" t="n">
        <v>44734</v>
      </c>
      <c r="E141" s="1" t="n">
        <v>46249</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2026-08-15T08:26:52Z</dcterms:created>
  <dcterms:modified xmlns:dcterms="http://purl.org/dc/terms/" xmlns:xsi="http://www.w3.org/2001/XMLSchema-instance" xsi:type="dcterms:W3CDTF">2026-08-15T08:26:53Z</dcterms:modified>
</cp:coreProperties>
</file>