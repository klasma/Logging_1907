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46316</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46316</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46316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46316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46316</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46316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46316</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46316</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46316</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46316</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46316</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46316</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46316</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20389-2024</t>
        </is>
      </c>
      <c r="B17" t="inlineStr">
        <is>
          <t>avverkningsanmälan</t>
        </is>
      </c>
      <c r="C17" t="inlineStr">
        <is>
          <t>Föryngringsavverkning</t>
        </is>
      </c>
      <c r="D17" s="1" t="n">
        <v>45435</v>
      </c>
      <c r="E17" s="1" t="n">
        <v>46316</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46316</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46316</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46316</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46316</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20391-2024</t>
        </is>
      </c>
      <c r="B22" t="inlineStr">
        <is>
          <t>avverkningsanmälan</t>
        </is>
      </c>
      <c r="C22" t="inlineStr">
        <is>
          <t>Föryngringsavverkning</t>
        </is>
      </c>
      <c r="D22" s="1" t="n">
        <v>45435</v>
      </c>
      <c r="E22" s="1" t="n">
        <v>46316</v>
      </c>
      <c r="F22" t="inlineStr">
        <is>
          <t>VÄSTMANLANDS LÄN</t>
        </is>
      </c>
      <c r="G22" t="inlineStr">
        <is>
          <t>SURAHAMMAR</t>
        </is>
      </c>
      <c r="I22" t="n">
        <v>1.5</v>
      </c>
      <c r="J22" t="n">
        <v>5</v>
      </c>
      <c r="K22" t="n">
        <v>2</v>
      </c>
      <c r="L22" t="n">
        <v>6</v>
      </c>
      <c r="M22" t="n">
        <v>0</v>
      </c>
      <c r="N22" t="n">
        <v>0</v>
      </c>
      <c r="O22" t="n">
        <v>0</v>
      </c>
      <c r="P22" t="n">
        <v>0</v>
      </c>
      <c r="Q22" t="n">
        <v>6</v>
      </c>
      <c r="R22" t="n">
        <v>0</v>
      </c>
      <c r="S22" t="n">
        <v>10</v>
      </c>
      <c r="T22" t="n">
        <v>11</v>
      </c>
      <c r="U22" t="n">
        <v>2</v>
      </c>
      <c r="V22" s="2" t="inlineStr">
        <is>
          <t>Duvhök
Kattfotslav
Sparvuggla
Talltita
Vedtrappmossa
Vitfläckig guldvinge
Stubbspretmossa
Vedticka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A 22907-2023</t>
        </is>
      </c>
      <c r="B23" t="inlineStr">
        <is>
          <t>avverkningsanmälan</t>
        </is>
      </c>
      <c r="C23" t="inlineStr">
        <is>
          <t>Föryngringsavverkning</t>
        </is>
      </c>
      <c r="D23" s="1" t="n">
        <v>45070</v>
      </c>
      <c r="E23" s="1" t="n">
        <v>46316</v>
      </c>
      <c r="F23" t="inlineStr">
        <is>
          <t>VÄSTMANLANDS LÄN</t>
        </is>
      </c>
      <c r="G23" t="inlineStr">
        <is>
          <t>SURAHAMMAR</t>
        </is>
      </c>
      <c r="H23" t="inlineStr">
        <is>
          <t>Bergvik skog väst AB</t>
        </is>
      </c>
      <c r="I23" t="n">
        <v>8.300000000000001</v>
      </c>
      <c r="J23" t="n">
        <v>7</v>
      </c>
      <c r="K23" t="n">
        <v>1</v>
      </c>
      <c r="L23" t="n">
        <v>3</v>
      </c>
      <c r="M23" t="n">
        <v>0</v>
      </c>
      <c r="N23" t="n">
        <v>0</v>
      </c>
      <c r="O23" t="n">
        <v>0</v>
      </c>
      <c r="P23" t="n">
        <v>0</v>
      </c>
      <c r="Q23" t="n">
        <v>3</v>
      </c>
      <c r="R23" t="n">
        <v>0</v>
      </c>
      <c r="S23" t="n">
        <v>10</v>
      </c>
      <c r="T23" t="n">
        <v>19</v>
      </c>
      <c r="U23" t="n">
        <v>9</v>
      </c>
      <c r="V23" s="2" t="inlineStr">
        <is>
          <t>Slåtterfibbla
Svinrot
Talltita
Barkticka
Mattlummer
Spillkråka
Kungsfågel
Fläcknycklar
Grönvit nattviol
Revlummer</t>
        </is>
      </c>
      <c r="W23">
        <f>HYPERLINK("https://klasma.github.io/Logging_1907/artfynd/A 22907-2023 artfynd.xlsx", "A 22907-2023")</f>
        <v/>
      </c>
      <c r="X23">
        <f>HYPERLINK("https://klasma.github.io/Logging_1907/kartor/A 22907-2023 karta.png", "A 22907-2023")</f>
        <v/>
      </c>
      <c r="Y23">
        <f>HYPERLINK("https://klasma.github.io/Logging_1907/kartor_geotiff/A 22907-2023 georefererad karta.tif", "A 22907-2023")</f>
        <v/>
      </c>
      <c r="AA23">
        <f>HYPERLINK("https://klasma.github.io/Logging_1907/klagomål/A 22907-2023 FSC-klagomål.docx", "A 22907-2023")</f>
        <v/>
      </c>
      <c r="AB23">
        <f>HYPERLINK("https://klasma.github.io/Logging_1907/klagomålsmail/A 22907-2023 FSC-klagomål mail.docx", "A 22907-2023")</f>
        <v/>
      </c>
      <c r="AC23">
        <f>HYPERLINK("https://klasma.github.io/Logging_1907/tillsyn/A 22907-2023 tillsynsbegäran.docx", "A 22907-2023")</f>
        <v/>
      </c>
      <c r="AD23">
        <f>HYPERLINK("https://klasma.github.io/Logging_1907/tillsynsmail/A 22907-2023 tillsynsbegäran mail.docx", "A 22907-2023")</f>
        <v/>
      </c>
      <c r="AE23">
        <f>HYPERLINK("https://klasma.github.io/Logging_1907/fåglar/A 22907-2023 prioriterade fågelarter.docx", "A 22907-2023")</f>
        <v/>
      </c>
    </row>
    <row r="24" ht="15" customHeight="1">
      <c r="A24" t="inlineStr">
        <is>
          <t>S 42-2022</t>
        </is>
      </c>
      <c r="B24" t="inlineStr">
        <is>
          <t>samrådsanmälan</t>
        </is>
      </c>
      <c r="C24" t="inlineStr">
        <is>
          <t>Annan skogsbruksåtgärd</t>
        </is>
      </c>
      <c r="D24" s="1" t="n">
        <v>44565</v>
      </c>
      <c r="E24" s="1" t="n">
        <v>46316</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31060-2026</t>
        </is>
      </c>
      <c r="B25" t="inlineStr">
        <is>
          <t>avverkningsanmälan</t>
        </is>
      </c>
      <c r="C25" t="inlineStr">
        <is>
          <t>Föryngringsavverkning</t>
        </is>
      </c>
      <c r="D25" s="1" t="n">
        <v>46215</v>
      </c>
      <c r="E25" s="1" t="n">
        <v>46316</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44798-2024</t>
        </is>
      </c>
      <c r="B26" t="inlineStr">
        <is>
          <t>avverkningsanmälan</t>
        </is>
      </c>
      <c r="C26" t="inlineStr">
        <is>
          <t>Föryngringsavverkning</t>
        </is>
      </c>
      <c r="D26" s="1" t="n">
        <v>45574</v>
      </c>
      <c r="E26" s="1" t="n">
        <v>46316</v>
      </c>
      <c r="F26" t="inlineStr">
        <is>
          <t>VÄSTMANLANDS LÄN</t>
        </is>
      </c>
      <c r="G26" t="inlineStr">
        <is>
          <t>SURAHAMMAR</t>
        </is>
      </c>
      <c r="H26" t="inlineStr">
        <is>
          <t>Bergvik skog väst AB</t>
        </is>
      </c>
      <c r="I26" t="n">
        <v>4.4</v>
      </c>
      <c r="J26" t="n">
        <v>0</v>
      </c>
      <c r="K26" t="n">
        <v>1</v>
      </c>
      <c r="L26" t="n">
        <v>7</v>
      </c>
      <c r="M26" t="n">
        <v>1</v>
      </c>
      <c r="N26" t="n">
        <v>0</v>
      </c>
      <c r="O26" t="n">
        <v>0</v>
      </c>
      <c r="P26" t="n">
        <v>0</v>
      </c>
      <c r="Q26" t="n">
        <v>8</v>
      </c>
      <c r="R26" t="n">
        <v>1</v>
      </c>
      <c r="S26" t="n">
        <v>9</v>
      </c>
      <c r="T26" t="n">
        <v>26</v>
      </c>
      <c r="U26" t="n">
        <v>10</v>
      </c>
      <c r="V26" s="2" t="inlineStr">
        <is>
          <t>Rosetticka
Brunklöver
Gropticka
Persiljespindling
Scharlakansvaxing
Svinrot
Ullticka
Vågticka
Brandticka</t>
        </is>
      </c>
      <c r="W26">
        <f>HYPERLINK("https://klasma.github.io/Logging_1907/artfynd/A 44798-2024 artfynd.xlsx", "A 44798-2024")</f>
        <v/>
      </c>
      <c r="X26">
        <f>HYPERLINK("https://klasma.github.io/Logging_1907/kartor/A 44798-2024 karta.png", "A 44798-2024")</f>
        <v/>
      </c>
      <c r="Y26">
        <f>HYPERLINK("https://klasma.github.io/Logging_1907/kartor_geotiff/A 44798-2024 georefererad karta.tif", "A 44798-2024")</f>
        <v/>
      </c>
      <c r="AA26">
        <f>HYPERLINK("https://klasma.github.io/Logging_1907/klagomål/A 44798-2024 FSC-klagomål.docx", "A 44798-2024")</f>
        <v/>
      </c>
      <c r="AB26">
        <f>HYPERLINK("https://klasma.github.io/Logging_1907/klagomålsmail/A 44798-2024 FSC-klagomål mail.docx", "A 44798-2024")</f>
        <v/>
      </c>
      <c r="AC26">
        <f>HYPERLINK("https://klasma.github.io/Logging_1907/tillsyn/A 44798-2024 tillsynsbegäran.docx", "A 44798-2024")</f>
        <v/>
      </c>
      <c r="AD26">
        <f>HYPERLINK("https://klasma.github.io/Logging_1907/tillsynsmail/A 44798-2024 tillsynsbegäran mail.docx", "A 44798-2024")</f>
        <v/>
      </c>
    </row>
    <row r="27" ht="15" customHeight="1">
      <c r="A27" t="inlineStr">
        <is>
          <t>A 38172-2024</t>
        </is>
      </c>
      <c r="B27" t="inlineStr">
        <is>
          <t>avverkningsanmälan</t>
        </is>
      </c>
      <c r="C27" t="inlineStr">
        <is>
          <t>Avverkning för att bevara och utveckla /försöksver</t>
        </is>
      </c>
      <c r="D27" s="1" t="n">
        <v>45545</v>
      </c>
      <c r="E27" s="1" t="n">
        <v>46316</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46316</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46316</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46316</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46316</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46316</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46316</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46316</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46316</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46316</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46316</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10819-2024</t>
        </is>
      </c>
      <c r="B38" t="inlineStr">
        <is>
          <t>avverkningsanmälan</t>
        </is>
      </c>
      <c r="C38" t="inlineStr">
        <is>
          <t>Föryngringsavverkning</t>
        </is>
      </c>
      <c r="D38" s="1" t="n">
        <v>45369</v>
      </c>
      <c r="E38" s="1" t="n">
        <v>46316</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46316</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46316</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46316</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63146-2025</t>
        </is>
      </c>
      <c r="B42" t="inlineStr">
        <is>
          <t>avverkningsanmälan</t>
        </is>
      </c>
      <c r="C42" t="inlineStr">
        <is>
          <t>Föryngringsavverkning</t>
        </is>
      </c>
      <c r="D42" s="1" t="n">
        <v>46009</v>
      </c>
      <c r="E42" s="1" t="n">
        <v>46316</v>
      </c>
      <c r="F42" t="inlineStr">
        <is>
          <t>VÄSTMANLANDS LÄN</t>
        </is>
      </c>
      <c r="G42" t="inlineStr">
        <is>
          <t>SURAHAMMAR</t>
        </is>
      </c>
      <c r="H42" t="inlineStr">
        <is>
          <t>Bergvik skog väst AB</t>
        </is>
      </c>
      <c r="I42" t="n">
        <v>10.2</v>
      </c>
      <c r="J42" t="n">
        <v>1</v>
      </c>
      <c r="K42" t="n">
        <v>2</v>
      </c>
      <c r="L42" t="n">
        <v>0</v>
      </c>
      <c r="M42" t="n">
        <v>0</v>
      </c>
      <c r="N42" t="n">
        <v>0</v>
      </c>
      <c r="O42" t="n">
        <v>0</v>
      </c>
      <c r="P42" t="n">
        <v>0</v>
      </c>
      <c r="Q42" t="n">
        <v>0</v>
      </c>
      <c r="R42" t="n">
        <v>0</v>
      </c>
      <c r="S42" t="n">
        <v>3</v>
      </c>
      <c r="T42" t="n">
        <v>12</v>
      </c>
      <c r="U42" t="n">
        <v>0</v>
      </c>
      <c r="V42" s="2" t="inlineStr">
        <is>
          <t>Stor aspticka
Svart trolldruva
Blåsippa</t>
        </is>
      </c>
      <c r="W42">
        <f>HYPERLINK("https://klasma.github.io/Logging_1907/artfynd/A 63146-2025 artfynd.xlsx", "A 63146-2025")</f>
        <v/>
      </c>
      <c r="X42">
        <f>HYPERLINK("https://klasma.github.io/Logging_1907/kartor/A 63146-2025 karta.png", "A 63146-2025")</f>
        <v/>
      </c>
      <c r="Y42">
        <f>HYPERLINK("https://klasma.github.io/Logging_1907/kartor_geotiff/A 63146-2025 georefererad karta.tif", "A 63146-2025")</f>
        <v/>
      </c>
      <c r="AA42">
        <f>HYPERLINK("https://klasma.github.io/Logging_1907/klagomål/A 63146-2025 FSC-klagomål.docx", "A 63146-2025")</f>
        <v/>
      </c>
      <c r="AB42">
        <f>HYPERLINK("https://klasma.github.io/Logging_1907/klagomålsmail/A 63146-2025 FSC-klagomål mail.docx", "A 63146-2025")</f>
        <v/>
      </c>
      <c r="AC42">
        <f>HYPERLINK("https://klasma.github.io/Logging_1907/tillsyn/A 63146-2025 tillsynsbegäran.docx", "A 63146-2025")</f>
        <v/>
      </c>
      <c r="AD42">
        <f>HYPERLINK("https://klasma.github.io/Logging_1907/tillsynsmail/A 63146-2025 tillsynsbegäran mail.docx", "A 63146-2025")</f>
        <v/>
      </c>
    </row>
    <row r="43" ht="15" customHeight="1">
      <c r="A43" t="inlineStr">
        <is>
          <t>A 39694-2025</t>
        </is>
      </c>
      <c r="B43" t="inlineStr">
        <is>
          <t>avverkningsanmälan</t>
        </is>
      </c>
      <c r="C43" t="inlineStr">
        <is>
          <t>Föryngringsavverkning</t>
        </is>
      </c>
      <c r="D43" s="1" t="n">
        <v>45890</v>
      </c>
      <c r="E43" s="1" t="n">
        <v>46316</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46316</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46316</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20535-2026</t>
        </is>
      </c>
      <c r="B46" t="inlineStr">
        <is>
          <t>avverkningsanmälan</t>
        </is>
      </c>
      <c r="C46" t="inlineStr">
        <is>
          <t>Avverkning för annat ändamål</t>
        </is>
      </c>
      <c r="D46" s="1" t="n">
        <v>46140</v>
      </c>
      <c r="E46" s="1" t="n">
        <v>46316</v>
      </c>
      <c r="F46" t="inlineStr">
        <is>
          <t>VÄSTMANLANDS LÄN</t>
        </is>
      </c>
      <c r="G46" t="inlineStr">
        <is>
          <t>SURAHAMMAR</t>
        </is>
      </c>
      <c r="H46" t="inlineStr">
        <is>
          <t>Bergvik skog väst AB</t>
        </is>
      </c>
      <c r="I46" t="n">
        <v>2.7</v>
      </c>
      <c r="J46" t="n">
        <v>2</v>
      </c>
      <c r="K46" t="n">
        <v>1</v>
      </c>
      <c r="L46" t="n">
        <v>1</v>
      </c>
      <c r="M46" t="n">
        <v>0</v>
      </c>
      <c r="N46" t="n">
        <v>0</v>
      </c>
      <c r="O46" t="n">
        <v>0</v>
      </c>
      <c r="P46" t="n">
        <v>0</v>
      </c>
      <c r="Q46" t="n">
        <v>1</v>
      </c>
      <c r="R46" t="n">
        <v>0</v>
      </c>
      <c r="S46" t="n">
        <v>3</v>
      </c>
      <c r="T46" t="n">
        <v>3</v>
      </c>
      <c r="U46" t="n">
        <v>3</v>
      </c>
      <c r="V46" s="2" t="inlineStr">
        <is>
          <t>Talltita
Blomkålssvamp
Tofsmes</t>
        </is>
      </c>
      <c r="W46">
        <f>HYPERLINK("https://klasma.github.io/Logging_1907/artfynd/A 20535-2026 artfynd.xlsx", "A 20535-2026")</f>
        <v/>
      </c>
      <c r="X46">
        <f>HYPERLINK("https://klasma.github.io/Logging_1907/kartor/A 20535-2026 karta.png", "A 20535-2026")</f>
        <v/>
      </c>
      <c r="Y46">
        <f>HYPERLINK("https://klasma.github.io/Logging_1907/kartor_geotiff/A 20535-2026 georefererad karta.tif", "A 20535-2026")</f>
        <v/>
      </c>
      <c r="AA46">
        <f>HYPERLINK("https://klasma.github.io/Logging_1907/klagomål/A 20535-2026 FSC-klagomål.docx", "A 20535-2026")</f>
        <v/>
      </c>
      <c r="AB46">
        <f>HYPERLINK("https://klasma.github.io/Logging_1907/klagomålsmail/A 20535-2026 FSC-klagomål mail.docx", "A 20535-2026")</f>
        <v/>
      </c>
      <c r="AC46">
        <f>HYPERLINK("https://klasma.github.io/Logging_1907/tillsyn/A 20535-2026 tillsynsbegäran.docx", "A 20535-2026")</f>
        <v/>
      </c>
      <c r="AD46">
        <f>HYPERLINK("https://klasma.github.io/Logging_1907/tillsynsmail/A 20535-2026 tillsynsbegäran mail.docx", "A 20535-2026")</f>
        <v/>
      </c>
      <c r="AE46">
        <f>HYPERLINK("https://klasma.github.io/Logging_1907/fåglar/A 20535-2026 prioriterade fågelarter.docx", "A 20535-2026")</f>
        <v/>
      </c>
    </row>
    <row r="47" ht="15" customHeight="1">
      <c r="A47" t="inlineStr">
        <is>
          <t>A 69777-2021</t>
        </is>
      </c>
      <c r="B47" t="inlineStr">
        <is>
          <t>avverkningsanmälan</t>
        </is>
      </c>
      <c r="C47" t="inlineStr">
        <is>
          <t>Föryngringsavverkning</t>
        </is>
      </c>
      <c r="D47" s="1" t="n">
        <v>44532</v>
      </c>
      <c r="E47" s="1" t="n">
        <v>46316</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46316</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46316</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46316</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46316</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46316</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46316</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46316</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46316</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46316</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13788-2025</t>
        </is>
      </c>
      <c r="B57" t="inlineStr">
        <is>
          <t>avverkningsanmälan</t>
        </is>
      </c>
      <c r="C57" t="inlineStr">
        <is>
          <t>Föryngringsavverkning</t>
        </is>
      </c>
      <c r="D57" s="1" t="n">
        <v>45737</v>
      </c>
      <c r="E57" s="1" t="n">
        <v>46316</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t="n">
        <v>2</v>
      </c>
      <c r="V57" s="2" t="inlineStr">
        <is>
          <t>Sparvuggla
Nattskärra</t>
        </is>
      </c>
      <c r="W57">
        <f>HYPERLINK("https://klasma.github.io/Logging_1907/artfynd/A 13788-2025 artfynd.xlsx", "A 13788-2025")</f>
        <v/>
      </c>
      <c r="X57">
        <f>HYPERLINK("https://klasma.github.io/Logging_1907/kartor/A 13788-2025 karta.png", "A 13788-2025")</f>
        <v/>
      </c>
      <c r="Y57">
        <f>HYPERLINK("https://klasma.github.io/Logging_1907/kartor_geotiff/A 13788-2025 georefererad karta.tif", "A 13788-2025")</f>
        <v/>
      </c>
      <c r="AA57">
        <f>HYPERLINK("https://klasma.github.io/Logging_1907/klagomål/A 13788-2025 FSC-klagomål.docx", "A 13788-2025")</f>
        <v/>
      </c>
      <c r="AB57">
        <f>HYPERLINK("https://klasma.github.io/Logging_1907/klagomålsmail/A 13788-2025 FSC-klagomål mail.docx", "A 13788-2025")</f>
        <v/>
      </c>
      <c r="AC57">
        <f>HYPERLINK("https://klasma.github.io/Logging_1907/tillsyn/A 13788-2025 tillsynsbegäran.docx", "A 13788-2025")</f>
        <v/>
      </c>
      <c r="AD57">
        <f>HYPERLINK("https://klasma.github.io/Logging_1907/tillsynsmail/A 13788-2025 tillsynsbegäran mail.docx", "A 13788-2025")</f>
        <v/>
      </c>
      <c r="AE57">
        <f>HYPERLINK("https://klasma.github.io/Logging_1907/fåglar/A 13788-2025 prioriterade fågelarter.docx", "A 13788-2025")</f>
        <v/>
      </c>
    </row>
    <row r="58" ht="15" customHeight="1">
      <c r="A58" t="inlineStr">
        <is>
          <t>A 63138-2025</t>
        </is>
      </c>
      <c r="B58" t="inlineStr">
        <is>
          <t>avverkningsanmälan</t>
        </is>
      </c>
      <c r="C58" t="inlineStr">
        <is>
          <t>Föryngringsavverkning</t>
        </is>
      </c>
      <c r="D58" s="1" t="n">
        <v>46009</v>
      </c>
      <c r="E58" s="1" t="n">
        <v>46316</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40403-2025</t>
        </is>
      </c>
      <c r="B59" t="inlineStr">
        <is>
          <t>avverkningsanmälan</t>
        </is>
      </c>
      <c r="C59" t="inlineStr">
        <is>
          <t>Föryngringsavverkning</t>
        </is>
      </c>
      <c r="D59" s="1" t="n">
        <v>45895</v>
      </c>
      <c r="E59" s="1" t="n">
        <v>46316</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56362-2023</t>
        </is>
      </c>
      <c r="B60" t="inlineStr">
        <is>
          <t>avverkningsanmälan</t>
        </is>
      </c>
      <c r="C60" t="inlineStr">
        <is>
          <t>Föryngringsavverkning</t>
        </is>
      </c>
      <c r="D60" s="1" t="n">
        <v>45236</v>
      </c>
      <c r="E60" s="1" t="n">
        <v>46316</v>
      </c>
      <c r="F60" t="inlineStr">
        <is>
          <t>VÄSTMANLANDS LÄN</t>
        </is>
      </c>
      <c r="G60" t="inlineStr">
        <is>
          <t>SURAHAMMAR</t>
        </is>
      </c>
      <c r="H60" t="inlineStr">
        <is>
          <t>Bergvik skog väst AB</t>
        </is>
      </c>
      <c r="I60" t="n">
        <v>15.2</v>
      </c>
      <c r="J60" t="n">
        <v>1</v>
      </c>
      <c r="K60" t="n">
        <v>1</v>
      </c>
      <c r="L60" t="n">
        <v>0</v>
      </c>
      <c r="M60" t="n">
        <v>1</v>
      </c>
      <c r="N60" t="n">
        <v>0</v>
      </c>
      <c r="O60" t="n">
        <v>0</v>
      </c>
      <c r="P60" t="n">
        <v>0</v>
      </c>
      <c r="Q60" t="n">
        <v>1</v>
      </c>
      <c r="R60" t="n">
        <v>1</v>
      </c>
      <c r="S60" t="n">
        <v>2</v>
      </c>
      <c r="T60" t="n">
        <v>2</v>
      </c>
      <c r="U60" t="n">
        <v>1</v>
      </c>
      <c r="V60" s="2" t="inlineStr">
        <is>
          <t>Väddnätfjäril
Grönpyrola</t>
        </is>
      </c>
      <c r="W60">
        <f>HYPERLINK("https://klasma.github.io/Logging_1907/artfynd/A 56362-2023 artfynd.xlsx", "A 56362-2023")</f>
        <v/>
      </c>
      <c r="X60">
        <f>HYPERLINK("https://klasma.github.io/Logging_1907/kartor/A 56362-2023 karta.png", "A 56362-2023")</f>
        <v/>
      </c>
      <c r="Y60">
        <f>HYPERLINK("https://klasma.github.io/Logging_1907/kartor_geotiff/A 56362-2023 georefererad karta.tif", "A 56362-2023")</f>
        <v/>
      </c>
      <c r="AA60">
        <f>HYPERLINK("https://klasma.github.io/Logging_1907/klagomål/A 56362-2023 FSC-klagomål.docx", "A 56362-2023")</f>
        <v/>
      </c>
      <c r="AB60">
        <f>HYPERLINK("https://klasma.github.io/Logging_1907/klagomålsmail/A 56362-2023 FSC-klagomål mail.docx", "A 56362-2023")</f>
        <v/>
      </c>
      <c r="AC60">
        <f>HYPERLINK("https://klasma.github.io/Logging_1907/tillsyn/A 56362-2023 tillsynsbegäran.docx", "A 56362-2023")</f>
        <v/>
      </c>
      <c r="AD60">
        <f>HYPERLINK("https://klasma.github.io/Logging_1907/tillsynsmail/A 56362-2023 tillsynsbegäran mail.docx", "A 56362-2023")</f>
        <v/>
      </c>
    </row>
    <row r="61" ht="15" customHeight="1">
      <c r="A61" t="inlineStr">
        <is>
          <t>A 47453-2024</t>
        </is>
      </c>
      <c r="B61" t="inlineStr">
        <is>
          <t>avverkningsanmälan</t>
        </is>
      </c>
      <c r="C61" t="inlineStr">
        <is>
          <t>Föryngringsavverkning</t>
        </is>
      </c>
      <c r="D61" s="1" t="n">
        <v>45587</v>
      </c>
      <c r="E61" s="1" t="n">
        <v>46316</v>
      </c>
      <c r="F61" t="inlineStr">
        <is>
          <t>VÄSTMANLANDS LÄN</t>
        </is>
      </c>
      <c r="G61" t="inlineStr">
        <is>
          <t>SURAHAMMAR</t>
        </is>
      </c>
      <c r="I61" t="n">
        <v>5.1</v>
      </c>
      <c r="J61" t="n">
        <v>2</v>
      </c>
      <c r="K61" t="n">
        <v>0</v>
      </c>
      <c r="L61" t="n">
        <v>1</v>
      </c>
      <c r="M61" t="n">
        <v>0</v>
      </c>
      <c r="N61" t="n">
        <v>0</v>
      </c>
      <c r="O61" t="n">
        <v>0</v>
      </c>
      <c r="P61" t="n">
        <v>0</v>
      </c>
      <c r="Q61" t="n">
        <v>1</v>
      </c>
      <c r="R61" t="n">
        <v>0</v>
      </c>
      <c r="S61" t="n">
        <v>2</v>
      </c>
      <c r="T61" t="n">
        <v>2</v>
      </c>
      <c r="U61" t="n">
        <v>1</v>
      </c>
      <c r="V61" s="2" t="inlineStr">
        <is>
          <t>Göktyta
Gröngöling</t>
        </is>
      </c>
      <c r="W61">
        <f>HYPERLINK("https://klasma.github.io/Logging_1907/artfynd/A 47453-2024 artfynd.xlsx", "A 47453-2024")</f>
        <v/>
      </c>
      <c r="X61">
        <f>HYPERLINK("https://klasma.github.io/Logging_1907/kartor/A 47453-2024 karta.png", "A 47453-2024")</f>
        <v/>
      </c>
      <c r="Y61">
        <f>HYPERLINK("https://klasma.github.io/Logging_1907/kartor_geotiff/A 47453-2024 georefererad karta.tif", "A 47453-2024")</f>
        <v/>
      </c>
      <c r="AA61">
        <f>HYPERLINK("https://klasma.github.io/Logging_1907/klagomål/A 47453-2024 FSC-klagomål.docx", "A 47453-2024")</f>
        <v/>
      </c>
      <c r="AB61">
        <f>HYPERLINK("https://klasma.github.io/Logging_1907/klagomålsmail/A 47453-2024 FSC-klagomål mail.docx", "A 47453-2024")</f>
        <v/>
      </c>
      <c r="AC61">
        <f>HYPERLINK("https://klasma.github.io/Logging_1907/tillsyn/A 47453-2024 tillsynsbegäran.docx", "A 47453-2024")</f>
        <v/>
      </c>
      <c r="AD61">
        <f>HYPERLINK("https://klasma.github.io/Logging_1907/tillsynsmail/A 47453-2024 tillsynsbegäran mail.docx", "A 47453-2024")</f>
        <v/>
      </c>
      <c r="AE61">
        <f>HYPERLINK("https://klasma.github.io/Logging_1907/fåglar/A 47453-2024 prioriterade fågelarter.docx", "A 47453-2024")</f>
        <v/>
      </c>
    </row>
    <row r="62" ht="15" customHeight="1">
      <c r="A62" t="inlineStr">
        <is>
          <t>A 37013-2025</t>
        </is>
      </c>
      <c r="B62" t="inlineStr">
        <is>
          <t>avverkningsanmälan</t>
        </is>
      </c>
      <c r="C62" t="inlineStr">
        <is>
          <t>Föryngringsavverkning</t>
        </is>
      </c>
      <c r="D62" s="1" t="n">
        <v>45874</v>
      </c>
      <c r="E62" s="1" t="n">
        <v>46316</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41204-2023</t>
        </is>
      </c>
      <c r="B63" t="inlineStr">
        <is>
          <t>avverkningsanmälan</t>
        </is>
      </c>
      <c r="C63" t="inlineStr">
        <is>
          <t>Föryngringsavverkning</t>
        </is>
      </c>
      <c r="D63" s="1" t="n">
        <v>45174</v>
      </c>
      <c r="E63" s="1" t="n">
        <v>46316</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46316</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46316</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41395-2026</t>
        </is>
      </c>
      <c r="B66" t="inlineStr">
        <is>
          <t>avverkningsanmälan</t>
        </is>
      </c>
      <c r="C66" t="inlineStr">
        <is>
          <t>Föryngringsavverkning</t>
        </is>
      </c>
      <c r="D66" s="1" t="n">
        <v>46301</v>
      </c>
      <c r="E66" s="1" t="n">
        <v>46316</v>
      </c>
      <c r="F66" t="inlineStr">
        <is>
          <t>VÄSTMANLANDS LÄN</t>
        </is>
      </c>
      <c r="G66" t="inlineStr">
        <is>
          <t>SURAHAMMAR</t>
        </is>
      </c>
      <c r="I66" t="n">
        <v>1.8</v>
      </c>
      <c r="J66" t="n">
        <v>1</v>
      </c>
      <c r="K66" t="n">
        <v>1</v>
      </c>
      <c r="L66" t="n">
        <v>0</v>
      </c>
      <c r="M66" t="n">
        <v>1</v>
      </c>
      <c r="N66" t="n">
        <v>0</v>
      </c>
      <c r="O66" t="n">
        <v>0</v>
      </c>
      <c r="P66" t="n">
        <v>0</v>
      </c>
      <c r="Q66" t="n">
        <v>1</v>
      </c>
      <c r="R66" t="n">
        <v>1</v>
      </c>
      <c r="S66" t="n">
        <v>2</v>
      </c>
      <c r="T66" t="n">
        <v>3</v>
      </c>
      <c r="U66" t="n">
        <v>0</v>
      </c>
      <c r="V66" s="2" t="inlineStr">
        <is>
          <t>Knärot
Grönpyrola</t>
        </is>
      </c>
      <c r="W66">
        <f>HYPERLINK("https://klasma.github.io/Logging_1907/artfynd/A 41395-2026 artfynd.xlsx", "A 41395-2026")</f>
        <v/>
      </c>
      <c r="X66">
        <f>HYPERLINK("https://klasma.github.io/Logging_1907/kartor/A 41395-2026 karta.png", "A 41395-2026")</f>
        <v/>
      </c>
      <c r="Y66">
        <f>HYPERLINK("https://klasma.github.io/Logging_1907/kartor_geotiff/A 41395-2026 georefererad karta.tif", "A 41395-2026")</f>
        <v/>
      </c>
      <c r="Z66">
        <f>HYPERLINK("https://klasma.github.io/Logging_1907/knärot/A 41395-2026 karta knärot.png", "A 41395-2026")</f>
        <v/>
      </c>
      <c r="AA66">
        <f>HYPERLINK("https://klasma.github.io/Logging_1907/klagomål/A 41395-2026 FSC-klagomål.docx", "A 41395-2026")</f>
        <v/>
      </c>
      <c r="AB66">
        <f>HYPERLINK("https://klasma.github.io/Logging_1907/klagomålsmail/A 41395-2026 FSC-klagomål mail.docx", "A 41395-2026")</f>
        <v/>
      </c>
      <c r="AC66">
        <f>HYPERLINK("https://klasma.github.io/Logging_1907/tillsyn/A 41395-2026 tillsynsbegäran.docx", "A 41395-2026")</f>
        <v/>
      </c>
      <c r="AD66">
        <f>HYPERLINK("https://klasma.github.io/Logging_1907/tillsynsmail/A 41395-2026 tillsynsbegäran mail.docx", "A 41395-2026")</f>
        <v/>
      </c>
    </row>
    <row r="67" ht="15" customHeight="1">
      <c r="A67" t="inlineStr">
        <is>
          <t>A 13971-2023</t>
        </is>
      </c>
      <c r="B67" t="inlineStr">
        <is>
          <t>avverkningsanmälan</t>
        </is>
      </c>
      <c r="C67" t="inlineStr">
        <is>
          <t>Föryngringsavverkning</t>
        </is>
      </c>
      <c r="D67" s="1" t="n">
        <v>45007</v>
      </c>
      <c r="E67" s="1" t="n">
        <v>46316</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A 36261-2026</t>
        </is>
      </c>
      <c r="B68" t="inlineStr">
        <is>
          <t>avverkningsanmälan</t>
        </is>
      </c>
      <c r="C68" t="inlineStr">
        <is>
          <t>Föryngringsavverkning</t>
        </is>
      </c>
      <c r="D68" s="1" t="n">
        <v>46268</v>
      </c>
      <c r="E68" s="1" t="n">
        <v>46316</v>
      </c>
      <c r="F68" t="inlineStr">
        <is>
          <t>VÄSTMANLANDS LÄN</t>
        </is>
      </c>
      <c r="G68" t="inlineStr">
        <is>
          <t>SURAHAMMAR</t>
        </is>
      </c>
      <c r="H68" t="inlineStr">
        <is>
          <t>Sveaskog</t>
        </is>
      </c>
      <c r="I68" t="n">
        <v>7.9</v>
      </c>
      <c r="J68" t="n">
        <v>1</v>
      </c>
      <c r="K68" t="n">
        <v>0</v>
      </c>
      <c r="L68" t="n">
        <v>1</v>
      </c>
      <c r="M68" t="n">
        <v>0</v>
      </c>
      <c r="N68" t="n">
        <v>0</v>
      </c>
      <c r="O68" t="n">
        <v>0</v>
      </c>
      <c r="P68" t="n">
        <v>0</v>
      </c>
      <c r="Q68" t="n">
        <v>1</v>
      </c>
      <c r="R68" t="n">
        <v>0</v>
      </c>
      <c r="S68" t="n">
        <v>2</v>
      </c>
      <c r="T68" t="n">
        <v>2</v>
      </c>
      <c r="U68" t="n">
        <v>0</v>
      </c>
      <c r="V68" s="2" t="inlineStr">
        <is>
          <t>Krusfrö
Revlummer</t>
        </is>
      </c>
      <c r="W68">
        <f>HYPERLINK("https://klasma.github.io/Logging_1907/artfynd/A 36261-2026 artfynd.xlsx", "A 36261-2026")</f>
        <v/>
      </c>
      <c r="X68">
        <f>HYPERLINK("https://klasma.github.io/Logging_1907/kartor/A 36261-2026 karta.png", "A 36261-2026")</f>
        <v/>
      </c>
      <c r="Y68">
        <f>HYPERLINK("https://klasma.github.io/Logging_1907/kartor_geotiff/A 36261-2026 georefererad karta.tif", "A 36261-2026")</f>
        <v/>
      </c>
      <c r="AA68">
        <f>HYPERLINK("https://klasma.github.io/Logging_1907/klagomål/A 36261-2026 FSC-klagomål.docx", "A 36261-2026")</f>
        <v/>
      </c>
      <c r="AB68">
        <f>HYPERLINK("https://klasma.github.io/Logging_1907/klagomålsmail/A 36261-2026 FSC-klagomål mail.docx", "A 36261-2026")</f>
        <v/>
      </c>
      <c r="AC68">
        <f>HYPERLINK("https://klasma.github.io/Logging_1907/tillsyn/A 36261-2026 tillsynsbegäran.docx", "A 36261-2026")</f>
        <v/>
      </c>
      <c r="AD68">
        <f>HYPERLINK("https://klasma.github.io/Logging_1907/tillsynsmail/A 36261-2026 tillsynsbegäran mail.docx", "A 36261-2026")</f>
        <v/>
      </c>
    </row>
    <row r="69" ht="15" customHeight="1">
      <c r="A69" t="inlineStr">
        <is>
          <t>S 703-2025</t>
        </is>
      </c>
      <c r="B69" t="inlineStr">
        <is>
          <t>samrådsanmälan</t>
        </is>
      </c>
      <c r="C69" t="inlineStr">
        <is>
          <t>Skogsgödsling</t>
        </is>
      </c>
      <c r="D69" s="1" t="n">
        <v>45720</v>
      </c>
      <c r="E69" s="1" t="n">
        <v>46316</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46316</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46316</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46316</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46316</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30076-2023</t>
        </is>
      </c>
      <c r="B74" t="inlineStr">
        <is>
          <t>avverkningsanmälan</t>
        </is>
      </c>
      <c r="C74" t="inlineStr">
        <is>
          <t>Föryngringsavverkning</t>
        </is>
      </c>
      <c r="D74" s="1" t="n">
        <v>45110</v>
      </c>
      <c r="E74" s="1" t="n">
        <v>46316</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8553-2023</t>
        </is>
      </c>
      <c r="B75" t="inlineStr">
        <is>
          <t>avverkningsanmälan</t>
        </is>
      </c>
      <c r="C75" t="inlineStr">
        <is>
          <t>Avverkning för att bevara och utveckla /försöksver</t>
        </is>
      </c>
      <c r="D75" s="1" t="n">
        <v>44977</v>
      </c>
      <c r="E75" s="1" t="n">
        <v>46316</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37287-2023</t>
        </is>
      </c>
      <c r="B76" t="inlineStr">
        <is>
          <t>avverkningsanmälan</t>
        </is>
      </c>
      <c r="C76" t="inlineStr">
        <is>
          <t>Föryngringsavverkning</t>
        </is>
      </c>
      <c r="D76" s="1" t="n">
        <v>45156</v>
      </c>
      <c r="E76" s="1" t="n">
        <v>46316</v>
      </c>
      <c r="F76" t="inlineStr">
        <is>
          <t>VÄSTMANLANDS LÄN</t>
        </is>
      </c>
      <c r="G76" t="inlineStr">
        <is>
          <t>SURAHAMMAR</t>
        </is>
      </c>
      <c r="I76" t="n">
        <v>0.6</v>
      </c>
      <c r="J76" t="n">
        <v>0</v>
      </c>
      <c r="K76" t="n">
        <v>0</v>
      </c>
      <c r="L76" t="n">
        <v>1</v>
      </c>
      <c r="M76" t="n">
        <v>0</v>
      </c>
      <c r="N76" t="n">
        <v>0</v>
      </c>
      <c r="O76" t="n">
        <v>0</v>
      </c>
      <c r="P76" t="n">
        <v>0</v>
      </c>
      <c r="Q76" t="n">
        <v>1</v>
      </c>
      <c r="R76" t="n">
        <v>0</v>
      </c>
      <c r="S76" t="n">
        <v>1</v>
      </c>
      <c r="T76" t="n">
        <v>1</v>
      </c>
      <c r="U76" t="n">
        <v>0</v>
      </c>
      <c r="V76" s="2" t="inlineStr">
        <is>
          <t>Mindre tåtelsmygare</t>
        </is>
      </c>
      <c r="W76">
        <f>HYPERLINK("https://klasma.github.io/Logging_1907/artfynd/A 37287-2023 artfynd.xlsx", "A 37287-2023")</f>
        <v/>
      </c>
      <c r="X76">
        <f>HYPERLINK("https://klasma.github.io/Logging_1907/kartor/A 37287-2023 karta.png", "A 37287-2023")</f>
        <v/>
      </c>
      <c r="Y76">
        <f>HYPERLINK("https://klasma.github.io/Logging_1907/kartor_geotiff/A 37287-2023 georefererad karta.tif", "A 37287-2023")</f>
        <v/>
      </c>
      <c r="AA76">
        <f>HYPERLINK("https://klasma.github.io/Logging_1907/klagomål/A 37287-2023 FSC-klagomål.docx", "A 37287-2023")</f>
        <v/>
      </c>
      <c r="AB76">
        <f>HYPERLINK("https://klasma.github.io/Logging_1907/klagomålsmail/A 37287-2023 FSC-klagomål mail.docx", "A 37287-2023")</f>
        <v/>
      </c>
      <c r="AC76">
        <f>HYPERLINK("https://klasma.github.io/Logging_1907/tillsyn/A 37287-2023 tillsynsbegäran.docx", "A 37287-2023")</f>
        <v/>
      </c>
      <c r="AD76">
        <f>HYPERLINK("https://klasma.github.io/Logging_1907/tillsynsmail/A 37287-2023 tillsynsbegäran mail.docx", "A 37287-2023")</f>
        <v/>
      </c>
    </row>
    <row r="77" ht="15" customHeight="1">
      <c r="A77" t="inlineStr">
        <is>
          <t>A 39099-2022</t>
        </is>
      </c>
      <c r="B77" t="inlineStr">
        <is>
          <t>avverkningsanmälan</t>
        </is>
      </c>
      <c r="C77" t="inlineStr">
        <is>
          <t>Föryngringsavverkning</t>
        </is>
      </c>
      <c r="D77" s="1" t="n">
        <v>44817</v>
      </c>
      <c r="E77" s="1" t="n">
        <v>46316</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34584-2025</t>
        </is>
      </c>
      <c r="B78" t="inlineStr">
        <is>
          <t>avverkningsanmälan</t>
        </is>
      </c>
      <c r="C78" t="inlineStr">
        <is>
          <t>Föryngringsavverkning</t>
        </is>
      </c>
      <c r="D78" s="1" t="n">
        <v>45846</v>
      </c>
      <c r="E78" s="1" t="n">
        <v>46316</v>
      </c>
      <c r="F78" t="inlineStr">
        <is>
          <t>VÄSTMANLANDS LÄN</t>
        </is>
      </c>
      <c r="G78" t="inlineStr">
        <is>
          <t>SURAHAMMAR</t>
        </is>
      </c>
      <c r="H78" t="inlineStr">
        <is>
          <t>Bergvik skog väst AB</t>
        </is>
      </c>
      <c r="I78" t="n">
        <v>2.7</v>
      </c>
      <c r="J78" t="n">
        <v>1</v>
      </c>
      <c r="K78" t="n">
        <v>0</v>
      </c>
      <c r="L78" t="n">
        <v>0</v>
      </c>
      <c r="M78" t="n">
        <v>0</v>
      </c>
      <c r="N78" t="n">
        <v>0</v>
      </c>
      <c r="O78" t="n">
        <v>0</v>
      </c>
      <c r="P78" t="n">
        <v>0</v>
      </c>
      <c r="Q78" t="n">
        <v>0</v>
      </c>
      <c r="R78" t="n">
        <v>0</v>
      </c>
      <c r="S78" t="n">
        <v>1</v>
      </c>
      <c r="T78" t="n">
        <v>1</v>
      </c>
      <c r="U78" t="n">
        <v>1</v>
      </c>
      <c r="V78" s="2" t="inlineStr">
        <is>
          <t>Tjäder</t>
        </is>
      </c>
      <c r="W78">
        <f>HYPERLINK("https://klasma.github.io/Logging_1907/artfynd/A 34584-2025 artfynd.xlsx", "A 34584-2025")</f>
        <v/>
      </c>
      <c r="X78">
        <f>HYPERLINK("https://klasma.github.io/Logging_1907/kartor/A 34584-2025 karta.png", "A 34584-2025")</f>
        <v/>
      </c>
      <c r="Y78">
        <f>HYPERLINK("https://klasma.github.io/Logging_1907/kartor_geotiff/A 34584-2025 georefererad karta.tif", "A 34584-2025")</f>
        <v/>
      </c>
      <c r="AA78">
        <f>HYPERLINK("https://klasma.github.io/Logging_1907/klagomål/A 34584-2025 FSC-klagomål.docx", "A 34584-2025")</f>
        <v/>
      </c>
      <c r="AB78">
        <f>HYPERLINK("https://klasma.github.io/Logging_1907/klagomålsmail/A 34584-2025 FSC-klagomål mail.docx", "A 34584-2025")</f>
        <v/>
      </c>
      <c r="AC78">
        <f>HYPERLINK("https://klasma.github.io/Logging_1907/tillsyn/A 34584-2025 tillsynsbegäran.docx", "A 34584-2025")</f>
        <v/>
      </c>
      <c r="AD78">
        <f>HYPERLINK("https://klasma.github.io/Logging_1907/tillsynsmail/A 34584-2025 tillsynsbegäran mail.docx", "A 34584-2025")</f>
        <v/>
      </c>
      <c r="AE78">
        <f>HYPERLINK("https://klasma.github.io/Logging_1907/fåglar/A 34584-2025 prioriterade fågelarter.docx", "A 34584-2025")</f>
        <v/>
      </c>
    </row>
    <row r="79" ht="15" customHeight="1">
      <c r="A79" t="inlineStr">
        <is>
          <t>A 17632-2022</t>
        </is>
      </c>
      <c r="B79" t="inlineStr">
        <is>
          <t>avverkningsanmälan</t>
        </is>
      </c>
      <c r="C79" t="inlineStr">
        <is>
          <t>Föryngringsavverkning</t>
        </is>
      </c>
      <c r="D79" s="1" t="n">
        <v>44680</v>
      </c>
      <c r="E79" s="1" t="n">
        <v>46316</v>
      </c>
      <c r="F79" t="inlineStr">
        <is>
          <t>VÄSTMANLANDS LÄN</t>
        </is>
      </c>
      <c r="G79" t="inlineStr">
        <is>
          <t>SURAHAMMAR</t>
        </is>
      </c>
      <c r="I79" t="n">
        <v>5.2</v>
      </c>
      <c r="J79" t="n">
        <v>0</v>
      </c>
      <c r="K79" t="n">
        <v>1</v>
      </c>
      <c r="L79" t="n">
        <v>0</v>
      </c>
      <c r="M79" t="n">
        <v>0</v>
      </c>
      <c r="N79" t="n">
        <v>0</v>
      </c>
      <c r="O79" t="n">
        <v>0</v>
      </c>
      <c r="P79" t="n">
        <v>0</v>
      </c>
      <c r="Q79" t="n">
        <v>0</v>
      </c>
      <c r="R79" t="n">
        <v>0</v>
      </c>
      <c r="S79" t="n">
        <v>1</v>
      </c>
      <c r="T79" t="n">
        <v>1</v>
      </c>
      <c r="U79" t="n">
        <v>0</v>
      </c>
      <c r="V79" s="2" t="inlineStr">
        <is>
          <t>Blodticka</t>
        </is>
      </c>
      <c r="W79">
        <f>HYPERLINK("https://klasma.github.io/Logging_1907/artfynd/A 17632-2022 artfynd.xlsx", "A 17632-2022")</f>
        <v/>
      </c>
      <c r="X79">
        <f>HYPERLINK("https://klasma.github.io/Logging_1907/kartor/A 17632-2022 karta.png", "A 17632-2022")</f>
        <v/>
      </c>
      <c r="Y79">
        <f>HYPERLINK("https://klasma.github.io/Logging_1907/kartor_geotiff/A 17632-2022 georefererad karta.tif", "A 17632-2022")</f>
        <v/>
      </c>
      <c r="AA79">
        <f>HYPERLINK("https://klasma.github.io/Logging_1907/klagomål/A 17632-2022 FSC-klagomål.docx", "A 17632-2022")</f>
        <v/>
      </c>
      <c r="AB79">
        <f>HYPERLINK("https://klasma.github.io/Logging_1907/klagomålsmail/A 17632-2022 FSC-klagomål mail.docx", "A 17632-2022")</f>
        <v/>
      </c>
      <c r="AC79">
        <f>HYPERLINK("https://klasma.github.io/Logging_1907/tillsyn/A 17632-2022 tillsynsbegäran.docx", "A 17632-2022")</f>
        <v/>
      </c>
      <c r="AD79">
        <f>HYPERLINK("https://klasma.github.io/Logging_1907/tillsynsmail/A 17632-2022 tillsynsbegäran mail.docx", "A 17632-2022")</f>
        <v/>
      </c>
    </row>
    <row r="80" ht="15" customHeight="1">
      <c r="A80" t="inlineStr">
        <is>
          <t>A 34955-2022</t>
        </is>
      </c>
      <c r="B80" t="inlineStr">
        <is>
          <t>avverkningsanmälan</t>
        </is>
      </c>
      <c r="C80" t="inlineStr">
        <is>
          <t>Föryngringsavverkning</t>
        </is>
      </c>
      <c r="D80" s="1" t="n">
        <v>44796</v>
      </c>
      <c r="E80" s="1" t="n">
        <v>46316</v>
      </c>
      <c r="F80" t="inlineStr">
        <is>
          <t>VÄSTMANLANDS LÄN</t>
        </is>
      </c>
      <c r="G80" t="inlineStr">
        <is>
          <t>SURAHAMMAR</t>
        </is>
      </c>
      <c r="H80" t="inlineStr">
        <is>
          <t>Sveaskog</t>
        </is>
      </c>
      <c r="I80" t="n">
        <v>4.6</v>
      </c>
      <c r="J80" t="n">
        <v>0</v>
      </c>
      <c r="K80" t="n">
        <v>0</v>
      </c>
      <c r="L80" t="n">
        <v>1</v>
      </c>
      <c r="M80" t="n">
        <v>0</v>
      </c>
      <c r="N80" t="n">
        <v>0</v>
      </c>
      <c r="O80" t="n">
        <v>0</v>
      </c>
      <c r="P80" t="n">
        <v>0</v>
      </c>
      <c r="Q80" t="n">
        <v>1</v>
      </c>
      <c r="R80" t="n">
        <v>0</v>
      </c>
      <c r="S80" t="n">
        <v>1</v>
      </c>
      <c r="T80" t="n">
        <v>1</v>
      </c>
      <c r="U80" t="n">
        <v>1</v>
      </c>
      <c r="V80" s="2" t="inlineStr">
        <is>
          <t>Svinrot</t>
        </is>
      </c>
      <c r="W80">
        <f>HYPERLINK("https://klasma.github.io/Logging_1907/artfynd/A 34955-2022 artfynd.xlsx", "A 34955-2022")</f>
        <v/>
      </c>
      <c r="X80">
        <f>HYPERLINK("https://klasma.github.io/Logging_1907/kartor/A 34955-2022 karta.png", "A 34955-2022")</f>
        <v/>
      </c>
      <c r="Y80">
        <f>HYPERLINK("https://klasma.github.io/Logging_1907/kartor_geotiff/A 34955-2022 georefererad karta.tif", "A 34955-2022")</f>
        <v/>
      </c>
      <c r="AA80">
        <f>HYPERLINK("https://klasma.github.io/Logging_1907/klagomål/A 34955-2022 FSC-klagomål.docx", "A 34955-2022")</f>
        <v/>
      </c>
      <c r="AB80">
        <f>HYPERLINK("https://klasma.github.io/Logging_1907/klagomålsmail/A 34955-2022 FSC-klagomål mail.docx", "A 34955-2022")</f>
        <v/>
      </c>
      <c r="AC80">
        <f>HYPERLINK("https://klasma.github.io/Logging_1907/tillsyn/A 34955-2022 tillsynsbegäran.docx", "A 34955-2022")</f>
        <v/>
      </c>
      <c r="AD80">
        <f>HYPERLINK("https://klasma.github.io/Logging_1907/tillsynsmail/A 34955-2022 tillsynsbegäran mail.docx", "A 34955-2022")</f>
        <v/>
      </c>
    </row>
    <row r="81" ht="15" customHeight="1">
      <c r="A81" t="inlineStr">
        <is>
          <t>A 10883-2023</t>
        </is>
      </c>
      <c r="B81" t="inlineStr">
        <is>
          <t>avverkningsanmälan</t>
        </is>
      </c>
      <c r="C81" t="inlineStr">
        <is>
          <t>Föryngringsavverkning</t>
        </is>
      </c>
      <c r="D81" s="1" t="n">
        <v>44991</v>
      </c>
      <c r="E81" s="1" t="n">
        <v>46316</v>
      </c>
      <c r="F81" t="inlineStr">
        <is>
          <t>VÄSTMANLANDS LÄN</t>
        </is>
      </c>
      <c r="G81" t="inlineStr">
        <is>
          <t>SURAHAMMAR</t>
        </is>
      </c>
      <c r="H81" t="inlineStr">
        <is>
          <t>Övriga Aktiebolag</t>
        </is>
      </c>
      <c r="I81" t="n">
        <v>12.5</v>
      </c>
      <c r="J81" t="n">
        <v>1</v>
      </c>
      <c r="K81" t="n">
        <v>0</v>
      </c>
      <c r="L81" t="n">
        <v>1</v>
      </c>
      <c r="M81" t="n">
        <v>0</v>
      </c>
      <c r="N81" t="n">
        <v>0</v>
      </c>
      <c r="O81" t="n">
        <v>0</v>
      </c>
      <c r="P81" t="n">
        <v>0</v>
      </c>
      <c r="Q81" t="n">
        <v>1</v>
      </c>
      <c r="R81" t="n">
        <v>0</v>
      </c>
      <c r="S81" t="n">
        <v>1</v>
      </c>
      <c r="T81" t="n">
        <v>1</v>
      </c>
      <c r="U81" t="n">
        <v>1</v>
      </c>
      <c r="V81" s="2" t="inlineStr">
        <is>
          <t>Talltita</t>
        </is>
      </c>
      <c r="W81">
        <f>HYPERLINK("https://klasma.github.io/Logging_1907/artfynd/A 10883-2023 artfynd.xlsx", "A 10883-2023")</f>
        <v/>
      </c>
      <c r="X81">
        <f>HYPERLINK("https://klasma.github.io/Logging_1907/kartor/A 10883-2023 karta.png", "A 10883-2023")</f>
        <v/>
      </c>
      <c r="Y81">
        <f>HYPERLINK("https://klasma.github.io/Logging_1907/kartor_geotiff/A 10883-2023 georefererad karta.tif", "A 10883-2023")</f>
        <v/>
      </c>
      <c r="AA81">
        <f>HYPERLINK("https://klasma.github.io/Logging_1907/klagomål/A 10883-2023 FSC-klagomål.docx", "A 10883-2023")</f>
        <v/>
      </c>
      <c r="AB81">
        <f>HYPERLINK("https://klasma.github.io/Logging_1907/klagomålsmail/A 10883-2023 FSC-klagomål mail.docx", "A 10883-2023")</f>
        <v/>
      </c>
      <c r="AC81">
        <f>HYPERLINK("https://klasma.github.io/Logging_1907/tillsyn/A 10883-2023 tillsynsbegäran.docx", "A 10883-2023")</f>
        <v/>
      </c>
      <c r="AD81">
        <f>HYPERLINK("https://klasma.github.io/Logging_1907/tillsynsmail/A 10883-2023 tillsynsbegäran mail.docx", "A 10883-2023")</f>
        <v/>
      </c>
      <c r="AE81">
        <f>HYPERLINK("https://klasma.github.io/Logging_1907/fåglar/A 10883-2023 prioriterade fågelarter.docx", "A 10883-2023")</f>
        <v/>
      </c>
    </row>
    <row r="82" ht="15" customHeight="1">
      <c r="A82" t="inlineStr">
        <is>
          <t>A 44356-2024</t>
        </is>
      </c>
      <c r="B82" t="inlineStr">
        <is>
          <t>avverkningsanmälan</t>
        </is>
      </c>
      <c r="C82" t="inlineStr">
        <is>
          <t>Föryngringsavverkning</t>
        </is>
      </c>
      <c r="D82" s="1" t="n">
        <v>45573</v>
      </c>
      <c r="E82" s="1" t="n">
        <v>46316</v>
      </c>
      <c r="F82" t="inlineStr">
        <is>
          <t>VÄSTMANLANDS LÄN</t>
        </is>
      </c>
      <c r="G82" t="inlineStr">
        <is>
          <t>SURAHAMMAR</t>
        </is>
      </c>
      <c r="H82" t="inlineStr">
        <is>
          <t>Sveaskog</t>
        </is>
      </c>
      <c r="I82" t="n">
        <v>0.7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HYPERLINK("https://klasma.github.io/Logging_1907/artfynd/A 44356-2024 artfynd.xlsx", "A 44356-2024")</f>
        <v/>
      </c>
      <c r="X82">
        <f>HYPERLINK("https://klasma.github.io/Logging_1907/kartor/A 44356-2024 karta.png", "A 44356-2024")</f>
        <v/>
      </c>
      <c r="Y82">
        <f>HYPERLINK("https://klasma.github.io/Logging_1907/kartor_geotiff/A 44356-2024 georefererad karta.tif", "A 44356-2024")</f>
        <v/>
      </c>
      <c r="AA82">
        <f>HYPERLINK("https://klasma.github.io/Logging_1907/klagomål/A 44356-2024 FSC-klagomål.docx", "A 44356-2024")</f>
        <v/>
      </c>
      <c r="AB82">
        <f>HYPERLINK("https://klasma.github.io/Logging_1907/klagomålsmail/A 44356-2024 FSC-klagomål mail.docx", "A 44356-2024")</f>
        <v/>
      </c>
      <c r="AC82">
        <f>HYPERLINK("https://klasma.github.io/Logging_1907/tillsyn/A 44356-2024 tillsynsbegäran.docx", "A 44356-2024")</f>
        <v/>
      </c>
      <c r="AD82">
        <f>HYPERLINK("https://klasma.github.io/Logging_1907/tillsynsmail/A 44356-2024 tillsynsbegäran mail.docx", "A 44356-2024")</f>
        <v/>
      </c>
    </row>
    <row r="83" ht="15" customHeight="1">
      <c r="A83" t="inlineStr">
        <is>
          <t>A 33231-2024</t>
        </is>
      </c>
      <c r="B83" t="inlineStr">
        <is>
          <t>avverkningsanmälan</t>
        </is>
      </c>
      <c r="C83" t="inlineStr">
        <is>
          <t>Föryngringsavverkning</t>
        </is>
      </c>
      <c r="D83" s="1" t="n">
        <v>45518</v>
      </c>
      <c r="E83" s="1" t="n">
        <v>46316</v>
      </c>
      <c r="F83" t="inlineStr">
        <is>
          <t>VÄSTMANLANDS LÄN</t>
        </is>
      </c>
      <c r="G83" t="inlineStr">
        <is>
          <t>SURAHAMMAR</t>
        </is>
      </c>
      <c r="H83" t="inlineStr">
        <is>
          <t>Bergvik skog väst AB</t>
        </is>
      </c>
      <c r="I83" t="n">
        <v>1.5</v>
      </c>
      <c r="J83" t="n">
        <v>1</v>
      </c>
      <c r="K83" t="n">
        <v>0</v>
      </c>
      <c r="L83" t="n">
        <v>0</v>
      </c>
      <c r="M83" t="n">
        <v>0</v>
      </c>
      <c r="N83" t="n">
        <v>0</v>
      </c>
      <c r="O83" t="n">
        <v>0</v>
      </c>
      <c r="P83" t="n">
        <v>0</v>
      </c>
      <c r="Q83" t="n">
        <v>0</v>
      </c>
      <c r="R83" t="n">
        <v>0</v>
      </c>
      <c r="S83" t="n">
        <v>1</v>
      </c>
      <c r="T83" t="n">
        <v>1</v>
      </c>
      <c r="U83" t="n">
        <v>1</v>
      </c>
      <c r="V83" s="2" t="inlineStr">
        <is>
          <t>Mindre vattensalamander</t>
        </is>
      </c>
      <c r="W83">
        <f>HYPERLINK("https://klasma.github.io/Logging_1907/artfynd/A 33231-2024 artfynd.xlsx", "A 33231-2024")</f>
        <v/>
      </c>
      <c r="X83">
        <f>HYPERLINK("https://klasma.github.io/Logging_1907/kartor/A 33231-2024 karta.png", "A 33231-2024")</f>
        <v/>
      </c>
      <c r="Y83">
        <f>HYPERLINK("https://klasma.github.io/Logging_1907/kartor_geotiff/A 33231-2024 georefererad karta.tif", "A 33231-2024")</f>
        <v/>
      </c>
      <c r="AA83">
        <f>HYPERLINK("https://klasma.github.io/Logging_1907/klagomål/A 33231-2024 FSC-klagomål.docx", "A 33231-2024")</f>
        <v/>
      </c>
      <c r="AB83">
        <f>HYPERLINK("https://klasma.github.io/Logging_1907/klagomålsmail/A 33231-2024 FSC-klagomål mail.docx", "A 33231-2024")</f>
        <v/>
      </c>
      <c r="AC83">
        <f>HYPERLINK("https://klasma.github.io/Logging_1907/tillsyn/A 33231-2024 tillsynsbegäran.docx", "A 33231-2024")</f>
        <v/>
      </c>
      <c r="AD83">
        <f>HYPERLINK("https://klasma.github.io/Logging_1907/tillsynsmail/A 33231-2024 tillsynsbegäran mail.docx", "A 33231-2024")</f>
        <v/>
      </c>
    </row>
    <row r="84" ht="15" customHeight="1">
      <c r="A84" t="inlineStr">
        <is>
          <t>A 31589-2026</t>
        </is>
      </c>
      <c r="B84" t="inlineStr">
        <is>
          <t>avverkningsanmälan</t>
        </is>
      </c>
      <c r="C84" t="inlineStr">
        <is>
          <t>Föryngringsavverkning</t>
        </is>
      </c>
      <c r="D84" s="1" t="n">
        <v>46224</v>
      </c>
      <c r="E84" s="1" t="n">
        <v>46316</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24167-2024</t>
        </is>
      </c>
      <c r="B85" t="inlineStr">
        <is>
          <t>avverkningsanmälan</t>
        </is>
      </c>
      <c r="C85" t="inlineStr">
        <is>
          <t>Avverkning för annat ändamål</t>
        </is>
      </c>
      <c r="D85" s="1" t="n">
        <v>45456</v>
      </c>
      <c r="E85" s="1" t="n">
        <v>46316</v>
      </c>
      <c r="F85" t="inlineStr">
        <is>
          <t>VÄSTMANLANDS LÄN</t>
        </is>
      </c>
      <c r="G85" t="inlineStr">
        <is>
          <t>SURAHAMMAR</t>
        </is>
      </c>
      <c r="I85" t="n">
        <v>0.6</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HYPERLINK("https://klasma.github.io/Logging_1907/artfynd/A 24167-2024 artfynd.xlsx", "A 24167-2024")</f>
        <v/>
      </c>
      <c r="X85">
        <f>HYPERLINK("https://klasma.github.io/Logging_1907/kartor/A 24167-2024 karta.png", "A 24167-2024")</f>
        <v/>
      </c>
      <c r="Y85">
        <f>HYPERLINK("https://klasma.github.io/Logging_1907/kartor_geotiff/A 24167-2024 georefererad karta.tif", "A 24167-2024")</f>
        <v/>
      </c>
      <c r="AA85">
        <f>HYPERLINK("https://klasma.github.io/Logging_1907/klagomål/A 24167-2024 FSC-klagomål.docx", "A 24167-2024")</f>
        <v/>
      </c>
      <c r="AB85">
        <f>HYPERLINK("https://klasma.github.io/Logging_1907/klagomålsmail/A 24167-2024 FSC-klagomål mail.docx", "A 24167-2024")</f>
        <v/>
      </c>
      <c r="AC85">
        <f>HYPERLINK("https://klasma.github.io/Logging_1907/tillsyn/A 24167-2024 tillsynsbegäran.docx", "A 24167-2024")</f>
        <v/>
      </c>
      <c r="AD85">
        <f>HYPERLINK("https://klasma.github.io/Logging_1907/tillsynsmail/A 24167-2024 tillsynsbegäran mail.docx", "A 24167-2024")</f>
        <v/>
      </c>
    </row>
    <row r="86" ht="15" customHeight="1">
      <c r="A86" t="inlineStr">
        <is>
          <t>A 16013-2023</t>
        </is>
      </c>
      <c r="B86" t="inlineStr">
        <is>
          <t>avverkningsanmälan</t>
        </is>
      </c>
      <c r="C86" t="inlineStr">
        <is>
          <t>Föryngringsavverkning</t>
        </is>
      </c>
      <c r="D86" s="1" t="n">
        <v>45026</v>
      </c>
      <c r="E86" s="1" t="n">
        <v>46316</v>
      </c>
      <c r="F86" t="inlineStr">
        <is>
          <t>VÄSTMANLANDS LÄN</t>
        </is>
      </c>
      <c r="G86" t="inlineStr">
        <is>
          <t>SURAHAMMAR</t>
        </is>
      </c>
      <c r="I86" t="n">
        <v>3.9</v>
      </c>
      <c r="J86" t="n">
        <v>0</v>
      </c>
      <c r="K86" t="n">
        <v>0</v>
      </c>
      <c r="L86" t="n">
        <v>0</v>
      </c>
      <c r="M86" t="n">
        <v>1</v>
      </c>
      <c r="N86" t="n">
        <v>0</v>
      </c>
      <c r="O86" t="n">
        <v>0</v>
      </c>
      <c r="P86" t="n">
        <v>0</v>
      </c>
      <c r="Q86" t="n">
        <v>1</v>
      </c>
      <c r="R86" t="n">
        <v>1</v>
      </c>
      <c r="S86" t="n">
        <v>1</v>
      </c>
      <c r="T86" t="n">
        <v>1</v>
      </c>
      <c r="U86" t="n">
        <v>0</v>
      </c>
      <c r="V86" s="2" t="inlineStr">
        <is>
          <t>Garnlav</t>
        </is>
      </c>
      <c r="W86">
        <f>HYPERLINK("https://klasma.github.io/Logging_1907/artfynd/A 16013-2023 artfynd.xlsx", "A 16013-2023")</f>
        <v/>
      </c>
      <c r="X86">
        <f>HYPERLINK("https://klasma.github.io/Logging_1907/kartor/A 16013-2023 karta.png", "A 16013-2023")</f>
        <v/>
      </c>
      <c r="Y86">
        <f>HYPERLINK("https://klasma.github.io/Logging_1907/kartor_geotiff/A 16013-2023 georefererad karta.tif", "A 16013-2023")</f>
        <v/>
      </c>
      <c r="AA86">
        <f>HYPERLINK("https://klasma.github.io/Logging_1907/klagomål/A 16013-2023 FSC-klagomål.docx", "A 16013-2023")</f>
        <v/>
      </c>
      <c r="AB86">
        <f>HYPERLINK("https://klasma.github.io/Logging_1907/klagomålsmail/A 16013-2023 FSC-klagomål mail.docx", "A 16013-2023")</f>
        <v/>
      </c>
      <c r="AC86">
        <f>HYPERLINK("https://klasma.github.io/Logging_1907/tillsyn/A 16013-2023 tillsynsbegäran.docx", "A 16013-2023")</f>
        <v/>
      </c>
      <c r="AD86">
        <f>HYPERLINK("https://klasma.github.io/Logging_1907/tillsynsmail/A 16013-2023 tillsynsbegäran mail.docx", "A 16013-2023")</f>
        <v/>
      </c>
    </row>
    <row r="87" ht="15" customHeight="1">
      <c r="A87" t="inlineStr">
        <is>
          <t>A 64073-2021</t>
        </is>
      </c>
      <c r="B87" t="inlineStr">
        <is>
          <t>avverkningsanmälan</t>
        </is>
      </c>
      <c r="C87" t="inlineStr">
        <is>
          <t>Avverkning för annat ändamål</t>
        </is>
      </c>
      <c r="D87" s="1" t="n">
        <v>44509</v>
      </c>
      <c r="E87" s="1" t="n">
        <v>46316</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46316</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46316</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46316</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46316</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46316</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46316</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46316</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46316</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46316</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46316</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15637-2022</t>
        </is>
      </c>
      <c r="B98" t="inlineStr">
        <is>
          <t>avverkningsanmälan</t>
        </is>
      </c>
      <c r="C98" t="inlineStr">
        <is>
          <t>Föryngringsavverkning</t>
        </is>
      </c>
      <c r="D98" s="1" t="n">
        <v>44662</v>
      </c>
      <c r="E98" s="1" t="n">
        <v>46316</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46316</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15739-2023</t>
        </is>
      </c>
      <c r="B100" t="inlineStr">
        <is>
          <t>avverkningsanmälan</t>
        </is>
      </c>
      <c r="C100" t="inlineStr">
        <is>
          <t>Föryngringsavverkning</t>
        </is>
      </c>
      <c r="D100" s="1" t="n">
        <v>45021</v>
      </c>
      <c r="E100" s="1" t="n">
        <v>46316</v>
      </c>
      <c r="F100" t="inlineStr">
        <is>
          <t>VÄSTMANLANDS LÄN</t>
        </is>
      </c>
      <c r="G100" t="inlineStr">
        <is>
          <t>SURAHAMMAR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7787-2024</t>
        </is>
      </c>
      <c r="B101" t="inlineStr">
        <is>
          <t>avverkningsanmälan</t>
        </is>
      </c>
      <c r="C101" t="inlineStr">
        <is>
          <t>Föryngringsavverkning</t>
        </is>
      </c>
      <c r="D101" s="1" t="n">
        <v>45348</v>
      </c>
      <c r="E101" s="1" t="n">
        <v>46316</v>
      </c>
      <c r="F101" t="inlineStr">
        <is>
          <t>VÄSTMANLANDS LÄN</t>
        </is>
      </c>
      <c r="G101" t="inlineStr">
        <is>
          <t>SURAHAMMAR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4724-2026</t>
        </is>
      </c>
      <c r="B102" t="inlineStr">
        <is>
          <t>avverkningsanmälan</t>
        </is>
      </c>
      <c r="C102" t="inlineStr">
        <is>
          <t>Föryngringsavverkning</t>
        </is>
      </c>
      <c r="D102" s="1" t="n">
        <v>46048</v>
      </c>
      <c r="E102" s="1" t="n">
        <v>46316</v>
      </c>
      <c r="F102" t="inlineStr">
        <is>
          <t>VÄSTMANLANDS LÄN</t>
        </is>
      </c>
      <c r="G102" t="inlineStr">
        <is>
          <t>SURAHAMMAR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4734-2026</t>
        </is>
      </c>
      <c r="B103" t="inlineStr">
        <is>
          <t>avverkningsanmälan</t>
        </is>
      </c>
      <c r="C103" t="inlineStr">
        <is>
          <t>Föryngringsavverkning</t>
        </is>
      </c>
      <c r="D103" s="1" t="n">
        <v>46048</v>
      </c>
      <c r="E103" s="1" t="n">
        <v>46316</v>
      </c>
      <c r="F103" t="inlineStr">
        <is>
          <t>VÄSTMANLANDS LÄN</t>
        </is>
      </c>
      <c r="G103" t="inlineStr">
        <is>
          <t>SURAHAMMAR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10244-2026</t>
        </is>
      </c>
      <c r="B104" t="inlineStr">
        <is>
          <t>avverkningsanmälan</t>
        </is>
      </c>
      <c r="C104" t="inlineStr">
        <is>
          <t>Föryngringsavverkning</t>
        </is>
      </c>
      <c r="D104" s="1" t="n">
        <v>46076</v>
      </c>
      <c r="E104" s="1" t="n">
        <v>46316</v>
      </c>
      <c r="F104" t="inlineStr">
        <is>
          <t>VÄSTMANLANDS LÄN</t>
        </is>
      </c>
      <c r="G104" t="inlineStr">
        <is>
          <t>SURAHAMMAR</t>
        </is>
      </c>
      <c r="H104" t="inlineStr">
        <is>
          <t>Allmännings- och besparingsskogar</t>
        </is>
      </c>
      <c r="I104" t="n">
        <v>8.699999999999999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10562-2026</t>
        </is>
      </c>
      <c r="B105" t="inlineStr">
        <is>
          <t>avverkningsanmälan</t>
        </is>
      </c>
      <c r="C105" t="inlineStr">
        <is>
          <t>Föryngringsavverkning</t>
        </is>
      </c>
      <c r="D105" s="1" t="n">
        <v>46077</v>
      </c>
      <c r="E105" s="1" t="n">
        <v>46316</v>
      </c>
      <c r="F105" t="inlineStr">
        <is>
          <t>VÄSTMANLANDS LÄN</t>
        </is>
      </c>
      <c r="G105" t="inlineStr">
        <is>
          <t>SURAHAMMAR</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12841-2026</t>
        </is>
      </c>
      <c r="B106" t="inlineStr">
        <is>
          <t>avverkningsanmälan</t>
        </is>
      </c>
      <c r="C106" t="inlineStr">
        <is>
          <t>Föryngringsavverkning</t>
        </is>
      </c>
      <c r="D106" s="1" t="n">
        <v>46091</v>
      </c>
      <c r="E106" s="1" t="n">
        <v>46316</v>
      </c>
      <c r="F106" t="inlineStr">
        <is>
          <t>VÄSTMANLANDS LÄN</t>
        </is>
      </c>
      <c r="G106" t="inlineStr">
        <is>
          <t>SURAHAMMAR</t>
        </is>
      </c>
      <c r="H106" t="inlineStr">
        <is>
          <t>Bergvik skog väst AB</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72367-2021</t>
        </is>
      </c>
      <c r="B107" t="inlineStr">
        <is>
          <t>avverkningsanmälan</t>
        </is>
      </c>
      <c r="C107" t="inlineStr">
        <is>
          <t>Föryngringsavverkning</t>
        </is>
      </c>
      <c r="D107" s="1" t="n">
        <v>44545</v>
      </c>
      <c r="E107" s="1" t="n">
        <v>46316</v>
      </c>
      <c r="F107" t="inlineStr">
        <is>
          <t>VÄSTMANLANDS LÄN</t>
        </is>
      </c>
      <c r="G107" t="inlineStr">
        <is>
          <t>SURAHAMMAR</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33931-2022</t>
        </is>
      </c>
      <c r="B108" t="inlineStr">
        <is>
          <t>avverkningsanmälan</t>
        </is>
      </c>
      <c r="C108" t="inlineStr">
        <is>
          <t>Föryngringsavverkning</t>
        </is>
      </c>
      <c r="D108" s="1" t="n">
        <v>44790</v>
      </c>
      <c r="E108" s="1" t="n">
        <v>46316</v>
      </c>
      <c r="F108" t="inlineStr">
        <is>
          <t>VÄSTMANLANDS LÄN</t>
        </is>
      </c>
      <c r="G108" t="inlineStr">
        <is>
          <t>SURAHAMMAR</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24158-2023</t>
        </is>
      </c>
      <c r="B109" t="inlineStr">
        <is>
          <t>avverkningsanmälan</t>
        </is>
      </c>
      <c r="C109" t="inlineStr">
        <is>
          <t>Föryngringsavverkning</t>
        </is>
      </c>
      <c r="D109" s="1" t="n">
        <v>45079</v>
      </c>
      <c r="E109" s="1" t="n">
        <v>46316</v>
      </c>
      <c r="F109" t="inlineStr">
        <is>
          <t>VÄSTMANLANDS LÄN</t>
        </is>
      </c>
      <c r="G109" t="inlineStr">
        <is>
          <t>SURAHAMMAR</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55873-2025</t>
        </is>
      </c>
      <c r="B110" t="inlineStr">
        <is>
          <t>avverkningsanmälan</t>
        </is>
      </c>
      <c r="C110" t="inlineStr">
        <is>
          <t>Föryngringsavverkning</t>
        </is>
      </c>
      <c r="D110" s="1" t="n">
        <v>45973</v>
      </c>
      <c r="E110" s="1" t="n">
        <v>46316</v>
      </c>
      <c r="F110" t="inlineStr">
        <is>
          <t>VÄSTMANLANDS LÄN</t>
        </is>
      </c>
      <c r="G110" t="inlineStr">
        <is>
          <t>SURAHAMMAR</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19246-2026</t>
        </is>
      </c>
      <c r="B111" t="inlineStr">
        <is>
          <t>avverkningsanmälan</t>
        </is>
      </c>
      <c r="C111" t="inlineStr">
        <is>
          <t>Avverkning för annat ändamål</t>
        </is>
      </c>
      <c r="D111" s="1" t="n">
        <v>46132</v>
      </c>
      <c r="E111" s="1" t="n">
        <v>46316</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42714-2022</t>
        </is>
      </c>
      <c r="B112" t="inlineStr">
        <is>
          <t>avverkningsanmälan</t>
        </is>
      </c>
      <c r="C112" t="inlineStr">
        <is>
          <t>Föryngringsavverkning</t>
        </is>
      </c>
      <c r="D112" s="1" t="n">
        <v>44832</v>
      </c>
      <c r="E112" s="1" t="n">
        <v>46316</v>
      </c>
      <c r="F112" t="inlineStr">
        <is>
          <t>VÄSTMANLANDS LÄN</t>
        </is>
      </c>
      <c r="G112" t="inlineStr">
        <is>
          <t>SURAHAMMAR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32808-2024</t>
        </is>
      </c>
      <c r="B113" t="inlineStr">
        <is>
          <t>avverkningsanmälan</t>
        </is>
      </c>
      <c r="C113" t="inlineStr">
        <is>
          <t>Föryngringsavverkning</t>
        </is>
      </c>
      <c r="D113" s="1" t="n">
        <v>45516</v>
      </c>
      <c r="E113" s="1" t="n">
        <v>46316</v>
      </c>
      <c r="F113" t="inlineStr">
        <is>
          <t>VÄSTMANLANDS LÄN</t>
        </is>
      </c>
      <c r="G113" t="inlineStr">
        <is>
          <t>SURAHAMMAR</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35682-2022</t>
        </is>
      </c>
      <c r="B114" t="inlineStr">
        <is>
          <t>avverkningsanmälan</t>
        </is>
      </c>
      <c r="C114" t="inlineStr">
        <is>
          <t>Föryngringsavverkning</t>
        </is>
      </c>
      <c r="D114" s="1" t="n">
        <v>44799</v>
      </c>
      <c r="E114" s="1" t="n">
        <v>46316</v>
      </c>
      <c r="F114" t="inlineStr">
        <is>
          <t>VÄSTMANLANDS LÄN</t>
        </is>
      </c>
      <c r="G114" t="inlineStr">
        <is>
          <t>SURAHAMMAR</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11728-2023</t>
        </is>
      </c>
      <c r="B115" t="inlineStr">
        <is>
          <t>avverkningsanmälan</t>
        </is>
      </c>
      <c r="C115" t="inlineStr">
        <is>
          <t>Avverkning för att bevara och utveckla /försöksver</t>
        </is>
      </c>
      <c r="D115" s="1" t="n">
        <v>44993</v>
      </c>
      <c r="E115" s="1" t="n">
        <v>46316</v>
      </c>
      <c r="F115" t="inlineStr">
        <is>
          <t>VÄSTMANLANDS LÄN</t>
        </is>
      </c>
      <c r="G115" t="inlineStr">
        <is>
          <t>SURAHAMMAR</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5567-2022</t>
        </is>
      </c>
      <c r="B116" t="inlineStr">
        <is>
          <t>avverkningsanmälan</t>
        </is>
      </c>
      <c r="C116" t="inlineStr">
        <is>
          <t>Föryngringsavverkning</t>
        </is>
      </c>
      <c r="D116" s="1" t="n">
        <v>44595</v>
      </c>
      <c r="E116" s="1" t="n">
        <v>46316</v>
      </c>
      <c r="F116" t="inlineStr">
        <is>
          <t>VÄSTMANLANDS LÄN</t>
        </is>
      </c>
      <c r="G116" t="inlineStr">
        <is>
          <t>SURAHAMMAR</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42832-2022</t>
        </is>
      </c>
      <c r="B117" t="inlineStr">
        <is>
          <t>avverkningsanmälan</t>
        </is>
      </c>
      <c r="C117" t="inlineStr">
        <is>
          <t>Avverkning för annat ändamål</t>
        </is>
      </c>
      <c r="D117" s="1" t="n">
        <v>44832</v>
      </c>
      <c r="E117" s="1" t="n">
        <v>46316</v>
      </c>
      <c r="F117" t="inlineStr">
        <is>
          <t>VÄSTMANLANDS LÄN</t>
        </is>
      </c>
      <c r="G117" t="inlineStr">
        <is>
          <t>SURAHAMMAR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24665-2023</t>
        </is>
      </c>
      <c r="B118" t="inlineStr">
        <is>
          <t>avverkningsanmälan</t>
        </is>
      </c>
      <c r="C118" t="inlineStr">
        <is>
          <t>Föryngringsavverkning</t>
        </is>
      </c>
      <c r="D118" s="1" t="n">
        <v>45084</v>
      </c>
      <c r="E118" s="1" t="n">
        <v>46316</v>
      </c>
      <c r="F118" t="inlineStr">
        <is>
          <t>VÄSTMANLANDS LÄN</t>
        </is>
      </c>
      <c r="G118" t="inlineStr">
        <is>
          <t>SURAHAMMAR</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42841-2022</t>
        </is>
      </c>
      <c r="B119" t="inlineStr">
        <is>
          <t>avverkningsanmälan</t>
        </is>
      </c>
      <c r="C119" t="inlineStr">
        <is>
          <t>Avverkning för annat ändamål</t>
        </is>
      </c>
      <c r="D119" s="1" t="n">
        <v>44832</v>
      </c>
      <c r="E119" s="1" t="n">
        <v>46316</v>
      </c>
      <c r="F119" t="inlineStr">
        <is>
          <t>VÄSTMANLANDS LÄN</t>
        </is>
      </c>
      <c r="G119" t="inlineStr">
        <is>
          <t>SURAHAMMAR</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42829-2022</t>
        </is>
      </c>
      <c r="B120" t="inlineStr">
        <is>
          <t>avverkningsanmälan</t>
        </is>
      </c>
      <c r="C120" t="inlineStr">
        <is>
          <t>Avverkning för annat ändamål</t>
        </is>
      </c>
      <c r="D120" s="1" t="n">
        <v>44832</v>
      </c>
      <c r="E120" s="1" t="n">
        <v>46316</v>
      </c>
      <c r="F120" t="inlineStr">
        <is>
          <t>VÄSTMANLANDS LÄN</t>
        </is>
      </c>
      <c r="G120" t="inlineStr">
        <is>
          <t>SURAHAMMAR</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49058-2024</t>
        </is>
      </c>
      <c r="B121" t="inlineStr">
        <is>
          <t>avverkningsanmälan</t>
        </is>
      </c>
      <c r="C121" t="inlineStr">
        <is>
          <t>Föryngringsavverkning</t>
        </is>
      </c>
      <c r="D121" s="1" t="n">
        <v>45594</v>
      </c>
      <c r="E121" s="1" t="n">
        <v>46316</v>
      </c>
      <c r="F121" t="inlineStr">
        <is>
          <t>VÄSTMANLANDS LÄN</t>
        </is>
      </c>
      <c r="G121" t="inlineStr">
        <is>
          <t>SURAHAMMAR</t>
        </is>
      </c>
      <c r="H121" t="inlineStr">
        <is>
          <t>Sveaskog</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2867-2024</t>
        </is>
      </c>
      <c r="B122" t="inlineStr">
        <is>
          <t>avverkningsanmälan</t>
        </is>
      </c>
      <c r="C122" t="inlineStr">
        <is>
          <t>Föryngringsavverkning</t>
        </is>
      </c>
      <c r="D122" s="1" t="n">
        <v>45315</v>
      </c>
      <c r="E122" s="1" t="n">
        <v>46316</v>
      </c>
      <c r="F122" t="inlineStr">
        <is>
          <t>VÄSTMANLANDS LÄN</t>
        </is>
      </c>
      <c r="G122" t="inlineStr">
        <is>
          <t>SURAHAMMAR</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3085-2023</t>
        </is>
      </c>
      <c r="B123" t="inlineStr">
        <is>
          <t>avverkningsanmälan</t>
        </is>
      </c>
      <c r="C123" t="inlineStr">
        <is>
          <t>Föryngringsavverkning</t>
        </is>
      </c>
      <c r="D123" s="1" t="n">
        <v>44946</v>
      </c>
      <c r="E123" s="1" t="n">
        <v>46316</v>
      </c>
      <c r="F123" t="inlineStr">
        <is>
          <t>VÄSTMANLANDS LÄN</t>
        </is>
      </c>
      <c r="G123" t="inlineStr">
        <is>
          <t>SURAHAMMAR</t>
        </is>
      </c>
      <c r="H123" t="inlineStr">
        <is>
          <t>Kyrkan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24201-2026</t>
        </is>
      </c>
      <c r="B124" t="inlineStr">
        <is>
          <t>avverkningsanmälan</t>
        </is>
      </c>
      <c r="C124" t="inlineStr">
        <is>
          <t>Föryngringsavverkning</t>
        </is>
      </c>
      <c r="D124" s="1" t="n">
        <v>46168</v>
      </c>
      <c r="E124" s="1" t="n">
        <v>46316</v>
      </c>
      <c r="F124" t="inlineStr">
        <is>
          <t>VÄSTMANLANDS LÄN</t>
        </is>
      </c>
      <c r="G124" t="inlineStr">
        <is>
          <t>SURAHAMMAR</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20904-2023</t>
        </is>
      </c>
      <c r="B125" t="inlineStr">
        <is>
          <t>avverkningsanmälan</t>
        </is>
      </c>
      <c r="C125" t="inlineStr">
        <is>
          <t>Avverkning för att bevara och utveckla /försöksver</t>
        </is>
      </c>
      <c r="D125" s="1" t="n">
        <v>45060</v>
      </c>
      <c r="E125" s="1" t="n">
        <v>46316</v>
      </c>
      <c r="F125" t="inlineStr">
        <is>
          <t>VÄSTMANLANDS LÄN</t>
        </is>
      </c>
      <c r="G125" t="inlineStr">
        <is>
          <t>SURAHAMMAR</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2660-2024</t>
        </is>
      </c>
      <c r="B126" t="inlineStr">
        <is>
          <t>avverkningsanmälan</t>
        </is>
      </c>
      <c r="C126" t="inlineStr">
        <is>
          <t>Föryngringsavverkning</t>
        </is>
      </c>
      <c r="D126" s="1" t="n">
        <v>45310</v>
      </c>
      <c r="E126" s="1" t="n">
        <v>46316</v>
      </c>
      <c r="F126" t="inlineStr">
        <is>
          <t>VÄSTMANLANDS LÄN</t>
        </is>
      </c>
      <c r="G126" t="inlineStr">
        <is>
          <t>SURAHAMMAR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22628-2026</t>
        </is>
      </c>
      <c r="B127" t="inlineStr">
        <is>
          <t>avverkningsanmälan</t>
        </is>
      </c>
      <c r="C127" t="inlineStr">
        <is>
          <t>Föryngringsavverkning</t>
        </is>
      </c>
      <c r="D127" s="1" t="n">
        <v>46155</v>
      </c>
      <c r="E127" s="1" t="n">
        <v>46316</v>
      </c>
      <c r="F127" t="inlineStr">
        <is>
          <t>VÄSTMANLANDS LÄN</t>
        </is>
      </c>
      <c r="G127" t="inlineStr">
        <is>
          <t>SURAHAMMAR</t>
        </is>
      </c>
      <c r="H127" t="inlineStr">
        <is>
          <t>Sveaskog</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14626-2023</t>
        </is>
      </c>
      <c r="B128" t="inlineStr">
        <is>
          <t>avverkningsanmälan</t>
        </is>
      </c>
      <c r="C128" t="inlineStr">
        <is>
          <t>Föryngringsavverkning</t>
        </is>
      </c>
      <c r="D128" s="1" t="n">
        <v>45012</v>
      </c>
      <c r="E128" s="1" t="n">
        <v>46316</v>
      </c>
      <c r="F128" t="inlineStr">
        <is>
          <t>VÄSTMANLANDS LÄN</t>
        </is>
      </c>
      <c r="G128" t="inlineStr">
        <is>
          <t>SURAHAMMAR</t>
        </is>
      </c>
      <c r="H128" t="inlineStr">
        <is>
          <t>Bergvik skog väst AB</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31061-2026</t>
        </is>
      </c>
      <c r="B129" t="inlineStr">
        <is>
          <t>avverkningsanmälan</t>
        </is>
      </c>
      <c r="C129" t="inlineStr">
        <is>
          <t>Föryngringsavverkning</t>
        </is>
      </c>
      <c r="D129" s="1" t="n">
        <v>46215</v>
      </c>
      <c r="E129" s="1" t="n">
        <v>46316</v>
      </c>
      <c r="F129" t="inlineStr">
        <is>
          <t>VÄSTMANLANDS LÄN</t>
        </is>
      </c>
      <c r="G129" t="inlineStr">
        <is>
          <t>SURAHAMMAR</t>
        </is>
      </c>
      <c r="H129" t="inlineStr">
        <is>
          <t>Sveaskog</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25450-2024</t>
        </is>
      </c>
      <c r="B130" t="inlineStr">
        <is>
          <t>avverkningsanmälan</t>
        </is>
      </c>
      <c r="C130" t="inlineStr">
        <is>
          <t>Föryngringsavverkning</t>
        </is>
      </c>
      <c r="D130" s="1" t="n">
        <v>45463</v>
      </c>
      <c r="E130" s="1" t="n">
        <v>46316</v>
      </c>
      <c r="F130" t="inlineStr">
        <is>
          <t>VÄSTMANLANDS LÄN</t>
        </is>
      </c>
      <c r="G130" t="inlineStr">
        <is>
          <t>SURAHAMMAR</t>
        </is>
      </c>
      <c r="H130" t="inlineStr">
        <is>
          <t>Bergvik skog väst AB</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32501-2026</t>
        </is>
      </c>
      <c r="B131" t="inlineStr">
        <is>
          <t>avverkningsanmälan</t>
        </is>
      </c>
      <c r="C131" t="inlineStr">
        <is>
          <t>Avverkning för annat ändamål</t>
        </is>
      </c>
      <c r="D131" s="1" t="n">
        <v>46239</v>
      </c>
      <c r="E131" s="1" t="n">
        <v>46316</v>
      </c>
      <c r="F131" t="inlineStr">
        <is>
          <t>VÄSTMANLANDS LÄN</t>
        </is>
      </c>
      <c r="G131" t="inlineStr">
        <is>
          <t>SURAHAMMAR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32223-2026</t>
        </is>
      </c>
      <c r="B132" t="inlineStr">
        <is>
          <t>avverkningsanmälan</t>
        </is>
      </c>
      <c r="C132" t="inlineStr">
        <is>
          <t>Föryngringsavverkning</t>
        </is>
      </c>
      <c r="D132" s="1" t="n">
        <v>46237</v>
      </c>
      <c r="E132" s="1" t="n">
        <v>46316</v>
      </c>
      <c r="F132" t="inlineStr">
        <is>
          <t>VÄSTMANLANDS LÄN</t>
        </is>
      </c>
      <c r="G132" t="inlineStr">
        <is>
          <t>SURAHAMMAR</t>
        </is>
      </c>
      <c r="H132" t="inlineStr">
        <is>
          <t>Allmännings- och besparingsskogar</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19782-2023</t>
        </is>
      </c>
      <c r="B133" t="inlineStr">
        <is>
          <t>avverkningsanmälan</t>
        </is>
      </c>
      <c r="C133" t="inlineStr">
        <is>
          <t>Föryngringsavverkning</t>
        </is>
      </c>
      <c r="D133" s="1" t="n">
        <v>45050</v>
      </c>
      <c r="E133" s="1" t="n">
        <v>46316</v>
      </c>
      <c r="F133" t="inlineStr">
        <is>
          <t>VÄSTMANLANDS LÄN</t>
        </is>
      </c>
      <c r="G133" t="inlineStr">
        <is>
          <t>SURAHAMMAR</t>
        </is>
      </c>
      <c r="H133" t="inlineStr">
        <is>
          <t>Bergvik skog väst AB</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7848-2022</t>
        </is>
      </c>
      <c r="B134" t="inlineStr">
        <is>
          <t>avverkningsanmälan</t>
        </is>
      </c>
      <c r="C134" t="inlineStr">
        <is>
          <t>Föryngringsavverkning</t>
        </is>
      </c>
      <c r="D134" s="1" t="n">
        <v>44608</v>
      </c>
      <c r="E134" s="1" t="n">
        <v>46316</v>
      </c>
      <c r="F134" t="inlineStr">
        <is>
          <t>VÄSTMANLANDS LÄN</t>
        </is>
      </c>
      <c r="G134" t="inlineStr">
        <is>
          <t>SURAHAMMAR</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33933-2026</t>
        </is>
      </c>
      <c r="B135" t="inlineStr">
        <is>
          <t>avverkningsanmälan</t>
        </is>
      </c>
      <c r="C135" t="inlineStr">
        <is>
          <t>Föryngringsavverkning</t>
        </is>
      </c>
      <c r="D135" s="1" t="n">
        <v>46248</v>
      </c>
      <c r="E135" s="1" t="n">
        <v>46316</v>
      </c>
      <c r="F135" t="inlineStr">
        <is>
          <t>VÄSTMANLANDS LÄN</t>
        </is>
      </c>
      <c r="G135" t="inlineStr">
        <is>
          <t>SURAHAMMAR</t>
        </is>
      </c>
      <c r="H135" t="inlineStr">
        <is>
          <t>Bergvik skog väst AB</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56378-2023</t>
        </is>
      </c>
      <c r="B136" t="inlineStr">
        <is>
          <t>avverkningsanmälan</t>
        </is>
      </c>
      <c r="C136" t="inlineStr">
        <is>
          <t>Föryngringsavverkning</t>
        </is>
      </c>
      <c r="D136" s="1" t="n">
        <v>45236</v>
      </c>
      <c r="E136" s="1" t="n">
        <v>46316</v>
      </c>
      <c r="F136" t="inlineStr">
        <is>
          <t>VÄSTMANLANDS LÄN</t>
        </is>
      </c>
      <c r="G136" t="inlineStr">
        <is>
          <t>SURAHAMMAR</t>
        </is>
      </c>
      <c r="H136" t="inlineStr">
        <is>
          <t>Bergvik skog väst AB</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19099-2022</t>
        </is>
      </c>
      <c r="B137" t="inlineStr">
        <is>
          <t>avverkningsanmälan</t>
        </is>
      </c>
      <c r="C137" t="inlineStr">
        <is>
          <t>Föryngringsavverkning</t>
        </is>
      </c>
      <c r="D137" s="1" t="n">
        <v>44691</v>
      </c>
      <c r="E137" s="1" t="n">
        <v>46316</v>
      </c>
      <c r="F137" t="inlineStr">
        <is>
          <t>VÄSTMANLANDS LÄN</t>
        </is>
      </c>
      <c r="G137" t="inlineStr">
        <is>
          <t>SURAHAMMAR</t>
        </is>
      </c>
      <c r="H137" t="inlineStr">
        <is>
          <t>Övriga Aktiebolag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3818-2022</t>
        </is>
      </c>
      <c r="B138" t="inlineStr">
        <is>
          <t>avverkningsanmälan</t>
        </is>
      </c>
      <c r="C138" t="inlineStr">
        <is>
          <t>Föryngringsavverkning</t>
        </is>
      </c>
      <c r="D138" s="1" t="n">
        <v>44587</v>
      </c>
      <c r="E138" s="1" t="n">
        <v>46316</v>
      </c>
      <c r="F138" t="inlineStr">
        <is>
          <t>VÄSTMANLANDS LÄN</t>
        </is>
      </c>
      <c r="G138" t="inlineStr">
        <is>
          <t>SURAHAMMAR</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37954-2025</t>
        </is>
      </c>
      <c r="B139" t="inlineStr">
        <is>
          <t>avverkningsanmälan</t>
        </is>
      </c>
      <c r="C139" t="inlineStr">
        <is>
          <t>Föryngringsavverkning</t>
        </is>
      </c>
      <c r="D139" s="1" t="n">
        <v>45881</v>
      </c>
      <c r="E139" s="1" t="n">
        <v>46316</v>
      </c>
      <c r="F139" t="inlineStr">
        <is>
          <t>VÄSTMANLANDS LÄN</t>
        </is>
      </c>
      <c r="G139" t="inlineStr">
        <is>
          <t>SURAHAMMAR</t>
        </is>
      </c>
      <c r="I139" t="n">
        <v>9.5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21509-2024</t>
        </is>
      </c>
      <c r="B140" t="inlineStr">
        <is>
          <t>avverkningsanmälan</t>
        </is>
      </c>
      <c r="C140" t="inlineStr">
        <is>
          <t>Föryngringsavverkning</t>
        </is>
      </c>
      <c r="D140" s="1" t="n">
        <v>45441</v>
      </c>
      <c r="E140" s="1" t="n">
        <v>46316</v>
      </c>
      <c r="F140" t="inlineStr">
        <is>
          <t>VÄSTMANLANDS LÄN</t>
        </is>
      </c>
      <c r="G140" t="inlineStr">
        <is>
          <t>SURAHAMMAR</t>
        </is>
      </c>
      <c r="H140" t="inlineStr">
        <is>
          <t>Bergvik skog väst AB</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22662-2023</t>
        </is>
      </c>
      <c r="B141" t="inlineStr">
        <is>
          <t>avverkningsanmälan</t>
        </is>
      </c>
      <c r="C141" t="inlineStr">
        <is>
          <t>Avverkning för att bevara och utveckla /försöksver</t>
        </is>
      </c>
      <c r="D141" s="1" t="n">
        <v>45071</v>
      </c>
      <c r="E141" s="1" t="n">
        <v>46316</v>
      </c>
      <c r="F141" t="inlineStr">
        <is>
          <t>VÄSTMANLANDS LÄN</t>
        </is>
      </c>
      <c r="G141" t="inlineStr">
        <is>
          <t>SURAHAMMAR</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25780-2023</t>
        </is>
      </c>
      <c r="B142" t="inlineStr">
        <is>
          <t>avverkningsanmälan</t>
        </is>
      </c>
      <c r="C142" t="inlineStr">
        <is>
          <t>Föryngringsavverkning</t>
        </is>
      </c>
      <c r="D142" s="1" t="n">
        <v>45090</v>
      </c>
      <c r="E142" s="1" t="n">
        <v>46316</v>
      </c>
      <c r="F142" t="inlineStr">
        <is>
          <t>VÄSTMANLANDS LÄN</t>
        </is>
      </c>
      <c r="G142" t="inlineStr">
        <is>
          <t>SURAHAMMAR</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46316</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46316</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46316</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2026-10-21T02:02:46Z</dcterms:created>
  <dcterms:modified xmlns:dcterms="http://purl.org/dc/terms/" xmlns:xsi="http://www.w3.org/2001/XMLSchema-instance" xsi:type="dcterms:W3CDTF">2026-10-21T02:02:46Z</dcterms:modified>
</cp:coreProperties>
</file>