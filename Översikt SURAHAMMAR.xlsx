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46052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46052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46052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46052</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46052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46052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46052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46052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46052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46052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46052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46052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46052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46052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46052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46052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46052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46052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46052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46052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46052</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46052</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46052</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46052</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46052</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46052</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20391-2024</t>
        </is>
      </c>
      <c r="B28" s="1" t="n">
        <v>45435</v>
      </c>
      <c r="C28" s="1" t="n">
        <v>46052</v>
      </c>
      <c r="D28" t="inlineStr">
        <is>
          <t>VÄSTMANLANDS LÄN</t>
        </is>
      </c>
      <c r="E28" t="inlineStr">
        <is>
          <t>SURAHAMMAR</t>
        </is>
      </c>
      <c r="G28" t="n">
        <v>1.5</v>
      </c>
      <c r="H28" t="n">
        <v>0</v>
      </c>
      <c r="I28" t="n">
        <v>2</v>
      </c>
      <c r="J28" t="n">
        <v>1</v>
      </c>
      <c r="K28" t="n">
        <v>0</v>
      </c>
      <c r="L28" t="n">
        <v>0</v>
      </c>
      <c r="M28" t="n">
        <v>0</v>
      </c>
      <c r="N28" t="n">
        <v>0</v>
      </c>
      <c r="O28" t="n">
        <v>1</v>
      </c>
      <c r="P28" t="n">
        <v>0</v>
      </c>
      <c r="Q28" t="n">
        <v>3</v>
      </c>
      <c r="R28" s="2" t="inlineStr">
        <is>
          <t>Vedtrappmossa
Kattfotslav
Stubbspretmossa</t>
        </is>
      </c>
      <c r="S28">
        <f>HYPERLINK("https://klasma.github.io/Logging_1907/artfynd/A 20391-2024 artfynd.xlsx", "A 20391-2024")</f>
        <v/>
      </c>
      <c r="T28">
        <f>HYPERLINK("https://klasma.github.io/Logging_1907/kartor/A 20391-2024 karta.png", "A 20391-2024")</f>
        <v/>
      </c>
      <c r="V28">
        <f>HYPERLINK("https://klasma.github.io/Logging_1907/klagomål/A 20391-2024 FSC-klagomål.docx", "A 20391-2024")</f>
        <v/>
      </c>
      <c r="W28">
        <f>HYPERLINK("https://klasma.github.io/Logging_1907/klagomålsmail/A 20391-2024 FSC-klagomål mail.docx", "A 20391-2024")</f>
        <v/>
      </c>
      <c r="X28">
        <f>HYPERLINK("https://klasma.github.io/Logging_1907/tillsyn/A 20391-2024 tillsynsbegäran.docx", "A 20391-2024")</f>
        <v/>
      </c>
      <c r="Y28">
        <f>HYPERLINK("https://klasma.github.io/Logging_1907/tillsynsmail/A 20391-2024 tillsynsbegäran mail.docx", "A 20391-2024")</f>
        <v/>
      </c>
    </row>
    <row r="29" ht="15" customHeight="1">
      <c r="A29" t="inlineStr">
        <is>
          <t>A 48128-2023</t>
        </is>
      </c>
      <c r="B29" s="1" t="n">
        <v>45205</v>
      </c>
      <c r="C29" s="1" t="n">
        <v>46052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46052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42853-2022</t>
        </is>
      </c>
      <c r="B31" s="1" t="n">
        <v>44832</v>
      </c>
      <c r="C31" s="1" t="n">
        <v>46052</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42708-2022</t>
        </is>
      </c>
      <c r="B32" s="1" t="n">
        <v>44832</v>
      </c>
      <c r="C32" s="1" t="n">
        <v>46052</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38200-2021</t>
        </is>
      </c>
      <c r="B33" s="1" t="n">
        <v>44405</v>
      </c>
      <c r="C33" s="1" t="n">
        <v>46052</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29707-2025</t>
        </is>
      </c>
      <c r="B34" s="1" t="n">
        <v>45825.56100694444</v>
      </c>
      <c r="C34" s="1" t="n">
        <v>46052</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39694-2025</t>
        </is>
      </c>
      <c r="B35" s="1" t="n">
        <v>45890</v>
      </c>
      <c r="C35" s="1" t="n">
        <v>46052</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49718-2023</t>
        </is>
      </c>
      <c r="B36" s="1" t="n">
        <v>45212</v>
      </c>
      <c r="C36" s="1" t="n">
        <v>46052</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8552-2022</t>
        </is>
      </c>
      <c r="B37" s="1" t="n">
        <v>44613</v>
      </c>
      <c r="C37" s="1" t="n">
        <v>46052</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46052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46052</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37800-2021</t>
        </is>
      </c>
      <c r="B40" s="1" t="n">
        <v>44402</v>
      </c>
      <c r="C40" s="1" t="n">
        <v>46052</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4082-2025</t>
        </is>
      </c>
      <c r="B41" s="1" t="n">
        <v>45684</v>
      </c>
      <c r="C41" s="1" t="n">
        <v>46052</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41204-2023</t>
        </is>
      </c>
      <c r="B42" s="1" t="n">
        <v>45174</v>
      </c>
      <c r="C42" s="1" t="n">
        <v>46052</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41576-2022</t>
        </is>
      </c>
      <c r="B43" s="1" t="n">
        <v>44826</v>
      </c>
      <c r="C43" s="1" t="n">
        <v>46052</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46052</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40403-2025</t>
        </is>
      </c>
      <c r="B45" s="1" t="n">
        <v>45895</v>
      </c>
      <c r="C45" s="1" t="n">
        <v>46052</v>
      </c>
      <c r="D45" t="inlineStr">
        <is>
          <t>VÄSTMANLANDS LÄN</t>
        </is>
      </c>
      <c r="E45" t="inlineStr">
        <is>
          <t>SURAHAMMAR</t>
        </is>
      </c>
      <c r="F45" t="inlineStr">
        <is>
          <t>Kommuner</t>
        </is>
      </c>
      <c r="G45" t="n">
        <v>3.9</v>
      </c>
      <c r="H45" t="n">
        <v>1</v>
      </c>
      <c r="I45" t="n">
        <v>0</v>
      </c>
      <c r="J45" t="n">
        <v>1</v>
      </c>
      <c r="K45" t="n">
        <v>0</v>
      </c>
      <c r="L45" t="n">
        <v>0</v>
      </c>
      <c r="M45" t="n">
        <v>0</v>
      </c>
      <c r="N45" t="n">
        <v>0</v>
      </c>
      <c r="O45" t="n">
        <v>1</v>
      </c>
      <c r="P45" t="n">
        <v>0</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c r="Z45">
        <f>HYPERLINK("https://klasma.github.io/Logging_1907/fåglar/A 40403-2025 prioriterade fågelarter.docx", "A 40403-2025")</f>
        <v/>
      </c>
    </row>
    <row r="46" ht="15" customHeight="1">
      <c r="A46" t="inlineStr">
        <is>
          <t>A 63146-2025</t>
        </is>
      </c>
      <c r="B46" s="1" t="n">
        <v>46009</v>
      </c>
      <c r="C46" s="1" t="n">
        <v>46052</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38170-2021</t>
        </is>
      </c>
      <c r="B47" s="1" t="n">
        <v>44405.43472222222</v>
      </c>
      <c r="C47" s="1" t="n">
        <v>46052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46052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46052</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67611-2021</t>
        </is>
      </c>
      <c r="B50" s="1" t="n">
        <v>44524</v>
      </c>
      <c r="C50" s="1" t="n">
        <v>46052</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30074-2023</t>
        </is>
      </c>
      <c r="B51" s="1" t="n">
        <v>45110</v>
      </c>
      <c r="C51" s="1" t="n">
        <v>46052</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44356-2024</t>
        </is>
      </c>
      <c r="B52" s="1" t="n">
        <v>45573</v>
      </c>
      <c r="C52" s="1" t="n">
        <v>46052</v>
      </c>
      <c r="D52" t="inlineStr">
        <is>
          <t>VÄSTMANLANDS LÄN</t>
        </is>
      </c>
      <c r="E52" t="inlineStr">
        <is>
          <t>SURAHAMMAR</t>
        </is>
      </c>
      <c r="F52" t="inlineStr">
        <is>
          <t>Sveaskog</t>
        </is>
      </c>
      <c r="G52" t="n">
        <v>0.7</v>
      </c>
      <c r="H52" t="n">
        <v>1</v>
      </c>
      <c r="I52" t="n">
        <v>0</v>
      </c>
      <c r="J52" t="n">
        <v>0</v>
      </c>
      <c r="K52" t="n">
        <v>0</v>
      </c>
      <c r="L52" t="n">
        <v>0</v>
      </c>
      <c r="M52" t="n">
        <v>0</v>
      </c>
      <c r="N52" t="n">
        <v>0</v>
      </c>
      <c r="O52" t="n">
        <v>0</v>
      </c>
      <c r="P52" t="n">
        <v>0</v>
      </c>
      <c r="Q52" t="n">
        <v>1</v>
      </c>
      <c r="R52" s="2" t="inlineStr">
        <is>
          <t>Revlummer</t>
        </is>
      </c>
      <c r="S52">
        <f>HYPERLINK("https://klasma.github.io/Logging_1907/artfynd/A 44356-2024 artfynd.xlsx", "A 44356-2024")</f>
        <v/>
      </c>
      <c r="T52">
        <f>HYPERLINK("https://klasma.github.io/Logging_1907/kartor/A 44356-2024 karta.png", "A 44356-2024")</f>
        <v/>
      </c>
      <c r="V52">
        <f>HYPERLINK("https://klasma.github.io/Logging_1907/klagomål/A 44356-2024 FSC-klagomål.docx", "A 44356-2024")</f>
        <v/>
      </c>
      <c r="W52">
        <f>HYPERLINK("https://klasma.github.io/Logging_1907/klagomålsmail/A 44356-2024 FSC-klagomål mail.docx", "A 44356-2024")</f>
        <v/>
      </c>
      <c r="X52">
        <f>HYPERLINK("https://klasma.github.io/Logging_1907/tillsyn/A 44356-2024 tillsynsbegäran.docx", "A 44356-2024")</f>
        <v/>
      </c>
      <c r="Y52">
        <f>HYPERLINK("https://klasma.github.io/Logging_1907/tillsynsmail/A 44356-2024 tillsynsbegäran mail.docx", "A 44356-2024")</f>
        <v/>
      </c>
    </row>
    <row r="53" ht="15" customHeight="1">
      <c r="A53" t="inlineStr">
        <is>
          <t>A 40411-2021</t>
        </is>
      </c>
      <c r="B53" s="1" t="n">
        <v>44419</v>
      </c>
      <c r="C53" s="1" t="n">
        <v>46052</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22840-2023</t>
        </is>
      </c>
      <c r="B54" s="1" t="n">
        <v>45072</v>
      </c>
      <c r="C54" s="1" t="n">
        <v>46052</v>
      </c>
      <c r="D54" t="inlineStr">
        <is>
          <t>VÄSTMANLANDS LÄN</t>
        </is>
      </c>
      <c r="E54" t="inlineStr">
        <is>
          <t>SURAHAMMAR</t>
        </is>
      </c>
      <c r="G54" t="n">
        <v>4.3</v>
      </c>
      <c r="H54" t="n">
        <v>1</v>
      </c>
      <c r="I54" t="n">
        <v>0</v>
      </c>
      <c r="J54" t="n">
        <v>0</v>
      </c>
      <c r="K54" t="n">
        <v>0</v>
      </c>
      <c r="L54" t="n">
        <v>0</v>
      </c>
      <c r="M54" t="n">
        <v>0</v>
      </c>
      <c r="N54" t="n">
        <v>0</v>
      </c>
      <c r="O54" t="n">
        <v>0</v>
      </c>
      <c r="P54" t="n">
        <v>0</v>
      </c>
      <c r="Q54" t="n">
        <v>1</v>
      </c>
      <c r="R54" s="2" t="inlineStr">
        <is>
          <t>Fläcknycklar</t>
        </is>
      </c>
      <c r="S54">
        <f>HYPERLINK("https://klasma.github.io/Logging_1907/artfynd/A 22840-2023 artfynd.xlsx", "A 22840-2023")</f>
        <v/>
      </c>
      <c r="T54">
        <f>HYPERLINK("https://klasma.github.io/Logging_1907/kartor/A 22840-2023 karta.png", "A 22840-2023")</f>
        <v/>
      </c>
      <c r="V54">
        <f>HYPERLINK("https://klasma.github.io/Logging_1907/klagomål/A 22840-2023 FSC-klagomål.docx", "A 22840-2023")</f>
        <v/>
      </c>
      <c r="W54">
        <f>HYPERLINK("https://klasma.github.io/Logging_1907/klagomålsmail/A 22840-2023 FSC-klagomål mail.docx", "A 22840-2023")</f>
        <v/>
      </c>
      <c r="X54">
        <f>HYPERLINK("https://klasma.github.io/Logging_1907/tillsyn/A 22840-2023 tillsynsbegäran.docx", "A 22840-2023")</f>
        <v/>
      </c>
      <c r="Y54">
        <f>HYPERLINK("https://klasma.github.io/Logging_1907/tillsynsmail/A 22840-2023 tillsynsbegäran mail.docx", "A 22840-2023")</f>
        <v/>
      </c>
    </row>
    <row r="55" ht="15" customHeight="1">
      <c r="A55" t="inlineStr">
        <is>
          <t>A 33231-2024</t>
        </is>
      </c>
      <c r="B55" s="1" t="n">
        <v>45518</v>
      </c>
      <c r="C55" s="1" t="n">
        <v>46052</v>
      </c>
      <c r="D55" t="inlineStr">
        <is>
          <t>VÄSTMANLANDS LÄN</t>
        </is>
      </c>
      <c r="E55" t="inlineStr">
        <is>
          <t>SURAHAMMAR</t>
        </is>
      </c>
      <c r="F55" t="inlineStr">
        <is>
          <t>Bergvik skog väst AB</t>
        </is>
      </c>
      <c r="G55" t="n">
        <v>1.5</v>
      </c>
      <c r="H55" t="n">
        <v>1</v>
      </c>
      <c r="I55" t="n">
        <v>0</v>
      </c>
      <c r="J55" t="n">
        <v>0</v>
      </c>
      <c r="K55" t="n">
        <v>0</v>
      </c>
      <c r="L55" t="n">
        <v>0</v>
      </c>
      <c r="M55" t="n">
        <v>0</v>
      </c>
      <c r="N55" t="n">
        <v>0</v>
      </c>
      <c r="O55" t="n">
        <v>0</v>
      </c>
      <c r="P55" t="n">
        <v>0</v>
      </c>
      <c r="Q55" t="n">
        <v>1</v>
      </c>
      <c r="R55" s="2" t="inlineStr">
        <is>
          <t>Mindre vattensalamander</t>
        </is>
      </c>
      <c r="S55">
        <f>HYPERLINK("https://klasma.github.io/Logging_1907/artfynd/A 33231-2024 artfynd.xlsx", "A 33231-2024")</f>
        <v/>
      </c>
      <c r="T55">
        <f>HYPERLINK("https://klasma.github.io/Logging_1907/kartor/A 33231-2024 karta.png", "A 33231-2024")</f>
        <v/>
      </c>
      <c r="V55">
        <f>HYPERLINK("https://klasma.github.io/Logging_1907/klagomål/A 33231-2024 FSC-klagomål.docx", "A 33231-2024")</f>
        <v/>
      </c>
      <c r="W55">
        <f>HYPERLINK("https://klasma.github.io/Logging_1907/klagomålsmail/A 33231-2024 FSC-klagomål mail.docx", "A 33231-2024")</f>
        <v/>
      </c>
      <c r="X55">
        <f>HYPERLINK("https://klasma.github.io/Logging_1907/tillsyn/A 33231-2024 tillsynsbegäran.docx", "A 33231-2024")</f>
        <v/>
      </c>
      <c r="Y55">
        <f>HYPERLINK("https://klasma.github.io/Logging_1907/tillsynsmail/A 33231-2024 tillsynsbegäran mail.docx", "A 33231-2024")</f>
        <v/>
      </c>
    </row>
    <row r="56" ht="15" customHeight="1">
      <c r="A56" t="inlineStr">
        <is>
          <t>A 13788-2025</t>
        </is>
      </c>
      <c r="B56" s="1" t="n">
        <v>45737.45327546296</v>
      </c>
      <c r="C56" s="1" t="n">
        <v>46052</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56362-2023</t>
        </is>
      </c>
      <c r="B57" s="1" t="n">
        <v>45236</v>
      </c>
      <c r="C57" s="1" t="n">
        <v>46052</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46052</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25583-2024</t>
        </is>
      </c>
      <c r="B59" s="1" t="n">
        <v>45463</v>
      </c>
      <c r="C59" s="1" t="n">
        <v>46052</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46052</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14001-2023</t>
        </is>
      </c>
      <c r="B61" s="1" t="n">
        <v>45007</v>
      </c>
      <c r="C61" s="1" t="n">
        <v>46052</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34582-2025</t>
        </is>
      </c>
      <c r="B62" s="1" t="n">
        <v>45846</v>
      </c>
      <c r="C62" s="1" t="n">
        <v>46052</v>
      </c>
      <c r="D62" t="inlineStr">
        <is>
          <t>VÄSTMANLANDS LÄN</t>
        </is>
      </c>
      <c r="E62" t="inlineStr">
        <is>
          <t>SURAHAMMAR</t>
        </is>
      </c>
      <c r="F62" t="inlineStr">
        <is>
          <t>Bergvik skog väst AB</t>
        </is>
      </c>
      <c r="G62" t="n">
        <v>2.6</v>
      </c>
      <c r="H62" t="n">
        <v>1</v>
      </c>
      <c r="I62" t="n">
        <v>0</v>
      </c>
      <c r="J62" t="n">
        <v>1</v>
      </c>
      <c r="K62" t="n">
        <v>0</v>
      </c>
      <c r="L62" t="n">
        <v>0</v>
      </c>
      <c r="M62" t="n">
        <v>0</v>
      </c>
      <c r="N62" t="n">
        <v>0</v>
      </c>
      <c r="O62" t="n">
        <v>1</v>
      </c>
      <c r="P62" t="n">
        <v>0</v>
      </c>
      <c r="Q62" t="n">
        <v>1</v>
      </c>
      <c r="R62" s="2" t="inlineStr">
        <is>
          <t>Järpe</t>
        </is>
      </c>
      <c r="S62">
        <f>HYPERLINK("https://klasma.github.io/Logging_1907/artfynd/A 34582-2025 artfynd.xlsx", "A 34582-2025")</f>
        <v/>
      </c>
      <c r="T62">
        <f>HYPERLINK("https://klasma.github.io/Logging_1907/kartor/A 34582-2025 karta.png", "A 34582-2025")</f>
        <v/>
      </c>
      <c r="V62">
        <f>HYPERLINK("https://klasma.github.io/Logging_1907/klagomål/A 34582-2025 FSC-klagomål.docx", "A 34582-2025")</f>
        <v/>
      </c>
      <c r="W62">
        <f>HYPERLINK("https://klasma.github.io/Logging_1907/klagomålsmail/A 34582-2025 FSC-klagomål mail.docx", "A 34582-2025")</f>
        <v/>
      </c>
      <c r="X62">
        <f>HYPERLINK("https://klasma.github.io/Logging_1907/tillsyn/A 34582-2025 tillsynsbegäran.docx", "A 34582-2025")</f>
        <v/>
      </c>
      <c r="Y62">
        <f>HYPERLINK("https://klasma.github.io/Logging_1907/tillsynsmail/A 34582-2025 tillsynsbegäran mail.docx", "A 34582-2025")</f>
        <v/>
      </c>
      <c r="Z62">
        <f>HYPERLINK("https://klasma.github.io/Logging_1907/fåglar/A 34582-2025 prioriterade fågelarter.docx", "A 34582-2025")</f>
        <v/>
      </c>
    </row>
    <row r="63" ht="15" customHeight="1">
      <c r="A63" t="inlineStr">
        <is>
          <t>A 42765-2022</t>
        </is>
      </c>
      <c r="B63" s="1" t="n">
        <v>44832</v>
      </c>
      <c r="C63" s="1" t="n">
        <v>46052</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10819-2024</t>
        </is>
      </c>
      <c r="B64" s="1" t="n">
        <v>45369.66049768519</v>
      </c>
      <c r="C64" s="1" t="n">
        <v>46052</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42089-2025</t>
        </is>
      </c>
      <c r="B65" s="1" t="n">
        <v>45902</v>
      </c>
      <c r="C65" s="1" t="n">
        <v>46052</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13971-2023</t>
        </is>
      </c>
      <c r="B66" s="1" t="n">
        <v>45007</v>
      </c>
      <c r="C66" s="1" t="n">
        <v>46052</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69777-2021</t>
        </is>
      </c>
      <c r="B67" s="1" t="n">
        <v>44532</v>
      </c>
      <c r="C67" s="1" t="n">
        <v>46052</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17632-2022</t>
        </is>
      </c>
      <c r="B68" s="1" t="n">
        <v>44680</v>
      </c>
      <c r="C68" s="1" t="n">
        <v>46052</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31176-2024</t>
        </is>
      </c>
      <c r="B69" s="1" t="n">
        <v>45503</v>
      </c>
      <c r="C69" s="1" t="n">
        <v>46052</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46052</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55042-2025</t>
        </is>
      </c>
      <c r="B71" s="1" t="n">
        <v>45967.65858796296</v>
      </c>
      <c r="C71" s="1" t="n">
        <v>46052</v>
      </c>
      <c r="D71" t="inlineStr">
        <is>
          <t>VÄSTMANLANDS LÄN</t>
        </is>
      </c>
      <c r="E71" t="inlineStr">
        <is>
          <t>SURAHAMMAR</t>
        </is>
      </c>
      <c r="F71" t="inlineStr">
        <is>
          <t>Sveaskog</t>
        </is>
      </c>
      <c r="G71" t="n">
        <v>7.2</v>
      </c>
      <c r="H71" t="n">
        <v>0</v>
      </c>
      <c r="I71" t="n">
        <v>0</v>
      </c>
      <c r="J71" t="n">
        <v>1</v>
      </c>
      <c r="K71" t="n">
        <v>0</v>
      </c>
      <c r="L71" t="n">
        <v>0</v>
      </c>
      <c r="M71" t="n">
        <v>0</v>
      </c>
      <c r="N71" t="n">
        <v>0</v>
      </c>
      <c r="O71" t="n">
        <v>1</v>
      </c>
      <c r="P71" t="n">
        <v>0</v>
      </c>
      <c r="Q71" t="n">
        <v>1</v>
      </c>
      <c r="R71" s="2" t="inlineStr">
        <is>
          <t>Motaggsvamp</t>
        </is>
      </c>
      <c r="S71">
        <f>HYPERLINK("https://klasma.github.io/Logging_1907/artfynd/A 55042-2025 artfynd.xlsx", "A 55042-2025")</f>
        <v/>
      </c>
      <c r="T71">
        <f>HYPERLINK("https://klasma.github.io/Logging_1907/kartor/A 55042-2025 karta.png", "A 55042-2025")</f>
        <v/>
      </c>
      <c r="V71">
        <f>HYPERLINK("https://klasma.github.io/Logging_1907/klagomål/A 55042-2025 FSC-klagomål.docx", "A 55042-2025")</f>
        <v/>
      </c>
      <c r="W71">
        <f>HYPERLINK("https://klasma.github.io/Logging_1907/klagomålsmail/A 55042-2025 FSC-klagomål mail.docx", "A 55042-2025")</f>
        <v/>
      </c>
      <c r="X71">
        <f>HYPERLINK("https://klasma.github.io/Logging_1907/tillsyn/A 55042-2025 tillsynsbegäran.docx", "A 55042-2025")</f>
        <v/>
      </c>
      <c r="Y71">
        <f>HYPERLINK("https://klasma.github.io/Logging_1907/tillsynsmail/A 55042-2025 tillsynsbegäran mail.docx", "A 55042-2025")</f>
        <v/>
      </c>
    </row>
    <row r="72" ht="15" customHeight="1">
      <c r="A72" t="inlineStr">
        <is>
          <t>A 56768-2025</t>
        </is>
      </c>
      <c r="B72" s="1" t="n">
        <v>45978</v>
      </c>
      <c r="C72" s="1" t="n">
        <v>46052</v>
      </c>
      <c r="D72" t="inlineStr">
        <is>
          <t>VÄSTMANLANDS LÄN</t>
        </is>
      </c>
      <c r="E72" t="inlineStr">
        <is>
          <t>SURAHAMMAR</t>
        </is>
      </c>
      <c r="F72" t="inlineStr">
        <is>
          <t>Sveaskog</t>
        </is>
      </c>
      <c r="G72" t="n">
        <v>3.8</v>
      </c>
      <c r="H72" t="n">
        <v>0</v>
      </c>
      <c r="I72" t="n">
        <v>0</v>
      </c>
      <c r="J72" t="n">
        <v>1</v>
      </c>
      <c r="K72" t="n">
        <v>0</v>
      </c>
      <c r="L72" t="n">
        <v>0</v>
      </c>
      <c r="M72" t="n">
        <v>0</v>
      </c>
      <c r="N72" t="n">
        <v>0</v>
      </c>
      <c r="O72" t="n">
        <v>1</v>
      </c>
      <c r="P72" t="n">
        <v>0</v>
      </c>
      <c r="Q72" t="n">
        <v>1</v>
      </c>
      <c r="R72" s="2" t="inlineStr">
        <is>
          <t>Motaggsvamp</t>
        </is>
      </c>
      <c r="S72">
        <f>HYPERLINK("https://klasma.github.io/Logging_1907/artfynd/A 56768-2025 artfynd.xlsx", "A 56768-2025")</f>
        <v/>
      </c>
      <c r="T72">
        <f>HYPERLINK("https://klasma.github.io/Logging_1907/kartor/A 56768-2025 karta.png", "A 56768-2025")</f>
        <v/>
      </c>
      <c r="V72">
        <f>HYPERLINK("https://klasma.github.io/Logging_1907/klagomål/A 56768-2025 FSC-klagomål.docx", "A 56768-2025")</f>
        <v/>
      </c>
      <c r="W72">
        <f>HYPERLINK("https://klasma.github.io/Logging_1907/klagomålsmail/A 56768-2025 FSC-klagomål mail.docx", "A 56768-2025")</f>
        <v/>
      </c>
      <c r="X72">
        <f>HYPERLINK("https://klasma.github.io/Logging_1907/tillsyn/A 56768-2025 tillsynsbegäran.docx", "A 56768-2025")</f>
        <v/>
      </c>
      <c r="Y72">
        <f>HYPERLINK("https://klasma.github.io/Logging_1907/tillsynsmail/A 56768-2025 tillsynsbegäran mail.docx", "A 56768-2025")</f>
        <v/>
      </c>
    </row>
    <row r="73" ht="15" customHeight="1">
      <c r="A73" t="inlineStr">
        <is>
          <t>A 63145-2025</t>
        </is>
      </c>
      <c r="B73" s="1" t="n">
        <v>46009</v>
      </c>
      <c r="C73" s="1" t="n">
        <v>46052</v>
      </c>
      <c r="D73" t="inlineStr">
        <is>
          <t>VÄSTMANLANDS LÄN</t>
        </is>
      </c>
      <c r="E73" t="inlineStr">
        <is>
          <t>SURAHAMMAR</t>
        </is>
      </c>
      <c r="F73" t="inlineStr">
        <is>
          <t>Bergvik skog väst AB</t>
        </is>
      </c>
      <c r="G73" t="n">
        <v>40.5</v>
      </c>
      <c r="H73" t="n">
        <v>0</v>
      </c>
      <c r="I73" t="n">
        <v>1</v>
      </c>
      <c r="J73" t="n">
        <v>0</v>
      </c>
      <c r="K73" t="n">
        <v>0</v>
      </c>
      <c r="L73" t="n">
        <v>0</v>
      </c>
      <c r="M73" t="n">
        <v>0</v>
      </c>
      <c r="N73" t="n">
        <v>0</v>
      </c>
      <c r="O73" t="n">
        <v>0</v>
      </c>
      <c r="P73" t="n">
        <v>0</v>
      </c>
      <c r="Q73" t="n">
        <v>1</v>
      </c>
      <c r="R73" s="2" t="inlineStr">
        <is>
          <t>Svart trolldruva</t>
        </is>
      </c>
      <c r="S73">
        <f>HYPERLINK("https://klasma.github.io/Logging_1907/artfynd/A 63145-2025 artfynd.xlsx", "A 63145-2025")</f>
        <v/>
      </c>
      <c r="T73">
        <f>HYPERLINK("https://klasma.github.io/Logging_1907/kartor/A 63145-2025 karta.png", "A 63145-2025")</f>
        <v/>
      </c>
      <c r="V73">
        <f>HYPERLINK("https://klasma.github.io/Logging_1907/klagomål/A 63145-2025 FSC-klagomål.docx", "A 63145-2025")</f>
        <v/>
      </c>
      <c r="W73">
        <f>HYPERLINK("https://klasma.github.io/Logging_1907/klagomålsmail/A 63145-2025 FSC-klagomål mail.docx", "A 63145-2025")</f>
        <v/>
      </c>
      <c r="X73">
        <f>HYPERLINK("https://klasma.github.io/Logging_1907/tillsyn/A 63145-2025 tillsynsbegäran.docx", "A 63145-2025")</f>
        <v/>
      </c>
      <c r="Y73">
        <f>HYPERLINK("https://klasma.github.io/Logging_1907/tillsynsmail/A 63145-2025 tillsynsbegäran mail.docx", "A 63145-2025")</f>
        <v/>
      </c>
    </row>
    <row r="74" ht="15" customHeight="1">
      <c r="A74" t="inlineStr">
        <is>
          <t>A 64073-2021</t>
        </is>
      </c>
      <c r="B74" s="1" t="n">
        <v>44509</v>
      </c>
      <c r="C74" s="1" t="n">
        <v>46052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46052</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46052</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46052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46052</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46052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46052</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46052</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19846-2022</t>
        </is>
      </c>
      <c r="B82" s="1" t="n">
        <v>44696.89327546296</v>
      </c>
      <c r="C82" s="1" t="n">
        <v>46052</v>
      </c>
      <c r="D82" t="inlineStr">
        <is>
          <t>VÄSTMANLANDS LÄN</t>
        </is>
      </c>
      <c r="E82" t="inlineStr">
        <is>
          <t>SURAHAMMAR</t>
        </is>
      </c>
      <c r="F82" t="inlineStr">
        <is>
          <t>Kommuner</t>
        </is>
      </c>
      <c r="G82" t="n">
        <v>3.4</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46052</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46052</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46052</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46052</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46052</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46052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3155-2022</t>
        </is>
      </c>
      <c r="B89" s="1" t="n">
        <v>44582</v>
      </c>
      <c r="C89" s="1" t="n">
        <v>46052</v>
      </c>
      <c r="D89" t="inlineStr">
        <is>
          <t>VÄSTMANLANDS LÄN</t>
        </is>
      </c>
      <c r="E89" t="inlineStr">
        <is>
          <t>SURAHAMMAR</t>
        </is>
      </c>
      <c r="G89" t="n">
        <v>5.5</v>
      </c>
      <c r="H89" t="n">
        <v>0</v>
      </c>
      <c r="I89" t="n">
        <v>0</v>
      </c>
      <c r="J89" t="n">
        <v>0</v>
      </c>
      <c r="K89" t="n">
        <v>0</v>
      </c>
      <c r="L89" t="n">
        <v>0</v>
      </c>
      <c r="M89" t="n">
        <v>0</v>
      </c>
      <c r="N89" t="n">
        <v>0</v>
      </c>
      <c r="O89" t="n">
        <v>0</v>
      </c>
      <c r="P89" t="n">
        <v>0</v>
      </c>
      <c r="Q89" t="n">
        <v>0</v>
      </c>
      <c r="R89" s="2" t="inlineStr"/>
    </row>
    <row r="90" ht="15" customHeight="1">
      <c r="A90" t="inlineStr">
        <is>
          <t>A 66350-2021</t>
        </is>
      </c>
      <c r="B90" s="1" t="n">
        <v>44518</v>
      </c>
      <c r="C90" s="1" t="n">
        <v>46052</v>
      </c>
      <c r="D90" t="inlineStr">
        <is>
          <t>VÄSTMANLANDS LÄN</t>
        </is>
      </c>
      <c r="E90" t="inlineStr">
        <is>
          <t>SURAHAMMAR</t>
        </is>
      </c>
      <c r="F90" t="inlineStr">
        <is>
          <t>Sveaskog</t>
        </is>
      </c>
      <c r="G90" t="n">
        <v>3.5</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46052</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46052</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46052</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18723-2021</t>
        </is>
      </c>
      <c r="B94" s="1" t="n">
        <v>44306</v>
      </c>
      <c r="C94" s="1" t="n">
        <v>46052</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47785-2021</t>
        </is>
      </c>
      <c r="B95" s="1" t="n">
        <v>44448</v>
      </c>
      <c r="C95" s="1" t="n">
        <v>46052</v>
      </c>
      <c r="D95" t="inlineStr">
        <is>
          <t>VÄSTMANLANDS LÄN</t>
        </is>
      </c>
      <c r="E95" t="inlineStr">
        <is>
          <t>SURAHAMMAR</t>
        </is>
      </c>
      <c r="F95" t="inlineStr">
        <is>
          <t>Kommuner</t>
        </is>
      </c>
      <c r="G95" t="n">
        <v>3.3</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46052</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46052</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46052</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46052</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46052</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46052</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15739-2023</t>
        </is>
      </c>
      <c r="B102" s="1" t="n">
        <v>45021</v>
      </c>
      <c r="C102" s="1" t="n">
        <v>46052</v>
      </c>
      <c r="D102" t="inlineStr">
        <is>
          <t>VÄSTMANLANDS LÄN</t>
        </is>
      </c>
      <c r="E102" t="inlineStr">
        <is>
          <t>SURAHAMMAR</t>
        </is>
      </c>
      <c r="G102" t="n">
        <v>1.3</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46052</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37798-2021</t>
        </is>
      </c>
      <c r="B104" s="1" t="n">
        <v>44402</v>
      </c>
      <c r="C104" s="1" t="n">
        <v>46052</v>
      </c>
      <c r="D104" t="inlineStr">
        <is>
          <t>VÄSTMANLANDS LÄN</t>
        </is>
      </c>
      <c r="E104" t="inlineStr">
        <is>
          <t>SURAHAMMAR</t>
        </is>
      </c>
      <c r="F104" t="inlineStr">
        <is>
          <t>Kommuner</t>
        </is>
      </c>
      <c r="G104" t="n">
        <v>1.2</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46052</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46052</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46052</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19782-2023</t>
        </is>
      </c>
      <c r="B108" s="1" t="n">
        <v>45050</v>
      </c>
      <c r="C108" s="1" t="n">
        <v>46052</v>
      </c>
      <c r="D108" t="inlineStr">
        <is>
          <t>VÄSTMANLANDS LÄN</t>
        </is>
      </c>
      <c r="E108" t="inlineStr">
        <is>
          <t>SURAHAMMAR</t>
        </is>
      </c>
      <c r="F108" t="inlineStr">
        <is>
          <t>Bergvik skog väst AB</t>
        </is>
      </c>
      <c r="G108" t="n">
        <v>5.2</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46052</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46052</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46052</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46052</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44790.65153935185</v>
      </c>
      <c r="C113" s="1" t="n">
        <v>46052</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46052</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46052</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24158-2023</t>
        </is>
      </c>
      <c r="B116" s="1" t="n">
        <v>45079</v>
      </c>
      <c r="C116" s="1" t="n">
        <v>46052</v>
      </c>
      <c r="D116" t="inlineStr">
        <is>
          <t>VÄSTMANLANDS LÄN</t>
        </is>
      </c>
      <c r="E116" t="inlineStr">
        <is>
          <t>SURAHAMMAR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34584-2025</t>
        </is>
      </c>
      <c r="B117" s="1" t="n">
        <v>45846</v>
      </c>
      <c r="C117" s="1" t="n">
        <v>46052</v>
      </c>
      <c r="D117" t="inlineStr">
        <is>
          <t>VÄSTMANLANDS LÄN</t>
        </is>
      </c>
      <c r="E117" t="inlineStr">
        <is>
          <t>SURAHAMMAR</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32916-2025</t>
        </is>
      </c>
      <c r="B118" s="1" t="n">
        <v>45839</v>
      </c>
      <c r="C118" s="1" t="n">
        <v>46052</v>
      </c>
      <c r="D118" t="inlineStr">
        <is>
          <t>VÄSTMANLANDS LÄN</t>
        </is>
      </c>
      <c r="E118" t="inlineStr">
        <is>
          <t>SURAHAMMAR</t>
        </is>
      </c>
      <c r="F118" t="inlineStr">
        <is>
          <t>Kommuner</t>
        </is>
      </c>
      <c r="G118" t="n">
        <v>4.9</v>
      </c>
      <c r="H118" t="n">
        <v>0</v>
      </c>
      <c r="I118" t="n">
        <v>0</v>
      </c>
      <c r="J118" t="n">
        <v>0</v>
      </c>
      <c r="K118" t="n">
        <v>0</v>
      </c>
      <c r="L118" t="n">
        <v>0</v>
      </c>
      <c r="M118" t="n">
        <v>0</v>
      </c>
      <c r="N118" t="n">
        <v>0</v>
      </c>
      <c r="O118" t="n">
        <v>0</v>
      </c>
      <c r="P118" t="n">
        <v>0</v>
      </c>
      <c r="Q118" t="n">
        <v>0</v>
      </c>
      <c r="R118" s="2" t="inlineStr"/>
    </row>
    <row r="119" ht="15" customHeight="1">
      <c r="A119" t="inlineStr">
        <is>
          <t>A 32910-2025</t>
        </is>
      </c>
      <c r="B119" s="1" t="n">
        <v>45839</v>
      </c>
      <c r="C119" s="1" t="n">
        <v>46052</v>
      </c>
      <c r="D119" t="inlineStr">
        <is>
          <t>VÄSTMANLANDS LÄN</t>
        </is>
      </c>
      <c r="E119" t="inlineStr">
        <is>
          <t>SURAHAMMAR</t>
        </is>
      </c>
      <c r="F119" t="inlineStr">
        <is>
          <t>Kommuner</t>
        </is>
      </c>
      <c r="G119" t="n">
        <v>1.1</v>
      </c>
      <c r="H119" t="n">
        <v>0</v>
      </c>
      <c r="I119" t="n">
        <v>0</v>
      </c>
      <c r="J119" t="n">
        <v>0</v>
      </c>
      <c r="K119" t="n">
        <v>0</v>
      </c>
      <c r="L119" t="n">
        <v>0</v>
      </c>
      <c r="M119" t="n">
        <v>0</v>
      </c>
      <c r="N119" t="n">
        <v>0</v>
      </c>
      <c r="O119" t="n">
        <v>0</v>
      </c>
      <c r="P119" t="n">
        <v>0</v>
      </c>
      <c r="Q119" t="n">
        <v>0</v>
      </c>
      <c r="R119" s="2" t="inlineStr"/>
    </row>
    <row r="120" ht="15" customHeight="1">
      <c r="A120" t="inlineStr">
        <is>
          <t>A 3818-2022</t>
        </is>
      </c>
      <c r="B120" s="1" t="n">
        <v>44587</v>
      </c>
      <c r="C120" s="1" t="n">
        <v>46052</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46052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46052</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46052</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46052</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46052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37013-2025</t>
        </is>
      </c>
      <c r="B126" s="1" t="n">
        <v>45874</v>
      </c>
      <c r="C126" s="1" t="n">
        <v>46052</v>
      </c>
      <c r="D126" t="inlineStr">
        <is>
          <t>VÄSTMANLANDS LÄN</t>
        </is>
      </c>
      <c r="E126" t="inlineStr">
        <is>
          <t>SURAHAMMAR</t>
        </is>
      </c>
      <c r="F126" t="inlineStr">
        <is>
          <t>Bergvik skog väst AB</t>
        </is>
      </c>
      <c r="G126" t="n">
        <v>10.7</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46052</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46052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37954-2025</t>
        </is>
      </c>
      <c r="B129" s="1" t="n">
        <v>45881</v>
      </c>
      <c r="C129" s="1" t="n">
        <v>46052</v>
      </c>
      <c r="D129" t="inlineStr">
        <is>
          <t>VÄSTMANLANDS LÄN</t>
        </is>
      </c>
      <c r="E129" t="inlineStr">
        <is>
          <t>SURAHAMMAR</t>
        </is>
      </c>
      <c r="G129" t="n">
        <v>9.5</v>
      </c>
      <c r="H129" t="n">
        <v>0</v>
      </c>
      <c r="I129" t="n">
        <v>0</v>
      </c>
      <c r="J129" t="n">
        <v>0</v>
      </c>
      <c r="K129" t="n">
        <v>0</v>
      </c>
      <c r="L129" t="n">
        <v>0</v>
      </c>
      <c r="M129" t="n">
        <v>0</v>
      </c>
      <c r="N129" t="n">
        <v>0</v>
      </c>
      <c r="O129" t="n">
        <v>0</v>
      </c>
      <c r="P129" t="n">
        <v>0</v>
      </c>
      <c r="Q129" t="n">
        <v>0</v>
      </c>
      <c r="R129" s="2" t="inlineStr"/>
    </row>
    <row r="130" ht="15" customHeight="1">
      <c r="A130" t="inlineStr">
        <is>
          <t>A 42841-2022</t>
        </is>
      </c>
      <c r="B130" s="1" t="n">
        <v>44832</v>
      </c>
      <c r="C130" s="1" t="n">
        <v>46052</v>
      </c>
      <c r="D130" t="inlineStr">
        <is>
          <t>VÄSTMANLANDS LÄN</t>
        </is>
      </c>
      <c r="E130" t="inlineStr">
        <is>
          <t>SURAHAMMAR</t>
        </is>
      </c>
      <c r="G130" t="n">
        <v>1.8</v>
      </c>
      <c r="H130" t="n">
        <v>0</v>
      </c>
      <c r="I130" t="n">
        <v>0</v>
      </c>
      <c r="J130" t="n">
        <v>0</v>
      </c>
      <c r="K130" t="n">
        <v>0</v>
      </c>
      <c r="L130" t="n">
        <v>0</v>
      </c>
      <c r="M130" t="n">
        <v>0</v>
      </c>
      <c r="N130" t="n">
        <v>0</v>
      </c>
      <c r="O130" t="n">
        <v>0</v>
      </c>
      <c r="P130" t="n">
        <v>0</v>
      </c>
      <c r="Q130" t="n">
        <v>0</v>
      </c>
      <c r="R130" s="2" t="inlineStr"/>
    </row>
    <row r="131" ht="15" customHeight="1">
      <c r="A131" t="inlineStr">
        <is>
          <t>A 42088-2025</t>
        </is>
      </c>
      <c r="B131" s="1" t="n">
        <v>45902</v>
      </c>
      <c r="C131" s="1" t="n">
        <v>46052</v>
      </c>
      <c r="D131" t="inlineStr">
        <is>
          <t>VÄSTMANLANDS LÄN</t>
        </is>
      </c>
      <c r="E131" t="inlineStr">
        <is>
          <t>SURAHAMMAR</t>
        </is>
      </c>
      <c r="G131" t="n">
        <v>1</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46052</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31107-2025</t>
        </is>
      </c>
      <c r="B133" s="1" t="n">
        <v>45831</v>
      </c>
      <c r="C133" s="1" t="n">
        <v>46052</v>
      </c>
      <c r="D133" t="inlineStr">
        <is>
          <t>VÄSTMANLANDS LÄN</t>
        </is>
      </c>
      <c r="E133" t="inlineStr">
        <is>
          <t>SURAHAMMAR</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43249-2025</t>
        </is>
      </c>
      <c r="B134" s="1" t="n">
        <v>45910.55059027778</v>
      </c>
      <c r="C134" s="1" t="n">
        <v>46052</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46052</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2867-2024</t>
        </is>
      </c>
      <c r="B136" s="1" t="n">
        <v>45315</v>
      </c>
      <c r="C136" s="1" t="n">
        <v>46052</v>
      </c>
      <c r="D136" t="inlineStr">
        <is>
          <t>VÄSTMANLANDS LÄN</t>
        </is>
      </c>
      <c r="E136" t="inlineStr">
        <is>
          <t>SURAHAMMAR</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46052</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21509-2024</t>
        </is>
      </c>
      <c r="B138" s="1" t="n">
        <v>45441</v>
      </c>
      <c r="C138" s="1" t="n">
        <v>46052</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22662-2023</t>
        </is>
      </c>
      <c r="B139" s="1" t="n">
        <v>45071</v>
      </c>
      <c r="C139" s="1" t="n">
        <v>46052</v>
      </c>
      <c r="D139" t="inlineStr">
        <is>
          <t>VÄSTMANLANDS LÄN</t>
        </is>
      </c>
      <c r="E139" t="inlineStr">
        <is>
          <t>SURAHAMMAR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46052</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46052</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46052</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46052</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46052</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25780-2023</t>
        </is>
      </c>
      <c r="B145" s="1" t="n">
        <v>45090.47523148148</v>
      </c>
      <c r="C145" s="1" t="n">
        <v>46052</v>
      </c>
      <c r="D145" t="inlineStr">
        <is>
          <t>VÄSTMANLANDS LÄN</t>
        </is>
      </c>
      <c r="E145" t="inlineStr">
        <is>
          <t>SURAHAMMAR</t>
        </is>
      </c>
      <c r="G145" t="n">
        <v>2.8</v>
      </c>
      <c r="H145" t="n">
        <v>0</v>
      </c>
      <c r="I145" t="n">
        <v>0</v>
      </c>
      <c r="J145" t="n">
        <v>0</v>
      </c>
      <c r="K145" t="n">
        <v>0</v>
      </c>
      <c r="L145" t="n">
        <v>0</v>
      </c>
      <c r="M145" t="n">
        <v>0</v>
      </c>
      <c r="N145" t="n">
        <v>0</v>
      </c>
      <c r="O145" t="n">
        <v>0</v>
      </c>
      <c r="P145" t="n">
        <v>0</v>
      </c>
      <c r="Q145" t="n">
        <v>0</v>
      </c>
      <c r="R145" s="2" t="inlineStr"/>
    </row>
    <row r="146" ht="15" customHeight="1">
      <c r="A146" t="inlineStr">
        <is>
          <t>A 20904-2023</t>
        </is>
      </c>
      <c r="B146" s="1" t="n">
        <v>45060</v>
      </c>
      <c r="C146" s="1" t="n">
        <v>46052</v>
      </c>
      <c r="D146" t="inlineStr">
        <is>
          <t>VÄSTMANLANDS LÄN</t>
        </is>
      </c>
      <c r="E146" t="inlineStr">
        <is>
          <t>SURAHAMMAR</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10883-2023</t>
        </is>
      </c>
      <c r="B147" s="1" t="n">
        <v>44991</v>
      </c>
      <c r="C147" s="1" t="n">
        <v>46052</v>
      </c>
      <c r="D147" t="inlineStr">
        <is>
          <t>VÄSTMANLANDS LÄN</t>
        </is>
      </c>
      <c r="E147" t="inlineStr">
        <is>
          <t>SURAHAMMAR</t>
        </is>
      </c>
      <c r="F147" t="inlineStr">
        <is>
          <t>Övriga Aktiebolag</t>
        </is>
      </c>
      <c r="G147" t="n">
        <v>12.5</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46052</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46052</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55868-2025</t>
        </is>
      </c>
      <c r="B150" s="1" t="n">
        <v>45973.35263888889</v>
      </c>
      <c r="C150" s="1" t="n">
        <v>46052</v>
      </c>
      <c r="D150" t="inlineStr">
        <is>
          <t>VÄSTMANLANDS LÄN</t>
        </is>
      </c>
      <c r="E150" t="inlineStr">
        <is>
          <t>SURAHAMMAR</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55874-2025</t>
        </is>
      </c>
      <c r="B151" s="1" t="n">
        <v>45973.3569212963</v>
      </c>
      <c r="C151" s="1" t="n">
        <v>46052</v>
      </c>
      <c r="D151" t="inlineStr">
        <is>
          <t>VÄSTMANLANDS LÄN</t>
        </is>
      </c>
      <c r="E151" t="inlineStr">
        <is>
          <t>SURAHAMMAR</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55873-2025</t>
        </is>
      </c>
      <c r="B152" s="1" t="n">
        <v>45973.35608796297</v>
      </c>
      <c r="C152" s="1" t="n">
        <v>46052</v>
      </c>
      <c r="D152" t="inlineStr">
        <is>
          <t>VÄSTMANLANDS LÄN</t>
        </is>
      </c>
      <c r="E152" t="inlineStr">
        <is>
          <t>SURAHAMMAR</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55871-2025</t>
        </is>
      </c>
      <c r="B153" s="1" t="n">
        <v>45973.35452546296</v>
      </c>
      <c r="C153" s="1" t="n">
        <v>46052</v>
      </c>
      <c r="D153" t="inlineStr">
        <is>
          <t>VÄSTMANLANDS LÄN</t>
        </is>
      </c>
      <c r="E153" t="inlineStr">
        <is>
          <t>SURAHAMMAR</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56543-2025</t>
        </is>
      </c>
      <c r="B154" s="1" t="n">
        <v>45975</v>
      </c>
      <c r="C154" s="1" t="n">
        <v>46052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59399-2025</t>
        </is>
      </c>
      <c r="B155" s="1" t="n">
        <v>45989</v>
      </c>
      <c r="C155" s="1" t="n">
        <v>46052</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56541-2025</t>
        </is>
      </c>
      <c r="B156" s="1" t="n">
        <v>45975</v>
      </c>
      <c r="C156" s="1" t="n">
        <v>46052</v>
      </c>
      <c r="D156" t="inlineStr">
        <is>
          <t>VÄSTMANLANDS LÄN</t>
        </is>
      </c>
      <c r="E156" t="inlineStr">
        <is>
          <t>SURAHAMMAR</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4724-2026</t>
        </is>
      </c>
      <c r="B157" s="1" t="n">
        <v>46048</v>
      </c>
      <c r="C157" s="1" t="n">
        <v>46052</v>
      </c>
      <c r="D157" t="inlineStr">
        <is>
          <t>VÄSTMANLANDS LÄN</t>
        </is>
      </c>
      <c r="E157" t="inlineStr">
        <is>
          <t>SURAHAMMAR</t>
        </is>
      </c>
      <c r="G157" t="n">
        <v>1.7</v>
      </c>
      <c r="H157" t="n">
        <v>0</v>
      </c>
      <c r="I157" t="n">
        <v>0</v>
      </c>
      <c r="J157" t="n">
        <v>0</v>
      </c>
      <c r="K157" t="n">
        <v>0</v>
      </c>
      <c r="L157" t="n">
        <v>0</v>
      </c>
      <c r="M157" t="n">
        <v>0</v>
      </c>
      <c r="N157" t="n">
        <v>0</v>
      </c>
      <c r="O157" t="n">
        <v>0</v>
      </c>
      <c r="P157" t="n">
        <v>0</v>
      </c>
      <c r="Q157" t="n">
        <v>0</v>
      </c>
      <c r="R157" s="2" t="inlineStr"/>
    </row>
    <row r="158" ht="15" customHeight="1">
      <c r="A158" t="inlineStr">
        <is>
          <t>A 4734-2026</t>
        </is>
      </c>
      <c r="B158" s="1" t="n">
        <v>46048</v>
      </c>
      <c r="C158" s="1" t="n">
        <v>46052</v>
      </c>
      <c r="D158" t="inlineStr">
        <is>
          <t>VÄSTMANLANDS LÄN</t>
        </is>
      </c>
      <c r="E158" t="inlineStr">
        <is>
          <t>SURAHAMMAR</t>
        </is>
      </c>
      <c r="G158" t="n">
        <v>0.7</v>
      </c>
      <c r="H158" t="n">
        <v>0</v>
      </c>
      <c r="I158" t="n">
        <v>0</v>
      </c>
      <c r="J158" t="n">
        <v>0</v>
      </c>
      <c r="K158" t="n">
        <v>0</v>
      </c>
      <c r="L158" t="n">
        <v>0</v>
      </c>
      <c r="M158" t="n">
        <v>0</v>
      </c>
      <c r="N158" t="n">
        <v>0</v>
      </c>
      <c r="O158" t="n">
        <v>0</v>
      </c>
      <c r="P158" t="n">
        <v>0</v>
      </c>
      <c r="Q158" t="n">
        <v>0</v>
      </c>
      <c r="R158" s="2" t="inlineStr"/>
    </row>
    <row r="159" ht="15" customHeight="1">
      <c r="A159" t="inlineStr">
        <is>
          <t>A 5697-2026</t>
        </is>
      </c>
      <c r="B159" s="1" t="n">
        <v>46051.50020833333</v>
      </c>
      <c r="C159" s="1" t="n">
        <v>46052</v>
      </c>
      <c r="D159" t="inlineStr">
        <is>
          <t>VÄSTMANLANDS LÄN</t>
        </is>
      </c>
      <c r="E159" t="inlineStr">
        <is>
          <t>SURAHAMMAR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5698-2026</t>
        </is>
      </c>
      <c r="B160" s="1" t="n">
        <v>46051.50196759259</v>
      </c>
      <c r="C160" s="1" t="n">
        <v>46052</v>
      </c>
      <c r="D160" t="inlineStr">
        <is>
          <t>VÄSTMANLANDS LÄN</t>
        </is>
      </c>
      <c r="E160" t="inlineStr">
        <is>
          <t>SURAHAMMAR</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5696-2026</t>
        </is>
      </c>
      <c r="B161" s="1" t="n">
        <v>46051.4975</v>
      </c>
      <c r="C161" s="1" t="n">
        <v>46052</v>
      </c>
      <c r="D161" t="inlineStr">
        <is>
          <t>VÄSTMANLANDS LÄN</t>
        </is>
      </c>
      <c r="E161" t="inlineStr">
        <is>
          <t>SURAHAMMAR</t>
        </is>
      </c>
      <c r="F161" t="inlineStr">
        <is>
          <t>Sveaskog</t>
        </is>
      </c>
      <c r="G161" t="n">
        <v>10.4</v>
      </c>
      <c r="H161" t="n">
        <v>0</v>
      </c>
      <c r="I161" t="n">
        <v>0</v>
      </c>
      <c r="J161" t="n">
        <v>0</v>
      </c>
      <c r="K161" t="n">
        <v>0</v>
      </c>
      <c r="L161" t="n">
        <v>0</v>
      </c>
      <c r="M161" t="n">
        <v>0</v>
      </c>
      <c r="N161" t="n">
        <v>0</v>
      </c>
      <c r="O161" t="n">
        <v>0</v>
      </c>
      <c r="P161" t="n">
        <v>0</v>
      </c>
      <c r="Q161" t="n">
        <v>0</v>
      </c>
      <c r="R161" s="2" t="inlineStr"/>
    </row>
    <row r="162">
      <c r="A162" t="inlineStr">
        <is>
          <t>A 63138-2025</t>
        </is>
      </c>
      <c r="B162" s="1" t="n">
        <v>46009</v>
      </c>
      <c r="C162" s="1" t="n">
        <v>46052</v>
      </c>
      <c r="D162" t="inlineStr">
        <is>
          <t>VÄSTMANLANDS LÄN</t>
        </is>
      </c>
      <c r="E162" t="inlineStr">
        <is>
          <t>SURAHAMMAR</t>
        </is>
      </c>
      <c r="F162" t="inlineStr">
        <is>
          <t>Bergvik skog väst AB</t>
        </is>
      </c>
      <c r="G162" t="n">
        <v>2.5</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2026-01-30T10:58:06Z</dcterms:created>
  <dcterms:modified xmlns:dcterms="http://purl.org/dc/terms/" xmlns:xsi="http://www.w3.org/2001/XMLSchema-instance" xsi:type="dcterms:W3CDTF">2026-01-30T10:58:06Z</dcterms:modified>
</cp:coreProperties>
</file>