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46077</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46077</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46077</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46077</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46077</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46077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46077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46077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46077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46077</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56299-2021</t>
        </is>
      </c>
      <c r="B18" s="1" t="n">
        <v>44477</v>
      </c>
      <c r="C18" s="1" t="n">
        <v>46077</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7791-2024</t>
        </is>
      </c>
      <c r="B19" s="1" t="n">
        <v>45348</v>
      </c>
      <c r="C19" s="1" t="n">
        <v>46077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46077</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46077</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46077</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46077</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46077</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46077</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46077</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46077</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38200-2021</t>
        </is>
      </c>
      <c r="B28" s="1" t="n">
        <v>44405</v>
      </c>
      <c r="C28" s="1" t="n">
        <v>46077</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46077</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42860-2022</t>
        </is>
      </c>
      <c r="B30" s="1" t="n">
        <v>44832</v>
      </c>
      <c r="C30" s="1" t="n">
        <v>46077</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46077</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48128-2023</t>
        </is>
      </c>
      <c r="B32" s="1" t="n">
        <v>45205</v>
      </c>
      <c r="C32" s="1" t="n">
        <v>46077</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42708-2022</t>
        </is>
      </c>
      <c r="B33" s="1" t="n">
        <v>44832</v>
      </c>
      <c r="C33" s="1" t="n">
        <v>46077</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39694-2025</t>
        </is>
      </c>
      <c r="B34" s="1" t="n">
        <v>45890</v>
      </c>
      <c r="C34" s="1" t="n">
        <v>46077</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42853-2022</t>
        </is>
      </c>
      <c r="B35" s="1" t="n">
        <v>44832</v>
      </c>
      <c r="C35" s="1" t="n">
        <v>46077</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8552-2022</t>
        </is>
      </c>
      <c r="B36" s="1" t="n">
        <v>44613</v>
      </c>
      <c r="C36" s="1" t="n">
        <v>46077</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29707-2025</t>
        </is>
      </c>
      <c r="B37" s="1" t="n">
        <v>45825.56100694444</v>
      </c>
      <c r="C37" s="1" t="n">
        <v>46077</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10236-2026</t>
        </is>
      </c>
      <c r="B38" s="1" t="n">
        <v>46076.54277777778</v>
      </c>
      <c r="C38" s="1" t="n">
        <v>46077</v>
      </c>
      <c r="D38" t="inlineStr">
        <is>
          <t>VÄSTMANLANDS LÄN</t>
        </is>
      </c>
      <c r="E38" t="inlineStr">
        <is>
          <t>SURAHAMMAR</t>
        </is>
      </c>
      <c r="F38" t="inlineStr">
        <is>
          <t>Allmännings- och besparingsskogar</t>
        </is>
      </c>
      <c r="G38" t="n">
        <v>2.8</v>
      </c>
      <c r="H38" t="n">
        <v>1</v>
      </c>
      <c r="I38" t="n">
        <v>1</v>
      </c>
      <c r="J38" t="n">
        <v>0</v>
      </c>
      <c r="K38" t="n">
        <v>1</v>
      </c>
      <c r="L38" t="n">
        <v>0</v>
      </c>
      <c r="M38" t="n">
        <v>0</v>
      </c>
      <c r="N38" t="n">
        <v>0</v>
      </c>
      <c r="O38" t="n">
        <v>1</v>
      </c>
      <c r="P38" t="n">
        <v>1</v>
      </c>
      <c r="Q38" t="n">
        <v>3</v>
      </c>
      <c r="R38" s="2" t="inlineStr">
        <is>
          <t>Vågticka
Brandticka
Revlummer</t>
        </is>
      </c>
      <c r="S38">
        <f>HYPERLINK("https://klasma.github.io/Logging_1907/artfynd/A 10236-2026 artfynd.xlsx", "A 10236-2026")</f>
        <v/>
      </c>
      <c r="T38">
        <f>HYPERLINK("https://klasma.github.io/Logging_1907/kartor/A 10236-2026 karta.png", "A 10236-2026")</f>
        <v/>
      </c>
      <c r="V38">
        <f>HYPERLINK("https://klasma.github.io/Logging_1907/klagomål/A 10236-2026 FSC-klagomål.docx", "A 10236-2026")</f>
        <v/>
      </c>
      <c r="W38">
        <f>HYPERLINK("https://klasma.github.io/Logging_1907/klagomålsmail/A 10236-2026 FSC-klagomål mail.docx", "A 10236-2026")</f>
        <v/>
      </c>
      <c r="X38">
        <f>HYPERLINK("https://klasma.github.io/Logging_1907/tillsyn/A 10236-2026 tillsynsbegäran.docx", "A 10236-2026")</f>
        <v/>
      </c>
      <c r="Y38">
        <f>HYPERLINK("https://klasma.github.io/Logging_1907/tillsynsmail/A 10236-2026 tillsynsbegäran mail.docx", "A 10236-2026")</f>
        <v/>
      </c>
    </row>
    <row r="39" ht="15" customHeight="1">
      <c r="A39" t="inlineStr">
        <is>
          <t>A 37801-2021</t>
        </is>
      </c>
      <c r="B39" s="1" t="n">
        <v>44402</v>
      </c>
      <c r="C39" s="1" t="n">
        <v>46077</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62097-2024</t>
        </is>
      </c>
      <c r="B40" s="1" t="n">
        <v>45646</v>
      </c>
      <c r="C40" s="1" t="n">
        <v>46077</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46077</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41576-2022</t>
        </is>
      </c>
      <c r="B42" s="1" t="n">
        <v>44826</v>
      </c>
      <c r="C42" s="1" t="n">
        <v>46077</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4082-2025</t>
        </is>
      </c>
      <c r="B43" s="1" t="n">
        <v>45684</v>
      </c>
      <c r="C43" s="1" t="n">
        <v>46077</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40403-2025</t>
        </is>
      </c>
      <c r="B44" s="1" t="n">
        <v>45895</v>
      </c>
      <c r="C44" s="1" t="n">
        <v>46077</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37800-2021</t>
        </is>
      </c>
      <c r="B45" s="1" t="n">
        <v>44402</v>
      </c>
      <c r="C45" s="1" t="n">
        <v>46077</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46077</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63146-2025</t>
        </is>
      </c>
      <c r="B47" s="1" t="n">
        <v>46009</v>
      </c>
      <c r="C47" s="1" t="n">
        <v>46077</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38170-2021</t>
        </is>
      </c>
      <c r="B48" s="1" t="n">
        <v>44405.43472222222</v>
      </c>
      <c r="C48" s="1" t="n">
        <v>46077</v>
      </c>
      <c r="D48" t="inlineStr">
        <is>
          <t>VÄSTMANLANDS LÄN</t>
        </is>
      </c>
      <c r="E48" t="inlineStr">
        <is>
          <t>SURAHAMMAR</t>
        </is>
      </c>
      <c r="F48" t="inlineStr">
        <is>
          <t>Sveaskog</t>
        </is>
      </c>
      <c r="G48" t="n">
        <v>1.2</v>
      </c>
      <c r="H48" t="n">
        <v>1</v>
      </c>
      <c r="I48" t="n">
        <v>0</v>
      </c>
      <c r="J48" t="n">
        <v>0</v>
      </c>
      <c r="K48" t="n">
        <v>0</v>
      </c>
      <c r="L48" t="n">
        <v>0</v>
      </c>
      <c r="M48" t="n">
        <v>0</v>
      </c>
      <c r="N48" t="n">
        <v>0</v>
      </c>
      <c r="O48" t="n">
        <v>0</v>
      </c>
      <c r="P48" t="n">
        <v>0</v>
      </c>
      <c r="Q48" t="n">
        <v>1</v>
      </c>
      <c r="R48" s="2" t="inlineStr">
        <is>
          <t>Revlummer</t>
        </is>
      </c>
      <c r="S48">
        <f>HYPERLINK("https://klasma.github.io/Logging_1907/artfynd/A 38170-2021 artfynd.xlsx", "A 38170-2021")</f>
        <v/>
      </c>
      <c r="T48">
        <f>HYPERLINK("https://klasma.github.io/Logging_1907/kartor/A 38170-2021 karta.png", "A 38170-2021")</f>
        <v/>
      </c>
      <c r="V48">
        <f>HYPERLINK("https://klasma.github.io/Logging_1907/klagomål/A 38170-2021 FSC-klagomål.docx", "A 38170-2021")</f>
        <v/>
      </c>
      <c r="W48">
        <f>HYPERLINK("https://klasma.github.io/Logging_1907/klagomålsmail/A 38170-2021 FSC-klagomål mail.docx", "A 38170-2021")</f>
        <v/>
      </c>
      <c r="X48">
        <f>HYPERLINK("https://klasma.github.io/Logging_1907/tillsyn/A 38170-2021 tillsynsbegäran.docx", "A 38170-2021")</f>
        <v/>
      </c>
      <c r="Y48">
        <f>HYPERLINK("https://klasma.github.io/Logging_1907/tillsynsmail/A 38170-2021 tillsynsbegäran mail.docx", "A 38170-2021")</f>
        <v/>
      </c>
    </row>
    <row r="49" ht="15" customHeight="1">
      <c r="A49" t="inlineStr">
        <is>
          <t>A 26700-2022</t>
        </is>
      </c>
      <c r="B49" s="1" t="n">
        <v>44739</v>
      </c>
      <c r="C49" s="1" t="n">
        <v>46077</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67611-2021</t>
        </is>
      </c>
      <c r="B50" s="1" t="n">
        <v>44524</v>
      </c>
      <c r="C50" s="1" t="n">
        <v>46077</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18717-2021</t>
        </is>
      </c>
      <c r="B51" s="1" t="n">
        <v>44306</v>
      </c>
      <c r="C51" s="1" t="n">
        <v>46077</v>
      </c>
      <c r="D51" t="inlineStr">
        <is>
          <t>VÄSTMANLANDS LÄN</t>
        </is>
      </c>
      <c r="E51" t="inlineStr">
        <is>
          <t>SURAHAMMAR</t>
        </is>
      </c>
      <c r="F51" t="inlineStr">
        <is>
          <t>Bergvik skog väst AB</t>
        </is>
      </c>
      <c r="G51" t="n">
        <v>18</v>
      </c>
      <c r="H51" t="n">
        <v>1</v>
      </c>
      <c r="I51" t="n">
        <v>0</v>
      </c>
      <c r="J51" t="n">
        <v>0</v>
      </c>
      <c r="K51" t="n">
        <v>0</v>
      </c>
      <c r="L51" t="n">
        <v>0</v>
      </c>
      <c r="M51" t="n">
        <v>0</v>
      </c>
      <c r="N51" t="n">
        <v>0</v>
      </c>
      <c r="O51" t="n">
        <v>0</v>
      </c>
      <c r="P51" t="n">
        <v>0</v>
      </c>
      <c r="Q51" t="n">
        <v>1</v>
      </c>
      <c r="R51" s="2" t="inlineStr">
        <is>
          <t>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69777-2021</t>
        </is>
      </c>
      <c r="B52" s="1" t="n">
        <v>44532</v>
      </c>
      <c r="C52" s="1" t="n">
        <v>46077</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46077</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56362-2023</t>
        </is>
      </c>
      <c r="B54" s="1" t="n">
        <v>45236</v>
      </c>
      <c r="C54" s="1" t="n">
        <v>46077</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46077</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39099-2022</t>
        </is>
      </c>
      <c r="B56" s="1" t="n">
        <v>44817</v>
      </c>
      <c r="C56" s="1" t="n">
        <v>46077</v>
      </c>
      <c r="D56" t="inlineStr">
        <is>
          <t>VÄSTMANLANDS LÄN</t>
        </is>
      </c>
      <c r="E56" t="inlineStr">
        <is>
          <t>SURAHAMMAR</t>
        </is>
      </c>
      <c r="F56" t="inlineStr">
        <is>
          <t>Bergvik skog väst AB</t>
        </is>
      </c>
      <c r="G56" t="n">
        <v>7.4</v>
      </c>
      <c r="H56" t="n">
        <v>0</v>
      </c>
      <c r="I56" t="n">
        <v>1</v>
      </c>
      <c r="J56" t="n">
        <v>0</v>
      </c>
      <c r="K56" t="n">
        <v>0</v>
      </c>
      <c r="L56" t="n">
        <v>0</v>
      </c>
      <c r="M56" t="n">
        <v>0</v>
      </c>
      <c r="N56" t="n">
        <v>0</v>
      </c>
      <c r="O56" t="n">
        <v>0</v>
      </c>
      <c r="P56" t="n">
        <v>0</v>
      </c>
      <c r="Q56" t="n">
        <v>1</v>
      </c>
      <c r="R56" s="2" t="inlineStr">
        <is>
          <t>Stekelbock</t>
        </is>
      </c>
      <c r="S56">
        <f>HYPERLINK("https://klasma.github.io/Logging_1907/artfynd/A 39099-2022 artfynd.xlsx", "A 39099-2022")</f>
        <v/>
      </c>
      <c r="T56">
        <f>HYPERLINK("https://klasma.github.io/Logging_1907/kartor/A 39099-2022 karta.png", "A 39099-2022")</f>
        <v/>
      </c>
      <c r="V56">
        <f>HYPERLINK("https://klasma.github.io/Logging_1907/klagomål/A 39099-2022 FSC-klagomål.docx", "A 39099-2022")</f>
        <v/>
      </c>
      <c r="W56">
        <f>HYPERLINK("https://klasma.github.io/Logging_1907/klagomålsmail/A 39099-2022 FSC-klagomål mail.docx", "A 39099-2022")</f>
        <v/>
      </c>
      <c r="X56">
        <f>HYPERLINK("https://klasma.github.io/Logging_1907/tillsyn/A 39099-2022 tillsynsbegäran.docx", "A 39099-2022")</f>
        <v/>
      </c>
      <c r="Y56">
        <f>HYPERLINK("https://klasma.github.io/Logging_1907/tillsynsmail/A 39099-2022 tillsynsbegäran mail.docx", "A 39099-2022")</f>
        <v/>
      </c>
    </row>
    <row r="57" ht="15" customHeight="1">
      <c r="A57" t="inlineStr">
        <is>
          <t>A 40411-2021</t>
        </is>
      </c>
      <c r="B57" s="1" t="n">
        <v>44419</v>
      </c>
      <c r="C57" s="1" t="n">
        <v>46077</v>
      </c>
      <c r="D57" t="inlineStr">
        <is>
          <t>VÄSTMANLANDS LÄN</t>
        </is>
      </c>
      <c r="E57" t="inlineStr">
        <is>
          <t>SURAHAMMAR</t>
        </is>
      </c>
      <c r="F57" t="inlineStr">
        <is>
          <t>Sveaskog</t>
        </is>
      </c>
      <c r="G57" t="n">
        <v>2.4</v>
      </c>
      <c r="H57" t="n">
        <v>1</v>
      </c>
      <c r="I57" t="n">
        <v>0</v>
      </c>
      <c r="J57" t="n">
        <v>0</v>
      </c>
      <c r="K57" t="n">
        <v>0</v>
      </c>
      <c r="L57" t="n">
        <v>0</v>
      </c>
      <c r="M57" t="n">
        <v>0</v>
      </c>
      <c r="N57" t="n">
        <v>0</v>
      </c>
      <c r="O57" t="n">
        <v>0</v>
      </c>
      <c r="P57" t="n">
        <v>0</v>
      </c>
      <c r="Q57" t="n">
        <v>1</v>
      </c>
      <c r="R57" s="2" t="inlineStr">
        <is>
          <t>Kopparödla</t>
        </is>
      </c>
      <c r="S57">
        <f>HYPERLINK("https://klasma.github.io/Logging_1907/artfynd/A 40411-2021 artfynd.xlsx", "A 40411-2021")</f>
        <v/>
      </c>
      <c r="T57">
        <f>HYPERLINK("https://klasma.github.io/Logging_1907/kartor/A 40411-2021 karta.png", "A 40411-2021")</f>
        <v/>
      </c>
      <c r="V57">
        <f>HYPERLINK("https://klasma.github.io/Logging_1907/klagomål/A 40411-2021 FSC-klagomål.docx", "A 40411-2021")</f>
        <v/>
      </c>
      <c r="W57">
        <f>HYPERLINK("https://klasma.github.io/Logging_1907/klagomålsmail/A 40411-2021 FSC-klagomål mail.docx", "A 40411-2021")</f>
        <v/>
      </c>
      <c r="X57">
        <f>HYPERLINK("https://klasma.github.io/Logging_1907/tillsyn/A 40411-2021 tillsynsbegäran.docx", "A 40411-2021")</f>
        <v/>
      </c>
      <c r="Y57">
        <f>HYPERLINK("https://klasma.github.io/Logging_1907/tillsynsmail/A 40411-2021 tillsynsbegäran mail.docx", "A 40411-2021")</f>
        <v/>
      </c>
    </row>
    <row r="58" ht="15" customHeight="1">
      <c r="A58" t="inlineStr">
        <is>
          <t>A 25583-2024</t>
        </is>
      </c>
      <c r="B58" s="1" t="n">
        <v>45463</v>
      </c>
      <c r="C58" s="1" t="n">
        <v>46077</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33231-2024</t>
        </is>
      </c>
      <c r="B59" s="1" t="n">
        <v>45518</v>
      </c>
      <c r="C59" s="1" t="n">
        <v>46077</v>
      </c>
      <c r="D59" t="inlineStr">
        <is>
          <t>VÄSTMANLANDS LÄN</t>
        </is>
      </c>
      <c r="E59" t="inlineStr">
        <is>
          <t>SURAHAMMAR</t>
        </is>
      </c>
      <c r="F59" t="inlineStr">
        <is>
          <t>Bergvik skog väst AB</t>
        </is>
      </c>
      <c r="G59" t="n">
        <v>1.5</v>
      </c>
      <c r="H59" t="n">
        <v>1</v>
      </c>
      <c r="I59" t="n">
        <v>0</v>
      </c>
      <c r="J59" t="n">
        <v>0</v>
      </c>
      <c r="K59" t="n">
        <v>0</v>
      </c>
      <c r="L59" t="n">
        <v>0</v>
      </c>
      <c r="M59" t="n">
        <v>0</v>
      </c>
      <c r="N59" t="n">
        <v>0</v>
      </c>
      <c r="O59" t="n">
        <v>0</v>
      </c>
      <c r="P59" t="n">
        <v>0</v>
      </c>
      <c r="Q59" t="n">
        <v>1</v>
      </c>
      <c r="R59" s="2" t="inlineStr">
        <is>
          <t>Mindre vattensalamander</t>
        </is>
      </c>
      <c r="S59">
        <f>HYPERLINK("https://klasma.github.io/Logging_1907/artfynd/A 33231-2024 artfynd.xlsx", "A 33231-2024")</f>
        <v/>
      </c>
      <c r="T59">
        <f>HYPERLINK("https://klasma.github.io/Logging_1907/kartor/A 33231-2024 karta.png", "A 33231-2024")</f>
        <v/>
      </c>
      <c r="V59">
        <f>HYPERLINK("https://klasma.github.io/Logging_1907/klagomål/A 33231-2024 FSC-klagomål.docx", "A 33231-2024")</f>
        <v/>
      </c>
      <c r="W59">
        <f>HYPERLINK("https://klasma.github.io/Logging_1907/klagomålsmail/A 33231-2024 FSC-klagomål mail.docx", "A 33231-2024")</f>
        <v/>
      </c>
      <c r="X59">
        <f>HYPERLINK("https://klasma.github.io/Logging_1907/tillsyn/A 33231-2024 tillsynsbegäran.docx", "A 33231-2024")</f>
        <v/>
      </c>
      <c r="Y59">
        <f>HYPERLINK("https://klasma.github.io/Logging_1907/tillsynsmail/A 33231-2024 tillsynsbegäran mail.docx", "A 33231-2024")</f>
        <v/>
      </c>
    </row>
    <row r="60" ht="15" customHeight="1">
      <c r="A60" t="inlineStr">
        <is>
          <t>A 30074-2023</t>
        </is>
      </c>
      <c r="B60" s="1" t="n">
        <v>45110</v>
      </c>
      <c r="C60" s="1" t="n">
        <v>46077</v>
      </c>
      <c r="D60" t="inlineStr">
        <is>
          <t>VÄSTMANLANDS LÄN</t>
        </is>
      </c>
      <c r="E60" t="inlineStr">
        <is>
          <t>SURAHAMMAR</t>
        </is>
      </c>
      <c r="F60" t="inlineStr">
        <is>
          <t>Sveaskog</t>
        </is>
      </c>
      <c r="G60" t="n">
        <v>1.1</v>
      </c>
      <c r="H60" t="n">
        <v>1</v>
      </c>
      <c r="I60" t="n">
        <v>0</v>
      </c>
      <c r="J60" t="n">
        <v>0</v>
      </c>
      <c r="K60" t="n">
        <v>0</v>
      </c>
      <c r="L60" t="n">
        <v>0</v>
      </c>
      <c r="M60" t="n">
        <v>0</v>
      </c>
      <c r="N60" t="n">
        <v>0</v>
      </c>
      <c r="O60" t="n">
        <v>0</v>
      </c>
      <c r="P60" t="n">
        <v>0</v>
      </c>
      <c r="Q60" t="n">
        <v>1</v>
      </c>
      <c r="R60" s="2" t="inlineStr">
        <is>
          <t>Revlummer</t>
        </is>
      </c>
      <c r="S60">
        <f>HYPERLINK("https://klasma.github.io/Logging_1907/artfynd/A 30074-2023 artfynd.xlsx", "A 30074-2023")</f>
        <v/>
      </c>
      <c r="T60">
        <f>HYPERLINK("https://klasma.github.io/Logging_1907/kartor/A 30074-2023 karta.png", "A 30074-2023")</f>
        <v/>
      </c>
      <c r="V60">
        <f>HYPERLINK("https://klasma.github.io/Logging_1907/klagomål/A 30074-2023 FSC-klagomål.docx", "A 30074-2023")</f>
        <v/>
      </c>
      <c r="W60">
        <f>HYPERLINK("https://klasma.github.io/Logging_1907/klagomålsmail/A 30074-2023 FSC-klagomål mail.docx", "A 30074-2023")</f>
        <v/>
      </c>
      <c r="X60">
        <f>HYPERLINK("https://klasma.github.io/Logging_1907/tillsyn/A 30074-2023 tillsynsbegäran.docx", "A 30074-2023")</f>
        <v/>
      </c>
      <c r="Y60">
        <f>HYPERLINK("https://klasma.github.io/Logging_1907/tillsynsmail/A 30074-2023 tillsynsbegäran mail.docx", "A 30074-2023")</f>
        <v/>
      </c>
    </row>
    <row r="61" ht="15" customHeight="1">
      <c r="A61" t="inlineStr">
        <is>
          <t>A 10819-2024</t>
        </is>
      </c>
      <c r="B61" s="1" t="n">
        <v>45369.66049768519</v>
      </c>
      <c r="C61" s="1" t="n">
        <v>46077</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31176-2024</t>
        </is>
      </c>
      <c r="B62" s="1" t="n">
        <v>45503</v>
      </c>
      <c r="C62" s="1" t="n">
        <v>46077</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13971-2023</t>
        </is>
      </c>
      <c r="B63" s="1" t="n">
        <v>45007</v>
      </c>
      <c r="C63" s="1" t="n">
        <v>46077</v>
      </c>
      <c r="D63" t="inlineStr">
        <is>
          <t>VÄSTMANLANDS LÄN</t>
        </is>
      </c>
      <c r="E63" t="inlineStr">
        <is>
          <t>SURAHAMMAR</t>
        </is>
      </c>
      <c r="F63" t="inlineStr">
        <is>
          <t>Bergvik skog väst AB</t>
        </is>
      </c>
      <c r="G63" t="n">
        <v>2.9</v>
      </c>
      <c r="H63" t="n">
        <v>1</v>
      </c>
      <c r="I63" t="n">
        <v>0</v>
      </c>
      <c r="J63" t="n">
        <v>0</v>
      </c>
      <c r="K63" t="n">
        <v>0</v>
      </c>
      <c r="L63" t="n">
        <v>0</v>
      </c>
      <c r="M63" t="n">
        <v>0</v>
      </c>
      <c r="N63" t="n">
        <v>0</v>
      </c>
      <c r="O63" t="n">
        <v>0</v>
      </c>
      <c r="P63" t="n">
        <v>0</v>
      </c>
      <c r="Q63" t="n">
        <v>1</v>
      </c>
      <c r="R63" s="2" t="inlineStr">
        <is>
          <t>Fläcknycklar</t>
        </is>
      </c>
      <c r="S63">
        <f>HYPERLINK("https://klasma.github.io/Logging_1907/artfynd/A 13971-2023 artfynd.xlsx", "A 13971-2023")</f>
        <v/>
      </c>
      <c r="T63">
        <f>HYPERLINK("https://klasma.github.io/Logging_1907/kartor/A 13971-2023 karta.png", "A 13971-2023")</f>
        <v/>
      </c>
      <c r="V63">
        <f>HYPERLINK("https://klasma.github.io/Logging_1907/klagomål/A 13971-2023 FSC-klagomål.docx", "A 13971-2023")</f>
        <v/>
      </c>
      <c r="W63">
        <f>HYPERLINK("https://klasma.github.io/Logging_1907/klagomålsmail/A 13971-2023 FSC-klagomål mail.docx", "A 13971-2023")</f>
        <v/>
      </c>
      <c r="X63">
        <f>HYPERLINK("https://klasma.github.io/Logging_1907/tillsyn/A 13971-2023 tillsynsbegäran.docx", "A 13971-2023")</f>
        <v/>
      </c>
      <c r="Y63">
        <f>HYPERLINK("https://klasma.github.io/Logging_1907/tillsynsmail/A 13971-2023 tillsynsbegäran mail.docx", "A 13971-2023")</f>
        <v/>
      </c>
    </row>
    <row r="64" ht="15" customHeight="1">
      <c r="A64" t="inlineStr">
        <is>
          <t>A 42765-2022</t>
        </is>
      </c>
      <c r="B64" s="1" t="n">
        <v>44832</v>
      </c>
      <c r="C64" s="1" t="n">
        <v>46077</v>
      </c>
      <c r="D64" t="inlineStr">
        <is>
          <t>VÄSTMANLANDS LÄN</t>
        </is>
      </c>
      <c r="E64" t="inlineStr">
        <is>
          <t>SURAHAMMAR</t>
        </is>
      </c>
      <c r="G64" t="n">
        <v>1.8</v>
      </c>
      <c r="H64" t="n">
        <v>1</v>
      </c>
      <c r="I64" t="n">
        <v>0</v>
      </c>
      <c r="J64" t="n">
        <v>0</v>
      </c>
      <c r="K64" t="n">
        <v>0</v>
      </c>
      <c r="L64" t="n">
        <v>0</v>
      </c>
      <c r="M64" t="n">
        <v>0</v>
      </c>
      <c r="N64" t="n">
        <v>0</v>
      </c>
      <c r="O64" t="n">
        <v>0</v>
      </c>
      <c r="P64" t="n">
        <v>0</v>
      </c>
      <c r="Q64" t="n">
        <v>1</v>
      </c>
      <c r="R64" s="2" t="inlineStr">
        <is>
          <t>Blåsippa</t>
        </is>
      </c>
      <c r="S64">
        <f>HYPERLINK("https://klasma.github.io/Logging_1907/artfynd/A 42765-2022 artfynd.xlsx", "A 42765-2022")</f>
        <v/>
      </c>
      <c r="T64">
        <f>HYPERLINK("https://klasma.github.io/Logging_1907/kartor/A 42765-2022 karta.png", "A 42765-2022")</f>
        <v/>
      </c>
      <c r="V64">
        <f>HYPERLINK("https://klasma.github.io/Logging_1907/klagomål/A 42765-2022 FSC-klagomål.docx", "A 42765-2022")</f>
        <v/>
      </c>
      <c r="W64">
        <f>HYPERLINK("https://klasma.github.io/Logging_1907/klagomålsmail/A 42765-2022 FSC-klagomål mail.docx", "A 42765-2022")</f>
        <v/>
      </c>
      <c r="X64">
        <f>HYPERLINK("https://klasma.github.io/Logging_1907/tillsyn/A 42765-2022 tillsynsbegäran.docx", "A 42765-2022")</f>
        <v/>
      </c>
      <c r="Y64">
        <f>HYPERLINK("https://klasma.github.io/Logging_1907/tillsynsmail/A 42765-2022 tillsynsbegäran mail.docx", "A 42765-2022")</f>
        <v/>
      </c>
    </row>
    <row r="65" ht="15" customHeight="1">
      <c r="A65" t="inlineStr">
        <is>
          <t>A 44356-2024</t>
        </is>
      </c>
      <c r="B65" s="1" t="n">
        <v>45573</v>
      </c>
      <c r="C65" s="1" t="n">
        <v>46077</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17632-2022</t>
        </is>
      </c>
      <c r="B66" s="1" t="n">
        <v>44680</v>
      </c>
      <c r="C66" s="1" t="n">
        <v>46077</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34582-2025</t>
        </is>
      </c>
      <c r="B67" s="1" t="n">
        <v>45846</v>
      </c>
      <c r="C67" s="1" t="n">
        <v>46077</v>
      </c>
      <c r="D67" t="inlineStr">
        <is>
          <t>VÄSTMANLANDS LÄN</t>
        </is>
      </c>
      <c r="E67" t="inlineStr">
        <is>
          <t>SURAHAMMAR</t>
        </is>
      </c>
      <c r="F67" t="inlineStr">
        <is>
          <t>Bergvik skog väst AB</t>
        </is>
      </c>
      <c r="G67" t="n">
        <v>2.6</v>
      </c>
      <c r="H67" t="n">
        <v>1</v>
      </c>
      <c r="I67" t="n">
        <v>0</v>
      </c>
      <c r="J67" t="n">
        <v>1</v>
      </c>
      <c r="K67" t="n">
        <v>0</v>
      </c>
      <c r="L67" t="n">
        <v>0</v>
      </c>
      <c r="M67" t="n">
        <v>0</v>
      </c>
      <c r="N67" t="n">
        <v>0</v>
      </c>
      <c r="O67" t="n">
        <v>1</v>
      </c>
      <c r="P67" t="n">
        <v>0</v>
      </c>
      <c r="Q67" t="n">
        <v>1</v>
      </c>
      <c r="R67" s="2" t="inlineStr">
        <is>
          <t>Järpe</t>
        </is>
      </c>
      <c r="S67">
        <f>HYPERLINK("https://klasma.github.io/Logging_1907/artfynd/A 34582-2025 artfynd.xlsx", "A 34582-2025")</f>
        <v/>
      </c>
      <c r="T67">
        <f>HYPERLINK("https://klasma.github.io/Logging_1907/kartor/A 34582-2025 karta.png", "A 34582-2025")</f>
        <v/>
      </c>
      <c r="V67">
        <f>HYPERLINK("https://klasma.github.io/Logging_1907/klagomål/A 34582-2025 FSC-klagomål.docx", "A 34582-2025")</f>
        <v/>
      </c>
      <c r="W67">
        <f>HYPERLINK("https://klasma.github.io/Logging_1907/klagomålsmail/A 34582-2025 FSC-klagomål mail.docx", "A 34582-2025")</f>
        <v/>
      </c>
      <c r="X67">
        <f>HYPERLINK("https://klasma.github.io/Logging_1907/tillsyn/A 34582-2025 tillsynsbegäran.docx", "A 34582-2025")</f>
        <v/>
      </c>
      <c r="Y67">
        <f>HYPERLINK("https://klasma.github.io/Logging_1907/tillsynsmail/A 34582-2025 tillsynsbegäran mail.docx", "A 34582-2025")</f>
        <v/>
      </c>
      <c r="Z67">
        <f>HYPERLINK("https://klasma.github.io/Logging_1907/fåglar/A 34582-2025 prioriterade fågelarter.docx", "A 34582-2025")</f>
        <v/>
      </c>
    </row>
    <row r="68" ht="15" customHeight="1">
      <c r="A68" t="inlineStr">
        <is>
          <t>A 42089-2025</t>
        </is>
      </c>
      <c r="B68" s="1" t="n">
        <v>45902</v>
      </c>
      <c r="C68" s="1" t="n">
        <v>46077</v>
      </c>
      <c r="D68" t="inlineStr">
        <is>
          <t>VÄSTMANLANDS LÄN</t>
        </is>
      </c>
      <c r="E68" t="inlineStr">
        <is>
          <t>SURAHAMMAR</t>
        </is>
      </c>
      <c r="G68" t="n">
        <v>2.2</v>
      </c>
      <c r="H68" t="n">
        <v>0</v>
      </c>
      <c r="I68" t="n">
        <v>0</v>
      </c>
      <c r="J68" t="n">
        <v>1</v>
      </c>
      <c r="K68" t="n">
        <v>0</v>
      </c>
      <c r="L68" t="n">
        <v>0</v>
      </c>
      <c r="M68" t="n">
        <v>0</v>
      </c>
      <c r="N68" t="n">
        <v>0</v>
      </c>
      <c r="O68" t="n">
        <v>1</v>
      </c>
      <c r="P68" t="n">
        <v>0</v>
      </c>
      <c r="Q68" t="n">
        <v>1</v>
      </c>
      <c r="R68" s="2" t="inlineStr">
        <is>
          <t>Motaggsvamp</t>
        </is>
      </c>
      <c r="S68">
        <f>HYPERLINK("https://klasma.github.io/Logging_1907/artfynd/A 42089-2025 artfynd.xlsx", "A 42089-2025")</f>
        <v/>
      </c>
      <c r="T68">
        <f>HYPERLINK("https://klasma.github.io/Logging_1907/kartor/A 42089-2025 karta.png", "A 42089-2025")</f>
        <v/>
      </c>
      <c r="V68">
        <f>HYPERLINK("https://klasma.github.io/Logging_1907/klagomål/A 42089-2025 FSC-klagomål.docx", "A 42089-2025")</f>
        <v/>
      </c>
      <c r="W68">
        <f>HYPERLINK("https://klasma.github.io/Logging_1907/klagomålsmail/A 42089-2025 FSC-klagomål mail.docx", "A 42089-2025")</f>
        <v/>
      </c>
      <c r="X68">
        <f>HYPERLINK("https://klasma.github.io/Logging_1907/tillsyn/A 42089-2025 tillsynsbegäran.docx", "A 42089-2025")</f>
        <v/>
      </c>
      <c r="Y68">
        <f>HYPERLINK("https://klasma.github.io/Logging_1907/tillsynsmail/A 42089-2025 tillsynsbegäran mail.docx", "A 42089-2025")</f>
        <v/>
      </c>
    </row>
    <row r="69" ht="15" customHeight="1">
      <c r="A69" t="inlineStr">
        <is>
          <t>A 22840-2023</t>
        </is>
      </c>
      <c r="B69" s="1" t="n">
        <v>45072</v>
      </c>
      <c r="C69" s="1" t="n">
        <v>46077</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43451-2024</t>
        </is>
      </c>
      <c r="B70" s="1" t="n">
        <v>45568</v>
      </c>
      <c r="C70" s="1" t="n">
        <v>46077</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55042-2025</t>
        </is>
      </c>
      <c r="B71" s="1" t="n">
        <v>45967.65858796296</v>
      </c>
      <c r="C71" s="1" t="n">
        <v>46077</v>
      </c>
      <c r="D71" t="inlineStr">
        <is>
          <t>VÄSTMANLANDS LÄN</t>
        </is>
      </c>
      <c r="E71" t="inlineStr">
        <is>
          <t>SURAHAMMAR</t>
        </is>
      </c>
      <c r="F71" t="inlineStr">
        <is>
          <t>Sveaskog</t>
        </is>
      </c>
      <c r="G71" t="n">
        <v>7.2</v>
      </c>
      <c r="H71" t="n">
        <v>0</v>
      </c>
      <c r="I71" t="n">
        <v>0</v>
      </c>
      <c r="J71" t="n">
        <v>1</v>
      </c>
      <c r="K71" t="n">
        <v>0</v>
      </c>
      <c r="L71" t="n">
        <v>0</v>
      </c>
      <c r="M71" t="n">
        <v>0</v>
      </c>
      <c r="N71" t="n">
        <v>0</v>
      </c>
      <c r="O71" t="n">
        <v>1</v>
      </c>
      <c r="P71" t="n">
        <v>0</v>
      </c>
      <c r="Q71" t="n">
        <v>1</v>
      </c>
      <c r="R71" s="2" t="inlineStr">
        <is>
          <t>Motaggsvamp</t>
        </is>
      </c>
      <c r="S71">
        <f>HYPERLINK("https://klasma.github.io/Logging_1907/artfynd/A 55042-2025 artfynd.xlsx", "A 55042-2025")</f>
        <v/>
      </c>
      <c r="T71">
        <f>HYPERLINK("https://klasma.github.io/Logging_1907/kartor/A 55042-2025 karta.png", "A 55042-2025")</f>
        <v/>
      </c>
      <c r="V71">
        <f>HYPERLINK("https://klasma.github.io/Logging_1907/klagomål/A 55042-2025 FSC-klagomål.docx", "A 55042-2025")</f>
        <v/>
      </c>
      <c r="W71">
        <f>HYPERLINK("https://klasma.github.io/Logging_1907/klagomålsmail/A 55042-2025 FSC-klagomål mail.docx", "A 55042-2025")</f>
        <v/>
      </c>
      <c r="X71">
        <f>HYPERLINK("https://klasma.github.io/Logging_1907/tillsyn/A 55042-2025 tillsynsbegäran.docx", "A 55042-2025")</f>
        <v/>
      </c>
      <c r="Y71">
        <f>HYPERLINK("https://klasma.github.io/Logging_1907/tillsynsmail/A 55042-2025 tillsynsbegäran mail.docx", "A 55042-2025")</f>
        <v/>
      </c>
    </row>
    <row r="72" ht="15" customHeight="1">
      <c r="A72" t="inlineStr">
        <is>
          <t>A 56768-2025</t>
        </is>
      </c>
      <c r="B72" s="1" t="n">
        <v>45978</v>
      </c>
      <c r="C72" s="1" t="n">
        <v>46077</v>
      </c>
      <c r="D72" t="inlineStr">
        <is>
          <t>VÄSTMANLANDS LÄN</t>
        </is>
      </c>
      <c r="E72" t="inlineStr">
        <is>
          <t>SURAHAMMAR</t>
        </is>
      </c>
      <c r="F72" t="inlineStr">
        <is>
          <t>Sveaskog</t>
        </is>
      </c>
      <c r="G72" t="n">
        <v>3.8</v>
      </c>
      <c r="H72" t="n">
        <v>0</v>
      </c>
      <c r="I72" t="n">
        <v>0</v>
      </c>
      <c r="J72" t="n">
        <v>1</v>
      </c>
      <c r="K72" t="n">
        <v>0</v>
      </c>
      <c r="L72" t="n">
        <v>0</v>
      </c>
      <c r="M72" t="n">
        <v>0</v>
      </c>
      <c r="N72" t="n">
        <v>0</v>
      </c>
      <c r="O72" t="n">
        <v>1</v>
      </c>
      <c r="P72" t="n">
        <v>0</v>
      </c>
      <c r="Q72" t="n">
        <v>1</v>
      </c>
      <c r="R72" s="2" t="inlineStr">
        <is>
          <t>Motaggsvamp</t>
        </is>
      </c>
      <c r="S72">
        <f>HYPERLINK("https://klasma.github.io/Logging_1907/artfynd/A 56768-2025 artfynd.xlsx", "A 56768-2025")</f>
        <v/>
      </c>
      <c r="T72">
        <f>HYPERLINK("https://klasma.github.io/Logging_1907/kartor/A 56768-2025 karta.png", "A 56768-2025")</f>
        <v/>
      </c>
      <c r="V72">
        <f>HYPERLINK("https://klasma.github.io/Logging_1907/klagomål/A 56768-2025 FSC-klagomål.docx", "A 56768-2025")</f>
        <v/>
      </c>
      <c r="W72">
        <f>HYPERLINK("https://klasma.github.io/Logging_1907/klagomålsmail/A 56768-2025 FSC-klagomål mail.docx", "A 56768-2025")</f>
        <v/>
      </c>
      <c r="X72">
        <f>HYPERLINK("https://klasma.github.io/Logging_1907/tillsyn/A 56768-2025 tillsynsbegäran.docx", "A 56768-2025")</f>
        <v/>
      </c>
      <c r="Y72">
        <f>HYPERLINK("https://klasma.github.io/Logging_1907/tillsynsmail/A 56768-2025 tillsynsbegäran mail.docx", "A 56768-2025")</f>
        <v/>
      </c>
    </row>
    <row r="73" ht="15" customHeight="1">
      <c r="A73" t="inlineStr">
        <is>
          <t>A 13788-2025</t>
        </is>
      </c>
      <c r="B73" s="1" t="n">
        <v>45737.45327546296</v>
      </c>
      <c r="C73" s="1" t="n">
        <v>46077</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63145-2025</t>
        </is>
      </c>
      <c r="B74" s="1" t="n">
        <v>46009</v>
      </c>
      <c r="C74" s="1" t="n">
        <v>46077</v>
      </c>
      <c r="D74" t="inlineStr">
        <is>
          <t>VÄSTMANLANDS LÄN</t>
        </is>
      </c>
      <c r="E74" t="inlineStr">
        <is>
          <t>SURAHAMMAR</t>
        </is>
      </c>
      <c r="F74" t="inlineStr">
        <is>
          <t>Bergvik skog väst AB</t>
        </is>
      </c>
      <c r="G74" t="n">
        <v>40.5</v>
      </c>
      <c r="H74" t="n">
        <v>0</v>
      </c>
      <c r="I74" t="n">
        <v>1</v>
      </c>
      <c r="J74" t="n">
        <v>0</v>
      </c>
      <c r="K74" t="n">
        <v>0</v>
      </c>
      <c r="L74" t="n">
        <v>0</v>
      </c>
      <c r="M74" t="n">
        <v>0</v>
      </c>
      <c r="N74" t="n">
        <v>0</v>
      </c>
      <c r="O74" t="n">
        <v>0</v>
      </c>
      <c r="P74" t="n">
        <v>0</v>
      </c>
      <c r="Q74" t="n">
        <v>1</v>
      </c>
      <c r="R74" s="2" t="inlineStr">
        <is>
          <t>Svart trolldruva</t>
        </is>
      </c>
      <c r="S74">
        <f>HYPERLINK("https://klasma.github.io/Logging_1907/artfynd/A 63145-2025 artfynd.xlsx", "A 63145-2025")</f>
        <v/>
      </c>
      <c r="T74">
        <f>HYPERLINK("https://klasma.github.io/Logging_1907/kartor/A 63145-2025 karta.png", "A 63145-2025")</f>
        <v/>
      </c>
      <c r="V74">
        <f>HYPERLINK("https://klasma.github.io/Logging_1907/klagomål/A 63145-2025 FSC-klagomål.docx", "A 63145-2025")</f>
        <v/>
      </c>
      <c r="W74">
        <f>HYPERLINK("https://klasma.github.io/Logging_1907/klagomålsmail/A 63145-2025 FSC-klagomål mail.docx", "A 63145-2025")</f>
        <v/>
      </c>
      <c r="X74">
        <f>HYPERLINK("https://klasma.github.io/Logging_1907/tillsyn/A 63145-2025 tillsynsbegäran.docx", "A 63145-2025")</f>
        <v/>
      </c>
      <c r="Y74">
        <f>HYPERLINK("https://klasma.github.io/Logging_1907/tillsynsmail/A 63145-2025 tillsynsbegäran mail.docx", "A 63145-2025")</f>
        <v/>
      </c>
    </row>
    <row r="75" ht="15" customHeight="1">
      <c r="A75" t="inlineStr">
        <is>
          <t>A 64073-2021</t>
        </is>
      </c>
      <c r="B75" s="1" t="n">
        <v>44509</v>
      </c>
      <c r="C75" s="1" t="n">
        <v>46077</v>
      </c>
      <c r="D75" t="inlineStr">
        <is>
          <t>VÄSTMANLANDS LÄN</t>
        </is>
      </c>
      <c r="E75" t="inlineStr">
        <is>
          <t>SURAHAMMAR</t>
        </is>
      </c>
      <c r="G75" t="n">
        <v>0.4</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46077</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46077</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46077</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46077</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46077</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46077</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38178-2021</t>
        </is>
      </c>
      <c r="B82" s="1" t="n">
        <v>44405</v>
      </c>
      <c r="C82" s="1" t="n">
        <v>46077</v>
      </c>
      <c r="D82" t="inlineStr">
        <is>
          <t>VÄSTMANLANDS LÄN</t>
        </is>
      </c>
      <c r="E82" t="inlineStr">
        <is>
          <t>SURAHAMMAR</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46077</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46077</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46077</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46077</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46077</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46077</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46077</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46077</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46077</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46077</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11501-2023</t>
        </is>
      </c>
      <c r="B93" s="1" t="n">
        <v>44991</v>
      </c>
      <c r="C93" s="1" t="n">
        <v>46077</v>
      </c>
      <c r="D93" t="inlineStr">
        <is>
          <t>VÄSTMANLANDS LÄN</t>
        </is>
      </c>
      <c r="E93" t="inlineStr">
        <is>
          <t>SURAHAMMAR</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16013-2023</t>
        </is>
      </c>
      <c r="B94" s="1" t="n">
        <v>45026</v>
      </c>
      <c r="C94" s="1" t="n">
        <v>46077</v>
      </c>
      <c r="D94" t="inlineStr">
        <is>
          <t>VÄSTMANLANDS LÄN</t>
        </is>
      </c>
      <c r="E94" t="inlineStr">
        <is>
          <t>SURAHAMMAR</t>
        </is>
      </c>
      <c r="G94" t="n">
        <v>3.9</v>
      </c>
      <c r="H94" t="n">
        <v>0</v>
      </c>
      <c r="I94" t="n">
        <v>0</v>
      </c>
      <c r="J94" t="n">
        <v>0</v>
      </c>
      <c r="K94" t="n">
        <v>0</v>
      </c>
      <c r="L94" t="n">
        <v>0</v>
      </c>
      <c r="M94" t="n">
        <v>0</v>
      </c>
      <c r="N94" t="n">
        <v>0</v>
      </c>
      <c r="O94" t="n">
        <v>0</v>
      </c>
      <c r="P94" t="n">
        <v>0</v>
      </c>
      <c r="Q94" t="n">
        <v>0</v>
      </c>
      <c r="R94" s="2" t="inlineStr"/>
    </row>
    <row r="95" ht="15" customHeight="1">
      <c r="A95" t="inlineStr">
        <is>
          <t>A 20904-2023</t>
        </is>
      </c>
      <c r="B95" s="1" t="n">
        <v>45060</v>
      </c>
      <c r="C95" s="1" t="n">
        <v>46077</v>
      </c>
      <c r="D95" t="inlineStr">
        <is>
          <t>VÄSTMANLANDS LÄN</t>
        </is>
      </c>
      <c r="E95" t="inlineStr">
        <is>
          <t>SURAHAMMAR</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42829-2022</t>
        </is>
      </c>
      <c r="B96" s="1" t="n">
        <v>44832</v>
      </c>
      <c r="C96" s="1" t="n">
        <v>46077</v>
      </c>
      <c r="D96" t="inlineStr">
        <is>
          <t>VÄSTMANLANDS LÄN</t>
        </is>
      </c>
      <c r="E96" t="inlineStr">
        <is>
          <t>SURAHAMMAR</t>
        </is>
      </c>
      <c r="G96" t="n">
        <v>1.6</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46077</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34955-2022</t>
        </is>
      </c>
      <c r="B98" s="1" t="n">
        <v>44796</v>
      </c>
      <c r="C98" s="1" t="n">
        <v>46077</v>
      </c>
      <c r="D98" t="inlineStr">
        <is>
          <t>VÄSTMANLANDS LÄN</t>
        </is>
      </c>
      <c r="E98" t="inlineStr">
        <is>
          <t>SURAHAMMAR</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42832-2022</t>
        </is>
      </c>
      <c r="B99" s="1" t="n">
        <v>44832</v>
      </c>
      <c r="C99" s="1" t="n">
        <v>46077</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42841-2022</t>
        </is>
      </c>
      <c r="B100" s="1" t="n">
        <v>44832</v>
      </c>
      <c r="C100" s="1" t="n">
        <v>46077</v>
      </c>
      <c r="D100" t="inlineStr">
        <is>
          <t>VÄSTMANLANDS LÄN</t>
        </is>
      </c>
      <c r="E100" t="inlineStr">
        <is>
          <t>SURAHAMMAR</t>
        </is>
      </c>
      <c r="G100" t="n">
        <v>1.8</v>
      </c>
      <c r="H100" t="n">
        <v>0</v>
      </c>
      <c r="I100" t="n">
        <v>0</v>
      </c>
      <c r="J100" t="n">
        <v>0</v>
      </c>
      <c r="K100" t="n">
        <v>0</v>
      </c>
      <c r="L100" t="n">
        <v>0</v>
      </c>
      <c r="M100" t="n">
        <v>0</v>
      </c>
      <c r="N100" t="n">
        <v>0</v>
      </c>
      <c r="O100" t="n">
        <v>0</v>
      </c>
      <c r="P100" t="n">
        <v>0</v>
      </c>
      <c r="Q100" t="n">
        <v>0</v>
      </c>
      <c r="R100" s="2" t="inlineStr"/>
    </row>
    <row r="101" ht="15" customHeight="1">
      <c r="A101" t="inlineStr">
        <is>
          <t>A 13119-2022</t>
        </is>
      </c>
      <c r="B101" s="1" t="n">
        <v>44643</v>
      </c>
      <c r="C101" s="1" t="n">
        <v>46077</v>
      </c>
      <c r="D101" t="inlineStr">
        <is>
          <t>VÄSTMANLANDS LÄN</t>
        </is>
      </c>
      <c r="E101" t="inlineStr">
        <is>
          <t>SURAHAMMAR</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24158-2023</t>
        </is>
      </c>
      <c r="B102" s="1" t="n">
        <v>45079</v>
      </c>
      <c r="C102" s="1" t="n">
        <v>46077</v>
      </c>
      <c r="D102" t="inlineStr">
        <is>
          <t>VÄSTMANLANDS LÄN</t>
        </is>
      </c>
      <c r="E102" t="inlineStr">
        <is>
          <t>SURAHAMMAR</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19782-2023</t>
        </is>
      </c>
      <c r="B103" s="1" t="n">
        <v>45050</v>
      </c>
      <c r="C103" s="1" t="n">
        <v>46077</v>
      </c>
      <c r="D103" t="inlineStr">
        <is>
          <t>VÄSTMANLANDS LÄN</t>
        </is>
      </c>
      <c r="E103" t="inlineStr">
        <is>
          <t>SURAHAMMAR</t>
        </is>
      </c>
      <c r="F103" t="inlineStr">
        <is>
          <t>Bergvik skog väst AB</t>
        </is>
      </c>
      <c r="G103" t="n">
        <v>5.2</v>
      </c>
      <c r="H103" t="n">
        <v>0</v>
      </c>
      <c r="I103" t="n">
        <v>0</v>
      </c>
      <c r="J103" t="n">
        <v>0</v>
      </c>
      <c r="K103" t="n">
        <v>0</v>
      </c>
      <c r="L103" t="n">
        <v>0</v>
      </c>
      <c r="M103" t="n">
        <v>0</v>
      </c>
      <c r="N103" t="n">
        <v>0</v>
      </c>
      <c r="O103" t="n">
        <v>0</v>
      </c>
      <c r="P103" t="n">
        <v>0</v>
      </c>
      <c r="Q103" t="n">
        <v>0</v>
      </c>
      <c r="R103" s="2" t="inlineStr"/>
    </row>
    <row r="104" ht="15" customHeight="1">
      <c r="A104" t="inlineStr">
        <is>
          <t>A 14626-2023</t>
        </is>
      </c>
      <c r="B104" s="1" t="n">
        <v>45012</v>
      </c>
      <c r="C104" s="1" t="n">
        <v>46077</v>
      </c>
      <c r="D104" t="inlineStr">
        <is>
          <t>VÄSTMANLANDS LÄN</t>
        </is>
      </c>
      <c r="E104" t="inlineStr">
        <is>
          <t>SURAHAMMAR</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33931-2022</t>
        </is>
      </c>
      <c r="B105" s="1" t="n">
        <v>44790.65153935185</v>
      </c>
      <c r="C105" s="1" t="n">
        <v>46077</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46077</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37798-2021</t>
        </is>
      </c>
      <c r="B107" s="1" t="n">
        <v>44402</v>
      </c>
      <c r="C107" s="1" t="n">
        <v>46077</v>
      </c>
      <c r="D107" t="inlineStr">
        <is>
          <t>VÄSTMANLANDS LÄN</t>
        </is>
      </c>
      <c r="E107" t="inlineStr">
        <is>
          <t>SURAHAMMAR</t>
        </is>
      </c>
      <c r="F107" t="inlineStr">
        <is>
          <t>Kommuner</t>
        </is>
      </c>
      <c r="G107" t="n">
        <v>1.2</v>
      </c>
      <c r="H107" t="n">
        <v>0</v>
      </c>
      <c r="I107" t="n">
        <v>0</v>
      </c>
      <c r="J107" t="n">
        <v>0</v>
      </c>
      <c r="K107" t="n">
        <v>0</v>
      </c>
      <c r="L107" t="n">
        <v>0</v>
      </c>
      <c r="M107" t="n">
        <v>0</v>
      </c>
      <c r="N107" t="n">
        <v>0</v>
      </c>
      <c r="O107" t="n">
        <v>0</v>
      </c>
      <c r="P107" t="n">
        <v>0</v>
      </c>
      <c r="Q107" t="n">
        <v>0</v>
      </c>
      <c r="R107" s="2" t="inlineStr"/>
    </row>
    <row r="108" ht="15" customHeight="1">
      <c r="A108" t="inlineStr">
        <is>
          <t>A 22662-2023</t>
        </is>
      </c>
      <c r="B108" s="1" t="n">
        <v>45071</v>
      </c>
      <c r="C108" s="1" t="n">
        <v>46077</v>
      </c>
      <c r="D108" t="inlineStr">
        <is>
          <t>VÄSTMANLANDS LÄN</t>
        </is>
      </c>
      <c r="E108" t="inlineStr">
        <is>
          <t>SURAHAMMAR</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46077</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48205-2023</t>
        </is>
      </c>
      <c r="B110" s="1" t="n">
        <v>45205</v>
      </c>
      <c r="C110" s="1" t="n">
        <v>46077</v>
      </c>
      <c r="D110" t="inlineStr">
        <is>
          <t>VÄSTMANLANDS LÄN</t>
        </is>
      </c>
      <c r="E110" t="inlineStr">
        <is>
          <t>SURAHAMMAR</t>
        </is>
      </c>
      <c r="F110" t="inlineStr">
        <is>
          <t>Allmännings- och besparingsskogar</t>
        </is>
      </c>
      <c r="G110" t="n">
        <v>7.6</v>
      </c>
      <c r="H110" t="n">
        <v>0</v>
      </c>
      <c r="I110" t="n">
        <v>0</v>
      </c>
      <c r="J110" t="n">
        <v>0</v>
      </c>
      <c r="K110" t="n">
        <v>0</v>
      </c>
      <c r="L110" t="n">
        <v>0</v>
      </c>
      <c r="M110" t="n">
        <v>0</v>
      </c>
      <c r="N110" t="n">
        <v>0</v>
      </c>
      <c r="O110" t="n">
        <v>0</v>
      </c>
      <c r="P110" t="n">
        <v>0</v>
      </c>
      <c r="Q110" t="n">
        <v>0</v>
      </c>
      <c r="R110" s="2" t="inlineStr"/>
    </row>
    <row r="111" ht="15" customHeight="1">
      <c r="A111" t="inlineStr">
        <is>
          <t>A 11728-2023</t>
        </is>
      </c>
      <c r="B111" s="1" t="n">
        <v>44993</v>
      </c>
      <c r="C111" s="1" t="n">
        <v>46077</v>
      </c>
      <c r="D111" t="inlineStr">
        <is>
          <t>VÄSTMANLANDS LÄN</t>
        </is>
      </c>
      <c r="E111" t="inlineStr">
        <is>
          <t>SURAHAMMAR</t>
        </is>
      </c>
      <c r="F111" t="inlineStr">
        <is>
          <t>Bergvik skog väst AB</t>
        </is>
      </c>
      <c r="G111" t="n">
        <v>0.4</v>
      </c>
      <c r="H111" t="n">
        <v>0</v>
      </c>
      <c r="I111" t="n">
        <v>0</v>
      </c>
      <c r="J111" t="n">
        <v>0</v>
      </c>
      <c r="K111" t="n">
        <v>0</v>
      </c>
      <c r="L111" t="n">
        <v>0</v>
      </c>
      <c r="M111" t="n">
        <v>0</v>
      </c>
      <c r="N111" t="n">
        <v>0</v>
      </c>
      <c r="O111" t="n">
        <v>0</v>
      </c>
      <c r="P111" t="n">
        <v>0</v>
      </c>
      <c r="Q111" t="n">
        <v>0</v>
      </c>
      <c r="R111" s="2" t="inlineStr"/>
    </row>
    <row r="112" ht="15" customHeight="1">
      <c r="A112" t="inlineStr">
        <is>
          <t>A 10883-2023</t>
        </is>
      </c>
      <c r="B112" s="1" t="n">
        <v>44991</v>
      </c>
      <c r="C112" s="1" t="n">
        <v>46077</v>
      </c>
      <c r="D112" t="inlineStr">
        <is>
          <t>VÄSTMANLANDS LÄN</t>
        </is>
      </c>
      <c r="E112" t="inlineStr">
        <is>
          <t>SURAHAMMAR</t>
        </is>
      </c>
      <c r="F112" t="inlineStr">
        <is>
          <t>Övriga Aktiebolag</t>
        </is>
      </c>
      <c r="G112" t="n">
        <v>12.5</v>
      </c>
      <c r="H112" t="n">
        <v>0</v>
      </c>
      <c r="I112" t="n">
        <v>0</v>
      </c>
      <c r="J112" t="n">
        <v>0</v>
      </c>
      <c r="K112" t="n">
        <v>0</v>
      </c>
      <c r="L112" t="n">
        <v>0</v>
      </c>
      <c r="M112" t="n">
        <v>0</v>
      </c>
      <c r="N112" t="n">
        <v>0</v>
      </c>
      <c r="O112" t="n">
        <v>0</v>
      </c>
      <c r="P112" t="n">
        <v>0</v>
      </c>
      <c r="Q112" t="n">
        <v>0</v>
      </c>
      <c r="R112" s="2" t="inlineStr"/>
    </row>
    <row r="113" ht="15" customHeight="1">
      <c r="A113" t="inlineStr">
        <is>
          <t>A 24665-2023</t>
        </is>
      </c>
      <c r="B113" s="1" t="n">
        <v>45084.48592592592</v>
      </c>
      <c r="C113" s="1" t="n">
        <v>46077</v>
      </c>
      <c r="D113" t="inlineStr">
        <is>
          <t>VÄSTMANLANDS LÄN</t>
        </is>
      </c>
      <c r="E113" t="inlineStr">
        <is>
          <t>SURAHAMMAR</t>
        </is>
      </c>
      <c r="G113" t="n">
        <v>0.9</v>
      </c>
      <c r="H113" t="n">
        <v>0</v>
      </c>
      <c r="I113" t="n">
        <v>0</v>
      </c>
      <c r="J113" t="n">
        <v>0</v>
      </c>
      <c r="K113" t="n">
        <v>0</v>
      </c>
      <c r="L113" t="n">
        <v>0</v>
      </c>
      <c r="M113" t="n">
        <v>0</v>
      </c>
      <c r="N113" t="n">
        <v>0</v>
      </c>
      <c r="O113" t="n">
        <v>0</v>
      </c>
      <c r="P113" t="n">
        <v>0</v>
      </c>
      <c r="Q113" t="n">
        <v>0</v>
      </c>
      <c r="R113" s="2" t="inlineStr"/>
    </row>
    <row r="114" ht="15" customHeight="1">
      <c r="A114" t="inlineStr">
        <is>
          <t>A 30076-2023</t>
        </is>
      </c>
      <c r="B114" s="1" t="n">
        <v>45110</v>
      </c>
      <c r="C114" s="1" t="n">
        <v>46077</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24167-2024</t>
        </is>
      </c>
      <c r="B115" s="1" t="n">
        <v>45456</v>
      </c>
      <c r="C115" s="1" t="n">
        <v>46077</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46077</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72367-2021</t>
        </is>
      </c>
      <c r="B117" s="1" t="n">
        <v>44545</v>
      </c>
      <c r="C117" s="1" t="n">
        <v>46077</v>
      </c>
      <c r="D117" t="inlineStr">
        <is>
          <t>VÄSTMANLANDS LÄN</t>
        </is>
      </c>
      <c r="E117" t="inlineStr">
        <is>
          <t>SURAHAMMAR</t>
        </is>
      </c>
      <c r="G117" t="n">
        <v>2.5</v>
      </c>
      <c r="H117" t="n">
        <v>0</v>
      </c>
      <c r="I117" t="n">
        <v>0</v>
      </c>
      <c r="J117" t="n">
        <v>0</v>
      </c>
      <c r="K117" t="n">
        <v>0</v>
      </c>
      <c r="L117" t="n">
        <v>0</v>
      </c>
      <c r="M117" t="n">
        <v>0</v>
      </c>
      <c r="N117" t="n">
        <v>0</v>
      </c>
      <c r="O117" t="n">
        <v>0</v>
      </c>
      <c r="P117" t="n">
        <v>0</v>
      </c>
      <c r="Q117" t="n">
        <v>0</v>
      </c>
      <c r="R117" s="2" t="inlineStr"/>
    </row>
    <row r="118" ht="15" customHeight="1">
      <c r="A118" t="inlineStr">
        <is>
          <t>A 47785-2021</t>
        </is>
      </c>
      <c r="B118" s="1" t="n">
        <v>44448</v>
      </c>
      <c r="C118" s="1" t="n">
        <v>46077</v>
      </c>
      <c r="D118" t="inlineStr">
        <is>
          <t>VÄSTMANLANDS LÄN</t>
        </is>
      </c>
      <c r="E118" t="inlineStr">
        <is>
          <t>SURAHAMMAR</t>
        </is>
      </c>
      <c r="F118" t="inlineStr">
        <is>
          <t>Kommuner</t>
        </is>
      </c>
      <c r="G118" t="n">
        <v>3.3</v>
      </c>
      <c r="H118" t="n">
        <v>0</v>
      </c>
      <c r="I118" t="n">
        <v>0</v>
      </c>
      <c r="J118" t="n">
        <v>0</v>
      </c>
      <c r="K118" t="n">
        <v>0</v>
      </c>
      <c r="L118" t="n">
        <v>0</v>
      </c>
      <c r="M118" t="n">
        <v>0</v>
      </c>
      <c r="N118" t="n">
        <v>0</v>
      </c>
      <c r="O118" t="n">
        <v>0</v>
      </c>
      <c r="P118" t="n">
        <v>0</v>
      </c>
      <c r="Q118" t="n">
        <v>0</v>
      </c>
      <c r="R118" s="2" t="inlineStr"/>
    </row>
    <row r="119" ht="15" customHeight="1">
      <c r="A119" t="inlineStr">
        <is>
          <t>A 2867-2024</t>
        </is>
      </c>
      <c r="B119" s="1" t="n">
        <v>45315</v>
      </c>
      <c r="C119" s="1" t="n">
        <v>46077</v>
      </c>
      <c r="D119" t="inlineStr">
        <is>
          <t>VÄSTMANLANDS LÄN</t>
        </is>
      </c>
      <c r="E119" t="inlineStr">
        <is>
          <t>SURAHAMMAR</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42714-2022</t>
        </is>
      </c>
      <c r="B120" s="1" t="n">
        <v>44832</v>
      </c>
      <c r="C120" s="1" t="n">
        <v>46077</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37287-2023</t>
        </is>
      </c>
      <c r="B121" s="1" t="n">
        <v>45156</v>
      </c>
      <c r="C121" s="1" t="n">
        <v>46077</v>
      </c>
      <c r="D121" t="inlineStr">
        <is>
          <t>VÄSTMANLANDS LÄN</t>
        </is>
      </c>
      <c r="E121" t="inlineStr">
        <is>
          <t>SURAHAMMAR</t>
        </is>
      </c>
      <c r="G121" t="n">
        <v>0.6</v>
      </c>
      <c r="H121" t="n">
        <v>0</v>
      </c>
      <c r="I121" t="n">
        <v>0</v>
      </c>
      <c r="J121" t="n">
        <v>0</v>
      </c>
      <c r="K121" t="n">
        <v>0</v>
      </c>
      <c r="L121" t="n">
        <v>0</v>
      </c>
      <c r="M121" t="n">
        <v>0</v>
      </c>
      <c r="N121" t="n">
        <v>0</v>
      </c>
      <c r="O121" t="n">
        <v>0</v>
      </c>
      <c r="P121" t="n">
        <v>0</v>
      </c>
      <c r="Q121" t="n">
        <v>0</v>
      </c>
      <c r="R121" s="2" t="inlineStr"/>
    </row>
    <row r="122" ht="15" customHeight="1">
      <c r="A122" t="inlineStr">
        <is>
          <t>A 25450-2024</t>
        </is>
      </c>
      <c r="B122" s="1" t="n">
        <v>45463</v>
      </c>
      <c r="C122" s="1" t="n">
        <v>46077</v>
      </c>
      <c r="D122" t="inlineStr">
        <is>
          <t>VÄSTMANLANDS LÄN</t>
        </is>
      </c>
      <c r="E122" t="inlineStr">
        <is>
          <t>SURAHAMMAR</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49058-2024</t>
        </is>
      </c>
      <c r="B123" s="1" t="n">
        <v>45594</v>
      </c>
      <c r="C123" s="1" t="n">
        <v>46077</v>
      </c>
      <c r="D123" t="inlineStr">
        <is>
          <t>VÄSTMANLANDS LÄN</t>
        </is>
      </c>
      <c r="E123" t="inlineStr">
        <is>
          <t>SURAHAMMAR</t>
        </is>
      </c>
      <c r="F123" t="inlineStr">
        <is>
          <t>Sveaskog</t>
        </is>
      </c>
      <c r="G123" t="n">
        <v>11.4</v>
      </c>
      <c r="H123" t="n">
        <v>0</v>
      </c>
      <c r="I123" t="n">
        <v>0</v>
      </c>
      <c r="J123" t="n">
        <v>0</v>
      </c>
      <c r="K123" t="n">
        <v>0</v>
      </c>
      <c r="L123" t="n">
        <v>0</v>
      </c>
      <c r="M123" t="n">
        <v>0</v>
      </c>
      <c r="N123" t="n">
        <v>0</v>
      </c>
      <c r="O123" t="n">
        <v>0</v>
      </c>
      <c r="P123" t="n">
        <v>0</v>
      </c>
      <c r="Q123" t="n">
        <v>0</v>
      </c>
      <c r="R123" s="2" t="inlineStr"/>
    </row>
    <row r="124" ht="15" customHeight="1">
      <c r="A124" t="inlineStr">
        <is>
          <t>A 2660-2024</t>
        </is>
      </c>
      <c r="B124" s="1" t="n">
        <v>45310</v>
      </c>
      <c r="C124" s="1" t="n">
        <v>46077</v>
      </c>
      <c r="D124" t="inlineStr">
        <is>
          <t>VÄSTMANLANDS LÄN</t>
        </is>
      </c>
      <c r="E124" t="inlineStr">
        <is>
          <t>SURAHAMMAR</t>
        </is>
      </c>
      <c r="G124" t="n">
        <v>2.1</v>
      </c>
      <c r="H124" t="n">
        <v>0</v>
      </c>
      <c r="I124" t="n">
        <v>0</v>
      </c>
      <c r="J124" t="n">
        <v>0</v>
      </c>
      <c r="K124" t="n">
        <v>0</v>
      </c>
      <c r="L124" t="n">
        <v>0</v>
      </c>
      <c r="M124" t="n">
        <v>0</v>
      </c>
      <c r="N124" t="n">
        <v>0</v>
      </c>
      <c r="O124" t="n">
        <v>0</v>
      </c>
      <c r="P124" t="n">
        <v>0</v>
      </c>
      <c r="Q124" t="n">
        <v>0</v>
      </c>
      <c r="R124" s="2" t="inlineStr"/>
    </row>
    <row r="125" ht="15" customHeight="1">
      <c r="A125" t="inlineStr">
        <is>
          <t>A 49060-2024</t>
        </is>
      </c>
      <c r="B125" s="1" t="n">
        <v>45594</v>
      </c>
      <c r="C125" s="1" t="n">
        <v>46077</v>
      </c>
      <c r="D125" t="inlineStr">
        <is>
          <t>VÄSTMANLANDS LÄN</t>
        </is>
      </c>
      <c r="E125" t="inlineStr">
        <is>
          <t>SURAHAMMAR</t>
        </is>
      </c>
      <c r="F125" t="inlineStr">
        <is>
          <t>Sveaskog</t>
        </is>
      </c>
      <c r="G125" t="n">
        <v>4.4</v>
      </c>
      <c r="H125" t="n">
        <v>0</v>
      </c>
      <c r="I125" t="n">
        <v>0</v>
      </c>
      <c r="J125" t="n">
        <v>0</v>
      </c>
      <c r="K125" t="n">
        <v>0</v>
      </c>
      <c r="L125" t="n">
        <v>0</v>
      </c>
      <c r="M125" t="n">
        <v>0</v>
      </c>
      <c r="N125" t="n">
        <v>0</v>
      </c>
      <c r="O125" t="n">
        <v>0</v>
      </c>
      <c r="P125" t="n">
        <v>0</v>
      </c>
      <c r="Q125" t="n">
        <v>0</v>
      </c>
      <c r="R125" s="2" t="inlineStr"/>
    </row>
    <row r="126" ht="15" customHeight="1">
      <c r="A126" t="inlineStr">
        <is>
          <t>A 41555-2022</t>
        </is>
      </c>
      <c r="B126" s="1" t="n">
        <v>44826</v>
      </c>
      <c r="C126" s="1" t="n">
        <v>46077</v>
      </c>
      <c r="D126" t="inlineStr">
        <is>
          <t>VÄSTMANLANDS LÄN</t>
        </is>
      </c>
      <c r="E126" t="inlineStr">
        <is>
          <t>SURAHAMMAR</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19099-2022</t>
        </is>
      </c>
      <c r="B127" s="1" t="n">
        <v>44691</v>
      </c>
      <c r="C127" s="1" t="n">
        <v>46077</v>
      </c>
      <c r="D127" t="inlineStr">
        <is>
          <t>VÄSTMANLANDS LÄN</t>
        </is>
      </c>
      <c r="E127" t="inlineStr">
        <is>
          <t>SURAHAMMAR</t>
        </is>
      </c>
      <c r="F127" t="inlineStr">
        <is>
          <t>Övriga Aktiebolag</t>
        </is>
      </c>
      <c r="G127" t="n">
        <v>3.4</v>
      </c>
      <c r="H127" t="n">
        <v>0</v>
      </c>
      <c r="I127" t="n">
        <v>0</v>
      </c>
      <c r="J127" t="n">
        <v>0</v>
      </c>
      <c r="K127" t="n">
        <v>0</v>
      </c>
      <c r="L127" t="n">
        <v>0</v>
      </c>
      <c r="M127" t="n">
        <v>0</v>
      </c>
      <c r="N127" t="n">
        <v>0</v>
      </c>
      <c r="O127" t="n">
        <v>0</v>
      </c>
      <c r="P127" t="n">
        <v>0</v>
      </c>
      <c r="Q127" t="n">
        <v>0</v>
      </c>
      <c r="R127" s="2" t="inlineStr"/>
    </row>
    <row r="128" ht="15" customHeight="1">
      <c r="A128" t="inlineStr">
        <is>
          <t>A 32808-2024</t>
        </is>
      </c>
      <c r="B128" s="1" t="n">
        <v>45516</v>
      </c>
      <c r="C128" s="1" t="n">
        <v>46077</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5567-2022</t>
        </is>
      </c>
      <c r="B129" s="1" t="n">
        <v>44595</v>
      </c>
      <c r="C129" s="1" t="n">
        <v>46077</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25780-2023</t>
        </is>
      </c>
      <c r="B130" s="1" t="n">
        <v>45090.47523148148</v>
      </c>
      <c r="C130" s="1" t="n">
        <v>46077</v>
      </c>
      <c r="D130" t="inlineStr">
        <is>
          <t>VÄSTMANLANDS LÄN</t>
        </is>
      </c>
      <c r="E130" t="inlineStr">
        <is>
          <t>SURAHAMMAR</t>
        </is>
      </c>
      <c r="G130" t="n">
        <v>2.8</v>
      </c>
      <c r="H130" t="n">
        <v>0</v>
      </c>
      <c r="I130" t="n">
        <v>0</v>
      </c>
      <c r="J130" t="n">
        <v>0</v>
      </c>
      <c r="K130" t="n">
        <v>0</v>
      </c>
      <c r="L130" t="n">
        <v>0</v>
      </c>
      <c r="M130" t="n">
        <v>0</v>
      </c>
      <c r="N130" t="n">
        <v>0</v>
      </c>
      <c r="O130" t="n">
        <v>0</v>
      </c>
      <c r="P130" t="n">
        <v>0</v>
      </c>
      <c r="Q130" t="n">
        <v>0</v>
      </c>
      <c r="R130" s="2" t="inlineStr"/>
    </row>
    <row r="131" ht="15" customHeight="1">
      <c r="A131" t="inlineStr">
        <is>
          <t>A 13386-2025</t>
        </is>
      </c>
      <c r="B131" s="1" t="n">
        <v>45735</v>
      </c>
      <c r="C131" s="1" t="n">
        <v>46077</v>
      </c>
      <c r="D131" t="inlineStr">
        <is>
          <t>VÄSTMANLANDS LÄN</t>
        </is>
      </c>
      <c r="E131" t="inlineStr">
        <is>
          <t>SURAHAMMAR</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3818-2022</t>
        </is>
      </c>
      <c r="B132" s="1" t="n">
        <v>44587</v>
      </c>
      <c r="C132" s="1" t="n">
        <v>46077</v>
      </c>
      <c r="D132" t="inlineStr">
        <is>
          <t>VÄSTMANLANDS LÄN</t>
        </is>
      </c>
      <c r="E132" t="inlineStr">
        <is>
          <t>SURAHAMMAR</t>
        </is>
      </c>
      <c r="G132" t="n">
        <v>2.6</v>
      </c>
      <c r="H132" t="n">
        <v>0</v>
      </c>
      <c r="I132" t="n">
        <v>0</v>
      </c>
      <c r="J132" t="n">
        <v>0</v>
      </c>
      <c r="K132" t="n">
        <v>0</v>
      </c>
      <c r="L132" t="n">
        <v>0</v>
      </c>
      <c r="M132" t="n">
        <v>0</v>
      </c>
      <c r="N132" t="n">
        <v>0</v>
      </c>
      <c r="O132" t="n">
        <v>0</v>
      </c>
      <c r="P132" t="n">
        <v>0</v>
      </c>
      <c r="Q132" t="n">
        <v>0</v>
      </c>
      <c r="R132" s="2" t="inlineStr"/>
    </row>
    <row r="133" ht="15" customHeight="1">
      <c r="A133" t="inlineStr">
        <is>
          <t>A 42088-2025</t>
        </is>
      </c>
      <c r="B133" s="1" t="n">
        <v>45902</v>
      </c>
      <c r="C133" s="1" t="n">
        <v>46077</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3085-2023</t>
        </is>
      </c>
      <c r="B134" s="1" t="n">
        <v>44946</v>
      </c>
      <c r="C134" s="1" t="n">
        <v>46077</v>
      </c>
      <c r="D134" t="inlineStr">
        <is>
          <t>VÄSTMANLANDS LÄN</t>
        </is>
      </c>
      <c r="E134" t="inlineStr">
        <is>
          <t>SURAHAMMAR</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43255-2025</t>
        </is>
      </c>
      <c r="B135" s="1" t="n">
        <v>45910.55325231481</v>
      </c>
      <c r="C135" s="1" t="n">
        <v>46077</v>
      </c>
      <c r="D135" t="inlineStr">
        <is>
          <t>VÄSTMANLANDS LÄN</t>
        </is>
      </c>
      <c r="E135" t="inlineStr">
        <is>
          <t>SURAHAMMAR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31107-2025</t>
        </is>
      </c>
      <c r="B136" s="1" t="n">
        <v>45831</v>
      </c>
      <c r="C136" s="1" t="n">
        <v>46077</v>
      </c>
      <c r="D136" t="inlineStr">
        <is>
          <t>VÄSTMANLANDS LÄN</t>
        </is>
      </c>
      <c r="E136" t="inlineStr">
        <is>
          <t>SURAHAMMAR</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43249-2025</t>
        </is>
      </c>
      <c r="B137" s="1" t="n">
        <v>45910.55059027778</v>
      </c>
      <c r="C137" s="1" t="n">
        <v>46077</v>
      </c>
      <c r="D137" t="inlineStr">
        <is>
          <t>VÄSTMANLANDS LÄN</t>
        </is>
      </c>
      <c r="E137" t="inlineStr">
        <is>
          <t>SURAHAMMAR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7848-2022</t>
        </is>
      </c>
      <c r="B138" s="1" t="n">
        <v>44608.58400462963</v>
      </c>
      <c r="C138" s="1" t="n">
        <v>46077</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16608-2022</t>
        </is>
      </c>
      <c r="B139" s="1" t="n">
        <v>44672</v>
      </c>
      <c r="C139" s="1" t="n">
        <v>46077</v>
      </c>
      <c r="D139" t="inlineStr">
        <is>
          <t>VÄSTMANLANDS LÄN</t>
        </is>
      </c>
      <c r="E139" t="inlineStr">
        <is>
          <t>SURAHAMMAR</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15743-2023</t>
        </is>
      </c>
      <c r="B140" s="1" t="n">
        <v>45021</v>
      </c>
      <c r="C140" s="1" t="n">
        <v>46077</v>
      </c>
      <c r="D140" t="inlineStr">
        <is>
          <t>VÄSTMANLANDS LÄN</t>
        </is>
      </c>
      <c r="E140" t="inlineStr">
        <is>
          <t>SURAHAMMAR</t>
        </is>
      </c>
      <c r="G140" t="n">
        <v>0.5</v>
      </c>
      <c r="H140" t="n">
        <v>0</v>
      </c>
      <c r="I140" t="n">
        <v>0</v>
      </c>
      <c r="J140" t="n">
        <v>0</v>
      </c>
      <c r="K140" t="n">
        <v>0</v>
      </c>
      <c r="L140" t="n">
        <v>0</v>
      </c>
      <c r="M140" t="n">
        <v>0</v>
      </c>
      <c r="N140" t="n">
        <v>0</v>
      </c>
      <c r="O140" t="n">
        <v>0</v>
      </c>
      <c r="P140" t="n">
        <v>0</v>
      </c>
      <c r="Q140" t="n">
        <v>0</v>
      </c>
      <c r="R140" s="2" t="inlineStr"/>
    </row>
    <row r="141" ht="15" customHeight="1">
      <c r="A141" t="inlineStr">
        <is>
          <t>A 15637-2022</t>
        </is>
      </c>
      <c r="B141" s="1" t="n">
        <v>44662.89638888889</v>
      </c>
      <c r="C141" s="1" t="n">
        <v>46077</v>
      </c>
      <c r="D141" t="inlineStr">
        <is>
          <t>VÄSTMANLANDS LÄN</t>
        </is>
      </c>
      <c r="E141" t="inlineStr">
        <is>
          <t>SURAHAMMAR</t>
        </is>
      </c>
      <c r="G141" t="n">
        <v>2.2</v>
      </c>
      <c r="H141" t="n">
        <v>0</v>
      </c>
      <c r="I141" t="n">
        <v>0</v>
      </c>
      <c r="J141" t="n">
        <v>0</v>
      </c>
      <c r="K141" t="n">
        <v>0</v>
      </c>
      <c r="L141" t="n">
        <v>0</v>
      </c>
      <c r="M141" t="n">
        <v>0</v>
      </c>
      <c r="N141" t="n">
        <v>0</v>
      </c>
      <c r="O141" t="n">
        <v>0</v>
      </c>
      <c r="P141" t="n">
        <v>0</v>
      </c>
      <c r="Q141" t="n">
        <v>0</v>
      </c>
      <c r="R141" s="2" t="inlineStr"/>
    </row>
    <row r="142" ht="15" customHeight="1">
      <c r="A142" t="inlineStr">
        <is>
          <t>A 19786-2023</t>
        </is>
      </c>
      <c r="B142" s="1" t="n">
        <v>45050</v>
      </c>
      <c r="C142" s="1" t="n">
        <v>46077</v>
      </c>
      <c r="D142" t="inlineStr">
        <is>
          <t>VÄSTMANLANDS LÄN</t>
        </is>
      </c>
      <c r="E142" t="inlineStr">
        <is>
          <t>SURAHAMMAR</t>
        </is>
      </c>
      <c r="F142" t="inlineStr">
        <is>
          <t>Bergvik skog väst AB</t>
        </is>
      </c>
      <c r="G142" t="n">
        <v>8.1</v>
      </c>
      <c r="H142" t="n">
        <v>0</v>
      </c>
      <c r="I142" t="n">
        <v>0</v>
      </c>
      <c r="J142" t="n">
        <v>0</v>
      </c>
      <c r="K142" t="n">
        <v>0</v>
      </c>
      <c r="L142" t="n">
        <v>0</v>
      </c>
      <c r="M142" t="n">
        <v>0</v>
      </c>
      <c r="N142" t="n">
        <v>0</v>
      </c>
      <c r="O142" t="n">
        <v>0</v>
      </c>
      <c r="P142" t="n">
        <v>0</v>
      </c>
      <c r="Q142" t="n">
        <v>0</v>
      </c>
      <c r="R142" s="2" t="inlineStr"/>
    </row>
    <row r="143" ht="15" customHeight="1">
      <c r="A143" t="inlineStr">
        <is>
          <t>A 55868-2025</t>
        </is>
      </c>
      <c r="B143" s="1" t="n">
        <v>45973.35263888889</v>
      </c>
      <c r="C143" s="1" t="n">
        <v>46077</v>
      </c>
      <c r="D143" t="inlineStr">
        <is>
          <t>VÄSTMANLANDS LÄN</t>
        </is>
      </c>
      <c r="E143" t="inlineStr">
        <is>
          <t>SURAHAMMAR</t>
        </is>
      </c>
      <c r="F143" t="inlineStr">
        <is>
          <t>Sveaskog</t>
        </is>
      </c>
      <c r="G143" t="n">
        <v>2.8</v>
      </c>
      <c r="H143" t="n">
        <v>0</v>
      </c>
      <c r="I143" t="n">
        <v>0</v>
      </c>
      <c r="J143" t="n">
        <v>0</v>
      </c>
      <c r="K143" t="n">
        <v>0</v>
      </c>
      <c r="L143" t="n">
        <v>0</v>
      </c>
      <c r="M143" t="n">
        <v>0</v>
      </c>
      <c r="N143" t="n">
        <v>0</v>
      </c>
      <c r="O143" t="n">
        <v>0</v>
      </c>
      <c r="P143" t="n">
        <v>0</v>
      </c>
      <c r="Q143" t="n">
        <v>0</v>
      </c>
      <c r="R143" s="2" t="inlineStr"/>
    </row>
    <row r="144" ht="15" customHeight="1">
      <c r="A144" t="inlineStr">
        <is>
          <t>A 55874-2025</t>
        </is>
      </c>
      <c r="B144" s="1" t="n">
        <v>45973.3569212963</v>
      </c>
      <c r="C144" s="1" t="n">
        <v>46077</v>
      </c>
      <c r="D144" t="inlineStr">
        <is>
          <t>VÄSTMANLANDS LÄN</t>
        </is>
      </c>
      <c r="E144" t="inlineStr">
        <is>
          <t>SURAHAMMAR</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7787-2024</t>
        </is>
      </c>
      <c r="B145" s="1" t="n">
        <v>45348</v>
      </c>
      <c r="C145" s="1" t="n">
        <v>46077</v>
      </c>
      <c r="D145" t="inlineStr">
        <is>
          <t>VÄSTMANLANDS LÄN</t>
        </is>
      </c>
      <c r="E145" t="inlineStr">
        <is>
          <t>SURAHAMMAR</t>
        </is>
      </c>
      <c r="G145" t="n">
        <v>1</v>
      </c>
      <c r="H145" t="n">
        <v>0</v>
      </c>
      <c r="I145" t="n">
        <v>0</v>
      </c>
      <c r="J145" t="n">
        <v>0</v>
      </c>
      <c r="K145" t="n">
        <v>0</v>
      </c>
      <c r="L145" t="n">
        <v>0</v>
      </c>
      <c r="M145" t="n">
        <v>0</v>
      </c>
      <c r="N145" t="n">
        <v>0</v>
      </c>
      <c r="O145" t="n">
        <v>0</v>
      </c>
      <c r="P145" t="n">
        <v>0</v>
      </c>
      <c r="Q145" t="n">
        <v>0</v>
      </c>
      <c r="R145" s="2" t="inlineStr"/>
    </row>
    <row r="146" ht="15" customHeight="1">
      <c r="A146" t="inlineStr">
        <is>
          <t>A 55871-2025</t>
        </is>
      </c>
      <c r="B146" s="1" t="n">
        <v>45973.35452546296</v>
      </c>
      <c r="C146" s="1" t="n">
        <v>46077</v>
      </c>
      <c r="D146" t="inlineStr">
        <is>
          <t>VÄSTMANLANDS LÄN</t>
        </is>
      </c>
      <c r="E146" t="inlineStr">
        <is>
          <t>SURAHAMMAR</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55873-2025</t>
        </is>
      </c>
      <c r="B147" s="1" t="n">
        <v>45973.35608796297</v>
      </c>
      <c r="C147" s="1" t="n">
        <v>46077</v>
      </c>
      <c r="D147" t="inlineStr">
        <is>
          <t>VÄSTMANLANDS LÄN</t>
        </is>
      </c>
      <c r="E147" t="inlineStr">
        <is>
          <t>SURAHAMMAR</t>
        </is>
      </c>
      <c r="F147" t="inlineStr">
        <is>
          <t>Sveaskog</t>
        </is>
      </c>
      <c r="G147" t="n">
        <v>0.5</v>
      </c>
      <c r="H147" t="n">
        <v>0</v>
      </c>
      <c r="I147" t="n">
        <v>0</v>
      </c>
      <c r="J147" t="n">
        <v>0</v>
      </c>
      <c r="K147" t="n">
        <v>0</v>
      </c>
      <c r="L147" t="n">
        <v>0</v>
      </c>
      <c r="M147" t="n">
        <v>0</v>
      </c>
      <c r="N147" t="n">
        <v>0</v>
      </c>
      <c r="O147" t="n">
        <v>0</v>
      </c>
      <c r="P147" t="n">
        <v>0</v>
      </c>
      <c r="Q147" t="n">
        <v>0</v>
      </c>
      <c r="R147" s="2" t="inlineStr"/>
    </row>
    <row r="148" ht="15" customHeight="1">
      <c r="A148" t="inlineStr">
        <is>
          <t>A 56543-2025</t>
        </is>
      </c>
      <c r="B148" s="1" t="n">
        <v>45975</v>
      </c>
      <c r="C148" s="1" t="n">
        <v>46077</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59399-2025</t>
        </is>
      </c>
      <c r="B149" s="1" t="n">
        <v>45989</v>
      </c>
      <c r="C149" s="1" t="n">
        <v>46077</v>
      </c>
      <c r="D149" t="inlineStr">
        <is>
          <t>VÄSTMANLANDS LÄN</t>
        </is>
      </c>
      <c r="E149" t="inlineStr">
        <is>
          <t>SURAHAMMAR</t>
        </is>
      </c>
      <c r="F149" t="inlineStr">
        <is>
          <t>Kommuner</t>
        </is>
      </c>
      <c r="G149" t="n">
        <v>2.1</v>
      </c>
      <c r="H149" t="n">
        <v>0</v>
      </c>
      <c r="I149" t="n">
        <v>0</v>
      </c>
      <c r="J149" t="n">
        <v>0</v>
      </c>
      <c r="K149" t="n">
        <v>0</v>
      </c>
      <c r="L149" t="n">
        <v>0</v>
      </c>
      <c r="M149" t="n">
        <v>0</v>
      </c>
      <c r="N149" t="n">
        <v>0</v>
      </c>
      <c r="O149" t="n">
        <v>0</v>
      </c>
      <c r="P149" t="n">
        <v>0</v>
      </c>
      <c r="Q149" t="n">
        <v>0</v>
      </c>
      <c r="R149" s="2" t="inlineStr"/>
    </row>
    <row r="150" ht="15" customHeight="1">
      <c r="A150" t="inlineStr">
        <is>
          <t>A 56541-2025</t>
        </is>
      </c>
      <c r="B150" s="1" t="n">
        <v>45975</v>
      </c>
      <c r="C150" s="1" t="n">
        <v>46077</v>
      </c>
      <c r="D150" t="inlineStr">
        <is>
          <t>VÄSTMANLANDS LÄN</t>
        </is>
      </c>
      <c r="E150" t="inlineStr">
        <is>
          <t>SURAHAMMAR</t>
        </is>
      </c>
      <c r="F150" t="inlineStr">
        <is>
          <t>Sveaskog</t>
        </is>
      </c>
      <c r="G150" t="n">
        <v>7.6</v>
      </c>
      <c r="H150" t="n">
        <v>0</v>
      </c>
      <c r="I150" t="n">
        <v>0</v>
      </c>
      <c r="J150" t="n">
        <v>0</v>
      </c>
      <c r="K150" t="n">
        <v>0</v>
      </c>
      <c r="L150" t="n">
        <v>0</v>
      </c>
      <c r="M150" t="n">
        <v>0</v>
      </c>
      <c r="N150" t="n">
        <v>0</v>
      </c>
      <c r="O150" t="n">
        <v>0</v>
      </c>
      <c r="P150" t="n">
        <v>0</v>
      </c>
      <c r="Q150" t="n">
        <v>0</v>
      </c>
      <c r="R150" s="2" t="inlineStr"/>
    </row>
    <row r="151" ht="15" customHeight="1">
      <c r="A151" t="inlineStr">
        <is>
          <t>A 15739-2023</t>
        </is>
      </c>
      <c r="B151" s="1" t="n">
        <v>45021</v>
      </c>
      <c r="C151" s="1" t="n">
        <v>46077</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44405.42373842592</v>
      </c>
      <c r="C152" s="1" t="n">
        <v>46077</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63138-2025</t>
        </is>
      </c>
      <c r="B153" s="1" t="n">
        <v>46009</v>
      </c>
      <c r="C153" s="1" t="n">
        <v>46077</v>
      </c>
      <c r="D153" t="inlineStr">
        <is>
          <t>VÄSTMANLANDS LÄN</t>
        </is>
      </c>
      <c r="E153" t="inlineStr">
        <is>
          <t>SURAHAMMAR</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5697-2026</t>
        </is>
      </c>
      <c r="B154" s="1" t="n">
        <v>46051.50020833333</v>
      </c>
      <c r="C154" s="1" t="n">
        <v>46077</v>
      </c>
      <c r="D154" t="inlineStr">
        <is>
          <t>VÄSTMANLANDS LÄN</t>
        </is>
      </c>
      <c r="E154" t="inlineStr">
        <is>
          <t>SURAHAMMAR</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5698-2026</t>
        </is>
      </c>
      <c r="B155" s="1" t="n">
        <v>46051.50196759259</v>
      </c>
      <c r="C155" s="1" t="n">
        <v>46077</v>
      </c>
      <c r="D155" t="inlineStr">
        <is>
          <t>VÄSTMANLANDS LÄN</t>
        </is>
      </c>
      <c r="E155" t="inlineStr">
        <is>
          <t>SURAHAMMAR</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5696-2026</t>
        </is>
      </c>
      <c r="B156" s="1" t="n">
        <v>46051.4975</v>
      </c>
      <c r="C156" s="1" t="n">
        <v>46077</v>
      </c>
      <c r="D156" t="inlineStr">
        <is>
          <t>VÄSTMANLANDS LÄN</t>
        </is>
      </c>
      <c r="E156" t="inlineStr">
        <is>
          <t>SURAHAMMAR</t>
        </is>
      </c>
      <c r="F156" t="inlineStr">
        <is>
          <t>Sveaskog</t>
        </is>
      </c>
      <c r="G156" t="n">
        <v>10.4</v>
      </c>
      <c r="H156" t="n">
        <v>0</v>
      </c>
      <c r="I156" t="n">
        <v>0</v>
      </c>
      <c r="J156" t="n">
        <v>0</v>
      </c>
      <c r="K156" t="n">
        <v>0</v>
      </c>
      <c r="L156" t="n">
        <v>0</v>
      </c>
      <c r="M156" t="n">
        <v>0</v>
      </c>
      <c r="N156" t="n">
        <v>0</v>
      </c>
      <c r="O156" t="n">
        <v>0</v>
      </c>
      <c r="P156" t="n">
        <v>0</v>
      </c>
      <c r="Q156" t="n">
        <v>0</v>
      </c>
      <c r="R156" s="2" t="inlineStr"/>
    </row>
    <row r="157" ht="15" customHeight="1">
      <c r="A157" t="inlineStr">
        <is>
          <t>A 4724-2026</t>
        </is>
      </c>
      <c r="B157" s="1" t="n">
        <v>46048</v>
      </c>
      <c r="C157" s="1" t="n">
        <v>46077</v>
      </c>
      <c r="D157" t="inlineStr">
        <is>
          <t>VÄSTMANLANDS LÄN</t>
        </is>
      </c>
      <c r="E157" t="inlineStr">
        <is>
          <t>SURAHAMMAR</t>
        </is>
      </c>
      <c r="G157" t="n">
        <v>1.7</v>
      </c>
      <c r="H157" t="n">
        <v>0</v>
      </c>
      <c r="I157" t="n">
        <v>0</v>
      </c>
      <c r="J157" t="n">
        <v>0</v>
      </c>
      <c r="K157" t="n">
        <v>0</v>
      </c>
      <c r="L157" t="n">
        <v>0</v>
      </c>
      <c r="M157" t="n">
        <v>0</v>
      </c>
      <c r="N157" t="n">
        <v>0</v>
      </c>
      <c r="O157" t="n">
        <v>0</v>
      </c>
      <c r="P157" t="n">
        <v>0</v>
      </c>
      <c r="Q157" t="n">
        <v>0</v>
      </c>
      <c r="R157" s="2" t="inlineStr"/>
    </row>
    <row r="158" ht="15" customHeight="1">
      <c r="A158" t="inlineStr">
        <is>
          <t>A 4734-2026</t>
        </is>
      </c>
      <c r="B158" s="1" t="n">
        <v>46048</v>
      </c>
      <c r="C158" s="1" t="n">
        <v>46077</v>
      </c>
      <c r="D158" t="inlineStr">
        <is>
          <t>VÄSTMANLANDS LÄN</t>
        </is>
      </c>
      <c r="E158" t="inlineStr">
        <is>
          <t>SURAHAMMAR</t>
        </is>
      </c>
      <c r="G158" t="n">
        <v>0.7</v>
      </c>
      <c r="H158" t="n">
        <v>0</v>
      </c>
      <c r="I158" t="n">
        <v>0</v>
      </c>
      <c r="J158" t="n">
        <v>0</v>
      </c>
      <c r="K158" t="n">
        <v>0</v>
      </c>
      <c r="L158" t="n">
        <v>0</v>
      </c>
      <c r="M158" t="n">
        <v>0</v>
      </c>
      <c r="N158" t="n">
        <v>0</v>
      </c>
      <c r="O158" t="n">
        <v>0</v>
      </c>
      <c r="P158" t="n">
        <v>0</v>
      </c>
      <c r="Q158" t="n">
        <v>0</v>
      </c>
      <c r="R158" s="2" t="inlineStr"/>
    </row>
    <row r="159" ht="15" customHeight="1">
      <c r="A159" t="inlineStr">
        <is>
          <t>A 34584-2025</t>
        </is>
      </c>
      <c r="B159" s="1" t="n">
        <v>45846</v>
      </c>
      <c r="C159" s="1" t="n">
        <v>46077</v>
      </c>
      <c r="D159" t="inlineStr">
        <is>
          <t>VÄSTMANLANDS LÄN</t>
        </is>
      </c>
      <c r="E159" t="inlineStr">
        <is>
          <t>SURAHAMMAR</t>
        </is>
      </c>
      <c r="F159" t="inlineStr">
        <is>
          <t>Bergvik skog väst AB</t>
        </is>
      </c>
      <c r="G159" t="n">
        <v>2.7</v>
      </c>
      <c r="H159" t="n">
        <v>0</v>
      </c>
      <c r="I159" t="n">
        <v>0</v>
      </c>
      <c r="J159" t="n">
        <v>0</v>
      </c>
      <c r="K159" t="n">
        <v>0</v>
      </c>
      <c r="L159" t="n">
        <v>0</v>
      </c>
      <c r="M159" t="n">
        <v>0</v>
      </c>
      <c r="N159" t="n">
        <v>0</v>
      </c>
      <c r="O159" t="n">
        <v>0</v>
      </c>
      <c r="P159" t="n">
        <v>0</v>
      </c>
      <c r="Q159" t="n">
        <v>0</v>
      </c>
      <c r="R159" s="2" t="inlineStr"/>
    </row>
    <row r="160" ht="15" customHeight="1">
      <c r="A160" t="inlineStr">
        <is>
          <t>A 10347-2026</t>
        </is>
      </c>
      <c r="B160" s="1" t="n">
        <v>46076.69101851852</v>
      </c>
      <c r="C160" s="1" t="n">
        <v>46077</v>
      </c>
      <c r="D160" t="inlineStr">
        <is>
          <t>VÄSTMANLANDS LÄN</t>
        </is>
      </c>
      <c r="E160" t="inlineStr">
        <is>
          <t>SURAHAMMAR</t>
        </is>
      </c>
      <c r="F160" t="inlineStr">
        <is>
          <t>Allmännings- och besparingsskogar</t>
        </is>
      </c>
      <c r="G160" t="n">
        <v>3</v>
      </c>
      <c r="H160" t="n">
        <v>0</v>
      </c>
      <c r="I160" t="n">
        <v>0</v>
      </c>
      <c r="J160" t="n">
        <v>0</v>
      </c>
      <c r="K160" t="n">
        <v>0</v>
      </c>
      <c r="L160" t="n">
        <v>0</v>
      </c>
      <c r="M160" t="n">
        <v>0</v>
      </c>
      <c r="N160" t="n">
        <v>0</v>
      </c>
      <c r="O160" t="n">
        <v>0</v>
      </c>
      <c r="P160" t="n">
        <v>0</v>
      </c>
      <c r="Q160" t="n">
        <v>0</v>
      </c>
      <c r="R160" s="2" t="inlineStr"/>
    </row>
    <row r="161" ht="15" customHeight="1">
      <c r="A161" t="inlineStr">
        <is>
          <t>A 10244-2026</t>
        </is>
      </c>
      <c r="B161" s="1" t="n">
        <v>46076.55032407407</v>
      </c>
      <c r="C161" s="1" t="n">
        <v>46077</v>
      </c>
      <c r="D161" t="inlineStr">
        <is>
          <t>VÄSTMANLANDS LÄN</t>
        </is>
      </c>
      <c r="E161" t="inlineStr">
        <is>
          <t>SURAHAMMAR</t>
        </is>
      </c>
      <c r="F161" t="inlineStr">
        <is>
          <t>Allmännings- och besparingsskogar</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10249-2026</t>
        </is>
      </c>
      <c r="B162" s="1" t="n">
        <v>46076.55456018518</v>
      </c>
      <c r="C162" s="1" t="n">
        <v>46077</v>
      </c>
      <c r="D162" t="inlineStr">
        <is>
          <t>VÄSTMANLANDS LÄN</t>
        </is>
      </c>
      <c r="E162" t="inlineStr">
        <is>
          <t>SURAHAMMAR</t>
        </is>
      </c>
      <c r="F162" t="inlineStr">
        <is>
          <t>Allmännings- och besparingsskogar</t>
        </is>
      </c>
      <c r="G162" t="n">
        <v>4.8</v>
      </c>
      <c r="H162" t="n">
        <v>0</v>
      </c>
      <c r="I162" t="n">
        <v>0</v>
      </c>
      <c r="J162" t="n">
        <v>0</v>
      </c>
      <c r="K162" t="n">
        <v>0</v>
      </c>
      <c r="L162" t="n">
        <v>0</v>
      </c>
      <c r="M162" t="n">
        <v>0</v>
      </c>
      <c r="N162" t="n">
        <v>0</v>
      </c>
      <c r="O162" t="n">
        <v>0</v>
      </c>
      <c r="P162" t="n">
        <v>0</v>
      </c>
      <c r="Q162" t="n">
        <v>0</v>
      </c>
      <c r="R162" s="2" t="inlineStr"/>
    </row>
    <row r="163" ht="15" customHeight="1">
      <c r="A163" t="inlineStr">
        <is>
          <t>A 32910-2025</t>
        </is>
      </c>
      <c r="B163" s="1" t="n">
        <v>45839</v>
      </c>
      <c r="C163" s="1" t="n">
        <v>46077</v>
      </c>
      <c r="D163" t="inlineStr">
        <is>
          <t>VÄSTMANLANDS LÄN</t>
        </is>
      </c>
      <c r="E163" t="inlineStr">
        <is>
          <t>SURAHAMMAR</t>
        </is>
      </c>
      <c r="F163" t="inlineStr">
        <is>
          <t>Kommuner</t>
        </is>
      </c>
      <c r="G163" t="n">
        <v>1.1</v>
      </c>
      <c r="H163" t="n">
        <v>0</v>
      </c>
      <c r="I163" t="n">
        <v>0</v>
      </c>
      <c r="J163" t="n">
        <v>0</v>
      </c>
      <c r="K163" t="n">
        <v>0</v>
      </c>
      <c r="L163" t="n">
        <v>0</v>
      </c>
      <c r="M163" t="n">
        <v>0</v>
      </c>
      <c r="N163" t="n">
        <v>0</v>
      </c>
      <c r="O163" t="n">
        <v>0</v>
      </c>
      <c r="P163" t="n">
        <v>0</v>
      </c>
      <c r="Q163" t="n">
        <v>0</v>
      </c>
      <c r="R163" s="2" t="inlineStr"/>
    </row>
    <row r="164" ht="15" customHeight="1">
      <c r="A164" t="inlineStr">
        <is>
          <t>A 32916-2025</t>
        </is>
      </c>
      <c r="B164" s="1" t="n">
        <v>45839</v>
      </c>
      <c r="C164" s="1" t="n">
        <v>46077</v>
      </c>
      <c r="D164" t="inlineStr">
        <is>
          <t>VÄSTMANLANDS LÄN</t>
        </is>
      </c>
      <c r="E164" t="inlineStr">
        <is>
          <t>SURAHAMMAR</t>
        </is>
      </c>
      <c r="F164" t="inlineStr">
        <is>
          <t>Kommuner</t>
        </is>
      </c>
      <c r="G164" t="n">
        <v>4.9</v>
      </c>
      <c r="H164" t="n">
        <v>0</v>
      </c>
      <c r="I164" t="n">
        <v>0</v>
      </c>
      <c r="J164" t="n">
        <v>0</v>
      </c>
      <c r="K164" t="n">
        <v>0</v>
      </c>
      <c r="L164" t="n">
        <v>0</v>
      </c>
      <c r="M164" t="n">
        <v>0</v>
      </c>
      <c r="N164" t="n">
        <v>0</v>
      </c>
      <c r="O164" t="n">
        <v>0</v>
      </c>
      <c r="P164" t="n">
        <v>0</v>
      </c>
      <c r="Q164" t="n">
        <v>0</v>
      </c>
      <c r="R164" s="2" t="inlineStr"/>
    </row>
    <row r="165" ht="15" customHeight="1">
      <c r="A165" t="inlineStr">
        <is>
          <t>A 37013-2025</t>
        </is>
      </c>
      <c r="B165" s="1" t="n">
        <v>45874</v>
      </c>
      <c r="C165" s="1" t="n">
        <v>46077</v>
      </c>
      <c r="D165" t="inlineStr">
        <is>
          <t>VÄSTMANLANDS LÄN</t>
        </is>
      </c>
      <c r="E165" t="inlineStr">
        <is>
          <t>SURAHAMMAR</t>
        </is>
      </c>
      <c r="F165" t="inlineStr">
        <is>
          <t>Bergvik skog väst AB</t>
        </is>
      </c>
      <c r="G165" t="n">
        <v>10.7</v>
      </c>
      <c r="H165" t="n">
        <v>0</v>
      </c>
      <c r="I165" t="n">
        <v>0</v>
      </c>
      <c r="J165" t="n">
        <v>0</v>
      </c>
      <c r="K165" t="n">
        <v>0</v>
      </c>
      <c r="L165" t="n">
        <v>0</v>
      </c>
      <c r="M165" t="n">
        <v>0</v>
      </c>
      <c r="N165" t="n">
        <v>0</v>
      </c>
      <c r="O165" t="n">
        <v>0</v>
      </c>
      <c r="P165" t="n">
        <v>0</v>
      </c>
      <c r="Q165" t="n">
        <v>0</v>
      </c>
      <c r="R165" s="2" t="inlineStr"/>
    </row>
    <row r="166">
      <c r="A166" t="inlineStr">
        <is>
          <t>A 37954-2025</t>
        </is>
      </c>
      <c r="B166" s="1" t="n">
        <v>45881</v>
      </c>
      <c r="C166" s="1" t="n">
        <v>46077</v>
      </c>
      <c r="D166" t="inlineStr">
        <is>
          <t>VÄSTMANLANDS LÄN</t>
        </is>
      </c>
      <c r="E166" t="inlineStr">
        <is>
          <t>SURAHAMMAR</t>
        </is>
      </c>
      <c r="G166" t="n">
        <v>9.5</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2026-02-24T11:10:18Z</dcterms:created>
  <dcterms:modified xmlns:dcterms="http://purl.org/dc/terms/" xmlns:xsi="http://www.w3.org/2001/XMLSchema-instance" xsi:type="dcterms:W3CDTF">2026-02-24T11:10:18Z</dcterms:modified>
</cp:coreProperties>
</file>