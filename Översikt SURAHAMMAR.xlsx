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46035</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46035</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46035</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46035</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46035</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46035</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46035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46035</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46035</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46035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46035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46035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46035</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46035</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46035</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39594-2025</t>
        </is>
      </c>
      <c r="B19" s="1" t="n">
        <v>45890</v>
      </c>
      <c r="C19" s="1" t="n">
        <v>46035</v>
      </c>
      <c r="D19" t="inlineStr">
        <is>
          <t>VÄSTMANLANDS LÄN</t>
        </is>
      </c>
      <c r="E19" t="inlineStr">
        <is>
          <t>SURAHAMMAR</t>
        </is>
      </c>
      <c r="F19" t="inlineStr">
        <is>
          <t>Bergvik skog väst AB</t>
        </is>
      </c>
      <c r="G19" t="n">
        <v>7</v>
      </c>
      <c r="H19" t="n">
        <v>1</v>
      </c>
      <c r="I19" t="n">
        <v>3</v>
      </c>
      <c r="J19" t="n">
        <v>2</v>
      </c>
      <c r="K19" t="n">
        <v>0</v>
      </c>
      <c r="L19" t="n">
        <v>0</v>
      </c>
      <c r="M19" t="n">
        <v>0</v>
      </c>
      <c r="N19" t="n">
        <v>0</v>
      </c>
      <c r="O19" t="n">
        <v>2</v>
      </c>
      <c r="P19" t="n">
        <v>0</v>
      </c>
      <c r="Q19" t="n">
        <v>5</v>
      </c>
      <c r="R19" s="2" t="inlineStr">
        <is>
          <t>Gropticka
Talltita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56299-2021</t>
        </is>
      </c>
      <c r="B20" s="1" t="n">
        <v>44477</v>
      </c>
      <c r="C20" s="1" t="n">
        <v>46035</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66343-2021</t>
        </is>
      </c>
      <c r="B21" s="1" t="n">
        <v>44518</v>
      </c>
      <c r="C21" s="1" t="n">
        <v>46035</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21716-2025</t>
        </is>
      </c>
      <c r="B22" s="1" t="n">
        <v>45783.54804398148</v>
      </c>
      <c r="C22" s="1" t="n">
        <v>46035</v>
      </c>
      <c r="D22" t="inlineStr">
        <is>
          <t>VÄSTMANLANDS LÄN</t>
        </is>
      </c>
      <c r="E22" t="inlineStr">
        <is>
          <t>SURAHAMMAR</t>
        </is>
      </c>
      <c r="F22" t="inlineStr">
        <is>
          <t>Allmännings- och besparingsskogar</t>
        </is>
      </c>
      <c r="G22" t="n">
        <v>21.1</v>
      </c>
      <c r="H22" t="n">
        <v>3</v>
      </c>
      <c r="I22" t="n">
        <v>1</v>
      </c>
      <c r="J22" t="n">
        <v>2</v>
      </c>
      <c r="K22" t="n">
        <v>1</v>
      </c>
      <c r="L22" t="n">
        <v>0</v>
      </c>
      <c r="M22" t="n">
        <v>0</v>
      </c>
      <c r="N22" t="n">
        <v>0</v>
      </c>
      <c r="O22" t="n">
        <v>3</v>
      </c>
      <c r="P22" t="n">
        <v>1</v>
      </c>
      <c r="Q22" t="n">
        <v>4</v>
      </c>
      <c r="R22" s="2" t="inlineStr">
        <is>
          <t>Knärot
Spillkråka
Talltita
Vedticka</t>
        </is>
      </c>
      <c r="S22">
        <f>HYPERLINK("https://klasma.github.io/Logging_1907/artfynd/A 21716-2025 artfynd.xlsx", "A 21716-2025")</f>
        <v/>
      </c>
      <c r="T22">
        <f>HYPERLINK("https://klasma.github.io/Logging_1907/kartor/A 21716-2025 karta.png", "A 21716-2025")</f>
        <v/>
      </c>
      <c r="U22">
        <f>HYPERLINK("https://klasma.github.io/Logging_1907/knärot/A 21716-2025 karta knärot.png", "A 21716-2025")</f>
        <v/>
      </c>
      <c r="V22">
        <f>HYPERLINK("https://klasma.github.io/Logging_1907/klagomål/A 21716-2025 FSC-klagomål.docx", "A 21716-2025")</f>
        <v/>
      </c>
      <c r="W22">
        <f>HYPERLINK("https://klasma.github.io/Logging_1907/klagomålsmail/A 21716-2025 FSC-klagomål mail.docx", "A 21716-2025")</f>
        <v/>
      </c>
      <c r="X22">
        <f>HYPERLINK("https://klasma.github.io/Logging_1907/tillsyn/A 21716-2025 tillsynsbegäran.docx", "A 21716-2025")</f>
        <v/>
      </c>
      <c r="Y22">
        <f>HYPERLINK("https://klasma.github.io/Logging_1907/tillsynsmail/A 21716-2025 tillsynsbegäran mail.docx", "A 21716-2025")</f>
        <v/>
      </c>
      <c r="Z22">
        <f>HYPERLINK("https://klasma.github.io/Logging_1907/fåglar/A 21716-2025 prioriterade fågelarter.docx", "A 21716-2025")</f>
        <v/>
      </c>
    </row>
    <row r="23" ht="15" customHeight="1">
      <c r="A23" t="inlineStr">
        <is>
          <t>A 25548-2024</t>
        </is>
      </c>
      <c r="B23" s="1" t="n">
        <v>45463</v>
      </c>
      <c r="C23" s="1" t="n">
        <v>46035</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38172-2024</t>
        </is>
      </c>
      <c r="B24" s="1" t="n">
        <v>45545</v>
      </c>
      <c r="C24" s="1" t="n">
        <v>46035</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46035</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46035</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46035</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42860-2022</t>
        </is>
      </c>
      <c r="B28" s="1" t="n">
        <v>44832</v>
      </c>
      <c r="C28" s="1" t="n">
        <v>46035</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46035</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46035</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46035</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8552-2022</t>
        </is>
      </c>
      <c r="B32" s="1" t="n">
        <v>44613</v>
      </c>
      <c r="C32" s="1" t="n">
        <v>46035</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49718-2023</t>
        </is>
      </c>
      <c r="B33" s="1" t="n">
        <v>45212</v>
      </c>
      <c r="C33" s="1" t="n">
        <v>46035</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46035</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46035</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42708-2022</t>
        </is>
      </c>
      <c r="B36" s="1" t="n">
        <v>44832</v>
      </c>
      <c r="C36" s="1" t="n">
        <v>46035</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46035</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46035</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21618-2025</t>
        </is>
      </c>
      <c r="B39" s="1" t="n">
        <v>45783</v>
      </c>
      <c r="C39" s="1" t="n">
        <v>46035</v>
      </c>
      <c r="D39" t="inlineStr">
        <is>
          <t>VÄSTMANLANDS LÄN</t>
        </is>
      </c>
      <c r="E39" t="inlineStr">
        <is>
          <t>SURAHAMMAR</t>
        </is>
      </c>
      <c r="F39" t="inlineStr">
        <is>
          <t>Bergvik skog väst AB</t>
        </is>
      </c>
      <c r="G39" t="n">
        <v>1.1</v>
      </c>
      <c r="H39" t="n">
        <v>2</v>
      </c>
      <c r="I39" t="n">
        <v>1</v>
      </c>
      <c r="J39" t="n">
        <v>0</v>
      </c>
      <c r="K39" t="n">
        <v>0</v>
      </c>
      <c r="L39" t="n">
        <v>0</v>
      </c>
      <c r="M39" t="n">
        <v>0</v>
      </c>
      <c r="N39" t="n">
        <v>0</v>
      </c>
      <c r="O39" t="n">
        <v>0</v>
      </c>
      <c r="P39" t="n">
        <v>0</v>
      </c>
      <c r="Q39" t="n">
        <v>2</v>
      </c>
      <c r="R39" s="2" t="inlineStr">
        <is>
          <t>Plattlummer
Mattlummer</t>
        </is>
      </c>
      <c r="S39">
        <f>HYPERLINK("https://klasma.github.io/Logging_1907/artfynd/A 21618-2025 artfynd.xlsx", "A 21618-2025")</f>
        <v/>
      </c>
      <c r="T39">
        <f>HYPERLINK("https://klasma.github.io/Logging_1907/kartor/A 21618-2025 karta.png", "A 21618-2025")</f>
        <v/>
      </c>
      <c r="V39">
        <f>HYPERLINK("https://klasma.github.io/Logging_1907/klagomål/A 21618-2025 FSC-klagomål.docx", "A 21618-2025")</f>
        <v/>
      </c>
      <c r="W39">
        <f>HYPERLINK("https://klasma.github.io/Logging_1907/klagomålsmail/A 21618-2025 FSC-klagomål mail.docx", "A 21618-2025")</f>
        <v/>
      </c>
      <c r="X39">
        <f>HYPERLINK("https://klasma.github.io/Logging_1907/tillsyn/A 21618-2025 tillsynsbegäran.docx", "A 21618-2025")</f>
        <v/>
      </c>
      <c r="Y39">
        <f>HYPERLINK("https://klasma.github.io/Logging_1907/tillsynsmail/A 21618-2025 tillsynsbegäran mail.docx", "A 21618-2025")</f>
        <v/>
      </c>
    </row>
    <row r="40" ht="15" customHeight="1">
      <c r="A40" t="inlineStr">
        <is>
          <t>A 40403-2025</t>
        </is>
      </c>
      <c r="B40" s="1" t="n">
        <v>45895</v>
      </c>
      <c r="C40" s="1" t="n">
        <v>46035</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46035</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46035</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63146-2025</t>
        </is>
      </c>
      <c r="B43" s="1" t="n">
        <v>46009</v>
      </c>
      <c r="C43" s="1" t="n">
        <v>46035</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4082-2025</t>
        </is>
      </c>
      <c r="B44" s="1" t="n">
        <v>45684</v>
      </c>
      <c r="C44" s="1" t="n">
        <v>46035</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37800-2021</t>
        </is>
      </c>
      <c r="B45" s="1" t="n">
        <v>44402</v>
      </c>
      <c r="C45" s="1" t="n">
        <v>46035</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38170-2021</t>
        </is>
      </c>
      <c r="B46" s="1" t="n">
        <v>44405.43472222222</v>
      </c>
      <c r="C46" s="1" t="n">
        <v>46035</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46035</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46035</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46035</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46035</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46035</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34582-2025</t>
        </is>
      </c>
      <c r="B52" s="1" t="n">
        <v>45846</v>
      </c>
      <c r="C52" s="1" t="n">
        <v>46035</v>
      </c>
      <c r="D52" t="inlineStr">
        <is>
          <t>VÄSTMANLANDS LÄN</t>
        </is>
      </c>
      <c r="E52" t="inlineStr">
        <is>
          <t>SURAHAMMAR</t>
        </is>
      </c>
      <c r="F52" t="inlineStr">
        <is>
          <t>Bergvik skog väst AB</t>
        </is>
      </c>
      <c r="G52" t="n">
        <v>2.6</v>
      </c>
      <c r="H52" t="n">
        <v>1</v>
      </c>
      <c r="I52" t="n">
        <v>0</v>
      </c>
      <c r="J52" t="n">
        <v>1</v>
      </c>
      <c r="K52" t="n">
        <v>0</v>
      </c>
      <c r="L52" t="n">
        <v>0</v>
      </c>
      <c r="M52" t="n">
        <v>0</v>
      </c>
      <c r="N52" t="n">
        <v>0</v>
      </c>
      <c r="O52" t="n">
        <v>1</v>
      </c>
      <c r="P52" t="n">
        <v>0</v>
      </c>
      <c r="Q52" t="n">
        <v>1</v>
      </c>
      <c r="R52" s="2" t="inlineStr">
        <is>
          <t>Järpe</t>
        </is>
      </c>
      <c r="S52">
        <f>HYPERLINK("https://klasma.github.io/Logging_1907/artfynd/A 34582-2025 artfynd.xlsx", "A 34582-2025")</f>
        <v/>
      </c>
      <c r="T52">
        <f>HYPERLINK("https://klasma.github.io/Logging_1907/kartor/A 34582-2025 karta.png", "A 34582-2025")</f>
        <v/>
      </c>
      <c r="V52">
        <f>HYPERLINK("https://klasma.github.io/Logging_1907/klagomål/A 34582-2025 FSC-klagomål.docx", "A 34582-2025")</f>
        <v/>
      </c>
      <c r="W52">
        <f>HYPERLINK("https://klasma.github.io/Logging_1907/klagomålsmail/A 34582-2025 FSC-klagomål mail.docx", "A 34582-2025")</f>
        <v/>
      </c>
      <c r="X52">
        <f>HYPERLINK("https://klasma.github.io/Logging_1907/tillsyn/A 34582-2025 tillsynsbegäran.docx", "A 34582-2025")</f>
        <v/>
      </c>
      <c r="Y52">
        <f>HYPERLINK("https://klasma.github.io/Logging_1907/tillsynsmail/A 34582-2025 tillsynsbegäran mail.docx", "A 34582-2025")</f>
        <v/>
      </c>
      <c r="Z52">
        <f>HYPERLINK("https://klasma.github.io/Logging_1907/fåglar/A 34582-2025 prioriterade fågelarter.docx", "A 34582-2025")</f>
        <v/>
      </c>
    </row>
    <row r="53" ht="15" customHeight="1">
      <c r="A53" t="inlineStr">
        <is>
          <t>A 42089-2025</t>
        </is>
      </c>
      <c r="B53" s="1" t="n">
        <v>45902</v>
      </c>
      <c r="C53" s="1" t="n">
        <v>46035</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13788-2025</t>
        </is>
      </c>
      <c r="B54" s="1" t="n">
        <v>45737.45327546296</v>
      </c>
      <c r="C54" s="1" t="n">
        <v>46035</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69777-2021</t>
        </is>
      </c>
      <c r="B55" s="1" t="n">
        <v>44532</v>
      </c>
      <c r="C55" s="1" t="n">
        <v>46035</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46035</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47453-2024</t>
        </is>
      </c>
      <c r="B57" s="1" t="n">
        <v>45587.55017361111</v>
      </c>
      <c r="C57" s="1" t="n">
        <v>46035</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10819-2024</t>
        </is>
      </c>
      <c r="B58" s="1" t="n">
        <v>45369.66049768519</v>
      </c>
      <c r="C58" s="1" t="n">
        <v>46035</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40411-2021</t>
        </is>
      </c>
      <c r="B59" s="1" t="n">
        <v>44419</v>
      </c>
      <c r="C59" s="1" t="n">
        <v>46035</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46035</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55042-2025</t>
        </is>
      </c>
      <c r="B61" s="1" t="n">
        <v>45967.65858796296</v>
      </c>
      <c r="C61" s="1" t="n">
        <v>46035</v>
      </c>
      <c r="D61" t="inlineStr">
        <is>
          <t>VÄSTMANLANDS LÄN</t>
        </is>
      </c>
      <c r="E61" t="inlineStr">
        <is>
          <t>SURAHAMMAR</t>
        </is>
      </c>
      <c r="F61" t="inlineStr">
        <is>
          <t>Sveaskog</t>
        </is>
      </c>
      <c r="G61" t="n">
        <v>7.2</v>
      </c>
      <c r="H61" t="n">
        <v>0</v>
      </c>
      <c r="I61" t="n">
        <v>0</v>
      </c>
      <c r="J61" t="n">
        <v>1</v>
      </c>
      <c r="K61" t="n">
        <v>0</v>
      </c>
      <c r="L61" t="n">
        <v>0</v>
      </c>
      <c r="M61" t="n">
        <v>0</v>
      </c>
      <c r="N61" t="n">
        <v>0</v>
      </c>
      <c r="O61" t="n">
        <v>1</v>
      </c>
      <c r="P61" t="n">
        <v>0</v>
      </c>
      <c r="Q61" t="n">
        <v>1</v>
      </c>
      <c r="R61" s="2" t="inlineStr">
        <is>
          <t>Motaggsvamp</t>
        </is>
      </c>
      <c r="S61">
        <f>HYPERLINK("https://klasma.github.io/Logging_1907/artfynd/A 55042-2025 artfynd.xlsx", "A 55042-2025")</f>
        <v/>
      </c>
      <c r="T61">
        <f>HYPERLINK("https://klasma.github.io/Logging_1907/kartor/A 55042-2025 karta.png", "A 55042-2025")</f>
        <v/>
      </c>
      <c r="V61">
        <f>HYPERLINK("https://klasma.github.io/Logging_1907/klagomål/A 55042-2025 FSC-klagomål.docx", "A 55042-2025")</f>
        <v/>
      </c>
      <c r="W61">
        <f>HYPERLINK("https://klasma.github.io/Logging_1907/klagomålsmail/A 55042-2025 FSC-klagomål mail.docx", "A 55042-2025")</f>
        <v/>
      </c>
      <c r="X61">
        <f>HYPERLINK("https://klasma.github.io/Logging_1907/tillsyn/A 55042-2025 tillsynsbegäran.docx", "A 55042-2025")</f>
        <v/>
      </c>
      <c r="Y61">
        <f>HYPERLINK("https://klasma.github.io/Logging_1907/tillsynsmail/A 55042-2025 tillsynsbegäran mail.docx", "A 55042-2025")</f>
        <v/>
      </c>
    </row>
    <row r="62" ht="15" customHeight="1">
      <c r="A62" t="inlineStr">
        <is>
          <t>A 30074-2023</t>
        </is>
      </c>
      <c r="B62" s="1" t="n">
        <v>45110</v>
      </c>
      <c r="C62" s="1" t="n">
        <v>46035</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63145-2025</t>
        </is>
      </c>
      <c r="B63" s="1" t="n">
        <v>46009</v>
      </c>
      <c r="C63" s="1" t="n">
        <v>46035</v>
      </c>
      <c r="D63" t="inlineStr">
        <is>
          <t>VÄSTMANLANDS LÄN</t>
        </is>
      </c>
      <c r="E63" t="inlineStr">
        <is>
          <t>SURAHAMMAR</t>
        </is>
      </c>
      <c r="F63" t="inlineStr">
        <is>
          <t>Bergvik skog väst AB</t>
        </is>
      </c>
      <c r="G63" t="n">
        <v>40.5</v>
      </c>
      <c r="H63" t="n">
        <v>0</v>
      </c>
      <c r="I63" t="n">
        <v>1</v>
      </c>
      <c r="J63" t="n">
        <v>0</v>
      </c>
      <c r="K63" t="n">
        <v>0</v>
      </c>
      <c r="L63" t="n">
        <v>0</v>
      </c>
      <c r="M63" t="n">
        <v>0</v>
      </c>
      <c r="N63" t="n">
        <v>0</v>
      </c>
      <c r="O63" t="n">
        <v>0</v>
      </c>
      <c r="P63" t="n">
        <v>0</v>
      </c>
      <c r="Q63" t="n">
        <v>1</v>
      </c>
      <c r="R63" s="2" t="inlineStr">
        <is>
          <t>Svart trolldruva</t>
        </is>
      </c>
      <c r="S63">
        <f>HYPERLINK("https://klasma.github.io/Logging_1907/artfynd/A 63145-2025 artfynd.xlsx", "A 63145-2025")</f>
        <v/>
      </c>
      <c r="T63">
        <f>HYPERLINK("https://klasma.github.io/Logging_1907/kartor/A 63145-2025 karta.png", "A 63145-2025")</f>
        <v/>
      </c>
      <c r="V63">
        <f>HYPERLINK("https://klasma.github.io/Logging_1907/klagomål/A 63145-2025 FSC-klagomål.docx", "A 63145-2025")</f>
        <v/>
      </c>
      <c r="W63">
        <f>HYPERLINK("https://klasma.github.io/Logging_1907/klagomålsmail/A 63145-2025 FSC-klagomål mail.docx", "A 63145-2025")</f>
        <v/>
      </c>
      <c r="X63">
        <f>HYPERLINK("https://klasma.github.io/Logging_1907/tillsyn/A 63145-2025 tillsynsbegäran.docx", "A 63145-2025")</f>
        <v/>
      </c>
      <c r="Y63">
        <f>HYPERLINK("https://klasma.github.io/Logging_1907/tillsynsmail/A 63145-2025 tillsynsbegäran mail.docx", "A 63145-2025")</f>
        <v/>
      </c>
    </row>
    <row r="64" ht="15" customHeight="1">
      <c r="A64" t="inlineStr">
        <is>
          <t>A 31176-2024</t>
        </is>
      </c>
      <c r="B64" s="1" t="n">
        <v>45503</v>
      </c>
      <c r="C64" s="1" t="n">
        <v>46035</v>
      </c>
      <c r="D64" t="inlineStr">
        <is>
          <t>VÄSTMANLANDS LÄN</t>
        </is>
      </c>
      <c r="E64" t="inlineStr">
        <is>
          <t>SURAHAMMAR</t>
        </is>
      </c>
      <c r="F64" t="inlineStr">
        <is>
          <t>Allmännings- och besparingsskogar</t>
        </is>
      </c>
      <c r="G64" t="n">
        <v>10.7</v>
      </c>
      <c r="H64" t="n">
        <v>0</v>
      </c>
      <c r="I64" t="n">
        <v>0</v>
      </c>
      <c r="J64" t="n">
        <v>1</v>
      </c>
      <c r="K64" t="n">
        <v>0</v>
      </c>
      <c r="L64" t="n">
        <v>0</v>
      </c>
      <c r="M64" t="n">
        <v>0</v>
      </c>
      <c r="N64" t="n">
        <v>0</v>
      </c>
      <c r="O64" t="n">
        <v>1</v>
      </c>
      <c r="P64" t="n">
        <v>0</v>
      </c>
      <c r="Q64" t="n">
        <v>1</v>
      </c>
      <c r="R64" s="2" t="inlineStr">
        <is>
          <t>Doftskinn</t>
        </is>
      </c>
      <c r="S64">
        <f>HYPERLINK("https://klasma.github.io/Logging_1907/artfynd/A 31176-2024 artfynd.xlsx", "A 31176-2024")</f>
        <v/>
      </c>
      <c r="T64">
        <f>HYPERLINK("https://klasma.github.io/Logging_1907/kartor/A 31176-2024 karta.png", "A 31176-2024")</f>
        <v/>
      </c>
      <c r="V64">
        <f>HYPERLINK("https://klasma.github.io/Logging_1907/klagomål/A 31176-2024 FSC-klagomål.docx", "A 31176-2024")</f>
        <v/>
      </c>
      <c r="W64">
        <f>HYPERLINK("https://klasma.github.io/Logging_1907/klagomålsmail/A 31176-2024 FSC-klagomål mail.docx", "A 31176-2024")</f>
        <v/>
      </c>
      <c r="X64">
        <f>HYPERLINK("https://klasma.github.io/Logging_1907/tillsyn/A 31176-2024 tillsynsbegäran.docx", "A 31176-2024")</f>
        <v/>
      </c>
      <c r="Y64">
        <f>HYPERLINK("https://klasma.github.io/Logging_1907/tillsynsmail/A 31176-2024 tillsynsbegäran mail.docx", "A 31176-2024")</f>
        <v/>
      </c>
    </row>
    <row r="65" ht="15" customHeight="1">
      <c r="A65" t="inlineStr">
        <is>
          <t>A 56768-2025</t>
        </is>
      </c>
      <c r="B65" s="1" t="n">
        <v>45978</v>
      </c>
      <c r="C65" s="1" t="n">
        <v>46035</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25583-2024</t>
        </is>
      </c>
      <c r="B66" s="1" t="n">
        <v>45463</v>
      </c>
      <c r="C66" s="1" t="n">
        <v>46035</v>
      </c>
      <c r="D66" t="inlineStr">
        <is>
          <t>VÄSTMANLANDS LÄN</t>
        </is>
      </c>
      <c r="E66" t="inlineStr">
        <is>
          <t>SURAHAMMAR</t>
        </is>
      </c>
      <c r="F66" t="inlineStr">
        <is>
          <t>Bergvik skog väst AB</t>
        </is>
      </c>
      <c r="G66" t="n">
        <v>7.8</v>
      </c>
      <c r="H66" t="n">
        <v>1</v>
      </c>
      <c r="I66" t="n">
        <v>0</v>
      </c>
      <c r="J66" t="n">
        <v>0</v>
      </c>
      <c r="K66" t="n">
        <v>0</v>
      </c>
      <c r="L66" t="n">
        <v>0</v>
      </c>
      <c r="M66" t="n">
        <v>0</v>
      </c>
      <c r="N66" t="n">
        <v>0</v>
      </c>
      <c r="O66" t="n">
        <v>0</v>
      </c>
      <c r="P66" t="n">
        <v>0</v>
      </c>
      <c r="Q66" t="n">
        <v>1</v>
      </c>
      <c r="R66" s="2" t="inlineStr">
        <is>
          <t>Blåsippa</t>
        </is>
      </c>
      <c r="S66">
        <f>HYPERLINK("https://klasma.github.io/Logging_1907/artfynd/A 25583-2024 artfynd.xlsx", "A 25583-2024")</f>
        <v/>
      </c>
      <c r="T66">
        <f>HYPERLINK("https://klasma.github.io/Logging_1907/kartor/A 25583-2024 karta.png", "A 25583-2024")</f>
        <v/>
      </c>
      <c r="V66">
        <f>HYPERLINK("https://klasma.github.io/Logging_1907/klagomål/A 25583-2024 FSC-klagomål.docx", "A 25583-2024")</f>
        <v/>
      </c>
      <c r="W66">
        <f>HYPERLINK("https://klasma.github.io/Logging_1907/klagomålsmail/A 25583-2024 FSC-klagomål mail.docx", "A 25583-2024")</f>
        <v/>
      </c>
      <c r="X66">
        <f>HYPERLINK("https://klasma.github.io/Logging_1907/tillsyn/A 25583-2024 tillsynsbegäran.docx", "A 25583-2024")</f>
        <v/>
      </c>
      <c r="Y66">
        <f>HYPERLINK("https://klasma.github.io/Logging_1907/tillsynsmail/A 25583-2024 tillsynsbegäran mail.docx", "A 25583-2024")</f>
        <v/>
      </c>
    </row>
    <row r="67" ht="15" customHeight="1">
      <c r="A67" t="inlineStr">
        <is>
          <t>A 13971-2023</t>
        </is>
      </c>
      <c r="B67" s="1" t="n">
        <v>45007</v>
      </c>
      <c r="C67" s="1" t="n">
        <v>46035</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46035</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46035</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17632-2022</t>
        </is>
      </c>
      <c r="B70" s="1" t="n">
        <v>44680</v>
      </c>
      <c r="C70" s="1" t="n">
        <v>46035</v>
      </c>
      <c r="D70" t="inlineStr">
        <is>
          <t>VÄSTMANLANDS LÄN</t>
        </is>
      </c>
      <c r="E70" t="inlineStr">
        <is>
          <t>SURAHAMMAR</t>
        </is>
      </c>
      <c r="G70" t="n">
        <v>5.2</v>
      </c>
      <c r="H70" t="n">
        <v>0</v>
      </c>
      <c r="I70" t="n">
        <v>1</v>
      </c>
      <c r="J70" t="n">
        <v>0</v>
      </c>
      <c r="K70" t="n">
        <v>0</v>
      </c>
      <c r="L70" t="n">
        <v>0</v>
      </c>
      <c r="M70" t="n">
        <v>0</v>
      </c>
      <c r="N70" t="n">
        <v>0</v>
      </c>
      <c r="O70" t="n">
        <v>0</v>
      </c>
      <c r="P70" t="n">
        <v>0</v>
      </c>
      <c r="Q70" t="n">
        <v>1</v>
      </c>
      <c r="R70" s="2" t="inlineStr">
        <is>
          <t>Blodticka</t>
        </is>
      </c>
      <c r="S70">
        <f>HYPERLINK("https://klasma.github.io/Logging_1907/artfynd/A 17632-2022 artfynd.xlsx", "A 17632-2022")</f>
        <v/>
      </c>
      <c r="T70">
        <f>HYPERLINK("https://klasma.github.io/Logging_1907/kartor/A 17632-2022 karta.png", "A 17632-2022")</f>
        <v/>
      </c>
      <c r="V70">
        <f>HYPERLINK("https://klasma.github.io/Logging_1907/klagomål/A 17632-2022 FSC-klagomål.docx", "A 17632-2022")</f>
        <v/>
      </c>
      <c r="W70">
        <f>HYPERLINK("https://klasma.github.io/Logging_1907/klagomålsmail/A 17632-2022 FSC-klagomål mail.docx", "A 17632-2022")</f>
        <v/>
      </c>
      <c r="X70">
        <f>HYPERLINK("https://klasma.github.io/Logging_1907/tillsyn/A 17632-2022 tillsynsbegäran.docx", "A 17632-2022")</f>
        <v/>
      </c>
      <c r="Y70">
        <f>HYPERLINK("https://klasma.github.io/Logging_1907/tillsynsmail/A 17632-2022 tillsynsbegäran mail.docx", "A 17632-2022")</f>
        <v/>
      </c>
    </row>
    <row r="71" ht="15" customHeight="1">
      <c r="A71" t="inlineStr">
        <is>
          <t>A 22840-2023</t>
        </is>
      </c>
      <c r="B71" s="1" t="n">
        <v>45072</v>
      </c>
      <c r="C71" s="1" t="n">
        <v>46035</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43451-2024</t>
        </is>
      </c>
      <c r="B72" s="1" t="n">
        <v>45568</v>
      </c>
      <c r="C72" s="1" t="n">
        <v>46035</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1492-2021</t>
        </is>
      </c>
      <c r="B73" s="1" t="n">
        <v>44209</v>
      </c>
      <c r="C73" s="1" t="n">
        <v>46035</v>
      </c>
      <c r="D73" t="inlineStr">
        <is>
          <t>VÄSTMANLANDS LÄN</t>
        </is>
      </c>
      <c r="E73" t="inlineStr">
        <is>
          <t>SURAHAMMAR</t>
        </is>
      </c>
      <c r="G73" t="n">
        <v>1.2</v>
      </c>
      <c r="H73" t="n">
        <v>0</v>
      </c>
      <c r="I73" t="n">
        <v>0</v>
      </c>
      <c r="J73" t="n">
        <v>0</v>
      </c>
      <c r="K73" t="n">
        <v>0</v>
      </c>
      <c r="L73" t="n">
        <v>0</v>
      </c>
      <c r="M73" t="n">
        <v>0</v>
      </c>
      <c r="N73" t="n">
        <v>0</v>
      </c>
      <c r="O73" t="n">
        <v>0</v>
      </c>
      <c r="P73" t="n">
        <v>0</v>
      </c>
      <c r="Q73" t="n">
        <v>0</v>
      </c>
      <c r="R73" s="2" t="inlineStr"/>
    </row>
    <row r="74" ht="15" customHeight="1">
      <c r="A74" t="inlineStr">
        <is>
          <t>A 64073-2021</t>
        </is>
      </c>
      <c r="B74" s="1" t="n">
        <v>44509</v>
      </c>
      <c r="C74" s="1" t="n">
        <v>46035</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46035</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46035</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46035</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46035</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46035</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46035</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46035</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46035</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46035</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46035</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46035</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46035</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46035</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46035</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46035</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46035</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46035</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7787-2024</t>
        </is>
      </c>
      <c r="B92" s="1" t="n">
        <v>45348</v>
      </c>
      <c r="C92" s="1" t="n">
        <v>46035</v>
      </c>
      <c r="D92" t="inlineStr">
        <is>
          <t>VÄSTMANLANDS LÄN</t>
        </is>
      </c>
      <c r="E92" t="inlineStr">
        <is>
          <t>SURAHAMMAR</t>
        </is>
      </c>
      <c r="G92" t="n">
        <v>1</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46035</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46035</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46035</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46035</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15739-2023</t>
        </is>
      </c>
      <c r="B97" s="1" t="n">
        <v>45021</v>
      </c>
      <c r="C97" s="1" t="n">
        <v>46035</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42088-2025</t>
        </is>
      </c>
      <c r="B98" s="1" t="n">
        <v>45902</v>
      </c>
      <c r="C98" s="1" t="n">
        <v>46035</v>
      </c>
      <c r="D98" t="inlineStr">
        <is>
          <t>VÄSTMANLANDS LÄN</t>
        </is>
      </c>
      <c r="E98" t="inlineStr">
        <is>
          <t>SURAHAMMAR</t>
        </is>
      </c>
      <c r="G98" t="n">
        <v>1</v>
      </c>
      <c r="H98" t="n">
        <v>0</v>
      </c>
      <c r="I98" t="n">
        <v>0</v>
      </c>
      <c r="J98" t="n">
        <v>0</v>
      </c>
      <c r="K98" t="n">
        <v>0</v>
      </c>
      <c r="L98" t="n">
        <v>0</v>
      </c>
      <c r="M98" t="n">
        <v>0</v>
      </c>
      <c r="N98" t="n">
        <v>0</v>
      </c>
      <c r="O98" t="n">
        <v>0</v>
      </c>
      <c r="P98" t="n">
        <v>0</v>
      </c>
      <c r="Q98" t="n">
        <v>0</v>
      </c>
      <c r="R98" s="2" t="inlineStr"/>
    </row>
    <row r="99" ht="15" customHeight="1">
      <c r="A99" t="inlineStr">
        <is>
          <t>A 38154-2021</t>
        </is>
      </c>
      <c r="B99" s="1" t="n">
        <v>44405.42373842592</v>
      </c>
      <c r="C99" s="1" t="n">
        <v>46035</v>
      </c>
      <c r="D99" t="inlineStr">
        <is>
          <t>VÄSTMANLANDS LÄN</t>
        </is>
      </c>
      <c r="E99" t="inlineStr">
        <is>
          <t>SURAHAMMAR</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46035</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46035</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32808-2024</t>
        </is>
      </c>
      <c r="B102" s="1" t="n">
        <v>45516</v>
      </c>
      <c r="C102" s="1" t="n">
        <v>46035</v>
      </c>
      <c r="D102" t="inlineStr">
        <is>
          <t>VÄSTMANLANDS LÄN</t>
        </is>
      </c>
      <c r="E102" t="inlineStr">
        <is>
          <t>SURAHAMMAR</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43249-2025</t>
        </is>
      </c>
      <c r="B103" s="1" t="n">
        <v>45910.55059027778</v>
      </c>
      <c r="C103" s="1" t="n">
        <v>46035</v>
      </c>
      <c r="D103" t="inlineStr">
        <is>
          <t>VÄSTMANLANDS LÄN</t>
        </is>
      </c>
      <c r="E103" t="inlineStr">
        <is>
          <t>SURAHAMMAR</t>
        </is>
      </c>
      <c r="G103" t="n">
        <v>1.9</v>
      </c>
      <c r="H103" t="n">
        <v>0</v>
      </c>
      <c r="I103" t="n">
        <v>0</v>
      </c>
      <c r="J103" t="n">
        <v>0</v>
      </c>
      <c r="K103" t="n">
        <v>0</v>
      </c>
      <c r="L103" t="n">
        <v>0</v>
      </c>
      <c r="M103" t="n">
        <v>0</v>
      </c>
      <c r="N103" t="n">
        <v>0</v>
      </c>
      <c r="O103" t="n">
        <v>0</v>
      </c>
      <c r="P103" t="n">
        <v>0</v>
      </c>
      <c r="Q103" t="n">
        <v>0</v>
      </c>
      <c r="R103" s="2" t="inlineStr"/>
    </row>
    <row r="104" ht="15" customHeight="1">
      <c r="A104" t="inlineStr">
        <is>
          <t>A 3818-2022</t>
        </is>
      </c>
      <c r="B104" s="1" t="n">
        <v>44587</v>
      </c>
      <c r="C104" s="1" t="n">
        <v>46035</v>
      </c>
      <c r="D104" t="inlineStr">
        <is>
          <t>VÄSTMANLANDS LÄN</t>
        </is>
      </c>
      <c r="E104" t="inlineStr">
        <is>
          <t>SURAHAMMAR</t>
        </is>
      </c>
      <c r="G104" t="n">
        <v>2.6</v>
      </c>
      <c r="H104" t="n">
        <v>0</v>
      </c>
      <c r="I104" t="n">
        <v>0</v>
      </c>
      <c r="J104" t="n">
        <v>0</v>
      </c>
      <c r="K104" t="n">
        <v>0</v>
      </c>
      <c r="L104" t="n">
        <v>0</v>
      </c>
      <c r="M104" t="n">
        <v>0</v>
      </c>
      <c r="N104" t="n">
        <v>0</v>
      </c>
      <c r="O104" t="n">
        <v>0</v>
      </c>
      <c r="P104" t="n">
        <v>0</v>
      </c>
      <c r="Q104" t="n">
        <v>0</v>
      </c>
      <c r="R104" s="2" t="inlineStr"/>
    </row>
    <row r="105" ht="15" customHeight="1">
      <c r="A105" t="inlineStr">
        <is>
          <t>A 13119-2022</t>
        </is>
      </c>
      <c r="B105" s="1" t="n">
        <v>44643</v>
      </c>
      <c r="C105" s="1" t="n">
        <v>46035</v>
      </c>
      <c r="D105" t="inlineStr">
        <is>
          <t>VÄSTMANLANDS LÄN</t>
        </is>
      </c>
      <c r="E105" t="inlineStr">
        <is>
          <t>SURAHAMMAR</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19782-2023</t>
        </is>
      </c>
      <c r="B106" s="1" t="n">
        <v>45050</v>
      </c>
      <c r="C106" s="1" t="n">
        <v>46035</v>
      </c>
      <c r="D106" t="inlineStr">
        <is>
          <t>VÄSTMANLANDS LÄN</t>
        </is>
      </c>
      <c r="E106" t="inlineStr">
        <is>
          <t>SURAHAMMAR</t>
        </is>
      </c>
      <c r="F106" t="inlineStr">
        <is>
          <t>Bergvik skog väst AB</t>
        </is>
      </c>
      <c r="G106" t="n">
        <v>5.2</v>
      </c>
      <c r="H106" t="n">
        <v>0</v>
      </c>
      <c r="I106" t="n">
        <v>0</v>
      </c>
      <c r="J106" t="n">
        <v>0</v>
      </c>
      <c r="K106" t="n">
        <v>0</v>
      </c>
      <c r="L106" t="n">
        <v>0</v>
      </c>
      <c r="M106" t="n">
        <v>0</v>
      </c>
      <c r="N106" t="n">
        <v>0</v>
      </c>
      <c r="O106" t="n">
        <v>0</v>
      </c>
      <c r="P106" t="n">
        <v>0</v>
      </c>
      <c r="Q106" t="n">
        <v>0</v>
      </c>
      <c r="R106" s="2" t="inlineStr"/>
    </row>
    <row r="107" ht="15" customHeight="1">
      <c r="A107" t="inlineStr">
        <is>
          <t>A 14626-2023</t>
        </is>
      </c>
      <c r="B107" s="1" t="n">
        <v>45012</v>
      </c>
      <c r="C107" s="1" t="n">
        <v>46035</v>
      </c>
      <c r="D107" t="inlineStr">
        <is>
          <t>VÄSTMANLANDS LÄN</t>
        </is>
      </c>
      <c r="E107" t="inlineStr">
        <is>
          <t>SURAHAMMAR</t>
        </is>
      </c>
      <c r="F107" t="inlineStr">
        <is>
          <t>Bergvik skog väst AB</t>
        </is>
      </c>
      <c r="G107" t="n">
        <v>5</v>
      </c>
      <c r="H107" t="n">
        <v>0</v>
      </c>
      <c r="I107" t="n">
        <v>0</v>
      </c>
      <c r="J107" t="n">
        <v>0</v>
      </c>
      <c r="K107" t="n">
        <v>0</v>
      </c>
      <c r="L107" t="n">
        <v>0</v>
      </c>
      <c r="M107" t="n">
        <v>0</v>
      </c>
      <c r="N107" t="n">
        <v>0</v>
      </c>
      <c r="O107" t="n">
        <v>0</v>
      </c>
      <c r="P107" t="n">
        <v>0</v>
      </c>
      <c r="Q107" t="n">
        <v>0</v>
      </c>
      <c r="R107" s="2" t="inlineStr"/>
    </row>
    <row r="108" ht="15" customHeight="1">
      <c r="A108" t="inlineStr">
        <is>
          <t>A 8553-2023</t>
        </is>
      </c>
      <c r="B108" s="1" t="n">
        <v>44977</v>
      </c>
      <c r="C108" s="1" t="n">
        <v>46035</v>
      </c>
      <c r="D108" t="inlineStr">
        <is>
          <t>VÄSTMANLANDS LÄN</t>
        </is>
      </c>
      <c r="E108" t="inlineStr">
        <is>
          <t>SURAHAMMAR</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56378-2023</t>
        </is>
      </c>
      <c r="B109" s="1" t="n">
        <v>45236</v>
      </c>
      <c r="C109" s="1" t="n">
        <v>46035</v>
      </c>
      <c r="D109" t="inlineStr">
        <is>
          <t>VÄSTMANLANDS LÄN</t>
        </is>
      </c>
      <c r="E109" t="inlineStr">
        <is>
          <t>SURAHAMMAR</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11728-2023</t>
        </is>
      </c>
      <c r="B110" s="1" t="n">
        <v>44993</v>
      </c>
      <c r="C110" s="1" t="n">
        <v>46035</v>
      </c>
      <c r="D110" t="inlineStr">
        <is>
          <t>VÄSTMANLANDS LÄN</t>
        </is>
      </c>
      <c r="E110" t="inlineStr">
        <is>
          <t>SURAHAMMAR</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11501-2023</t>
        </is>
      </c>
      <c r="B111" s="1" t="n">
        <v>44991</v>
      </c>
      <c r="C111" s="1" t="n">
        <v>46035</v>
      </c>
      <c r="D111" t="inlineStr">
        <is>
          <t>VÄSTMANLANDS LÄN</t>
        </is>
      </c>
      <c r="E111" t="inlineStr">
        <is>
          <t>SURAHAMMAR</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16013-2023</t>
        </is>
      </c>
      <c r="B112" s="1" t="n">
        <v>45026</v>
      </c>
      <c r="C112" s="1" t="n">
        <v>46035</v>
      </c>
      <c r="D112" t="inlineStr">
        <is>
          <t>VÄSTMANLANDS LÄN</t>
        </is>
      </c>
      <c r="E112" t="inlineStr">
        <is>
          <t>SURAHAMMAR</t>
        </is>
      </c>
      <c r="G112" t="n">
        <v>3.9</v>
      </c>
      <c r="H112" t="n">
        <v>0</v>
      </c>
      <c r="I112" t="n">
        <v>0</v>
      </c>
      <c r="J112" t="n">
        <v>0</v>
      </c>
      <c r="K112" t="n">
        <v>0</v>
      </c>
      <c r="L112" t="n">
        <v>0</v>
      </c>
      <c r="M112" t="n">
        <v>0</v>
      </c>
      <c r="N112" t="n">
        <v>0</v>
      </c>
      <c r="O112" t="n">
        <v>0</v>
      </c>
      <c r="P112" t="n">
        <v>0</v>
      </c>
      <c r="Q112" t="n">
        <v>0</v>
      </c>
      <c r="R112" s="2" t="inlineStr"/>
    </row>
    <row r="113" ht="15" customHeight="1">
      <c r="A113" t="inlineStr">
        <is>
          <t>A 34584-2025</t>
        </is>
      </c>
      <c r="B113" s="1" t="n">
        <v>45846</v>
      </c>
      <c r="C113" s="1" t="n">
        <v>46035</v>
      </c>
      <c r="D113" t="inlineStr">
        <is>
          <t>VÄSTMANLANDS LÄN</t>
        </is>
      </c>
      <c r="E113" t="inlineStr">
        <is>
          <t>SURAHAMMAR</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20904-2023</t>
        </is>
      </c>
      <c r="B114" s="1" t="n">
        <v>45060</v>
      </c>
      <c r="C114" s="1" t="n">
        <v>46035</v>
      </c>
      <c r="D114" t="inlineStr">
        <is>
          <t>VÄSTMANLANDS LÄN</t>
        </is>
      </c>
      <c r="E114" t="inlineStr">
        <is>
          <t>SURAHAMMAR</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42829-2022</t>
        </is>
      </c>
      <c r="B115" s="1" t="n">
        <v>44832</v>
      </c>
      <c r="C115" s="1" t="n">
        <v>46035</v>
      </c>
      <c r="D115" t="inlineStr">
        <is>
          <t>VÄSTMANLANDS LÄN</t>
        </is>
      </c>
      <c r="E115" t="inlineStr">
        <is>
          <t>SURAHAMMAR</t>
        </is>
      </c>
      <c r="G115" t="n">
        <v>1.6</v>
      </c>
      <c r="H115" t="n">
        <v>0</v>
      </c>
      <c r="I115" t="n">
        <v>0</v>
      </c>
      <c r="J115" t="n">
        <v>0</v>
      </c>
      <c r="K115" t="n">
        <v>0</v>
      </c>
      <c r="L115" t="n">
        <v>0</v>
      </c>
      <c r="M115" t="n">
        <v>0</v>
      </c>
      <c r="N115" t="n">
        <v>0</v>
      </c>
      <c r="O115" t="n">
        <v>0</v>
      </c>
      <c r="P115" t="n">
        <v>0</v>
      </c>
      <c r="Q115" t="n">
        <v>0</v>
      </c>
      <c r="R115" s="2" t="inlineStr"/>
    </row>
    <row r="116" ht="15" customHeight="1">
      <c r="A116" t="inlineStr">
        <is>
          <t>A 32910-2025</t>
        </is>
      </c>
      <c r="B116" s="1" t="n">
        <v>45839</v>
      </c>
      <c r="C116" s="1" t="n">
        <v>46035</v>
      </c>
      <c r="D116" t="inlineStr">
        <is>
          <t>VÄSTMANLANDS LÄN</t>
        </is>
      </c>
      <c r="E116" t="inlineStr">
        <is>
          <t>SURAHAMMAR</t>
        </is>
      </c>
      <c r="F116" t="inlineStr">
        <is>
          <t>Kommuner</t>
        </is>
      </c>
      <c r="G116" t="n">
        <v>1.1</v>
      </c>
      <c r="H116" t="n">
        <v>0</v>
      </c>
      <c r="I116" t="n">
        <v>0</v>
      </c>
      <c r="J116" t="n">
        <v>0</v>
      </c>
      <c r="K116" t="n">
        <v>0</v>
      </c>
      <c r="L116" t="n">
        <v>0</v>
      </c>
      <c r="M116" t="n">
        <v>0</v>
      </c>
      <c r="N116" t="n">
        <v>0</v>
      </c>
      <c r="O116" t="n">
        <v>0</v>
      </c>
      <c r="P116" t="n">
        <v>0</v>
      </c>
      <c r="Q116" t="n">
        <v>0</v>
      </c>
      <c r="R116" s="2" t="inlineStr"/>
    </row>
    <row r="117" ht="15" customHeight="1">
      <c r="A117" t="inlineStr">
        <is>
          <t>A 32916-2025</t>
        </is>
      </c>
      <c r="B117" s="1" t="n">
        <v>45839</v>
      </c>
      <c r="C117" s="1" t="n">
        <v>46035</v>
      </c>
      <c r="D117" t="inlineStr">
        <is>
          <t>VÄSTMANLANDS LÄN</t>
        </is>
      </c>
      <c r="E117" t="inlineStr">
        <is>
          <t>SURAHAMMAR</t>
        </is>
      </c>
      <c r="F117" t="inlineStr">
        <is>
          <t>Kommuner</t>
        </is>
      </c>
      <c r="G117" t="n">
        <v>4.9</v>
      </c>
      <c r="H117" t="n">
        <v>0</v>
      </c>
      <c r="I117" t="n">
        <v>0</v>
      </c>
      <c r="J117" t="n">
        <v>0</v>
      </c>
      <c r="K117" t="n">
        <v>0</v>
      </c>
      <c r="L117" t="n">
        <v>0</v>
      </c>
      <c r="M117" t="n">
        <v>0</v>
      </c>
      <c r="N117" t="n">
        <v>0</v>
      </c>
      <c r="O117" t="n">
        <v>0</v>
      </c>
      <c r="P117" t="n">
        <v>0</v>
      </c>
      <c r="Q117" t="n">
        <v>0</v>
      </c>
      <c r="R117" s="2" t="inlineStr"/>
    </row>
    <row r="118" ht="15" customHeight="1">
      <c r="A118" t="inlineStr">
        <is>
          <t>A 34955-2022</t>
        </is>
      </c>
      <c r="B118" s="1" t="n">
        <v>44796</v>
      </c>
      <c r="C118" s="1" t="n">
        <v>46035</v>
      </c>
      <c r="D118" t="inlineStr">
        <is>
          <t>VÄSTMANLANDS LÄN</t>
        </is>
      </c>
      <c r="E118" t="inlineStr">
        <is>
          <t>SURAHAMMAR</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37013-2025</t>
        </is>
      </c>
      <c r="B119" s="1" t="n">
        <v>45874</v>
      </c>
      <c r="C119" s="1" t="n">
        <v>46035</v>
      </c>
      <c r="D119" t="inlineStr">
        <is>
          <t>VÄSTMANLANDS LÄN</t>
        </is>
      </c>
      <c r="E119" t="inlineStr">
        <is>
          <t>SURAHAMMAR</t>
        </is>
      </c>
      <c r="F119" t="inlineStr">
        <is>
          <t>Bergvik skog väst AB</t>
        </is>
      </c>
      <c r="G119" t="n">
        <v>10.7</v>
      </c>
      <c r="H119" t="n">
        <v>0</v>
      </c>
      <c r="I119" t="n">
        <v>0</v>
      </c>
      <c r="J119" t="n">
        <v>0</v>
      </c>
      <c r="K119" t="n">
        <v>0</v>
      </c>
      <c r="L119" t="n">
        <v>0</v>
      </c>
      <c r="M119" t="n">
        <v>0</v>
      </c>
      <c r="N119" t="n">
        <v>0</v>
      </c>
      <c r="O119" t="n">
        <v>0</v>
      </c>
      <c r="P119" t="n">
        <v>0</v>
      </c>
      <c r="Q119" t="n">
        <v>0</v>
      </c>
      <c r="R119" s="2" t="inlineStr"/>
    </row>
    <row r="120" ht="15" customHeight="1">
      <c r="A120" t="inlineStr">
        <is>
          <t>A 37798-2021</t>
        </is>
      </c>
      <c r="B120" s="1" t="n">
        <v>44402</v>
      </c>
      <c r="C120" s="1" t="n">
        <v>46035</v>
      </c>
      <c r="D120" t="inlineStr">
        <is>
          <t>VÄSTMANLANDS LÄN</t>
        </is>
      </c>
      <c r="E120" t="inlineStr">
        <is>
          <t>SURAHAMMAR</t>
        </is>
      </c>
      <c r="F120" t="inlineStr">
        <is>
          <t>Kommuner</t>
        </is>
      </c>
      <c r="G120" t="n">
        <v>1.2</v>
      </c>
      <c r="H120" t="n">
        <v>0</v>
      </c>
      <c r="I120" t="n">
        <v>0</v>
      </c>
      <c r="J120" t="n">
        <v>0</v>
      </c>
      <c r="K120" t="n">
        <v>0</v>
      </c>
      <c r="L120" t="n">
        <v>0</v>
      </c>
      <c r="M120" t="n">
        <v>0</v>
      </c>
      <c r="N120" t="n">
        <v>0</v>
      </c>
      <c r="O120" t="n">
        <v>0</v>
      </c>
      <c r="P120" t="n">
        <v>0</v>
      </c>
      <c r="Q120" t="n">
        <v>0</v>
      </c>
      <c r="R120" s="2" t="inlineStr"/>
    </row>
    <row r="121" ht="15" customHeight="1">
      <c r="A121" t="inlineStr">
        <is>
          <t>A 48205-2023</t>
        </is>
      </c>
      <c r="B121" s="1" t="n">
        <v>45205</v>
      </c>
      <c r="C121" s="1" t="n">
        <v>46035</v>
      </c>
      <c r="D121" t="inlineStr">
        <is>
          <t>VÄSTMANLANDS LÄN</t>
        </is>
      </c>
      <c r="E121" t="inlineStr">
        <is>
          <t>SURAHAMMAR</t>
        </is>
      </c>
      <c r="F121" t="inlineStr">
        <is>
          <t>Allmännings- och besparingsskogar</t>
        </is>
      </c>
      <c r="G121" t="n">
        <v>7.6</v>
      </c>
      <c r="H121" t="n">
        <v>0</v>
      </c>
      <c r="I121" t="n">
        <v>0</v>
      </c>
      <c r="J121" t="n">
        <v>0</v>
      </c>
      <c r="K121" t="n">
        <v>0</v>
      </c>
      <c r="L121" t="n">
        <v>0</v>
      </c>
      <c r="M121" t="n">
        <v>0</v>
      </c>
      <c r="N121" t="n">
        <v>0</v>
      </c>
      <c r="O121" t="n">
        <v>0</v>
      </c>
      <c r="P121" t="n">
        <v>0</v>
      </c>
      <c r="Q121" t="n">
        <v>0</v>
      </c>
      <c r="R121" s="2" t="inlineStr"/>
    </row>
    <row r="122" ht="15" customHeight="1">
      <c r="A122" t="inlineStr">
        <is>
          <t>A 37954-2025</t>
        </is>
      </c>
      <c r="B122" s="1" t="n">
        <v>45881</v>
      </c>
      <c r="C122" s="1" t="n">
        <v>46035</v>
      </c>
      <c r="D122" t="inlineStr">
        <is>
          <t>VÄSTMANLANDS LÄN</t>
        </is>
      </c>
      <c r="E122" t="inlineStr">
        <is>
          <t>SURAHAMMAR</t>
        </is>
      </c>
      <c r="G122" t="n">
        <v>9.5</v>
      </c>
      <c r="H122" t="n">
        <v>0</v>
      </c>
      <c r="I122" t="n">
        <v>0</v>
      </c>
      <c r="J122" t="n">
        <v>0</v>
      </c>
      <c r="K122" t="n">
        <v>0</v>
      </c>
      <c r="L122" t="n">
        <v>0</v>
      </c>
      <c r="M122" t="n">
        <v>0</v>
      </c>
      <c r="N122" t="n">
        <v>0</v>
      </c>
      <c r="O122" t="n">
        <v>0</v>
      </c>
      <c r="P122" t="n">
        <v>0</v>
      </c>
      <c r="Q122" t="n">
        <v>0</v>
      </c>
      <c r="R122" s="2" t="inlineStr"/>
    </row>
    <row r="123" ht="15" customHeight="1">
      <c r="A123" t="inlineStr">
        <is>
          <t>A 33931-2022</t>
        </is>
      </c>
      <c r="B123" s="1" t="n">
        <v>44790.65153935185</v>
      </c>
      <c r="C123" s="1" t="n">
        <v>46035</v>
      </c>
      <c r="D123" t="inlineStr">
        <is>
          <t>VÄSTMANLANDS LÄN</t>
        </is>
      </c>
      <c r="E123" t="inlineStr">
        <is>
          <t>SURAHAMMAR</t>
        </is>
      </c>
      <c r="G123" t="n">
        <v>2.2</v>
      </c>
      <c r="H123" t="n">
        <v>0</v>
      </c>
      <c r="I123" t="n">
        <v>0</v>
      </c>
      <c r="J123" t="n">
        <v>0</v>
      </c>
      <c r="K123" t="n">
        <v>0</v>
      </c>
      <c r="L123" t="n">
        <v>0</v>
      </c>
      <c r="M123" t="n">
        <v>0</v>
      </c>
      <c r="N123" t="n">
        <v>0</v>
      </c>
      <c r="O123" t="n">
        <v>0</v>
      </c>
      <c r="P123" t="n">
        <v>0</v>
      </c>
      <c r="Q123" t="n">
        <v>0</v>
      </c>
      <c r="R123" s="2" t="inlineStr"/>
    </row>
    <row r="124" ht="15" customHeight="1">
      <c r="A124" t="inlineStr">
        <is>
          <t>A 22662-2023</t>
        </is>
      </c>
      <c r="B124" s="1" t="n">
        <v>45071</v>
      </c>
      <c r="C124" s="1" t="n">
        <v>46035</v>
      </c>
      <c r="D124" t="inlineStr">
        <is>
          <t>VÄSTMANLANDS LÄN</t>
        </is>
      </c>
      <c r="E124" t="inlineStr">
        <is>
          <t>SURAHAMMAR</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30076-2023</t>
        </is>
      </c>
      <c r="B125" s="1" t="n">
        <v>45110</v>
      </c>
      <c r="C125" s="1" t="n">
        <v>46035</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63138-2025</t>
        </is>
      </c>
      <c r="B126" s="1" t="n">
        <v>46009</v>
      </c>
      <c r="C126" s="1" t="n">
        <v>46035</v>
      </c>
      <c r="D126" t="inlineStr">
        <is>
          <t>VÄSTMANLANDS LÄN</t>
        </is>
      </c>
      <c r="E126" t="inlineStr">
        <is>
          <t>SURAHAMMAR</t>
        </is>
      </c>
      <c r="F126" t="inlineStr">
        <is>
          <t>Bergvik skog väst AB</t>
        </is>
      </c>
      <c r="G126" t="n">
        <v>2.5</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46035</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46035</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55871-2025</t>
        </is>
      </c>
      <c r="B129" s="1" t="n">
        <v>45973.35452546296</v>
      </c>
      <c r="C129" s="1" t="n">
        <v>46035</v>
      </c>
      <c r="D129" t="inlineStr">
        <is>
          <t>VÄSTMANLANDS LÄN</t>
        </is>
      </c>
      <c r="E129" t="inlineStr">
        <is>
          <t>SURAHAMMAR</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46035</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56541-2025</t>
        </is>
      </c>
      <c r="B131" s="1" t="n">
        <v>45975</v>
      </c>
      <c r="C131" s="1" t="n">
        <v>46035</v>
      </c>
      <c r="D131" t="inlineStr">
        <is>
          <t>VÄSTMANLANDS LÄN</t>
        </is>
      </c>
      <c r="E131" t="inlineStr">
        <is>
          <t>SURAHAMMAR</t>
        </is>
      </c>
      <c r="F131" t="inlineStr">
        <is>
          <t>Sveaskog</t>
        </is>
      </c>
      <c r="G131" t="n">
        <v>7.6</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46035</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56543-2025</t>
        </is>
      </c>
      <c r="B133" s="1" t="n">
        <v>45975</v>
      </c>
      <c r="C133" s="1" t="n">
        <v>46035</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46035</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46035</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46035</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24167-2024</t>
        </is>
      </c>
      <c r="B137" s="1" t="n">
        <v>45456</v>
      </c>
      <c r="C137" s="1" t="n">
        <v>46035</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46035</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59399-2025</t>
        </is>
      </c>
      <c r="B139" s="1" t="n">
        <v>45989</v>
      </c>
      <c r="C139" s="1" t="n">
        <v>46035</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42714-2022</t>
        </is>
      </c>
      <c r="B140" s="1" t="n">
        <v>44832</v>
      </c>
      <c r="C140" s="1" t="n">
        <v>46035</v>
      </c>
      <c r="D140" t="inlineStr">
        <is>
          <t>VÄSTMANLANDS LÄN</t>
        </is>
      </c>
      <c r="E140" t="inlineStr">
        <is>
          <t>SURAHAMMAR</t>
        </is>
      </c>
      <c r="G140" t="n">
        <v>1.1</v>
      </c>
      <c r="H140" t="n">
        <v>0</v>
      </c>
      <c r="I140" t="n">
        <v>0</v>
      </c>
      <c r="J140" t="n">
        <v>0</v>
      </c>
      <c r="K140" t="n">
        <v>0</v>
      </c>
      <c r="L140" t="n">
        <v>0</v>
      </c>
      <c r="M140" t="n">
        <v>0</v>
      </c>
      <c r="N140" t="n">
        <v>0</v>
      </c>
      <c r="O140" t="n">
        <v>0</v>
      </c>
      <c r="P140" t="n">
        <v>0</v>
      </c>
      <c r="Q140" t="n">
        <v>0</v>
      </c>
      <c r="R140" s="2" t="inlineStr"/>
    </row>
    <row r="141" ht="15" customHeight="1">
      <c r="A141" t="inlineStr">
        <is>
          <t>A 37287-2023</t>
        </is>
      </c>
      <c r="B141" s="1" t="n">
        <v>45156</v>
      </c>
      <c r="C141" s="1" t="n">
        <v>46035</v>
      </c>
      <c r="D141" t="inlineStr">
        <is>
          <t>VÄSTMANLANDS LÄN</t>
        </is>
      </c>
      <c r="E141" t="inlineStr">
        <is>
          <t>SURAHAMMAR</t>
        </is>
      </c>
      <c r="G141" t="n">
        <v>0.6</v>
      </c>
      <c r="H141" t="n">
        <v>0</v>
      </c>
      <c r="I141" t="n">
        <v>0</v>
      </c>
      <c r="J141" t="n">
        <v>0</v>
      </c>
      <c r="K141" t="n">
        <v>0</v>
      </c>
      <c r="L141" t="n">
        <v>0</v>
      </c>
      <c r="M141" t="n">
        <v>0</v>
      </c>
      <c r="N141" t="n">
        <v>0</v>
      </c>
      <c r="O141" t="n">
        <v>0</v>
      </c>
      <c r="P141" t="n">
        <v>0</v>
      </c>
      <c r="Q141" t="n">
        <v>0</v>
      </c>
      <c r="R141" s="2" t="inlineStr"/>
    </row>
    <row r="142" ht="15" customHeight="1">
      <c r="A142" t="inlineStr">
        <is>
          <t>A 49058-2024</t>
        </is>
      </c>
      <c r="B142" s="1" t="n">
        <v>45594</v>
      </c>
      <c r="C142" s="1" t="n">
        <v>46035</v>
      </c>
      <c r="D142" t="inlineStr">
        <is>
          <t>VÄSTMANLANDS LÄN</t>
        </is>
      </c>
      <c r="E142" t="inlineStr">
        <is>
          <t>SURAHAMMAR</t>
        </is>
      </c>
      <c r="F142" t="inlineStr">
        <is>
          <t>Sveaskog</t>
        </is>
      </c>
      <c r="G142" t="n">
        <v>11.4</v>
      </c>
      <c r="H142" t="n">
        <v>0</v>
      </c>
      <c r="I142" t="n">
        <v>0</v>
      </c>
      <c r="J142" t="n">
        <v>0</v>
      </c>
      <c r="K142" t="n">
        <v>0</v>
      </c>
      <c r="L142" t="n">
        <v>0</v>
      </c>
      <c r="M142" t="n">
        <v>0</v>
      </c>
      <c r="N142" t="n">
        <v>0</v>
      </c>
      <c r="O142" t="n">
        <v>0</v>
      </c>
      <c r="P142" t="n">
        <v>0</v>
      </c>
      <c r="Q142" t="n">
        <v>0</v>
      </c>
      <c r="R142" s="2" t="inlineStr"/>
    </row>
    <row r="143" ht="15" customHeight="1">
      <c r="A143" t="inlineStr">
        <is>
          <t>A 49060-2024</t>
        </is>
      </c>
      <c r="B143" s="1" t="n">
        <v>45594</v>
      </c>
      <c r="C143" s="1" t="n">
        <v>46035</v>
      </c>
      <c r="D143" t="inlineStr">
        <is>
          <t>VÄSTMANLANDS LÄN</t>
        </is>
      </c>
      <c r="E143" t="inlineStr">
        <is>
          <t>SURAHAMMAR</t>
        </is>
      </c>
      <c r="F143" t="inlineStr">
        <is>
          <t>Sveaskog</t>
        </is>
      </c>
      <c r="G143" t="n">
        <v>4.4</v>
      </c>
      <c r="H143" t="n">
        <v>0</v>
      </c>
      <c r="I143" t="n">
        <v>0</v>
      </c>
      <c r="J143" t="n">
        <v>0</v>
      </c>
      <c r="K143" t="n">
        <v>0</v>
      </c>
      <c r="L143" t="n">
        <v>0</v>
      </c>
      <c r="M143" t="n">
        <v>0</v>
      </c>
      <c r="N143" t="n">
        <v>0</v>
      </c>
      <c r="O143" t="n">
        <v>0</v>
      </c>
      <c r="P143" t="n">
        <v>0</v>
      </c>
      <c r="Q143" t="n">
        <v>0</v>
      </c>
      <c r="R143" s="2" t="inlineStr"/>
    </row>
    <row r="144" ht="15" customHeight="1">
      <c r="A144" t="inlineStr">
        <is>
          <t>A 19099-2022</t>
        </is>
      </c>
      <c r="B144" s="1" t="n">
        <v>44691</v>
      </c>
      <c r="C144" s="1" t="n">
        <v>46035</v>
      </c>
      <c r="D144" t="inlineStr">
        <is>
          <t>VÄSTMANLANDS LÄN</t>
        </is>
      </c>
      <c r="E144" t="inlineStr">
        <is>
          <t>SURAHAMMAR</t>
        </is>
      </c>
      <c r="F144" t="inlineStr">
        <is>
          <t>Övriga Aktiebolag</t>
        </is>
      </c>
      <c r="G144" t="n">
        <v>3.4</v>
      </c>
      <c r="H144" t="n">
        <v>0</v>
      </c>
      <c r="I144" t="n">
        <v>0</v>
      </c>
      <c r="J144" t="n">
        <v>0</v>
      </c>
      <c r="K144" t="n">
        <v>0</v>
      </c>
      <c r="L144" t="n">
        <v>0</v>
      </c>
      <c r="M144" t="n">
        <v>0</v>
      </c>
      <c r="N144" t="n">
        <v>0</v>
      </c>
      <c r="O144" t="n">
        <v>0</v>
      </c>
      <c r="P144" t="n">
        <v>0</v>
      </c>
      <c r="Q144" t="n">
        <v>0</v>
      </c>
      <c r="R144" s="2" t="inlineStr"/>
    </row>
    <row r="145" ht="15" customHeight="1">
      <c r="A145" t="inlineStr">
        <is>
          <t>A 25780-2023</t>
        </is>
      </c>
      <c r="B145" s="1" t="n">
        <v>45090.47523148148</v>
      </c>
      <c r="C145" s="1" t="n">
        <v>46035</v>
      </c>
      <c r="D145" t="inlineStr">
        <is>
          <t>VÄSTMANLANDS LÄN</t>
        </is>
      </c>
      <c r="E145" t="inlineStr">
        <is>
          <t>SURAHAMMAR</t>
        </is>
      </c>
      <c r="G145" t="n">
        <v>2.8</v>
      </c>
      <c r="H145" t="n">
        <v>0</v>
      </c>
      <c r="I145" t="n">
        <v>0</v>
      </c>
      <c r="J145" t="n">
        <v>0</v>
      </c>
      <c r="K145" t="n">
        <v>0</v>
      </c>
      <c r="L145" t="n">
        <v>0</v>
      </c>
      <c r="M145" t="n">
        <v>0</v>
      </c>
      <c r="N145" t="n">
        <v>0</v>
      </c>
      <c r="O145" t="n">
        <v>0</v>
      </c>
      <c r="P145" t="n">
        <v>0</v>
      </c>
      <c r="Q145" t="n">
        <v>0</v>
      </c>
      <c r="R145" s="2" t="inlineStr"/>
    </row>
    <row r="146" ht="15" customHeight="1">
      <c r="A146" t="inlineStr">
        <is>
          <t>A 13386-2025</t>
        </is>
      </c>
      <c r="B146" s="1" t="n">
        <v>45735</v>
      </c>
      <c r="C146" s="1" t="n">
        <v>46035</v>
      </c>
      <c r="D146" t="inlineStr">
        <is>
          <t>VÄSTMANLANDS LÄN</t>
        </is>
      </c>
      <c r="E146" t="inlineStr">
        <is>
          <t>SURAHAMMAR</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35682-2022</t>
        </is>
      </c>
      <c r="B147" s="1" t="n">
        <v>44799.60422453703</v>
      </c>
      <c r="C147" s="1" t="n">
        <v>46035</v>
      </c>
      <c r="D147" t="inlineStr">
        <is>
          <t>VÄSTMANLANDS LÄN</t>
        </is>
      </c>
      <c r="E147" t="inlineStr">
        <is>
          <t>SURAHAMMAR</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2867-2024</t>
        </is>
      </c>
      <c r="B148" s="1" t="n">
        <v>45315</v>
      </c>
      <c r="C148" s="1" t="n">
        <v>46035</v>
      </c>
      <c r="D148" t="inlineStr">
        <is>
          <t>VÄSTMANLANDS LÄN</t>
        </is>
      </c>
      <c r="E148" t="inlineStr">
        <is>
          <t>SURAHAMMAR</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2660-2024</t>
        </is>
      </c>
      <c r="B149" s="1" t="n">
        <v>45310</v>
      </c>
      <c r="C149" s="1" t="n">
        <v>46035</v>
      </c>
      <c r="D149" t="inlineStr">
        <is>
          <t>VÄSTMANLANDS LÄN</t>
        </is>
      </c>
      <c r="E149" t="inlineStr">
        <is>
          <t>SURAHAMMAR</t>
        </is>
      </c>
      <c r="G149" t="n">
        <v>2.1</v>
      </c>
      <c r="H149" t="n">
        <v>0</v>
      </c>
      <c r="I149" t="n">
        <v>0</v>
      </c>
      <c r="J149" t="n">
        <v>0</v>
      </c>
      <c r="K149" t="n">
        <v>0</v>
      </c>
      <c r="L149" t="n">
        <v>0</v>
      </c>
      <c r="M149" t="n">
        <v>0</v>
      </c>
      <c r="N149" t="n">
        <v>0</v>
      </c>
      <c r="O149" t="n">
        <v>0</v>
      </c>
      <c r="P149" t="n">
        <v>0</v>
      </c>
      <c r="Q149" t="n">
        <v>0</v>
      </c>
      <c r="R149" s="2" t="inlineStr"/>
    </row>
    <row r="150" ht="15" customHeight="1">
      <c r="A150" t="inlineStr">
        <is>
          <t>A 41555-2022</t>
        </is>
      </c>
      <c r="B150" s="1" t="n">
        <v>44826</v>
      </c>
      <c r="C150" s="1" t="n">
        <v>46035</v>
      </c>
      <c r="D150" t="inlineStr">
        <is>
          <t>VÄSTMANLANDS LÄN</t>
        </is>
      </c>
      <c r="E150" t="inlineStr">
        <is>
          <t>SURAHAMMAR</t>
        </is>
      </c>
      <c r="F150" t="inlineStr">
        <is>
          <t>Bergvik skog väst AB</t>
        </is>
      </c>
      <c r="G150" t="n">
        <v>1.7</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46035</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41576-2022</t>
        </is>
      </c>
      <c r="B152" s="1" t="n">
        <v>44826</v>
      </c>
      <c r="C152" s="1" t="n">
        <v>46035</v>
      </c>
      <c r="D152" t="inlineStr">
        <is>
          <t>VÄSTMANLANDS LÄN</t>
        </is>
      </c>
      <c r="E152" t="inlineStr">
        <is>
          <t>SURAHAMMAR</t>
        </is>
      </c>
      <c r="F152" t="inlineStr">
        <is>
          <t>Bergvik skog väst AB</t>
        </is>
      </c>
      <c r="G152" t="n">
        <v>6.4</v>
      </c>
      <c r="H152" t="n">
        <v>0</v>
      </c>
      <c r="I152" t="n">
        <v>0</v>
      </c>
      <c r="J152" t="n">
        <v>0</v>
      </c>
      <c r="K152" t="n">
        <v>0</v>
      </c>
      <c r="L152" t="n">
        <v>0</v>
      </c>
      <c r="M152" t="n">
        <v>0</v>
      </c>
      <c r="N152" t="n">
        <v>0</v>
      </c>
      <c r="O152" t="n">
        <v>0</v>
      </c>
      <c r="P152" t="n">
        <v>0</v>
      </c>
      <c r="Q152" t="n">
        <v>0</v>
      </c>
      <c r="R152" s="2" t="inlineStr"/>
    </row>
    <row r="153" ht="15" customHeight="1">
      <c r="A153" t="inlineStr">
        <is>
          <t>A 3085-2023</t>
        </is>
      </c>
      <c r="B153" s="1" t="n">
        <v>44946</v>
      </c>
      <c r="C153" s="1" t="n">
        <v>46035</v>
      </c>
      <c r="D153" t="inlineStr">
        <is>
          <t>VÄSTMANLANDS LÄN</t>
        </is>
      </c>
      <c r="E153" t="inlineStr">
        <is>
          <t>SURAHAMMAR</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7848-2022</t>
        </is>
      </c>
      <c r="B154" s="1" t="n">
        <v>44608.58400462963</v>
      </c>
      <c r="C154" s="1" t="n">
        <v>46035</v>
      </c>
      <c r="D154" t="inlineStr">
        <is>
          <t>VÄSTMANLANDS LÄN</t>
        </is>
      </c>
      <c r="E154" t="inlineStr">
        <is>
          <t>SURAHAMMAR</t>
        </is>
      </c>
      <c r="G154" t="n">
        <v>2.1</v>
      </c>
      <c r="H154" t="n">
        <v>0</v>
      </c>
      <c r="I154" t="n">
        <v>0</v>
      </c>
      <c r="J154" t="n">
        <v>0</v>
      </c>
      <c r="K154" t="n">
        <v>0</v>
      </c>
      <c r="L154" t="n">
        <v>0</v>
      </c>
      <c r="M154" t="n">
        <v>0</v>
      </c>
      <c r="N154" t="n">
        <v>0</v>
      </c>
      <c r="O154" t="n">
        <v>0</v>
      </c>
      <c r="P154" t="n">
        <v>0</v>
      </c>
      <c r="Q154" t="n">
        <v>0</v>
      </c>
      <c r="R154" s="2" t="inlineStr"/>
    </row>
    <row r="155" ht="15" customHeight="1">
      <c r="A155" t="inlineStr">
        <is>
          <t>A 16608-2022</t>
        </is>
      </c>
      <c r="B155" s="1" t="n">
        <v>44672</v>
      </c>
      <c r="C155" s="1" t="n">
        <v>46035</v>
      </c>
      <c r="D155" t="inlineStr">
        <is>
          <t>VÄSTMANLANDS LÄN</t>
        </is>
      </c>
      <c r="E155" t="inlineStr">
        <is>
          <t>SURAHAMMAR</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15743-2023</t>
        </is>
      </c>
      <c r="B156" s="1" t="n">
        <v>45021</v>
      </c>
      <c r="C156" s="1" t="n">
        <v>46035</v>
      </c>
      <c r="D156" t="inlineStr">
        <is>
          <t>VÄSTMANLANDS LÄN</t>
        </is>
      </c>
      <c r="E156" t="inlineStr">
        <is>
          <t>SURAHAMMAR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15637-2022</t>
        </is>
      </c>
      <c r="B157" s="1" t="n">
        <v>44662.89638888889</v>
      </c>
      <c r="C157" s="1" t="n">
        <v>46035</v>
      </c>
      <c r="D157" t="inlineStr">
        <is>
          <t>VÄSTMANLANDS LÄN</t>
        </is>
      </c>
      <c r="E157" t="inlineStr">
        <is>
          <t>SURAHAMMAR</t>
        </is>
      </c>
      <c r="G157" t="n">
        <v>2.2</v>
      </c>
      <c r="H157" t="n">
        <v>0</v>
      </c>
      <c r="I157" t="n">
        <v>0</v>
      </c>
      <c r="J157" t="n">
        <v>0</v>
      </c>
      <c r="K157" t="n">
        <v>0</v>
      </c>
      <c r="L157" t="n">
        <v>0</v>
      </c>
      <c r="M157" t="n">
        <v>0</v>
      </c>
      <c r="N157" t="n">
        <v>0</v>
      </c>
      <c r="O157" t="n">
        <v>0</v>
      </c>
      <c r="P157" t="n">
        <v>0</v>
      </c>
      <c r="Q157" t="n">
        <v>0</v>
      </c>
      <c r="R157" s="2" t="inlineStr"/>
    </row>
    <row r="158">
      <c r="A158" t="inlineStr">
        <is>
          <t>A 19786-2023</t>
        </is>
      </c>
      <c r="B158" s="1" t="n">
        <v>45050</v>
      </c>
      <c r="C158" s="1" t="n">
        <v>46035</v>
      </c>
      <c r="D158" t="inlineStr">
        <is>
          <t>VÄSTMANLANDS LÄN</t>
        </is>
      </c>
      <c r="E158" t="inlineStr">
        <is>
          <t>SURAHAMMAR</t>
        </is>
      </c>
      <c r="F158" t="inlineStr">
        <is>
          <t>Bergvik skog väst AB</t>
        </is>
      </c>
      <c r="G158" t="n">
        <v>8.1</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2026-01-13T10:51:58Z</dcterms:created>
  <dcterms:modified xmlns:dcterms="http://purl.org/dc/terms/" xmlns:xsi="http://www.w3.org/2001/XMLSchema-instance" xsi:type="dcterms:W3CDTF">2026-01-13T10:51:58Z</dcterms:modified>
</cp:coreProperties>
</file>