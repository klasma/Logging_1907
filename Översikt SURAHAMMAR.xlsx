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46045</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46045</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46045</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46045</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46045</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46045</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46045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46045</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46045</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46045</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46045</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46045</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46045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46045</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46045</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46045</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56299-2021</t>
        </is>
      </c>
      <c r="B18" s="1" t="n">
        <v>44477</v>
      </c>
      <c r="C18" s="1" t="n">
        <v>46045</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14815-2025</t>
        </is>
      </c>
      <c r="B19" s="1" t="n">
        <v>45743.34931712963</v>
      </c>
      <c r="C19" s="1" t="n">
        <v>46045</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39594-2025</t>
        </is>
      </c>
      <c r="B20" s="1" t="n">
        <v>45890</v>
      </c>
      <c r="C20" s="1" t="n">
        <v>46045</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46045</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46045</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46045</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46045</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46045</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46045</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46045</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42853-2022</t>
        </is>
      </c>
      <c r="B28" s="1" t="n">
        <v>44832</v>
      </c>
      <c r="C28" s="1" t="n">
        <v>46045</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42860-2022</t>
        </is>
      </c>
      <c r="B29" s="1" t="n">
        <v>44832</v>
      </c>
      <c r="C29" s="1" t="n">
        <v>46045</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46045</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46045</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46045</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46045</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46045</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8552-2022</t>
        </is>
      </c>
      <c r="B35" s="1" t="n">
        <v>44613</v>
      </c>
      <c r="C35" s="1" t="n">
        <v>46045</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29707-2025</t>
        </is>
      </c>
      <c r="B36" s="1" t="n">
        <v>45825.56100694444</v>
      </c>
      <c r="C36" s="1" t="n">
        <v>46045</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42708-2022</t>
        </is>
      </c>
      <c r="B37" s="1" t="n">
        <v>44832</v>
      </c>
      <c r="C37" s="1" t="n">
        <v>46045</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37801-2021</t>
        </is>
      </c>
      <c r="B38" s="1" t="n">
        <v>44402</v>
      </c>
      <c r="C38" s="1" t="n">
        <v>46045</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37800-2021</t>
        </is>
      </c>
      <c r="B39" s="1" t="n">
        <v>44402</v>
      </c>
      <c r="C39" s="1" t="n">
        <v>46045</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40403-2025</t>
        </is>
      </c>
      <c r="B40" s="1" t="n">
        <v>45895</v>
      </c>
      <c r="C40" s="1" t="n">
        <v>46045</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46045</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46045</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21618-2025</t>
        </is>
      </c>
      <c r="B43" s="1" t="n">
        <v>45783</v>
      </c>
      <c r="C43" s="1" t="n">
        <v>46045</v>
      </c>
      <c r="D43" t="inlineStr">
        <is>
          <t>VÄSTMANLANDS LÄN</t>
        </is>
      </c>
      <c r="E43" t="inlineStr">
        <is>
          <t>SURAHAMMAR</t>
        </is>
      </c>
      <c r="F43" t="inlineStr">
        <is>
          <t>Bergvik skog väst AB</t>
        </is>
      </c>
      <c r="G43" t="n">
        <v>1.1</v>
      </c>
      <c r="H43" t="n">
        <v>2</v>
      </c>
      <c r="I43" t="n">
        <v>1</v>
      </c>
      <c r="J43" t="n">
        <v>0</v>
      </c>
      <c r="K43" t="n">
        <v>0</v>
      </c>
      <c r="L43" t="n">
        <v>0</v>
      </c>
      <c r="M43" t="n">
        <v>0</v>
      </c>
      <c r="N43" t="n">
        <v>0</v>
      </c>
      <c r="O43" t="n">
        <v>0</v>
      </c>
      <c r="P43" t="n">
        <v>0</v>
      </c>
      <c r="Q43" t="n">
        <v>2</v>
      </c>
      <c r="R43" s="2" t="inlineStr">
        <is>
          <t>Plattlummer
Mattlummer</t>
        </is>
      </c>
      <c r="S43">
        <f>HYPERLINK("https://klasma.github.io/Logging_1907/artfynd/A 21618-2025 artfynd.xlsx", "A 21618-2025")</f>
        <v/>
      </c>
      <c r="T43">
        <f>HYPERLINK("https://klasma.github.io/Logging_1907/kartor/A 21618-2025 karta.png", "A 21618-2025")</f>
        <v/>
      </c>
      <c r="V43">
        <f>HYPERLINK("https://klasma.github.io/Logging_1907/klagomål/A 21618-2025 FSC-klagomål.docx", "A 21618-2025")</f>
        <v/>
      </c>
      <c r="W43">
        <f>HYPERLINK("https://klasma.github.io/Logging_1907/klagomålsmail/A 21618-2025 FSC-klagomål mail.docx", "A 21618-2025")</f>
        <v/>
      </c>
      <c r="X43">
        <f>HYPERLINK("https://klasma.github.io/Logging_1907/tillsyn/A 21618-2025 tillsynsbegäran.docx", "A 21618-2025")</f>
        <v/>
      </c>
      <c r="Y43">
        <f>HYPERLINK("https://klasma.github.io/Logging_1907/tillsynsmail/A 21618-2025 tillsynsbegäran mail.docx", "A 21618-2025")</f>
        <v/>
      </c>
    </row>
    <row r="44" ht="15" customHeight="1">
      <c r="A44" t="inlineStr">
        <is>
          <t>A 63146-2025</t>
        </is>
      </c>
      <c r="B44" s="1" t="n">
        <v>46009</v>
      </c>
      <c r="C44" s="1" t="n">
        <v>46045</v>
      </c>
      <c r="D44" t="inlineStr">
        <is>
          <t>VÄSTMANLANDS LÄN</t>
        </is>
      </c>
      <c r="E44" t="inlineStr">
        <is>
          <t>SURAHAMMAR</t>
        </is>
      </c>
      <c r="F44" t="inlineStr">
        <is>
          <t>Bergvik skog väst AB</t>
        </is>
      </c>
      <c r="G44" t="n">
        <v>10.2</v>
      </c>
      <c r="H44" t="n">
        <v>1</v>
      </c>
      <c r="I44" t="n">
        <v>1</v>
      </c>
      <c r="J44" t="n">
        <v>0</v>
      </c>
      <c r="K44" t="n">
        <v>0</v>
      </c>
      <c r="L44" t="n">
        <v>0</v>
      </c>
      <c r="M44" t="n">
        <v>0</v>
      </c>
      <c r="N44" t="n">
        <v>0</v>
      </c>
      <c r="O44" t="n">
        <v>0</v>
      </c>
      <c r="P44" t="n">
        <v>0</v>
      </c>
      <c r="Q44" t="n">
        <v>2</v>
      </c>
      <c r="R44" s="2" t="inlineStr">
        <is>
          <t>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4082-2025</t>
        </is>
      </c>
      <c r="B45" s="1" t="n">
        <v>45684</v>
      </c>
      <c r="C45" s="1" t="n">
        <v>46045</v>
      </c>
      <c r="D45" t="inlineStr">
        <is>
          <t>VÄSTMANLANDS LÄN</t>
        </is>
      </c>
      <c r="E45" t="inlineStr">
        <is>
          <t>SURAHAMMAR</t>
        </is>
      </c>
      <c r="F45" t="inlineStr">
        <is>
          <t>Bergvik skog väst AB</t>
        </is>
      </c>
      <c r="G45" t="n">
        <v>11.6</v>
      </c>
      <c r="H45" t="n">
        <v>1</v>
      </c>
      <c r="I45" t="n">
        <v>2</v>
      </c>
      <c r="J45" t="n">
        <v>0</v>
      </c>
      <c r="K45" t="n">
        <v>0</v>
      </c>
      <c r="L45" t="n">
        <v>0</v>
      </c>
      <c r="M45" t="n">
        <v>0</v>
      </c>
      <c r="N45" t="n">
        <v>0</v>
      </c>
      <c r="O45" t="n">
        <v>0</v>
      </c>
      <c r="P45" t="n">
        <v>0</v>
      </c>
      <c r="Q45" t="n">
        <v>2</v>
      </c>
      <c r="R45" s="2" t="inlineStr">
        <is>
          <t>Grönpyrola
Plattlummer</t>
        </is>
      </c>
      <c r="S45">
        <f>HYPERLINK("https://klasma.github.io/Logging_1907/artfynd/A 4082-2025 artfynd.xlsx", "A 4082-2025")</f>
        <v/>
      </c>
      <c r="T45">
        <f>HYPERLINK("https://klasma.github.io/Logging_1907/kartor/A 4082-2025 karta.png", "A 4082-2025")</f>
        <v/>
      </c>
      <c r="V45">
        <f>HYPERLINK("https://klasma.github.io/Logging_1907/klagomål/A 4082-2025 FSC-klagomål.docx", "A 4082-2025")</f>
        <v/>
      </c>
      <c r="W45">
        <f>HYPERLINK("https://klasma.github.io/Logging_1907/klagomålsmail/A 4082-2025 FSC-klagomål mail.docx", "A 4082-2025")</f>
        <v/>
      </c>
      <c r="X45">
        <f>HYPERLINK("https://klasma.github.io/Logging_1907/tillsyn/A 4082-2025 tillsynsbegäran.docx", "A 4082-2025")</f>
        <v/>
      </c>
      <c r="Y45">
        <f>HYPERLINK("https://klasma.github.io/Logging_1907/tillsynsmail/A 4082-2025 tillsynsbegäran mail.docx", "A 4082-2025")</f>
        <v/>
      </c>
    </row>
    <row r="46" ht="15" customHeight="1">
      <c r="A46" t="inlineStr">
        <is>
          <t>A 41576-2022</t>
        </is>
      </c>
      <c r="B46" s="1" t="n">
        <v>44826</v>
      </c>
      <c r="C46" s="1" t="n">
        <v>46045</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38170-2021</t>
        </is>
      </c>
      <c r="B47" s="1" t="n">
        <v>44405.43472222222</v>
      </c>
      <c r="C47" s="1" t="n">
        <v>46045</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46045</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46045</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46045</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10819-2024</t>
        </is>
      </c>
      <c r="B51" s="1" t="n">
        <v>45369.66049768519</v>
      </c>
      <c r="C51" s="1" t="n">
        <v>46045</v>
      </c>
      <c r="D51" t="inlineStr">
        <is>
          <t>VÄSTMANLANDS LÄN</t>
        </is>
      </c>
      <c r="E51" t="inlineStr">
        <is>
          <t>SURAHAMMAR</t>
        </is>
      </c>
      <c r="G51" t="n">
        <v>2</v>
      </c>
      <c r="H51" t="n">
        <v>0</v>
      </c>
      <c r="I51" t="n">
        <v>1</v>
      </c>
      <c r="J51" t="n">
        <v>0</v>
      </c>
      <c r="K51" t="n">
        <v>0</v>
      </c>
      <c r="L51" t="n">
        <v>0</v>
      </c>
      <c r="M51" t="n">
        <v>0</v>
      </c>
      <c r="N51" t="n">
        <v>0</v>
      </c>
      <c r="O51" t="n">
        <v>0</v>
      </c>
      <c r="P51" t="n">
        <v>0</v>
      </c>
      <c r="Q51" t="n">
        <v>1</v>
      </c>
      <c r="R51" s="2" t="inlineStr">
        <is>
          <t>Tibast</t>
        </is>
      </c>
      <c r="S51">
        <f>HYPERLINK("https://klasma.github.io/Logging_1907/artfynd/A 10819-2024 artfynd.xlsx", "A 10819-2024")</f>
        <v/>
      </c>
      <c r="T51">
        <f>HYPERLINK("https://klasma.github.io/Logging_1907/kartor/A 10819-2024 karta.png", "A 10819-2024")</f>
        <v/>
      </c>
      <c r="V51">
        <f>HYPERLINK("https://klasma.github.io/Logging_1907/klagomål/A 10819-2024 FSC-klagomål.docx", "A 10819-2024")</f>
        <v/>
      </c>
      <c r="W51">
        <f>HYPERLINK("https://klasma.github.io/Logging_1907/klagomålsmail/A 10819-2024 FSC-klagomål mail.docx", "A 10819-2024")</f>
        <v/>
      </c>
      <c r="X51">
        <f>HYPERLINK("https://klasma.github.io/Logging_1907/tillsyn/A 10819-2024 tillsynsbegäran.docx", "A 10819-2024")</f>
        <v/>
      </c>
      <c r="Y51">
        <f>HYPERLINK("https://klasma.github.io/Logging_1907/tillsynsmail/A 10819-2024 tillsynsbegäran mail.docx", "A 10819-2024")</f>
        <v/>
      </c>
    </row>
    <row r="52" ht="15" customHeight="1">
      <c r="A52" t="inlineStr">
        <is>
          <t>A 56362-2023</t>
        </is>
      </c>
      <c r="B52" s="1" t="n">
        <v>45236</v>
      </c>
      <c r="C52" s="1" t="n">
        <v>46045</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46045</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34582-2025</t>
        </is>
      </c>
      <c r="B54" s="1" t="n">
        <v>45846</v>
      </c>
      <c r="C54" s="1" t="n">
        <v>46045</v>
      </c>
      <c r="D54" t="inlineStr">
        <is>
          <t>VÄSTMANLANDS LÄN</t>
        </is>
      </c>
      <c r="E54" t="inlineStr">
        <is>
          <t>SURAHAMMAR</t>
        </is>
      </c>
      <c r="F54" t="inlineStr">
        <is>
          <t>Bergvik skog väst AB</t>
        </is>
      </c>
      <c r="G54" t="n">
        <v>2.6</v>
      </c>
      <c r="H54" t="n">
        <v>1</v>
      </c>
      <c r="I54" t="n">
        <v>0</v>
      </c>
      <c r="J54" t="n">
        <v>1</v>
      </c>
      <c r="K54" t="n">
        <v>0</v>
      </c>
      <c r="L54" t="n">
        <v>0</v>
      </c>
      <c r="M54" t="n">
        <v>0</v>
      </c>
      <c r="N54" t="n">
        <v>0</v>
      </c>
      <c r="O54" t="n">
        <v>1</v>
      </c>
      <c r="P54" t="n">
        <v>0</v>
      </c>
      <c r="Q54" t="n">
        <v>1</v>
      </c>
      <c r="R54" s="2" t="inlineStr">
        <is>
          <t>Järpe</t>
        </is>
      </c>
      <c r="S54">
        <f>HYPERLINK("https://klasma.github.io/Logging_1907/artfynd/A 34582-2025 artfynd.xlsx", "A 34582-2025")</f>
        <v/>
      </c>
      <c r="T54">
        <f>HYPERLINK("https://klasma.github.io/Logging_1907/kartor/A 34582-2025 karta.png", "A 34582-2025")</f>
        <v/>
      </c>
      <c r="V54">
        <f>HYPERLINK("https://klasma.github.io/Logging_1907/klagomål/A 34582-2025 FSC-klagomål.docx", "A 34582-2025")</f>
        <v/>
      </c>
      <c r="W54">
        <f>HYPERLINK("https://klasma.github.io/Logging_1907/klagomålsmail/A 34582-2025 FSC-klagomål mail.docx", "A 34582-2025")</f>
        <v/>
      </c>
      <c r="X54">
        <f>HYPERLINK("https://klasma.github.io/Logging_1907/tillsyn/A 34582-2025 tillsynsbegäran.docx", "A 34582-2025")</f>
        <v/>
      </c>
      <c r="Y54">
        <f>HYPERLINK("https://klasma.github.io/Logging_1907/tillsynsmail/A 34582-2025 tillsynsbegäran mail.docx", "A 34582-2025")</f>
        <v/>
      </c>
      <c r="Z54">
        <f>HYPERLINK("https://klasma.github.io/Logging_1907/fåglar/A 34582-2025 prioriterade fågelarter.docx", "A 34582-2025")</f>
        <v/>
      </c>
    </row>
    <row r="55" ht="15" customHeight="1">
      <c r="A55" t="inlineStr">
        <is>
          <t>A 42089-2025</t>
        </is>
      </c>
      <c r="B55" s="1" t="n">
        <v>45902</v>
      </c>
      <c r="C55" s="1" t="n">
        <v>46045</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43451-2024</t>
        </is>
      </c>
      <c r="B56" s="1" t="n">
        <v>45568</v>
      </c>
      <c r="C56" s="1" t="n">
        <v>46045</v>
      </c>
      <c r="D56" t="inlineStr">
        <is>
          <t>VÄSTMANLANDS LÄN</t>
        </is>
      </c>
      <c r="E56" t="inlineStr">
        <is>
          <t>SURAHAMMAR</t>
        </is>
      </c>
      <c r="F56" t="inlineStr">
        <is>
          <t>Bergvik skog väst AB</t>
        </is>
      </c>
      <c r="G56" t="n">
        <v>2.9</v>
      </c>
      <c r="H56" t="n">
        <v>0</v>
      </c>
      <c r="I56" t="n">
        <v>0</v>
      </c>
      <c r="J56" t="n">
        <v>1</v>
      </c>
      <c r="K56" t="n">
        <v>0</v>
      </c>
      <c r="L56" t="n">
        <v>0</v>
      </c>
      <c r="M56" t="n">
        <v>0</v>
      </c>
      <c r="N56" t="n">
        <v>0</v>
      </c>
      <c r="O56" t="n">
        <v>1</v>
      </c>
      <c r="P56" t="n">
        <v>0</v>
      </c>
      <c r="Q56" t="n">
        <v>1</v>
      </c>
      <c r="R56" s="2" t="inlineStr">
        <is>
          <t>Ullticka</t>
        </is>
      </c>
      <c r="S56">
        <f>HYPERLINK("https://klasma.github.io/Logging_1907/artfynd/A 43451-2024 artfynd.xlsx", "A 43451-2024")</f>
        <v/>
      </c>
      <c r="T56">
        <f>HYPERLINK("https://klasma.github.io/Logging_1907/kartor/A 43451-2024 karta.png", "A 43451-2024")</f>
        <v/>
      </c>
      <c r="V56">
        <f>HYPERLINK("https://klasma.github.io/Logging_1907/klagomål/A 43451-2024 FSC-klagomål.docx", "A 43451-2024")</f>
        <v/>
      </c>
      <c r="W56">
        <f>HYPERLINK("https://klasma.github.io/Logging_1907/klagomålsmail/A 43451-2024 FSC-klagomål mail.docx", "A 43451-2024")</f>
        <v/>
      </c>
      <c r="X56">
        <f>HYPERLINK("https://klasma.github.io/Logging_1907/tillsyn/A 43451-2024 tillsynsbegäran.docx", "A 43451-2024")</f>
        <v/>
      </c>
      <c r="Y56">
        <f>HYPERLINK("https://klasma.github.io/Logging_1907/tillsynsmail/A 43451-2024 tillsynsbegäran mail.docx", "A 43451-2024")</f>
        <v/>
      </c>
    </row>
    <row r="57" ht="15" customHeight="1">
      <c r="A57" t="inlineStr">
        <is>
          <t>A 69777-2021</t>
        </is>
      </c>
      <c r="B57" s="1" t="n">
        <v>44532</v>
      </c>
      <c r="C57" s="1" t="n">
        <v>46045</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14001-2023</t>
        </is>
      </c>
      <c r="B58" s="1" t="n">
        <v>45007</v>
      </c>
      <c r="C58" s="1" t="n">
        <v>46045</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47453-2024</t>
        </is>
      </c>
      <c r="B59" s="1" t="n">
        <v>45587.55017361111</v>
      </c>
      <c r="C59" s="1" t="n">
        <v>46045</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13788-2025</t>
        </is>
      </c>
      <c r="B60" s="1" t="n">
        <v>45737.45327546296</v>
      </c>
      <c r="C60" s="1" t="n">
        <v>46045</v>
      </c>
      <c r="D60" t="inlineStr">
        <is>
          <t>VÄSTMANLANDS LÄN</t>
        </is>
      </c>
      <c r="E60" t="inlineStr">
        <is>
          <t>SURAHAMMAR</t>
        </is>
      </c>
      <c r="G60" t="n">
        <v>9.699999999999999</v>
      </c>
      <c r="H60" t="n">
        <v>1</v>
      </c>
      <c r="I60" t="n">
        <v>0</v>
      </c>
      <c r="J60" t="n">
        <v>0</v>
      </c>
      <c r="K60" t="n">
        <v>0</v>
      </c>
      <c r="L60" t="n">
        <v>0</v>
      </c>
      <c r="M60" t="n">
        <v>0</v>
      </c>
      <c r="N60" t="n">
        <v>0</v>
      </c>
      <c r="O60" t="n">
        <v>0</v>
      </c>
      <c r="P60" t="n">
        <v>0</v>
      </c>
      <c r="Q60" t="n">
        <v>1</v>
      </c>
      <c r="R60" s="2" t="inlineStr">
        <is>
          <t>Sparvuggla</t>
        </is>
      </c>
      <c r="S60">
        <f>HYPERLINK("https://klasma.github.io/Logging_1907/artfynd/A 13788-2025 artfynd.xlsx", "A 13788-2025")</f>
        <v/>
      </c>
      <c r="T60">
        <f>HYPERLINK("https://klasma.github.io/Logging_1907/kartor/A 13788-2025 karta.png", "A 13788-2025")</f>
        <v/>
      </c>
      <c r="V60">
        <f>HYPERLINK("https://klasma.github.io/Logging_1907/klagomål/A 13788-2025 FSC-klagomål.docx", "A 13788-2025")</f>
        <v/>
      </c>
      <c r="W60">
        <f>HYPERLINK("https://klasma.github.io/Logging_1907/klagomålsmail/A 13788-2025 FSC-klagomål mail.docx", "A 13788-2025")</f>
        <v/>
      </c>
      <c r="X60">
        <f>HYPERLINK("https://klasma.github.io/Logging_1907/tillsyn/A 13788-2025 tillsynsbegäran.docx", "A 13788-2025")</f>
        <v/>
      </c>
      <c r="Y60">
        <f>HYPERLINK("https://klasma.github.io/Logging_1907/tillsynsmail/A 13788-2025 tillsynsbegäran mail.docx", "A 13788-2025")</f>
        <v/>
      </c>
      <c r="Z60">
        <f>HYPERLINK("https://klasma.github.io/Logging_1907/fåglar/A 13788-2025 prioriterade fågelarter.docx", "A 13788-2025")</f>
        <v/>
      </c>
    </row>
    <row r="61" ht="15" customHeight="1">
      <c r="A61" t="inlineStr">
        <is>
          <t>A 40411-2021</t>
        </is>
      </c>
      <c r="B61" s="1" t="n">
        <v>44419</v>
      </c>
      <c r="C61" s="1" t="n">
        <v>46045</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55042-2025</t>
        </is>
      </c>
      <c r="B62" s="1" t="n">
        <v>45967.65858796296</v>
      </c>
      <c r="C62" s="1" t="n">
        <v>46045</v>
      </c>
      <c r="D62" t="inlineStr">
        <is>
          <t>VÄSTMANLANDS LÄN</t>
        </is>
      </c>
      <c r="E62" t="inlineStr">
        <is>
          <t>SURAHAMMAR</t>
        </is>
      </c>
      <c r="F62" t="inlineStr">
        <is>
          <t>Sveaskog</t>
        </is>
      </c>
      <c r="G62" t="n">
        <v>7.2</v>
      </c>
      <c r="H62" t="n">
        <v>0</v>
      </c>
      <c r="I62" t="n">
        <v>0</v>
      </c>
      <c r="J62" t="n">
        <v>1</v>
      </c>
      <c r="K62" t="n">
        <v>0</v>
      </c>
      <c r="L62" t="n">
        <v>0</v>
      </c>
      <c r="M62" t="n">
        <v>0</v>
      </c>
      <c r="N62" t="n">
        <v>0</v>
      </c>
      <c r="O62" t="n">
        <v>1</v>
      </c>
      <c r="P62" t="n">
        <v>0</v>
      </c>
      <c r="Q62" t="n">
        <v>1</v>
      </c>
      <c r="R62" s="2" t="inlineStr">
        <is>
          <t>Motaggsvamp</t>
        </is>
      </c>
      <c r="S62">
        <f>HYPERLINK("https://klasma.github.io/Logging_1907/artfynd/A 55042-2025 artfynd.xlsx", "A 55042-2025")</f>
        <v/>
      </c>
      <c r="T62">
        <f>HYPERLINK("https://klasma.github.io/Logging_1907/kartor/A 55042-2025 karta.png", "A 55042-2025")</f>
        <v/>
      </c>
      <c r="V62">
        <f>HYPERLINK("https://klasma.github.io/Logging_1907/klagomål/A 55042-2025 FSC-klagomål.docx", "A 55042-2025")</f>
        <v/>
      </c>
      <c r="W62">
        <f>HYPERLINK("https://klasma.github.io/Logging_1907/klagomålsmail/A 55042-2025 FSC-klagomål mail.docx", "A 55042-2025")</f>
        <v/>
      </c>
      <c r="X62">
        <f>HYPERLINK("https://klasma.github.io/Logging_1907/tillsyn/A 55042-2025 tillsynsbegäran.docx", "A 55042-2025")</f>
        <v/>
      </c>
      <c r="Y62">
        <f>HYPERLINK("https://klasma.github.io/Logging_1907/tillsynsmail/A 55042-2025 tillsynsbegäran mail.docx", "A 55042-2025")</f>
        <v/>
      </c>
    </row>
    <row r="63" ht="15" customHeight="1">
      <c r="A63" t="inlineStr">
        <is>
          <t>A 33231-2024</t>
        </is>
      </c>
      <c r="B63" s="1" t="n">
        <v>45518</v>
      </c>
      <c r="C63" s="1" t="n">
        <v>46045</v>
      </c>
      <c r="D63" t="inlineStr">
        <is>
          <t>VÄSTMANLANDS LÄN</t>
        </is>
      </c>
      <c r="E63" t="inlineStr">
        <is>
          <t>SURAHAMMAR</t>
        </is>
      </c>
      <c r="F63" t="inlineStr">
        <is>
          <t>Bergvik skog väst AB</t>
        </is>
      </c>
      <c r="G63" t="n">
        <v>1.5</v>
      </c>
      <c r="H63" t="n">
        <v>1</v>
      </c>
      <c r="I63" t="n">
        <v>0</v>
      </c>
      <c r="J63" t="n">
        <v>0</v>
      </c>
      <c r="K63" t="n">
        <v>0</v>
      </c>
      <c r="L63" t="n">
        <v>0</v>
      </c>
      <c r="M63" t="n">
        <v>0</v>
      </c>
      <c r="N63" t="n">
        <v>0</v>
      </c>
      <c r="O63" t="n">
        <v>0</v>
      </c>
      <c r="P63" t="n">
        <v>0</v>
      </c>
      <c r="Q63" t="n">
        <v>1</v>
      </c>
      <c r="R63" s="2" t="inlineStr">
        <is>
          <t>Mindre vattensalamander</t>
        </is>
      </c>
      <c r="S63">
        <f>HYPERLINK("https://klasma.github.io/Logging_1907/artfynd/A 33231-2024 artfynd.xlsx", "A 33231-2024")</f>
        <v/>
      </c>
      <c r="T63">
        <f>HYPERLINK("https://klasma.github.io/Logging_1907/kartor/A 33231-2024 karta.png", "A 33231-2024")</f>
        <v/>
      </c>
      <c r="V63">
        <f>HYPERLINK("https://klasma.github.io/Logging_1907/klagomål/A 33231-2024 FSC-klagomål.docx", "A 33231-2024")</f>
        <v/>
      </c>
      <c r="W63">
        <f>HYPERLINK("https://klasma.github.io/Logging_1907/klagomålsmail/A 33231-2024 FSC-klagomål mail.docx", "A 33231-2024")</f>
        <v/>
      </c>
      <c r="X63">
        <f>HYPERLINK("https://klasma.github.io/Logging_1907/tillsyn/A 33231-2024 tillsynsbegäran.docx", "A 33231-2024")</f>
        <v/>
      </c>
      <c r="Y63">
        <f>HYPERLINK("https://klasma.github.io/Logging_1907/tillsynsmail/A 33231-2024 tillsynsbegäran mail.docx", "A 33231-2024")</f>
        <v/>
      </c>
    </row>
    <row r="64" ht="15" customHeight="1">
      <c r="A64" t="inlineStr">
        <is>
          <t>A 63145-2025</t>
        </is>
      </c>
      <c r="B64" s="1" t="n">
        <v>46009</v>
      </c>
      <c r="C64" s="1" t="n">
        <v>46045</v>
      </c>
      <c r="D64" t="inlineStr">
        <is>
          <t>VÄSTMANLANDS LÄN</t>
        </is>
      </c>
      <c r="E64" t="inlineStr">
        <is>
          <t>SURAHAMMAR</t>
        </is>
      </c>
      <c r="F64" t="inlineStr">
        <is>
          <t>Bergvik skog väst AB</t>
        </is>
      </c>
      <c r="G64" t="n">
        <v>40.5</v>
      </c>
      <c r="H64" t="n">
        <v>0</v>
      </c>
      <c r="I64" t="n">
        <v>1</v>
      </c>
      <c r="J64" t="n">
        <v>0</v>
      </c>
      <c r="K64" t="n">
        <v>0</v>
      </c>
      <c r="L64" t="n">
        <v>0</v>
      </c>
      <c r="M64" t="n">
        <v>0</v>
      </c>
      <c r="N64" t="n">
        <v>0</v>
      </c>
      <c r="O64" t="n">
        <v>0</v>
      </c>
      <c r="P64" t="n">
        <v>0</v>
      </c>
      <c r="Q64" t="n">
        <v>1</v>
      </c>
      <c r="R64" s="2" t="inlineStr">
        <is>
          <t>Svart trolldruva</t>
        </is>
      </c>
      <c r="S64">
        <f>HYPERLINK("https://klasma.github.io/Logging_1907/artfynd/A 63145-2025 artfynd.xlsx", "A 63145-2025")</f>
        <v/>
      </c>
      <c r="T64">
        <f>HYPERLINK("https://klasma.github.io/Logging_1907/kartor/A 63145-2025 karta.png", "A 63145-2025")</f>
        <v/>
      </c>
      <c r="V64">
        <f>HYPERLINK("https://klasma.github.io/Logging_1907/klagomål/A 63145-2025 FSC-klagomål.docx", "A 63145-2025")</f>
        <v/>
      </c>
      <c r="W64">
        <f>HYPERLINK("https://klasma.github.io/Logging_1907/klagomålsmail/A 63145-2025 FSC-klagomål mail.docx", "A 63145-2025")</f>
        <v/>
      </c>
      <c r="X64">
        <f>HYPERLINK("https://klasma.github.io/Logging_1907/tillsyn/A 63145-2025 tillsynsbegäran.docx", "A 63145-2025")</f>
        <v/>
      </c>
      <c r="Y64">
        <f>HYPERLINK("https://klasma.github.io/Logging_1907/tillsynsmail/A 63145-2025 tillsynsbegäran mail.docx", "A 63145-2025")</f>
        <v/>
      </c>
    </row>
    <row r="65" ht="15" customHeight="1">
      <c r="A65" t="inlineStr">
        <is>
          <t>A 30074-2023</t>
        </is>
      </c>
      <c r="B65" s="1" t="n">
        <v>45110</v>
      </c>
      <c r="C65" s="1" t="n">
        <v>46045</v>
      </c>
      <c r="D65" t="inlineStr">
        <is>
          <t>VÄSTMANLANDS LÄN</t>
        </is>
      </c>
      <c r="E65" t="inlineStr">
        <is>
          <t>SURAHAMMAR</t>
        </is>
      </c>
      <c r="F65" t="inlineStr">
        <is>
          <t>Sveaskog</t>
        </is>
      </c>
      <c r="G65" t="n">
        <v>1.1</v>
      </c>
      <c r="H65" t="n">
        <v>1</v>
      </c>
      <c r="I65" t="n">
        <v>0</v>
      </c>
      <c r="J65" t="n">
        <v>0</v>
      </c>
      <c r="K65" t="n">
        <v>0</v>
      </c>
      <c r="L65" t="n">
        <v>0</v>
      </c>
      <c r="M65" t="n">
        <v>0</v>
      </c>
      <c r="N65" t="n">
        <v>0</v>
      </c>
      <c r="O65" t="n">
        <v>0</v>
      </c>
      <c r="P65" t="n">
        <v>0</v>
      </c>
      <c r="Q65" t="n">
        <v>1</v>
      </c>
      <c r="R65" s="2" t="inlineStr">
        <is>
          <t>Revlummer</t>
        </is>
      </c>
      <c r="S65">
        <f>HYPERLINK("https://klasma.github.io/Logging_1907/artfynd/A 30074-2023 artfynd.xlsx", "A 30074-2023")</f>
        <v/>
      </c>
      <c r="T65">
        <f>HYPERLINK("https://klasma.github.io/Logging_1907/kartor/A 30074-2023 karta.png", "A 30074-2023")</f>
        <v/>
      </c>
      <c r="V65">
        <f>HYPERLINK("https://klasma.github.io/Logging_1907/klagomål/A 30074-2023 FSC-klagomål.docx", "A 30074-2023")</f>
        <v/>
      </c>
      <c r="W65">
        <f>HYPERLINK("https://klasma.github.io/Logging_1907/klagomålsmail/A 30074-2023 FSC-klagomål mail.docx", "A 30074-2023")</f>
        <v/>
      </c>
      <c r="X65">
        <f>HYPERLINK("https://klasma.github.io/Logging_1907/tillsyn/A 30074-2023 tillsynsbegäran.docx", "A 30074-2023")</f>
        <v/>
      </c>
      <c r="Y65">
        <f>HYPERLINK("https://klasma.github.io/Logging_1907/tillsynsmail/A 30074-2023 tillsynsbegäran mail.docx", "A 30074-2023")</f>
        <v/>
      </c>
    </row>
    <row r="66" ht="15" customHeight="1">
      <c r="A66" t="inlineStr">
        <is>
          <t>A 56768-2025</t>
        </is>
      </c>
      <c r="B66" s="1" t="n">
        <v>45978</v>
      </c>
      <c r="C66" s="1" t="n">
        <v>46045</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31176-2024</t>
        </is>
      </c>
      <c r="B67" s="1" t="n">
        <v>45503</v>
      </c>
      <c r="C67" s="1" t="n">
        <v>46045</v>
      </c>
      <c r="D67" t="inlineStr">
        <is>
          <t>VÄSTMANLANDS LÄN</t>
        </is>
      </c>
      <c r="E67" t="inlineStr">
        <is>
          <t>SURAHAMMAR</t>
        </is>
      </c>
      <c r="F67" t="inlineStr">
        <is>
          <t>Allmännings- och besparingsskogar</t>
        </is>
      </c>
      <c r="G67" t="n">
        <v>10.7</v>
      </c>
      <c r="H67" t="n">
        <v>0</v>
      </c>
      <c r="I67" t="n">
        <v>0</v>
      </c>
      <c r="J67" t="n">
        <v>1</v>
      </c>
      <c r="K67" t="n">
        <v>0</v>
      </c>
      <c r="L67" t="n">
        <v>0</v>
      </c>
      <c r="M67" t="n">
        <v>0</v>
      </c>
      <c r="N67" t="n">
        <v>0</v>
      </c>
      <c r="O67" t="n">
        <v>1</v>
      </c>
      <c r="P67" t="n">
        <v>0</v>
      </c>
      <c r="Q67" t="n">
        <v>1</v>
      </c>
      <c r="R67" s="2" t="inlineStr">
        <is>
          <t>Doftskinn</t>
        </is>
      </c>
      <c r="S67">
        <f>HYPERLINK("https://klasma.github.io/Logging_1907/artfynd/A 31176-2024 artfynd.xlsx", "A 31176-2024")</f>
        <v/>
      </c>
      <c r="T67">
        <f>HYPERLINK("https://klasma.github.io/Logging_1907/kartor/A 31176-2024 karta.png", "A 31176-2024")</f>
        <v/>
      </c>
      <c r="V67">
        <f>HYPERLINK("https://klasma.github.io/Logging_1907/klagomål/A 31176-2024 FSC-klagomål.docx", "A 31176-2024")</f>
        <v/>
      </c>
      <c r="W67">
        <f>HYPERLINK("https://klasma.github.io/Logging_1907/klagomålsmail/A 31176-2024 FSC-klagomål mail.docx", "A 31176-2024")</f>
        <v/>
      </c>
      <c r="X67">
        <f>HYPERLINK("https://klasma.github.io/Logging_1907/tillsyn/A 31176-2024 tillsynsbegäran.docx", "A 31176-2024")</f>
        <v/>
      </c>
      <c r="Y67">
        <f>HYPERLINK("https://klasma.github.io/Logging_1907/tillsynsmail/A 31176-2024 tillsynsbegäran mail.docx", "A 31176-2024")</f>
        <v/>
      </c>
    </row>
    <row r="68" ht="15" customHeight="1">
      <c r="A68" t="inlineStr">
        <is>
          <t>A 25583-2024</t>
        </is>
      </c>
      <c r="B68" s="1" t="n">
        <v>45463</v>
      </c>
      <c r="C68" s="1" t="n">
        <v>46045</v>
      </c>
      <c r="D68" t="inlineStr">
        <is>
          <t>VÄSTMANLANDS LÄN</t>
        </is>
      </c>
      <c r="E68" t="inlineStr">
        <is>
          <t>SURAHAMMAR</t>
        </is>
      </c>
      <c r="F68" t="inlineStr">
        <is>
          <t>Bergvik skog väst AB</t>
        </is>
      </c>
      <c r="G68" t="n">
        <v>7.8</v>
      </c>
      <c r="H68" t="n">
        <v>1</v>
      </c>
      <c r="I68" t="n">
        <v>0</v>
      </c>
      <c r="J68" t="n">
        <v>0</v>
      </c>
      <c r="K68" t="n">
        <v>0</v>
      </c>
      <c r="L68" t="n">
        <v>0</v>
      </c>
      <c r="M68" t="n">
        <v>0</v>
      </c>
      <c r="N68" t="n">
        <v>0</v>
      </c>
      <c r="O68" t="n">
        <v>0</v>
      </c>
      <c r="P68" t="n">
        <v>0</v>
      </c>
      <c r="Q68" t="n">
        <v>1</v>
      </c>
      <c r="R68" s="2" t="inlineStr">
        <is>
          <t>Blåsippa</t>
        </is>
      </c>
      <c r="S68">
        <f>HYPERLINK("https://klasma.github.io/Logging_1907/artfynd/A 25583-2024 artfynd.xlsx", "A 25583-2024")</f>
        <v/>
      </c>
      <c r="T68">
        <f>HYPERLINK("https://klasma.github.io/Logging_1907/kartor/A 25583-2024 karta.png", "A 25583-2024")</f>
        <v/>
      </c>
      <c r="V68">
        <f>HYPERLINK("https://klasma.github.io/Logging_1907/klagomål/A 25583-2024 FSC-klagomål.docx", "A 25583-2024")</f>
        <v/>
      </c>
      <c r="W68">
        <f>HYPERLINK("https://klasma.github.io/Logging_1907/klagomålsmail/A 25583-2024 FSC-klagomål mail.docx", "A 25583-2024")</f>
        <v/>
      </c>
      <c r="X68">
        <f>HYPERLINK("https://klasma.github.io/Logging_1907/tillsyn/A 25583-2024 tillsynsbegäran.docx", "A 25583-2024")</f>
        <v/>
      </c>
      <c r="Y68">
        <f>HYPERLINK("https://klasma.github.io/Logging_1907/tillsynsmail/A 25583-2024 tillsynsbegäran mail.docx", "A 25583-2024")</f>
        <v/>
      </c>
    </row>
    <row r="69" ht="15" customHeight="1">
      <c r="A69" t="inlineStr">
        <is>
          <t>A 13971-2023</t>
        </is>
      </c>
      <c r="B69" s="1" t="n">
        <v>45007</v>
      </c>
      <c r="C69" s="1" t="n">
        <v>46045</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42765-2022</t>
        </is>
      </c>
      <c r="B70" s="1" t="n">
        <v>44832</v>
      </c>
      <c r="C70" s="1" t="n">
        <v>46045</v>
      </c>
      <c r="D70" t="inlineStr">
        <is>
          <t>VÄSTMANLANDS LÄN</t>
        </is>
      </c>
      <c r="E70" t="inlineStr">
        <is>
          <t>SURAHAMMAR</t>
        </is>
      </c>
      <c r="G70" t="n">
        <v>1.8</v>
      </c>
      <c r="H70" t="n">
        <v>1</v>
      </c>
      <c r="I70" t="n">
        <v>0</v>
      </c>
      <c r="J70" t="n">
        <v>0</v>
      </c>
      <c r="K70" t="n">
        <v>0</v>
      </c>
      <c r="L70" t="n">
        <v>0</v>
      </c>
      <c r="M70" t="n">
        <v>0</v>
      </c>
      <c r="N70" t="n">
        <v>0</v>
      </c>
      <c r="O70" t="n">
        <v>0</v>
      </c>
      <c r="P70" t="n">
        <v>0</v>
      </c>
      <c r="Q70" t="n">
        <v>1</v>
      </c>
      <c r="R70" s="2" t="inlineStr">
        <is>
          <t>Blåsippa</t>
        </is>
      </c>
      <c r="S70">
        <f>HYPERLINK("https://klasma.github.io/Logging_1907/artfynd/A 42765-2022 artfynd.xlsx", "A 42765-2022")</f>
        <v/>
      </c>
      <c r="T70">
        <f>HYPERLINK("https://klasma.github.io/Logging_1907/kartor/A 42765-2022 karta.png", "A 42765-2022")</f>
        <v/>
      </c>
      <c r="V70">
        <f>HYPERLINK("https://klasma.github.io/Logging_1907/klagomål/A 42765-2022 FSC-klagomål.docx", "A 42765-2022")</f>
        <v/>
      </c>
      <c r="W70">
        <f>HYPERLINK("https://klasma.github.io/Logging_1907/klagomålsmail/A 42765-2022 FSC-klagomål mail.docx", "A 42765-2022")</f>
        <v/>
      </c>
      <c r="X70">
        <f>HYPERLINK("https://klasma.github.io/Logging_1907/tillsyn/A 42765-2022 tillsynsbegäran.docx", "A 42765-2022")</f>
        <v/>
      </c>
      <c r="Y70">
        <f>HYPERLINK("https://klasma.github.io/Logging_1907/tillsynsmail/A 42765-2022 tillsynsbegäran mail.docx", "A 42765-2022")</f>
        <v/>
      </c>
    </row>
    <row r="71" ht="15" customHeight="1">
      <c r="A71" t="inlineStr">
        <is>
          <t>A 44356-2024</t>
        </is>
      </c>
      <c r="B71" s="1" t="n">
        <v>45573</v>
      </c>
      <c r="C71" s="1" t="n">
        <v>46045</v>
      </c>
      <c r="D71" t="inlineStr">
        <is>
          <t>VÄSTMANLANDS LÄN</t>
        </is>
      </c>
      <c r="E71" t="inlineStr">
        <is>
          <t>SURAHAMMAR</t>
        </is>
      </c>
      <c r="F71" t="inlineStr">
        <is>
          <t>Sveaskog</t>
        </is>
      </c>
      <c r="G71" t="n">
        <v>0.7</v>
      </c>
      <c r="H71" t="n">
        <v>1</v>
      </c>
      <c r="I71" t="n">
        <v>0</v>
      </c>
      <c r="J71" t="n">
        <v>0</v>
      </c>
      <c r="K71" t="n">
        <v>0</v>
      </c>
      <c r="L71" t="n">
        <v>0</v>
      </c>
      <c r="M71" t="n">
        <v>0</v>
      </c>
      <c r="N71" t="n">
        <v>0</v>
      </c>
      <c r="O71" t="n">
        <v>0</v>
      </c>
      <c r="P71" t="n">
        <v>0</v>
      </c>
      <c r="Q71" t="n">
        <v>1</v>
      </c>
      <c r="R71" s="2" t="inlineStr">
        <is>
          <t>Revlummer</t>
        </is>
      </c>
      <c r="S71">
        <f>HYPERLINK("https://klasma.github.io/Logging_1907/artfynd/A 44356-2024 artfynd.xlsx", "A 44356-2024")</f>
        <v/>
      </c>
      <c r="T71">
        <f>HYPERLINK("https://klasma.github.io/Logging_1907/kartor/A 44356-2024 karta.png", "A 44356-2024")</f>
        <v/>
      </c>
      <c r="V71">
        <f>HYPERLINK("https://klasma.github.io/Logging_1907/klagomål/A 44356-2024 FSC-klagomål.docx", "A 44356-2024")</f>
        <v/>
      </c>
      <c r="W71">
        <f>HYPERLINK("https://klasma.github.io/Logging_1907/klagomålsmail/A 44356-2024 FSC-klagomål mail.docx", "A 44356-2024")</f>
        <v/>
      </c>
      <c r="X71">
        <f>HYPERLINK("https://klasma.github.io/Logging_1907/tillsyn/A 44356-2024 tillsynsbegäran.docx", "A 44356-2024")</f>
        <v/>
      </c>
      <c r="Y71">
        <f>HYPERLINK("https://klasma.github.io/Logging_1907/tillsynsmail/A 44356-2024 tillsynsbegäran mail.docx", "A 44356-2024")</f>
        <v/>
      </c>
    </row>
    <row r="72" ht="15" customHeight="1">
      <c r="A72" t="inlineStr">
        <is>
          <t>A 17632-2022</t>
        </is>
      </c>
      <c r="B72" s="1" t="n">
        <v>44680</v>
      </c>
      <c r="C72" s="1" t="n">
        <v>46045</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22840-2023</t>
        </is>
      </c>
      <c r="B73" s="1" t="n">
        <v>45072</v>
      </c>
      <c r="C73" s="1" t="n">
        <v>46045</v>
      </c>
      <c r="D73" t="inlineStr">
        <is>
          <t>VÄSTMANLANDS LÄN</t>
        </is>
      </c>
      <c r="E73" t="inlineStr">
        <is>
          <t>SURAHAMMAR</t>
        </is>
      </c>
      <c r="G73" t="n">
        <v>4.3</v>
      </c>
      <c r="H73" t="n">
        <v>1</v>
      </c>
      <c r="I73" t="n">
        <v>0</v>
      </c>
      <c r="J73" t="n">
        <v>0</v>
      </c>
      <c r="K73" t="n">
        <v>0</v>
      </c>
      <c r="L73" t="n">
        <v>0</v>
      </c>
      <c r="M73" t="n">
        <v>0</v>
      </c>
      <c r="N73" t="n">
        <v>0</v>
      </c>
      <c r="O73" t="n">
        <v>0</v>
      </c>
      <c r="P73" t="n">
        <v>0</v>
      </c>
      <c r="Q73" t="n">
        <v>1</v>
      </c>
      <c r="R73" s="2" t="inlineStr">
        <is>
          <t>Fläcknycklar</t>
        </is>
      </c>
      <c r="S73">
        <f>HYPERLINK("https://klasma.github.io/Logging_1907/artfynd/A 22840-2023 artfynd.xlsx", "A 22840-2023")</f>
        <v/>
      </c>
      <c r="T73">
        <f>HYPERLINK("https://klasma.github.io/Logging_1907/kartor/A 22840-2023 karta.png", "A 22840-2023")</f>
        <v/>
      </c>
      <c r="V73">
        <f>HYPERLINK("https://klasma.github.io/Logging_1907/klagomål/A 22840-2023 FSC-klagomål.docx", "A 22840-2023")</f>
        <v/>
      </c>
      <c r="W73">
        <f>HYPERLINK("https://klasma.github.io/Logging_1907/klagomålsmail/A 22840-2023 FSC-klagomål mail.docx", "A 22840-2023")</f>
        <v/>
      </c>
      <c r="X73">
        <f>HYPERLINK("https://klasma.github.io/Logging_1907/tillsyn/A 22840-2023 tillsynsbegäran.docx", "A 22840-2023")</f>
        <v/>
      </c>
      <c r="Y73">
        <f>HYPERLINK("https://klasma.github.io/Logging_1907/tillsynsmail/A 22840-2023 tillsynsbegäran mail.docx", "A 22840-2023")</f>
        <v/>
      </c>
    </row>
    <row r="74" ht="15" customHeight="1">
      <c r="A74" t="inlineStr">
        <is>
          <t>A 64073-2021</t>
        </is>
      </c>
      <c r="B74" s="1" t="n">
        <v>44509</v>
      </c>
      <c r="C74" s="1" t="n">
        <v>46045</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46045</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46045</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19845-2022</t>
        </is>
      </c>
      <c r="B77" s="1" t="n">
        <v>44696.88850694444</v>
      </c>
      <c r="C77" s="1" t="n">
        <v>46045</v>
      </c>
      <c r="D77" t="inlineStr">
        <is>
          <t>VÄSTMANLANDS LÄN</t>
        </is>
      </c>
      <c r="E77" t="inlineStr">
        <is>
          <t>SURAHAMMAR</t>
        </is>
      </c>
      <c r="F77" t="inlineStr">
        <is>
          <t>Kommuner</t>
        </is>
      </c>
      <c r="G77" t="n">
        <v>3.3</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46045</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46045</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46045</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46045</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46045</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46045</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46045</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46045</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46045</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46045</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56378-2023</t>
        </is>
      </c>
      <c r="B88" s="1" t="n">
        <v>45236</v>
      </c>
      <c r="C88" s="1" t="n">
        <v>46045</v>
      </c>
      <c r="D88" t="inlineStr">
        <is>
          <t>VÄSTMANLANDS LÄN</t>
        </is>
      </c>
      <c r="E88" t="inlineStr">
        <is>
          <t>SURAHAMMAR</t>
        </is>
      </c>
      <c r="F88" t="inlineStr">
        <is>
          <t>Bergvik skog väst AB</t>
        </is>
      </c>
      <c r="G88" t="n">
        <v>4.6</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46045</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46045</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46045</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11728-2023</t>
        </is>
      </c>
      <c r="B92" s="1" t="n">
        <v>44993</v>
      </c>
      <c r="C92" s="1" t="n">
        <v>46045</v>
      </c>
      <c r="D92" t="inlineStr">
        <is>
          <t>VÄSTMANLANDS LÄN</t>
        </is>
      </c>
      <c r="E92" t="inlineStr">
        <is>
          <t>SURAHAMMAR</t>
        </is>
      </c>
      <c r="F92" t="inlineStr">
        <is>
          <t>Bergvik skog väst AB</t>
        </is>
      </c>
      <c r="G92" t="n">
        <v>0.4</v>
      </c>
      <c r="H92" t="n">
        <v>0</v>
      </c>
      <c r="I92" t="n">
        <v>0</v>
      </c>
      <c r="J92" t="n">
        <v>0</v>
      </c>
      <c r="K92" t="n">
        <v>0</v>
      </c>
      <c r="L92" t="n">
        <v>0</v>
      </c>
      <c r="M92" t="n">
        <v>0</v>
      </c>
      <c r="N92" t="n">
        <v>0</v>
      </c>
      <c r="O92" t="n">
        <v>0</v>
      </c>
      <c r="P92" t="n">
        <v>0</v>
      </c>
      <c r="Q92" t="n">
        <v>0</v>
      </c>
      <c r="R92" s="2" t="inlineStr"/>
    </row>
    <row r="93" ht="15" customHeight="1">
      <c r="A93" t="inlineStr">
        <is>
          <t>A 34957-2022</t>
        </is>
      </c>
      <c r="B93" s="1" t="n">
        <v>44796.64672453704</v>
      </c>
      <c r="C93" s="1" t="n">
        <v>46045</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15743-2023</t>
        </is>
      </c>
      <c r="B94" s="1" t="n">
        <v>45021</v>
      </c>
      <c r="C94" s="1" t="n">
        <v>46045</v>
      </c>
      <c r="D94" t="inlineStr">
        <is>
          <t>VÄSTMANLANDS LÄN</t>
        </is>
      </c>
      <c r="E94" t="inlineStr">
        <is>
          <t>SURAHAMMAR</t>
        </is>
      </c>
      <c r="G94" t="n">
        <v>0.5</v>
      </c>
      <c r="H94" t="n">
        <v>0</v>
      </c>
      <c r="I94" t="n">
        <v>0</v>
      </c>
      <c r="J94" t="n">
        <v>0</v>
      </c>
      <c r="K94" t="n">
        <v>0</v>
      </c>
      <c r="L94" t="n">
        <v>0</v>
      </c>
      <c r="M94" t="n">
        <v>0</v>
      </c>
      <c r="N94" t="n">
        <v>0</v>
      </c>
      <c r="O94" t="n">
        <v>0</v>
      </c>
      <c r="P94" t="n">
        <v>0</v>
      </c>
      <c r="Q94" t="n">
        <v>0</v>
      </c>
      <c r="R94" s="2" t="inlineStr"/>
    </row>
    <row r="95" ht="15" customHeight="1">
      <c r="A95" t="inlineStr">
        <is>
          <t>A 21509-2024</t>
        </is>
      </c>
      <c r="B95" s="1" t="n">
        <v>45441</v>
      </c>
      <c r="C95" s="1" t="n">
        <v>46045</v>
      </c>
      <c r="D95" t="inlineStr">
        <is>
          <t>VÄSTMANLANDS LÄN</t>
        </is>
      </c>
      <c r="E95" t="inlineStr">
        <is>
          <t>SURAHAMMAR</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42832-2022</t>
        </is>
      </c>
      <c r="B96" s="1" t="n">
        <v>44832</v>
      </c>
      <c r="C96" s="1" t="n">
        <v>46045</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42841-2022</t>
        </is>
      </c>
      <c r="B97" s="1" t="n">
        <v>44832</v>
      </c>
      <c r="C97" s="1" t="n">
        <v>46045</v>
      </c>
      <c r="D97" t="inlineStr">
        <is>
          <t>VÄSTMANLANDS LÄN</t>
        </is>
      </c>
      <c r="E97" t="inlineStr">
        <is>
          <t>SURAHAMMAR</t>
        </is>
      </c>
      <c r="G97" t="n">
        <v>1.8</v>
      </c>
      <c r="H97" t="n">
        <v>0</v>
      </c>
      <c r="I97" t="n">
        <v>0</v>
      </c>
      <c r="J97" t="n">
        <v>0</v>
      </c>
      <c r="K97" t="n">
        <v>0</v>
      </c>
      <c r="L97" t="n">
        <v>0</v>
      </c>
      <c r="M97" t="n">
        <v>0</v>
      </c>
      <c r="N97" t="n">
        <v>0</v>
      </c>
      <c r="O97" t="n">
        <v>0</v>
      </c>
      <c r="P97" t="n">
        <v>0</v>
      </c>
      <c r="Q97" t="n">
        <v>0</v>
      </c>
      <c r="R97" s="2" t="inlineStr"/>
    </row>
    <row r="98" ht="15" customHeight="1">
      <c r="A98" t="inlineStr">
        <is>
          <t>A 24158-2023</t>
        </is>
      </c>
      <c r="B98" s="1" t="n">
        <v>45079</v>
      </c>
      <c r="C98" s="1" t="n">
        <v>46045</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11501-2023</t>
        </is>
      </c>
      <c r="B99" s="1" t="n">
        <v>44991</v>
      </c>
      <c r="C99" s="1" t="n">
        <v>46045</v>
      </c>
      <c r="D99" t="inlineStr">
        <is>
          <t>VÄSTMANLANDS LÄN</t>
        </is>
      </c>
      <c r="E99" t="inlineStr">
        <is>
          <t>SURAHAMMAR</t>
        </is>
      </c>
      <c r="F99" t="inlineStr">
        <is>
          <t>Bergvik skog väst AB</t>
        </is>
      </c>
      <c r="G99" t="n">
        <v>1.1</v>
      </c>
      <c r="H99" t="n">
        <v>0</v>
      </c>
      <c r="I99" t="n">
        <v>0</v>
      </c>
      <c r="J99" t="n">
        <v>0</v>
      </c>
      <c r="K99" t="n">
        <v>0</v>
      </c>
      <c r="L99" t="n">
        <v>0</v>
      </c>
      <c r="M99" t="n">
        <v>0</v>
      </c>
      <c r="N99" t="n">
        <v>0</v>
      </c>
      <c r="O99" t="n">
        <v>0</v>
      </c>
      <c r="P99" t="n">
        <v>0</v>
      </c>
      <c r="Q99" t="n">
        <v>0</v>
      </c>
      <c r="R99" s="2" t="inlineStr"/>
    </row>
    <row r="100" ht="15" customHeight="1">
      <c r="A100" t="inlineStr">
        <is>
          <t>A 16013-2023</t>
        </is>
      </c>
      <c r="B100" s="1" t="n">
        <v>45026</v>
      </c>
      <c r="C100" s="1" t="n">
        <v>46045</v>
      </c>
      <c r="D100" t="inlineStr">
        <is>
          <t>VÄSTMANLANDS LÄN</t>
        </is>
      </c>
      <c r="E100" t="inlineStr">
        <is>
          <t>SURAHAMMAR</t>
        </is>
      </c>
      <c r="G100" t="n">
        <v>3.9</v>
      </c>
      <c r="H100" t="n">
        <v>0</v>
      </c>
      <c r="I100" t="n">
        <v>0</v>
      </c>
      <c r="J100" t="n">
        <v>0</v>
      </c>
      <c r="K100" t="n">
        <v>0</v>
      </c>
      <c r="L100" t="n">
        <v>0</v>
      </c>
      <c r="M100" t="n">
        <v>0</v>
      </c>
      <c r="N100" t="n">
        <v>0</v>
      </c>
      <c r="O100" t="n">
        <v>0</v>
      </c>
      <c r="P100" t="n">
        <v>0</v>
      </c>
      <c r="Q100" t="n">
        <v>0</v>
      </c>
      <c r="R100" s="2" t="inlineStr"/>
    </row>
    <row r="101" ht="15" customHeight="1">
      <c r="A101" t="inlineStr">
        <is>
          <t>A 20904-2023</t>
        </is>
      </c>
      <c r="B101" s="1" t="n">
        <v>45060</v>
      </c>
      <c r="C101" s="1" t="n">
        <v>46045</v>
      </c>
      <c r="D101" t="inlineStr">
        <is>
          <t>VÄSTMANLANDS LÄN</t>
        </is>
      </c>
      <c r="E101" t="inlineStr">
        <is>
          <t>SURAHAMMAR</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15637-2022</t>
        </is>
      </c>
      <c r="B102" s="1" t="n">
        <v>44662.89638888889</v>
      </c>
      <c r="C102" s="1" t="n">
        <v>46045</v>
      </c>
      <c r="D102" t="inlineStr">
        <is>
          <t>VÄSTMANLANDS LÄN</t>
        </is>
      </c>
      <c r="E102" t="inlineStr">
        <is>
          <t>SURAHAMMAR</t>
        </is>
      </c>
      <c r="G102" t="n">
        <v>2.2</v>
      </c>
      <c r="H102" t="n">
        <v>0</v>
      </c>
      <c r="I102" t="n">
        <v>0</v>
      </c>
      <c r="J102" t="n">
        <v>0</v>
      </c>
      <c r="K102" t="n">
        <v>0</v>
      </c>
      <c r="L102" t="n">
        <v>0</v>
      </c>
      <c r="M102" t="n">
        <v>0</v>
      </c>
      <c r="N102" t="n">
        <v>0</v>
      </c>
      <c r="O102" t="n">
        <v>0</v>
      </c>
      <c r="P102" t="n">
        <v>0</v>
      </c>
      <c r="Q102" t="n">
        <v>0</v>
      </c>
      <c r="R102" s="2" t="inlineStr"/>
    </row>
    <row r="103" ht="15" customHeight="1">
      <c r="A103" t="inlineStr">
        <is>
          <t>A 19786-2023</t>
        </is>
      </c>
      <c r="B103" s="1" t="n">
        <v>45050</v>
      </c>
      <c r="C103" s="1" t="n">
        <v>46045</v>
      </c>
      <c r="D103" t="inlineStr">
        <is>
          <t>VÄSTMANLANDS LÄN</t>
        </is>
      </c>
      <c r="E103" t="inlineStr">
        <is>
          <t>SURAHAMMAR</t>
        </is>
      </c>
      <c r="F103" t="inlineStr">
        <is>
          <t>Bergvik skog väst AB</t>
        </is>
      </c>
      <c r="G103" t="n">
        <v>8.1</v>
      </c>
      <c r="H103" t="n">
        <v>0</v>
      </c>
      <c r="I103" t="n">
        <v>0</v>
      </c>
      <c r="J103" t="n">
        <v>0</v>
      </c>
      <c r="K103" t="n">
        <v>0</v>
      </c>
      <c r="L103" t="n">
        <v>0</v>
      </c>
      <c r="M103" t="n">
        <v>0</v>
      </c>
      <c r="N103" t="n">
        <v>0</v>
      </c>
      <c r="O103" t="n">
        <v>0</v>
      </c>
      <c r="P103" t="n">
        <v>0</v>
      </c>
      <c r="Q103" t="n">
        <v>0</v>
      </c>
      <c r="R103" s="2" t="inlineStr"/>
    </row>
    <row r="104" ht="15" customHeight="1">
      <c r="A104" t="inlineStr">
        <is>
          <t>A 42829-2022</t>
        </is>
      </c>
      <c r="B104" s="1" t="n">
        <v>44832</v>
      </c>
      <c r="C104" s="1" t="n">
        <v>46045</v>
      </c>
      <c r="D104" t="inlineStr">
        <is>
          <t>VÄSTMANLANDS LÄN</t>
        </is>
      </c>
      <c r="E104" t="inlineStr">
        <is>
          <t>SURAHAMMAR</t>
        </is>
      </c>
      <c r="G104" t="n">
        <v>1.6</v>
      </c>
      <c r="H104" t="n">
        <v>0</v>
      </c>
      <c r="I104" t="n">
        <v>0</v>
      </c>
      <c r="J104" t="n">
        <v>0</v>
      </c>
      <c r="K104" t="n">
        <v>0</v>
      </c>
      <c r="L104" t="n">
        <v>0</v>
      </c>
      <c r="M104" t="n">
        <v>0</v>
      </c>
      <c r="N104" t="n">
        <v>0</v>
      </c>
      <c r="O104" t="n">
        <v>0</v>
      </c>
      <c r="P104" t="n">
        <v>0</v>
      </c>
      <c r="Q104" t="n">
        <v>0</v>
      </c>
      <c r="R104" s="2" t="inlineStr"/>
    </row>
    <row r="105" ht="15" customHeight="1">
      <c r="A105" t="inlineStr">
        <is>
          <t>A 42088-2025</t>
        </is>
      </c>
      <c r="B105" s="1" t="n">
        <v>45902</v>
      </c>
      <c r="C105" s="1" t="n">
        <v>46045</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32808-2024</t>
        </is>
      </c>
      <c r="B106" s="1" t="n">
        <v>45516</v>
      </c>
      <c r="C106" s="1" t="n">
        <v>46045</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34955-2022</t>
        </is>
      </c>
      <c r="B107" s="1" t="n">
        <v>44796</v>
      </c>
      <c r="C107" s="1" t="n">
        <v>46045</v>
      </c>
      <c r="D107" t="inlineStr">
        <is>
          <t>VÄSTMANLANDS LÄN</t>
        </is>
      </c>
      <c r="E107" t="inlineStr">
        <is>
          <t>SURAHAMMAR</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46045</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31107-2025</t>
        </is>
      </c>
      <c r="B109" s="1" t="n">
        <v>45831</v>
      </c>
      <c r="C109" s="1" t="n">
        <v>46045</v>
      </c>
      <c r="D109" t="inlineStr">
        <is>
          <t>VÄSTMANLANDS LÄN</t>
        </is>
      </c>
      <c r="E109" t="inlineStr">
        <is>
          <t>SURAHAMMAR</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43249-2025</t>
        </is>
      </c>
      <c r="B110" s="1" t="n">
        <v>45910.55059027778</v>
      </c>
      <c r="C110" s="1" t="n">
        <v>46045</v>
      </c>
      <c r="D110" t="inlineStr">
        <is>
          <t>VÄSTMANLANDS LÄN</t>
        </is>
      </c>
      <c r="E110" t="inlineStr">
        <is>
          <t>SURAHAMMAR</t>
        </is>
      </c>
      <c r="G110" t="n">
        <v>1.9</v>
      </c>
      <c r="H110" t="n">
        <v>0</v>
      </c>
      <c r="I110" t="n">
        <v>0</v>
      </c>
      <c r="J110" t="n">
        <v>0</v>
      </c>
      <c r="K110" t="n">
        <v>0</v>
      </c>
      <c r="L110" t="n">
        <v>0</v>
      </c>
      <c r="M110" t="n">
        <v>0</v>
      </c>
      <c r="N110" t="n">
        <v>0</v>
      </c>
      <c r="O110" t="n">
        <v>0</v>
      </c>
      <c r="P110" t="n">
        <v>0</v>
      </c>
      <c r="Q110" t="n">
        <v>0</v>
      </c>
      <c r="R110" s="2" t="inlineStr"/>
    </row>
    <row r="111" ht="15" customHeight="1">
      <c r="A111" t="inlineStr">
        <is>
          <t>A 3818-2022</t>
        </is>
      </c>
      <c r="B111" s="1" t="n">
        <v>44587</v>
      </c>
      <c r="C111" s="1" t="n">
        <v>46045</v>
      </c>
      <c r="D111" t="inlineStr">
        <is>
          <t>VÄSTMANLANDS LÄN</t>
        </is>
      </c>
      <c r="E111" t="inlineStr">
        <is>
          <t>SURAHAMMAR</t>
        </is>
      </c>
      <c r="G111" t="n">
        <v>2.6</v>
      </c>
      <c r="H111" t="n">
        <v>0</v>
      </c>
      <c r="I111" t="n">
        <v>0</v>
      </c>
      <c r="J111" t="n">
        <v>0</v>
      </c>
      <c r="K111" t="n">
        <v>0</v>
      </c>
      <c r="L111" t="n">
        <v>0</v>
      </c>
      <c r="M111" t="n">
        <v>0</v>
      </c>
      <c r="N111" t="n">
        <v>0</v>
      </c>
      <c r="O111" t="n">
        <v>0</v>
      </c>
      <c r="P111" t="n">
        <v>0</v>
      </c>
      <c r="Q111" t="n">
        <v>0</v>
      </c>
      <c r="R111" s="2" t="inlineStr"/>
    </row>
    <row r="112" ht="15" customHeight="1">
      <c r="A112" t="inlineStr">
        <is>
          <t>A 7787-2024</t>
        </is>
      </c>
      <c r="B112" s="1" t="n">
        <v>45348</v>
      </c>
      <c r="C112" s="1" t="n">
        <v>46045</v>
      </c>
      <c r="D112" t="inlineStr">
        <is>
          <t>VÄSTMANLANDS LÄN</t>
        </is>
      </c>
      <c r="E112" t="inlineStr">
        <is>
          <t>SURAHAMMAR</t>
        </is>
      </c>
      <c r="G112" t="n">
        <v>1</v>
      </c>
      <c r="H112" t="n">
        <v>0</v>
      </c>
      <c r="I112" t="n">
        <v>0</v>
      </c>
      <c r="J112" t="n">
        <v>0</v>
      </c>
      <c r="K112" t="n">
        <v>0</v>
      </c>
      <c r="L112" t="n">
        <v>0</v>
      </c>
      <c r="M112" t="n">
        <v>0</v>
      </c>
      <c r="N112" t="n">
        <v>0</v>
      </c>
      <c r="O112" t="n">
        <v>0</v>
      </c>
      <c r="P112" t="n">
        <v>0</v>
      </c>
      <c r="Q112" t="n">
        <v>0</v>
      </c>
      <c r="R112" s="2" t="inlineStr"/>
    </row>
    <row r="113" ht="15" customHeight="1">
      <c r="A113" t="inlineStr">
        <is>
          <t>A 37798-2021</t>
        </is>
      </c>
      <c r="B113" s="1" t="n">
        <v>44402</v>
      </c>
      <c r="C113" s="1" t="n">
        <v>46045</v>
      </c>
      <c r="D113" t="inlineStr">
        <is>
          <t>VÄSTMANLANDS LÄN</t>
        </is>
      </c>
      <c r="E113" t="inlineStr">
        <is>
          <t>SURAHAMMAR</t>
        </is>
      </c>
      <c r="F113" t="inlineStr">
        <is>
          <t>Kommuner</t>
        </is>
      </c>
      <c r="G113" t="n">
        <v>1.2</v>
      </c>
      <c r="H113" t="n">
        <v>0</v>
      </c>
      <c r="I113" t="n">
        <v>0</v>
      </c>
      <c r="J113" t="n">
        <v>0</v>
      </c>
      <c r="K113" t="n">
        <v>0</v>
      </c>
      <c r="L113" t="n">
        <v>0</v>
      </c>
      <c r="M113" t="n">
        <v>0</v>
      </c>
      <c r="N113" t="n">
        <v>0</v>
      </c>
      <c r="O113" t="n">
        <v>0</v>
      </c>
      <c r="P113" t="n">
        <v>0</v>
      </c>
      <c r="Q113" t="n">
        <v>0</v>
      </c>
      <c r="R113" s="2" t="inlineStr"/>
    </row>
    <row r="114" ht="15" customHeight="1">
      <c r="A114" t="inlineStr">
        <is>
          <t>A 13119-2022</t>
        </is>
      </c>
      <c r="B114" s="1" t="n">
        <v>44643</v>
      </c>
      <c r="C114" s="1" t="n">
        <v>46045</v>
      </c>
      <c r="D114" t="inlineStr">
        <is>
          <t>VÄSTMANLANDS LÄN</t>
        </is>
      </c>
      <c r="E114" t="inlineStr">
        <is>
          <t>SURAHAMMAR</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19782-2023</t>
        </is>
      </c>
      <c r="B115" s="1" t="n">
        <v>45050</v>
      </c>
      <c r="C115" s="1" t="n">
        <v>46045</v>
      </c>
      <c r="D115" t="inlineStr">
        <is>
          <t>VÄSTMANLANDS LÄN</t>
        </is>
      </c>
      <c r="E115" t="inlineStr">
        <is>
          <t>SURAHAMMAR</t>
        </is>
      </c>
      <c r="F115" t="inlineStr">
        <is>
          <t>Bergvik skog väst AB</t>
        </is>
      </c>
      <c r="G115" t="n">
        <v>5.2</v>
      </c>
      <c r="H115" t="n">
        <v>0</v>
      </c>
      <c r="I115" t="n">
        <v>0</v>
      </c>
      <c r="J115" t="n">
        <v>0</v>
      </c>
      <c r="K115" t="n">
        <v>0</v>
      </c>
      <c r="L115" t="n">
        <v>0</v>
      </c>
      <c r="M115" t="n">
        <v>0</v>
      </c>
      <c r="N115" t="n">
        <v>0</v>
      </c>
      <c r="O115" t="n">
        <v>0</v>
      </c>
      <c r="P115" t="n">
        <v>0</v>
      </c>
      <c r="Q115" t="n">
        <v>0</v>
      </c>
      <c r="R115" s="2" t="inlineStr"/>
    </row>
    <row r="116" ht="15" customHeight="1">
      <c r="A116" t="inlineStr">
        <is>
          <t>A 14626-2023</t>
        </is>
      </c>
      <c r="B116" s="1" t="n">
        <v>45012</v>
      </c>
      <c r="C116" s="1" t="n">
        <v>46045</v>
      </c>
      <c r="D116" t="inlineStr">
        <is>
          <t>VÄSTMANLANDS LÄN</t>
        </is>
      </c>
      <c r="E116" t="inlineStr">
        <is>
          <t>SURAHAMMAR</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48205-2023</t>
        </is>
      </c>
      <c r="B117" s="1" t="n">
        <v>45205</v>
      </c>
      <c r="C117" s="1" t="n">
        <v>46045</v>
      </c>
      <c r="D117" t="inlineStr">
        <is>
          <t>VÄSTMANLANDS LÄN</t>
        </is>
      </c>
      <c r="E117" t="inlineStr">
        <is>
          <t>SURAHAMMAR</t>
        </is>
      </c>
      <c r="F117" t="inlineStr">
        <is>
          <t>Allmännings- och besparingsskogar</t>
        </is>
      </c>
      <c r="G117" t="n">
        <v>7.6</v>
      </c>
      <c r="H117" t="n">
        <v>0</v>
      </c>
      <c r="I117" t="n">
        <v>0</v>
      </c>
      <c r="J117" t="n">
        <v>0</v>
      </c>
      <c r="K117" t="n">
        <v>0</v>
      </c>
      <c r="L117" t="n">
        <v>0</v>
      </c>
      <c r="M117" t="n">
        <v>0</v>
      </c>
      <c r="N117" t="n">
        <v>0</v>
      </c>
      <c r="O117" t="n">
        <v>0</v>
      </c>
      <c r="P117" t="n">
        <v>0</v>
      </c>
      <c r="Q117" t="n">
        <v>0</v>
      </c>
      <c r="R117" s="2" t="inlineStr"/>
    </row>
    <row r="118" ht="15" customHeight="1">
      <c r="A118" t="inlineStr">
        <is>
          <t>A 8553-2023</t>
        </is>
      </c>
      <c r="B118" s="1" t="n">
        <v>44977</v>
      </c>
      <c r="C118" s="1" t="n">
        <v>46045</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15739-2023</t>
        </is>
      </c>
      <c r="B119" s="1" t="n">
        <v>45021</v>
      </c>
      <c r="C119" s="1" t="n">
        <v>46045</v>
      </c>
      <c r="D119" t="inlineStr">
        <is>
          <t>VÄSTMANLANDS LÄN</t>
        </is>
      </c>
      <c r="E119" t="inlineStr">
        <is>
          <t>SURAHAMMAR</t>
        </is>
      </c>
      <c r="G119" t="n">
        <v>1.3</v>
      </c>
      <c r="H119" t="n">
        <v>0</v>
      </c>
      <c r="I119" t="n">
        <v>0</v>
      </c>
      <c r="J119" t="n">
        <v>0</v>
      </c>
      <c r="K119" t="n">
        <v>0</v>
      </c>
      <c r="L119" t="n">
        <v>0</v>
      </c>
      <c r="M119" t="n">
        <v>0</v>
      </c>
      <c r="N119" t="n">
        <v>0</v>
      </c>
      <c r="O119" t="n">
        <v>0</v>
      </c>
      <c r="P119" t="n">
        <v>0</v>
      </c>
      <c r="Q119" t="n">
        <v>0</v>
      </c>
      <c r="R119" s="2" t="inlineStr"/>
    </row>
    <row r="120" ht="15" customHeight="1">
      <c r="A120" t="inlineStr">
        <is>
          <t>A 38154-2021</t>
        </is>
      </c>
      <c r="B120" s="1" t="n">
        <v>44405.42373842592</v>
      </c>
      <c r="C120" s="1" t="n">
        <v>46045</v>
      </c>
      <c r="D120" t="inlineStr">
        <is>
          <t>VÄSTMANLANDS LÄN</t>
        </is>
      </c>
      <c r="E120" t="inlineStr">
        <is>
          <t>SURAHAMMAR</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33931-2022</t>
        </is>
      </c>
      <c r="B121" s="1" t="n">
        <v>44790.65153935185</v>
      </c>
      <c r="C121" s="1" t="n">
        <v>46045</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22662-2023</t>
        </is>
      </c>
      <c r="B122" s="1" t="n">
        <v>45071</v>
      </c>
      <c r="C122" s="1" t="n">
        <v>46045</v>
      </c>
      <c r="D122" t="inlineStr">
        <is>
          <t>VÄSTMANLANDS LÄN</t>
        </is>
      </c>
      <c r="E122" t="inlineStr">
        <is>
          <t>SURAHAMMAR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63138-2025</t>
        </is>
      </c>
      <c r="B123" s="1" t="n">
        <v>46009</v>
      </c>
      <c r="C123" s="1" t="n">
        <v>46045</v>
      </c>
      <c r="D123" t="inlineStr">
        <is>
          <t>VÄSTMANLANDS LÄN</t>
        </is>
      </c>
      <c r="E123" t="inlineStr">
        <is>
          <t>SURAHAMMAR</t>
        </is>
      </c>
      <c r="F123" t="inlineStr">
        <is>
          <t>Bergvik skog väst AB</t>
        </is>
      </c>
      <c r="G123" t="n">
        <v>2.5</v>
      </c>
      <c r="H123" t="n">
        <v>0</v>
      </c>
      <c r="I123" t="n">
        <v>0</v>
      </c>
      <c r="J123" t="n">
        <v>0</v>
      </c>
      <c r="K123" t="n">
        <v>0</v>
      </c>
      <c r="L123" t="n">
        <v>0</v>
      </c>
      <c r="M123" t="n">
        <v>0</v>
      </c>
      <c r="N123" t="n">
        <v>0</v>
      </c>
      <c r="O123" t="n">
        <v>0</v>
      </c>
      <c r="P123" t="n">
        <v>0</v>
      </c>
      <c r="Q123" t="n">
        <v>0</v>
      </c>
      <c r="R123" s="2" t="inlineStr"/>
    </row>
    <row r="124" ht="15" customHeight="1">
      <c r="A124" t="inlineStr">
        <is>
          <t>A 30076-2023</t>
        </is>
      </c>
      <c r="B124" s="1" t="n">
        <v>45110</v>
      </c>
      <c r="C124" s="1" t="n">
        <v>46045</v>
      </c>
      <c r="D124" t="inlineStr">
        <is>
          <t>VÄSTMANLANDS LÄN</t>
        </is>
      </c>
      <c r="E124" t="inlineStr">
        <is>
          <t>SURAHAMMAR</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46045</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46045</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55871-2025</t>
        </is>
      </c>
      <c r="B127" s="1" t="n">
        <v>45973.35452546296</v>
      </c>
      <c r="C127" s="1" t="n">
        <v>46045</v>
      </c>
      <c r="D127" t="inlineStr">
        <is>
          <t>VÄSTMANLANDS LÄN</t>
        </is>
      </c>
      <c r="E127" t="inlineStr">
        <is>
          <t>SURAHAMMAR</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55873-2025</t>
        </is>
      </c>
      <c r="B128" s="1" t="n">
        <v>45973.35608796297</v>
      </c>
      <c r="C128" s="1" t="n">
        <v>46045</v>
      </c>
      <c r="D128" t="inlineStr">
        <is>
          <t>VÄSTMANLANDS LÄN</t>
        </is>
      </c>
      <c r="E128" t="inlineStr">
        <is>
          <t>SURAHAMMAR</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56543-2025</t>
        </is>
      </c>
      <c r="B129" s="1" t="n">
        <v>45975</v>
      </c>
      <c r="C129" s="1" t="n">
        <v>46045</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47785-2021</t>
        </is>
      </c>
      <c r="B130" s="1" t="n">
        <v>44448</v>
      </c>
      <c r="C130" s="1" t="n">
        <v>46045</v>
      </c>
      <c r="D130" t="inlineStr">
        <is>
          <t>VÄSTMANLANDS LÄN</t>
        </is>
      </c>
      <c r="E130" t="inlineStr">
        <is>
          <t>SURAHAMMAR</t>
        </is>
      </c>
      <c r="F130" t="inlineStr">
        <is>
          <t>Kommuner</t>
        </is>
      </c>
      <c r="G130" t="n">
        <v>3.3</v>
      </c>
      <c r="H130" t="n">
        <v>0</v>
      </c>
      <c r="I130" t="n">
        <v>0</v>
      </c>
      <c r="J130" t="n">
        <v>0</v>
      </c>
      <c r="K130" t="n">
        <v>0</v>
      </c>
      <c r="L130" t="n">
        <v>0</v>
      </c>
      <c r="M130" t="n">
        <v>0</v>
      </c>
      <c r="N130" t="n">
        <v>0</v>
      </c>
      <c r="O130" t="n">
        <v>0</v>
      </c>
      <c r="P130" t="n">
        <v>0</v>
      </c>
      <c r="Q130" t="n">
        <v>0</v>
      </c>
      <c r="R130" s="2" t="inlineStr"/>
    </row>
    <row r="131" ht="15" customHeight="1">
      <c r="A131" t="inlineStr">
        <is>
          <t>A 59399-2025</t>
        </is>
      </c>
      <c r="B131" s="1" t="n">
        <v>45989</v>
      </c>
      <c r="C131" s="1" t="n">
        <v>46045</v>
      </c>
      <c r="D131" t="inlineStr">
        <is>
          <t>VÄSTMANLANDS LÄN</t>
        </is>
      </c>
      <c r="E131" t="inlineStr">
        <is>
          <t>SURAHAMMAR</t>
        </is>
      </c>
      <c r="F131" t="inlineStr">
        <is>
          <t>Kommuner</t>
        </is>
      </c>
      <c r="G131" t="n">
        <v>2.1</v>
      </c>
      <c r="H131" t="n">
        <v>0</v>
      </c>
      <c r="I131" t="n">
        <v>0</v>
      </c>
      <c r="J131" t="n">
        <v>0</v>
      </c>
      <c r="K131" t="n">
        <v>0</v>
      </c>
      <c r="L131" t="n">
        <v>0</v>
      </c>
      <c r="M131" t="n">
        <v>0</v>
      </c>
      <c r="N131" t="n">
        <v>0</v>
      </c>
      <c r="O131" t="n">
        <v>0</v>
      </c>
      <c r="P131" t="n">
        <v>0</v>
      </c>
      <c r="Q131" t="n">
        <v>0</v>
      </c>
      <c r="R131" s="2" t="inlineStr"/>
    </row>
    <row r="132" ht="15" customHeight="1">
      <c r="A132" t="inlineStr">
        <is>
          <t>A 34584-2025</t>
        </is>
      </c>
      <c r="B132" s="1" t="n">
        <v>45846</v>
      </c>
      <c r="C132" s="1" t="n">
        <v>46045</v>
      </c>
      <c r="D132" t="inlineStr">
        <is>
          <t>VÄSTMANLANDS LÄN</t>
        </is>
      </c>
      <c r="E132" t="inlineStr">
        <is>
          <t>SURAHAMMAR</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25450-2024</t>
        </is>
      </c>
      <c r="B133" s="1" t="n">
        <v>45463</v>
      </c>
      <c r="C133" s="1" t="n">
        <v>46045</v>
      </c>
      <c r="D133" t="inlineStr">
        <is>
          <t>VÄSTMANLANDS LÄN</t>
        </is>
      </c>
      <c r="E133" t="inlineStr">
        <is>
          <t>SURAHAMMAR</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56541-2025</t>
        </is>
      </c>
      <c r="B134" s="1" t="n">
        <v>45975</v>
      </c>
      <c r="C134" s="1" t="n">
        <v>46045</v>
      </c>
      <c r="D134" t="inlineStr">
        <is>
          <t>VÄSTMANLANDS LÄN</t>
        </is>
      </c>
      <c r="E134" t="inlineStr">
        <is>
          <t>SURAHAMMAR</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32910-2025</t>
        </is>
      </c>
      <c r="B135" s="1" t="n">
        <v>45839</v>
      </c>
      <c r="C135" s="1" t="n">
        <v>46045</v>
      </c>
      <c r="D135" t="inlineStr">
        <is>
          <t>VÄSTMANLANDS LÄN</t>
        </is>
      </c>
      <c r="E135" t="inlineStr">
        <is>
          <t>SURAHAMMAR</t>
        </is>
      </c>
      <c r="F135" t="inlineStr">
        <is>
          <t>Kommuner</t>
        </is>
      </c>
      <c r="G135" t="n">
        <v>1.1</v>
      </c>
      <c r="H135" t="n">
        <v>0</v>
      </c>
      <c r="I135" t="n">
        <v>0</v>
      </c>
      <c r="J135" t="n">
        <v>0</v>
      </c>
      <c r="K135" t="n">
        <v>0</v>
      </c>
      <c r="L135" t="n">
        <v>0</v>
      </c>
      <c r="M135" t="n">
        <v>0</v>
      </c>
      <c r="N135" t="n">
        <v>0</v>
      </c>
      <c r="O135" t="n">
        <v>0</v>
      </c>
      <c r="P135" t="n">
        <v>0</v>
      </c>
      <c r="Q135" t="n">
        <v>0</v>
      </c>
      <c r="R135" s="2" t="inlineStr"/>
    </row>
    <row r="136" ht="15" customHeight="1">
      <c r="A136" t="inlineStr">
        <is>
          <t>A 32916-2025</t>
        </is>
      </c>
      <c r="B136" s="1" t="n">
        <v>45839</v>
      </c>
      <c r="C136" s="1" t="n">
        <v>46045</v>
      </c>
      <c r="D136" t="inlineStr">
        <is>
          <t>VÄSTMANLANDS LÄN</t>
        </is>
      </c>
      <c r="E136" t="inlineStr">
        <is>
          <t>SURAHAMMAR</t>
        </is>
      </c>
      <c r="F136" t="inlineStr">
        <is>
          <t>Kommuner</t>
        </is>
      </c>
      <c r="G136" t="n">
        <v>4.9</v>
      </c>
      <c r="H136" t="n">
        <v>0</v>
      </c>
      <c r="I136" t="n">
        <v>0</v>
      </c>
      <c r="J136" t="n">
        <v>0</v>
      </c>
      <c r="K136" t="n">
        <v>0</v>
      </c>
      <c r="L136" t="n">
        <v>0</v>
      </c>
      <c r="M136" t="n">
        <v>0</v>
      </c>
      <c r="N136" t="n">
        <v>0</v>
      </c>
      <c r="O136" t="n">
        <v>0</v>
      </c>
      <c r="P136" t="n">
        <v>0</v>
      </c>
      <c r="Q136" t="n">
        <v>0</v>
      </c>
      <c r="R136" s="2" t="inlineStr"/>
    </row>
    <row r="137" ht="15" customHeight="1">
      <c r="A137" t="inlineStr">
        <is>
          <t>A 10883-2023</t>
        </is>
      </c>
      <c r="B137" s="1" t="n">
        <v>44991</v>
      </c>
      <c r="C137" s="1" t="n">
        <v>46045</v>
      </c>
      <c r="D137" t="inlineStr">
        <is>
          <t>VÄSTMANLANDS LÄN</t>
        </is>
      </c>
      <c r="E137" t="inlineStr">
        <is>
          <t>SURAHAMMAR</t>
        </is>
      </c>
      <c r="F137" t="inlineStr">
        <is>
          <t>Övriga Aktiebolag</t>
        </is>
      </c>
      <c r="G137" t="n">
        <v>12.5</v>
      </c>
      <c r="H137" t="n">
        <v>0</v>
      </c>
      <c r="I137" t="n">
        <v>0</v>
      </c>
      <c r="J137" t="n">
        <v>0</v>
      </c>
      <c r="K137" t="n">
        <v>0</v>
      </c>
      <c r="L137" t="n">
        <v>0</v>
      </c>
      <c r="M137" t="n">
        <v>0</v>
      </c>
      <c r="N137" t="n">
        <v>0</v>
      </c>
      <c r="O137" t="n">
        <v>0</v>
      </c>
      <c r="P137" t="n">
        <v>0</v>
      </c>
      <c r="Q137" t="n">
        <v>0</v>
      </c>
      <c r="R137" s="2" t="inlineStr"/>
    </row>
    <row r="138" ht="15" customHeight="1">
      <c r="A138" t="inlineStr">
        <is>
          <t>A 24665-2023</t>
        </is>
      </c>
      <c r="B138" s="1" t="n">
        <v>45084.48592592592</v>
      </c>
      <c r="C138" s="1" t="n">
        <v>46045</v>
      </c>
      <c r="D138" t="inlineStr">
        <is>
          <t>VÄSTMANLANDS LÄN</t>
        </is>
      </c>
      <c r="E138" t="inlineStr">
        <is>
          <t>SURAHAMMAR</t>
        </is>
      </c>
      <c r="G138" t="n">
        <v>0.9</v>
      </c>
      <c r="H138" t="n">
        <v>0</v>
      </c>
      <c r="I138" t="n">
        <v>0</v>
      </c>
      <c r="J138" t="n">
        <v>0</v>
      </c>
      <c r="K138" t="n">
        <v>0</v>
      </c>
      <c r="L138" t="n">
        <v>0</v>
      </c>
      <c r="M138" t="n">
        <v>0</v>
      </c>
      <c r="N138" t="n">
        <v>0</v>
      </c>
      <c r="O138" t="n">
        <v>0</v>
      </c>
      <c r="P138" t="n">
        <v>0</v>
      </c>
      <c r="Q138" t="n">
        <v>0</v>
      </c>
      <c r="R138" s="2" t="inlineStr"/>
    </row>
    <row r="139" ht="15" customHeight="1">
      <c r="A139" t="inlineStr">
        <is>
          <t>A 24167-2024</t>
        </is>
      </c>
      <c r="B139" s="1" t="n">
        <v>45456</v>
      </c>
      <c r="C139" s="1" t="n">
        <v>46045</v>
      </c>
      <c r="D139" t="inlineStr">
        <is>
          <t>VÄSTMANLANDS LÄN</t>
        </is>
      </c>
      <c r="E139" t="inlineStr">
        <is>
          <t>SURAHAMMAR</t>
        </is>
      </c>
      <c r="G139" t="n">
        <v>0.6</v>
      </c>
      <c r="H139" t="n">
        <v>0</v>
      </c>
      <c r="I139" t="n">
        <v>0</v>
      </c>
      <c r="J139" t="n">
        <v>0</v>
      </c>
      <c r="K139" t="n">
        <v>0</v>
      </c>
      <c r="L139" t="n">
        <v>0</v>
      </c>
      <c r="M139" t="n">
        <v>0</v>
      </c>
      <c r="N139" t="n">
        <v>0</v>
      </c>
      <c r="O139" t="n">
        <v>0</v>
      </c>
      <c r="P139" t="n">
        <v>0</v>
      </c>
      <c r="Q139" t="n">
        <v>0</v>
      </c>
      <c r="R139" s="2" t="inlineStr"/>
    </row>
    <row r="140" ht="15" customHeight="1">
      <c r="A140" t="inlineStr">
        <is>
          <t>A 37013-2025</t>
        </is>
      </c>
      <c r="B140" s="1" t="n">
        <v>45874</v>
      </c>
      <c r="C140" s="1" t="n">
        <v>46045</v>
      </c>
      <c r="D140" t="inlineStr">
        <is>
          <t>VÄSTMANLANDS LÄN</t>
        </is>
      </c>
      <c r="E140" t="inlineStr">
        <is>
          <t>SURAHAMMAR</t>
        </is>
      </c>
      <c r="F140" t="inlineStr">
        <is>
          <t>Bergvik skog väst AB</t>
        </is>
      </c>
      <c r="G140" t="n">
        <v>10.7</v>
      </c>
      <c r="H140" t="n">
        <v>0</v>
      </c>
      <c r="I140" t="n">
        <v>0</v>
      </c>
      <c r="J140" t="n">
        <v>0</v>
      </c>
      <c r="K140" t="n">
        <v>0</v>
      </c>
      <c r="L140" t="n">
        <v>0</v>
      </c>
      <c r="M140" t="n">
        <v>0</v>
      </c>
      <c r="N140" t="n">
        <v>0</v>
      </c>
      <c r="O140" t="n">
        <v>0</v>
      </c>
      <c r="P140" t="n">
        <v>0</v>
      </c>
      <c r="Q140" t="n">
        <v>0</v>
      </c>
      <c r="R140" s="2" t="inlineStr"/>
    </row>
    <row r="141" ht="15" customHeight="1">
      <c r="A141" t="inlineStr">
        <is>
          <t>A 37954-2025</t>
        </is>
      </c>
      <c r="B141" s="1" t="n">
        <v>45881</v>
      </c>
      <c r="C141" s="1" t="n">
        <v>46045</v>
      </c>
      <c r="D141" t="inlineStr">
        <is>
          <t>VÄSTMANLANDS LÄN</t>
        </is>
      </c>
      <c r="E141" t="inlineStr">
        <is>
          <t>SURAHAMMAR</t>
        </is>
      </c>
      <c r="G141" t="n">
        <v>9.5</v>
      </c>
      <c r="H141" t="n">
        <v>0</v>
      </c>
      <c r="I141" t="n">
        <v>0</v>
      </c>
      <c r="J141" t="n">
        <v>0</v>
      </c>
      <c r="K141" t="n">
        <v>0</v>
      </c>
      <c r="L141" t="n">
        <v>0</v>
      </c>
      <c r="M141" t="n">
        <v>0</v>
      </c>
      <c r="N141" t="n">
        <v>0</v>
      </c>
      <c r="O141" t="n">
        <v>0</v>
      </c>
      <c r="P141" t="n">
        <v>0</v>
      </c>
      <c r="Q141" t="n">
        <v>0</v>
      </c>
      <c r="R141" s="2" t="inlineStr"/>
    </row>
    <row r="142" ht="15" customHeight="1">
      <c r="A142" t="inlineStr">
        <is>
          <t>A 72367-2021</t>
        </is>
      </c>
      <c r="B142" s="1" t="n">
        <v>44545</v>
      </c>
      <c r="C142" s="1" t="n">
        <v>46045</v>
      </c>
      <c r="D142" t="inlineStr">
        <is>
          <t>VÄSTMANLANDS LÄN</t>
        </is>
      </c>
      <c r="E142" t="inlineStr">
        <is>
          <t>SURAHAMMAR</t>
        </is>
      </c>
      <c r="G142" t="n">
        <v>2.5</v>
      </c>
      <c r="H142" t="n">
        <v>0</v>
      </c>
      <c r="I142" t="n">
        <v>0</v>
      </c>
      <c r="J142" t="n">
        <v>0</v>
      </c>
      <c r="K142" t="n">
        <v>0</v>
      </c>
      <c r="L142" t="n">
        <v>0</v>
      </c>
      <c r="M142" t="n">
        <v>0</v>
      </c>
      <c r="N142" t="n">
        <v>0</v>
      </c>
      <c r="O142" t="n">
        <v>0</v>
      </c>
      <c r="P142" t="n">
        <v>0</v>
      </c>
      <c r="Q142" t="n">
        <v>0</v>
      </c>
      <c r="R142" s="2" t="inlineStr"/>
    </row>
    <row r="143" ht="15" customHeight="1">
      <c r="A143" t="inlineStr">
        <is>
          <t>A 42714-2022</t>
        </is>
      </c>
      <c r="B143" s="1" t="n">
        <v>44832</v>
      </c>
      <c r="C143" s="1" t="n">
        <v>46045</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37287-2023</t>
        </is>
      </c>
      <c r="B144" s="1" t="n">
        <v>45156</v>
      </c>
      <c r="C144" s="1" t="n">
        <v>46045</v>
      </c>
      <c r="D144" t="inlineStr">
        <is>
          <t>VÄSTMANLANDS LÄN</t>
        </is>
      </c>
      <c r="E144" t="inlineStr">
        <is>
          <t>SURAHAMMAR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49058-2024</t>
        </is>
      </c>
      <c r="B145" s="1" t="n">
        <v>45594</v>
      </c>
      <c r="C145" s="1" t="n">
        <v>46045</v>
      </c>
      <c r="D145" t="inlineStr">
        <is>
          <t>VÄSTMANLANDS LÄN</t>
        </is>
      </c>
      <c r="E145" t="inlineStr">
        <is>
          <t>SURAHAMMAR</t>
        </is>
      </c>
      <c r="F145" t="inlineStr">
        <is>
          <t>Sveaskog</t>
        </is>
      </c>
      <c r="G145" t="n">
        <v>11.4</v>
      </c>
      <c r="H145" t="n">
        <v>0</v>
      </c>
      <c r="I145" t="n">
        <v>0</v>
      </c>
      <c r="J145" t="n">
        <v>0</v>
      </c>
      <c r="K145" t="n">
        <v>0</v>
      </c>
      <c r="L145" t="n">
        <v>0</v>
      </c>
      <c r="M145" t="n">
        <v>0</v>
      </c>
      <c r="N145" t="n">
        <v>0</v>
      </c>
      <c r="O145" t="n">
        <v>0</v>
      </c>
      <c r="P145" t="n">
        <v>0</v>
      </c>
      <c r="Q145" t="n">
        <v>0</v>
      </c>
      <c r="R145" s="2" t="inlineStr"/>
    </row>
    <row r="146" ht="15" customHeight="1">
      <c r="A146" t="inlineStr">
        <is>
          <t>A 49060-2024</t>
        </is>
      </c>
      <c r="B146" s="1" t="n">
        <v>45594</v>
      </c>
      <c r="C146" s="1" t="n">
        <v>46045</v>
      </c>
      <c r="D146" t="inlineStr">
        <is>
          <t>VÄSTMANLANDS LÄN</t>
        </is>
      </c>
      <c r="E146" t="inlineStr">
        <is>
          <t>SURAHAMMAR</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19099-2022</t>
        </is>
      </c>
      <c r="B147" s="1" t="n">
        <v>44691</v>
      </c>
      <c r="C147" s="1" t="n">
        <v>46045</v>
      </c>
      <c r="D147" t="inlineStr">
        <is>
          <t>VÄSTMANLANDS LÄN</t>
        </is>
      </c>
      <c r="E147" t="inlineStr">
        <is>
          <t>SURAHAMMAR</t>
        </is>
      </c>
      <c r="F147" t="inlineStr">
        <is>
          <t>Övriga Aktiebolag</t>
        </is>
      </c>
      <c r="G147" t="n">
        <v>3.4</v>
      </c>
      <c r="H147" t="n">
        <v>0</v>
      </c>
      <c r="I147" t="n">
        <v>0</v>
      </c>
      <c r="J147" t="n">
        <v>0</v>
      </c>
      <c r="K147" t="n">
        <v>0</v>
      </c>
      <c r="L147" t="n">
        <v>0</v>
      </c>
      <c r="M147" t="n">
        <v>0</v>
      </c>
      <c r="N147" t="n">
        <v>0</v>
      </c>
      <c r="O147" t="n">
        <v>0</v>
      </c>
      <c r="P147" t="n">
        <v>0</v>
      </c>
      <c r="Q147" t="n">
        <v>0</v>
      </c>
      <c r="R147" s="2" t="inlineStr"/>
    </row>
    <row r="148" ht="15" customHeight="1">
      <c r="A148" t="inlineStr">
        <is>
          <t>A 25780-2023</t>
        </is>
      </c>
      <c r="B148" s="1" t="n">
        <v>45090.47523148148</v>
      </c>
      <c r="C148" s="1" t="n">
        <v>46045</v>
      </c>
      <c r="D148" t="inlineStr">
        <is>
          <t>VÄSTMANLANDS LÄN</t>
        </is>
      </c>
      <c r="E148" t="inlineStr">
        <is>
          <t>SURAHAMMAR</t>
        </is>
      </c>
      <c r="G148" t="n">
        <v>2.8</v>
      </c>
      <c r="H148" t="n">
        <v>0</v>
      </c>
      <c r="I148" t="n">
        <v>0</v>
      </c>
      <c r="J148" t="n">
        <v>0</v>
      </c>
      <c r="K148" t="n">
        <v>0</v>
      </c>
      <c r="L148" t="n">
        <v>0</v>
      </c>
      <c r="M148" t="n">
        <v>0</v>
      </c>
      <c r="N148" t="n">
        <v>0</v>
      </c>
      <c r="O148" t="n">
        <v>0</v>
      </c>
      <c r="P148" t="n">
        <v>0</v>
      </c>
      <c r="Q148" t="n">
        <v>0</v>
      </c>
      <c r="R148" s="2" t="inlineStr"/>
    </row>
    <row r="149" ht="15" customHeight="1">
      <c r="A149" t="inlineStr">
        <is>
          <t>A 13386-2025</t>
        </is>
      </c>
      <c r="B149" s="1" t="n">
        <v>45735</v>
      </c>
      <c r="C149" s="1" t="n">
        <v>46045</v>
      </c>
      <c r="D149" t="inlineStr">
        <is>
          <t>VÄSTMANLANDS LÄN</t>
        </is>
      </c>
      <c r="E149" t="inlineStr">
        <is>
          <t>SURAHAMMAR</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35682-2022</t>
        </is>
      </c>
      <c r="B150" s="1" t="n">
        <v>44799.60422453703</v>
      </c>
      <c r="C150" s="1" t="n">
        <v>46045</v>
      </c>
      <c r="D150" t="inlineStr">
        <is>
          <t>VÄSTMANLANDS LÄN</t>
        </is>
      </c>
      <c r="E150" t="inlineStr">
        <is>
          <t>SURAHAMMAR</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2867-2024</t>
        </is>
      </c>
      <c r="B151" s="1" t="n">
        <v>45315</v>
      </c>
      <c r="C151" s="1" t="n">
        <v>46045</v>
      </c>
      <c r="D151" t="inlineStr">
        <is>
          <t>VÄSTMANLANDS LÄN</t>
        </is>
      </c>
      <c r="E151" t="inlineStr">
        <is>
          <t>SURAHAMMAR</t>
        </is>
      </c>
      <c r="F151" t="inlineStr">
        <is>
          <t>Bergvik skog väst AB</t>
        </is>
      </c>
      <c r="G151" t="n">
        <v>1.4</v>
      </c>
      <c r="H151" t="n">
        <v>0</v>
      </c>
      <c r="I151" t="n">
        <v>0</v>
      </c>
      <c r="J151" t="n">
        <v>0</v>
      </c>
      <c r="K151" t="n">
        <v>0</v>
      </c>
      <c r="L151" t="n">
        <v>0</v>
      </c>
      <c r="M151" t="n">
        <v>0</v>
      </c>
      <c r="N151" t="n">
        <v>0</v>
      </c>
      <c r="O151" t="n">
        <v>0</v>
      </c>
      <c r="P151" t="n">
        <v>0</v>
      </c>
      <c r="Q151" t="n">
        <v>0</v>
      </c>
      <c r="R151" s="2" t="inlineStr"/>
    </row>
    <row r="152" ht="15" customHeight="1">
      <c r="A152" t="inlineStr">
        <is>
          <t>A 2660-2024</t>
        </is>
      </c>
      <c r="B152" s="1" t="n">
        <v>45310</v>
      </c>
      <c r="C152" s="1" t="n">
        <v>46045</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41555-2022</t>
        </is>
      </c>
      <c r="B153" s="1" t="n">
        <v>44826</v>
      </c>
      <c r="C153" s="1" t="n">
        <v>46045</v>
      </c>
      <c r="D153" t="inlineStr">
        <is>
          <t>VÄSTMANLANDS LÄN</t>
        </is>
      </c>
      <c r="E153" t="inlineStr">
        <is>
          <t>SURAHAMMAR</t>
        </is>
      </c>
      <c r="F153" t="inlineStr">
        <is>
          <t>Bergvik skog väst AB</t>
        </is>
      </c>
      <c r="G153" t="n">
        <v>1.7</v>
      </c>
      <c r="H153" t="n">
        <v>0</v>
      </c>
      <c r="I153" t="n">
        <v>0</v>
      </c>
      <c r="J153" t="n">
        <v>0</v>
      </c>
      <c r="K153" t="n">
        <v>0</v>
      </c>
      <c r="L153" t="n">
        <v>0</v>
      </c>
      <c r="M153" t="n">
        <v>0</v>
      </c>
      <c r="N153" t="n">
        <v>0</v>
      </c>
      <c r="O153" t="n">
        <v>0</v>
      </c>
      <c r="P153" t="n">
        <v>0</v>
      </c>
      <c r="Q153" t="n">
        <v>0</v>
      </c>
      <c r="R153" s="2" t="inlineStr"/>
    </row>
    <row r="154" ht="15" customHeight="1">
      <c r="A154" t="inlineStr">
        <is>
          <t>A 5567-2022</t>
        </is>
      </c>
      <c r="B154" s="1" t="n">
        <v>44595</v>
      </c>
      <c r="C154" s="1" t="n">
        <v>46045</v>
      </c>
      <c r="D154" t="inlineStr">
        <is>
          <t>VÄSTMANLANDS LÄN</t>
        </is>
      </c>
      <c r="E154" t="inlineStr">
        <is>
          <t>SURAHAMMAR</t>
        </is>
      </c>
      <c r="G154" t="n">
        <v>1.3</v>
      </c>
      <c r="H154" t="n">
        <v>0</v>
      </c>
      <c r="I154" t="n">
        <v>0</v>
      </c>
      <c r="J154" t="n">
        <v>0</v>
      </c>
      <c r="K154" t="n">
        <v>0</v>
      </c>
      <c r="L154" t="n">
        <v>0</v>
      </c>
      <c r="M154" t="n">
        <v>0</v>
      </c>
      <c r="N154" t="n">
        <v>0</v>
      </c>
      <c r="O154" t="n">
        <v>0</v>
      </c>
      <c r="P154" t="n">
        <v>0</v>
      </c>
      <c r="Q154" t="n">
        <v>0</v>
      </c>
      <c r="R154" s="2" t="inlineStr"/>
    </row>
    <row r="155" ht="15" customHeight="1">
      <c r="A155" t="inlineStr">
        <is>
          <t>A 3085-2023</t>
        </is>
      </c>
      <c r="B155" s="1" t="n">
        <v>44946</v>
      </c>
      <c r="C155" s="1" t="n">
        <v>46045</v>
      </c>
      <c r="D155" t="inlineStr">
        <is>
          <t>VÄSTMANLANDS LÄN</t>
        </is>
      </c>
      <c r="E155" t="inlineStr">
        <is>
          <t>SURAHAMMAR</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44608.58400462963</v>
      </c>
      <c r="C156" s="1" t="n">
        <v>46045</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c r="A157" t="inlineStr">
        <is>
          <t>A 16608-2022</t>
        </is>
      </c>
      <c r="B157" s="1" t="n">
        <v>44672</v>
      </c>
      <c r="C157" s="1" t="n">
        <v>46045</v>
      </c>
      <c r="D157" t="inlineStr">
        <is>
          <t>VÄSTMANLANDS LÄN</t>
        </is>
      </c>
      <c r="E157" t="inlineStr">
        <is>
          <t>SURAHAMMAR</t>
        </is>
      </c>
      <c r="F157" t="inlineStr">
        <is>
          <t>Bergvik skog väst AB</t>
        </is>
      </c>
      <c r="G157" t="n">
        <v>2</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2026-01-23T10:54:04Z</dcterms:created>
  <dcterms:modified xmlns:dcterms="http://purl.org/dc/terms/" xmlns:xsi="http://www.w3.org/2001/XMLSchema-instance" xsi:type="dcterms:W3CDTF">2026-01-23T10:54:04Z</dcterms:modified>
</cp:coreProperties>
</file>