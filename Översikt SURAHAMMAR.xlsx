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46076</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46076</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46076</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46076</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46076</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46076</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46076</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46076</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46076</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46076</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46076</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46076</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46076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46076</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46076</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46076</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46076</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46076</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46076</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46076</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29707-2025</t>
        </is>
      </c>
      <c r="B31" s="1" t="n">
        <v>45825.56100694444</v>
      </c>
      <c r="C31" s="1" t="n">
        <v>46076</v>
      </c>
      <c r="D31" t="inlineStr">
        <is>
          <t>VÄSTMANLANDS LÄN</t>
        </is>
      </c>
      <c r="E31" t="inlineStr">
        <is>
          <t>SURAHAMMAR</t>
        </is>
      </c>
      <c r="F31" t="inlineStr">
        <is>
          <t>Bergvik skog väst AB</t>
        </is>
      </c>
      <c r="G31" t="n">
        <v>5.1</v>
      </c>
      <c r="H31" t="n">
        <v>0</v>
      </c>
      <c r="I31" t="n">
        <v>1</v>
      </c>
      <c r="J31" t="n">
        <v>1</v>
      </c>
      <c r="K31" t="n">
        <v>0</v>
      </c>
      <c r="L31" t="n">
        <v>0</v>
      </c>
      <c r="M31" t="n">
        <v>1</v>
      </c>
      <c r="N31" t="n">
        <v>0</v>
      </c>
      <c r="O31" t="n">
        <v>2</v>
      </c>
      <c r="P31" t="n">
        <v>1</v>
      </c>
      <c r="Q31" t="n">
        <v>3</v>
      </c>
      <c r="R31" s="2" t="inlineStr">
        <is>
          <t>Skogsalm
Veckticka
Rävticka</t>
        </is>
      </c>
      <c r="S31">
        <f>HYPERLINK("https://klasma.github.io/Logging_1907/artfynd/A 29707-2025 artfynd.xlsx", "A 29707-2025")</f>
        <v/>
      </c>
      <c r="T31">
        <f>HYPERLINK("https://klasma.github.io/Logging_1907/kartor/A 29707-2025 karta.png", "A 29707-2025")</f>
        <v/>
      </c>
      <c r="V31">
        <f>HYPERLINK("https://klasma.github.io/Logging_1907/klagomål/A 29707-2025 FSC-klagomål.docx", "A 29707-2025")</f>
        <v/>
      </c>
      <c r="W31">
        <f>HYPERLINK("https://klasma.github.io/Logging_1907/klagomålsmail/A 29707-2025 FSC-klagomål mail.docx", "A 29707-2025")</f>
        <v/>
      </c>
      <c r="X31">
        <f>HYPERLINK("https://klasma.github.io/Logging_1907/tillsyn/A 29707-2025 tillsynsbegäran.docx", "A 29707-2025")</f>
        <v/>
      </c>
      <c r="Y31">
        <f>HYPERLINK("https://klasma.github.io/Logging_1907/tillsynsmail/A 29707-2025 tillsynsbegäran mail.docx", "A 29707-2025")</f>
        <v/>
      </c>
    </row>
    <row r="32" ht="15" customHeight="1">
      <c r="A32" t="inlineStr">
        <is>
          <t>A 39694-2025</t>
        </is>
      </c>
      <c r="B32" s="1" t="n">
        <v>45890</v>
      </c>
      <c r="C32" s="1" t="n">
        <v>46076</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46076</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46076</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46076</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46076</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46076</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46076</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46076</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62097-2024</t>
        </is>
      </c>
      <c r="B40" s="1" t="n">
        <v>45646</v>
      </c>
      <c r="C40" s="1" t="n">
        <v>46076</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40403-2025</t>
        </is>
      </c>
      <c r="B41" s="1" t="n">
        <v>45895</v>
      </c>
      <c r="C41" s="1" t="n">
        <v>46076</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37800-2021</t>
        </is>
      </c>
      <c r="B42" s="1" t="n">
        <v>44402</v>
      </c>
      <c r="C42" s="1" t="n">
        <v>46076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63146-2025</t>
        </is>
      </c>
      <c r="B43" s="1" t="n">
        <v>46009</v>
      </c>
      <c r="C43" s="1" t="n">
        <v>46076</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46076</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46076</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46076</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46076</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46076</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46076</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46076</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46076</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46076</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46076</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46076</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46076</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34582-2025</t>
        </is>
      </c>
      <c r="B56" s="1" t="n">
        <v>45846</v>
      </c>
      <c r="C56" s="1" t="n">
        <v>46076</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42089-2025</t>
        </is>
      </c>
      <c r="B57" s="1" t="n">
        <v>45902</v>
      </c>
      <c r="C57" s="1" t="n">
        <v>46076</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39099-2022</t>
        </is>
      </c>
      <c r="B58" s="1" t="n">
        <v>44817</v>
      </c>
      <c r="C58" s="1" t="n">
        <v>46076</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46076</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46076</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46076</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46076</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55042-2025</t>
        </is>
      </c>
      <c r="B63" s="1" t="n">
        <v>45967.65858796296</v>
      </c>
      <c r="C63" s="1" t="n">
        <v>46076</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56768-2025</t>
        </is>
      </c>
      <c r="B64" s="1" t="n">
        <v>45978</v>
      </c>
      <c r="C64" s="1" t="n">
        <v>46076</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44356-2024</t>
        </is>
      </c>
      <c r="B65" s="1" t="n">
        <v>45573</v>
      </c>
      <c r="C65" s="1" t="n">
        <v>46076</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46076</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46076</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63145-2025</t>
        </is>
      </c>
      <c r="B68" s="1" t="n">
        <v>46009</v>
      </c>
      <c r="C68" s="1" t="n">
        <v>46076</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14001-2023</t>
        </is>
      </c>
      <c r="B69" s="1" t="n">
        <v>45007</v>
      </c>
      <c r="C69" s="1" t="n">
        <v>46076</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13971-2023</t>
        </is>
      </c>
      <c r="B70" s="1" t="n">
        <v>45007</v>
      </c>
      <c r="C70" s="1" t="n">
        <v>46076</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31176-2024</t>
        </is>
      </c>
      <c r="B71" s="1" t="n">
        <v>45503</v>
      </c>
      <c r="C71" s="1" t="n">
        <v>46076</v>
      </c>
      <c r="D71" t="inlineStr">
        <is>
          <t>VÄSTMANLANDS LÄN</t>
        </is>
      </c>
      <c r="E71" t="inlineStr">
        <is>
          <t>SURAHAMMAR</t>
        </is>
      </c>
      <c r="F71" t="inlineStr">
        <is>
          <t>Allmännings- och besparingsskogar</t>
        </is>
      </c>
      <c r="G71" t="n">
        <v>10.7</v>
      </c>
      <c r="H71" t="n">
        <v>0</v>
      </c>
      <c r="I71" t="n">
        <v>0</v>
      </c>
      <c r="J71" t="n">
        <v>1</v>
      </c>
      <c r="K71" t="n">
        <v>0</v>
      </c>
      <c r="L71" t="n">
        <v>0</v>
      </c>
      <c r="M71" t="n">
        <v>0</v>
      </c>
      <c r="N71" t="n">
        <v>0</v>
      </c>
      <c r="O71" t="n">
        <v>1</v>
      </c>
      <c r="P71" t="n">
        <v>0</v>
      </c>
      <c r="Q71" t="n">
        <v>1</v>
      </c>
      <c r="R71" s="2" t="inlineStr">
        <is>
          <t>Doftskinn</t>
        </is>
      </c>
      <c r="S71">
        <f>HYPERLINK("https://klasma.github.io/Logging_1907/artfynd/A 31176-2024 artfynd.xlsx", "A 31176-2024")</f>
        <v/>
      </c>
      <c r="T71">
        <f>HYPERLINK("https://klasma.github.io/Logging_1907/kartor/A 31176-2024 karta.png", "A 31176-2024")</f>
        <v/>
      </c>
      <c r="V71">
        <f>HYPERLINK("https://klasma.github.io/Logging_1907/klagomål/A 31176-2024 FSC-klagomål.docx", "A 31176-2024")</f>
        <v/>
      </c>
      <c r="W71">
        <f>HYPERLINK("https://klasma.github.io/Logging_1907/klagomålsmail/A 31176-2024 FSC-klagomål mail.docx", "A 31176-2024")</f>
        <v/>
      </c>
      <c r="X71">
        <f>HYPERLINK("https://klasma.github.io/Logging_1907/tillsyn/A 31176-2024 tillsynsbegäran.docx", "A 31176-2024")</f>
        <v/>
      </c>
      <c r="Y71">
        <f>HYPERLINK("https://klasma.github.io/Logging_1907/tillsynsmail/A 31176-2024 tillsynsbegäran mail.docx", "A 31176-2024")</f>
        <v/>
      </c>
    </row>
    <row r="72" ht="15" customHeight="1">
      <c r="A72" t="inlineStr">
        <is>
          <t>A 43451-2024</t>
        </is>
      </c>
      <c r="B72" s="1" t="n">
        <v>45568</v>
      </c>
      <c r="C72" s="1" t="n">
        <v>46076</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46076</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46076</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46076</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46076</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46076</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46076</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46076</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46076</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46076</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46076</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46076</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46076</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46076</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46076</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46076</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46076</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46076</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46076</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46076</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46076</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46076</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46076</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46076</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46076</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46076</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46076</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46076</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46076</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46076</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46076</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46076</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46076</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24158-2023</t>
        </is>
      </c>
      <c r="B106" s="1" t="n">
        <v>45079</v>
      </c>
      <c r="C106" s="1" t="n">
        <v>46076</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46076</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46076</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46076</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42714-2022</t>
        </is>
      </c>
      <c r="B110" s="1" t="n">
        <v>44832</v>
      </c>
      <c r="C110" s="1" t="n">
        <v>46076</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46076</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32910-2025</t>
        </is>
      </c>
      <c r="B112" s="1" t="n">
        <v>45839</v>
      </c>
      <c r="C112" s="1" t="n">
        <v>46076</v>
      </c>
      <c r="D112" t="inlineStr">
        <is>
          <t>VÄSTMANLANDS LÄN</t>
        </is>
      </c>
      <c r="E112" t="inlineStr">
        <is>
          <t>SURAHAMMAR</t>
        </is>
      </c>
      <c r="F112" t="inlineStr">
        <is>
          <t>Kommuner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46076</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46076</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46076</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42832-2022</t>
        </is>
      </c>
      <c r="B116" s="1" t="n">
        <v>44832</v>
      </c>
      <c r="C116" s="1" t="n">
        <v>46076</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46076</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24665-2023</t>
        </is>
      </c>
      <c r="B118" s="1" t="n">
        <v>45084.48592592592</v>
      </c>
      <c r="C118" s="1" t="n">
        <v>46076</v>
      </c>
      <c r="D118" t="inlineStr">
        <is>
          <t>VÄSTMANLANDS LÄN</t>
        </is>
      </c>
      <c r="E118" t="inlineStr">
        <is>
          <t>SURAHAMMAR</t>
        </is>
      </c>
      <c r="G118" t="n">
        <v>0.9</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46076</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46076</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46076</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46076</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46076</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46076</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49058-2024</t>
        </is>
      </c>
      <c r="B125" s="1" t="n">
        <v>45594</v>
      </c>
      <c r="C125" s="1" t="n">
        <v>46076</v>
      </c>
      <c r="D125" t="inlineStr">
        <is>
          <t>VÄSTMANLANDS LÄN</t>
        </is>
      </c>
      <c r="E125" t="inlineStr">
        <is>
          <t>SURAHAMMAR</t>
        </is>
      </c>
      <c r="F125" t="inlineStr">
        <is>
          <t>Sveaskog</t>
        </is>
      </c>
      <c r="G125" t="n">
        <v>11.4</v>
      </c>
      <c r="H125" t="n">
        <v>0</v>
      </c>
      <c r="I125" t="n">
        <v>0</v>
      </c>
      <c r="J125" t="n">
        <v>0</v>
      </c>
      <c r="K125" t="n">
        <v>0</v>
      </c>
      <c r="L125" t="n">
        <v>0</v>
      </c>
      <c r="M125" t="n">
        <v>0</v>
      </c>
      <c r="N125" t="n">
        <v>0</v>
      </c>
      <c r="O125" t="n">
        <v>0</v>
      </c>
      <c r="P125" t="n">
        <v>0</v>
      </c>
      <c r="Q125" t="n">
        <v>0</v>
      </c>
      <c r="R125" s="2" t="inlineStr"/>
    </row>
    <row r="126" ht="15" customHeight="1">
      <c r="A126" t="inlineStr">
        <is>
          <t>A 49060-2024</t>
        </is>
      </c>
      <c r="B126" s="1" t="n">
        <v>45594</v>
      </c>
      <c r="C126" s="1" t="n">
        <v>46076</v>
      </c>
      <c r="D126" t="inlineStr">
        <is>
          <t>VÄSTMANLANDS LÄN</t>
        </is>
      </c>
      <c r="E126" t="inlineStr">
        <is>
          <t>SURAHAMMAR</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46076</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46076</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46076</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34955-2022</t>
        </is>
      </c>
      <c r="B130" s="1" t="n">
        <v>44796</v>
      </c>
      <c r="C130" s="1" t="n">
        <v>46076</v>
      </c>
      <c r="D130" t="inlineStr">
        <is>
          <t>VÄSTMANLANDS LÄN</t>
        </is>
      </c>
      <c r="E130" t="inlineStr">
        <is>
          <t>SURAHAMMAR</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46076</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46076</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46076</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46076</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46076</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46076</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46076</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14626-2023</t>
        </is>
      </c>
      <c r="B138" s="1" t="n">
        <v>45012</v>
      </c>
      <c r="C138" s="1" t="n">
        <v>46076</v>
      </c>
      <c r="D138" t="inlineStr">
        <is>
          <t>VÄSTMANLANDS LÄN</t>
        </is>
      </c>
      <c r="E138" t="inlineStr">
        <is>
          <t>SURAHAMMAR</t>
        </is>
      </c>
      <c r="F138" t="inlineStr">
        <is>
          <t>Bergvik skog väst AB</t>
        </is>
      </c>
      <c r="G138" t="n">
        <v>5</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46076</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5697-2026</t>
        </is>
      </c>
      <c r="B140" s="1" t="n">
        <v>46051.50020833333</v>
      </c>
      <c r="C140" s="1" t="n">
        <v>46076</v>
      </c>
      <c r="D140" t="inlineStr">
        <is>
          <t>VÄSTMANLANDS LÄN</t>
        </is>
      </c>
      <c r="E140" t="inlineStr">
        <is>
          <t>SURAHAMMAR</t>
        </is>
      </c>
      <c r="F140" t="inlineStr">
        <is>
          <t>Sveaskog</t>
        </is>
      </c>
      <c r="G140" t="n">
        <v>3</v>
      </c>
      <c r="H140" t="n">
        <v>0</v>
      </c>
      <c r="I140" t="n">
        <v>0</v>
      </c>
      <c r="J140" t="n">
        <v>0</v>
      </c>
      <c r="K140" t="n">
        <v>0</v>
      </c>
      <c r="L140" t="n">
        <v>0</v>
      </c>
      <c r="M140" t="n">
        <v>0</v>
      </c>
      <c r="N140" t="n">
        <v>0</v>
      </c>
      <c r="O140" t="n">
        <v>0</v>
      </c>
      <c r="P140" t="n">
        <v>0</v>
      </c>
      <c r="Q140" t="n">
        <v>0</v>
      </c>
      <c r="R140" s="2" t="inlineStr"/>
    </row>
    <row r="141" ht="15" customHeight="1">
      <c r="A141" t="inlineStr">
        <is>
          <t>A 5698-2026</t>
        </is>
      </c>
      <c r="B141" s="1" t="n">
        <v>46051.50196759259</v>
      </c>
      <c r="C141" s="1" t="n">
        <v>46076</v>
      </c>
      <c r="D141" t="inlineStr">
        <is>
          <t>VÄSTMANLANDS LÄN</t>
        </is>
      </c>
      <c r="E141" t="inlineStr">
        <is>
          <t>SURAHAMMAR</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5696-2026</t>
        </is>
      </c>
      <c r="B142" s="1" t="n">
        <v>46051.4975</v>
      </c>
      <c r="C142" s="1" t="n">
        <v>46076</v>
      </c>
      <c r="D142" t="inlineStr">
        <is>
          <t>VÄSTMANLANDS LÄN</t>
        </is>
      </c>
      <c r="E142" t="inlineStr">
        <is>
          <t>SURAHAMMAR</t>
        </is>
      </c>
      <c r="F142" t="inlineStr">
        <is>
          <t>Sveaskog</t>
        </is>
      </c>
      <c r="G142" t="n">
        <v>10.4</v>
      </c>
      <c r="H142" t="n">
        <v>0</v>
      </c>
      <c r="I142" t="n">
        <v>0</v>
      </c>
      <c r="J142" t="n">
        <v>0</v>
      </c>
      <c r="K142" t="n">
        <v>0</v>
      </c>
      <c r="L142" t="n">
        <v>0</v>
      </c>
      <c r="M142" t="n">
        <v>0</v>
      </c>
      <c r="N142" t="n">
        <v>0</v>
      </c>
      <c r="O142" t="n">
        <v>0</v>
      </c>
      <c r="P142" t="n">
        <v>0</v>
      </c>
      <c r="Q142" t="n">
        <v>0</v>
      </c>
      <c r="R142" s="2" t="inlineStr"/>
    </row>
    <row r="143" ht="15" customHeight="1">
      <c r="A143" t="inlineStr">
        <is>
          <t>A 63138-2025</t>
        </is>
      </c>
      <c r="B143" s="1" t="n">
        <v>46009</v>
      </c>
      <c r="C143" s="1" t="n">
        <v>46076</v>
      </c>
      <c r="D143" t="inlineStr">
        <is>
          <t>VÄSTMANLANDS LÄN</t>
        </is>
      </c>
      <c r="E143" t="inlineStr">
        <is>
          <t>SURAHAMMAR</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46076</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46076</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46076</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46076</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46076</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56378-2023</t>
        </is>
      </c>
      <c r="B149" s="1" t="n">
        <v>45236</v>
      </c>
      <c r="C149" s="1" t="n">
        <v>46076</v>
      </c>
      <c r="D149" t="inlineStr">
        <is>
          <t>VÄSTMANLANDS LÄN</t>
        </is>
      </c>
      <c r="E149" t="inlineStr">
        <is>
          <t>SURAHAMMAR</t>
        </is>
      </c>
      <c r="F149" t="inlineStr">
        <is>
          <t>Bergvik skog väst AB</t>
        </is>
      </c>
      <c r="G149" t="n">
        <v>4.6</v>
      </c>
      <c r="H149" t="n">
        <v>0</v>
      </c>
      <c r="I149" t="n">
        <v>0</v>
      </c>
      <c r="J149" t="n">
        <v>0</v>
      </c>
      <c r="K149" t="n">
        <v>0</v>
      </c>
      <c r="L149" t="n">
        <v>0</v>
      </c>
      <c r="M149" t="n">
        <v>0</v>
      </c>
      <c r="N149" t="n">
        <v>0</v>
      </c>
      <c r="O149" t="n">
        <v>0</v>
      </c>
      <c r="P149" t="n">
        <v>0</v>
      </c>
      <c r="Q149" t="n">
        <v>0</v>
      </c>
      <c r="R149" s="2" t="inlineStr"/>
    </row>
    <row r="150" ht="15" customHeight="1">
      <c r="A150" t="inlineStr">
        <is>
          <t>A 4724-2026</t>
        </is>
      </c>
      <c r="B150" s="1" t="n">
        <v>46048</v>
      </c>
      <c r="C150" s="1" t="n">
        <v>46076</v>
      </c>
      <c r="D150" t="inlineStr">
        <is>
          <t>VÄSTMANLANDS LÄN</t>
        </is>
      </c>
      <c r="E150" t="inlineStr">
        <is>
          <t>SURAHAMMAR</t>
        </is>
      </c>
      <c r="G150" t="n">
        <v>1.7</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46076</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46076</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46076</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46076</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46076</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46076</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46076</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46076</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46076</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46076</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46076</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46076</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2026-02-23T11:03:56Z</dcterms:created>
  <dcterms:modified xmlns:dcterms="http://purl.org/dc/terms/" xmlns:xsi="http://www.w3.org/2001/XMLSchema-instance" xsi:type="dcterms:W3CDTF">2026-02-23T11:03:56Z</dcterms:modified>
</cp:coreProperties>
</file>