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46286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46286</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46286</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46286</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46286</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46286</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46286</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46286</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46286</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42853-2022</t>
        </is>
      </c>
      <c r="B19" t="inlineStr">
        <is>
          <t>avverkningsanmälan</t>
        </is>
      </c>
      <c r="C19" t="inlineStr">
        <is>
          <t>Avverkning för att bevara och utveckla /försöksver</t>
        </is>
      </c>
      <c r="D19" s="1" t="n">
        <v>44832</v>
      </c>
      <c r="E19" s="1" t="n">
        <v>46286</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46286</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46286</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46286</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46286</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46286</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46286</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46286</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46286</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46286</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46286</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46286</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46286</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46286</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46286</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46286</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46286</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46286</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46286</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46286</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46286</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46286</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46286</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46286</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46286</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46286</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39694-2025</t>
        </is>
      </c>
      <c r="B45" t="inlineStr">
        <is>
          <t>avverkningsanmälan</t>
        </is>
      </c>
      <c r="C45" t="inlineStr">
        <is>
          <t>Föryngringsavverkning</t>
        </is>
      </c>
      <c r="D45" s="1" t="n">
        <v>45890</v>
      </c>
      <c r="E45" s="1" t="n">
        <v>46286</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69777-2021</t>
        </is>
      </c>
      <c r="B46" t="inlineStr">
        <is>
          <t>avverkningsanmälan</t>
        </is>
      </c>
      <c r="C46" t="inlineStr">
        <is>
          <t>Föryngringsavverkning</t>
        </is>
      </c>
      <c r="D46" s="1" t="n">
        <v>44532</v>
      </c>
      <c r="E46" s="1" t="n">
        <v>46286</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4082-2025</t>
        </is>
      </c>
      <c r="B47" t="inlineStr">
        <is>
          <t>avverkningsanmälan</t>
        </is>
      </c>
      <c r="C47" t="inlineStr">
        <is>
          <t>Föryngringsavverkning</t>
        </is>
      </c>
      <c r="D47" s="1" t="n">
        <v>45684</v>
      </c>
      <c r="E47" s="1" t="n">
        <v>46286</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46286</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46286</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33935-2026</t>
        </is>
      </c>
      <c r="B50" t="inlineStr">
        <is>
          <t>avverkningsanmälan</t>
        </is>
      </c>
      <c r="C50" t="inlineStr">
        <is>
          <t>Föryngringsavverkning</t>
        </is>
      </c>
      <c r="D50" s="1" t="n">
        <v>46248</v>
      </c>
      <c r="E50" s="1" t="n">
        <v>46286</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46286</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46286</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46286</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46286</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46286</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46286</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46286</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46286</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46286</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63138-2025</t>
        </is>
      </c>
      <c r="B60" t="inlineStr">
        <is>
          <t>avverkningsanmälan</t>
        </is>
      </c>
      <c r="C60" t="inlineStr">
        <is>
          <t>Föryngringsavverkning</t>
        </is>
      </c>
      <c r="D60" s="1" t="n">
        <v>46009</v>
      </c>
      <c r="E60" s="1" t="n">
        <v>46286</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46286</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46286</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46286</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46286</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46286</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13788-2025</t>
        </is>
      </c>
      <c r="B66" t="inlineStr">
        <is>
          <t>avverkningsanmälan</t>
        </is>
      </c>
      <c r="C66" t="inlineStr">
        <is>
          <t>Föryngringsavverkning</t>
        </is>
      </c>
      <c r="D66" s="1" t="n">
        <v>45737</v>
      </c>
      <c r="E66" s="1" t="n">
        <v>46286</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37013-2025</t>
        </is>
      </c>
      <c r="B67" t="inlineStr">
        <is>
          <t>avverkningsanmälan</t>
        </is>
      </c>
      <c r="C67" t="inlineStr">
        <is>
          <t>Föryngringsavverkning</t>
        </is>
      </c>
      <c r="D67" s="1" t="n">
        <v>45874</v>
      </c>
      <c r="E67" s="1" t="n">
        <v>46286</v>
      </c>
      <c r="F67" t="inlineStr">
        <is>
          <t>VÄSTMANLANDS LÄN</t>
        </is>
      </c>
      <c r="G67" t="inlineStr">
        <is>
          <t>SURAHAMMAR</t>
        </is>
      </c>
      <c r="H67" t="inlineStr">
        <is>
          <t>Bergvik skog väst AB</t>
        </is>
      </c>
      <c r="I67" t="n">
        <v>10.7</v>
      </c>
      <c r="J67" t="n">
        <v>0</v>
      </c>
      <c r="K67" t="n">
        <v>0</v>
      </c>
      <c r="L67" t="n">
        <v>0</v>
      </c>
      <c r="M67" t="n">
        <v>2</v>
      </c>
      <c r="N67" t="n">
        <v>0</v>
      </c>
      <c r="O67" t="n">
        <v>0</v>
      </c>
      <c r="P67" t="n">
        <v>0</v>
      </c>
      <c r="Q67" t="n">
        <v>2</v>
      </c>
      <c r="R67" t="n">
        <v>2</v>
      </c>
      <c r="S67" t="n">
        <v>2</v>
      </c>
      <c r="T67" t="n">
        <v>2</v>
      </c>
      <c r="U67" t="n">
        <v>0</v>
      </c>
      <c r="V67" s="2" t="inlineStr">
        <is>
          <t>Brunfläckig pärlemorfjäril
Fältgentiana</t>
        </is>
      </c>
      <c r="W67">
        <f>HYPERLINK("https://klasma.github.io/Logging_1907/artfynd/A 37013-2025 artfynd.xlsx", "A 37013-2025")</f>
        <v/>
      </c>
      <c r="X67">
        <f>HYPERLINK("https://klasma.github.io/Logging_1907/kartor/A 37013-2025 karta.png", "A 37013-2025")</f>
        <v/>
      </c>
      <c r="Y67">
        <f>HYPERLINK("https://klasma.github.io/Logging_1907/kartor_geotiff/A 37013-2025 georefererad karta.tif", "A 37013-2025")</f>
        <v/>
      </c>
      <c r="AA67">
        <f>HYPERLINK("https://klasma.github.io/Logging_1907/klagomål/A 37013-2025 FSC-klagomål.docx", "A 37013-2025")</f>
        <v/>
      </c>
      <c r="AB67">
        <f>HYPERLINK("https://klasma.github.io/Logging_1907/klagomålsmail/A 37013-2025 FSC-klagomål mail.docx", "A 37013-2025")</f>
        <v/>
      </c>
      <c r="AC67">
        <f>HYPERLINK("https://klasma.github.io/Logging_1907/tillsyn/A 37013-2025 tillsynsbegäran.docx", "A 37013-2025")</f>
        <v/>
      </c>
      <c r="AD67">
        <f>HYPERLINK("https://klasma.github.io/Logging_1907/tillsynsmail/A 37013-2025 tillsynsbegäran mail.docx", "A 37013-2025")</f>
        <v/>
      </c>
    </row>
    <row r="68" ht="15" customHeight="1">
      <c r="A68" t="inlineStr">
        <is>
          <t>S 703-2025</t>
        </is>
      </c>
      <c r="B68" t="inlineStr">
        <is>
          <t>samrådsanmälan</t>
        </is>
      </c>
      <c r="C68" t="inlineStr">
        <is>
          <t>Skogsgödsling</t>
        </is>
      </c>
      <c r="D68" s="1" t="n">
        <v>45720</v>
      </c>
      <c r="E68" s="1" t="n">
        <v>46286</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46286</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46286</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46286</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46286</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46286</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46286</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46286</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46286</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46286</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46286</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46286</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46286</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46286</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46286</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16013-2023</t>
        </is>
      </c>
      <c r="B83" t="inlineStr">
        <is>
          <t>avverkningsanmälan</t>
        </is>
      </c>
      <c r="C83" t="inlineStr">
        <is>
          <t>Föryngringsavverkning</t>
        </is>
      </c>
      <c r="D83" s="1" t="n">
        <v>45026</v>
      </c>
      <c r="E83" s="1" t="n">
        <v>46286</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31589-2026</t>
        </is>
      </c>
      <c r="B84" t="inlineStr">
        <is>
          <t>avverkningsanmälan</t>
        </is>
      </c>
      <c r="C84" t="inlineStr">
        <is>
          <t>Föryngringsavverkning</t>
        </is>
      </c>
      <c r="D84" s="1" t="n">
        <v>46224</v>
      </c>
      <c r="E84" s="1" t="n">
        <v>46286</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34584-2025</t>
        </is>
      </c>
      <c r="B85" t="inlineStr">
        <is>
          <t>avverkningsanmälan</t>
        </is>
      </c>
      <c r="C85" t="inlineStr">
        <is>
          <t>Föryngringsavverkning</t>
        </is>
      </c>
      <c r="D85" s="1" t="n">
        <v>45846</v>
      </c>
      <c r="E85" s="1" t="n">
        <v>46286</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46286</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46286</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46286</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46286</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46286</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46286</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46286</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46286</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46286</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46286</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46286</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46286</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46286</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46286</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46286</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46286</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46286</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42714-2022</t>
        </is>
      </c>
      <c r="B103" t="inlineStr">
        <is>
          <t>avverkningsanmälan</t>
        </is>
      </c>
      <c r="C103" t="inlineStr">
        <is>
          <t>Föryngringsavverkning</t>
        </is>
      </c>
      <c r="D103" s="1" t="n">
        <v>44832</v>
      </c>
      <c r="E103" s="1" t="n">
        <v>46286</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35682-2022</t>
        </is>
      </c>
      <c r="B104" t="inlineStr">
        <is>
          <t>avverkningsanmälan</t>
        </is>
      </c>
      <c r="C104" t="inlineStr">
        <is>
          <t>Föryngringsavverkning</t>
        </is>
      </c>
      <c r="D104" s="1" t="n">
        <v>44799</v>
      </c>
      <c r="E104" s="1" t="n">
        <v>46286</v>
      </c>
      <c r="F104" t="inlineStr">
        <is>
          <t>VÄSTMANLANDS LÄN</t>
        </is>
      </c>
      <c r="G104" t="inlineStr">
        <is>
          <t>SURAHAMMAR</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46286</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5567-2022</t>
        </is>
      </c>
      <c r="B106" t="inlineStr">
        <is>
          <t>avverkningsanmälan</t>
        </is>
      </c>
      <c r="C106" t="inlineStr">
        <is>
          <t>Föryngringsavverkning</t>
        </is>
      </c>
      <c r="D106" s="1" t="n">
        <v>44595</v>
      </c>
      <c r="E106" s="1" t="n">
        <v>46286</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42832-2022</t>
        </is>
      </c>
      <c r="B107" t="inlineStr">
        <is>
          <t>avverkningsanmälan</t>
        </is>
      </c>
      <c r="C107" t="inlineStr">
        <is>
          <t>Avverkning för annat ändamål</t>
        </is>
      </c>
      <c r="D107" s="1" t="n">
        <v>44832</v>
      </c>
      <c r="E107" s="1" t="n">
        <v>46286</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24665-2023</t>
        </is>
      </c>
      <c r="B108" t="inlineStr">
        <is>
          <t>avverkningsanmälan</t>
        </is>
      </c>
      <c r="C108" t="inlineStr">
        <is>
          <t>Föryngringsavverkning</t>
        </is>
      </c>
      <c r="D108" s="1" t="n">
        <v>45084</v>
      </c>
      <c r="E108" s="1" t="n">
        <v>46286</v>
      </c>
      <c r="F108" t="inlineStr">
        <is>
          <t>VÄSTMANLANDS LÄN</t>
        </is>
      </c>
      <c r="G108" t="inlineStr">
        <is>
          <t>SURAHAMMAR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42841-2022</t>
        </is>
      </c>
      <c r="B109" t="inlineStr">
        <is>
          <t>avverkningsanmälan</t>
        </is>
      </c>
      <c r="C109" t="inlineStr">
        <is>
          <t>Avverkning för annat ändamål</t>
        </is>
      </c>
      <c r="D109" s="1" t="n">
        <v>44832</v>
      </c>
      <c r="E109" s="1" t="n">
        <v>46286</v>
      </c>
      <c r="F109" t="inlineStr">
        <is>
          <t>VÄSTMANLANDS LÄN</t>
        </is>
      </c>
      <c r="G109" t="inlineStr">
        <is>
          <t>SURAHAMMAR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42829-2022</t>
        </is>
      </c>
      <c r="B110" t="inlineStr">
        <is>
          <t>avverkningsanmälan</t>
        </is>
      </c>
      <c r="C110" t="inlineStr">
        <is>
          <t>Avverkning för annat ändamål</t>
        </is>
      </c>
      <c r="D110" s="1" t="n">
        <v>44832</v>
      </c>
      <c r="E110" s="1" t="n">
        <v>46286</v>
      </c>
      <c r="F110" t="inlineStr">
        <is>
          <t>VÄSTMANLANDS LÄN</t>
        </is>
      </c>
      <c r="G110" t="inlineStr">
        <is>
          <t>SURAHAMMAR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49058-2024</t>
        </is>
      </c>
      <c r="B111" t="inlineStr">
        <is>
          <t>avverkningsanmälan</t>
        </is>
      </c>
      <c r="C111" t="inlineStr">
        <is>
          <t>Föryngringsavverkning</t>
        </is>
      </c>
      <c r="D111" s="1" t="n">
        <v>45594</v>
      </c>
      <c r="E111" s="1" t="n">
        <v>46286</v>
      </c>
      <c r="F111" t="inlineStr">
        <is>
          <t>VÄSTMANLANDS LÄN</t>
        </is>
      </c>
      <c r="G111" t="inlineStr">
        <is>
          <t>SURAHAMMAR</t>
        </is>
      </c>
      <c r="H111" t="inlineStr">
        <is>
          <t>Sveaskog</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20535-2026</t>
        </is>
      </c>
      <c r="B112" t="inlineStr">
        <is>
          <t>avverkningsanmälan</t>
        </is>
      </c>
      <c r="C112" t="inlineStr">
        <is>
          <t>Avverkning för annat ändamål</t>
        </is>
      </c>
      <c r="D112" s="1" t="n">
        <v>46140</v>
      </c>
      <c r="E112" s="1" t="n">
        <v>46286</v>
      </c>
      <c r="F112" t="inlineStr">
        <is>
          <t>VÄSTMANLANDS LÄN</t>
        </is>
      </c>
      <c r="G112" t="inlineStr">
        <is>
          <t>SURAHAMMAR</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46286</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3085-2023</t>
        </is>
      </c>
      <c r="B114" t="inlineStr">
        <is>
          <t>avverkningsanmälan</t>
        </is>
      </c>
      <c r="C114" t="inlineStr">
        <is>
          <t>Föryngringsavverkning</t>
        </is>
      </c>
      <c r="D114" s="1" t="n">
        <v>44946</v>
      </c>
      <c r="E114" s="1" t="n">
        <v>46286</v>
      </c>
      <c r="F114" t="inlineStr">
        <is>
          <t>VÄSTMANLANDS LÄN</t>
        </is>
      </c>
      <c r="G114" t="inlineStr">
        <is>
          <t>SURAHAMMAR</t>
        </is>
      </c>
      <c r="H114" t="inlineStr">
        <is>
          <t>Kyrkan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20904-2023</t>
        </is>
      </c>
      <c r="B115" t="inlineStr">
        <is>
          <t>avverkningsanmälan</t>
        </is>
      </c>
      <c r="C115" t="inlineStr">
        <is>
          <t>Avverkning för att bevara och utveckla /försöksver</t>
        </is>
      </c>
      <c r="D115" s="1" t="n">
        <v>45060</v>
      </c>
      <c r="E115" s="1" t="n">
        <v>46286</v>
      </c>
      <c r="F115" t="inlineStr">
        <is>
          <t>VÄSTMANLANDS LÄN</t>
        </is>
      </c>
      <c r="G115" t="inlineStr">
        <is>
          <t>SURAHAMMAR</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55873-2025</t>
        </is>
      </c>
      <c r="B116" t="inlineStr">
        <is>
          <t>avverkningsanmälan</t>
        </is>
      </c>
      <c r="C116" t="inlineStr">
        <is>
          <t>Föryngringsavverkning</t>
        </is>
      </c>
      <c r="D116" s="1" t="n">
        <v>45973</v>
      </c>
      <c r="E116" s="1" t="n">
        <v>46286</v>
      </c>
      <c r="F116" t="inlineStr">
        <is>
          <t>VÄSTMANLANDS LÄN</t>
        </is>
      </c>
      <c r="G116" t="inlineStr">
        <is>
          <t>SURAHAMMAR</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2660-2024</t>
        </is>
      </c>
      <c r="B117" t="inlineStr">
        <is>
          <t>avverkningsanmälan</t>
        </is>
      </c>
      <c r="C117" t="inlineStr">
        <is>
          <t>Föryngringsavverkning</t>
        </is>
      </c>
      <c r="D117" s="1" t="n">
        <v>45310</v>
      </c>
      <c r="E117" s="1" t="n">
        <v>46286</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14626-2023</t>
        </is>
      </c>
      <c r="B118" t="inlineStr">
        <is>
          <t>avverkningsanmälan</t>
        </is>
      </c>
      <c r="C118" t="inlineStr">
        <is>
          <t>Föryngringsavverkning</t>
        </is>
      </c>
      <c r="D118" s="1" t="n">
        <v>45012</v>
      </c>
      <c r="E118" s="1" t="n">
        <v>46286</v>
      </c>
      <c r="F118" t="inlineStr">
        <is>
          <t>VÄSTMANLANDS LÄN</t>
        </is>
      </c>
      <c r="G118" t="inlineStr">
        <is>
          <t>SURAHAMMAR</t>
        </is>
      </c>
      <c r="H118" t="inlineStr">
        <is>
          <t>Bergvik skog väst AB</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24201-2026</t>
        </is>
      </c>
      <c r="B119" t="inlineStr">
        <is>
          <t>avverkningsanmälan</t>
        </is>
      </c>
      <c r="C119" t="inlineStr">
        <is>
          <t>Föryngringsavverkning</t>
        </is>
      </c>
      <c r="D119" s="1" t="n">
        <v>46168</v>
      </c>
      <c r="E119" s="1" t="n">
        <v>46286</v>
      </c>
      <c r="F119" t="inlineStr">
        <is>
          <t>VÄSTMANLANDS LÄN</t>
        </is>
      </c>
      <c r="G119" t="inlineStr">
        <is>
          <t>SURAHAMMAR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25450-2024</t>
        </is>
      </c>
      <c r="B120" t="inlineStr">
        <is>
          <t>avverkningsanmälan</t>
        </is>
      </c>
      <c r="C120" t="inlineStr">
        <is>
          <t>Föryngringsavverkning</t>
        </is>
      </c>
      <c r="D120" s="1" t="n">
        <v>45463</v>
      </c>
      <c r="E120" s="1" t="n">
        <v>46286</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4724-2026</t>
        </is>
      </c>
      <c r="B121" t="inlineStr">
        <is>
          <t>avverkningsanmälan</t>
        </is>
      </c>
      <c r="C121" t="inlineStr">
        <is>
          <t>Föryngringsavverkning</t>
        </is>
      </c>
      <c r="D121" s="1" t="n">
        <v>46048</v>
      </c>
      <c r="E121" s="1" t="n">
        <v>46286</v>
      </c>
      <c r="F121" t="inlineStr">
        <is>
          <t>VÄSTMANLANDS LÄN</t>
        </is>
      </c>
      <c r="G121" t="inlineStr">
        <is>
          <t>SURAHAMMAR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4734-2026</t>
        </is>
      </c>
      <c r="B122" t="inlineStr">
        <is>
          <t>avverkningsanmälan</t>
        </is>
      </c>
      <c r="C122" t="inlineStr">
        <is>
          <t>Föryngringsavverkning</t>
        </is>
      </c>
      <c r="D122" s="1" t="n">
        <v>46048</v>
      </c>
      <c r="E122" s="1" t="n">
        <v>46286</v>
      </c>
      <c r="F122" t="inlineStr">
        <is>
          <t>VÄSTMANLANDS LÄN</t>
        </is>
      </c>
      <c r="G122" t="inlineStr">
        <is>
          <t>SURAHAMMAR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19782-2023</t>
        </is>
      </c>
      <c r="B123" t="inlineStr">
        <is>
          <t>avverkningsanmälan</t>
        </is>
      </c>
      <c r="C123" t="inlineStr">
        <is>
          <t>Föryngringsavverkning</t>
        </is>
      </c>
      <c r="D123" s="1" t="n">
        <v>45050</v>
      </c>
      <c r="E123" s="1" t="n">
        <v>46286</v>
      </c>
      <c r="F123" t="inlineStr">
        <is>
          <t>VÄSTMANLANDS LÄN</t>
        </is>
      </c>
      <c r="G123" t="inlineStr">
        <is>
          <t>SURAHAMMAR</t>
        </is>
      </c>
      <c r="H123" t="inlineStr">
        <is>
          <t>Bergvik skog väst AB</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7848-2022</t>
        </is>
      </c>
      <c r="B124" t="inlineStr">
        <is>
          <t>avverkningsanmälan</t>
        </is>
      </c>
      <c r="C124" t="inlineStr">
        <is>
          <t>Föryngringsavverkning</t>
        </is>
      </c>
      <c r="D124" s="1" t="n">
        <v>44608</v>
      </c>
      <c r="E124" s="1" t="n">
        <v>46286</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46286</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10244-2026</t>
        </is>
      </c>
      <c r="B126" t="inlineStr">
        <is>
          <t>avverkningsanmälan</t>
        </is>
      </c>
      <c r="C126" t="inlineStr">
        <is>
          <t>Föryngringsavverkning</t>
        </is>
      </c>
      <c r="D126" s="1" t="n">
        <v>46076</v>
      </c>
      <c r="E126" s="1" t="n">
        <v>46286</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10562-2026</t>
        </is>
      </c>
      <c r="B127" t="inlineStr">
        <is>
          <t>avverkningsanmälan</t>
        </is>
      </c>
      <c r="C127" t="inlineStr">
        <is>
          <t>Föryngringsavverkning</t>
        </is>
      </c>
      <c r="D127" s="1" t="n">
        <v>46077</v>
      </c>
      <c r="E127" s="1" t="n">
        <v>46286</v>
      </c>
      <c r="F127" t="inlineStr">
        <is>
          <t>VÄSTMANLANDS LÄN</t>
        </is>
      </c>
      <c r="G127" t="inlineStr">
        <is>
          <t>SURAHAMMAR</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56378-2023</t>
        </is>
      </c>
      <c r="B128" t="inlineStr">
        <is>
          <t>avverkningsanmälan</t>
        </is>
      </c>
      <c r="C128" t="inlineStr">
        <is>
          <t>Föryngringsavverkning</t>
        </is>
      </c>
      <c r="D128" s="1" t="n">
        <v>45236</v>
      </c>
      <c r="E128" s="1" t="n">
        <v>46286</v>
      </c>
      <c r="F128" t="inlineStr">
        <is>
          <t>VÄSTMANLANDS LÄN</t>
        </is>
      </c>
      <c r="G128" t="inlineStr">
        <is>
          <t>SURAHAMMAR</t>
        </is>
      </c>
      <c r="H128" t="inlineStr">
        <is>
          <t>Bergvik skog väst AB</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19099-2022</t>
        </is>
      </c>
      <c r="B129" t="inlineStr">
        <is>
          <t>avverkningsanmälan</t>
        </is>
      </c>
      <c r="C129" t="inlineStr">
        <is>
          <t>Föryngringsavverkning</t>
        </is>
      </c>
      <c r="D129" s="1" t="n">
        <v>44691</v>
      </c>
      <c r="E129" s="1" t="n">
        <v>46286</v>
      </c>
      <c r="F129" t="inlineStr">
        <is>
          <t>VÄSTMANLANDS LÄN</t>
        </is>
      </c>
      <c r="G129" t="inlineStr">
        <is>
          <t>SURAHAMMAR</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12841-2026</t>
        </is>
      </c>
      <c r="B130" t="inlineStr">
        <is>
          <t>avverkningsanmälan</t>
        </is>
      </c>
      <c r="C130" t="inlineStr">
        <is>
          <t>Föryngringsavverkning</t>
        </is>
      </c>
      <c r="D130" s="1" t="n">
        <v>46091</v>
      </c>
      <c r="E130" s="1" t="n">
        <v>46286</v>
      </c>
      <c r="F130" t="inlineStr">
        <is>
          <t>VÄSTMANLANDS LÄN</t>
        </is>
      </c>
      <c r="G130" t="inlineStr">
        <is>
          <t>SURAHAMMAR</t>
        </is>
      </c>
      <c r="H130" t="inlineStr">
        <is>
          <t>Bergvik skog väst AB</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46286</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3818-2022</t>
        </is>
      </c>
      <c r="B132" t="inlineStr">
        <is>
          <t>avverkningsanmälan</t>
        </is>
      </c>
      <c r="C132" t="inlineStr">
        <is>
          <t>Föryngringsavverkning</t>
        </is>
      </c>
      <c r="D132" s="1" t="n">
        <v>44587</v>
      </c>
      <c r="E132" s="1" t="n">
        <v>46286</v>
      </c>
      <c r="F132" t="inlineStr">
        <is>
          <t>VÄSTMANLANDS LÄN</t>
        </is>
      </c>
      <c r="G132" t="inlineStr">
        <is>
          <t>SURAHAMMAR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46286</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46286</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46286</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21509-2024</t>
        </is>
      </c>
      <c r="B136" t="inlineStr">
        <is>
          <t>avverkningsanmälan</t>
        </is>
      </c>
      <c r="C136" t="inlineStr">
        <is>
          <t>Föryngringsavverkning</t>
        </is>
      </c>
      <c r="D136" s="1" t="n">
        <v>45441</v>
      </c>
      <c r="E136" s="1" t="n">
        <v>46286</v>
      </c>
      <c r="F136" t="inlineStr">
        <is>
          <t>VÄSTMANLANDS LÄN</t>
        </is>
      </c>
      <c r="G136" t="inlineStr">
        <is>
          <t>SURAHAMMAR</t>
        </is>
      </c>
      <c r="H136" t="inlineStr">
        <is>
          <t>Bergvik skog väst AB</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46286</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46286</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25780-2023</t>
        </is>
      </c>
      <c r="B139" t="inlineStr">
        <is>
          <t>avverkningsanmälan</t>
        </is>
      </c>
      <c r="C139" t="inlineStr">
        <is>
          <t>Föryngringsavverkning</t>
        </is>
      </c>
      <c r="D139" s="1" t="n">
        <v>45090</v>
      </c>
      <c r="E139" s="1" t="n">
        <v>46286</v>
      </c>
      <c r="F139" t="inlineStr">
        <is>
          <t>VÄSTMANLANDS LÄN</t>
        </is>
      </c>
      <c r="G139" t="inlineStr">
        <is>
          <t>SURAHAMMAR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46286</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32223-2026</t>
        </is>
      </c>
      <c r="B141" t="inlineStr">
        <is>
          <t>avverkningsanmälan</t>
        </is>
      </c>
      <c r="C141" t="inlineStr">
        <is>
          <t>Föryngringsavverkning</t>
        </is>
      </c>
      <c r="D141" s="1" t="n">
        <v>46237</v>
      </c>
      <c r="E141" s="1" t="n">
        <v>46286</v>
      </c>
      <c r="F141" t="inlineStr">
        <is>
          <t>VÄSTMANLANDS LÄN</t>
        </is>
      </c>
      <c r="G141" t="inlineStr">
        <is>
          <t>SURAHAMMAR</t>
        </is>
      </c>
      <c r="H141" t="inlineStr">
        <is>
          <t>Allmännings- och besparingsskogar</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46286</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37954-2025</t>
        </is>
      </c>
      <c r="B143" t="inlineStr">
        <is>
          <t>avverkningsanmälan</t>
        </is>
      </c>
      <c r="C143" t="inlineStr">
        <is>
          <t>Föryngringsavverkning</t>
        </is>
      </c>
      <c r="D143" s="1" t="n">
        <v>45881</v>
      </c>
      <c r="E143" s="1" t="n">
        <v>46286</v>
      </c>
      <c r="F143" t="inlineStr">
        <is>
          <t>VÄSTMANLANDS LÄN</t>
        </is>
      </c>
      <c r="G143" t="inlineStr">
        <is>
          <t>SURAHAMMAR</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46286</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46286</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46286</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2026-09-21T02:05:52Z</dcterms:created>
  <dcterms:modified xmlns:dcterms="http://purl.org/dc/terms/" xmlns:xsi="http://www.w3.org/2001/XMLSchema-instance" xsi:type="dcterms:W3CDTF">2026-09-21T02:05:52Z</dcterms:modified>
</cp:coreProperties>
</file>