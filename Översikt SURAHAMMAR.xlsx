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45900</v>
      </c>
      <c r="D3" t="inlineStr">
        <is>
          <t>VÄSTMANLANDS LÄN</t>
        </is>
      </c>
      <c r="E3" t="inlineStr">
        <is>
          <t>SURAHAMMAR</t>
        </is>
      </c>
      <c r="F3" t="inlineStr">
        <is>
          <t>Bergvik skog väst AB</t>
        </is>
      </c>
      <c r="G3" t="n">
        <v>20.5</v>
      </c>
      <c r="H3" t="n">
        <v>8</v>
      </c>
      <c r="I3" t="n">
        <v>11</v>
      </c>
      <c r="J3" t="n">
        <v>12</v>
      </c>
      <c r="K3" t="n">
        <v>6</v>
      </c>
      <c r="L3" t="n">
        <v>0</v>
      </c>
      <c r="M3" t="n">
        <v>0</v>
      </c>
      <c r="N3" t="n">
        <v>0</v>
      </c>
      <c r="O3" t="n">
        <v>18</v>
      </c>
      <c r="P3" t="n">
        <v>6</v>
      </c>
      <c r="Q3" t="n">
        <v>35</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45900</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45900</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45900</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45900</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25573-2024</t>
        </is>
      </c>
      <c r="B8" s="1" t="n">
        <v>45463</v>
      </c>
      <c r="C8" s="1" t="n">
        <v>45900</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45900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45900</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45900</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45900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45900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45900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45900</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45900</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45900</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45900</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45900</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45900</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45900</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65024-2023</t>
        </is>
      </c>
      <c r="B22" s="1" t="n">
        <v>45282</v>
      </c>
      <c r="C22" s="1" t="n">
        <v>45900</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48891-2023</t>
        </is>
      </c>
      <c r="B23" s="1" t="n">
        <v>45203</v>
      </c>
      <c r="C23" s="1" t="n">
        <v>45900</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45900</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45900</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45900</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45900</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45900</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45900</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29707-2025</t>
        </is>
      </c>
      <c r="B30" s="1" t="n">
        <v>45825.56100694444</v>
      </c>
      <c r="C30" s="1" t="n">
        <v>45900</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48128-2023</t>
        </is>
      </c>
      <c r="B31" s="1" t="n">
        <v>45205</v>
      </c>
      <c r="C31" s="1" t="n">
        <v>45900</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42708-2022</t>
        </is>
      </c>
      <c r="B32" s="1" t="n">
        <v>44832</v>
      </c>
      <c r="C32" s="1" t="n">
        <v>45900</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8552-2022</t>
        </is>
      </c>
      <c r="B33" s="1" t="n">
        <v>44613</v>
      </c>
      <c r="C33" s="1" t="n">
        <v>45900</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45900</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45900</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45900</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45900</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45900</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45900</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45900</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45900</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45900</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45900</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45900</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21716-2025</t>
        </is>
      </c>
      <c r="B45" s="1" t="n">
        <v>45783.54804398148</v>
      </c>
      <c r="C45" s="1" t="n">
        <v>45900</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39099-2022</t>
        </is>
      </c>
      <c r="B46" s="1" t="n">
        <v>44817</v>
      </c>
      <c r="C46" s="1" t="n">
        <v>45900</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25583-2024</t>
        </is>
      </c>
      <c r="B47" s="1" t="n">
        <v>45463</v>
      </c>
      <c r="C47" s="1" t="n">
        <v>45900</v>
      </c>
      <c r="D47" t="inlineStr">
        <is>
          <t>VÄSTMANLANDS LÄN</t>
        </is>
      </c>
      <c r="E47" t="inlineStr">
        <is>
          <t>SURAHAMMAR</t>
        </is>
      </c>
      <c r="F47" t="inlineStr">
        <is>
          <t>Bergvik skog väst AB</t>
        </is>
      </c>
      <c r="G47" t="n">
        <v>7.8</v>
      </c>
      <c r="H47" t="n">
        <v>1</v>
      </c>
      <c r="I47" t="n">
        <v>0</v>
      </c>
      <c r="J47" t="n">
        <v>0</v>
      </c>
      <c r="K47" t="n">
        <v>0</v>
      </c>
      <c r="L47" t="n">
        <v>0</v>
      </c>
      <c r="M47" t="n">
        <v>0</v>
      </c>
      <c r="N47" t="n">
        <v>0</v>
      </c>
      <c r="O47" t="n">
        <v>0</v>
      </c>
      <c r="P47" t="n">
        <v>0</v>
      </c>
      <c r="Q47" t="n">
        <v>1</v>
      </c>
      <c r="R47" s="2" t="inlineStr">
        <is>
          <t>Blåsippa</t>
        </is>
      </c>
      <c r="S47">
        <f>HYPERLINK("https://klasma.github.io/Logging_1907/artfynd/A 25583-2024 artfynd.xlsx", "A 25583-2024")</f>
        <v/>
      </c>
      <c r="T47">
        <f>HYPERLINK("https://klasma.github.io/Logging_1907/kartor/A 25583-2024 karta.png", "A 25583-2024")</f>
        <v/>
      </c>
      <c r="V47">
        <f>HYPERLINK("https://klasma.github.io/Logging_1907/klagomål/A 25583-2024 FSC-klagomål.docx", "A 25583-2024")</f>
        <v/>
      </c>
      <c r="W47">
        <f>HYPERLINK("https://klasma.github.io/Logging_1907/klagomålsmail/A 25583-2024 FSC-klagomål mail.docx", "A 25583-2024")</f>
        <v/>
      </c>
      <c r="X47">
        <f>HYPERLINK("https://klasma.github.io/Logging_1907/tillsyn/A 25583-2024 tillsynsbegäran.docx", "A 25583-2024")</f>
        <v/>
      </c>
      <c r="Y47">
        <f>HYPERLINK("https://klasma.github.io/Logging_1907/tillsynsmail/A 25583-2024 tillsynsbegäran mail.docx", "A 25583-2024")</f>
        <v/>
      </c>
    </row>
    <row r="48" ht="15" customHeight="1">
      <c r="A48" t="inlineStr">
        <is>
          <t>A 13971-2023</t>
        </is>
      </c>
      <c r="B48" s="1" t="n">
        <v>45007</v>
      </c>
      <c r="C48" s="1" t="n">
        <v>45900</v>
      </c>
      <c r="D48" t="inlineStr">
        <is>
          <t>VÄSTMANLANDS LÄN</t>
        </is>
      </c>
      <c r="E48" t="inlineStr">
        <is>
          <t>SURAHAMMAR</t>
        </is>
      </c>
      <c r="F48" t="inlineStr">
        <is>
          <t>Bergvik skog väst AB</t>
        </is>
      </c>
      <c r="G48" t="n">
        <v>2.9</v>
      </c>
      <c r="H48" t="n">
        <v>1</v>
      </c>
      <c r="I48" t="n">
        <v>0</v>
      </c>
      <c r="J48" t="n">
        <v>0</v>
      </c>
      <c r="K48" t="n">
        <v>0</v>
      </c>
      <c r="L48" t="n">
        <v>0</v>
      </c>
      <c r="M48" t="n">
        <v>0</v>
      </c>
      <c r="N48" t="n">
        <v>0</v>
      </c>
      <c r="O48" t="n">
        <v>0</v>
      </c>
      <c r="P48" t="n">
        <v>0</v>
      </c>
      <c r="Q48" t="n">
        <v>1</v>
      </c>
      <c r="R48" s="2" t="inlineStr">
        <is>
          <t>Fläcknycklar</t>
        </is>
      </c>
      <c r="S48">
        <f>HYPERLINK("https://klasma.github.io/Logging_1907/artfynd/A 13971-2023 artfynd.xlsx", "A 13971-2023")</f>
        <v/>
      </c>
      <c r="T48">
        <f>HYPERLINK("https://klasma.github.io/Logging_1907/kartor/A 13971-2023 karta.png", "A 13971-2023")</f>
        <v/>
      </c>
      <c r="V48">
        <f>HYPERLINK("https://klasma.github.io/Logging_1907/klagomål/A 13971-2023 FSC-klagomål.docx", "A 13971-2023")</f>
        <v/>
      </c>
      <c r="W48">
        <f>HYPERLINK("https://klasma.github.io/Logging_1907/klagomålsmail/A 13971-2023 FSC-klagomål mail.docx", "A 13971-2023")</f>
        <v/>
      </c>
      <c r="X48">
        <f>HYPERLINK("https://klasma.github.io/Logging_1907/tillsyn/A 13971-2023 tillsynsbegäran.docx", "A 13971-2023")</f>
        <v/>
      </c>
      <c r="Y48">
        <f>HYPERLINK("https://klasma.github.io/Logging_1907/tillsynsmail/A 13971-2023 tillsynsbegäran mail.docx", "A 13971-2023")</f>
        <v/>
      </c>
    </row>
    <row r="49" ht="15" customHeight="1">
      <c r="A49" t="inlineStr">
        <is>
          <t>A 42765-2022</t>
        </is>
      </c>
      <c r="B49" s="1" t="n">
        <v>44832</v>
      </c>
      <c r="C49" s="1" t="n">
        <v>45900</v>
      </c>
      <c r="D49" t="inlineStr">
        <is>
          <t>VÄSTMANLANDS LÄN</t>
        </is>
      </c>
      <c r="E49" t="inlineStr">
        <is>
          <t>SURAHAMMAR</t>
        </is>
      </c>
      <c r="G49" t="n">
        <v>1.8</v>
      </c>
      <c r="H49" t="n">
        <v>1</v>
      </c>
      <c r="I49" t="n">
        <v>0</v>
      </c>
      <c r="J49" t="n">
        <v>0</v>
      </c>
      <c r="K49" t="n">
        <v>0</v>
      </c>
      <c r="L49" t="n">
        <v>0</v>
      </c>
      <c r="M49" t="n">
        <v>0</v>
      </c>
      <c r="N49" t="n">
        <v>0</v>
      </c>
      <c r="O49" t="n">
        <v>0</v>
      </c>
      <c r="P49" t="n">
        <v>0</v>
      </c>
      <c r="Q49" t="n">
        <v>1</v>
      </c>
      <c r="R49" s="2" t="inlineStr">
        <is>
          <t>Blåsippa</t>
        </is>
      </c>
      <c r="S49">
        <f>HYPERLINK("https://klasma.github.io/Logging_1907/artfynd/A 42765-2022 artfynd.xlsx", "A 42765-2022")</f>
        <v/>
      </c>
      <c r="T49">
        <f>HYPERLINK("https://klasma.github.io/Logging_1907/kartor/A 42765-2022 karta.png", "A 42765-2022")</f>
        <v/>
      </c>
      <c r="V49">
        <f>HYPERLINK("https://klasma.github.io/Logging_1907/klagomål/A 42765-2022 FSC-klagomål.docx", "A 42765-2022")</f>
        <v/>
      </c>
      <c r="W49">
        <f>HYPERLINK("https://klasma.github.io/Logging_1907/klagomålsmail/A 42765-2022 FSC-klagomål mail.docx", "A 42765-2022")</f>
        <v/>
      </c>
      <c r="X49">
        <f>HYPERLINK("https://klasma.github.io/Logging_1907/tillsyn/A 42765-2022 tillsynsbegäran.docx", "A 42765-2022")</f>
        <v/>
      </c>
      <c r="Y49">
        <f>HYPERLINK("https://klasma.github.io/Logging_1907/tillsynsmail/A 42765-2022 tillsynsbegäran mail.docx", "A 42765-2022")</f>
        <v/>
      </c>
    </row>
    <row r="50" ht="15" customHeight="1">
      <c r="A50" t="inlineStr">
        <is>
          <t>A 13788-2025</t>
        </is>
      </c>
      <c r="B50" s="1" t="n">
        <v>45737.45327546296</v>
      </c>
      <c r="C50" s="1" t="n">
        <v>45900</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44356-2024</t>
        </is>
      </c>
      <c r="B51" s="1" t="n">
        <v>45573</v>
      </c>
      <c r="C51" s="1" t="n">
        <v>45900</v>
      </c>
      <c r="D51" t="inlineStr">
        <is>
          <t>VÄSTMANLANDS LÄN</t>
        </is>
      </c>
      <c r="E51" t="inlineStr">
        <is>
          <t>SURAHAMMAR</t>
        </is>
      </c>
      <c r="F51" t="inlineStr">
        <is>
          <t>Sveaskog</t>
        </is>
      </c>
      <c r="G51" t="n">
        <v>0.7</v>
      </c>
      <c r="H51" t="n">
        <v>1</v>
      </c>
      <c r="I51" t="n">
        <v>0</v>
      </c>
      <c r="J51" t="n">
        <v>0</v>
      </c>
      <c r="K51" t="n">
        <v>0</v>
      </c>
      <c r="L51" t="n">
        <v>0</v>
      </c>
      <c r="M51" t="n">
        <v>0</v>
      </c>
      <c r="N51" t="n">
        <v>0</v>
      </c>
      <c r="O51" t="n">
        <v>0</v>
      </c>
      <c r="P51" t="n">
        <v>0</v>
      </c>
      <c r="Q51" t="n">
        <v>1</v>
      </c>
      <c r="R51" s="2" t="inlineStr">
        <is>
          <t>Revlummer</t>
        </is>
      </c>
      <c r="S51">
        <f>HYPERLINK("https://klasma.github.io/Logging_1907/artfynd/A 44356-2024 artfynd.xlsx", "A 44356-2024")</f>
        <v/>
      </c>
      <c r="T51">
        <f>HYPERLINK("https://klasma.github.io/Logging_1907/kartor/A 44356-2024 karta.png", "A 44356-2024")</f>
        <v/>
      </c>
      <c r="V51">
        <f>HYPERLINK("https://klasma.github.io/Logging_1907/klagomål/A 44356-2024 FSC-klagomål.docx", "A 44356-2024")</f>
        <v/>
      </c>
      <c r="W51">
        <f>HYPERLINK("https://klasma.github.io/Logging_1907/klagomålsmail/A 44356-2024 FSC-klagomål mail.docx", "A 44356-2024")</f>
        <v/>
      </c>
      <c r="X51">
        <f>HYPERLINK("https://klasma.github.io/Logging_1907/tillsyn/A 44356-2024 tillsynsbegäran.docx", "A 44356-2024")</f>
        <v/>
      </c>
      <c r="Y51">
        <f>HYPERLINK("https://klasma.github.io/Logging_1907/tillsynsmail/A 44356-2024 tillsynsbegäran mail.docx", "A 44356-2024")</f>
        <v/>
      </c>
    </row>
    <row r="52" ht="15" customHeight="1">
      <c r="A52" t="inlineStr">
        <is>
          <t>A 69777-2021</t>
        </is>
      </c>
      <c r="B52" s="1" t="n">
        <v>44532</v>
      </c>
      <c r="C52" s="1" t="n">
        <v>45900</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45900</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47453-2024</t>
        </is>
      </c>
      <c r="B54" s="1" t="n">
        <v>45587.55017361111</v>
      </c>
      <c r="C54" s="1" t="n">
        <v>45900</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10819-2024</t>
        </is>
      </c>
      <c r="B55" s="1" t="n">
        <v>45369.66049768519</v>
      </c>
      <c r="C55" s="1" t="n">
        <v>45900</v>
      </c>
      <c r="D55" t="inlineStr">
        <is>
          <t>VÄSTMANLANDS LÄN</t>
        </is>
      </c>
      <c r="E55" t="inlineStr">
        <is>
          <t>SURAHAMMAR</t>
        </is>
      </c>
      <c r="G55" t="n">
        <v>2</v>
      </c>
      <c r="H55" t="n">
        <v>0</v>
      </c>
      <c r="I55" t="n">
        <v>1</v>
      </c>
      <c r="J55" t="n">
        <v>0</v>
      </c>
      <c r="K55" t="n">
        <v>0</v>
      </c>
      <c r="L55" t="n">
        <v>0</v>
      </c>
      <c r="M55" t="n">
        <v>0</v>
      </c>
      <c r="N55" t="n">
        <v>0</v>
      </c>
      <c r="O55" t="n">
        <v>0</v>
      </c>
      <c r="P55" t="n">
        <v>0</v>
      </c>
      <c r="Q55" t="n">
        <v>1</v>
      </c>
      <c r="R55" s="2" t="inlineStr">
        <is>
          <t>Tibast</t>
        </is>
      </c>
      <c r="S55">
        <f>HYPERLINK("https://klasma.github.io/Logging_1907/artfynd/A 10819-2024 artfynd.xlsx", "A 10819-2024")</f>
        <v/>
      </c>
      <c r="T55">
        <f>HYPERLINK("https://klasma.github.io/Logging_1907/kartor/A 10819-2024 karta.png", "A 10819-2024")</f>
        <v/>
      </c>
      <c r="V55">
        <f>HYPERLINK("https://klasma.github.io/Logging_1907/klagomål/A 10819-2024 FSC-klagomål.docx", "A 10819-2024")</f>
        <v/>
      </c>
      <c r="W55">
        <f>HYPERLINK("https://klasma.github.io/Logging_1907/klagomålsmail/A 10819-2024 FSC-klagomål mail.docx", "A 10819-2024")</f>
        <v/>
      </c>
      <c r="X55">
        <f>HYPERLINK("https://klasma.github.io/Logging_1907/tillsyn/A 10819-2024 tillsynsbegäran.docx", "A 10819-2024")</f>
        <v/>
      </c>
      <c r="Y55">
        <f>HYPERLINK("https://klasma.github.io/Logging_1907/tillsynsmail/A 10819-2024 tillsynsbegäran mail.docx", "A 10819-2024")</f>
        <v/>
      </c>
    </row>
    <row r="56" ht="15" customHeight="1">
      <c r="A56" t="inlineStr">
        <is>
          <t>A 17632-2022</t>
        </is>
      </c>
      <c r="B56" s="1" t="n">
        <v>44680</v>
      </c>
      <c r="C56" s="1" t="n">
        <v>45900</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62097-2024</t>
        </is>
      </c>
      <c r="B57" s="1" t="n">
        <v>45646</v>
      </c>
      <c r="C57" s="1" t="n">
        <v>45900</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40403-2025</t>
        </is>
      </c>
      <c r="B58" s="1" t="n">
        <v>45895</v>
      </c>
      <c r="C58" s="1" t="n">
        <v>45900</v>
      </c>
      <c r="D58" t="inlineStr">
        <is>
          <t>VÄSTMANLANDS LÄN</t>
        </is>
      </c>
      <c r="E58" t="inlineStr">
        <is>
          <t>SURAHAMMAR</t>
        </is>
      </c>
      <c r="F58" t="inlineStr">
        <is>
          <t>Kommuner</t>
        </is>
      </c>
      <c r="G58" t="n">
        <v>3.9</v>
      </c>
      <c r="H58" t="n">
        <v>0</v>
      </c>
      <c r="I58" t="n">
        <v>0</v>
      </c>
      <c r="J58" t="n">
        <v>1</v>
      </c>
      <c r="K58" t="n">
        <v>0</v>
      </c>
      <c r="L58" t="n">
        <v>0</v>
      </c>
      <c r="M58" t="n">
        <v>0</v>
      </c>
      <c r="N58" t="n">
        <v>0</v>
      </c>
      <c r="O58" t="n">
        <v>1</v>
      </c>
      <c r="P58" t="n">
        <v>0</v>
      </c>
      <c r="Q58" t="n">
        <v>1</v>
      </c>
      <c r="R58" s="2" t="inlineStr">
        <is>
          <t>Igelkott</t>
        </is>
      </c>
      <c r="S58">
        <f>HYPERLINK("https://klasma.github.io/Logging_1907/artfynd/A 40403-2025 artfynd.xlsx", "A 40403-2025")</f>
        <v/>
      </c>
      <c r="T58">
        <f>HYPERLINK("https://klasma.github.io/Logging_1907/kartor/A 40403-2025 karta.png", "A 40403-2025")</f>
        <v/>
      </c>
      <c r="V58">
        <f>HYPERLINK("https://klasma.github.io/Logging_1907/klagomål/A 40403-2025 FSC-klagomål.docx", "A 40403-2025")</f>
        <v/>
      </c>
      <c r="W58">
        <f>HYPERLINK("https://klasma.github.io/Logging_1907/klagomålsmail/A 40403-2025 FSC-klagomål mail.docx", "A 40403-2025")</f>
        <v/>
      </c>
      <c r="X58">
        <f>HYPERLINK("https://klasma.github.io/Logging_1907/tillsyn/A 40403-2025 tillsynsbegäran.docx", "A 40403-2025")</f>
        <v/>
      </c>
      <c r="Y58">
        <f>HYPERLINK("https://klasma.github.io/Logging_1907/tillsynsmail/A 40403-2025 tillsynsbegäran mail.docx", "A 40403-2025")</f>
        <v/>
      </c>
    </row>
    <row r="59" ht="15" customHeight="1">
      <c r="A59" t="inlineStr">
        <is>
          <t>A 22840-2023</t>
        </is>
      </c>
      <c r="B59" s="1" t="n">
        <v>45072</v>
      </c>
      <c r="C59" s="1" t="n">
        <v>45900</v>
      </c>
      <c r="D59" t="inlineStr">
        <is>
          <t>VÄSTMANLANDS LÄN</t>
        </is>
      </c>
      <c r="E59" t="inlineStr">
        <is>
          <t>SURAHAMMAR</t>
        </is>
      </c>
      <c r="G59" t="n">
        <v>4.3</v>
      </c>
      <c r="H59" t="n">
        <v>1</v>
      </c>
      <c r="I59" t="n">
        <v>0</v>
      </c>
      <c r="J59" t="n">
        <v>0</v>
      </c>
      <c r="K59" t="n">
        <v>0</v>
      </c>
      <c r="L59" t="n">
        <v>0</v>
      </c>
      <c r="M59" t="n">
        <v>0</v>
      </c>
      <c r="N59" t="n">
        <v>0</v>
      </c>
      <c r="O59" t="n">
        <v>0</v>
      </c>
      <c r="P59" t="n">
        <v>0</v>
      </c>
      <c r="Q59" t="n">
        <v>1</v>
      </c>
      <c r="R59" s="2" t="inlineStr">
        <is>
          <t>Fläcknycklar</t>
        </is>
      </c>
      <c r="S59">
        <f>HYPERLINK("https://klasma.github.io/Logging_1907/artfynd/A 22840-2023 artfynd.xlsx", "A 22840-2023")</f>
        <v/>
      </c>
      <c r="T59">
        <f>HYPERLINK("https://klasma.github.io/Logging_1907/kartor/A 22840-2023 karta.png", "A 22840-2023")</f>
        <v/>
      </c>
      <c r="V59">
        <f>HYPERLINK("https://klasma.github.io/Logging_1907/klagomål/A 22840-2023 FSC-klagomål.docx", "A 22840-2023")</f>
        <v/>
      </c>
      <c r="W59">
        <f>HYPERLINK("https://klasma.github.io/Logging_1907/klagomålsmail/A 22840-2023 FSC-klagomål mail.docx", "A 22840-2023")</f>
        <v/>
      </c>
      <c r="X59">
        <f>HYPERLINK("https://klasma.github.io/Logging_1907/tillsyn/A 22840-2023 tillsynsbegäran.docx", "A 22840-2023")</f>
        <v/>
      </c>
      <c r="Y59">
        <f>HYPERLINK("https://klasma.github.io/Logging_1907/tillsynsmail/A 22840-2023 tillsynsbegäran mail.docx", "A 22840-2023")</f>
        <v/>
      </c>
    </row>
    <row r="60" ht="15" customHeight="1">
      <c r="A60" t="inlineStr">
        <is>
          <t>A 40411-2021</t>
        </is>
      </c>
      <c r="B60" s="1" t="n">
        <v>44419</v>
      </c>
      <c r="C60" s="1" t="n">
        <v>45900</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45900</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45900</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45900</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43451-2024</t>
        </is>
      </c>
      <c r="B64" s="1" t="n">
        <v>45568</v>
      </c>
      <c r="C64" s="1" t="n">
        <v>45900</v>
      </c>
      <c r="D64" t="inlineStr">
        <is>
          <t>VÄSTMANLANDS LÄN</t>
        </is>
      </c>
      <c r="E64" t="inlineStr">
        <is>
          <t>SURAHAMMAR</t>
        </is>
      </c>
      <c r="F64" t="inlineStr">
        <is>
          <t>Bergvik skog väst AB</t>
        </is>
      </c>
      <c r="G64" t="n">
        <v>2.9</v>
      </c>
      <c r="H64" t="n">
        <v>0</v>
      </c>
      <c r="I64" t="n">
        <v>0</v>
      </c>
      <c r="J64" t="n">
        <v>1</v>
      </c>
      <c r="K64" t="n">
        <v>0</v>
      </c>
      <c r="L64" t="n">
        <v>0</v>
      </c>
      <c r="M64" t="n">
        <v>0</v>
      </c>
      <c r="N64" t="n">
        <v>0</v>
      </c>
      <c r="O64" t="n">
        <v>1</v>
      </c>
      <c r="P64" t="n">
        <v>0</v>
      </c>
      <c r="Q64" t="n">
        <v>1</v>
      </c>
      <c r="R64" s="2" t="inlineStr">
        <is>
          <t>Ullticka</t>
        </is>
      </c>
      <c r="S64">
        <f>HYPERLINK("https://klasma.github.io/Logging_1907/artfynd/A 43451-2024 artfynd.xlsx", "A 43451-2024")</f>
        <v/>
      </c>
      <c r="T64">
        <f>HYPERLINK("https://klasma.github.io/Logging_1907/kartor/A 43451-2024 karta.png", "A 43451-2024")</f>
        <v/>
      </c>
      <c r="V64">
        <f>HYPERLINK("https://klasma.github.io/Logging_1907/klagomål/A 43451-2024 FSC-klagomål.docx", "A 43451-2024")</f>
        <v/>
      </c>
      <c r="W64">
        <f>HYPERLINK("https://klasma.github.io/Logging_1907/klagomålsmail/A 43451-2024 FSC-klagomål mail.docx", "A 43451-2024")</f>
        <v/>
      </c>
      <c r="X64">
        <f>HYPERLINK("https://klasma.github.io/Logging_1907/tillsyn/A 43451-2024 tillsynsbegäran.docx", "A 43451-2024")</f>
        <v/>
      </c>
      <c r="Y64">
        <f>HYPERLINK("https://klasma.github.io/Logging_1907/tillsynsmail/A 43451-2024 tillsynsbegäran mail.docx", "A 43451-2024")</f>
        <v/>
      </c>
    </row>
    <row r="65" ht="15" customHeight="1">
      <c r="A65" t="inlineStr">
        <is>
          <t>A 43177-2020</t>
        </is>
      </c>
      <c r="B65" s="1" t="n">
        <v>44081</v>
      </c>
      <c r="C65" s="1" t="n">
        <v>45900</v>
      </c>
      <c r="D65" t="inlineStr">
        <is>
          <t>VÄSTMANLANDS LÄN</t>
        </is>
      </c>
      <c r="E65" t="inlineStr">
        <is>
          <t>SURAHAMMAR</t>
        </is>
      </c>
      <c r="F65" t="inlineStr">
        <is>
          <t>Sveaskog</t>
        </is>
      </c>
      <c r="G65" t="n">
        <v>2.3</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45900</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45900</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45900</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45900</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45900</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45900</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45900</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45900</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45900</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45900</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45900</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45900</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45900</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45900</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45900</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66342-2021</t>
        </is>
      </c>
      <c r="B81" s="1" t="n">
        <v>44518</v>
      </c>
      <c r="C81" s="1" t="n">
        <v>45900</v>
      </c>
      <c r="D81" t="inlineStr">
        <is>
          <t>VÄSTMANLANDS LÄN</t>
        </is>
      </c>
      <c r="E81" t="inlineStr">
        <is>
          <t>SURAHAMMAR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45900</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45900</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45900</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45900</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43590-2020</t>
        </is>
      </c>
      <c r="B86" s="1" t="n">
        <v>44082</v>
      </c>
      <c r="C86" s="1" t="n">
        <v>45900</v>
      </c>
      <c r="D86" t="inlineStr">
        <is>
          <t>VÄSTMANLANDS LÄN</t>
        </is>
      </c>
      <c r="E86" t="inlineStr">
        <is>
          <t>SURAHAMMAR</t>
        </is>
      </c>
      <c r="F86" t="inlineStr">
        <is>
          <t>Sveaskog</t>
        </is>
      </c>
      <c r="G86" t="n">
        <v>2.1</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45900</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45900</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45900</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45900</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7787-2024</t>
        </is>
      </c>
      <c r="B91" s="1" t="n">
        <v>45348</v>
      </c>
      <c r="C91" s="1" t="n">
        <v>45900</v>
      </c>
      <c r="D91" t="inlineStr">
        <is>
          <t>VÄSTMANLANDS LÄN</t>
        </is>
      </c>
      <c r="E91" t="inlineStr">
        <is>
          <t>SURAHAMMAR</t>
        </is>
      </c>
      <c r="G91" t="n">
        <v>1</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45900</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45900</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45900</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45900</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47785-2021</t>
        </is>
      </c>
      <c r="B96" s="1" t="n">
        <v>44448</v>
      </c>
      <c r="C96" s="1" t="n">
        <v>45900</v>
      </c>
      <c r="D96" t="inlineStr">
        <is>
          <t>VÄSTMANLANDS LÄN</t>
        </is>
      </c>
      <c r="E96" t="inlineStr">
        <is>
          <t>SURAHAMMAR</t>
        </is>
      </c>
      <c r="F96" t="inlineStr">
        <is>
          <t>Kommuner</t>
        </is>
      </c>
      <c r="G96" t="n">
        <v>3.3</v>
      </c>
      <c r="H96" t="n">
        <v>0</v>
      </c>
      <c r="I96" t="n">
        <v>0</v>
      </c>
      <c r="J96" t="n">
        <v>0</v>
      </c>
      <c r="K96" t="n">
        <v>0</v>
      </c>
      <c r="L96" t="n">
        <v>0</v>
      </c>
      <c r="M96" t="n">
        <v>0</v>
      </c>
      <c r="N96" t="n">
        <v>0</v>
      </c>
      <c r="O96" t="n">
        <v>0</v>
      </c>
      <c r="P96" t="n">
        <v>0</v>
      </c>
      <c r="Q96" t="n">
        <v>0</v>
      </c>
      <c r="R96" s="2" t="inlineStr"/>
    </row>
    <row r="97" ht="15" customHeight="1">
      <c r="A97" t="inlineStr">
        <is>
          <t>A 25417-2024</t>
        </is>
      </c>
      <c r="B97" s="1" t="n">
        <v>45463</v>
      </c>
      <c r="C97" s="1" t="n">
        <v>45900</v>
      </c>
      <c r="D97" t="inlineStr">
        <is>
          <t>VÄSTMANLANDS LÄN</t>
        </is>
      </c>
      <c r="E97" t="inlineStr">
        <is>
          <t>SURAHAMMAR</t>
        </is>
      </c>
      <c r="F97" t="inlineStr">
        <is>
          <t>Sveaskog</t>
        </is>
      </c>
      <c r="G97" t="n">
        <v>3.4</v>
      </c>
      <c r="H97" t="n">
        <v>0</v>
      </c>
      <c r="I97" t="n">
        <v>0</v>
      </c>
      <c r="J97" t="n">
        <v>0</v>
      </c>
      <c r="K97" t="n">
        <v>0</v>
      </c>
      <c r="L97" t="n">
        <v>0</v>
      </c>
      <c r="M97" t="n">
        <v>0</v>
      </c>
      <c r="N97" t="n">
        <v>0</v>
      </c>
      <c r="O97" t="n">
        <v>0</v>
      </c>
      <c r="P97" t="n">
        <v>0</v>
      </c>
      <c r="Q97" t="n">
        <v>0</v>
      </c>
      <c r="R97" s="2" t="inlineStr"/>
    </row>
    <row r="98" ht="15" customHeight="1">
      <c r="A98" t="inlineStr">
        <is>
          <t>A 25450-2024</t>
        </is>
      </c>
      <c r="B98" s="1" t="n">
        <v>45463</v>
      </c>
      <c r="C98" s="1" t="n">
        <v>45900</v>
      </c>
      <c r="D98" t="inlineStr">
        <is>
          <t>VÄSTMANLANDS LÄN</t>
        </is>
      </c>
      <c r="E98" t="inlineStr">
        <is>
          <t>SURAHAMMAR</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44358-2024</t>
        </is>
      </c>
      <c r="B99" s="1" t="n">
        <v>45573</v>
      </c>
      <c r="C99" s="1" t="n">
        <v>45900</v>
      </c>
      <c r="D99" t="inlineStr">
        <is>
          <t>VÄSTMANLANDS LÄN</t>
        </is>
      </c>
      <c r="E99" t="inlineStr">
        <is>
          <t>SURAHAMMAR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44359-2024</t>
        </is>
      </c>
      <c r="B100" s="1" t="n">
        <v>45573</v>
      </c>
      <c r="C100" s="1" t="n">
        <v>45900</v>
      </c>
      <c r="D100" t="inlineStr">
        <is>
          <t>VÄSTMANLANDS LÄN</t>
        </is>
      </c>
      <c r="E100" t="inlineStr">
        <is>
          <t>SURAHAMMAR</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10883-2023</t>
        </is>
      </c>
      <c r="B101" s="1" t="n">
        <v>44991</v>
      </c>
      <c r="C101" s="1" t="n">
        <v>45900</v>
      </c>
      <c r="D101" t="inlineStr">
        <is>
          <t>VÄSTMANLANDS LÄN</t>
        </is>
      </c>
      <c r="E101" t="inlineStr">
        <is>
          <t>SURAHAMMAR</t>
        </is>
      </c>
      <c r="F101" t="inlineStr">
        <is>
          <t>Övriga Aktiebolag</t>
        </is>
      </c>
      <c r="G101" t="n">
        <v>12.5</v>
      </c>
      <c r="H101" t="n">
        <v>0</v>
      </c>
      <c r="I101" t="n">
        <v>0</v>
      </c>
      <c r="J101" t="n">
        <v>0</v>
      </c>
      <c r="K101" t="n">
        <v>0</v>
      </c>
      <c r="L101" t="n">
        <v>0</v>
      </c>
      <c r="M101" t="n">
        <v>0</v>
      </c>
      <c r="N101" t="n">
        <v>0</v>
      </c>
      <c r="O101" t="n">
        <v>0</v>
      </c>
      <c r="P101" t="n">
        <v>0</v>
      </c>
      <c r="Q101" t="n">
        <v>0</v>
      </c>
      <c r="R101" s="2" t="inlineStr"/>
    </row>
    <row r="102" ht="15" customHeight="1">
      <c r="A102" t="inlineStr">
        <is>
          <t>A 24665-2023</t>
        </is>
      </c>
      <c r="B102" s="1" t="n">
        <v>45084.48592592592</v>
      </c>
      <c r="C102" s="1" t="n">
        <v>45900</v>
      </c>
      <c r="D102" t="inlineStr">
        <is>
          <t>VÄSTMANLANDS LÄN</t>
        </is>
      </c>
      <c r="E102" t="inlineStr">
        <is>
          <t>SURAHAMMAR</t>
        </is>
      </c>
      <c r="G102" t="n">
        <v>0.9</v>
      </c>
      <c r="H102" t="n">
        <v>0</v>
      </c>
      <c r="I102" t="n">
        <v>0</v>
      </c>
      <c r="J102" t="n">
        <v>0</v>
      </c>
      <c r="K102" t="n">
        <v>0</v>
      </c>
      <c r="L102" t="n">
        <v>0</v>
      </c>
      <c r="M102" t="n">
        <v>0</v>
      </c>
      <c r="N102" t="n">
        <v>0</v>
      </c>
      <c r="O102" t="n">
        <v>0</v>
      </c>
      <c r="P102" t="n">
        <v>0</v>
      </c>
      <c r="Q102" t="n">
        <v>0</v>
      </c>
      <c r="R102" s="2" t="inlineStr"/>
    </row>
    <row r="103" ht="15" customHeight="1">
      <c r="A103" t="inlineStr">
        <is>
          <t>A 24167-2024</t>
        </is>
      </c>
      <c r="B103" s="1" t="n">
        <v>45456</v>
      </c>
      <c r="C103" s="1" t="n">
        <v>45900</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45900</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45900</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72367-2021</t>
        </is>
      </c>
      <c r="B106" s="1" t="n">
        <v>44545</v>
      </c>
      <c r="C106" s="1" t="n">
        <v>45900</v>
      </c>
      <c r="D106" t="inlineStr">
        <is>
          <t>VÄSTMANLANDS LÄN</t>
        </is>
      </c>
      <c r="E106" t="inlineStr">
        <is>
          <t>SURAHAMMAR</t>
        </is>
      </c>
      <c r="G106" t="n">
        <v>2.5</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45900</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42714-2022</t>
        </is>
      </c>
      <c r="B108" s="1" t="n">
        <v>44832</v>
      </c>
      <c r="C108" s="1" t="n">
        <v>45900</v>
      </c>
      <c r="D108" t="inlineStr">
        <is>
          <t>VÄSTMANLANDS LÄN</t>
        </is>
      </c>
      <c r="E108" t="inlineStr">
        <is>
          <t>SURAHAMMAR</t>
        </is>
      </c>
      <c r="G108" t="n">
        <v>1.1</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45900</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45900</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45900</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49060-2024</t>
        </is>
      </c>
      <c r="B112" s="1" t="n">
        <v>45594</v>
      </c>
      <c r="C112" s="1" t="n">
        <v>45900</v>
      </c>
      <c r="D112" t="inlineStr">
        <is>
          <t>VÄSTMANLANDS LÄN</t>
        </is>
      </c>
      <c r="E112" t="inlineStr">
        <is>
          <t>SURAHAMMAR</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19099-2022</t>
        </is>
      </c>
      <c r="B113" s="1" t="n">
        <v>44691</v>
      </c>
      <c r="C113" s="1" t="n">
        <v>45900</v>
      </c>
      <c r="D113" t="inlineStr">
        <is>
          <t>VÄSTMANLANDS LÄN</t>
        </is>
      </c>
      <c r="E113" t="inlineStr">
        <is>
          <t>SURAHAMMAR</t>
        </is>
      </c>
      <c r="F113" t="inlineStr">
        <is>
          <t>Övriga Aktiebolag</t>
        </is>
      </c>
      <c r="G113" t="n">
        <v>3.4</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45900</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45900</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25780-2023</t>
        </is>
      </c>
      <c r="B116" s="1" t="n">
        <v>45090.47523148148</v>
      </c>
      <c r="C116" s="1" t="n">
        <v>45900</v>
      </c>
      <c r="D116" t="inlineStr">
        <is>
          <t>VÄSTMANLANDS LÄN</t>
        </is>
      </c>
      <c r="E116" t="inlineStr">
        <is>
          <t>SURAHAMMAR</t>
        </is>
      </c>
      <c r="G116" t="n">
        <v>2.8</v>
      </c>
      <c r="H116" t="n">
        <v>0</v>
      </c>
      <c r="I116" t="n">
        <v>0</v>
      </c>
      <c r="J116" t="n">
        <v>0</v>
      </c>
      <c r="K116" t="n">
        <v>0</v>
      </c>
      <c r="L116" t="n">
        <v>0</v>
      </c>
      <c r="M116" t="n">
        <v>0</v>
      </c>
      <c r="N116" t="n">
        <v>0</v>
      </c>
      <c r="O116" t="n">
        <v>0</v>
      </c>
      <c r="P116" t="n">
        <v>0</v>
      </c>
      <c r="Q116" t="n">
        <v>0</v>
      </c>
      <c r="R116" s="2" t="inlineStr"/>
    </row>
    <row r="117" ht="15" customHeight="1">
      <c r="A117" t="inlineStr">
        <is>
          <t>A 14626-2023</t>
        </is>
      </c>
      <c r="B117" s="1" t="n">
        <v>45012</v>
      </c>
      <c r="C117" s="1" t="n">
        <v>45900</v>
      </c>
      <c r="D117" t="inlineStr">
        <is>
          <t>VÄSTMANLANDS LÄN</t>
        </is>
      </c>
      <c r="E117" t="inlineStr">
        <is>
          <t>SURAHAMMAR</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13386-2025</t>
        </is>
      </c>
      <c r="B118" s="1" t="n">
        <v>45735</v>
      </c>
      <c r="C118" s="1" t="n">
        <v>45900</v>
      </c>
      <c r="D118" t="inlineStr">
        <is>
          <t>VÄSTMANLANDS LÄN</t>
        </is>
      </c>
      <c r="E118" t="inlineStr">
        <is>
          <t>SURAHAMMAR</t>
        </is>
      </c>
      <c r="F118" t="inlineStr">
        <is>
          <t>Bergvik skog väst AB</t>
        </is>
      </c>
      <c r="G118" t="n">
        <v>4</v>
      </c>
      <c r="H118" t="n">
        <v>0</v>
      </c>
      <c r="I118" t="n">
        <v>0</v>
      </c>
      <c r="J118" t="n">
        <v>0</v>
      </c>
      <c r="K118" t="n">
        <v>0</v>
      </c>
      <c r="L118" t="n">
        <v>0</v>
      </c>
      <c r="M118" t="n">
        <v>0</v>
      </c>
      <c r="N118" t="n">
        <v>0</v>
      </c>
      <c r="O118" t="n">
        <v>0</v>
      </c>
      <c r="P118" t="n">
        <v>0</v>
      </c>
      <c r="Q118" t="n">
        <v>0</v>
      </c>
      <c r="R118" s="2" t="inlineStr"/>
    </row>
    <row r="119" ht="15" customHeight="1">
      <c r="A119" t="inlineStr">
        <is>
          <t>A 8553-2023</t>
        </is>
      </c>
      <c r="B119" s="1" t="n">
        <v>44977</v>
      </c>
      <c r="C119" s="1" t="n">
        <v>45900</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56378-2023</t>
        </is>
      </c>
      <c r="B120" s="1" t="n">
        <v>45236</v>
      </c>
      <c r="C120" s="1" t="n">
        <v>45900</v>
      </c>
      <c r="D120" t="inlineStr">
        <is>
          <t>VÄSTMANLANDS LÄN</t>
        </is>
      </c>
      <c r="E120" t="inlineStr">
        <is>
          <t>SURAHAMMAR</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45900</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11728-2023</t>
        </is>
      </c>
      <c r="B122" s="1" t="n">
        <v>44993</v>
      </c>
      <c r="C122" s="1" t="n">
        <v>45900</v>
      </c>
      <c r="D122" t="inlineStr">
        <is>
          <t>VÄSTMANLANDS LÄN</t>
        </is>
      </c>
      <c r="E122" t="inlineStr">
        <is>
          <t>SURAHAMMAR</t>
        </is>
      </c>
      <c r="F122" t="inlineStr">
        <is>
          <t>Bergvik skog väst AB</t>
        </is>
      </c>
      <c r="G122" t="n">
        <v>0.4</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45900</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2867-2024</t>
        </is>
      </c>
      <c r="B124" s="1" t="n">
        <v>45315</v>
      </c>
      <c r="C124" s="1" t="n">
        <v>45900</v>
      </c>
      <c r="D124" t="inlineStr">
        <is>
          <t>VÄSTMANLANDS LÄN</t>
        </is>
      </c>
      <c r="E124" t="inlineStr">
        <is>
          <t>SURAHAMMAR</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45900</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2660-2024</t>
        </is>
      </c>
      <c r="B126" s="1" t="n">
        <v>45310</v>
      </c>
      <c r="C126" s="1" t="n">
        <v>45900</v>
      </c>
      <c r="D126" t="inlineStr">
        <is>
          <t>VÄSTMANLANDS LÄN</t>
        </is>
      </c>
      <c r="E126" t="inlineStr">
        <is>
          <t>SURAHAMMAR</t>
        </is>
      </c>
      <c r="G126" t="n">
        <v>2.1</v>
      </c>
      <c r="H126" t="n">
        <v>0</v>
      </c>
      <c r="I126" t="n">
        <v>0</v>
      </c>
      <c r="J126" t="n">
        <v>0</v>
      </c>
      <c r="K126" t="n">
        <v>0</v>
      </c>
      <c r="L126" t="n">
        <v>0</v>
      </c>
      <c r="M126" t="n">
        <v>0</v>
      </c>
      <c r="N126" t="n">
        <v>0</v>
      </c>
      <c r="O126" t="n">
        <v>0</v>
      </c>
      <c r="P126" t="n">
        <v>0</v>
      </c>
      <c r="Q126" t="n">
        <v>0</v>
      </c>
      <c r="R126" s="2" t="inlineStr"/>
    </row>
    <row r="127" ht="15" customHeight="1">
      <c r="A127" t="inlineStr">
        <is>
          <t>A 11501-2023</t>
        </is>
      </c>
      <c r="B127" s="1" t="n">
        <v>44991</v>
      </c>
      <c r="C127" s="1" t="n">
        <v>45900</v>
      </c>
      <c r="D127" t="inlineStr">
        <is>
          <t>VÄSTMANLANDS LÄN</t>
        </is>
      </c>
      <c r="E127" t="inlineStr">
        <is>
          <t>SURAHAMMAR</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16013-2023</t>
        </is>
      </c>
      <c r="B128" s="1" t="n">
        <v>45026</v>
      </c>
      <c r="C128" s="1" t="n">
        <v>45900</v>
      </c>
      <c r="D128" t="inlineStr">
        <is>
          <t>VÄSTMANLANDS LÄN</t>
        </is>
      </c>
      <c r="E128" t="inlineStr">
        <is>
          <t>SURAHAMMAR</t>
        </is>
      </c>
      <c r="G128" t="n">
        <v>3.9</v>
      </c>
      <c r="H128" t="n">
        <v>0</v>
      </c>
      <c r="I128" t="n">
        <v>0</v>
      </c>
      <c r="J128" t="n">
        <v>0</v>
      </c>
      <c r="K128" t="n">
        <v>0</v>
      </c>
      <c r="L128" t="n">
        <v>0</v>
      </c>
      <c r="M128" t="n">
        <v>0</v>
      </c>
      <c r="N128" t="n">
        <v>0</v>
      </c>
      <c r="O128" t="n">
        <v>0</v>
      </c>
      <c r="P128" t="n">
        <v>0</v>
      </c>
      <c r="Q128" t="n">
        <v>0</v>
      </c>
      <c r="R128" s="2" t="inlineStr"/>
    </row>
    <row r="129" ht="15" customHeight="1">
      <c r="A129" t="inlineStr">
        <is>
          <t>A 41555-2022</t>
        </is>
      </c>
      <c r="B129" s="1" t="n">
        <v>44826</v>
      </c>
      <c r="C129" s="1" t="n">
        <v>45900</v>
      </c>
      <c r="D129" t="inlineStr">
        <is>
          <t>VÄSTMANLANDS LÄN</t>
        </is>
      </c>
      <c r="E129" t="inlineStr">
        <is>
          <t>SURAHAMMAR</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20904-2023</t>
        </is>
      </c>
      <c r="B130" s="1" t="n">
        <v>45060</v>
      </c>
      <c r="C130" s="1" t="n">
        <v>45900</v>
      </c>
      <c r="D130" t="inlineStr">
        <is>
          <t>VÄSTMANLANDS LÄN</t>
        </is>
      </c>
      <c r="E130" t="inlineStr">
        <is>
          <t>SURAHAMMAR</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45900</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42829-2022</t>
        </is>
      </c>
      <c r="B132" s="1" t="n">
        <v>44832</v>
      </c>
      <c r="C132" s="1" t="n">
        <v>45900</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34582-2025</t>
        </is>
      </c>
      <c r="B133" s="1" t="n">
        <v>45846</v>
      </c>
      <c r="C133" s="1" t="n">
        <v>45900</v>
      </c>
      <c r="D133" t="inlineStr">
        <is>
          <t>VÄSTMANLANDS LÄN</t>
        </is>
      </c>
      <c r="E133" t="inlineStr">
        <is>
          <t>SURAHAMMAR</t>
        </is>
      </c>
      <c r="F133" t="inlineStr">
        <is>
          <t>Bergvik skog väst AB</t>
        </is>
      </c>
      <c r="G133" t="n">
        <v>2.6</v>
      </c>
      <c r="H133" t="n">
        <v>0</v>
      </c>
      <c r="I133" t="n">
        <v>0</v>
      </c>
      <c r="J133" t="n">
        <v>0</v>
      </c>
      <c r="K133" t="n">
        <v>0</v>
      </c>
      <c r="L133" t="n">
        <v>0</v>
      </c>
      <c r="M133" t="n">
        <v>0</v>
      </c>
      <c r="N133" t="n">
        <v>0</v>
      </c>
      <c r="O133" t="n">
        <v>0</v>
      </c>
      <c r="P133" t="n">
        <v>0</v>
      </c>
      <c r="Q133" t="n">
        <v>0</v>
      </c>
      <c r="R133" s="2" t="inlineStr"/>
    </row>
    <row r="134" ht="15" customHeight="1">
      <c r="A134" t="inlineStr">
        <is>
          <t>A 5567-2022</t>
        </is>
      </c>
      <c r="B134" s="1" t="n">
        <v>44595</v>
      </c>
      <c r="C134" s="1" t="n">
        <v>45900</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41576-2022</t>
        </is>
      </c>
      <c r="B135" s="1" t="n">
        <v>44826</v>
      </c>
      <c r="C135" s="1" t="n">
        <v>45900</v>
      </c>
      <c r="D135" t="inlineStr">
        <is>
          <t>VÄSTMANLANDS LÄN</t>
        </is>
      </c>
      <c r="E135" t="inlineStr">
        <is>
          <t>SURAHAMMAR</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45900</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32910-2025</t>
        </is>
      </c>
      <c r="B137" s="1" t="n">
        <v>45839</v>
      </c>
      <c r="C137" s="1" t="n">
        <v>45900</v>
      </c>
      <c r="D137" t="inlineStr">
        <is>
          <t>VÄSTMANLANDS LÄN</t>
        </is>
      </c>
      <c r="E137" t="inlineStr">
        <is>
          <t>SURAHAMMAR</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32916-2025</t>
        </is>
      </c>
      <c r="B138" s="1" t="n">
        <v>45839</v>
      </c>
      <c r="C138" s="1" t="n">
        <v>45900</v>
      </c>
      <c r="D138" t="inlineStr">
        <is>
          <t>VÄSTMANLANDS LÄN</t>
        </is>
      </c>
      <c r="E138" t="inlineStr">
        <is>
          <t>SURAHAMMAR</t>
        </is>
      </c>
      <c r="F138" t="inlineStr">
        <is>
          <t>Kommuner</t>
        </is>
      </c>
      <c r="G138" t="n">
        <v>4.9</v>
      </c>
      <c r="H138" t="n">
        <v>0</v>
      </c>
      <c r="I138" t="n">
        <v>0</v>
      </c>
      <c r="J138" t="n">
        <v>0</v>
      </c>
      <c r="K138" t="n">
        <v>0</v>
      </c>
      <c r="L138" t="n">
        <v>0</v>
      </c>
      <c r="M138" t="n">
        <v>0</v>
      </c>
      <c r="N138" t="n">
        <v>0</v>
      </c>
      <c r="O138" t="n">
        <v>0</v>
      </c>
      <c r="P138" t="n">
        <v>0</v>
      </c>
      <c r="Q138" t="n">
        <v>0</v>
      </c>
      <c r="R138" s="2" t="inlineStr"/>
    </row>
    <row r="139" ht="15" customHeight="1">
      <c r="A139" t="inlineStr">
        <is>
          <t>A 52074-2020</t>
        </is>
      </c>
      <c r="B139" s="1" t="n">
        <v>44117</v>
      </c>
      <c r="C139" s="1" t="n">
        <v>45900</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45900</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48205-2023</t>
        </is>
      </c>
      <c r="B141" s="1" t="n">
        <v>45205</v>
      </c>
      <c r="C141" s="1" t="n">
        <v>45900</v>
      </c>
      <c r="D141" t="inlineStr">
        <is>
          <t>VÄSTMANLANDS LÄN</t>
        </is>
      </c>
      <c r="E141" t="inlineStr">
        <is>
          <t>SURAHAMMAR</t>
        </is>
      </c>
      <c r="F141" t="inlineStr">
        <is>
          <t>Allmännings- och besparingsskogar</t>
        </is>
      </c>
      <c r="G141" t="n">
        <v>7.6</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45900</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33931-2022</t>
        </is>
      </c>
      <c r="B143" s="1" t="n">
        <v>44790.65153935185</v>
      </c>
      <c r="C143" s="1" t="n">
        <v>45900</v>
      </c>
      <c r="D143" t="inlineStr">
        <is>
          <t>VÄSTMANLANDS LÄN</t>
        </is>
      </c>
      <c r="E143" t="inlineStr">
        <is>
          <t>SURAHAMMAR</t>
        </is>
      </c>
      <c r="G143" t="n">
        <v>2.2</v>
      </c>
      <c r="H143" t="n">
        <v>0</v>
      </c>
      <c r="I143" t="n">
        <v>0</v>
      </c>
      <c r="J143" t="n">
        <v>0</v>
      </c>
      <c r="K143" t="n">
        <v>0</v>
      </c>
      <c r="L143" t="n">
        <v>0</v>
      </c>
      <c r="M143" t="n">
        <v>0</v>
      </c>
      <c r="N143" t="n">
        <v>0</v>
      </c>
      <c r="O143" t="n">
        <v>0</v>
      </c>
      <c r="P143" t="n">
        <v>0</v>
      </c>
      <c r="Q143" t="n">
        <v>0</v>
      </c>
      <c r="R143" s="2" t="inlineStr"/>
    </row>
    <row r="144" ht="15" customHeight="1">
      <c r="A144" t="inlineStr">
        <is>
          <t>A 22662-2023</t>
        </is>
      </c>
      <c r="B144" s="1" t="n">
        <v>45071</v>
      </c>
      <c r="C144" s="1" t="n">
        <v>45900</v>
      </c>
      <c r="D144" t="inlineStr">
        <is>
          <t>VÄSTMANLANDS LÄN</t>
        </is>
      </c>
      <c r="E144" t="inlineStr">
        <is>
          <t>SURAHAMMAR</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44608.58400462963</v>
      </c>
      <c r="C145" s="1" t="n">
        <v>45900</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16608-2022</t>
        </is>
      </c>
      <c r="B146" s="1" t="n">
        <v>44672</v>
      </c>
      <c r="C146" s="1" t="n">
        <v>45900</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30076-2023</t>
        </is>
      </c>
      <c r="B147" s="1" t="n">
        <v>45110</v>
      </c>
      <c r="C147" s="1" t="n">
        <v>45900</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15743-2023</t>
        </is>
      </c>
      <c r="B148" s="1" t="n">
        <v>45021</v>
      </c>
      <c r="C148" s="1" t="n">
        <v>45900</v>
      </c>
      <c r="D148" t="inlineStr">
        <is>
          <t>VÄSTMANLANDS LÄN</t>
        </is>
      </c>
      <c r="E148" t="inlineStr">
        <is>
          <t>SURAHAMMAR</t>
        </is>
      </c>
      <c r="G148" t="n">
        <v>0.5</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44662.89638888889</v>
      </c>
      <c r="C149" s="1" t="n">
        <v>45900</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19786-2023</t>
        </is>
      </c>
      <c r="B150" s="1" t="n">
        <v>45050</v>
      </c>
      <c r="C150" s="1" t="n">
        <v>45900</v>
      </c>
      <c r="D150" t="inlineStr">
        <is>
          <t>VÄSTMANLANDS LÄN</t>
        </is>
      </c>
      <c r="E150" t="inlineStr">
        <is>
          <t>SURAHAMMAR</t>
        </is>
      </c>
      <c r="F150" t="inlineStr">
        <is>
          <t>Bergvik skog väst AB</t>
        </is>
      </c>
      <c r="G150" t="n">
        <v>8.1</v>
      </c>
      <c r="H150" t="n">
        <v>0</v>
      </c>
      <c r="I150" t="n">
        <v>0</v>
      </c>
      <c r="J150" t="n">
        <v>0</v>
      </c>
      <c r="K150" t="n">
        <v>0</v>
      </c>
      <c r="L150" t="n">
        <v>0</v>
      </c>
      <c r="M150" t="n">
        <v>0</v>
      </c>
      <c r="N150" t="n">
        <v>0</v>
      </c>
      <c r="O150" t="n">
        <v>0</v>
      </c>
      <c r="P150" t="n">
        <v>0</v>
      </c>
      <c r="Q150" t="n">
        <v>0</v>
      </c>
      <c r="R150" s="2" t="inlineStr"/>
    </row>
    <row r="151">
      <c r="A151" t="inlineStr">
        <is>
          <t>A 10396-2025</t>
        </is>
      </c>
      <c r="B151" s="1" t="n">
        <v>45720.60721064815</v>
      </c>
      <c r="C151" s="1" t="n">
        <v>45900</v>
      </c>
      <c r="D151" t="inlineStr">
        <is>
          <t>VÄSTMANLANDS LÄN</t>
        </is>
      </c>
      <c r="E151" t="inlineStr">
        <is>
          <t>SURAHAMMAR</t>
        </is>
      </c>
      <c r="F151" t="inlineStr">
        <is>
          <t>Allmännings- och besparingsskogar</t>
        </is>
      </c>
      <c r="G151" t="n">
        <v>9.300000000000001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2025-08-31T08:29:59Z</dcterms:created>
  <dcterms:modified xmlns:dcterms="http://purl.org/dc/terms/" xmlns:xsi="http://www.w3.org/2001/XMLSchema-instance" xsi:type="dcterms:W3CDTF">2025-08-31T08:29:59Z</dcterms:modified>
</cp:coreProperties>
</file>