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45741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45741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45741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45741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45741</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45741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45741</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45741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45741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45741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45741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45741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45741</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45741</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45741</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45741</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45741</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45741</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45741</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45741</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45741</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45741</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45741</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45741</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45741</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45741</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45741</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45741</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45741</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45741</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45741</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45741</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45741</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45741</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45741</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2708-2020</t>
        </is>
      </c>
      <c r="B37" s="1" t="n">
        <v>43850</v>
      </c>
      <c r="C37" s="1" t="n">
        <v>45741</v>
      </c>
      <c r="D37" t="inlineStr">
        <is>
          <t>VÄSTMANLANDS LÄN</t>
        </is>
      </c>
      <c r="E37" t="inlineStr">
        <is>
          <t>SURAHAMMAR</t>
        </is>
      </c>
      <c r="F37" t="inlineStr">
        <is>
          <t>Övriga Aktiebolag</t>
        </is>
      </c>
      <c r="G37" t="n">
        <v>29.7</v>
      </c>
      <c r="H37" t="n">
        <v>1</v>
      </c>
      <c r="I37" t="n">
        <v>0</v>
      </c>
      <c r="J37" t="n">
        <v>3</v>
      </c>
      <c r="K37" t="n">
        <v>0</v>
      </c>
      <c r="L37" t="n">
        <v>0</v>
      </c>
      <c r="M37" t="n">
        <v>0</v>
      </c>
      <c r="N37" t="n">
        <v>0</v>
      </c>
      <c r="O37" t="n">
        <v>3</v>
      </c>
      <c r="P37" t="n">
        <v>0</v>
      </c>
      <c r="Q37" t="n">
        <v>3</v>
      </c>
      <c r="R37" s="2" t="inlineStr">
        <is>
          <t>Spillkråka
Tallticka
Ullticka</t>
        </is>
      </c>
      <c r="S37">
        <f>HYPERLINK("https://klasma.github.io/Logging_1907/artfynd/A 2708-2020 artfynd.xlsx", "A 2708-2020")</f>
        <v/>
      </c>
      <c r="T37">
        <f>HYPERLINK("https://klasma.github.io/Logging_1907/kartor/A 2708-2020 karta.png", "A 2708-2020")</f>
        <v/>
      </c>
      <c r="V37">
        <f>HYPERLINK("https://klasma.github.io/Logging_1907/klagomål/A 2708-2020 FSC-klagomål.docx", "A 2708-2020")</f>
        <v/>
      </c>
      <c r="W37">
        <f>HYPERLINK("https://klasma.github.io/Logging_1907/klagomålsmail/A 2708-2020 FSC-klagomål mail.docx", "A 2708-2020")</f>
        <v/>
      </c>
      <c r="X37">
        <f>HYPERLINK("https://klasma.github.io/Logging_1907/tillsyn/A 2708-2020 tillsynsbegäran.docx", "A 2708-2020")</f>
        <v/>
      </c>
      <c r="Y37">
        <f>HYPERLINK("https://klasma.github.io/Logging_1907/tillsynsmail/A 2708-2020 tillsynsbegäran mail.docx", "A 2708-2020")</f>
        <v/>
      </c>
      <c r="Z37">
        <f>HYPERLINK("https://klasma.github.io/Logging_1907/fåglar/A 2708-2020 prioriterade fågelarter.docx", "A 2708-2020")</f>
        <v/>
      </c>
    </row>
    <row r="38" ht="15" customHeight="1">
      <c r="A38" t="inlineStr">
        <is>
          <t>A 43169-2020</t>
        </is>
      </c>
      <c r="B38" s="1" t="n">
        <v>44081</v>
      </c>
      <c r="C38" s="1" t="n">
        <v>45741</v>
      </c>
      <c r="D38" t="inlineStr">
        <is>
          <t>VÄSTMANLANDS LÄN</t>
        </is>
      </c>
      <c r="E38" t="inlineStr">
        <is>
          <t>SURAHAMMAR</t>
        </is>
      </c>
      <c r="F38" t="inlineStr">
        <is>
          <t>Sveaskog</t>
        </is>
      </c>
      <c r="G38" t="n">
        <v>6.4</v>
      </c>
      <c r="H38" t="n">
        <v>1</v>
      </c>
      <c r="I38" t="n">
        <v>0</v>
      </c>
      <c r="J38" t="n">
        <v>2</v>
      </c>
      <c r="K38" t="n">
        <v>1</v>
      </c>
      <c r="L38" t="n">
        <v>0</v>
      </c>
      <c r="M38" t="n">
        <v>0</v>
      </c>
      <c r="N38" t="n">
        <v>0</v>
      </c>
      <c r="O38" t="n">
        <v>3</v>
      </c>
      <c r="P38" t="n">
        <v>1</v>
      </c>
      <c r="Q38" t="n">
        <v>3</v>
      </c>
      <c r="R38" s="2" t="inlineStr">
        <is>
          <t>Hängticka
Björktrast
Kandelabersvamp</t>
        </is>
      </c>
      <c r="S38">
        <f>HYPERLINK("https://klasma.github.io/Logging_1907/artfynd/A 43169-2020 artfynd.xlsx", "A 43169-2020")</f>
        <v/>
      </c>
      <c r="T38">
        <f>HYPERLINK("https://klasma.github.io/Logging_1907/kartor/A 43169-2020 karta.png", "A 43169-2020")</f>
        <v/>
      </c>
      <c r="V38">
        <f>HYPERLINK("https://klasma.github.io/Logging_1907/klagomål/A 43169-2020 FSC-klagomål.docx", "A 43169-2020")</f>
        <v/>
      </c>
      <c r="W38">
        <f>HYPERLINK("https://klasma.github.io/Logging_1907/klagomålsmail/A 43169-2020 FSC-klagomål mail.docx", "A 43169-2020")</f>
        <v/>
      </c>
      <c r="X38">
        <f>HYPERLINK("https://klasma.github.io/Logging_1907/tillsyn/A 43169-2020 tillsynsbegäran.docx", "A 43169-2020")</f>
        <v/>
      </c>
      <c r="Y38">
        <f>HYPERLINK("https://klasma.github.io/Logging_1907/tillsynsmail/A 43169-2020 tillsynsbegäran mail.docx", "A 43169-2020")</f>
        <v/>
      </c>
      <c r="Z38">
        <f>HYPERLINK("https://klasma.github.io/Logging_1907/fåglar/A 43169-2020 prioriterade fågelarter.docx", "A 43169-2020")</f>
        <v/>
      </c>
    </row>
    <row r="39" ht="15" customHeight="1">
      <c r="A39" t="inlineStr">
        <is>
          <t>A 59550-2020</t>
        </is>
      </c>
      <c r="B39" s="1" t="n">
        <v>44148</v>
      </c>
      <c r="C39" s="1" t="n">
        <v>45741</v>
      </c>
      <c r="D39" t="inlineStr">
        <is>
          <t>VÄSTMANLANDS LÄN</t>
        </is>
      </c>
      <c r="E39" t="inlineStr">
        <is>
          <t>SURAHAMMAR</t>
        </is>
      </c>
      <c r="G39" t="n">
        <v>0.8</v>
      </c>
      <c r="H39" t="n">
        <v>1</v>
      </c>
      <c r="I39" t="n">
        <v>1</v>
      </c>
      <c r="J39" t="n">
        <v>1</v>
      </c>
      <c r="K39" t="n">
        <v>0</v>
      </c>
      <c r="L39" t="n">
        <v>0</v>
      </c>
      <c r="M39" t="n">
        <v>0</v>
      </c>
      <c r="N39" t="n">
        <v>0</v>
      </c>
      <c r="O39" t="n">
        <v>1</v>
      </c>
      <c r="P39" t="n">
        <v>0</v>
      </c>
      <c r="Q39" t="n">
        <v>3</v>
      </c>
      <c r="R39" s="2" t="inlineStr">
        <is>
          <t>Ljusskivig lerskivling
Hasselticka
Blåsippa</t>
        </is>
      </c>
      <c r="S39">
        <f>HYPERLINK("https://klasma.github.io/Logging_1907/artfynd/A 59550-2020 artfynd.xlsx", "A 59550-2020")</f>
        <v/>
      </c>
      <c r="T39">
        <f>HYPERLINK("https://klasma.github.io/Logging_1907/kartor/A 59550-2020 karta.png", "A 59550-2020")</f>
        <v/>
      </c>
      <c r="V39">
        <f>HYPERLINK("https://klasma.github.io/Logging_1907/klagomål/A 59550-2020 FSC-klagomål.docx", "A 59550-2020")</f>
        <v/>
      </c>
      <c r="W39">
        <f>HYPERLINK("https://klasma.github.io/Logging_1907/klagomålsmail/A 59550-2020 FSC-klagomål mail.docx", "A 59550-2020")</f>
        <v/>
      </c>
      <c r="X39">
        <f>HYPERLINK("https://klasma.github.io/Logging_1907/tillsyn/A 59550-2020 tillsynsbegäran.docx", "A 59550-2020")</f>
        <v/>
      </c>
      <c r="Y39">
        <f>HYPERLINK("https://klasma.github.io/Logging_1907/tillsynsmail/A 59550-2020 tillsynsbegäran mail.docx", "A 59550-2020")</f>
        <v/>
      </c>
    </row>
    <row r="40" ht="15" customHeight="1">
      <c r="A40" t="inlineStr">
        <is>
          <t>A 38200-2021</t>
        </is>
      </c>
      <c r="B40" s="1" t="n">
        <v>44405</v>
      </c>
      <c r="C40" s="1" t="n">
        <v>45741</v>
      </c>
      <c r="D40" t="inlineStr">
        <is>
          <t>VÄSTMANLANDS LÄN</t>
        </is>
      </c>
      <c r="E40" t="inlineStr">
        <is>
          <t>SURAHAMMAR</t>
        </is>
      </c>
      <c r="F40" t="inlineStr">
        <is>
          <t>Sveaskog</t>
        </is>
      </c>
      <c r="G40" t="n">
        <v>1.5</v>
      </c>
      <c r="H40" t="n">
        <v>1</v>
      </c>
      <c r="I40" t="n">
        <v>0</v>
      </c>
      <c r="J40" t="n">
        <v>1</v>
      </c>
      <c r="K40" t="n">
        <v>1</v>
      </c>
      <c r="L40" t="n">
        <v>0</v>
      </c>
      <c r="M40" t="n">
        <v>0</v>
      </c>
      <c r="N40" t="n">
        <v>0</v>
      </c>
      <c r="O40" t="n">
        <v>2</v>
      </c>
      <c r="P40" t="n">
        <v>1</v>
      </c>
      <c r="Q40" t="n">
        <v>3</v>
      </c>
      <c r="R40" s="2" t="inlineStr">
        <is>
          <t>Vågticka
Svinrot
Kopparödla</t>
        </is>
      </c>
      <c r="S40">
        <f>HYPERLINK("https://klasma.github.io/Logging_1907/artfynd/A 38200-2021 artfynd.xlsx", "A 38200-2021")</f>
        <v/>
      </c>
      <c r="T40">
        <f>HYPERLINK("https://klasma.github.io/Logging_1907/kartor/A 38200-2021 karta.png", "A 38200-2021")</f>
        <v/>
      </c>
      <c r="V40">
        <f>HYPERLINK("https://klasma.github.io/Logging_1907/klagomål/A 38200-2021 FSC-klagomål.docx", "A 38200-2021")</f>
        <v/>
      </c>
      <c r="W40">
        <f>HYPERLINK("https://klasma.github.io/Logging_1907/klagomålsmail/A 38200-2021 FSC-klagomål mail.docx", "A 38200-2021")</f>
        <v/>
      </c>
      <c r="X40">
        <f>HYPERLINK("https://klasma.github.io/Logging_1907/tillsyn/A 38200-2021 tillsynsbegäran.docx", "A 38200-2021")</f>
        <v/>
      </c>
      <c r="Y40">
        <f>HYPERLINK("https://klasma.github.io/Logging_1907/tillsynsmail/A 38200-2021 tillsynsbegäran mail.docx", "A 38200-2021")</f>
        <v/>
      </c>
    </row>
    <row r="41" ht="15" customHeight="1">
      <c r="A41" t="inlineStr">
        <is>
          <t>A 8552-2022</t>
        </is>
      </c>
      <c r="B41" s="1" t="n">
        <v>44613</v>
      </c>
      <c r="C41" s="1" t="n">
        <v>45741</v>
      </c>
      <c r="D41" t="inlineStr">
        <is>
          <t>VÄSTMANLANDS LÄN</t>
        </is>
      </c>
      <c r="E41" t="inlineStr">
        <is>
          <t>SURAHAMMAR</t>
        </is>
      </c>
      <c r="F41" t="inlineStr">
        <is>
          <t>Bergvik skog väst AB</t>
        </is>
      </c>
      <c r="G41" t="n">
        <v>3.2</v>
      </c>
      <c r="H41" t="n">
        <v>2</v>
      </c>
      <c r="I41" t="n">
        <v>1</v>
      </c>
      <c r="J41" t="n">
        <v>2</v>
      </c>
      <c r="K41" t="n">
        <v>0</v>
      </c>
      <c r="L41" t="n">
        <v>0</v>
      </c>
      <c r="M41" t="n">
        <v>0</v>
      </c>
      <c r="N41" t="n">
        <v>0</v>
      </c>
      <c r="O41" t="n">
        <v>2</v>
      </c>
      <c r="P41" t="n">
        <v>0</v>
      </c>
      <c r="Q41" t="n">
        <v>3</v>
      </c>
      <c r="R41" s="2" t="inlineStr">
        <is>
          <t>Spillkråka
Talltita
Mindre märgborre</t>
        </is>
      </c>
      <c r="S41">
        <f>HYPERLINK("https://klasma.github.io/Logging_1907/artfynd/A 8552-2022 artfynd.xlsx", "A 8552-2022")</f>
        <v/>
      </c>
      <c r="T41">
        <f>HYPERLINK("https://klasma.github.io/Logging_1907/kartor/A 8552-2022 karta.png", "A 8552-2022")</f>
        <v/>
      </c>
      <c r="V41">
        <f>HYPERLINK("https://klasma.github.io/Logging_1907/klagomål/A 8552-2022 FSC-klagomål.docx", "A 8552-2022")</f>
        <v/>
      </c>
      <c r="W41">
        <f>HYPERLINK("https://klasma.github.io/Logging_1907/klagomålsmail/A 8552-2022 FSC-klagomål mail.docx", "A 8552-2022")</f>
        <v/>
      </c>
      <c r="X41">
        <f>HYPERLINK("https://klasma.github.io/Logging_1907/tillsyn/A 8552-2022 tillsynsbegäran.docx", "A 8552-2022")</f>
        <v/>
      </c>
      <c r="Y41">
        <f>HYPERLINK("https://klasma.github.io/Logging_1907/tillsynsmail/A 8552-2022 tillsynsbegäran mail.docx", "A 8552-2022")</f>
        <v/>
      </c>
      <c r="Z41">
        <f>HYPERLINK("https://klasma.github.io/Logging_1907/fåglar/A 8552-2022 prioriterade fågelarter.docx", "A 8552-2022")</f>
        <v/>
      </c>
    </row>
    <row r="42" ht="15" customHeight="1">
      <c r="A42" t="inlineStr">
        <is>
          <t>A 42708-2022</t>
        </is>
      </c>
      <c r="B42" s="1" t="n">
        <v>44832</v>
      </c>
      <c r="C42" s="1" t="n">
        <v>45741</v>
      </c>
      <c r="D42" t="inlineStr">
        <is>
          <t>VÄSTMANLANDS LÄN</t>
        </is>
      </c>
      <c r="E42" t="inlineStr">
        <is>
          <t>SURAHAMMAR</t>
        </is>
      </c>
      <c r="G42" t="n">
        <v>27.2</v>
      </c>
      <c r="H42" t="n">
        <v>3</v>
      </c>
      <c r="I42" t="n">
        <v>0</v>
      </c>
      <c r="J42" t="n">
        <v>2</v>
      </c>
      <c r="K42" t="n">
        <v>0</v>
      </c>
      <c r="L42" t="n">
        <v>0</v>
      </c>
      <c r="M42" t="n">
        <v>0</v>
      </c>
      <c r="N42" t="n">
        <v>0</v>
      </c>
      <c r="O42" t="n">
        <v>2</v>
      </c>
      <c r="P42" t="n">
        <v>0</v>
      </c>
      <c r="Q42" t="n">
        <v>3</v>
      </c>
      <c r="R42" s="2" t="inlineStr">
        <is>
          <t>Entita
Spillkråka
Blåsippa</t>
        </is>
      </c>
      <c r="S42">
        <f>HYPERLINK("https://klasma.github.io/Logging_1907/artfynd/A 42708-2022 artfynd.xlsx", "A 42708-2022")</f>
        <v/>
      </c>
      <c r="T42">
        <f>HYPERLINK("https://klasma.github.io/Logging_1907/kartor/A 42708-2022 karta.png", "A 42708-2022")</f>
        <v/>
      </c>
      <c r="V42">
        <f>HYPERLINK("https://klasma.github.io/Logging_1907/klagomål/A 42708-2022 FSC-klagomål.docx", "A 42708-2022")</f>
        <v/>
      </c>
      <c r="W42">
        <f>HYPERLINK("https://klasma.github.io/Logging_1907/klagomålsmail/A 42708-2022 FSC-klagomål mail.docx", "A 42708-2022")</f>
        <v/>
      </c>
      <c r="X42">
        <f>HYPERLINK("https://klasma.github.io/Logging_1907/tillsyn/A 42708-2022 tillsynsbegäran.docx", "A 42708-2022")</f>
        <v/>
      </c>
      <c r="Y42">
        <f>HYPERLINK("https://klasma.github.io/Logging_1907/tillsynsmail/A 42708-2022 tillsynsbegäran mail.docx", "A 42708-2022")</f>
        <v/>
      </c>
      <c r="Z42">
        <f>HYPERLINK("https://klasma.github.io/Logging_1907/fåglar/A 42708-2022 prioriterade fågelarter.docx", "A 42708-2022")</f>
        <v/>
      </c>
    </row>
    <row r="43" ht="15" customHeight="1">
      <c r="A43" t="inlineStr">
        <is>
          <t>A 42853-2022</t>
        </is>
      </c>
      <c r="B43" s="1" t="n">
        <v>44832</v>
      </c>
      <c r="C43" s="1" t="n">
        <v>45741</v>
      </c>
      <c r="D43" t="inlineStr">
        <is>
          <t>VÄSTMANLANDS LÄN</t>
        </is>
      </c>
      <c r="E43" t="inlineStr">
        <is>
          <t>SURAHAMMAR</t>
        </is>
      </c>
      <c r="G43" t="n">
        <v>7.4</v>
      </c>
      <c r="H43" t="n">
        <v>1</v>
      </c>
      <c r="I43" t="n">
        <v>1</v>
      </c>
      <c r="J43" t="n">
        <v>1</v>
      </c>
      <c r="K43" t="n">
        <v>0</v>
      </c>
      <c r="L43" t="n">
        <v>1</v>
      </c>
      <c r="M43" t="n">
        <v>0</v>
      </c>
      <c r="N43" t="n">
        <v>0</v>
      </c>
      <c r="O43" t="n">
        <v>2</v>
      </c>
      <c r="P43" t="n">
        <v>1</v>
      </c>
      <c r="Q43" t="n">
        <v>3</v>
      </c>
      <c r="R43" s="2" t="inlineStr">
        <is>
          <t>Ask
Kandelabersvamp
Tvåblad</t>
        </is>
      </c>
      <c r="S43">
        <f>HYPERLINK("https://klasma.github.io/Logging_1907/artfynd/A 42853-2022 artfynd.xlsx", "A 42853-2022")</f>
        <v/>
      </c>
      <c r="T43">
        <f>HYPERLINK("https://klasma.github.io/Logging_1907/kartor/A 42853-2022 karta.png", "A 42853-2022")</f>
        <v/>
      </c>
      <c r="V43">
        <f>HYPERLINK("https://klasma.github.io/Logging_1907/klagomål/A 42853-2022 FSC-klagomål.docx", "A 42853-2022")</f>
        <v/>
      </c>
      <c r="W43">
        <f>HYPERLINK("https://klasma.github.io/Logging_1907/klagomålsmail/A 42853-2022 FSC-klagomål mail.docx", "A 42853-2022")</f>
        <v/>
      </c>
      <c r="X43">
        <f>HYPERLINK("https://klasma.github.io/Logging_1907/tillsyn/A 42853-2022 tillsynsbegäran.docx", "A 42853-2022")</f>
        <v/>
      </c>
      <c r="Y43">
        <f>HYPERLINK("https://klasma.github.io/Logging_1907/tillsynsmail/A 42853-2022 tillsynsbegäran mail.docx", "A 42853-2022")</f>
        <v/>
      </c>
    </row>
    <row r="44" ht="15" customHeight="1">
      <c r="A44" t="inlineStr">
        <is>
          <t>A 42860-2022</t>
        </is>
      </c>
      <c r="B44" s="1" t="n">
        <v>44832</v>
      </c>
      <c r="C44" s="1" t="n">
        <v>45741</v>
      </c>
      <c r="D44" t="inlineStr">
        <is>
          <t>VÄSTMANLANDS LÄN</t>
        </is>
      </c>
      <c r="E44" t="inlineStr">
        <is>
          <t>SURAHAMMAR</t>
        </is>
      </c>
      <c r="G44" t="n">
        <v>0.9</v>
      </c>
      <c r="H44" t="n">
        <v>0</v>
      </c>
      <c r="I44" t="n">
        <v>1</v>
      </c>
      <c r="J44" t="n">
        <v>0</v>
      </c>
      <c r="K44" t="n">
        <v>0</v>
      </c>
      <c r="L44" t="n">
        <v>1</v>
      </c>
      <c r="M44" t="n">
        <v>1</v>
      </c>
      <c r="N44" t="n">
        <v>0</v>
      </c>
      <c r="O44" t="n">
        <v>2</v>
      </c>
      <c r="P44" t="n">
        <v>2</v>
      </c>
      <c r="Q44" t="n">
        <v>3</v>
      </c>
      <c r="R44" s="2" t="inlineStr">
        <is>
          <t>Skogsalm
Ask
Scharlakansvårskål agg.</t>
        </is>
      </c>
      <c r="S44">
        <f>HYPERLINK("https://klasma.github.io/Logging_1907/artfynd/A 42860-2022 artfynd.xlsx", "A 42860-2022")</f>
        <v/>
      </c>
      <c r="T44">
        <f>HYPERLINK("https://klasma.github.io/Logging_1907/kartor/A 42860-2022 karta.png", "A 42860-2022")</f>
        <v/>
      </c>
      <c r="V44">
        <f>HYPERLINK("https://klasma.github.io/Logging_1907/klagomål/A 42860-2022 FSC-klagomål.docx", "A 42860-2022")</f>
        <v/>
      </c>
      <c r="W44">
        <f>HYPERLINK("https://klasma.github.io/Logging_1907/klagomålsmail/A 42860-2022 FSC-klagomål mail.docx", "A 42860-2022")</f>
        <v/>
      </c>
      <c r="X44">
        <f>HYPERLINK("https://klasma.github.io/Logging_1907/tillsyn/A 42860-2022 tillsynsbegäran.docx", "A 42860-2022")</f>
        <v/>
      </c>
      <c r="Y44">
        <f>HYPERLINK("https://klasma.github.io/Logging_1907/tillsynsmail/A 42860-2022 tillsynsbegäran mail.docx", "A 42860-2022")</f>
        <v/>
      </c>
    </row>
    <row r="45" ht="15" customHeight="1">
      <c r="A45" t="inlineStr">
        <is>
          <t>A 3012-2023</t>
        </is>
      </c>
      <c r="B45" s="1" t="n">
        <v>44945</v>
      </c>
      <c r="C45" s="1" t="n">
        <v>45741</v>
      </c>
      <c r="D45" t="inlineStr">
        <is>
          <t>VÄSTMANLANDS LÄN</t>
        </is>
      </c>
      <c r="E45" t="inlineStr">
        <is>
          <t>SURAHAMMAR</t>
        </is>
      </c>
      <c r="F45" t="inlineStr">
        <is>
          <t>Sveaskog</t>
        </is>
      </c>
      <c r="G45" t="n">
        <v>5.7</v>
      </c>
      <c r="H45" t="n">
        <v>0</v>
      </c>
      <c r="I45" t="n">
        <v>1</v>
      </c>
      <c r="J45" t="n">
        <v>0</v>
      </c>
      <c r="K45" t="n">
        <v>0</v>
      </c>
      <c r="L45" t="n">
        <v>1</v>
      </c>
      <c r="M45" t="n">
        <v>1</v>
      </c>
      <c r="N45" t="n">
        <v>0</v>
      </c>
      <c r="O45" t="n">
        <v>2</v>
      </c>
      <c r="P45" t="n">
        <v>2</v>
      </c>
      <c r="Q45" t="n">
        <v>3</v>
      </c>
      <c r="R45" s="2" t="inlineStr">
        <is>
          <t>Skogsalm
Ask
Svart trolldruva</t>
        </is>
      </c>
      <c r="S45">
        <f>HYPERLINK("https://klasma.github.io/Logging_1907/artfynd/A 3012-2023 artfynd.xlsx", "A 3012-2023")</f>
        <v/>
      </c>
      <c r="T45">
        <f>HYPERLINK("https://klasma.github.io/Logging_1907/kartor/A 3012-2023 karta.png", "A 3012-2023")</f>
        <v/>
      </c>
      <c r="V45">
        <f>HYPERLINK("https://klasma.github.io/Logging_1907/klagomål/A 3012-2023 FSC-klagomål.docx", "A 3012-2023")</f>
        <v/>
      </c>
      <c r="W45">
        <f>HYPERLINK("https://klasma.github.io/Logging_1907/klagomålsmail/A 3012-2023 FSC-klagomål mail.docx", "A 3012-2023")</f>
        <v/>
      </c>
      <c r="X45">
        <f>HYPERLINK("https://klasma.github.io/Logging_1907/tillsyn/A 3012-2023 tillsynsbegäran.docx", "A 3012-2023")</f>
        <v/>
      </c>
      <c r="Y45">
        <f>HYPERLINK("https://klasma.github.io/Logging_1907/tillsynsmail/A 3012-2023 tillsynsbegäran mail.docx", "A 3012-2023")</f>
        <v/>
      </c>
    </row>
    <row r="46" ht="15" customHeight="1">
      <c r="A46" t="inlineStr">
        <is>
          <t>A 14587-2023</t>
        </is>
      </c>
      <c r="B46" s="1" t="n">
        <v>45013</v>
      </c>
      <c r="C46" s="1" t="n">
        <v>45741</v>
      </c>
      <c r="D46" t="inlineStr">
        <is>
          <t>VÄSTMANLANDS LÄN</t>
        </is>
      </c>
      <c r="E46" t="inlineStr">
        <is>
          <t>SURAHAMMAR</t>
        </is>
      </c>
      <c r="G46" t="n">
        <v>14.8</v>
      </c>
      <c r="H46" t="n">
        <v>1</v>
      </c>
      <c r="I46" t="n">
        <v>1</v>
      </c>
      <c r="J46" t="n">
        <v>1</v>
      </c>
      <c r="K46" t="n">
        <v>0</v>
      </c>
      <c r="L46" t="n">
        <v>0</v>
      </c>
      <c r="M46" t="n">
        <v>0</v>
      </c>
      <c r="N46" t="n">
        <v>0</v>
      </c>
      <c r="O46" t="n">
        <v>1</v>
      </c>
      <c r="P46" t="n">
        <v>0</v>
      </c>
      <c r="Q46" t="n">
        <v>3</v>
      </c>
      <c r="R46" s="2" t="inlineStr">
        <is>
          <t>Skogshare
Vedticka
Mattlummer</t>
        </is>
      </c>
      <c r="S46">
        <f>HYPERLINK("https://klasma.github.io/Logging_1907/artfynd/A 14587-2023 artfynd.xlsx", "A 14587-2023")</f>
        <v/>
      </c>
      <c r="T46">
        <f>HYPERLINK("https://klasma.github.io/Logging_1907/kartor/A 14587-2023 karta.png", "A 14587-2023")</f>
        <v/>
      </c>
      <c r="V46">
        <f>HYPERLINK("https://klasma.github.io/Logging_1907/klagomål/A 14587-2023 FSC-klagomål.docx", "A 14587-2023")</f>
        <v/>
      </c>
      <c r="W46">
        <f>HYPERLINK("https://klasma.github.io/Logging_1907/klagomålsmail/A 14587-2023 FSC-klagomål mail.docx", "A 14587-2023")</f>
        <v/>
      </c>
      <c r="X46">
        <f>HYPERLINK("https://klasma.github.io/Logging_1907/tillsyn/A 14587-2023 tillsynsbegäran.docx", "A 14587-2023")</f>
        <v/>
      </c>
      <c r="Y46">
        <f>HYPERLINK("https://klasma.github.io/Logging_1907/tillsynsmail/A 14587-2023 tillsynsbegäran mail.docx", "A 14587-2023")</f>
        <v/>
      </c>
    </row>
    <row r="47" ht="15" customHeight="1">
      <c r="A47" t="inlineStr">
        <is>
          <t>A 23734-2023</t>
        </is>
      </c>
      <c r="B47" s="1" t="n">
        <v>45077</v>
      </c>
      <c r="C47" s="1" t="n">
        <v>45741</v>
      </c>
      <c r="D47" t="inlineStr">
        <is>
          <t>VÄSTMANLANDS LÄN</t>
        </is>
      </c>
      <c r="E47" t="inlineStr">
        <is>
          <t>SURAHAMMAR</t>
        </is>
      </c>
      <c r="F47" t="inlineStr">
        <is>
          <t>Sveaskog</t>
        </is>
      </c>
      <c r="G47" t="n">
        <v>6.7</v>
      </c>
      <c r="H47" t="n">
        <v>1</v>
      </c>
      <c r="I47" t="n">
        <v>0</v>
      </c>
      <c r="J47" t="n">
        <v>2</v>
      </c>
      <c r="K47" t="n">
        <v>1</v>
      </c>
      <c r="L47" t="n">
        <v>0</v>
      </c>
      <c r="M47" t="n">
        <v>0</v>
      </c>
      <c r="N47" t="n">
        <v>0</v>
      </c>
      <c r="O47" t="n">
        <v>3</v>
      </c>
      <c r="P47" t="n">
        <v>1</v>
      </c>
      <c r="Q47" t="n">
        <v>3</v>
      </c>
      <c r="R47" s="2" t="inlineStr">
        <is>
          <t>Hängticka
Björktrast
Kandelabersvamp</t>
        </is>
      </c>
      <c r="S47">
        <f>HYPERLINK("https://klasma.github.io/Logging_1907/artfynd/A 23734-2023 artfynd.xlsx", "A 23734-2023")</f>
        <v/>
      </c>
      <c r="T47">
        <f>HYPERLINK("https://klasma.github.io/Logging_1907/kartor/A 23734-2023 karta.png", "A 23734-2023")</f>
        <v/>
      </c>
      <c r="V47">
        <f>HYPERLINK("https://klasma.github.io/Logging_1907/klagomål/A 23734-2023 FSC-klagomål.docx", "A 23734-2023")</f>
        <v/>
      </c>
      <c r="W47">
        <f>HYPERLINK("https://klasma.github.io/Logging_1907/klagomålsmail/A 23734-2023 FSC-klagomål mail.docx", "A 23734-2023")</f>
        <v/>
      </c>
      <c r="X47">
        <f>HYPERLINK("https://klasma.github.io/Logging_1907/tillsyn/A 23734-2023 tillsynsbegäran.docx", "A 23734-2023")</f>
        <v/>
      </c>
      <c r="Y47">
        <f>HYPERLINK("https://klasma.github.io/Logging_1907/tillsynsmail/A 23734-2023 tillsynsbegäran mail.docx", "A 23734-2023")</f>
        <v/>
      </c>
      <c r="Z47">
        <f>HYPERLINK("https://klasma.github.io/Logging_1907/fåglar/A 23734-2023 prioriterade fågelarter.docx", "A 23734-2023")</f>
        <v/>
      </c>
    </row>
    <row r="48" ht="15" customHeight="1">
      <c r="A48" t="inlineStr">
        <is>
          <t>A 24222-2023</t>
        </is>
      </c>
      <c r="B48" s="1" t="n">
        <v>45079</v>
      </c>
      <c r="C48" s="1" t="n">
        <v>45741</v>
      </c>
      <c r="D48" t="inlineStr">
        <is>
          <t>VÄSTMANLANDS LÄN</t>
        </is>
      </c>
      <c r="E48" t="inlineStr">
        <is>
          <t>SURAHAMMAR</t>
        </is>
      </c>
      <c r="F48" t="inlineStr">
        <is>
          <t>Sveaskog</t>
        </is>
      </c>
      <c r="G48" t="n">
        <v>9.699999999999999</v>
      </c>
      <c r="H48" t="n">
        <v>1</v>
      </c>
      <c r="I48" t="n">
        <v>1</v>
      </c>
      <c r="J48" t="n">
        <v>1</v>
      </c>
      <c r="K48" t="n">
        <v>0</v>
      </c>
      <c r="L48" t="n">
        <v>0</v>
      </c>
      <c r="M48" t="n">
        <v>0</v>
      </c>
      <c r="N48" t="n">
        <v>0</v>
      </c>
      <c r="O48" t="n">
        <v>1</v>
      </c>
      <c r="P48" t="n">
        <v>0</v>
      </c>
      <c r="Q48" t="n">
        <v>3</v>
      </c>
      <c r="R48" s="2" t="inlineStr">
        <is>
          <t>Svinrot
Blodticka
Revlummer</t>
        </is>
      </c>
      <c r="S48">
        <f>HYPERLINK("https://klasma.github.io/Logging_1907/artfynd/A 24222-2023 artfynd.xlsx", "A 24222-2023")</f>
        <v/>
      </c>
      <c r="T48">
        <f>HYPERLINK("https://klasma.github.io/Logging_1907/kartor/A 24222-2023 karta.png", "A 24222-2023")</f>
        <v/>
      </c>
      <c r="V48">
        <f>HYPERLINK("https://klasma.github.io/Logging_1907/klagomål/A 24222-2023 FSC-klagomål.docx", "A 24222-2023")</f>
        <v/>
      </c>
      <c r="W48">
        <f>HYPERLINK("https://klasma.github.io/Logging_1907/klagomålsmail/A 24222-2023 FSC-klagomål mail.docx", "A 24222-2023")</f>
        <v/>
      </c>
      <c r="X48">
        <f>HYPERLINK("https://klasma.github.io/Logging_1907/tillsyn/A 24222-2023 tillsynsbegäran.docx", "A 24222-2023")</f>
        <v/>
      </c>
      <c r="Y48">
        <f>HYPERLINK("https://klasma.github.io/Logging_1907/tillsynsmail/A 24222-2023 tillsynsbegäran mail.docx", "A 24222-2023")</f>
        <v/>
      </c>
    </row>
    <row r="49" ht="15" customHeight="1">
      <c r="A49" t="inlineStr">
        <is>
          <t>A 48128-2023</t>
        </is>
      </c>
      <c r="B49" s="1" t="n">
        <v>45205</v>
      </c>
      <c r="C49" s="1" t="n">
        <v>45741</v>
      </c>
      <c r="D49" t="inlineStr">
        <is>
          <t>VÄSTMANLANDS LÄN</t>
        </is>
      </c>
      <c r="E49" t="inlineStr">
        <is>
          <t>SURAHAMMAR</t>
        </is>
      </c>
      <c r="F49" t="inlineStr">
        <is>
          <t>Allmännings- och besparingsskogar</t>
        </is>
      </c>
      <c r="G49" t="n">
        <v>11.8</v>
      </c>
      <c r="H49" t="n">
        <v>0</v>
      </c>
      <c r="I49" t="n">
        <v>2</v>
      </c>
      <c r="J49" t="n">
        <v>1</v>
      </c>
      <c r="K49" t="n">
        <v>0</v>
      </c>
      <c r="L49" t="n">
        <v>0</v>
      </c>
      <c r="M49" t="n">
        <v>0</v>
      </c>
      <c r="N49" t="n">
        <v>0</v>
      </c>
      <c r="O49" t="n">
        <v>1</v>
      </c>
      <c r="P49" t="n">
        <v>0</v>
      </c>
      <c r="Q49" t="n">
        <v>3</v>
      </c>
      <c r="R49" s="2" t="inlineStr">
        <is>
          <t>Svinrot
Blodticka
Vedticka</t>
        </is>
      </c>
      <c r="S49">
        <f>HYPERLINK("https://klasma.github.io/Logging_1907/artfynd/A 48128-2023 artfynd.xlsx", "A 48128-2023")</f>
        <v/>
      </c>
      <c r="T49">
        <f>HYPERLINK("https://klasma.github.io/Logging_1907/kartor/A 48128-2023 karta.png", "A 48128-2023")</f>
        <v/>
      </c>
      <c r="V49">
        <f>HYPERLINK("https://klasma.github.io/Logging_1907/klagomål/A 48128-2023 FSC-klagomål.docx", "A 48128-2023")</f>
        <v/>
      </c>
      <c r="W49">
        <f>HYPERLINK("https://klasma.github.io/Logging_1907/klagomålsmail/A 48128-2023 FSC-klagomål mail.docx", "A 48128-2023")</f>
        <v/>
      </c>
      <c r="X49">
        <f>HYPERLINK("https://klasma.github.io/Logging_1907/tillsyn/A 48128-2023 tillsynsbegäran.docx", "A 48128-2023")</f>
        <v/>
      </c>
      <c r="Y49">
        <f>HYPERLINK("https://klasma.github.io/Logging_1907/tillsynsmail/A 48128-2023 tillsynsbegäran mail.docx", "A 48128-2023")</f>
        <v/>
      </c>
    </row>
    <row r="50" ht="15" customHeight="1">
      <c r="A50" t="inlineStr">
        <is>
          <t>A 49718-2023</t>
        </is>
      </c>
      <c r="B50" s="1" t="n">
        <v>45212</v>
      </c>
      <c r="C50" s="1" t="n">
        <v>45741</v>
      </c>
      <c r="D50" t="inlineStr">
        <is>
          <t>VÄSTMANLANDS LÄN</t>
        </is>
      </c>
      <c r="E50" t="inlineStr">
        <is>
          <t>SURAHAMMAR</t>
        </is>
      </c>
      <c r="G50" t="n">
        <v>3.4</v>
      </c>
      <c r="H50" t="n">
        <v>1</v>
      </c>
      <c r="I50" t="n">
        <v>1</v>
      </c>
      <c r="J50" t="n">
        <v>2</v>
      </c>
      <c r="K50" t="n">
        <v>0</v>
      </c>
      <c r="L50" t="n">
        <v>0</v>
      </c>
      <c r="M50" t="n">
        <v>0</v>
      </c>
      <c r="N50" t="n">
        <v>0</v>
      </c>
      <c r="O50" t="n">
        <v>2</v>
      </c>
      <c r="P50" t="n">
        <v>0</v>
      </c>
      <c r="Q50" t="n">
        <v>3</v>
      </c>
      <c r="R50" s="2" t="inlineStr">
        <is>
          <t>Motaggsvamp
Talltita
Zontaggsvamp</t>
        </is>
      </c>
      <c r="S50">
        <f>HYPERLINK("https://klasma.github.io/Logging_1907/artfynd/A 49718-2023 artfynd.xlsx", "A 49718-2023")</f>
        <v/>
      </c>
      <c r="T50">
        <f>HYPERLINK("https://klasma.github.io/Logging_1907/kartor/A 49718-2023 karta.png", "A 49718-2023")</f>
        <v/>
      </c>
      <c r="V50">
        <f>HYPERLINK("https://klasma.github.io/Logging_1907/klagomål/A 49718-2023 FSC-klagomål.docx", "A 49718-2023")</f>
        <v/>
      </c>
      <c r="W50">
        <f>HYPERLINK("https://klasma.github.io/Logging_1907/klagomålsmail/A 49718-2023 FSC-klagomål mail.docx", "A 49718-2023")</f>
        <v/>
      </c>
      <c r="X50">
        <f>HYPERLINK("https://klasma.github.io/Logging_1907/tillsyn/A 49718-2023 tillsynsbegäran.docx", "A 49718-2023")</f>
        <v/>
      </c>
      <c r="Y50">
        <f>HYPERLINK("https://klasma.github.io/Logging_1907/tillsynsmail/A 49718-2023 tillsynsbegäran mail.docx", "A 49718-2023")</f>
        <v/>
      </c>
      <c r="Z50">
        <f>HYPERLINK("https://klasma.github.io/Logging_1907/fåglar/A 49718-2023 prioriterade fågelarter.docx", "A 49718-2023")</f>
        <v/>
      </c>
    </row>
    <row r="51" ht="15" customHeight="1">
      <c r="A51" t="inlineStr">
        <is>
          <t>A 20391-2024</t>
        </is>
      </c>
      <c r="B51" s="1" t="n">
        <v>45435</v>
      </c>
      <c r="C51" s="1" t="n">
        <v>45741</v>
      </c>
      <c r="D51" t="inlineStr">
        <is>
          <t>VÄSTMANLANDS LÄN</t>
        </is>
      </c>
      <c r="E51" t="inlineStr">
        <is>
          <t>SURAHAMMAR</t>
        </is>
      </c>
      <c r="G51" t="n">
        <v>1.5</v>
      </c>
      <c r="H51" t="n">
        <v>0</v>
      </c>
      <c r="I51" t="n">
        <v>2</v>
      </c>
      <c r="J51" t="n">
        <v>1</v>
      </c>
      <c r="K51" t="n">
        <v>0</v>
      </c>
      <c r="L51" t="n">
        <v>0</v>
      </c>
      <c r="M51" t="n">
        <v>0</v>
      </c>
      <c r="N51" t="n">
        <v>0</v>
      </c>
      <c r="O51" t="n">
        <v>1</v>
      </c>
      <c r="P51" t="n">
        <v>0</v>
      </c>
      <c r="Q51" t="n">
        <v>3</v>
      </c>
      <c r="R51" s="2" t="inlineStr">
        <is>
          <t>Vedtrappmossa
Kattfotslav
Stubbspretmossa</t>
        </is>
      </c>
      <c r="S51">
        <f>HYPERLINK("https://klasma.github.io/Logging_1907/artfynd/A 20391-2024 artfynd.xlsx", "A 20391-2024")</f>
        <v/>
      </c>
      <c r="T51">
        <f>HYPERLINK("https://klasma.github.io/Logging_1907/kartor/A 20391-2024 karta.png", "A 20391-2024")</f>
        <v/>
      </c>
      <c r="V51">
        <f>HYPERLINK("https://klasma.github.io/Logging_1907/klagomål/A 20391-2024 FSC-klagomål.docx", "A 20391-2024")</f>
        <v/>
      </c>
      <c r="W51">
        <f>HYPERLINK("https://klasma.github.io/Logging_1907/klagomålsmail/A 20391-2024 FSC-klagomål mail.docx", "A 20391-2024")</f>
        <v/>
      </c>
      <c r="X51">
        <f>HYPERLINK("https://klasma.github.io/Logging_1907/tillsyn/A 20391-2024 tillsynsbegäran.docx", "A 20391-2024")</f>
        <v/>
      </c>
      <c r="Y51">
        <f>HYPERLINK("https://klasma.github.io/Logging_1907/tillsynsmail/A 20391-2024 tillsynsbegäran mail.docx", "A 20391-2024")</f>
        <v/>
      </c>
    </row>
    <row r="52" ht="15" customHeight="1">
      <c r="A52" t="inlineStr">
        <is>
          <t>A 24561-2024</t>
        </is>
      </c>
      <c r="B52" s="1" t="n">
        <v>45460</v>
      </c>
      <c r="C52" s="1" t="n">
        <v>45741</v>
      </c>
      <c r="D52" t="inlineStr">
        <is>
          <t>VÄSTMANLANDS LÄN</t>
        </is>
      </c>
      <c r="E52" t="inlineStr">
        <is>
          <t>SURAHAMMAR</t>
        </is>
      </c>
      <c r="G52" t="n">
        <v>2.6</v>
      </c>
      <c r="H52" t="n">
        <v>2</v>
      </c>
      <c r="I52" t="n">
        <v>1</v>
      </c>
      <c r="J52" t="n">
        <v>0</v>
      </c>
      <c r="K52" t="n">
        <v>1</v>
      </c>
      <c r="L52" t="n">
        <v>0</v>
      </c>
      <c r="M52" t="n">
        <v>0</v>
      </c>
      <c r="N52" t="n">
        <v>0</v>
      </c>
      <c r="O52" t="n">
        <v>1</v>
      </c>
      <c r="P52" t="n">
        <v>1</v>
      </c>
      <c r="Q52" t="n">
        <v>3</v>
      </c>
      <c r="R52" s="2" t="inlineStr">
        <is>
          <t>Knärot
Grönpyrola
Revlummer</t>
        </is>
      </c>
      <c r="S52">
        <f>HYPERLINK("https://klasma.github.io/Logging_1907/artfynd/A 24561-2024 artfynd.xlsx", "A 24561-2024")</f>
        <v/>
      </c>
      <c r="T52">
        <f>HYPERLINK("https://klasma.github.io/Logging_1907/kartor/A 24561-2024 karta.png", "A 24561-2024")</f>
        <v/>
      </c>
      <c r="U52">
        <f>HYPERLINK("https://klasma.github.io/Logging_1907/knärot/A 24561-2024 karta knärot.png", "A 24561-2024")</f>
        <v/>
      </c>
      <c r="V52">
        <f>HYPERLINK("https://klasma.github.io/Logging_1907/klagomål/A 24561-2024 FSC-klagomål.docx", "A 24561-2024")</f>
        <v/>
      </c>
      <c r="W52">
        <f>HYPERLINK("https://klasma.github.io/Logging_1907/klagomålsmail/A 24561-2024 FSC-klagomål mail.docx", "A 24561-2024")</f>
        <v/>
      </c>
      <c r="X52">
        <f>HYPERLINK("https://klasma.github.io/Logging_1907/tillsyn/A 24561-2024 tillsynsbegäran.docx", "A 24561-2024")</f>
        <v/>
      </c>
      <c r="Y52">
        <f>HYPERLINK("https://klasma.github.io/Logging_1907/tillsynsmail/A 24561-2024 tillsynsbegäran mail.docx", "A 24561-2024")</f>
        <v/>
      </c>
    </row>
    <row r="53" ht="15" customHeight="1">
      <c r="A53" t="inlineStr">
        <is>
          <t>A 33094-2024</t>
        </is>
      </c>
      <c r="B53" s="1" t="n">
        <v>45517</v>
      </c>
      <c r="C53" s="1" t="n">
        <v>45741</v>
      </c>
      <c r="D53" t="inlineStr">
        <is>
          <t>VÄSTMANLANDS LÄN</t>
        </is>
      </c>
      <c r="E53" t="inlineStr">
        <is>
          <t>SURAHAMMAR</t>
        </is>
      </c>
      <c r="G53" t="n">
        <v>6.3</v>
      </c>
      <c r="H53" t="n">
        <v>1</v>
      </c>
      <c r="I53" t="n">
        <v>0</v>
      </c>
      <c r="J53" t="n">
        <v>2</v>
      </c>
      <c r="K53" t="n">
        <v>0</v>
      </c>
      <c r="L53" t="n">
        <v>0</v>
      </c>
      <c r="M53" t="n">
        <v>0</v>
      </c>
      <c r="N53" t="n">
        <v>0</v>
      </c>
      <c r="O53" t="n">
        <v>2</v>
      </c>
      <c r="P53" t="n">
        <v>0</v>
      </c>
      <c r="Q53" t="n">
        <v>3</v>
      </c>
      <c r="R53" s="2" t="inlineStr">
        <is>
          <t>Svinrot
Vippärt
Revlummer</t>
        </is>
      </c>
      <c r="S53">
        <f>HYPERLINK("https://klasma.github.io/Logging_1907/artfynd/A 33094-2024 artfynd.xlsx", "A 33094-2024")</f>
        <v/>
      </c>
      <c r="T53">
        <f>HYPERLINK("https://klasma.github.io/Logging_1907/kartor/A 33094-2024 karta.png", "A 33094-2024")</f>
        <v/>
      </c>
      <c r="V53">
        <f>HYPERLINK("https://klasma.github.io/Logging_1907/klagomål/A 33094-2024 FSC-klagomål.docx", "A 33094-2024")</f>
        <v/>
      </c>
      <c r="W53">
        <f>HYPERLINK("https://klasma.github.io/Logging_1907/klagomålsmail/A 33094-2024 FSC-klagomål mail.docx", "A 33094-2024")</f>
        <v/>
      </c>
      <c r="X53">
        <f>HYPERLINK("https://klasma.github.io/Logging_1907/tillsyn/A 33094-2024 tillsynsbegäran.docx", "A 33094-2024")</f>
        <v/>
      </c>
      <c r="Y53">
        <f>HYPERLINK("https://klasma.github.io/Logging_1907/tillsynsmail/A 33094-2024 tillsynsbegäran mail.docx", "A 33094-2024")</f>
        <v/>
      </c>
    </row>
    <row r="54" ht="15" customHeight="1">
      <c r="A54" t="inlineStr">
        <is>
          <t>A 57412-2020</t>
        </is>
      </c>
      <c r="B54" s="1" t="n">
        <v>44138</v>
      </c>
      <c r="C54" s="1" t="n">
        <v>45741</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45741</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45741</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45741</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45741</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45741</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45741</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45741</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45741</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45741</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45741</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45741</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45741</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45741</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45741</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45741</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45741</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45741</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45741</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45741</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45741</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45741</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45741</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45741</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45741</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45741</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45741</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45741</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45741</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45741</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45741</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45741</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45741</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45741</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45741</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45741</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45741</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45741</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45741</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45741</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45741</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45741</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45741</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45741</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45741</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45741</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45741</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45741</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45741</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45741</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45741</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45741</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45741</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45741</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13788-2025</t>
        </is>
      </c>
      <c r="B108" s="1" t="n">
        <v>45737</v>
      </c>
      <c r="C108" s="1" t="n">
        <v>45741</v>
      </c>
      <c r="D108" t="inlineStr">
        <is>
          <t>VÄSTMANLANDS LÄN</t>
        </is>
      </c>
      <c r="E108" t="inlineStr">
        <is>
          <t>SURAHAMMAR</t>
        </is>
      </c>
      <c r="G108" t="n">
        <v>9.699999999999999</v>
      </c>
      <c r="H108" t="n">
        <v>1</v>
      </c>
      <c r="I108" t="n">
        <v>0</v>
      </c>
      <c r="J108" t="n">
        <v>0</v>
      </c>
      <c r="K108" t="n">
        <v>0</v>
      </c>
      <c r="L108" t="n">
        <v>0</v>
      </c>
      <c r="M108" t="n">
        <v>0</v>
      </c>
      <c r="N108" t="n">
        <v>0</v>
      </c>
      <c r="O108" t="n">
        <v>0</v>
      </c>
      <c r="P108" t="n">
        <v>0</v>
      </c>
      <c r="Q108" t="n">
        <v>1</v>
      </c>
      <c r="R108" s="2" t="inlineStr">
        <is>
          <t>Sparvuggla</t>
        </is>
      </c>
      <c r="S108">
        <f>HYPERLINK("https://klasma.github.io/Logging_1907/artfynd/A 13788-2025 artfynd.xlsx", "A 13788-2025")</f>
        <v/>
      </c>
      <c r="T108">
        <f>HYPERLINK("https://klasma.github.io/Logging_1907/kartor/A 13788-2025 karta.png", "A 13788-2025")</f>
        <v/>
      </c>
      <c r="V108">
        <f>HYPERLINK("https://klasma.github.io/Logging_1907/klagomål/A 13788-2025 FSC-klagomål.docx", "A 13788-2025")</f>
        <v/>
      </c>
      <c r="W108">
        <f>HYPERLINK("https://klasma.github.io/Logging_1907/klagomålsmail/A 13788-2025 FSC-klagomål mail.docx", "A 13788-2025")</f>
        <v/>
      </c>
      <c r="X108">
        <f>HYPERLINK("https://klasma.github.io/Logging_1907/tillsyn/A 13788-2025 tillsynsbegäran.docx", "A 13788-2025")</f>
        <v/>
      </c>
      <c r="Y108">
        <f>HYPERLINK("https://klasma.github.io/Logging_1907/tillsynsmail/A 13788-2025 tillsynsbegäran mail.docx", "A 13788-2025")</f>
        <v/>
      </c>
      <c r="Z108">
        <f>HYPERLINK("https://klasma.github.io/Logging_1907/fåglar/A 13788-2025 prioriterade fågelarter.docx", "A 13788-2025")</f>
        <v/>
      </c>
    </row>
    <row r="109" ht="15" customHeight="1">
      <c r="A109" t="inlineStr">
        <is>
          <t>A 17946-2019</t>
        </is>
      </c>
      <c r="B109" s="1" t="n">
        <v>43557</v>
      </c>
      <c r="C109" s="1" t="n">
        <v>45741</v>
      </c>
      <c r="D109" t="inlineStr">
        <is>
          <t>VÄSTMANLANDS LÄN</t>
        </is>
      </c>
      <c r="E109" t="inlineStr">
        <is>
          <t>SURAHAMMAR</t>
        </is>
      </c>
      <c r="G109" t="n">
        <v>9.9</v>
      </c>
      <c r="H109" t="n">
        <v>0</v>
      </c>
      <c r="I109" t="n">
        <v>0</v>
      </c>
      <c r="J109" t="n">
        <v>0</v>
      </c>
      <c r="K109" t="n">
        <v>0</v>
      </c>
      <c r="L109" t="n">
        <v>0</v>
      </c>
      <c r="M109" t="n">
        <v>0</v>
      </c>
      <c r="N109" t="n">
        <v>0</v>
      </c>
      <c r="O109" t="n">
        <v>0</v>
      </c>
      <c r="P109" t="n">
        <v>0</v>
      </c>
      <c r="Q109" t="n">
        <v>0</v>
      </c>
      <c r="R109" s="2" t="inlineStr"/>
    </row>
    <row r="110" ht="15" customHeight="1">
      <c r="A110" t="inlineStr">
        <is>
          <t>A 18953-2019</t>
        </is>
      </c>
      <c r="B110" s="1" t="n">
        <v>43563</v>
      </c>
      <c r="C110" s="1" t="n">
        <v>45741</v>
      </c>
      <c r="D110" t="inlineStr">
        <is>
          <t>VÄSTMANLANDS LÄN</t>
        </is>
      </c>
      <c r="E110" t="inlineStr">
        <is>
          <t>SURAHAMMAR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18960-2019</t>
        </is>
      </c>
      <c r="B111" s="1" t="n">
        <v>43563</v>
      </c>
      <c r="C111" s="1" t="n">
        <v>45741</v>
      </c>
      <c r="D111" t="inlineStr">
        <is>
          <t>VÄSTMANLANDS LÄN</t>
        </is>
      </c>
      <c r="E111" t="inlineStr">
        <is>
          <t>SURAHAMMAR</t>
        </is>
      </c>
      <c r="F111" t="inlineStr">
        <is>
          <t>Övriga Aktiebolag</t>
        </is>
      </c>
      <c r="G111" t="n">
        <v>4.1</v>
      </c>
      <c r="H111" t="n">
        <v>0</v>
      </c>
      <c r="I111" t="n">
        <v>0</v>
      </c>
      <c r="J111" t="n">
        <v>0</v>
      </c>
      <c r="K111" t="n">
        <v>0</v>
      </c>
      <c r="L111" t="n">
        <v>0</v>
      </c>
      <c r="M111" t="n">
        <v>0</v>
      </c>
      <c r="N111" t="n">
        <v>0</v>
      </c>
      <c r="O111" t="n">
        <v>0</v>
      </c>
      <c r="P111" t="n">
        <v>0</v>
      </c>
      <c r="Q111" t="n">
        <v>0</v>
      </c>
      <c r="R111" s="2" t="inlineStr"/>
    </row>
    <row r="112" ht="15" customHeight="1">
      <c r="A112" t="inlineStr">
        <is>
          <t>A 19659-2019</t>
        </is>
      </c>
      <c r="B112" s="1" t="n">
        <v>43566</v>
      </c>
      <c r="C112" s="1" t="n">
        <v>45741</v>
      </c>
      <c r="D112" t="inlineStr">
        <is>
          <t>VÄSTMANLANDS LÄN</t>
        </is>
      </c>
      <c r="E112" t="inlineStr">
        <is>
          <t>SURAHAMMAR</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20127-2019</t>
        </is>
      </c>
      <c r="B113" s="1" t="n">
        <v>43570</v>
      </c>
      <c r="C113" s="1" t="n">
        <v>45741</v>
      </c>
      <c r="D113" t="inlineStr">
        <is>
          <t>VÄSTMANLANDS LÄN</t>
        </is>
      </c>
      <c r="E113" t="inlineStr">
        <is>
          <t>SURAHAMMAR</t>
        </is>
      </c>
      <c r="G113" t="n">
        <v>2.6</v>
      </c>
      <c r="H113" t="n">
        <v>0</v>
      </c>
      <c r="I113" t="n">
        <v>0</v>
      </c>
      <c r="J113" t="n">
        <v>0</v>
      </c>
      <c r="K113" t="n">
        <v>0</v>
      </c>
      <c r="L113" t="n">
        <v>0</v>
      </c>
      <c r="M113" t="n">
        <v>0</v>
      </c>
      <c r="N113" t="n">
        <v>0</v>
      </c>
      <c r="O113" t="n">
        <v>0</v>
      </c>
      <c r="P113" t="n">
        <v>0</v>
      </c>
      <c r="Q113" t="n">
        <v>0</v>
      </c>
      <c r="R113" s="2" t="inlineStr"/>
    </row>
    <row r="114" ht="15" customHeight="1">
      <c r="A114" t="inlineStr">
        <is>
          <t>A 20904-2019</t>
        </is>
      </c>
      <c r="B114" s="1" t="n">
        <v>43578</v>
      </c>
      <c r="C114" s="1" t="n">
        <v>45741</v>
      </c>
      <c r="D114" t="inlineStr">
        <is>
          <t>VÄSTMANLANDS LÄN</t>
        </is>
      </c>
      <c r="E114" t="inlineStr">
        <is>
          <t>SURAHAMMAR</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22834-2019</t>
        </is>
      </c>
      <c r="B115" s="1" t="n">
        <v>43591</v>
      </c>
      <c r="C115" s="1" t="n">
        <v>45741</v>
      </c>
      <c r="D115" t="inlineStr">
        <is>
          <t>VÄSTMANLANDS LÄN</t>
        </is>
      </c>
      <c r="E115" t="inlineStr">
        <is>
          <t>SURAHAMMAR</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28274-2019</t>
        </is>
      </c>
      <c r="B116" s="1" t="n">
        <v>43623</v>
      </c>
      <c r="C116" s="1" t="n">
        <v>45741</v>
      </c>
      <c r="D116" t="inlineStr">
        <is>
          <t>VÄSTMANLANDS LÄN</t>
        </is>
      </c>
      <c r="E116" t="inlineStr">
        <is>
          <t>SURAHAMMAR</t>
        </is>
      </c>
      <c r="F116" t="inlineStr">
        <is>
          <t>Allmännings- och besparingsskogar</t>
        </is>
      </c>
      <c r="G116" t="n">
        <v>0.7</v>
      </c>
      <c r="H116" t="n">
        <v>0</v>
      </c>
      <c r="I116" t="n">
        <v>0</v>
      </c>
      <c r="J116" t="n">
        <v>0</v>
      </c>
      <c r="K116" t="n">
        <v>0</v>
      </c>
      <c r="L116" t="n">
        <v>0</v>
      </c>
      <c r="M116" t="n">
        <v>0</v>
      </c>
      <c r="N116" t="n">
        <v>0</v>
      </c>
      <c r="O116" t="n">
        <v>0</v>
      </c>
      <c r="P116" t="n">
        <v>0</v>
      </c>
      <c r="Q116" t="n">
        <v>0</v>
      </c>
      <c r="R116" s="2" t="inlineStr"/>
    </row>
    <row r="117" ht="15" customHeight="1">
      <c r="A117" t="inlineStr">
        <is>
          <t>A 29523-2019</t>
        </is>
      </c>
      <c r="B117" s="1" t="n">
        <v>43630</v>
      </c>
      <c r="C117" s="1" t="n">
        <v>45741</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31008-2019</t>
        </is>
      </c>
      <c r="B118" s="1" t="n">
        <v>43640</v>
      </c>
      <c r="C118" s="1" t="n">
        <v>45741</v>
      </c>
      <c r="D118" t="inlineStr">
        <is>
          <t>VÄSTMANLANDS LÄN</t>
        </is>
      </c>
      <c r="E118" t="inlineStr">
        <is>
          <t>SURAHAMMAR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39552-2019</t>
        </is>
      </c>
      <c r="B119" s="1" t="n">
        <v>43691</v>
      </c>
      <c r="C119" s="1" t="n">
        <v>45741</v>
      </c>
      <c r="D119" t="inlineStr">
        <is>
          <t>VÄSTMANLANDS LÄN</t>
        </is>
      </c>
      <c r="E119" t="inlineStr">
        <is>
          <t>SURAHAMMAR</t>
        </is>
      </c>
      <c r="F119" t="inlineStr">
        <is>
          <t>Övriga Aktiebolag</t>
        </is>
      </c>
      <c r="G119" t="n">
        <v>4.4</v>
      </c>
      <c r="H119" t="n">
        <v>0</v>
      </c>
      <c r="I119" t="n">
        <v>0</v>
      </c>
      <c r="J119" t="n">
        <v>0</v>
      </c>
      <c r="K119" t="n">
        <v>0</v>
      </c>
      <c r="L119" t="n">
        <v>0</v>
      </c>
      <c r="M119" t="n">
        <v>0</v>
      </c>
      <c r="N119" t="n">
        <v>0</v>
      </c>
      <c r="O119" t="n">
        <v>0</v>
      </c>
      <c r="P119" t="n">
        <v>0</v>
      </c>
      <c r="Q119" t="n">
        <v>0</v>
      </c>
      <c r="R119" s="2" t="inlineStr"/>
    </row>
    <row r="120" ht="15" customHeight="1">
      <c r="A120" t="inlineStr">
        <is>
          <t>A 39754-2019</t>
        </is>
      </c>
      <c r="B120" s="1" t="n">
        <v>43692</v>
      </c>
      <c r="C120" s="1" t="n">
        <v>45741</v>
      </c>
      <c r="D120" t="inlineStr">
        <is>
          <t>VÄSTMANLANDS LÄN</t>
        </is>
      </c>
      <c r="E120" t="inlineStr">
        <is>
          <t>SURAHAMMAR</t>
        </is>
      </c>
      <c r="F120" t="inlineStr">
        <is>
          <t>Övriga Aktiebolag</t>
        </is>
      </c>
      <c r="G120" t="n">
        <v>5.7</v>
      </c>
      <c r="H120" t="n">
        <v>0</v>
      </c>
      <c r="I120" t="n">
        <v>0</v>
      </c>
      <c r="J120" t="n">
        <v>0</v>
      </c>
      <c r="K120" t="n">
        <v>0</v>
      </c>
      <c r="L120" t="n">
        <v>0</v>
      </c>
      <c r="M120" t="n">
        <v>0</v>
      </c>
      <c r="N120" t="n">
        <v>0</v>
      </c>
      <c r="O120" t="n">
        <v>0</v>
      </c>
      <c r="P120" t="n">
        <v>0</v>
      </c>
      <c r="Q120" t="n">
        <v>0</v>
      </c>
      <c r="R120" s="2" t="inlineStr"/>
    </row>
    <row r="121" ht="15" customHeight="1">
      <c r="A121" t="inlineStr">
        <is>
          <t>A 40191-2019</t>
        </is>
      </c>
      <c r="B121" s="1" t="n">
        <v>43693</v>
      </c>
      <c r="C121" s="1" t="n">
        <v>45741</v>
      </c>
      <c r="D121" t="inlineStr">
        <is>
          <t>VÄSTMANLANDS LÄN</t>
        </is>
      </c>
      <c r="E121" t="inlineStr">
        <is>
          <t>SURAHAMMAR</t>
        </is>
      </c>
      <c r="F121" t="inlineStr">
        <is>
          <t>Bergvik skog väst AB</t>
        </is>
      </c>
      <c r="G121" t="n">
        <v>3.5</v>
      </c>
      <c r="H121" t="n">
        <v>0</v>
      </c>
      <c r="I121" t="n">
        <v>0</v>
      </c>
      <c r="J121" t="n">
        <v>0</v>
      </c>
      <c r="K121" t="n">
        <v>0</v>
      </c>
      <c r="L121" t="n">
        <v>0</v>
      </c>
      <c r="M121" t="n">
        <v>0</v>
      </c>
      <c r="N121" t="n">
        <v>0</v>
      </c>
      <c r="O121" t="n">
        <v>0</v>
      </c>
      <c r="P121" t="n">
        <v>0</v>
      </c>
      <c r="Q121" t="n">
        <v>0</v>
      </c>
      <c r="R121" s="2" t="inlineStr"/>
    </row>
    <row r="122" ht="15" customHeight="1">
      <c r="A122" t="inlineStr">
        <is>
          <t>A 60343-2019</t>
        </is>
      </c>
      <c r="B122" s="1" t="n">
        <v>43780</v>
      </c>
      <c r="C122" s="1" t="n">
        <v>45741</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64772-2019</t>
        </is>
      </c>
      <c r="B123" s="1" t="n">
        <v>43801</v>
      </c>
      <c r="C123" s="1" t="n">
        <v>45741</v>
      </c>
      <c r="D123" t="inlineStr">
        <is>
          <t>VÄSTMANLANDS LÄN</t>
        </is>
      </c>
      <c r="E123" t="inlineStr">
        <is>
          <t>SURAHAMMAR</t>
        </is>
      </c>
      <c r="F123" t="inlineStr">
        <is>
          <t>Övriga Aktiebolag</t>
        </is>
      </c>
      <c r="G123" t="n">
        <v>7</v>
      </c>
      <c r="H123" t="n">
        <v>0</v>
      </c>
      <c r="I123" t="n">
        <v>0</v>
      </c>
      <c r="J123" t="n">
        <v>0</v>
      </c>
      <c r="K123" t="n">
        <v>0</v>
      </c>
      <c r="L123" t="n">
        <v>0</v>
      </c>
      <c r="M123" t="n">
        <v>0</v>
      </c>
      <c r="N123" t="n">
        <v>0</v>
      </c>
      <c r="O123" t="n">
        <v>0</v>
      </c>
      <c r="P123" t="n">
        <v>0</v>
      </c>
      <c r="Q123" t="n">
        <v>0</v>
      </c>
      <c r="R123" s="2" t="inlineStr"/>
    </row>
    <row r="124" ht="15" customHeight="1">
      <c r="A124" t="inlineStr">
        <is>
          <t>A 66269-2019</t>
        </is>
      </c>
      <c r="B124" s="1" t="n">
        <v>43802</v>
      </c>
      <c r="C124" s="1" t="n">
        <v>45741</v>
      </c>
      <c r="D124" t="inlineStr">
        <is>
          <t>VÄSTMANLANDS LÄN</t>
        </is>
      </c>
      <c r="E124" t="inlineStr">
        <is>
          <t>SURAHAMMAR</t>
        </is>
      </c>
      <c r="G124" t="n">
        <v>0.9</v>
      </c>
      <c r="H124" t="n">
        <v>0</v>
      </c>
      <c r="I124" t="n">
        <v>0</v>
      </c>
      <c r="J124" t="n">
        <v>0</v>
      </c>
      <c r="K124" t="n">
        <v>0</v>
      </c>
      <c r="L124" t="n">
        <v>0</v>
      </c>
      <c r="M124" t="n">
        <v>0</v>
      </c>
      <c r="N124" t="n">
        <v>0</v>
      </c>
      <c r="O124" t="n">
        <v>0</v>
      </c>
      <c r="P124" t="n">
        <v>0</v>
      </c>
      <c r="Q124" t="n">
        <v>0</v>
      </c>
      <c r="R124" s="2" t="inlineStr"/>
    </row>
    <row r="125" ht="15" customHeight="1">
      <c r="A125" t="inlineStr">
        <is>
          <t>A 65619-2019</t>
        </is>
      </c>
      <c r="B125" s="1" t="n">
        <v>43804</v>
      </c>
      <c r="C125" s="1" t="n">
        <v>45741</v>
      </c>
      <c r="D125" t="inlineStr">
        <is>
          <t>VÄSTMANLANDS LÄN</t>
        </is>
      </c>
      <c r="E125" t="inlineStr">
        <is>
          <t>SURAHAMMAR</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2039-2020</t>
        </is>
      </c>
      <c r="B126" s="1" t="n">
        <v>43839</v>
      </c>
      <c r="C126" s="1" t="n">
        <v>45741</v>
      </c>
      <c r="D126" t="inlineStr">
        <is>
          <t>VÄSTMANLANDS LÄN</t>
        </is>
      </c>
      <c r="E126" t="inlineStr">
        <is>
          <t>SURAHAMMAR</t>
        </is>
      </c>
      <c r="G126" t="n">
        <v>1</v>
      </c>
      <c r="H126" t="n">
        <v>0</v>
      </c>
      <c r="I126" t="n">
        <v>0</v>
      </c>
      <c r="J126" t="n">
        <v>0</v>
      </c>
      <c r="K126" t="n">
        <v>0</v>
      </c>
      <c r="L126" t="n">
        <v>0</v>
      </c>
      <c r="M126" t="n">
        <v>0</v>
      </c>
      <c r="N126" t="n">
        <v>0</v>
      </c>
      <c r="O126" t="n">
        <v>0</v>
      </c>
      <c r="P126" t="n">
        <v>0</v>
      </c>
      <c r="Q126" t="n">
        <v>0</v>
      </c>
      <c r="R126" s="2" t="inlineStr"/>
    </row>
    <row r="127" ht="15" customHeight="1">
      <c r="A127" t="inlineStr">
        <is>
          <t>A 5804-2020</t>
        </is>
      </c>
      <c r="B127" s="1" t="n">
        <v>43864</v>
      </c>
      <c r="C127" s="1" t="n">
        <v>45741</v>
      </c>
      <c r="D127" t="inlineStr">
        <is>
          <t>VÄSTMANLANDS LÄN</t>
        </is>
      </c>
      <c r="E127" t="inlineStr">
        <is>
          <t>SURAHAMMAR</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8608-2020</t>
        </is>
      </c>
      <c r="B128" s="1" t="n">
        <v>43878</v>
      </c>
      <c r="C128" s="1" t="n">
        <v>45741</v>
      </c>
      <c r="D128" t="inlineStr">
        <is>
          <t>VÄSTMANLANDS LÄN</t>
        </is>
      </c>
      <c r="E128" t="inlineStr">
        <is>
          <t>SURAHAMMAR</t>
        </is>
      </c>
      <c r="F128" t="inlineStr">
        <is>
          <t>Övriga Aktiebolag</t>
        </is>
      </c>
      <c r="G128" t="n">
        <v>20.2</v>
      </c>
      <c r="H128" t="n">
        <v>0</v>
      </c>
      <c r="I128" t="n">
        <v>0</v>
      </c>
      <c r="J128" t="n">
        <v>0</v>
      </c>
      <c r="K128" t="n">
        <v>0</v>
      </c>
      <c r="L128" t="n">
        <v>0</v>
      </c>
      <c r="M128" t="n">
        <v>0</v>
      </c>
      <c r="N128" t="n">
        <v>0</v>
      </c>
      <c r="O128" t="n">
        <v>0</v>
      </c>
      <c r="P128" t="n">
        <v>0</v>
      </c>
      <c r="Q128" t="n">
        <v>0</v>
      </c>
      <c r="R128" s="2" t="inlineStr"/>
    </row>
    <row r="129" ht="15" customHeight="1">
      <c r="A129" t="inlineStr">
        <is>
          <t>A 40660-2020</t>
        </is>
      </c>
      <c r="B129" s="1" t="n">
        <v>44069</v>
      </c>
      <c r="C129" s="1" t="n">
        <v>45741</v>
      </c>
      <c r="D129" t="inlineStr">
        <is>
          <t>VÄSTMANLANDS LÄN</t>
        </is>
      </c>
      <c r="E129" t="inlineStr">
        <is>
          <t>SURAHAMMAR</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43171-2020</t>
        </is>
      </c>
      <c r="B130" s="1" t="n">
        <v>44081</v>
      </c>
      <c r="C130" s="1" t="n">
        <v>45741</v>
      </c>
      <c r="D130" t="inlineStr">
        <is>
          <t>VÄSTMANLANDS LÄN</t>
        </is>
      </c>
      <c r="E130" t="inlineStr">
        <is>
          <t>SURAHAMMAR</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43174-2020</t>
        </is>
      </c>
      <c r="B131" s="1" t="n">
        <v>44081</v>
      </c>
      <c r="C131" s="1" t="n">
        <v>45741</v>
      </c>
      <c r="D131" t="inlineStr">
        <is>
          <t>VÄSTMANLANDS LÄN</t>
        </is>
      </c>
      <c r="E131" t="inlineStr">
        <is>
          <t>SURAHAMMAR</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43177-2020</t>
        </is>
      </c>
      <c r="B132" s="1" t="n">
        <v>44081</v>
      </c>
      <c r="C132" s="1" t="n">
        <v>45741</v>
      </c>
      <c r="D132" t="inlineStr">
        <is>
          <t>VÄSTMANLANDS LÄN</t>
        </is>
      </c>
      <c r="E132" t="inlineStr">
        <is>
          <t>SURAHAMMAR</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43590-2020</t>
        </is>
      </c>
      <c r="B133" s="1" t="n">
        <v>44082</v>
      </c>
      <c r="C133" s="1" t="n">
        <v>45741</v>
      </c>
      <c r="D133" t="inlineStr">
        <is>
          <t>VÄSTMANLANDS LÄN</t>
        </is>
      </c>
      <c r="E133" t="inlineStr">
        <is>
          <t>SURAHAMMAR</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47997-2020</t>
        </is>
      </c>
      <c r="B134" s="1" t="n">
        <v>44099</v>
      </c>
      <c r="C134" s="1" t="n">
        <v>45741</v>
      </c>
      <c r="D134" t="inlineStr">
        <is>
          <t>VÄSTMANLANDS LÄN</t>
        </is>
      </c>
      <c r="E134" t="inlineStr">
        <is>
          <t>SURAHAMMAR</t>
        </is>
      </c>
      <c r="G134" t="n">
        <v>4.8</v>
      </c>
      <c r="H134" t="n">
        <v>0</v>
      </c>
      <c r="I134" t="n">
        <v>0</v>
      </c>
      <c r="J134" t="n">
        <v>0</v>
      </c>
      <c r="K134" t="n">
        <v>0</v>
      </c>
      <c r="L134" t="n">
        <v>0</v>
      </c>
      <c r="M134" t="n">
        <v>0</v>
      </c>
      <c r="N134" t="n">
        <v>0</v>
      </c>
      <c r="O134" t="n">
        <v>0</v>
      </c>
      <c r="P134" t="n">
        <v>0</v>
      </c>
      <c r="Q134" t="n">
        <v>0</v>
      </c>
      <c r="R134" s="2" t="inlineStr"/>
    </row>
    <row r="135" ht="15" customHeight="1">
      <c r="A135" t="inlineStr">
        <is>
          <t>A 52076-2020</t>
        </is>
      </c>
      <c r="B135" s="1" t="n">
        <v>44117</v>
      </c>
      <c r="C135" s="1" t="n">
        <v>45741</v>
      </c>
      <c r="D135" t="inlineStr">
        <is>
          <t>VÄSTMANLANDS LÄN</t>
        </is>
      </c>
      <c r="E135" t="inlineStr">
        <is>
          <t>SURAHAMMAR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52074-2020</t>
        </is>
      </c>
      <c r="B136" s="1" t="n">
        <v>44117</v>
      </c>
      <c r="C136" s="1" t="n">
        <v>45741</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54962-2020</t>
        </is>
      </c>
      <c r="B137" s="1" t="n">
        <v>44130</v>
      </c>
      <c r="C137" s="1" t="n">
        <v>45741</v>
      </c>
      <c r="D137" t="inlineStr">
        <is>
          <t>VÄSTMANLANDS LÄN</t>
        </is>
      </c>
      <c r="E137" t="inlineStr">
        <is>
          <t>SURAHAMMAR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55397-2020</t>
        </is>
      </c>
      <c r="B138" s="1" t="n">
        <v>44131</v>
      </c>
      <c r="C138" s="1" t="n">
        <v>45741</v>
      </c>
      <c r="D138" t="inlineStr">
        <is>
          <t>VÄSTMANLANDS LÄN</t>
        </is>
      </c>
      <c r="E138" t="inlineStr">
        <is>
          <t>SURAHAMMAR</t>
        </is>
      </c>
      <c r="F138" t="inlineStr">
        <is>
          <t>Sveaskog</t>
        </is>
      </c>
      <c r="G138" t="n">
        <v>5</v>
      </c>
      <c r="H138" t="n">
        <v>0</v>
      </c>
      <c r="I138" t="n">
        <v>0</v>
      </c>
      <c r="J138" t="n">
        <v>0</v>
      </c>
      <c r="K138" t="n">
        <v>0</v>
      </c>
      <c r="L138" t="n">
        <v>0</v>
      </c>
      <c r="M138" t="n">
        <v>0</v>
      </c>
      <c r="N138" t="n">
        <v>0</v>
      </c>
      <c r="O138" t="n">
        <v>0</v>
      </c>
      <c r="P138" t="n">
        <v>0</v>
      </c>
      <c r="Q138" t="n">
        <v>0</v>
      </c>
      <c r="R138" s="2" t="inlineStr"/>
    </row>
    <row r="139" ht="15" customHeight="1">
      <c r="A139" t="inlineStr">
        <is>
          <t>A 59543-2020</t>
        </is>
      </c>
      <c r="B139" s="1" t="n">
        <v>44148</v>
      </c>
      <c r="C139" s="1" t="n">
        <v>45741</v>
      </c>
      <c r="D139" t="inlineStr">
        <is>
          <t>VÄSTMANLANDS LÄN</t>
        </is>
      </c>
      <c r="E139" t="inlineStr">
        <is>
          <t>SURAHAMMAR</t>
        </is>
      </c>
      <c r="G139" t="n">
        <v>1.3</v>
      </c>
      <c r="H139" t="n">
        <v>0</v>
      </c>
      <c r="I139" t="n">
        <v>0</v>
      </c>
      <c r="J139" t="n">
        <v>0</v>
      </c>
      <c r="K139" t="n">
        <v>0</v>
      </c>
      <c r="L139" t="n">
        <v>0</v>
      </c>
      <c r="M139" t="n">
        <v>0</v>
      </c>
      <c r="N139" t="n">
        <v>0</v>
      </c>
      <c r="O139" t="n">
        <v>0</v>
      </c>
      <c r="P139" t="n">
        <v>0</v>
      </c>
      <c r="Q139" t="n">
        <v>0</v>
      </c>
      <c r="R139" s="2" t="inlineStr"/>
    </row>
    <row r="140" ht="15" customHeight="1">
      <c r="A140" t="inlineStr">
        <is>
          <t>A 59740-2020</t>
        </is>
      </c>
      <c r="B140" s="1" t="n">
        <v>44151</v>
      </c>
      <c r="C140" s="1" t="n">
        <v>45741</v>
      </c>
      <c r="D140" t="inlineStr">
        <is>
          <t>VÄSTMANLANDS LÄN</t>
        </is>
      </c>
      <c r="E140" t="inlineStr">
        <is>
          <t>SURAHAMMAR</t>
        </is>
      </c>
      <c r="F140" t="inlineStr">
        <is>
          <t>Sveaskog</t>
        </is>
      </c>
      <c r="G140" t="n">
        <v>3.4</v>
      </c>
      <c r="H140" t="n">
        <v>0</v>
      </c>
      <c r="I140" t="n">
        <v>0</v>
      </c>
      <c r="J140" t="n">
        <v>0</v>
      </c>
      <c r="K140" t="n">
        <v>0</v>
      </c>
      <c r="L140" t="n">
        <v>0</v>
      </c>
      <c r="M140" t="n">
        <v>0</v>
      </c>
      <c r="N140" t="n">
        <v>0</v>
      </c>
      <c r="O140" t="n">
        <v>0</v>
      </c>
      <c r="P140" t="n">
        <v>0</v>
      </c>
      <c r="Q140" t="n">
        <v>0</v>
      </c>
      <c r="R140" s="2" t="inlineStr"/>
    </row>
    <row r="141" ht="15" customHeight="1">
      <c r="A141" t="inlineStr">
        <is>
          <t>A 59727-2020</t>
        </is>
      </c>
      <c r="B141" s="1" t="n">
        <v>44151</v>
      </c>
      <c r="C141" s="1" t="n">
        <v>45741</v>
      </c>
      <c r="D141" t="inlineStr">
        <is>
          <t>VÄSTMANLANDS LÄN</t>
        </is>
      </c>
      <c r="E141" t="inlineStr">
        <is>
          <t>SURAHAMMAR</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1492-2021</t>
        </is>
      </c>
      <c r="B142" s="1" t="n">
        <v>44209</v>
      </c>
      <c r="C142" s="1" t="n">
        <v>45741</v>
      </c>
      <c r="D142" t="inlineStr">
        <is>
          <t>VÄSTMANLANDS LÄN</t>
        </is>
      </c>
      <c r="E142" t="inlineStr">
        <is>
          <t>SURAHAMMAR</t>
        </is>
      </c>
      <c r="G142" t="n">
        <v>1.2</v>
      </c>
      <c r="H142" t="n">
        <v>0</v>
      </c>
      <c r="I142" t="n">
        <v>0</v>
      </c>
      <c r="J142" t="n">
        <v>0</v>
      </c>
      <c r="K142" t="n">
        <v>0</v>
      </c>
      <c r="L142" t="n">
        <v>0</v>
      </c>
      <c r="M142" t="n">
        <v>0</v>
      </c>
      <c r="N142" t="n">
        <v>0</v>
      </c>
      <c r="O142" t="n">
        <v>0</v>
      </c>
      <c r="P142" t="n">
        <v>0</v>
      </c>
      <c r="Q142" t="n">
        <v>0</v>
      </c>
      <c r="R142" s="2" t="inlineStr"/>
    </row>
    <row r="143" ht="15" customHeight="1">
      <c r="A143" t="inlineStr">
        <is>
          <t>A 18723-2021</t>
        </is>
      </c>
      <c r="B143" s="1" t="n">
        <v>44306</v>
      </c>
      <c r="C143" s="1" t="n">
        <v>45741</v>
      </c>
      <c r="D143" t="inlineStr">
        <is>
          <t>VÄSTMANLANDS LÄN</t>
        </is>
      </c>
      <c r="E143" t="inlineStr">
        <is>
          <t>SURAHAMMAR</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20478-2021</t>
        </is>
      </c>
      <c r="B144" s="1" t="n">
        <v>44315</v>
      </c>
      <c r="C144" s="1" t="n">
        <v>45741</v>
      </c>
      <c r="D144" t="inlineStr">
        <is>
          <t>VÄSTMANLANDS LÄN</t>
        </is>
      </c>
      <c r="E144" t="inlineStr">
        <is>
          <t>SURAHAMMAR</t>
        </is>
      </c>
      <c r="F144" t="inlineStr">
        <is>
          <t>Sveaskog</t>
        </is>
      </c>
      <c r="G144" t="n">
        <v>6.2</v>
      </c>
      <c r="H144" t="n">
        <v>0</v>
      </c>
      <c r="I144" t="n">
        <v>0</v>
      </c>
      <c r="J144" t="n">
        <v>0</v>
      </c>
      <c r="K144" t="n">
        <v>0</v>
      </c>
      <c r="L144" t="n">
        <v>0</v>
      </c>
      <c r="M144" t="n">
        <v>0</v>
      </c>
      <c r="N144" t="n">
        <v>0</v>
      </c>
      <c r="O144" t="n">
        <v>0</v>
      </c>
      <c r="P144" t="n">
        <v>0</v>
      </c>
      <c r="Q144" t="n">
        <v>0</v>
      </c>
      <c r="R144" s="2" t="inlineStr"/>
    </row>
    <row r="145" ht="15" customHeight="1">
      <c r="A145" t="inlineStr">
        <is>
          <t>A 21839-2021</t>
        </is>
      </c>
      <c r="B145" s="1" t="n">
        <v>44322</v>
      </c>
      <c r="C145" s="1" t="n">
        <v>45741</v>
      </c>
      <c r="D145" t="inlineStr">
        <is>
          <t>VÄSTMANLANDS LÄN</t>
        </is>
      </c>
      <c r="E145" t="inlineStr">
        <is>
          <t>SURAHAMMAR</t>
        </is>
      </c>
      <c r="G145" t="n">
        <v>1.6</v>
      </c>
      <c r="H145" t="n">
        <v>0</v>
      </c>
      <c r="I145" t="n">
        <v>0</v>
      </c>
      <c r="J145" t="n">
        <v>0</v>
      </c>
      <c r="K145" t="n">
        <v>0</v>
      </c>
      <c r="L145" t="n">
        <v>0</v>
      </c>
      <c r="M145" t="n">
        <v>0</v>
      </c>
      <c r="N145" t="n">
        <v>0</v>
      </c>
      <c r="O145" t="n">
        <v>0</v>
      </c>
      <c r="P145" t="n">
        <v>0</v>
      </c>
      <c r="Q145" t="n">
        <v>0</v>
      </c>
      <c r="R145" s="2" t="inlineStr"/>
    </row>
    <row r="146" ht="15" customHeight="1">
      <c r="A146" t="inlineStr">
        <is>
          <t>A 24804-2021</t>
        </is>
      </c>
      <c r="B146" s="1" t="n">
        <v>44340</v>
      </c>
      <c r="C146" s="1" t="n">
        <v>45741</v>
      </c>
      <c r="D146" t="inlineStr">
        <is>
          <t>VÄSTMANLANDS LÄN</t>
        </is>
      </c>
      <c r="E146" t="inlineStr">
        <is>
          <t>SURAHAMMAR</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31468-2021</t>
        </is>
      </c>
      <c r="B147" s="1" t="n">
        <v>44369</v>
      </c>
      <c r="C147" s="1" t="n">
        <v>45741</v>
      </c>
      <c r="D147" t="inlineStr">
        <is>
          <t>VÄSTMANLANDS LÄN</t>
        </is>
      </c>
      <c r="E147" t="inlineStr">
        <is>
          <t>SURAHAMMAR</t>
        </is>
      </c>
      <c r="G147" t="n">
        <v>1.1</v>
      </c>
      <c r="H147" t="n">
        <v>0</v>
      </c>
      <c r="I147" t="n">
        <v>0</v>
      </c>
      <c r="J147" t="n">
        <v>0</v>
      </c>
      <c r="K147" t="n">
        <v>0</v>
      </c>
      <c r="L147" t="n">
        <v>0</v>
      </c>
      <c r="M147" t="n">
        <v>0</v>
      </c>
      <c r="N147" t="n">
        <v>0</v>
      </c>
      <c r="O147" t="n">
        <v>0</v>
      </c>
      <c r="P147" t="n">
        <v>0</v>
      </c>
      <c r="Q147" t="n">
        <v>0</v>
      </c>
      <c r="R147" s="2" t="inlineStr"/>
    </row>
    <row r="148" ht="15" customHeight="1">
      <c r="A148" t="inlineStr">
        <is>
          <t>A 33998-2021</t>
        </is>
      </c>
      <c r="B148" s="1" t="n">
        <v>44378</v>
      </c>
      <c r="C148" s="1" t="n">
        <v>45741</v>
      </c>
      <c r="D148" t="inlineStr">
        <is>
          <t>VÄSTMANLANDS LÄN</t>
        </is>
      </c>
      <c r="E148" t="inlineStr">
        <is>
          <t>SURAHAMMAR</t>
        </is>
      </c>
      <c r="F148" t="inlineStr">
        <is>
          <t>Bergvik skog väst AB</t>
        </is>
      </c>
      <c r="G148" t="n">
        <v>3.2</v>
      </c>
      <c r="H148" t="n">
        <v>0</v>
      </c>
      <c r="I148" t="n">
        <v>0</v>
      </c>
      <c r="J148" t="n">
        <v>0</v>
      </c>
      <c r="K148" t="n">
        <v>0</v>
      </c>
      <c r="L148" t="n">
        <v>0</v>
      </c>
      <c r="M148" t="n">
        <v>0</v>
      </c>
      <c r="N148" t="n">
        <v>0</v>
      </c>
      <c r="O148" t="n">
        <v>0</v>
      </c>
      <c r="P148" t="n">
        <v>0</v>
      </c>
      <c r="Q148" t="n">
        <v>0</v>
      </c>
      <c r="R148" s="2" t="inlineStr"/>
    </row>
    <row r="149" ht="15" customHeight="1">
      <c r="A149" t="inlineStr">
        <is>
          <t>A 34001-2021</t>
        </is>
      </c>
      <c r="B149" s="1" t="n">
        <v>44378</v>
      </c>
      <c r="C149" s="1" t="n">
        <v>45741</v>
      </c>
      <c r="D149" t="inlineStr">
        <is>
          <t>VÄSTMANLANDS LÄN</t>
        </is>
      </c>
      <c r="E149" t="inlineStr">
        <is>
          <t>SURAHAMMAR</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37798-2021</t>
        </is>
      </c>
      <c r="B150" s="1" t="n">
        <v>44402</v>
      </c>
      <c r="C150" s="1" t="n">
        <v>45741</v>
      </c>
      <c r="D150" t="inlineStr">
        <is>
          <t>VÄSTMANLANDS LÄN</t>
        </is>
      </c>
      <c r="E150" t="inlineStr">
        <is>
          <t>SURAHAMMAR</t>
        </is>
      </c>
      <c r="F150" t="inlineStr">
        <is>
          <t>Kommuner</t>
        </is>
      </c>
      <c r="G150" t="n">
        <v>1.2</v>
      </c>
      <c r="H150" t="n">
        <v>0</v>
      </c>
      <c r="I150" t="n">
        <v>0</v>
      </c>
      <c r="J150" t="n">
        <v>0</v>
      </c>
      <c r="K150" t="n">
        <v>0</v>
      </c>
      <c r="L150" t="n">
        <v>0</v>
      </c>
      <c r="M150" t="n">
        <v>0</v>
      </c>
      <c r="N150" t="n">
        <v>0</v>
      </c>
      <c r="O150" t="n">
        <v>0</v>
      </c>
      <c r="P150" t="n">
        <v>0</v>
      </c>
      <c r="Q150" t="n">
        <v>0</v>
      </c>
      <c r="R150" s="2" t="inlineStr"/>
    </row>
    <row r="151" ht="15" customHeight="1">
      <c r="A151" t="inlineStr">
        <is>
          <t>A 37799-2021</t>
        </is>
      </c>
      <c r="B151" s="1" t="n">
        <v>44402</v>
      </c>
      <c r="C151" s="1" t="n">
        <v>45741</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38150-2021</t>
        </is>
      </c>
      <c r="B152" s="1" t="n">
        <v>44405</v>
      </c>
      <c r="C152" s="1" t="n">
        <v>45741</v>
      </c>
      <c r="D152" t="inlineStr">
        <is>
          <t>VÄSTMANLANDS LÄN</t>
        </is>
      </c>
      <c r="E152" t="inlineStr">
        <is>
          <t>SURAHAMMAR</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38178-2021</t>
        </is>
      </c>
      <c r="B153" s="1" t="n">
        <v>44405</v>
      </c>
      <c r="C153" s="1" t="n">
        <v>45741</v>
      </c>
      <c r="D153" t="inlineStr">
        <is>
          <t>VÄSTMANLANDS LÄN</t>
        </is>
      </c>
      <c r="E153" t="inlineStr">
        <is>
          <t>SURAHAMMAR</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38149-2021</t>
        </is>
      </c>
      <c r="B154" s="1" t="n">
        <v>44405</v>
      </c>
      <c r="C154" s="1" t="n">
        <v>45741</v>
      </c>
      <c r="D154" t="inlineStr">
        <is>
          <t>VÄSTMANLANDS LÄN</t>
        </is>
      </c>
      <c r="E154" t="inlineStr">
        <is>
          <t>SURAHAMMAR</t>
        </is>
      </c>
      <c r="F154" t="inlineStr">
        <is>
          <t>Sveaskog</t>
        </is>
      </c>
      <c r="G154" t="n">
        <v>4.9</v>
      </c>
      <c r="H154" t="n">
        <v>0</v>
      </c>
      <c r="I154" t="n">
        <v>0</v>
      </c>
      <c r="J154" t="n">
        <v>0</v>
      </c>
      <c r="K154" t="n">
        <v>0</v>
      </c>
      <c r="L154" t="n">
        <v>0</v>
      </c>
      <c r="M154" t="n">
        <v>0</v>
      </c>
      <c r="N154" t="n">
        <v>0</v>
      </c>
      <c r="O154" t="n">
        <v>0</v>
      </c>
      <c r="P154" t="n">
        <v>0</v>
      </c>
      <c r="Q154" t="n">
        <v>0</v>
      </c>
      <c r="R154" s="2" t="inlineStr"/>
    </row>
    <row r="155" ht="15" customHeight="1">
      <c r="A155" t="inlineStr">
        <is>
          <t>A 38163-2021</t>
        </is>
      </c>
      <c r="B155" s="1" t="n">
        <v>44405</v>
      </c>
      <c r="C155" s="1" t="n">
        <v>45741</v>
      </c>
      <c r="D155" t="inlineStr">
        <is>
          <t>VÄSTMANLANDS LÄN</t>
        </is>
      </c>
      <c r="E155" t="inlineStr">
        <is>
          <t>SURAHAMMAR</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38154-2021</t>
        </is>
      </c>
      <c r="B156" s="1" t="n">
        <v>44405</v>
      </c>
      <c r="C156" s="1" t="n">
        <v>45741</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47852-2021</t>
        </is>
      </c>
      <c r="B157" s="1" t="n">
        <v>44448</v>
      </c>
      <c r="C157" s="1" t="n">
        <v>45741</v>
      </c>
      <c r="D157" t="inlineStr">
        <is>
          <t>VÄSTMANLANDS LÄN</t>
        </is>
      </c>
      <c r="E157" t="inlineStr">
        <is>
          <t>SURAHAMMAR</t>
        </is>
      </c>
      <c r="G157" t="n">
        <v>4.1</v>
      </c>
      <c r="H157" t="n">
        <v>0</v>
      </c>
      <c r="I157" t="n">
        <v>0</v>
      </c>
      <c r="J157" t="n">
        <v>0</v>
      </c>
      <c r="K157" t="n">
        <v>0</v>
      </c>
      <c r="L157" t="n">
        <v>0</v>
      </c>
      <c r="M157" t="n">
        <v>0</v>
      </c>
      <c r="N157" t="n">
        <v>0</v>
      </c>
      <c r="O157" t="n">
        <v>0</v>
      </c>
      <c r="P157" t="n">
        <v>0</v>
      </c>
      <c r="Q157" t="n">
        <v>0</v>
      </c>
      <c r="R157" s="2" t="inlineStr"/>
    </row>
    <row r="158" ht="15" customHeight="1">
      <c r="A158" t="inlineStr">
        <is>
          <t>A 47785-2021</t>
        </is>
      </c>
      <c r="B158" s="1" t="n">
        <v>44448</v>
      </c>
      <c r="C158" s="1" t="n">
        <v>45741</v>
      </c>
      <c r="D158" t="inlineStr">
        <is>
          <t>VÄSTMANLANDS LÄN</t>
        </is>
      </c>
      <c r="E158" t="inlineStr">
        <is>
          <t>SURAHAMMAR</t>
        </is>
      </c>
      <c r="F158" t="inlineStr">
        <is>
          <t>Kommuner</t>
        </is>
      </c>
      <c r="G158" t="n">
        <v>3.3</v>
      </c>
      <c r="H158" t="n">
        <v>0</v>
      </c>
      <c r="I158" t="n">
        <v>0</v>
      </c>
      <c r="J158" t="n">
        <v>0</v>
      </c>
      <c r="K158" t="n">
        <v>0</v>
      </c>
      <c r="L158" t="n">
        <v>0</v>
      </c>
      <c r="M158" t="n">
        <v>0</v>
      </c>
      <c r="N158" t="n">
        <v>0</v>
      </c>
      <c r="O158" t="n">
        <v>0</v>
      </c>
      <c r="P158" t="n">
        <v>0</v>
      </c>
      <c r="Q158" t="n">
        <v>0</v>
      </c>
      <c r="R158" s="2" t="inlineStr"/>
    </row>
    <row r="159" ht="15" customHeight="1">
      <c r="A159" t="inlineStr">
        <is>
          <t>A 64073-2021</t>
        </is>
      </c>
      <c r="B159" s="1" t="n">
        <v>44509</v>
      </c>
      <c r="C159" s="1" t="n">
        <v>45741</v>
      </c>
      <c r="D159" t="inlineStr">
        <is>
          <t>VÄSTMANLANDS LÄN</t>
        </is>
      </c>
      <c r="E159" t="inlineStr">
        <is>
          <t>SURAHAMMAR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66342-2021</t>
        </is>
      </c>
      <c r="B160" s="1" t="n">
        <v>44518</v>
      </c>
      <c r="C160" s="1" t="n">
        <v>45741</v>
      </c>
      <c r="D160" t="inlineStr">
        <is>
          <t>VÄSTMANLANDS LÄN</t>
        </is>
      </c>
      <c r="E160" t="inlineStr">
        <is>
          <t>SURAHAMMAR</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66350-2021</t>
        </is>
      </c>
      <c r="B161" s="1" t="n">
        <v>44518</v>
      </c>
      <c r="C161" s="1" t="n">
        <v>45741</v>
      </c>
      <c r="D161" t="inlineStr">
        <is>
          <t>VÄSTMANLANDS LÄN</t>
        </is>
      </c>
      <c r="E161" t="inlineStr">
        <is>
          <t>SURAHAMMAR</t>
        </is>
      </c>
      <c r="F161" t="inlineStr">
        <is>
          <t>Sveaskog</t>
        </is>
      </c>
      <c r="G161" t="n">
        <v>3.5</v>
      </c>
      <c r="H161" t="n">
        <v>0</v>
      </c>
      <c r="I161" t="n">
        <v>0</v>
      </c>
      <c r="J161" t="n">
        <v>0</v>
      </c>
      <c r="K161" t="n">
        <v>0</v>
      </c>
      <c r="L161" t="n">
        <v>0</v>
      </c>
      <c r="M161" t="n">
        <v>0</v>
      </c>
      <c r="N161" t="n">
        <v>0</v>
      </c>
      <c r="O161" t="n">
        <v>0</v>
      </c>
      <c r="P161" t="n">
        <v>0</v>
      </c>
      <c r="Q161" t="n">
        <v>0</v>
      </c>
      <c r="R161" s="2" t="inlineStr"/>
    </row>
    <row r="162" ht="15" customHeight="1">
      <c r="A162" t="inlineStr">
        <is>
          <t>A 67611-2021</t>
        </is>
      </c>
      <c r="B162" s="1" t="n">
        <v>44524</v>
      </c>
      <c r="C162" s="1" t="n">
        <v>45741</v>
      </c>
      <c r="D162" t="inlineStr">
        <is>
          <t>VÄSTMANLANDS LÄN</t>
        </is>
      </c>
      <c r="E162" t="inlineStr">
        <is>
          <t>SURAHAMMAR</t>
        </is>
      </c>
      <c r="F162" t="inlineStr">
        <is>
          <t>Kommuner</t>
        </is>
      </c>
      <c r="G162" t="n">
        <v>3.8</v>
      </c>
      <c r="H162" t="n">
        <v>0</v>
      </c>
      <c r="I162" t="n">
        <v>0</v>
      </c>
      <c r="J162" t="n">
        <v>0</v>
      </c>
      <c r="K162" t="n">
        <v>0</v>
      </c>
      <c r="L162" t="n">
        <v>0</v>
      </c>
      <c r="M162" t="n">
        <v>0</v>
      </c>
      <c r="N162" t="n">
        <v>0</v>
      </c>
      <c r="O162" t="n">
        <v>0</v>
      </c>
      <c r="P162" t="n">
        <v>0</v>
      </c>
      <c r="Q162" t="n">
        <v>0</v>
      </c>
      <c r="R162" s="2" t="inlineStr"/>
    </row>
    <row r="163" ht="15" customHeight="1">
      <c r="A163" t="inlineStr">
        <is>
          <t>A 72367-2021</t>
        </is>
      </c>
      <c r="B163" s="1" t="n">
        <v>44545</v>
      </c>
      <c r="C163" s="1" t="n">
        <v>45741</v>
      </c>
      <c r="D163" t="inlineStr">
        <is>
          <t>VÄSTMANLANDS LÄN</t>
        </is>
      </c>
      <c r="E163" t="inlineStr">
        <is>
          <t>SURAHAMMAR</t>
        </is>
      </c>
      <c r="G163" t="n">
        <v>2.5</v>
      </c>
      <c r="H163" t="n">
        <v>0</v>
      </c>
      <c r="I163" t="n">
        <v>0</v>
      </c>
      <c r="J163" t="n">
        <v>0</v>
      </c>
      <c r="K163" t="n">
        <v>0</v>
      </c>
      <c r="L163" t="n">
        <v>0</v>
      </c>
      <c r="M163" t="n">
        <v>0</v>
      </c>
      <c r="N163" t="n">
        <v>0</v>
      </c>
      <c r="O163" t="n">
        <v>0</v>
      </c>
      <c r="P163" t="n">
        <v>0</v>
      </c>
      <c r="Q163" t="n">
        <v>0</v>
      </c>
      <c r="R163" s="2" t="inlineStr"/>
    </row>
    <row r="164" ht="15" customHeight="1">
      <c r="A164" t="inlineStr">
        <is>
          <t>A 73156-2021</t>
        </is>
      </c>
      <c r="B164" s="1" t="n">
        <v>44550</v>
      </c>
      <c r="C164" s="1" t="n">
        <v>45741</v>
      </c>
      <c r="D164" t="inlineStr">
        <is>
          <t>VÄSTMANLANDS LÄN</t>
        </is>
      </c>
      <c r="E164" t="inlineStr">
        <is>
          <t>SURAHAMMAR</t>
        </is>
      </c>
      <c r="F164" t="inlineStr">
        <is>
          <t>Övriga Aktiebolag</t>
        </is>
      </c>
      <c r="G164" t="n">
        <v>2.5</v>
      </c>
      <c r="H164" t="n">
        <v>0</v>
      </c>
      <c r="I164" t="n">
        <v>0</v>
      </c>
      <c r="J164" t="n">
        <v>0</v>
      </c>
      <c r="K164" t="n">
        <v>0</v>
      </c>
      <c r="L164" t="n">
        <v>0</v>
      </c>
      <c r="M164" t="n">
        <v>0</v>
      </c>
      <c r="N164" t="n">
        <v>0</v>
      </c>
      <c r="O164" t="n">
        <v>0</v>
      </c>
      <c r="P164" t="n">
        <v>0</v>
      </c>
      <c r="Q164" t="n">
        <v>0</v>
      </c>
      <c r="R164" s="2" t="inlineStr"/>
    </row>
    <row r="165" ht="15" customHeight="1">
      <c r="A165" t="inlineStr">
        <is>
          <t>A 3155-2022</t>
        </is>
      </c>
      <c r="B165" s="1" t="n">
        <v>44582</v>
      </c>
      <c r="C165" s="1" t="n">
        <v>45741</v>
      </c>
      <c r="D165" t="inlineStr">
        <is>
          <t>VÄSTMANLANDS LÄN</t>
        </is>
      </c>
      <c r="E165" t="inlineStr">
        <is>
          <t>SURAHAMMAR</t>
        </is>
      </c>
      <c r="G165" t="n">
        <v>5.5</v>
      </c>
      <c r="H165" t="n">
        <v>0</v>
      </c>
      <c r="I165" t="n">
        <v>0</v>
      </c>
      <c r="J165" t="n">
        <v>0</v>
      </c>
      <c r="K165" t="n">
        <v>0</v>
      </c>
      <c r="L165" t="n">
        <v>0</v>
      </c>
      <c r="M165" t="n">
        <v>0</v>
      </c>
      <c r="N165" t="n">
        <v>0</v>
      </c>
      <c r="O165" t="n">
        <v>0</v>
      </c>
      <c r="P165" t="n">
        <v>0</v>
      </c>
      <c r="Q165" t="n">
        <v>0</v>
      </c>
      <c r="R165" s="2" t="inlineStr"/>
    </row>
    <row r="166" ht="15" customHeight="1">
      <c r="A166" t="inlineStr">
        <is>
          <t>A 3595-2022</t>
        </is>
      </c>
      <c r="B166" s="1" t="n">
        <v>44586</v>
      </c>
      <c r="C166" s="1" t="n">
        <v>45741</v>
      </c>
      <c r="D166" t="inlineStr">
        <is>
          <t>VÄSTMANLANDS LÄN</t>
        </is>
      </c>
      <c r="E166" t="inlineStr">
        <is>
          <t>SURAHAMMAR</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3818-2022</t>
        </is>
      </c>
      <c r="B167" s="1" t="n">
        <v>44587</v>
      </c>
      <c r="C167" s="1" t="n">
        <v>45741</v>
      </c>
      <c r="D167" t="inlineStr">
        <is>
          <t>VÄSTMANLANDS LÄN</t>
        </is>
      </c>
      <c r="E167" t="inlineStr">
        <is>
          <t>SURAHAMMAR</t>
        </is>
      </c>
      <c r="G167" t="n">
        <v>2.6</v>
      </c>
      <c r="H167" t="n">
        <v>0</v>
      </c>
      <c r="I167" t="n">
        <v>0</v>
      </c>
      <c r="J167" t="n">
        <v>0</v>
      </c>
      <c r="K167" t="n">
        <v>0</v>
      </c>
      <c r="L167" t="n">
        <v>0</v>
      </c>
      <c r="M167" t="n">
        <v>0</v>
      </c>
      <c r="N167" t="n">
        <v>0</v>
      </c>
      <c r="O167" t="n">
        <v>0</v>
      </c>
      <c r="P167" t="n">
        <v>0</v>
      </c>
      <c r="Q167" t="n">
        <v>0</v>
      </c>
      <c r="R167" s="2" t="inlineStr"/>
    </row>
    <row r="168" ht="15" customHeight="1">
      <c r="A168" t="inlineStr">
        <is>
          <t>A 5567-2022</t>
        </is>
      </c>
      <c r="B168" s="1" t="n">
        <v>44595</v>
      </c>
      <c r="C168" s="1" t="n">
        <v>45741</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row r="169" ht="15" customHeight="1">
      <c r="A169" t="inlineStr">
        <is>
          <t>A 7848-2022</t>
        </is>
      </c>
      <c r="B169" s="1" t="n">
        <v>44608</v>
      </c>
      <c r="C169" s="1" t="n">
        <v>45741</v>
      </c>
      <c r="D169" t="inlineStr">
        <is>
          <t>VÄSTMANLANDS LÄN</t>
        </is>
      </c>
      <c r="E169" t="inlineStr">
        <is>
          <t>SURAHAMMAR</t>
        </is>
      </c>
      <c r="G169" t="n">
        <v>2.1</v>
      </c>
      <c r="H169" t="n">
        <v>0</v>
      </c>
      <c r="I169" t="n">
        <v>0</v>
      </c>
      <c r="J169" t="n">
        <v>0</v>
      </c>
      <c r="K169" t="n">
        <v>0</v>
      </c>
      <c r="L169" t="n">
        <v>0</v>
      </c>
      <c r="M169" t="n">
        <v>0</v>
      </c>
      <c r="N169" t="n">
        <v>0</v>
      </c>
      <c r="O169" t="n">
        <v>0</v>
      </c>
      <c r="P169" t="n">
        <v>0</v>
      </c>
      <c r="Q169" t="n">
        <v>0</v>
      </c>
      <c r="R169" s="2" t="inlineStr"/>
    </row>
    <row r="170" ht="15" customHeight="1">
      <c r="A170" t="inlineStr">
        <is>
          <t>A 13119-2022</t>
        </is>
      </c>
      <c r="B170" s="1" t="n">
        <v>44643</v>
      </c>
      <c r="C170" s="1" t="n">
        <v>45741</v>
      </c>
      <c r="D170" t="inlineStr">
        <is>
          <t>VÄSTMANLANDS LÄN</t>
        </is>
      </c>
      <c r="E170" t="inlineStr">
        <is>
          <t>SURAHAMMAR</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13070-2022</t>
        </is>
      </c>
      <c r="B171" s="1" t="n">
        <v>44643</v>
      </c>
      <c r="C171" s="1" t="n">
        <v>45741</v>
      </c>
      <c r="D171" t="inlineStr">
        <is>
          <t>VÄSTMANLANDS LÄN</t>
        </is>
      </c>
      <c r="E171" t="inlineStr">
        <is>
          <t>SURAHAMMAR</t>
        </is>
      </c>
      <c r="F171" t="inlineStr">
        <is>
          <t>Bergvik skog väst AB</t>
        </is>
      </c>
      <c r="G171" t="n">
        <v>4.3</v>
      </c>
      <c r="H171" t="n">
        <v>0</v>
      </c>
      <c r="I171" t="n">
        <v>0</v>
      </c>
      <c r="J171" t="n">
        <v>0</v>
      </c>
      <c r="K171" t="n">
        <v>0</v>
      </c>
      <c r="L171" t="n">
        <v>0</v>
      </c>
      <c r="M171" t="n">
        <v>0</v>
      </c>
      <c r="N171" t="n">
        <v>0</v>
      </c>
      <c r="O171" t="n">
        <v>0</v>
      </c>
      <c r="P171" t="n">
        <v>0</v>
      </c>
      <c r="Q171" t="n">
        <v>0</v>
      </c>
      <c r="R171" s="2" t="inlineStr"/>
    </row>
    <row r="172" ht="15" customHeight="1">
      <c r="A172" t="inlineStr">
        <is>
          <t>A 15637-2022</t>
        </is>
      </c>
      <c r="B172" s="1" t="n">
        <v>44662</v>
      </c>
      <c r="C172" s="1" t="n">
        <v>45741</v>
      </c>
      <c r="D172" t="inlineStr">
        <is>
          <t>VÄSTMANLANDS LÄN</t>
        </is>
      </c>
      <c r="E172" t="inlineStr">
        <is>
          <t>SURAHAMMAR</t>
        </is>
      </c>
      <c r="G172" t="n">
        <v>2.2</v>
      </c>
      <c r="H172" t="n">
        <v>0</v>
      </c>
      <c r="I172" t="n">
        <v>0</v>
      </c>
      <c r="J172" t="n">
        <v>0</v>
      </c>
      <c r="K172" t="n">
        <v>0</v>
      </c>
      <c r="L172" t="n">
        <v>0</v>
      </c>
      <c r="M172" t="n">
        <v>0</v>
      </c>
      <c r="N172" t="n">
        <v>0</v>
      </c>
      <c r="O172" t="n">
        <v>0</v>
      </c>
      <c r="P172" t="n">
        <v>0</v>
      </c>
      <c r="Q172" t="n">
        <v>0</v>
      </c>
      <c r="R172" s="2" t="inlineStr"/>
    </row>
    <row r="173" ht="15" customHeight="1">
      <c r="A173" t="inlineStr">
        <is>
          <t>A 16608-2022</t>
        </is>
      </c>
      <c r="B173" s="1" t="n">
        <v>44672</v>
      </c>
      <c r="C173" s="1" t="n">
        <v>45741</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19099-2022</t>
        </is>
      </c>
      <c r="B174" s="1" t="n">
        <v>44691</v>
      </c>
      <c r="C174" s="1" t="n">
        <v>45741</v>
      </c>
      <c r="D174" t="inlineStr">
        <is>
          <t>VÄSTMANLANDS LÄN</t>
        </is>
      </c>
      <c r="E174" t="inlineStr">
        <is>
          <t>SURAHAMMAR</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19637-2022</t>
        </is>
      </c>
      <c r="B175" s="1" t="n">
        <v>44694</v>
      </c>
      <c r="C175" s="1" t="n">
        <v>45741</v>
      </c>
      <c r="D175" t="inlineStr">
        <is>
          <t>VÄSTMANLANDS LÄN</t>
        </is>
      </c>
      <c r="E175" t="inlineStr">
        <is>
          <t>SURAHAMMAR</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19844-2022</t>
        </is>
      </c>
      <c r="B176" s="1" t="n">
        <v>44696</v>
      </c>
      <c r="C176" s="1" t="n">
        <v>45741</v>
      </c>
      <c r="D176" t="inlineStr">
        <is>
          <t>VÄSTMANLANDS LÄN</t>
        </is>
      </c>
      <c r="E176" t="inlineStr">
        <is>
          <t>SURAHAMMAR</t>
        </is>
      </c>
      <c r="F176" t="inlineStr">
        <is>
          <t>Kommuner</t>
        </is>
      </c>
      <c r="G176" t="n">
        <v>2.1</v>
      </c>
      <c r="H176" t="n">
        <v>0</v>
      </c>
      <c r="I176" t="n">
        <v>0</v>
      </c>
      <c r="J176" t="n">
        <v>0</v>
      </c>
      <c r="K176" t="n">
        <v>0</v>
      </c>
      <c r="L176" t="n">
        <v>0</v>
      </c>
      <c r="M176" t="n">
        <v>0</v>
      </c>
      <c r="N176" t="n">
        <v>0</v>
      </c>
      <c r="O176" t="n">
        <v>0</v>
      </c>
      <c r="P176" t="n">
        <v>0</v>
      </c>
      <c r="Q176" t="n">
        <v>0</v>
      </c>
      <c r="R176" s="2" t="inlineStr"/>
    </row>
    <row r="177" ht="15" customHeight="1">
      <c r="A177" t="inlineStr">
        <is>
          <t>A 19845-2022</t>
        </is>
      </c>
      <c r="B177" s="1" t="n">
        <v>44696</v>
      </c>
      <c r="C177" s="1" t="n">
        <v>45741</v>
      </c>
      <c r="D177" t="inlineStr">
        <is>
          <t>VÄSTMANLANDS LÄN</t>
        </is>
      </c>
      <c r="E177" t="inlineStr">
        <is>
          <t>SURAHAMMAR</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19846-2022</t>
        </is>
      </c>
      <c r="B178" s="1" t="n">
        <v>44696</v>
      </c>
      <c r="C178" s="1" t="n">
        <v>45741</v>
      </c>
      <c r="D178" t="inlineStr">
        <is>
          <t>VÄSTMANLANDS LÄN</t>
        </is>
      </c>
      <c r="E178" t="inlineStr">
        <is>
          <t>SURAHAMMAR</t>
        </is>
      </c>
      <c r="F178" t="inlineStr">
        <is>
          <t>Kommuner</t>
        </is>
      </c>
      <c r="G178" t="n">
        <v>3.4</v>
      </c>
      <c r="H178" t="n">
        <v>0</v>
      </c>
      <c r="I178" t="n">
        <v>0</v>
      </c>
      <c r="J178" t="n">
        <v>0</v>
      </c>
      <c r="K178" t="n">
        <v>0</v>
      </c>
      <c r="L178" t="n">
        <v>0</v>
      </c>
      <c r="M178" t="n">
        <v>0</v>
      </c>
      <c r="N178" t="n">
        <v>0</v>
      </c>
      <c r="O178" t="n">
        <v>0</v>
      </c>
      <c r="P178" t="n">
        <v>0</v>
      </c>
      <c r="Q178" t="n">
        <v>0</v>
      </c>
      <c r="R178" s="2" t="inlineStr"/>
    </row>
    <row r="179" ht="15" customHeight="1">
      <c r="A179" t="inlineStr">
        <is>
          <t>A 26700-2022</t>
        </is>
      </c>
      <c r="B179" s="1" t="n">
        <v>44739</v>
      </c>
      <c r="C179" s="1" t="n">
        <v>45741</v>
      </c>
      <c r="D179" t="inlineStr">
        <is>
          <t>VÄSTMANLANDS LÄN</t>
        </is>
      </c>
      <c r="E179" t="inlineStr">
        <is>
          <t>SURAHAMMAR</t>
        </is>
      </c>
      <c r="F179" t="inlineStr">
        <is>
          <t>Kommuner</t>
        </is>
      </c>
      <c r="G179" t="n">
        <v>3.1</v>
      </c>
      <c r="H179" t="n">
        <v>0</v>
      </c>
      <c r="I179" t="n">
        <v>0</v>
      </c>
      <c r="J179" t="n">
        <v>0</v>
      </c>
      <c r="K179" t="n">
        <v>0</v>
      </c>
      <c r="L179" t="n">
        <v>0</v>
      </c>
      <c r="M179" t="n">
        <v>0</v>
      </c>
      <c r="N179" t="n">
        <v>0</v>
      </c>
      <c r="O179" t="n">
        <v>0</v>
      </c>
      <c r="P179" t="n">
        <v>0</v>
      </c>
      <c r="Q179" t="n">
        <v>0</v>
      </c>
      <c r="R179" s="2" t="inlineStr"/>
    </row>
    <row r="180" ht="15" customHeight="1">
      <c r="A180" t="inlineStr">
        <is>
          <t>A 32475-2022</t>
        </is>
      </c>
      <c r="B180" s="1" t="n">
        <v>44782</v>
      </c>
      <c r="C180" s="1" t="n">
        <v>45741</v>
      </c>
      <c r="D180" t="inlineStr">
        <is>
          <t>VÄSTMANLANDS LÄN</t>
        </is>
      </c>
      <c r="E180" t="inlineStr">
        <is>
          <t>SURAHAMMAR</t>
        </is>
      </c>
      <c r="F180" t="inlineStr">
        <is>
          <t>Bergvik skog väst AB</t>
        </is>
      </c>
      <c r="G180" t="n">
        <v>2.1</v>
      </c>
      <c r="H180" t="n">
        <v>0</v>
      </c>
      <c r="I180" t="n">
        <v>0</v>
      </c>
      <c r="J180" t="n">
        <v>0</v>
      </c>
      <c r="K180" t="n">
        <v>0</v>
      </c>
      <c r="L180" t="n">
        <v>0</v>
      </c>
      <c r="M180" t="n">
        <v>0</v>
      </c>
      <c r="N180" t="n">
        <v>0</v>
      </c>
      <c r="O180" t="n">
        <v>0</v>
      </c>
      <c r="P180" t="n">
        <v>0</v>
      </c>
      <c r="Q180" t="n">
        <v>0</v>
      </c>
      <c r="R180" s="2" t="inlineStr"/>
    </row>
    <row r="181" ht="15" customHeight="1">
      <c r="A181" t="inlineStr">
        <is>
          <t>A 32491-2022</t>
        </is>
      </c>
      <c r="B181" s="1" t="n">
        <v>44782</v>
      </c>
      <c r="C181" s="1" t="n">
        <v>45741</v>
      </c>
      <c r="D181" t="inlineStr">
        <is>
          <t>VÄSTMANLANDS LÄN</t>
        </is>
      </c>
      <c r="E181" t="inlineStr">
        <is>
          <t>SURAHAMMAR</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32492-2022</t>
        </is>
      </c>
      <c r="B182" s="1" t="n">
        <v>44782</v>
      </c>
      <c r="C182" s="1" t="n">
        <v>45741</v>
      </c>
      <c r="D182" t="inlineStr">
        <is>
          <t>VÄSTMANLANDS LÄN</t>
        </is>
      </c>
      <c r="E182" t="inlineStr">
        <is>
          <t>SURAHAMMAR</t>
        </is>
      </c>
      <c r="F182" t="inlineStr">
        <is>
          <t>Bergvik skog väst AB</t>
        </is>
      </c>
      <c r="G182" t="n">
        <v>5.3</v>
      </c>
      <c r="H182" t="n">
        <v>0</v>
      </c>
      <c r="I182" t="n">
        <v>0</v>
      </c>
      <c r="J182" t="n">
        <v>0</v>
      </c>
      <c r="K182" t="n">
        <v>0</v>
      </c>
      <c r="L182" t="n">
        <v>0</v>
      </c>
      <c r="M182" t="n">
        <v>0</v>
      </c>
      <c r="N182" t="n">
        <v>0</v>
      </c>
      <c r="O182" t="n">
        <v>0</v>
      </c>
      <c r="P182" t="n">
        <v>0</v>
      </c>
      <c r="Q182" t="n">
        <v>0</v>
      </c>
      <c r="R182" s="2" t="inlineStr"/>
    </row>
    <row r="183" ht="15" customHeight="1">
      <c r="A183" t="inlineStr">
        <is>
          <t>A 33931-2022</t>
        </is>
      </c>
      <c r="B183" s="1" t="n">
        <v>44790</v>
      </c>
      <c r="C183" s="1" t="n">
        <v>45741</v>
      </c>
      <c r="D183" t="inlineStr">
        <is>
          <t>VÄSTMANLANDS LÄN</t>
        </is>
      </c>
      <c r="E183" t="inlineStr">
        <is>
          <t>SURAHAMMAR</t>
        </is>
      </c>
      <c r="G183" t="n">
        <v>2.2</v>
      </c>
      <c r="H183" t="n">
        <v>0</v>
      </c>
      <c r="I183" t="n">
        <v>0</v>
      </c>
      <c r="J183" t="n">
        <v>0</v>
      </c>
      <c r="K183" t="n">
        <v>0</v>
      </c>
      <c r="L183" t="n">
        <v>0</v>
      </c>
      <c r="M183" t="n">
        <v>0</v>
      </c>
      <c r="N183" t="n">
        <v>0</v>
      </c>
      <c r="O183" t="n">
        <v>0</v>
      </c>
      <c r="P183" t="n">
        <v>0</v>
      </c>
      <c r="Q183" t="n">
        <v>0</v>
      </c>
      <c r="R183" s="2" t="inlineStr"/>
    </row>
    <row r="184" ht="15" customHeight="1">
      <c r="A184" t="inlineStr">
        <is>
          <t>A 33946-2022</t>
        </is>
      </c>
      <c r="B184" s="1" t="n">
        <v>44790</v>
      </c>
      <c r="C184" s="1" t="n">
        <v>45741</v>
      </c>
      <c r="D184" t="inlineStr">
        <is>
          <t>VÄSTMANLANDS LÄN</t>
        </is>
      </c>
      <c r="E184" t="inlineStr">
        <is>
          <t>SURAHAMMAR</t>
        </is>
      </c>
      <c r="G184" t="n">
        <v>2.3</v>
      </c>
      <c r="H184" t="n">
        <v>0</v>
      </c>
      <c r="I184" t="n">
        <v>0</v>
      </c>
      <c r="J184" t="n">
        <v>0</v>
      </c>
      <c r="K184" t="n">
        <v>0</v>
      </c>
      <c r="L184" t="n">
        <v>0</v>
      </c>
      <c r="M184" t="n">
        <v>0</v>
      </c>
      <c r="N184" t="n">
        <v>0</v>
      </c>
      <c r="O184" t="n">
        <v>0</v>
      </c>
      <c r="P184" t="n">
        <v>0</v>
      </c>
      <c r="Q184" t="n">
        <v>0</v>
      </c>
      <c r="R184" s="2" t="inlineStr"/>
    </row>
    <row r="185" ht="15" customHeight="1">
      <c r="A185" t="inlineStr">
        <is>
          <t>A 33953-2022</t>
        </is>
      </c>
      <c r="B185" s="1" t="n">
        <v>44790</v>
      </c>
      <c r="C185" s="1" t="n">
        <v>45741</v>
      </c>
      <c r="D185" t="inlineStr">
        <is>
          <t>VÄSTMANLANDS LÄN</t>
        </is>
      </c>
      <c r="E185" t="inlineStr">
        <is>
          <t>SURAHAMMAR</t>
        </is>
      </c>
      <c r="G185" t="n">
        <v>3</v>
      </c>
      <c r="H185" t="n">
        <v>0</v>
      </c>
      <c r="I185" t="n">
        <v>0</v>
      </c>
      <c r="J185" t="n">
        <v>0</v>
      </c>
      <c r="K185" t="n">
        <v>0</v>
      </c>
      <c r="L185" t="n">
        <v>0</v>
      </c>
      <c r="M185" t="n">
        <v>0</v>
      </c>
      <c r="N185" t="n">
        <v>0</v>
      </c>
      <c r="O185" t="n">
        <v>0</v>
      </c>
      <c r="P185" t="n">
        <v>0</v>
      </c>
      <c r="Q185" t="n">
        <v>0</v>
      </c>
      <c r="R185" s="2" t="inlineStr"/>
    </row>
    <row r="186" ht="15" customHeight="1">
      <c r="A186" t="inlineStr">
        <is>
          <t>A 34957-2022</t>
        </is>
      </c>
      <c r="B186" s="1" t="n">
        <v>44796</v>
      </c>
      <c r="C186" s="1" t="n">
        <v>45741</v>
      </c>
      <c r="D186" t="inlineStr">
        <is>
          <t>VÄSTMANLANDS LÄN</t>
        </is>
      </c>
      <c r="E186" t="inlineStr">
        <is>
          <t>SURAHAMMAR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34955-2022</t>
        </is>
      </c>
      <c r="B187" s="1" t="n">
        <v>44796</v>
      </c>
      <c r="C187" s="1" t="n">
        <v>45741</v>
      </c>
      <c r="D187" t="inlineStr">
        <is>
          <t>VÄSTMANLANDS LÄN</t>
        </is>
      </c>
      <c r="E187" t="inlineStr">
        <is>
          <t>SURAHAMMAR</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34956-2022</t>
        </is>
      </c>
      <c r="B188" s="1" t="n">
        <v>44796</v>
      </c>
      <c r="C188" s="1" t="n">
        <v>45741</v>
      </c>
      <c r="D188" t="inlineStr">
        <is>
          <t>VÄSTMANLANDS LÄN</t>
        </is>
      </c>
      <c r="E188" t="inlineStr">
        <is>
          <t>SURAHAMMAR</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35677-2022</t>
        </is>
      </c>
      <c r="B189" s="1" t="n">
        <v>44799</v>
      </c>
      <c r="C189" s="1" t="n">
        <v>45741</v>
      </c>
      <c r="D189" t="inlineStr">
        <is>
          <t>VÄSTMANLANDS LÄN</t>
        </is>
      </c>
      <c r="E189" t="inlineStr">
        <is>
          <t>SURAHAMMAR</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35682-2022</t>
        </is>
      </c>
      <c r="B190" s="1" t="n">
        <v>44799</v>
      </c>
      <c r="C190" s="1" t="n">
        <v>45741</v>
      </c>
      <c r="D190" t="inlineStr">
        <is>
          <t>VÄSTMANLANDS LÄN</t>
        </is>
      </c>
      <c r="E190" t="inlineStr">
        <is>
          <t>SURAHAMMAR</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35679-2022</t>
        </is>
      </c>
      <c r="B191" s="1" t="n">
        <v>44799</v>
      </c>
      <c r="C191" s="1" t="n">
        <v>45741</v>
      </c>
      <c r="D191" t="inlineStr">
        <is>
          <t>VÄSTMANLANDS LÄN</t>
        </is>
      </c>
      <c r="E191" t="inlineStr">
        <is>
          <t>SURAHAMMAR</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41576-2022</t>
        </is>
      </c>
      <c r="B192" s="1" t="n">
        <v>44826</v>
      </c>
      <c r="C192" s="1" t="n">
        <v>45741</v>
      </c>
      <c r="D192" t="inlineStr">
        <is>
          <t>VÄSTMANLANDS LÄN</t>
        </is>
      </c>
      <c r="E192" t="inlineStr">
        <is>
          <t>SURAHAMMAR</t>
        </is>
      </c>
      <c r="F192" t="inlineStr">
        <is>
          <t>Bergvik skog väst AB</t>
        </is>
      </c>
      <c r="G192" t="n">
        <v>6.4</v>
      </c>
      <c r="H192" t="n">
        <v>0</v>
      </c>
      <c r="I192" t="n">
        <v>0</v>
      </c>
      <c r="J192" t="n">
        <v>0</v>
      </c>
      <c r="K192" t="n">
        <v>0</v>
      </c>
      <c r="L192" t="n">
        <v>0</v>
      </c>
      <c r="M192" t="n">
        <v>0</v>
      </c>
      <c r="N192" t="n">
        <v>0</v>
      </c>
      <c r="O192" t="n">
        <v>0</v>
      </c>
      <c r="P192" t="n">
        <v>0</v>
      </c>
      <c r="Q192" t="n">
        <v>0</v>
      </c>
      <c r="R192" s="2" t="inlineStr"/>
    </row>
    <row r="193" ht="15" customHeight="1">
      <c r="A193" t="inlineStr">
        <is>
          <t>A 41555-2022</t>
        </is>
      </c>
      <c r="B193" s="1" t="n">
        <v>44826</v>
      </c>
      <c r="C193" s="1" t="n">
        <v>45741</v>
      </c>
      <c r="D193" t="inlineStr">
        <is>
          <t>VÄSTMANLANDS LÄN</t>
        </is>
      </c>
      <c r="E193" t="inlineStr">
        <is>
          <t>SURAHAMMAR</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42714-2022</t>
        </is>
      </c>
      <c r="B194" s="1" t="n">
        <v>44832</v>
      </c>
      <c r="C194" s="1" t="n">
        <v>45741</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42832-2022</t>
        </is>
      </c>
      <c r="B195" s="1" t="n">
        <v>44832</v>
      </c>
      <c r="C195" s="1" t="n">
        <v>45741</v>
      </c>
      <c r="D195" t="inlineStr">
        <is>
          <t>VÄSTMANLANDS LÄN</t>
        </is>
      </c>
      <c r="E195" t="inlineStr">
        <is>
          <t>SURAHAMMAR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42841-2022</t>
        </is>
      </c>
      <c r="B196" s="1" t="n">
        <v>44832</v>
      </c>
      <c r="C196" s="1" t="n">
        <v>45741</v>
      </c>
      <c r="D196" t="inlineStr">
        <is>
          <t>VÄSTMANLANDS LÄN</t>
        </is>
      </c>
      <c r="E196" t="inlineStr">
        <is>
          <t>SURAHAMMAR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42829-2022</t>
        </is>
      </c>
      <c r="B197" s="1" t="n">
        <v>44832</v>
      </c>
      <c r="C197" s="1" t="n">
        <v>45741</v>
      </c>
      <c r="D197" t="inlineStr">
        <is>
          <t>VÄSTMANLANDS LÄN</t>
        </is>
      </c>
      <c r="E197" t="inlineStr">
        <is>
          <t>SURAHAMMAR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48581-2022</t>
        </is>
      </c>
      <c r="B198" s="1" t="n">
        <v>44859</v>
      </c>
      <c r="C198" s="1" t="n">
        <v>45741</v>
      </c>
      <c r="D198" t="inlineStr">
        <is>
          <t>VÄSTMANLANDS LÄN</t>
        </is>
      </c>
      <c r="E198" t="inlineStr">
        <is>
          <t>SURAHAMMAR</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49686-2022</t>
        </is>
      </c>
      <c r="B199" s="1" t="n">
        <v>44862</v>
      </c>
      <c r="C199" s="1" t="n">
        <v>45741</v>
      </c>
      <c r="D199" t="inlineStr">
        <is>
          <t>VÄSTMANLANDS LÄN</t>
        </is>
      </c>
      <c r="E199" t="inlineStr">
        <is>
          <t>SURAHAMMAR</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3085-2023</t>
        </is>
      </c>
      <c r="B200" s="1" t="n">
        <v>44946</v>
      </c>
      <c r="C200" s="1" t="n">
        <v>45741</v>
      </c>
      <c r="D200" t="inlineStr">
        <is>
          <t>VÄSTMANLANDS LÄN</t>
        </is>
      </c>
      <c r="E200" t="inlineStr">
        <is>
          <t>SURAHAMMAR</t>
        </is>
      </c>
      <c r="F200" t="inlineStr">
        <is>
          <t>Kyrkan</t>
        </is>
      </c>
      <c r="G200" t="n">
        <v>13</v>
      </c>
      <c r="H200" t="n">
        <v>0</v>
      </c>
      <c r="I200" t="n">
        <v>0</v>
      </c>
      <c r="J200" t="n">
        <v>0</v>
      </c>
      <c r="K200" t="n">
        <v>0</v>
      </c>
      <c r="L200" t="n">
        <v>0</v>
      </c>
      <c r="M200" t="n">
        <v>0</v>
      </c>
      <c r="N200" t="n">
        <v>0</v>
      </c>
      <c r="O200" t="n">
        <v>0</v>
      </c>
      <c r="P200" t="n">
        <v>0</v>
      </c>
      <c r="Q200" t="n">
        <v>0</v>
      </c>
      <c r="R200" s="2" t="inlineStr"/>
    </row>
    <row r="201" ht="15" customHeight="1">
      <c r="A201" t="inlineStr">
        <is>
          <t>A 8553-2023</t>
        </is>
      </c>
      <c r="B201" s="1" t="n">
        <v>44977</v>
      </c>
      <c r="C201" s="1" t="n">
        <v>45741</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10877-2023</t>
        </is>
      </c>
      <c r="B202" s="1" t="n">
        <v>44991</v>
      </c>
      <c r="C202" s="1" t="n">
        <v>45741</v>
      </c>
      <c r="D202" t="inlineStr">
        <is>
          <t>VÄSTMANLANDS LÄN</t>
        </is>
      </c>
      <c r="E202" t="inlineStr">
        <is>
          <t>SURAHAMMAR</t>
        </is>
      </c>
      <c r="F202" t="inlineStr">
        <is>
          <t>Övriga Aktiebolag</t>
        </is>
      </c>
      <c r="G202" t="n">
        <v>1.4</v>
      </c>
      <c r="H202" t="n">
        <v>0</v>
      </c>
      <c r="I202" t="n">
        <v>0</v>
      </c>
      <c r="J202" t="n">
        <v>0</v>
      </c>
      <c r="K202" t="n">
        <v>0</v>
      </c>
      <c r="L202" t="n">
        <v>0</v>
      </c>
      <c r="M202" t="n">
        <v>0</v>
      </c>
      <c r="N202" t="n">
        <v>0</v>
      </c>
      <c r="O202" t="n">
        <v>0</v>
      </c>
      <c r="P202" t="n">
        <v>0</v>
      </c>
      <c r="Q202" t="n">
        <v>0</v>
      </c>
      <c r="R202" s="2" t="inlineStr"/>
    </row>
    <row r="203" ht="15" customHeight="1">
      <c r="A203" t="inlineStr">
        <is>
          <t>A 10883-2023</t>
        </is>
      </c>
      <c r="B203" s="1" t="n">
        <v>44991</v>
      </c>
      <c r="C203" s="1" t="n">
        <v>45741</v>
      </c>
      <c r="D203" t="inlineStr">
        <is>
          <t>VÄSTMANLANDS LÄN</t>
        </is>
      </c>
      <c r="E203" t="inlineStr">
        <is>
          <t>SURAHAMMAR</t>
        </is>
      </c>
      <c r="F203" t="inlineStr">
        <is>
          <t>Övriga Aktiebolag</t>
        </is>
      </c>
      <c r="G203" t="n">
        <v>12.5</v>
      </c>
      <c r="H203" t="n">
        <v>0</v>
      </c>
      <c r="I203" t="n">
        <v>0</v>
      </c>
      <c r="J203" t="n">
        <v>0</v>
      </c>
      <c r="K203" t="n">
        <v>0</v>
      </c>
      <c r="L203" t="n">
        <v>0</v>
      </c>
      <c r="M203" t="n">
        <v>0</v>
      </c>
      <c r="N203" t="n">
        <v>0</v>
      </c>
      <c r="O203" t="n">
        <v>0</v>
      </c>
      <c r="P203" t="n">
        <v>0</v>
      </c>
      <c r="Q203" t="n">
        <v>0</v>
      </c>
      <c r="R203" s="2" t="inlineStr"/>
    </row>
    <row r="204" ht="15" customHeight="1">
      <c r="A204" t="inlineStr">
        <is>
          <t>A 11501-2023</t>
        </is>
      </c>
      <c r="B204" s="1" t="n">
        <v>44991</v>
      </c>
      <c r="C204" s="1" t="n">
        <v>45741</v>
      </c>
      <c r="D204" t="inlineStr">
        <is>
          <t>VÄSTMANLANDS LÄN</t>
        </is>
      </c>
      <c r="E204" t="inlineStr">
        <is>
          <t>SURAHAMMAR</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11728-2023</t>
        </is>
      </c>
      <c r="B205" s="1" t="n">
        <v>44993</v>
      </c>
      <c r="C205" s="1" t="n">
        <v>45741</v>
      </c>
      <c r="D205" t="inlineStr">
        <is>
          <t>VÄSTMANLANDS LÄN</t>
        </is>
      </c>
      <c r="E205" t="inlineStr">
        <is>
          <t>SURAHAMMAR</t>
        </is>
      </c>
      <c r="F205" t="inlineStr">
        <is>
          <t>Bergvik skog väst AB</t>
        </is>
      </c>
      <c r="G205" t="n">
        <v>0.4</v>
      </c>
      <c r="H205" t="n">
        <v>0</v>
      </c>
      <c r="I205" t="n">
        <v>0</v>
      </c>
      <c r="J205" t="n">
        <v>0</v>
      </c>
      <c r="K205" t="n">
        <v>0</v>
      </c>
      <c r="L205" t="n">
        <v>0</v>
      </c>
      <c r="M205" t="n">
        <v>0</v>
      </c>
      <c r="N205" t="n">
        <v>0</v>
      </c>
      <c r="O205" t="n">
        <v>0</v>
      </c>
      <c r="P205" t="n">
        <v>0</v>
      </c>
      <c r="Q205" t="n">
        <v>0</v>
      </c>
      <c r="R205" s="2" t="inlineStr"/>
    </row>
    <row r="206" ht="15" customHeight="1">
      <c r="A206" t="inlineStr">
        <is>
          <t>A 13479-2023</t>
        </is>
      </c>
      <c r="B206" s="1" t="n">
        <v>45005</v>
      </c>
      <c r="C206" s="1" t="n">
        <v>45741</v>
      </c>
      <c r="D206" t="inlineStr">
        <is>
          <t>VÄSTMANLANDS LÄN</t>
        </is>
      </c>
      <c r="E206" t="inlineStr">
        <is>
          <t>SURAHAMMAR</t>
        </is>
      </c>
      <c r="F206" t="inlineStr">
        <is>
          <t>Bergvik skog väst AB</t>
        </is>
      </c>
      <c r="G206" t="n">
        <v>2.8</v>
      </c>
      <c r="H206" t="n">
        <v>0</v>
      </c>
      <c r="I206" t="n">
        <v>0</v>
      </c>
      <c r="J206" t="n">
        <v>0</v>
      </c>
      <c r="K206" t="n">
        <v>0</v>
      </c>
      <c r="L206" t="n">
        <v>0</v>
      </c>
      <c r="M206" t="n">
        <v>0</v>
      </c>
      <c r="N206" t="n">
        <v>0</v>
      </c>
      <c r="O206" t="n">
        <v>0</v>
      </c>
      <c r="P206" t="n">
        <v>0</v>
      </c>
      <c r="Q206" t="n">
        <v>0</v>
      </c>
      <c r="R206" s="2" t="inlineStr"/>
    </row>
    <row r="207" ht="15" customHeight="1">
      <c r="A207" t="inlineStr">
        <is>
          <t>A 14626-2023</t>
        </is>
      </c>
      <c r="B207" s="1" t="n">
        <v>45012</v>
      </c>
      <c r="C207" s="1" t="n">
        <v>45741</v>
      </c>
      <c r="D207" t="inlineStr">
        <is>
          <t>VÄSTMANLANDS LÄN</t>
        </is>
      </c>
      <c r="E207" t="inlineStr">
        <is>
          <t>SURAHAMMAR</t>
        </is>
      </c>
      <c r="F207" t="inlineStr">
        <is>
          <t>Bergvik skog väst AB</t>
        </is>
      </c>
      <c r="G207" t="n">
        <v>5</v>
      </c>
      <c r="H207" t="n">
        <v>0</v>
      </c>
      <c r="I207" t="n">
        <v>0</v>
      </c>
      <c r="J207" t="n">
        <v>0</v>
      </c>
      <c r="K207" t="n">
        <v>0</v>
      </c>
      <c r="L207" t="n">
        <v>0</v>
      </c>
      <c r="M207" t="n">
        <v>0</v>
      </c>
      <c r="N207" t="n">
        <v>0</v>
      </c>
      <c r="O207" t="n">
        <v>0</v>
      </c>
      <c r="P207" t="n">
        <v>0</v>
      </c>
      <c r="Q207" t="n">
        <v>0</v>
      </c>
      <c r="R207" s="2" t="inlineStr"/>
    </row>
    <row r="208" ht="15" customHeight="1">
      <c r="A208" t="inlineStr">
        <is>
          <t>A 14583-2023</t>
        </is>
      </c>
      <c r="B208" s="1" t="n">
        <v>45013</v>
      </c>
      <c r="C208" s="1" t="n">
        <v>45741</v>
      </c>
      <c r="D208" t="inlineStr">
        <is>
          <t>VÄSTMANLANDS LÄN</t>
        </is>
      </c>
      <c r="E208" t="inlineStr">
        <is>
          <t>SURAHAMMAR</t>
        </is>
      </c>
      <c r="G208" t="n">
        <v>0.9</v>
      </c>
      <c r="H208" t="n">
        <v>0</v>
      </c>
      <c r="I208" t="n">
        <v>0</v>
      </c>
      <c r="J208" t="n">
        <v>0</v>
      </c>
      <c r="K208" t="n">
        <v>0</v>
      </c>
      <c r="L208" t="n">
        <v>0</v>
      </c>
      <c r="M208" t="n">
        <v>0</v>
      </c>
      <c r="N208" t="n">
        <v>0</v>
      </c>
      <c r="O208" t="n">
        <v>0</v>
      </c>
      <c r="P208" t="n">
        <v>0</v>
      </c>
      <c r="Q208" t="n">
        <v>0</v>
      </c>
      <c r="R208" s="2" t="inlineStr"/>
    </row>
    <row r="209" ht="15" customHeight="1">
      <c r="A209" t="inlineStr">
        <is>
          <t>A 15743-2023</t>
        </is>
      </c>
      <c r="B209" s="1" t="n">
        <v>45021</v>
      </c>
      <c r="C209" s="1" t="n">
        <v>45741</v>
      </c>
      <c r="D209" t="inlineStr">
        <is>
          <t>VÄSTMANLANDS LÄN</t>
        </is>
      </c>
      <c r="E209" t="inlineStr">
        <is>
          <t>SURAHAMMAR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15739-2023</t>
        </is>
      </c>
      <c r="B210" s="1" t="n">
        <v>45021</v>
      </c>
      <c r="C210" s="1" t="n">
        <v>45741</v>
      </c>
      <c r="D210" t="inlineStr">
        <is>
          <t>VÄSTMANLANDS LÄN</t>
        </is>
      </c>
      <c r="E210" t="inlineStr">
        <is>
          <t>SURAHAMMAR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16013-2023</t>
        </is>
      </c>
      <c r="B211" s="1" t="n">
        <v>45026</v>
      </c>
      <c r="C211" s="1" t="n">
        <v>45741</v>
      </c>
      <c r="D211" t="inlineStr">
        <is>
          <t>VÄSTMANLANDS LÄN</t>
        </is>
      </c>
      <c r="E211" t="inlineStr">
        <is>
          <t>SURAHAMMAR</t>
        </is>
      </c>
      <c r="G211" t="n">
        <v>3.9</v>
      </c>
      <c r="H211" t="n">
        <v>0</v>
      </c>
      <c r="I211" t="n">
        <v>0</v>
      </c>
      <c r="J211" t="n">
        <v>0</v>
      </c>
      <c r="K211" t="n">
        <v>0</v>
      </c>
      <c r="L211" t="n">
        <v>0</v>
      </c>
      <c r="M211" t="n">
        <v>0</v>
      </c>
      <c r="N211" t="n">
        <v>0</v>
      </c>
      <c r="O211" t="n">
        <v>0</v>
      </c>
      <c r="P211" t="n">
        <v>0</v>
      </c>
      <c r="Q211" t="n">
        <v>0</v>
      </c>
      <c r="R211" s="2" t="inlineStr"/>
    </row>
    <row r="212" ht="15" customHeight="1">
      <c r="A212" t="inlineStr">
        <is>
          <t>A 18223-2023</t>
        </is>
      </c>
      <c r="B212" s="1" t="n">
        <v>45041</v>
      </c>
      <c r="C212" s="1" t="n">
        <v>45741</v>
      </c>
      <c r="D212" t="inlineStr">
        <is>
          <t>VÄSTMANLANDS LÄN</t>
        </is>
      </c>
      <c r="E212" t="inlineStr">
        <is>
          <t>SURAHAMMAR</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19778-2023</t>
        </is>
      </c>
      <c r="B213" s="1" t="n">
        <v>45050</v>
      </c>
      <c r="C213" s="1" t="n">
        <v>45741</v>
      </c>
      <c r="D213" t="inlineStr">
        <is>
          <t>VÄSTMANLANDS LÄN</t>
        </is>
      </c>
      <c r="E213" t="inlineStr">
        <is>
          <t>SURAHAMMAR</t>
        </is>
      </c>
      <c r="F213" t="inlineStr">
        <is>
          <t>Bergvik skog väst AB</t>
        </is>
      </c>
      <c r="G213" t="n">
        <v>6</v>
      </c>
      <c r="H213" t="n">
        <v>0</v>
      </c>
      <c r="I213" t="n">
        <v>0</v>
      </c>
      <c r="J213" t="n">
        <v>0</v>
      </c>
      <c r="K213" t="n">
        <v>0</v>
      </c>
      <c r="L213" t="n">
        <v>0</v>
      </c>
      <c r="M213" t="n">
        <v>0</v>
      </c>
      <c r="N213" t="n">
        <v>0</v>
      </c>
      <c r="O213" t="n">
        <v>0</v>
      </c>
      <c r="P213" t="n">
        <v>0</v>
      </c>
      <c r="Q213" t="n">
        <v>0</v>
      </c>
      <c r="R213" s="2" t="inlineStr"/>
    </row>
    <row r="214" ht="15" customHeight="1">
      <c r="A214" t="inlineStr">
        <is>
          <t>A 19779-2023</t>
        </is>
      </c>
      <c r="B214" s="1" t="n">
        <v>45050</v>
      </c>
      <c r="C214" s="1" t="n">
        <v>45741</v>
      </c>
      <c r="D214" t="inlineStr">
        <is>
          <t>VÄSTMANLANDS LÄN</t>
        </is>
      </c>
      <c r="E214" t="inlineStr">
        <is>
          <t>SURAHAMMAR</t>
        </is>
      </c>
      <c r="F214" t="inlineStr">
        <is>
          <t>Bergvik skog väst AB</t>
        </is>
      </c>
      <c r="G214" t="n">
        <v>11.1</v>
      </c>
      <c r="H214" t="n">
        <v>0</v>
      </c>
      <c r="I214" t="n">
        <v>0</v>
      </c>
      <c r="J214" t="n">
        <v>0</v>
      </c>
      <c r="K214" t="n">
        <v>0</v>
      </c>
      <c r="L214" t="n">
        <v>0</v>
      </c>
      <c r="M214" t="n">
        <v>0</v>
      </c>
      <c r="N214" t="n">
        <v>0</v>
      </c>
      <c r="O214" t="n">
        <v>0</v>
      </c>
      <c r="P214" t="n">
        <v>0</v>
      </c>
      <c r="Q214" t="n">
        <v>0</v>
      </c>
      <c r="R214" s="2" t="inlineStr"/>
    </row>
    <row r="215" ht="15" customHeight="1">
      <c r="A215" t="inlineStr">
        <is>
          <t>A 19786-2023</t>
        </is>
      </c>
      <c r="B215" s="1" t="n">
        <v>45050</v>
      </c>
      <c r="C215" s="1" t="n">
        <v>45741</v>
      </c>
      <c r="D215" t="inlineStr">
        <is>
          <t>VÄSTMANLANDS LÄN</t>
        </is>
      </c>
      <c r="E215" t="inlineStr">
        <is>
          <t>SURAHAMMAR</t>
        </is>
      </c>
      <c r="F215" t="inlineStr">
        <is>
          <t>Bergvik skog väst AB</t>
        </is>
      </c>
      <c r="G215" t="n">
        <v>8.1</v>
      </c>
      <c r="H215" t="n">
        <v>0</v>
      </c>
      <c r="I215" t="n">
        <v>0</v>
      </c>
      <c r="J215" t="n">
        <v>0</v>
      </c>
      <c r="K215" t="n">
        <v>0</v>
      </c>
      <c r="L215" t="n">
        <v>0</v>
      </c>
      <c r="M215" t="n">
        <v>0</v>
      </c>
      <c r="N215" t="n">
        <v>0</v>
      </c>
      <c r="O215" t="n">
        <v>0</v>
      </c>
      <c r="P215" t="n">
        <v>0</v>
      </c>
      <c r="Q215" t="n">
        <v>0</v>
      </c>
      <c r="R215" s="2" t="inlineStr"/>
    </row>
    <row r="216" ht="15" customHeight="1">
      <c r="A216" t="inlineStr">
        <is>
          <t>A 19782-2023</t>
        </is>
      </c>
      <c r="B216" s="1" t="n">
        <v>45050</v>
      </c>
      <c r="C216" s="1" t="n">
        <v>45741</v>
      </c>
      <c r="D216" t="inlineStr">
        <is>
          <t>VÄSTMANLANDS LÄN</t>
        </is>
      </c>
      <c r="E216" t="inlineStr">
        <is>
          <t>SURAHAMMAR</t>
        </is>
      </c>
      <c r="F216" t="inlineStr">
        <is>
          <t>Bergvik skog väst AB</t>
        </is>
      </c>
      <c r="G216" t="n">
        <v>5.2</v>
      </c>
      <c r="H216" t="n">
        <v>0</v>
      </c>
      <c r="I216" t="n">
        <v>0</v>
      </c>
      <c r="J216" t="n">
        <v>0</v>
      </c>
      <c r="K216" t="n">
        <v>0</v>
      </c>
      <c r="L216" t="n">
        <v>0</v>
      </c>
      <c r="M216" t="n">
        <v>0</v>
      </c>
      <c r="N216" t="n">
        <v>0</v>
      </c>
      <c r="O216" t="n">
        <v>0</v>
      </c>
      <c r="P216" t="n">
        <v>0</v>
      </c>
      <c r="Q216" t="n">
        <v>0</v>
      </c>
      <c r="R216" s="2" t="inlineStr"/>
    </row>
    <row r="217" ht="15" customHeight="1">
      <c r="A217" t="inlineStr">
        <is>
          <t>A 20020-2023</t>
        </is>
      </c>
      <c r="B217" s="1" t="n">
        <v>45054</v>
      </c>
      <c r="C217" s="1" t="n">
        <v>45741</v>
      </c>
      <c r="D217" t="inlineStr">
        <is>
          <t>VÄSTMANLANDS LÄN</t>
        </is>
      </c>
      <c r="E217" t="inlineStr">
        <is>
          <t>SURAHAMMAR</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20018-2023</t>
        </is>
      </c>
      <c r="B218" s="1" t="n">
        <v>45054</v>
      </c>
      <c r="C218" s="1" t="n">
        <v>45741</v>
      </c>
      <c r="D218" t="inlineStr">
        <is>
          <t>VÄSTMANLANDS LÄN</t>
        </is>
      </c>
      <c r="E218" t="inlineStr">
        <is>
          <t>SURAHAMMAR</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20019-2023</t>
        </is>
      </c>
      <c r="B219" s="1" t="n">
        <v>45054</v>
      </c>
      <c r="C219" s="1" t="n">
        <v>45741</v>
      </c>
      <c r="D219" t="inlineStr">
        <is>
          <t>VÄSTMANLANDS LÄN</t>
        </is>
      </c>
      <c r="E219" t="inlineStr">
        <is>
          <t>SURAHAMMAR</t>
        </is>
      </c>
      <c r="F219" t="inlineStr">
        <is>
          <t>Sveaskog</t>
        </is>
      </c>
      <c r="G219" t="n">
        <v>18.5</v>
      </c>
      <c r="H219" t="n">
        <v>0</v>
      </c>
      <c r="I219" t="n">
        <v>0</v>
      </c>
      <c r="J219" t="n">
        <v>0</v>
      </c>
      <c r="K219" t="n">
        <v>0</v>
      </c>
      <c r="L219" t="n">
        <v>0</v>
      </c>
      <c r="M219" t="n">
        <v>0</v>
      </c>
      <c r="N219" t="n">
        <v>0</v>
      </c>
      <c r="O219" t="n">
        <v>0</v>
      </c>
      <c r="P219" t="n">
        <v>0</v>
      </c>
      <c r="Q219" t="n">
        <v>0</v>
      </c>
      <c r="R219" s="2" t="inlineStr"/>
    </row>
    <row r="220" ht="15" customHeight="1">
      <c r="A220" t="inlineStr">
        <is>
          <t>A 20023-2023</t>
        </is>
      </c>
      <c r="B220" s="1" t="n">
        <v>45054</v>
      </c>
      <c r="C220" s="1" t="n">
        <v>45741</v>
      </c>
      <c r="D220" t="inlineStr">
        <is>
          <t>VÄSTMANLANDS LÄN</t>
        </is>
      </c>
      <c r="E220" t="inlineStr">
        <is>
          <t>SURAHAMMAR</t>
        </is>
      </c>
      <c r="F220" t="inlineStr">
        <is>
          <t>Sveaskog</t>
        </is>
      </c>
      <c r="G220" t="n">
        <v>7.8</v>
      </c>
      <c r="H220" t="n">
        <v>0</v>
      </c>
      <c r="I220" t="n">
        <v>0</v>
      </c>
      <c r="J220" t="n">
        <v>0</v>
      </c>
      <c r="K220" t="n">
        <v>0</v>
      </c>
      <c r="L220" t="n">
        <v>0</v>
      </c>
      <c r="M220" t="n">
        <v>0</v>
      </c>
      <c r="N220" t="n">
        <v>0</v>
      </c>
      <c r="O220" t="n">
        <v>0</v>
      </c>
      <c r="P220" t="n">
        <v>0</v>
      </c>
      <c r="Q220" t="n">
        <v>0</v>
      </c>
      <c r="R220" s="2" t="inlineStr"/>
    </row>
    <row r="221" ht="15" customHeight="1">
      <c r="A221" t="inlineStr">
        <is>
          <t>A 20429-2023</t>
        </is>
      </c>
      <c r="B221" s="1" t="n">
        <v>45056</v>
      </c>
      <c r="C221" s="1" t="n">
        <v>45741</v>
      </c>
      <c r="D221" t="inlineStr">
        <is>
          <t>VÄSTMANLANDS LÄN</t>
        </is>
      </c>
      <c r="E221" t="inlineStr">
        <is>
          <t>SURAHAMMAR</t>
        </is>
      </c>
      <c r="G221" t="n">
        <v>5</v>
      </c>
      <c r="H221" t="n">
        <v>0</v>
      </c>
      <c r="I221" t="n">
        <v>0</v>
      </c>
      <c r="J221" t="n">
        <v>0</v>
      </c>
      <c r="K221" t="n">
        <v>0</v>
      </c>
      <c r="L221" t="n">
        <v>0</v>
      </c>
      <c r="M221" t="n">
        <v>0</v>
      </c>
      <c r="N221" t="n">
        <v>0</v>
      </c>
      <c r="O221" t="n">
        <v>0</v>
      </c>
      <c r="P221" t="n">
        <v>0</v>
      </c>
      <c r="Q221" t="n">
        <v>0</v>
      </c>
      <c r="R221" s="2" t="inlineStr"/>
    </row>
    <row r="222" ht="15" customHeight="1">
      <c r="A222" t="inlineStr">
        <is>
          <t>A 20904-2023</t>
        </is>
      </c>
      <c r="B222" s="1" t="n">
        <v>45060</v>
      </c>
      <c r="C222" s="1" t="n">
        <v>45741</v>
      </c>
      <c r="D222" t="inlineStr">
        <is>
          <t>VÄSTMANLANDS LÄN</t>
        </is>
      </c>
      <c r="E222" t="inlineStr">
        <is>
          <t>SURAHAMMAR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21906-2023</t>
        </is>
      </c>
      <c r="B223" s="1" t="n">
        <v>45068</v>
      </c>
      <c r="C223" s="1" t="n">
        <v>45741</v>
      </c>
      <c r="D223" t="inlineStr">
        <is>
          <t>VÄSTMANLANDS LÄN</t>
        </is>
      </c>
      <c r="E223" t="inlineStr">
        <is>
          <t>SURAHAMMAR</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21905-2023</t>
        </is>
      </c>
      <c r="B224" s="1" t="n">
        <v>45068</v>
      </c>
      <c r="C224" s="1" t="n">
        <v>45741</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21904-2023</t>
        </is>
      </c>
      <c r="B225" s="1" t="n">
        <v>45068</v>
      </c>
      <c r="C225" s="1" t="n">
        <v>45741</v>
      </c>
      <c r="D225" t="inlineStr">
        <is>
          <t>VÄSTMANLANDS LÄN</t>
        </is>
      </c>
      <c r="E225" t="inlineStr">
        <is>
          <t>SURAHAMMAR</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22915-2023</t>
        </is>
      </c>
      <c r="B226" s="1" t="n">
        <v>45070</v>
      </c>
      <c r="C226" s="1" t="n">
        <v>45741</v>
      </c>
      <c r="D226" t="inlineStr">
        <is>
          <t>VÄSTMANLANDS LÄN</t>
        </is>
      </c>
      <c r="E226" t="inlineStr">
        <is>
          <t>SURAHAMMAR</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22660-2023</t>
        </is>
      </c>
      <c r="B227" s="1" t="n">
        <v>45071</v>
      </c>
      <c r="C227" s="1" t="n">
        <v>45741</v>
      </c>
      <c r="D227" t="inlineStr">
        <is>
          <t>VÄSTMANLANDS LÄN</t>
        </is>
      </c>
      <c r="E227" t="inlineStr">
        <is>
          <t>SURAHAMMAR</t>
        </is>
      </c>
      <c r="F227" t="inlineStr">
        <is>
          <t>Sveaskog</t>
        </is>
      </c>
      <c r="G227" t="n">
        <v>15.3</v>
      </c>
      <c r="H227" t="n">
        <v>0</v>
      </c>
      <c r="I227" t="n">
        <v>0</v>
      </c>
      <c r="J227" t="n">
        <v>0</v>
      </c>
      <c r="K227" t="n">
        <v>0</v>
      </c>
      <c r="L227" t="n">
        <v>0</v>
      </c>
      <c r="M227" t="n">
        <v>0</v>
      </c>
      <c r="N227" t="n">
        <v>0</v>
      </c>
      <c r="O227" t="n">
        <v>0</v>
      </c>
      <c r="P227" t="n">
        <v>0</v>
      </c>
      <c r="Q227" t="n">
        <v>0</v>
      </c>
      <c r="R227" s="2" t="inlineStr"/>
    </row>
    <row r="228" ht="15" customHeight="1">
      <c r="A228" t="inlineStr">
        <is>
          <t>A 22662-2023</t>
        </is>
      </c>
      <c r="B228" s="1" t="n">
        <v>45071</v>
      </c>
      <c r="C228" s="1" t="n">
        <v>45741</v>
      </c>
      <c r="D228" t="inlineStr">
        <is>
          <t>VÄSTMANLANDS LÄN</t>
        </is>
      </c>
      <c r="E228" t="inlineStr">
        <is>
          <t>SURAHAMMAR</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22661-2023</t>
        </is>
      </c>
      <c r="B229" s="1" t="n">
        <v>45071</v>
      </c>
      <c r="C229" s="1" t="n">
        <v>45741</v>
      </c>
      <c r="D229" t="inlineStr">
        <is>
          <t>VÄSTMANLANDS LÄN</t>
        </is>
      </c>
      <c r="E229" t="inlineStr">
        <is>
          <t>SURAHAMMAR</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22659-2023</t>
        </is>
      </c>
      <c r="B230" s="1" t="n">
        <v>45071</v>
      </c>
      <c r="C230" s="1" t="n">
        <v>45741</v>
      </c>
      <c r="D230" t="inlineStr">
        <is>
          <t>VÄSTMANLANDS LÄN</t>
        </is>
      </c>
      <c r="E230" t="inlineStr">
        <is>
          <t>SURAHAMMAR</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23731-2023</t>
        </is>
      </c>
      <c r="B231" s="1" t="n">
        <v>45077</v>
      </c>
      <c r="C231" s="1" t="n">
        <v>45741</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24156-2023</t>
        </is>
      </c>
      <c r="B232" s="1" t="n">
        <v>45079</v>
      </c>
      <c r="C232" s="1" t="n">
        <v>45741</v>
      </c>
      <c r="D232" t="inlineStr">
        <is>
          <t>VÄSTMANLANDS LÄN</t>
        </is>
      </c>
      <c r="E232" t="inlineStr">
        <is>
          <t>SURAHAMMAR</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24158-2023</t>
        </is>
      </c>
      <c r="B233" s="1" t="n">
        <v>45079</v>
      </c>
      <c r="C233" s="1" t="n">
        <v>45741</v>
      </c>
      <c r="D233" t="inlineStr">
        <is>
          <t>VÄSTMANLANDS LÄN</t>
        </is>
      </c>
      <c r="E233" t="inlineStr">
        <is>
          <t>SURAHAMMAR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24197-2023</t>
        </is>
      </c>
      <c r="B234" s="1" t="n">
        <v>45079</v>
      </c>
      <c r="C234" s="1" t="n">
        <v>45741</v>
      </c>
      <c r="D234" t="inlineStr">
        <is>
          <t>VÄSTMANLANDS LÄN</t>
        </is>
      </c>
      <c r="E234" t="inlineStr">
        <is>
          <t>SURAHAMMAR</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24180-2023</t>
        </is>
      </c>
      <c r="B235" s="1" t="n">
        <v>45079</v>
      </c>
      <c r="C235" s="1" t="n">
        <v>45741</v>
      </c>
      <c r="D235" t="inlineStr">
        <is>
          <t>VÄSTMANLANDS LÄN</t>
        </is>
      </c>
      <c r="E235" t="inlineStr">
        <is>
          <t>SURAHAMMAR</t>
        </is>
      </c>
      <c r="F235" t="inlineStr">
        <is>
          <t>Sveaskog</t>
        </is>
      </c>
      <c r="G235" t="n">
        <v>5.9</v>
      </c>
      <c r="H235" t="n">
        <v>0</v>
      </c>
      <c r="I235" t="n">
        <v>0</v>
      </c>
      <c r="J235" t="n">
        <v>0</v>
      </c>
      <c r="K235" t="n">
        <v>0</v>
      </c>
      <c r="L235" t="n">
        <v>0</v>
      </c>
      <c r="M235" t="n">
        <v>0</v>
      </c>
      <c r="N235" t="n">
        <v>0</v>
      </c>
      <c r="O235" t="n">
        <v>0</v>
      </c>
      <c r="P235" t="n">
        <v>0</v>
      </c>
      <c r="Q235" t="n">
        <v>0</v>
      </c>
      <c r="R235" s="2" t="inlineStr"/>
    </row>
    <row r="236" ht="15" customHeight="1">
      <c r="A236" t="inlineStr">
        <is>
          <t>A 24665-2023</t>
        </is>
      </c>
      <c r="B236" s="1" t="n">
        <v>45084</v>
      </c>
      <c r="C236" s="1" t="n">
        <v>45741</v>
      </c>
      <c r="D236" t="inlineStr">
        <is>
          <t>VÄSTMANLANDS LÄN</t>
        </is>
      </c>
      <c r="E236" t="inlineStr">
        <is>
          <t>SURAHAMMAR</t>
        </is>
      </c>
      <c r="G236" t="n">
        <v>0.9</v>
      </c>
      <c r="H236" t="n">
        <v>0</v>
      </c>
      <c r="I236" t="n">
        <v>0</v>
      </c>
      <c r="J236" t="n">
        <v>0</v>
      </c>
      <c r="K236" t="n">
        <v>0</v>
      </c>
      <c r="L236" t="n">
        <v>0</v>
      </c>
      <c r="M236" t="n">
        <v>0</v>
      </c>
      <c r="N236" t="n">
        <v>0</v>
      </c>
      <c r="O236" t="n">
        <v>0</v>
      </c>
      <c r="P236" t="n">
        <v>0</v>
      </c>
      <c r="Q236" t="n">
        <v>0</v>
      </c>
      <c r="R236" s="2" t="inlineStr"/>
    </row>
    <row r="237" ht="15" customHeight="1">
      <c r="A237" t="inlineStr">
        <is>
          <t>A 25775-2023</t>
        </is>
      </c>
      <c r="B237" s="1" t="n">
        <v>45090</v>
      </c>
      <c r="C237" s="1" t="n">
        <v>45741</v>
      </c>
      <c r="D237" t="inlineStr">
        <is>
          <t>VÄSTMANLANDS LÄN</t>
        </is>
      </c>
      <c r="E237" t="inlineStr">
        <is>
          <t>SURAHAMMAR</t>
        </is>
      </c>
      <c r="G237" t="n">
        <v>1.6</v>
      </c>
      <c r="H237" t="n">
        <v>0</v>
      </c>
      <c r="I237" t="n">
        <v>0</v>
      </c>
      <c r="J237" t="n">
        <v>0</v>
      </c>
      <c r="K237" t="n">
        <v>0</v>
      </c>
      <c r="L237" t="n">
        <v>0</v>
      </c>
      <c r="M237" t="n">
        <v>0</v>
      </c>
      <c r="N237" t="n">
        <v>0</v>
      </c>
      <c r="O237" t="n">
        <v>0</v>
      </c>
      <c r="P237" t="n">
        <v>0</v>
      </c>
      <c r="Q237" t="n">
        <v>0</v>
      </c>
      <c r="R237" s="2" t="inlineStr"/>
    </row>
    <row r="238" ht="15" customHeight="1">
      <c r="A238" t="inlineStr">
        <is>
          <t>A 25780-2023</t>
        </is>
      </c>
      <c r="B238" s="1" t="n">
        <v>45090</v>
      </c>
      <c r="C238" s="1" t="n">
        <v>45741</v>
      </c>
      <c r="D238" t="inlineStr">
        <is>
          <t>VÄSTMANLANDS LÄN</t>
        </is>
      </c>
      <c r="E238" t="inlineStr">
        <is>
          <t>SURAHAMMAR</t>
        </is>
      </c>
      <c r="G238" t="n">
        <v>2.8</v>
      </c>
      <c r="H238" t="n">
        <v>0</v>
      </c>
      <c r="I238" t="n">
        <v>0</v>
      </c>
      <c r="J238" t="n">
        <v>0</v>
      </c>
      <c r="K238" t="n">
        <v>0</v>
      </c>
      <c r="L238" t="n">
        <v>0</v>
      </c>
      <c r="M238" t="n">
        <v>0</v>
      </c>
      <c r="N238" t="n">
        <v>0</v>
      </c>
      <c r="O238" t="n">
        <v>0</v>
      </c>
      <c r="P238" t="n">
        <v>0</v>
      </c>
      <c r="Q238" t="n">
        <v>0</v>
      </c>
      <c r="R238" s="2" t="inlineStr"/>
    </row>
    <row r="239" ht="15" customHeight="1">
      <c r="A239" t="inlineStr">
        <is>
          <t>A 27140-2023</t>
        </is>
      </c>
      <c r="B239" s="1" t="n">
        <v>45096</v>
      </c>
      <c r="C239" s="1" t="n">
        <v>45741</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27156-2023</t>
        </is>
      </c>
      <c r="B240" s="1" t="n">
        <v>45096</v>
      </c>
      <c r="C240" s="1" t="n">
        <v>45741</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27142-2023</t>
        </is>
      </c>
      <c r="B241" s="1" t="n">
        <v>45096</v>
      </c>
      <c r="C241" s="1" t="n">
        <v>45741</v>
      </c>
      <c r="D241" t="inlineStr">
        <is>
          <t>VÄSTMANLANDS LÄN</t>
        </is>
      </c>
      <c r="E241" t="inlineStr">
        <is>
          <t>SURAHAMMAR</t>
        </is>
      </c>
      <c r="F241" t="inlineStr">
        <is>
          <t>Sveaskog</t>
        </is>
      </c>
      <c r="G241" t="n">
        <v>2.4</v>
      </c>
      <c r="H241" t="n">
        <v>0</v>
      </c>
      <c r="I241" t="n">
        <v>0</v>
      </c>
      <c r="J241" t="n">
        <v>0</v>
      </c>
      <c r="K241" t="n">
        <v>0</v>
      </c>
      <c r="L241" t="n">
        <v>0</v>
      </c>
      <c r="M241" t="n">
        <v>0</v>
      </c>
      <c r="N241" t="n">
        <v>0</v>
      </c>
      <c r="O241" t="n">
        <v>0</v>
      </c>
      <c r="P241" t="n">
        <v>0</v>
      </c>
      <c r="Q241" t="n">
        <v>0</v>
      </c>
      <c r="R241" s="2" t="inlineStr"/>
    </row>
    <row r="242" ht="15" customHeight="1">
      <c r="A242" t="inlineStr">
        <is>
          <t>A 27171-2023</t>
        </is>
      </c>
      <c r="B242" s="1" t="n">
        <v>45096</v>
      </c>
      <c r="C242" s="1" t="n">
        <v>45741</v>
      </c>
      <c r="D242" t="inlineStr">
        <is>
          <t>VÄSTMANLANDS LÄN</t>
        </is>
      </c>
      <c r="E242" t="inlineStr">
        <is>
          <t>SURAHAMMAR</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28051-2023</t>
        </is>
      </c>
      <c r="B243" s="1" t="n">
        <v>45099</v>
      </c>
      <c r="C243" s="1" t="n">
        <v>45741</v>
      </c>
      <c r="D243" t="inlineStr">
        <is>
          <t>VÄSTMANLANDS LÄN</t>
        </is>
      </c>
      <c r="E243" t="inlineStr">
        <is>
          <t>SURAHAMMAR</t>
        </is>
      </c>
      <c r="F243" t="inlineStr">
        <is>
          <t>Allmännings- och besparingsskogar</t>
        </is>
      </c>
      <c r="G243" t="n">
        <v>23.3</v>
      </c>
      <c r="H243" t="n">
        <v>0</v>
      </c>
      <c r="I243" t="n">
        <v>0</v>
      </c>
      <c r="J243" t="n">
        <v>0</v>
      </c>
      <c r="K243" t="n">
        <v>0</v>
      </c>
      <c r="L243" t="n">
        <v>0</v>
      </c>
      <c r="M243" t="n">
        <v>0</v>
      </c>
      <c r="N243" t="n">
        <v>0</v>
      </c>
      <c r="O243" t="n">
        <v>0</v>
      </c>
      <c r="P243" t="n">
        <v>0</v>
      </c>
      <c r="Q243" t="n">
        <v>0</v>
      </c>
      <c r="R243" s="2" t="inlineStr"/>
    </row>
    <row r="244" ht="15" customHeight="1">
      <c r="A244" t="inlineStr">
        <is>
          <t>A 30076-2023</t>
        </is>
      </c>
      <c r="B244" s="1" t="n">
        <v>45110</v>
      </c>
      <c r="C244" s="1" t="n">
        <v>45741</v>
      </c>
      <c r="D244" t="inlineStr">
        <is>
          <t>VÄSTMANLANDS LÄN</t>
        </is>
      </c>
      <c r="E244" t="inlineStr">
        <is>
          <t>SURAHAMMAR</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37138-2023</t>
        </is>
      </c>
      <c r="B245" s="1" t="n">
        <v>45155</v>
      </c>
      <c r="C245" s="1" t="n">
        <v>45741</v>
      </c>
      <c r="D245" t="inlineStr">
        <is>
          <t>VÄSTMANLANDS LÄN</t>
        </is>
      </c>
      <c r="E245" t="inlineStr">
        <is>
          <t>SURAHAMMAR</t>
        </is>
      </c>
      <c r="G245" t="n">
        <v>1.4</v>
      </c>
      <c r="H245" t="n">
        <v>0</v>
      </c>
      <c r="I245" t="n">
        <v>0</v>
      </c>
      <c r="J245" t="n">
        <v>0</v>
      </c>
      <c r="K245" t="n">
        <v>0</v>
      </c>
      <c r="L245" t="n">
        <v>0</v>
      </c>
      <c r="M245" t="n">
        <v>0</v>
      </c>
      <c r="N245" t="n">
        <v>0</v>
      </c>
      <c r="O245" t="n">
        <v>0</v>
      </c>
      <c r="P245" t="n">
        <v>0</v>
      </c>
      <c r="Q245" t="n">
        <v>0</v>
      </c>
      <c r="R245" s="2" t="inlineStr"/>
    </row>
    <row r="246" ht="15" customHeight="1">
      <c r="A246" t="inlineStr">
        <is>
          <t>A 37287-2023</t>
        </is>
      </c>
      <c r="B246" s="1" t="n">
        <v>45156</v>
      </c>
      <c r="C246" s="1" t="n">
        <v>45741</v>
      </c>
      <c r="D246" t="inlineStr">
        <is>
          <t>VÄSTMANLANDS LÄN</t>
        </is>
      </c>
      <c r="E246" t="inlineStr">
        <is>
          <t>SURAHAMMAR</t>
        </is>
      </c>
      <c r="G246" t="n">
        <v>0.6</v>
      </c>
      <c r="H246" t="n">
        <v>0</v>
      </c>
      <c r="I246" t="n">
        <v>0</v>
      </c>
      <c r="J246" t="n">
        <v>0</v>
      </c>
      <c r="K246" t="n">
        <v>0</v>
      </c>
      <c r="L246" t="n">
        <v>0</v>
      </c>
      <c r="M246" t="n">
        <v>0</v>
      </c>
      <c r="N246" t="n">
        <v>0</v>
      </c>
      <c r="O246" t="n">
        <v>0</v>
      </c>
      <c r="P246" t="n">
        <v>0</v>
      </c>
      <c r="Q246" t="n">
        <v>0</v>
      </c>
      <c r="R246" s="2" t="inlineStr"/>
    </row>
    <row r="247" ht="15" customHeight="1">
      <c r="A247" t="inlineStr">
        <is>
          <t>A 37635-2023</t>
        </is>
      </c>
      <c r="B247" s="1" t="n">
        <v>45159</v>
      </c>
      <c r="C247" s="1" t="n">
        <v>45741</v>
      </c>
      <c r="D247" t="inlineStr">
        <is>
          <t>VÄSTMANLANDS LÄN</t>
        </is>
      </c>
      <c r="E247" t="inlineStr">
        <is>
          <t>SURAHAMMAR</t>
        </is>
      </c>
      <c r="G247" t="n">
        <v>1</v>
      </c>
      <c r="H247" t="n">
        <v>0</v>
      </c>
      <c r="I247" t="n">
        <v>0</v>
      </c>
      <c r="J247" t="n">
        <v>0</v>
      </c>
      <c r="K247" t="n">
        <v>0</v>
      </c>
      <c r="L247" t="n">
        <v>0</v>
      </c>
      <c r="M247" t="n">
        <v>0</v>
      </c>
      <c r="N247" t="n">
        <v>0</v>
      </c>
      <c r="O247" t="n">
        <v>0</v>
      </c>
      <c r="P247" t="n">
        <v>0</v>
      </c>
      <c r="Q247" t="n">
        <v>0</v>
      </c>
      <c r="R247" s="2" t="inlineStr"/>
    </row>
    <row r="248" ht="15" customHeight="1">
      <c r="A248" t="inlineStr">
        <is>
          <t>A 37639-2023</t>
        </is>
      </c>
      <c r="B248" s="1" t="n">
        <v>45159</v>
      </c>
      <c r="C248" s="1" t="n">
        <v>45741</v>
      </c>
      <c r="D248" t="inlineStr">
        <is>
          <t>VÄSTMANLANDS LÄN</t>
        </is>
      </c>
      <c r="E248" t="inlineStr">
        <is>
          <t>SURAHAMMAR</t>
        </is>
      </c>
      <c r="G248" t="n">
        <v>4.9</v>
      </c>
      <c r="H248" t="n">
        <v>0</v>
      </c>
      <c r="I248" t="n">
        <v>0</v>
      </c>
      <c r="J248" t="n">
        <v>0</v>
      </c>
      <c r="K248" t="n">
        <v>0</v>
      </c>
      <c r="L248" t="n">
        <v>0</v>
      </c>
      <c r="M248" t="n">
        <v>0</v>
      </c>
      <c r="N248" t="n">
        <v>0</v>
      </c>
      <c r="O248" t="n">
        <v>0</v>
      </c>
      <c r="P248" t="n">
        <v>0</v>
      </c>
      <c r="Q248" t="n">
        <v>0</v>
      </c>
      <c r="R248" s="2" t="inlineStr"/>
    </row>
    <row r="249" ht="15" customHeight="1">
      <c r="A249" t="inlineStr">
        <is>
          <t>A 40956-2023</t>
        </is>
      </c>
      <c r="B249" s="1" t="n">
        <v>45169</v>
      </c>
      <c r="C249" s="1" t="n">
        <v>45741</v>
      </c>
      <c r="D249" t="inlineStr">
        <is>
          <t>VÄSTMANLANDS LÄN</t>
        </is>
      </c>
      <c r="E249" t="inlineStr">
        <is>
          <t>SURAHAMMAR</t>
        </is>
      </c>
      <c r="F249" t="inlineStr">
        <is>
          <t>Bergvik skog väst AB</t>
        </is>
      </c>
      <c r="G249" t="n">
        <v>7.6</v>
      </c>
      <c r="H249" t="n">
        <v>0</v>
      </c>
      <c r="I249" t="n">
        <v>0</v>
      </c>
      <c r="J249" t="n">
        <v>0</v>
      </c>
      <c r="K249" t="n">
        <v>0</v>
      </c>
      <c r="L249" t="n">
        <v>0</v>
      </c>
      <c r="M249" t="n">
        <v>0</v>
      </c>
      <c r="N249" t="n">
        <v>0</v>
      </c>
      <c r="O249" t="n">
        <v>0</v>
      </c>
      <c r="P249" t="n">
        <v>0</v>
      </c>
      <c r="Q249" t="n">
        <v>0</v>
      </c>
      <c r="R249" s="2" t="inlineStr"/>
    </row>
    <row r="250" ht="15" customHeight="1">
      <c r="A250" t="inlineStr">
        <is>
          <t>A 40445-2023</t>
        </is>
      </c>
      <c r="B250" s="1" t="n">
        <v>45170</v>
      </c>
      <c r="C250" s="1" t="n">
        <v>45741</v>
      </c>
      <c r="D250" t="inlineStr">
        <is>
          <t>VÄSTMANLANDS LÄN</t>
        </is>
      </c>
      <c r="E250" t="inlineStr">
        <is>
          <t>SURAHAMMAR</t>
        </is>
      </c>
      <c r="G250" t="n">
        <v>15.6</v>
      </c>
      <c r="H250" t="n">
        <v>0</v>
      </c>
      <c r="I250" t="n">
        <v>0</v>
      </c>
      <c r="J250" t="n">
        <v>0</v>
      </c>
      <c r="K250" t="n">
        <v>0</v>
      </c>
      <c r="L250" t="n">
        <v>0</v>
      </c>
      <c r="M250" t="n">
        <v>0</v>
      </c>
      <c r="N250" t="n">
        <v>0</v>
      </c>
      <c r="O250" t="n">
        <v>0</v>
      </c>
      <c r="P250" t="n">
        <v>0</v>
      </c>
      <c r="Q250" t="n">
        <v>0</v>
      </c>
      <c r="R250" s="2" t="inlineStr"/>
    </row>
    <row r="251" ht="15" customHeight="1">
      <c r="A251" t="inlineStr">
        <is>
          <t>A 48906-2023</t>
        </is>
      </c>
      <c r="B251" s="1" t="n">
        <v>45203</v>
      </c>
      <c r="C251" s="1" t="n">
        <v>45741</v>
      </c>
      <c r="D251" t="inlineStr">
        <is>
          <t>VÄSTMANLANDS LÄN</t>
        </is>
      </c>
      <c r="E251" t="inlineStr">
        <is>
          <t>SURAHAMMAR</t>
        </is>
      </c>
      <c r="F251" t="inlineStr">
        <is>
          <t>Bergvik skog väst AB</t>
        </is>
      </c>
      <c r="G251" t="n">
        <v>2.5</v>
      </c>
      <c r="H251" t="n">
        <v>0</v>
      </c>
      <c r="I251" t="n">
        <v>0</v>
      </c>
      <c r="J251" t="n">
        <v>0</v>
      </c>
      <c r="K251" t="n">
        <v>0</v>
      </c>
      <c r="L251" t="n">
        <v>0</v>
      </c>
      <c r="M251" t="n">
        <v>0</v>
      </c>
      <c r="N251" t="n">
        <v>0</v>
      </c>
      <c r="O251" t="n">
        <v>0</v>
      </c>
      <c r="P251" t="n">
        <v>0</v>
      </c>
      <c r="Q251" t="n">
        <v>0</v>
      </c>
      <c r="R251" s="2" t="inlineStr"/>
      <c r="U251">
        <f>HYPERLINK("https://klasma.github.io/Logging_1907/knärot/A 48906-2023 karta knärot.png", "A 48906-2023")</f>
        <v/>
      </c>
      <c r="V251">
        <f>HYPERLINK("https://klasma.github.io/Logging_1907/klagomål/A 48906-2023 FSC-klagomål.docx", "A 48906-2023")</f>
        <v/>
      </c>
      <c r="W251">
        <f>HYPERLINK("https://klasma.github.io/Logging_1907/klagomålsmail/A 48906-2023 FSC-klagomål mail.docx", "A 48906-2023")</f>
        <v/>
      </c>
      <c r="X251">
        <f>HYPERLINK("https://klasma.github.io/Logging_1907/tillsyn/A 48906-2023 tillsynsbegäran.docx", "A 48906-2023")</f>
        <v/>
      </c>
      <c r="Y251">
        <f>HYPERLINK("https://klasma.github.io/Logging_1907/tillsynsmail/A 48906-2023 tillsynsbegäran mail.docx", "A 48906-2023")</f>
        <v/>
      </c>
    </row>
    <row r="252" ht="15" customHeight="1">
      <c r="A252" t="inlineStr">
        <is>
          <t>A 48205-2023</t>
        </is>
      </c>
      <c r="B252" s="1" t="n">
        <v>45205</v>
      </c>
      <c r="C252" s="1" t="n">
        <v>45741</v>
      </c>
      <c r="D252" t="inlineStr">
        <is>
          <t>VÄSTMANLANDS LÄN</t>
        </is>
      </c>
      <c r="E252" t="inlineStr">
        <is>
          <t>SURAHAMMAR</t>
        </is>
      </c>
      <c r="F252" t="inlineStr">
        <is>
          <t>Allmännings- och besparingsskogar</t>
        </is>
      </c>
      <c r="G252" t="n">
        <v>7.6</v>
      </c>
      <c r="H252" t="n">
        <v>0</v>
      </c>
      <c r="I252" t="n">
        <v>0</v>
      </c>
      <c r="J252" t="n">
        <v>0</v>
      </c>
      <c r="K252" t="n">
        <v>0</v>
      </c>
      <c r="L252" t="n">
        <v>0</v>
      </c>
      <c r="M252" t="n">
        <v>0</v>
      </c>
      <c r="N252" t="n">
        <v>0</v>
      </c>
      <c r="O252" t="n">
        <v>0</v>
      </c>
      <c r="P252" t="n">
        <v>0</v>
      </c>
      <c r="Q252" t="n">
        <v>0</v>
      </c>
      <c r="R252" s="2" t="inlineStr"/>
    </row>
    <row r="253" ht="15" customHeight="1">
      <c r="A253" t="inlineStr">
        <is>
          <t>A 56378-2023</t>
        </is>
      </c>
      <c r="B253" s="1" t="n">
        <v>45236</v>
      </c>
      <c r="C253" s="1" t="n">
        <v>45741</v>
      </c>
      <c r="D253" t="inlineStr">
        <is>
          <t>VÄSTMANLANDS LÄN</t>
        </is>
      </c>
      <c r="E253" t="inlineStr">
        <is>
          <t>SURAHAMMAR</t>
        </is>
      </c>
      <c r="F253" t="inlineStr">
        <is>
          <t>Bergvik skog väst AB</t>
        </is>
      </c>
      <c r="G253" t="n">
        <v>3.6</v>
      </c>
      <c r="H253" t="n">
        <v>0</v>
      </c>
      <c r="I253" t="n">
        <v>0</v>
      </c>
      <c r="J253" t="n">
        <v>0</v>
      </c>
      <c r="K253" t="n">
        <v>0</v>
      </c>
      <c r="L253" t="n">
        <v>0</v>
      </c>
      <c r="M253" t="n">
        <v>0</v>
      </c>
      <c r="N253" t="n">
        <v>0</v>
      </c>
      <c r="O253" t="n">
        <v>0</v>
      </c>
      <c r="P253" t="n">
        <v>0</v>
      </c>
      <c r="Q253" t="n">
        <v>0</v>
      </c>
      <c r="R253" s="2" t="inlineStr"/>
    </row>
    <row r="254" ht="15" customHeight="1">
      <c r="A254" t="inlineStr">
        <is>
          <t>A 56183-2023</t>
        </is>
      </c>
      <c r="B254" s="1" t="n">
        <v>45240</v>
      </c>
      <c r="C254" s="1" t="n">
        <v>45741</v>
      </c>
      <c r="D254" t="inlineStr">
        <is>
          <t>VÄSTMANLANDS LÄN</t>
        </is>
      </c>
      <c r="E254" t="inlineStr">
        <is>
          <t>SURAHAMMAR</t>
        </is>
      </c>
      <c r="F254" t="inlineStr">
        <is>
          <t>Allmännings- och besparingsskogar</t>
        </is>
      </c>
      <c r="G254" t="n">
        <v>2</v>
      </c>
      <c r="H254" t="n">
        <v>0</v>
      </c>
      <c r="I254" t="n">
        <v>0</v>
      </c>
      <c r="J254" t="n">
        <v>0</v>
      </c>
      <c r="K254" t="n">
        <v>0</v>
      </c>
      <c r="L254" t="n">
        <v>0</v>
      </c>
      <c r="M254" t="n">
        <v>0</v>
      </c>
      <c r="N254" t="n">
        <v>0</v>
      </c>
      <c r="O254" t="n">
        <v>0</v>
      </c>
      <c r="P254" t="n">
        <v>0</v>
      </c>
      <c r="Q254" t="n">
        <v>0</v>
      </c>
      <c r="R254" s="2" t="inlineStr"/>
    </row>
    <row r="255" ht="15" customHeight="1">
      <c r="A255" t="inlineStr">
        <is>
          <t>A 58338-2023</t>
        </is>
      </c>
      <c r="B255" s="1" t="n">
        <v>45250</v>
      </c>
      <c r="C255" s="1" t="n">
        <v>45741</v>
      </c>
      <c r="D255" t="inlineStr">
        <is>
          <t>VÄSTMANLANDS LÄN</t>
        </is>
      </c>
      <c r="E255" t="inlineStr">
        <is>
          <t>SURAHAMMAR</t>
        </is>
      </c>
      <c r="F255" t="inlineStr">
        <is>
          <t>Allmännings- och besparingsskogar</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58356-2023</t>
        </is>
      </c>
      <c r="B256" s="1" t="n">
        <v>45250</v>
      </c>
      <c r="C256" s="1" t="n">
        <v>45741</v>
      </c>
      <c r="D256" t="inlineStr">
        <is>
          <t>VÄSTMANLANDS LÄN</t>
        </is>
      </c>
      <c r="E256" t="inlineStr">
        <is>
          <t>SURAHAMMAR</t>
        </is>
      </c>
      <c r="F256" t="inlineStr">
        <is>
          <t>Allmännings- och besparingsskogar</t>
        </is>
      </c>
      <c r="G256" t="n">
        <v>2.2</v>
      </c>
      <c r="H256" t="n">
        <v>0</v>
      </c>
      <c r="I256" t="n">
        <v>0</v>
      </c>
      <c r="J256" t="n">
        <v>0</v>
      </c>
      <c r="K256" t="n">
        <v>0</v>
      </c>
      <c r="L256" t="n">
        <v>0</v>
      </c>
      <c r="M256" t="n">
        <v>0</v>
      </c>
      <c r="N256" t="n">
        <v>0</v>
      </c>
      <c r="O256" t="n">
        <v>0</v>
      </c>
      <c r="P256" t="n">
        <v>0</v>
      </c>
      <c r="Q256" t="n">
        <v>0</v>
      </c>
      <c r="R256" s="2" t="inlineStr"/>
    </row>
    <row r="257" ht="15" customHeight="1">
      <c r="A257" t="inlineStr">
        <is>
          <t>A 59317-2023</t>
        </is>
      </c>
      <c r="B257" s="1" t="n">
        <v>45253</v>
      </c>
      <c r="C257" s="1" t="n">
        <v>45741</v>
      </c>
      <c r="D257" t="inlineStr">
        <is>
          <t>VÄSTMANLANDS LÄN</t>
        </is>
      </c>
      <c r="E257" t="inlineStr">
        <is>
          <t>SURAHAMMAR</t>
        </is>
      </c>
      <c r="G257" t="n">
        <v>7.1</v>
      </c>
      <c r="H257" t="n">
        <v>0</v>
      </c>
      <c r="I257" t="n">
        <v>0</v>
      </c>
      <c r="J257" t="n">
        <v>0</v>
      </c>
      <c r="K257" t="n">
        <v>0</v>
      </c>
      <c r="L257" t="n">
        <v>0</v>
      </c>
      <c r="M257" t="n">
        <v>0</v>
      </c>
      <c r="N257" t="n">
        <v>0</v>
      </c>
      <c r="O257" t="n">
        <v>0</v>
      </c>
      <c r="P257" t="n">
        <v>0</v>
      </c>
      <c r="Q257" t="n">
        <v>0</v>
      </c>
      <c r="R257" s="2" t="inlineStr"/>
    </row>
    <row r="258" ht="15" customHeight="1">
      <c r="A258" t="inlineStr">
        <is>
          <t>A 64343-2023</t>
        </is>
      </c>
      <c r="B258" s="1" t="n">
        <v>45280</v>
      </c>
      <c r="C258" s="1" t="n">
        <v>45741</v>
      </c>
      <c r="D258" t="inlineStr">
        <is>
          <t>VÄSTMANLANDS LÄN</t>
        </is>
      </c>
      <c r="E258" t="inlineStr">
        <is>
          <t>SURAHAMMAR</t>
        </is>
      </c>
      <c r="G258" t="n">
        <v>2.9</v>
      </c>
      <c r="H258" t="n">
        <v>0</v>
      </c>
      <c r="I258" t="n">
        <v>0</v>
      </c>
      <c r="J258" t="n">
        <v>0</v>
      </c>
      <c r="K258" t="n">
        <v>0</v>
      </c>
      <c r="L258" t="n">
        <v>0</v>
      </c>
      <c r="M258" t="n">
        <v>0</v>
      </c>
      <c r="N258" t="n">
        <v>0</v>
      </c>
      <c r="O258" t="n">
        <v>0</v>
      </c>
      <c r="P258" t="n">
        <v>0</v>
      </c>
      <c r="Q258" t="n">
        <v>0</v>
      </c>
      <c r="R258" s="2" t="inlineStr"/>
    </row>
    <row r="259" ht="15" customHeight="1">
      <c r="A259" t="inlineStr">
        <is>
          <t>A 1316-2024</t>
        </is>
      </c>
      <c r="B259" s="1" t="n">
        <v>45303</v>
      </c>
      <c r="C259" s="1" t="n">
        <v>45741</v>
      </c>
      <c r="D259" t="inlineStr">
        <is>
          <t>VÄSTMANLANDS LÄN</t>
        </is>
      </c>
      <c r="E259" t="inlineStr">
        <is>
          <t>SURAHAMMAR</t>
        </is>
      </c>
      <c r="G259" t="n">
        <v>1</v>
      </c>
      <c r="H259" t="n">
        <v>0</v>
      </c>
      <c r="I259" t="n">
        <v>0</v>
      </c>
      <c r="J259" t="n">
        <v>0</v>
      </c>
      <c r="K259" t="n">
        <v>0</v>
      </c>
      <c r="L259" t="n">
        <v>0</v>
      </c>
      <c r="M259" t="n">
        <v>0</v>
      </c>
      <c r="N259" t="n">
        <v>0</v>
      </c>
      <c r="O259" t="n">
        <v>0</v>
      </c>
      <c r="P259" t="n">
        <v>0</v>
      </c>
      <c r="Q259" t="n">
        <v>0</v>
      </c>
      <c r="R259" s="2" t="inlineStr"/>
    </row>
    <row r="260" ht="15" customHeight="1">
      <c r="A260" t="inlineStr">
        <is>
          <t>A 2680-2024</t>
        </is>
      </c>
      <c r="B260" s="1" t="n">
        <v>45310</v>
      </c>
      <c r="C260" s="1" t="n">
        <v>45741</v>
      </c>
      <c r="D260" t="inlineStr">
        <is>
          <t>VÄSTMANLANDS LÄN</t>
        </is>
      </c>
      <c r="E260" t="inlineStr">
        <is>
          <t>SURAHAMMAR</t>
        </is>
      </c>
      <c r="G260" t="n">
        <v>1.8</v>
      </c>
      <c r="H260" t="n">
        <v>0</v>
      </c>
      <c r="I260" t="n">
        <v>0</v>
      </c>
      <c r="J260" t="n">
        <v>0</v>
      </c>
      <c r="K260" t="n">
        <v>0</v>
      </c>
      <c r="L260" t="n">
        <v>0</v>
      </c>
      <c r="M260" t="n">
        <v>0</v>
      </c>
      <c r="N260" t="n">
        <v>0</v>
      </c>
      <c r="O260" t="n">
        <v>0</v>
      </c>
      <c r="P260" t="n">
        <v>0</v>
      </c>
      <c r="Q260" t="n">
        <v>0</v>
      </c>
      <c r="R260" s="2" t="inlineStr"/>
    </row>
    <row r="261" ht="15" customHeight="1">
      <c r="A261" t="inlineStr">
        <is>
          <t>A 2660-2024</t>
        </is>
      </c>
      <c r="B261" s="1" t="n">
        <v>45310</v>
      </c>
      <c r="C261" s="1" t="n">
        <v>45741</v>
      </c>
      <c r="D261" t="inlineStr">
        <is>
          <t>VÄSTMANLANDS LÄN</t>
        </is>
      </c>
      <c r="E261" t="inlineStr">
        <is>
          <t>SURAHAMMAR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2866-2024</t>
        </is>
      </c>
      <c r="B262" s="1" t="n">
        <v>45315</v>
      </c>
      <c r="C262" s="1" t="n">
        <v>45741</v>
      </c>
      <c r="D262" t="inlineStr">
        <is>
          <t>VÄSTMANLANDS LÄN</t>
        </is>
      </c>
      <c r="E262" t="inlineStr">
        <is>
          <t>SURAHAMMAR</t>
        </is>
      </c>
      <c r="F262" t="inlineStr">
        <is>
          <t>Bergvik skog väst AB</t>
        </is>
      </c>
      <c r="G262" t="n">
        <v>5.1</v>
      </c>
      <c r="H262" t="n">
        <v>0</v>
      </c>
      <c r="I262" t="n">
        <v>0</v>
      </c>
      <c r="J262" t="n">
        <v>0</v>
      </c>
      <c r="K262" t="n">
        <v>0</v>
      </c>
      <c r="L262" t="n">
        <v>0</v>
      </c>
      <c r="M262" t="n">
        <v>0</v>
      </c>
      <c r="N262" t="n">
        <v>0</v>
      </c>
      <c r="O262" t="n">
        <v>0</v>
      </c>
      <c r="P262" t="n">
        <v>0</v>
      </c>
      <c r="Q262" t="n">
        <v>0</v>
      </c>
      <c r="R262" s="2" t="inlineStr"/>
    </row>
    <row r="263" ht="15" customHeight="1">
      <c r="A263" t="inlineStr">
        <is>
          <t>A 2867-2024</t>
        </is>
      </c>
      <c r="B263" s="1" t="n">
        <v>45315</v>
      </c>
      <c r="C263" s="1" t="n">
        <v>45741</v>
      </c>
      <c r="D263" t="inlineStr">
        <is>
          <t>VÄSTMANLANDS LÄN</t>
        </is>
      </c>
      <c r="E263" t="inlineStr">
        <is>
          <t>SURAHAMMAR</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4759-2024</t>
        </is>
      </c>
      <c r="B264" s="1" t="n">
        <v>45328</v>
      </c>
      <c r="C264" s="1" t="n">
        <v>45741</v>
      </c>
      <c r="D264" t="inlineStr">
        <is>
          <t>VÄSTMANLANDS LÄN</t>
        </is>
      </c>
      <c r="E264" t="inlineStr">
        <is>
          <t>SURAHAMMAR</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5168-2024</t>
        </is>
      </c>
      <c r="B265" s="1" t="n">
        <v>45330</v>
      </c>
      <c r="C265" s="1" t="n">
        <v>45741</v>
      </c>
      <c r="D265" t="inlineStr">
        <is>
          <t>VÄSTMANLANDS LÄN</t>
        </is>
      </c>
      <c r="E265" t="inlineStr">
        <is>
          <t>SURAHAMMAR</t>
        </is>
      </c>
      <c r="F265" t="inlineStr">
        <is>
          <t>Övriga Aktiebolag</t>
        </is>
      </c>
      <c r="G265" t="n">
        <v>3.4</v>
      </c>
      <c r="H265" t="n">
        <v>0</v>
      </c>
      <c r="I265" t="n">
        <v>0</v>
      </c>
      <c r="J265" t="n">
        <v>0</v>
      </c>
      <c r="K265" t="n">
        <v>0</v>
      </c>
      <c r="L265" t="n">
        <v>0</v>
      </c>
      <c r="M265" t="n">
        <v>0</v>
      </c>
      <c r="N265" t="n">
        <v>0</v>
      </c>
      <c r="O265" t="n">
        <v>0</v>
      </c>
      <c r="P265" t="n">
        <v>0</v>
      </c>
      <c r="Q265" t="n">
        <v>0</v>
      </c>
      <c r="R265" s="2" t="inlineStr"/>
    </row>
    <row r="266" ht="15" customHeight="1">
      <c r="A266" t="inlineStr">
        <is>
          <t>A 7787-2024</t>
        </is>
      </c>
      <c r="B266" s="1" t="n">
        <v>45348</v>
      </c>
      <c r="C266" s="1" t="n">
        <v>45741</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7782-2024</t>
        </is>
      </c>
      <c r="B267" s="1" t="n">
        <v>45349</v>
      </c>
      <c r="C267" s="1" t="n">
        <v>45741</v>
      </c>
      <c r="D267" t="inlineStr">
        <is>
          <t>VÄSTMANLANDS LÄN</t>
        </is>
      </c>
      <c r="E267" t="inlineStr">
        <is>
          <t>SURAHAMMAR</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8066-2024</t>
        </is>
      </c>
      <c r="B268" s="1" t="n">
        <v>45351</v>
      </c>
      <c r="C268" s="1" t="n">
        <v>45741</v>
      </c>
      <c r="D268" t="inlineStr">
        <is>
          <t>VÄSTMANLANDS LÄN</t>
        </is>
      </c>
      <c r="E268" t="inlineStr">
        <is>
          <t>SURAHAMMAR</t>
        </is>
      </c>
      <c r="G268" t="n">
        <v>12.7</v>
      </c>
      <c r="H268" t="n">
        <v>0</v>
      </c>
      <c r="I268" t="n">
        <v>0</v>
      </c>
      <c r="J268" t="n">
        <v>0</v>
      </c>
      <c r="K268" t="n">
        <v>0</v>
      </c>
      <c r="L268" t="n">
        <v>0</v>
      </c>
      <c r="M268" t="n">
        <v>0</v>
      </c>
      <c r="N268" t="n">
        <v>0</v>
      </c>
      <c r="O268" t="n">
        <v>0</v>
      </c>
      <c r="P268" t="n">
        <v>0</v>
      </c>
      <c r="Q268" t="n">
        <v>0</v>
      </c>
      <c r="R268" s="2" t="inlineStr"/>
    </row>
    <row r="269" ht="15" customHeight="1">
      <c r="A269" t="inlineStr">
        <is>
          <t>A 9741-2024</t>
        </is>
      </c>
      <c r="B269" s="1" t="n">
        <v>45362</v>
      </c>
      <c r="C269" s="1" t="n">
        <v>45741</v>
      </c>
      <c r="D269" t="inlineStr">
        <is>
          <t>VÄSTMANLANDS LÄN</t>
        </is>
      </c>
      <c r="E269" t="inlineStr">
        <is>
          <t>SURAHAMMAR</t>
        </is>
      </c>
      <c r="G269" t="n">
        <v>4.6</v>
      </c>
      <c r="H269" t="n">
        <v>0</v>
      </c>
      <c r="I269" t="n">
        <v>0</v>
      </c>
      <c r="J269" t="n">
        <v>0</v>
      </c>
      <c r="K269" t="n">
        <v>0</v>
      </c>
      <c r="L269" t="n">
        <v>0</v>
      </c>
      <c r="M269" t="n">
        <v>0</v>
      </c>
      <c r="N269" t="n">
        <v>0</v>
      </c>
      <c r="O269" t="n">
        <v>0</v>
      </c>
      <c r="P269" t="n">
        <v>0</v>
      </c>
      <c r="Q269" t="n">
        <v>0</v>
      </c>
      <c r="R269" s="2" t="inlineStr"/>
    </row>
    <row r="270" ht="15" customHeight="1">
      <c r="A270" t="inlineStr">
        <is>
          <t>A 21509-2024</t>
        </is>
      </c>
      <c r="B270" s="1" t="n">
        <v>45441</v>
      </c>
      <c r="C270" s="1" t="n">
        <v>45741</v>
      </c>
      <c r="D270" t="inlineStr">
        <is>
          <t>VÄSTMANLANDS LÄN</t>
        </is>
      </c>
      <c r="E270" t="inlineStr">
        <is>
          <t>SURAHAMMAR</t>
        </is>
      </c>
      <c r="F270" t="inlineStr">
        <is>
          <t>Bergvik skog väst AB</t>
        </is>
      </c>
      <c r="G270" t="n">
        <v>3.9</v>
      </c>
      <c r="H270" t="n">
        <v>0</v>
      </c>
      <c r="I270" t="n">
        <v>0</v>
      </c>
      <c r="J270" t="n">
        <v>0</v>
      </c>
      <c r="K270" t="n">
        <v>0</v>
      </c>
      <c r="L270" t="n">
        <v>0</v>
      </c>
      <c r="M270" t="n">
        <v>0</v>
      </c>
      <c r="N270" t="n">
        <v>0</v>
      </c>
      <c r="O270" t="n">
        <v>0</v>
      </c>
      <c r="P270" t="n">
        <v>0</v>
      </c>
      <c r="Q270" t="n">
        <v>0</v>
      </c>
      <c r="R270" s="2" t="inlineStr"/>
    </row>
    <row r="271" ht="15" customHeight="1">
      <c r="A271" t="inlineStr">
        <is>
          <t>A 24167-2024</t>
        </is>
      </c>
      <c r="B271" s="1" t="n">
        <v>45456</v>
      </c>
      <c r="C271" s="1" t="n">
        <v>45741</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24168-2024</t>
        </is>
      </c>
      <c r="B272" s="1" t="n">
        <v>45456</v>
      </c>
      <c r="C272" s="1" t="n">
        <v>45741</v>
      </c>
      <c r="D272" t="inlineStr">
        <is>
          <t>VÄSTMANLANDS LÄN</t>
        </is>
      </c>
      <c r="E272" t="inlineStr">
        <is>
          <t>SURAHAMMAR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24570-2024</t>
        </is>
      </c>
      <c r="B273" s="1" t="n">
        <v>45460</v>
      </c>
      <c r="C273" s="1" t="n">
        <v>45741</v>
      </c>
      <c r="D273" t="inlineStr">
        <is>
          <t>VÄSTMANLANDS LÄN</t>
        </is>
      </c>
      <c r="E273" t="inlineStr">
        <is>
          <t>SURAHAMMAR</t>
        </is>
      </c>
      <c r="G273" t="n">
        <v>0.8</v>
      </c>
      <c r="H273" t="n">
        <v>0</v>
      </c>
      <c r="I273" t="n">
        <v>0</v>
      </c>
      <c r="J273" t="n">
        <v>0</v>
      </c>
      <c r="K273" t="n">
        <v>0</v>
      </c>
      <c r="L273" t="n">
        <v>0</v>
      </c>
      <c r="M273" t="n">
        <v>0</v>
      </c>
      <c r="N273" t="n">
        <v>0</v>
      </c>
      <c r="O273" t="n">
        <v>0</v>
      </c>
      <c r="P273" t="n">
        <v>0</v>
      </c>
      <c r="Q273" t="n">
        <v>0</v>
      </c>
      <c r="R273" s="2" t="inlineStr"/>
    </row>
    <row r="274" ht="15" customHeight="1">
      <c r="A274" t="inlineStr">
        <is>
          <t>A 24530-2024</t>
        </is>
      </c>
      <c r="B274" s="1" t="n">
        <v>45460</v>
      </c>
      <c r="C274" s="1" t="n">
        <v>45741</v>
      </c>
      <c r="D274" t="inlineStr">
        <is>
          <t>VÄSTMANLANDS LÄN</t>
        </is>
      </c>
      <c r="E274" t="inlineStr">
        <is>
          <t>SURAHAMMAR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25450-2024</t>
        </is>
      </c>
      <c r="B275" s="1" t="n">
        <v>45463</v>
      </c>
      <c r="C275" s="1" t="n">
        <v>45741</v>
      </c>
      <c r="D275" t="inlineStr">
        <is>
          <t>VÄSTMANLANDS LÄN</t>
        </is>
      </c>
      <c r="E275" t="inlineStr">
        <is>
          <t>SURAHAMMAR</t>
        </is>
      </c>
      <c r="F275" t="inlineStr">
        <is>
          <t>Bergvik skog väst AB</t>
        </is>
      </c>
      <c r="G275" t="n">
        <v>6.7</v>
      </c>
      <c r="H275" t="n">
        <v>0</v>
      </c>
      <c r="I275" t="n">
        <v>0</v>
      </c>
      <c r="J275" t="n">
        <v>0</v>
      </c>
      <c r="K275" t="n">
        <v>0</v>
      </c>
      <c r="L275" t="n">
        <v>0</v>
      </c>
      <c r="M275" t="n">
        <v>0</v>
      </c>
      <c r="N275" t="n">
        <v>0</v>
      </c>
      <c r="O275" t="n">
        <v>0</v>
      </c>
      <c r="P275" t="n">
        <v>0</v>
      </c>
      <c r="Q275" t="n">
        <v>0</v>
      </c>
      <c r="R275" s="2" t="inlineStr"/>
    </row>
    <row r="276" ht="15" customHeight="1">
      <c r="A276" t="inlineStr">
        <is>
          <t>A 25417-2024</t>
        </is>
      </c>
      <c r="B276" s="1" t="n">
        <v>45463</v>
      </c>
      <c r="C276" s="1" t="n">
        <v>45741</v>
      </c>
      <c r="D276" t="inlineStr">
        <is>
          <t>VÄSTMANLANDS LÄN</t>
        </is>
      </c>
      <c r="E276" t="inlineStr">
        <is>
          <t>SURAHAMMAR</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26878-2024</t>
        </is>
      </c>
      <c r="B277" s="1" t="n">
        <v>45470</v>
      </c>
      <c r="C277" s="1" t="n">
        <v>45741</v>
      </c>
      <c r="D277" t="inlineStr">
        <is>
          <t>VÄSTMANLANDS LÄN</t>
        </is>
      </c>
      <c r="E277" t="inlineStr">
        <is>
          <t>SURAHAMMAR</t>
        </is>
      </c>
      <c r="F277" t="inlineStr">
        <is>
          <t>Sveaskog</t>
        </is>
      </c>
      <c r="G277" t="n">
        <v>6.1</v>
      </c>
      <c r="H277" t="n">
        <v>0</v>
      </c>
      <c r="I277" t="n">
        <v>0</v>
      </c>
      <c r="J277" t="n">
        <v>0</v>
      </c>
      <c r="K277" t="n">
        <v>0</v>
      </c>
      <c r="L277" t="n">
        <v>0</v>
      </c>
      <c r="M277" t="n">
        <v>0</v>
      </c>
      <c r="N277" t="n">
        <v>0</v>
      </c>
      <c r="O277" t="n">
        <v>0</v>
      </c>
      <c r="P277" t="n">
        <v>0</v>
      </c>
      <c r="Q277" t="n">
        <v>0</v>
      </c>
      <c r="R277" s="2" t="inlineStr"/>
    </row>
    <row r="278" ht="15" customHeight="1">
      <c r="A278" t="inlineStr">
        <is>
          <t>A 28812-2024</t>
        </is>
      </c>
      <c r="B278" s="1" t="n">
        <v>45478</v>
      </c>
      <c r="C278" s="1" t="n">
        <v>45741</v>
      </c>
      <c r="D278" t="inlineStr">
        <is>
          <t>VÄSTMANLANDS LÄN</t>
        </is>
      </c>
      <c r="E278" t="inlineStr">
        <is>
          <t>SURAHAMMAR</t>
        </is>
      </c>
      <c r="F278" t="inlineStr">
        <is>
          <t>Bergvik skog väst AB</t>
        </is>
      </c>
      <c r="G278" t="n">
        <v>17.8</v>
      </c>
      <c r="H278" t="n">
        <v>0</v>
      </c>
      <c r="I278" t="n">
        <v>0</v>
      </c>
      <c r="J278" t="n">
        <v>0</v>
      </c>
      <c r="K278" t="n">
        <v>0</v>
      </c>
      <c r="L278" t="n">
        <v>0</v>
      </c>
      <c r="M278" t="n">
        <v>0</v>
      </c>
      <c r="N278" t="n">
        <v>0</v>
      </c>
      <c r="O278" t="n">
        <v>0</v>
      </c>
      <c r="P278" t="n">
        <v>0</v>
      </c>
      <c r="Q278" t="n">
        <v>0</v>
      </c>
      <c r="R278" s="2" t="inlineStr"/>
    </row>
    <row r="279" ht="15" customHeight="1">
      <c r="A279" t="inlineStr">
        <is>
          <t>A 29158-2024</t>
        </is>
      </c>
      <c r="B279" s="1" t="n">
        <v>45482</v>
      </c>
      <c r="C279" s="1" t="n">
        <v>45741</v>
      </c>
      <c r="D279" t="inlineStr">
        <is>
          <t>VÄSTMANLANDS LÄN</t>
        </is>
      </c>
      <c r="E279" t="inlineStr">
        <is>
          <t>SURAHAMMAR</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31192-2024</t>
        </is>
      </c>
      <c r="B280" s="1" t="n">
        <v>45503</v>
      </c>
      <c r="C280" s="1" t="n">
        <v>45741</v>
      </c>
      <c r="D280" t="inlineStr">
        <is>
          <t>VÄSTMANLANDS LÄN</t>
        </is>
      </c>
      <c r="E280" t="inlineStr">
        <is>
          <t>SURAHAMMAR</t>
        </is>
      </c>
      <c r="F280" t="inlineStr">
        <is>
          <t>Allmännings- och besparingsskogar</t>
        </is>
      </c>
      <c r="G280" t="n">
        <v>17.2</v>
      </c>
      <c r="H280" t="n">
        <v>0</v>
      </c>
      <c r="I280" t="n">
        <v>0</v>
      </c>
      <c r="J280" t="n">
        <v>0</v>
      </c>
      <c r="K280" t="n">
        <v>0</v>
      </c>
      <c r="L280" t="n">
        <v>0</v>
      </c>
      <c r="M280" t="n">
        <v>0</v>
      </c>
      <c r="N280" t="n">
        <v>0</v>
      </c>
      <c r="O280" t="n">
        <v>0</v>
      </c>
      <c r="P280" t="n">
        <v>0</v>
      </c>
      <c r="Q280" t="n">
        <v>0</v>
      </c>
      <c r="R280" s="2" t="inlineStr"/>
    </row>
    <row r="281" ht="15" customHeight="1">
      <c r="A281" t="inlineStr">
        <is>
          <t>A 32808-2024</t>
        </is>
      </c>
      <c r="B281" s="1" t="n">
        <v>45516</v>
      </c>
      <c r="C281" s="1" t="n">
        <v>45741</v>
      </c>
      <c r="D281" t="inlineStr">
        <is>
          <t>VÄSTMANLANDS LÄN</t>
        </is>
      </c>
      <c r="E281" t="inlineStr">
        <is>
          <t>SURAHAMMAR</t>
        </is>
      </c>
      <c r="F281" t="inlineStr">
        <is>
          <t>Övriga Aktiebolag</t>
        </is>
      </c>
      <c r="G281" t="n">
        <v>1.9</v>
      </c>
      <c r="H281" t="n">
        <v>0</v>
      </c>
      <c r="I281" t="n">
        <v>0</v>
      </c>
      <c r="J281" t="n">
        <v>0</v>
      </c>
      <c r="K281" t="n">
        <v>0</v>
      </c>
      <c r="L281" t="n">
        <v>0</v>
      </c>
      <c r="M281" t="n">
        <v>0</v>
      </c>
      <c r="N281" t="n">
        <v>0</v>
      </c>
      <c r="O281" t="n">
        <v>0</v>
      </c>
      <c r="P281" t="n">
        <v>0</v>
      </c>
      <c r="Q281" t="n">
        <v>0</v>
      </c>
      <c r="R281" s="2" t="inlineStr"/>
    </row>
    <row r="282" ht="15" customHeight="1">
      <c r="A282" t="inlineStr">
        <is>
          <t>A 33231-2024</t>
        </is>
      </c>
      <c r="B282" s="1" t="n">
        <v>45518</v>
      </c>
      <c r="C282" s="1" t="n">
        <v>45741</v>
      </c>
      <c r="D282" t="inlineStr">
        <is>
          <t>VÄSTMANLANDS LÄN</t>
        </is>
      </c>
      <c r="E282" t="inlineStr">
        <is>
          <t>SURAHAMMAR</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33160-2024</t>
        </is>
      </c>
      <c r="B283" s="1" t="n">
        <v>45518</v>
      </c>
      <c r="C283" s="1" t="n">
        <v>45741</v>
      </c>
      <c r="D283" t="inlineStr">
        <is>
          <t>VÄSTMANLANDS LÄN</t>
        </is>
      </c>
      <c r="E283" t="inlineStr">
        <is>
          <t>SURAHAMMAR</t>
        </is>
      </c>
      <c r="G283" t="n">
        <v>1</v>
      </c>
      <c r="H283" t="n">
        <v>0</v>
      </c>
      <c r="I283" t="n">
        <v>0</v>
      </c>
      <c r="J283" t="n">
        <v>0</v>
      </c>
      <c r="K283" t="n">
        <v>0</v>
      </c>
      <c r="L283" t="n">
        <v>0</v>
      </c>
      <c r="M283" t="n">
        <v>0</v>
      </c>
      <c r="N283" t="n">
        <v>0</v>
      </c>
      <c r="O283" t="n">
        <v>0</v>
      </c>
      <c r="P283" t="n">
        <v>0</v>
      </c>
      <c r="Q283" t="n">
        <v>0</v>
      </c>
      <c r="R283" s="2" t="inlineStr"/>
    </row>
    <row r="284" ht="15" customHeight="1">
      <c r="A284" t="inlineStr">
        <is>
          <t>A 42406-2024</t>
        </is>
      </c>
      <c r="B284" s="1" t="n">
        <v>45565</v>
      </c>
      <c r="C284" s="1" t="n">
        <v>45741</v>
      </c>
      <c r="D284" t="inlineStr">
        <is>
          <t>VÄSTMANLANDS LÄN</t>
        </is>
      </c>
      <c r="E284" t="inlineStr">
        <is>
          <t>SURAHAMMAR</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43455-2024</t>
        </is>
      </c>
      <c r="B285" s="1" t="n">
        <v>45568</v>
      </c>
      <c r="C285" s="1" t="n">
        <v>45741</v>
      </c>
      <c r="D285" t="inlineStr">
        <is>
          <t>VÄSTMANLANDS LÄN</t>
        </is>
      </c>
      <c r="E285" t="inlineStr">
        <is>
          <t>SURAHAMMAR</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43461-2024</t>
        </is>
      </c>
      <c r="B286" s="1" t="n">
        <v>45568</v>
      </c>
      <c r="C286" s="1" t="n">
        <v>45741</v>
      </c>
      <c r="D286" t="inlineStr">
        <is>
          <t>VÄSTMANLANDS LÄN</t>
        </is>
      </c>
      <c r="E286" t="inlineStr">
        <is>
          <t>SURAHAMMAR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44357-2024</t>
        </is>
      </c>
      <c r="B287" s="1" t="n">
        <v>45573</v>
      </c>
      <c r="C287" s="1" t="n">
        <v>45741</v>
      </c>
      <c r="D287" t="inlineStr">
        <is>
          <t>VÄSTMANLANDS LÄN</t>
        </is>
      </c>
      <c r="E287" t="inlineStr">
        <is>
          <t>SURAHAMMAR</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44358-2024</t>
        </is>
      </c>
      <c r="B288" s="1" t="n">
        <v>45573</v>
      </c>
      <c r="C288" s="1" t="n">
        <v>45741</v>
      </c>
      <c r="D288" t="inlineStr">
        <is>
          <t>VÄSTMANLANDS LÄN</t>
        </is>
      </c>
      <c r="E288" t="inlineStr">
        <is>
          <t>SURAHAMMAR</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44353-2024</t>
        </is>
      </c>
      <c r="B289" s="1" t="n">
        <v>45573</v>
      </c>
      <c r="C289" s="1" t="n">
        <v>45741</v>
      </c>
      <c r="D289" t="inlineStr">
        <is>
          <t>VÄSTMANLANDS LÄN</t>
        </is>
      </c>
      <c r="E289" t="inlineStr">
        <is>
          <t>SURAHAMMAR</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44359-2024</t>
        </is>
      </c>
      <c r="B290" s="1" t="n">
        <v>45573</v>
      </c>
      <c r="C290" s="1" t="n">
        <v>45741</v>
      </c>
      <c r="D290" t="inlineStr">
        <is>
          <t>VÄSTMANLANDS LÄN</t>
        </is>
      </c>
      <c r="E290" t="inlineStr">
        <is>
          <t>SURAHAMMAR</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47453-2024</t>
        </is>
      </c>
      <c r="B291" s="1" t="n">
        <v>45587</v>
      </c>
      <c r="C291" s="1" t="n">
        <v>45741</v>
      </c>
      <c r="D291" t="inlineStr">
        <is>
          <t>VÄSTMANLANDS LÄN</t>
        </is>
      </c>
      <c r="E291" t="inlineStr">
        <is>
          <t>SURAHAMMAR</t>
        </is>
      </c>
      <c r="G291" t="n">
        <v>5.1</v>
      </c>
      <c r="H291" t="n">
        <v>0</v>
      </c>
      <c r="I291" t="n">
        <v>0</v>
      </c>
      <c r="J291" t="n">
        <v>0</v>
      </c>
      <c r="K291" t="n">
        <v>0</v>
      </c>
      <c r="L291" t="n">
        <v>0</v>
      </c>
      <c r="M291" t="n">
        <v>0</v>
      </c>
      <c r="N291" t="n">
        <v>0</v>
      </c>
      <c r="O291" t="n">
        <v>0</v>
      </c>
      <c r="P291" t="n">
        <v>0</v>
      </c>
      <c r="Q291" t="n">
        <v>0</v>
      </c>
      <c r="R291" s="2" t="inlineStr"/>
    </row>
    <row r="292" ht="15" customHeight="1">
      <c r="A292" t="inlineStr">
        <is>
          <t>A 47447-2024</t>
        </is>
      </c>
      <c r="B292" s="1" t="n">
        <v>45587</v>
      </c>
      <c r="C292" s="1" t="n">
        <v>45741</v>
      </c>
      <c r="D292" t="inlineStr">
        <is>
          <t>VÄSTMANLANDS LÄN</t>
        </is>
      </c>
      <c r="E292" t="inlineStr">
        <is>
          <t>SURAHAMMAR</t>
        </is>
      </c>
      <c r="G292" t="n">
        <v>13.9</v>
      </c>
      <c r="H292" t="n">
        <v>0</v>
      </c>
      <c r="I292" t="n">
        <v>0</v>
      </c>
      <c r="J292" t="n">
        <v>0</v>
      </c>
      <c r="K292" t="n">
        <v>0</v>
      </c>
      <c r="L292" t="n">
        <v>0</v>
      </c>
      <c r="M292" t="n">
        <v>0</v>
      </c>
      <c r="N292" t="n">
        <v>0</v>
      </c>
      <c r="O292" t="n">
        <v>0</v>
      </c>
      <c r="P292" t="n">
        <v>0</v>
      </c>
      <c r="Q292" t="n">
        <v>0</v>
      </c>
      <c r="R292" s="2" t="inlineStr"/>
    </row>
    <row r="293" ht="15" customHeight="1">
      <c r="A293" t="inlineStr">
        <is>
          <t>A 49060-2024</t>
        </is>
      </c>
      <c r="B293" s="1" t="n">
        <v>45594</v>
      </c>
      <c r="C293" s="1" t="n">
        <v>45741</v>
      </c>
      <c r="D293" t="inlineStr">
        <is>
          <t>VÄSTMANLANDS LÄN</t>
        </is>
      </c>
      <c r="E293" t="inlineStr">
        <is>
          <t>SURAHAMMAR</t>
        </is>
      </c>
      <c r="F293" t="inlineStr">
        <is>
          <t>Sveaskog</t>
        </is>
      </c>
      <c r="G293" t="n">
        <v>4.4</v>
      </c>
      <c r="H293" t="n">
        <v>0</v>
      </c>
      <c r="I293" t="n">
        <v>0</v>
      </c>
      <c r="J293" t="n">
        <v>0</v>
      </c>
      <c r="K293" t="n">
        <v>0</v>
      </c>
      <c r="L293" t="n">
        <v>0</v>
      </c>
      <c r="M293" t="n">
        <v>0</v>
      </c>
      <c r="N293" t="n">
        <v>0</v>
      </c>
      <c r="O293" t="n">
        <v>0</v>
      </c>
      <c r="P293" t="n">
        <v>0</v>
      </c>
      <c r="Q293" t="n">
        <v>0</v>
      </c>
      <c r="R293" s="2" t="inlineStr"/>
    </row>
    <row r="294" ht="15" customHeight="1">
      <c r="A294" t="inlineStr">
        <is>
          <t>A 49058-2024</t>
        </is>
      </c>
      <c r="B294" s="1" t="n">
        <v>45594</v>
      </c>
      <c r="C294" s="1" t="n">
        <v>45741</v>
      </c>
      <c r="D294" t="inlineStr">
        <is>
          <t>VÄSTMANLANDS LÄN</t>
        </is>
      </c>
      <c r="E294" t="inlineStr">
        <is>
          <t>SURAHAMMAR</t>
        </is>
      </c>
      <c r="F294" t="inlineStr">
        <is>
          <t>Sveaskog</t>
        </is>
      </c>
      <c r="G294" t="n">
        <v>11.4</v>
      </c>
      <c r="H294" t="n">
        <v>0</v>
      </c>
      <c r="I294" t="n">
        <v>0</v>
      </c>
      <c r="J294" t="n">
        <v>0</v>
      </c>
      <c r="K294" t="n">
        <v>0</v>
      </c>
      <c r="L294" t="n">
        <v>0</v>
      </c>
      <c r="M294" t="n">
        <v>0</v>
      </c>
      <c r="N294" t="n">
        <v>0</v>
      </c>
      <c r="O294" t="n">
        <v>0</v>
      </c>
      <c r="P294" t="n">
        <v>0</v>
      </c>
      <c r="Q294" t="n">
        <v>0</v>
      </c>
      <c r="R294" s="2" t="inlineStr"/>
    </row>
    <row r="295" ht="15" customHeight="1">
      <c r="A295" t="inlineStr">
        <is>
          <t>A 54671-2024</t>
        </is>
      </c>
      <c r="B295" s="1" t="n">
        <v>45618</v>
      </c>
      <c r="C295" s="1" t="n">
        <v>45741</v>
      </c>
      <c r="D295" t="inlineStr">
        <is>
          <t>VÄSTMANLANDS LÄN</t>
        </is>
      </c>
      <c r="E295" t="inlineStr">
        <is>
          <t>SURAHAMMAR</t>
        </is>
      </c>
      <c r="G295" t="n">
        <v>1.2</v>
      </c>
      <c r="H295" t="n">
        <v>0</v>
      </c>
      <c r="I295" t="n">
        <v>0</v>
      </c>
      <c r="J295" t="n">
        <v>0</v>
      </c>
      <c r="K295" t="n">
        <v>0</v>
      </c>
      <c r="L295" t="n">
        <v>0</v>
      </c>
      <c r="M295" t="n">
        <v>0</v>
      </c>
      <c r="N295" t="n">
        <v>0</v>
      </c>
      <c r="O295" t="n">
        <v>0</v>
      </c>
      <c r="P295" t="n">
        <v>0</v>
      </c>
      <c r="Q295" t="n">
        <v>0</v>
      </c>
      <c r="R295" s="2" t="inlineStr"/>
    </row>
    <row r="296" ht="15" customHeight="1">
      <c r="A296" t="inlineStr">
        <is>
          <t>A 60030-2024</t>
        </is>
      </c>
      <c r="B296" s="1" t="n">
        <v>45642</v>
      </c>
      <c r="C296" s="1" t="n">
        <v>45741</v>
      </c>
      <c r="D296" t="inlineStr">
        <is>
          <t>VÄSTMANLANDS LÄN</t>
        </is>
      </c>
      <c r="E296" t="inlineStr">
        <is>
          <t>SURAHAMMAR</t>
        </is>
      </c>
      <c r="G296" t="n">
        <v>3.1</v>
      </c>
      <c r="H296" t="n">
        <v>0</v>
      </c>
      <c r="I296" t="n">
        <v>0</v>
      </c>
      <c r="J296" t="n">
        <v>0</v>
      </c>
      <c r="K296" t="n">
        <v>0</v>
      </c>
      <c r="L296" t="n">
        <v>0</v>
      </c>
      <c r="M296" t="n">
        <v>0</v>
      </c>
      <c r="N296" t="n">
        <v>0</v>
      </c>
      <c r="O296" t="n">
        <v>0</v>
      </c>
      <c r="P296" t="n">
        <v>0</v>
      </c>
      <c r="Q296" t="n">
        <v>0</v>
      </c>
      <c r="R296" s="2" t="inlineStr"/>
    </row>
    <row r="297" ht="15" customHeight="1">
      <c r="A297" t="inlineStr">
        <is>
          <t>A 10396-2025</t>
        </is>
      </c>
      <c r="B297" s="1" t="n">
        <v>45720</v>
      </c>
      <c r="C297" s="1" t="n">
        <v>45741</v>
      </c>
      <c r="D297" t="inlineStr">
        <is>
          <t>VÄSTMANLANDS LÄN</t>
        </is>
      </c>
      <c r="E297" t="inlineStr">
        <is>
          <t>SURAHAMMAR</t>
        </is>
      </c>
      <c r="F297" t="inlineStr">
        <is>
          <t>Allmännings- och besparingsskogar</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13386-2025</t>
        </is>
      </c>
      <c r="B298" s="1" t="n">
        <v>45735</v>
      </c>
      <c r="C298" s="1" t="n">
        <v>45741</v>
      </c>
      <c r="D298" t="inlineStr">
        <is>
          <t>VÄSTMANLANDS LÄN</t>
        </is>
      </c>
      <c r="E298" t="inlineStr">
        <is>
          <t>SURAHAMMAR</t>
        </is>
      </c>
      <c r="F298" t="inlineStr">
        <is>
          <t>Bergvik skog väst AB</t>
        </is>
      </c>
      <c r="G298" t="n">
        <v>4</v>
      </c>
      <c r="H298" t="n">
        <v>0</v>
      </c>
      <c r="I298" t="n">
        <v>0</v>
      </c>
      <c r="J298" t="n">
        <v>0</v>
      </c>
      <c r="K298" t="n">
        <v>0</v>
      </c>
      <c r="L298" t="n">
        <v>0</v>
      </c>
      <c r="M298" t="n">
        <v>0</v>
      </c>
      <c r="N298" t="n">
        <v>0</v>
      </c>
      <c r="O298" t="n">
        <v>0</v>
      </c>
      <c r="P298" t="n">
        <v>0</v>
      </c>
      <c r="Q298" t="n">
        <v>0</v>
      </c>
      <c r="R298" s="2" t="inlineStr"/>
    </row>
    <row r="299">
      <c r="A299" t="inlineStr">
        <is>
          <t>A 13796-2025</t>
        </is>
      </c>
      <c r="B299" s="1" t="n">
        <v>45737</v>
      </c>
      <c r="C299" s="1" t="n">
        <v>45741</v>
      </c>
      <c r="D299" t="inlineStr">
        <is>
          <t>VÄSTMANLANDS LÄN</t>
        </is>
      </c>
      <c r="E299" t="inlineStr">
        <is>
          <t>SURAHAMMAR</t>
        </is>
      </c>
      <c r="G299" t="n">
        <v>3.3</v>
      </c>
      <c r="H299" t="n">
        <v>0</v>
      </c>
      <c r="I299" t="n">
        <v>0</v>
      </c>
      <c r="J299" t="n">
        <v>0</v>
      </c>
      <c r="K299" t="n">
        <v>0</v>
      </c>
      <c r="L299" t="n">
        <v>0</v>
      </c>
      <c r="M299" t="n">
        <v>0</v>
      </c>
      <c r="N299" t="n">
        <v>0</v>
      </c>
      <c r="O299" t="n">
        <v>0</v>
      </c>
      <c r="P299" t="n">
        <v>0</v>
      </c>
      <c r="Q299" t="n">
        <v>0</v>
      </c>
      <c r="R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2025-03-25T17:40:44Z</dcterms:created>
  <dcterms:modified xmlns:dcterms="http://purl.org/dc/terms/" xmlns:xsi="http://www.w3.org/2001/XMLSchema-instance" xsi:type="dcterms:W3CDTF">2025-03-25T17:40:44Z</dcterms:modified>
</cp:coreProperties>
</file>