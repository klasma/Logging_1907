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45742</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45742</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45742</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45742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45742</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45742</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45742</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45742</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45742</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45742</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45742</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2708-2020</t>
        </is>
      </c>
      <c r="B37" s="1" t="n">
        <v>43850</v>
      </c>
      <c r="C37" s="1" t="n">
        <v>45742</v>
      </c>
      <c r="D37" t="inlineStr">
        <is>
          <t>VÄSTMANLANDS LÄN</t>
        </is>
      </c>
      <c r="E37" t="inlineStr">
        <is>
          <t>SURAHAMMAR</t>
        </is>
      </c>
      <c r="F37" t="inlineStr">
        <is>
          <t>Övriga Aktiebolag</t>
        </is>
      </c>
      <c r="G37" t="n">
        <v>29.7</v>
      </c>
      <c r="H37" t="n">
        <v>1</v>
      </c>
      <c r="I37" t="n">
        <v>0</v>
      </c>
      <c r="J37" t="n">
        <v>3</v>
      </c>
      <c r="K37" t="n">
        <v>0</v>
      </c>
      <c r="L37" t="n">
        <v>0</v>
      </c>
      <c r="M37" t="n">
        <v>0</v>
      </c>
      <c r="N37" t="n">
        <v>0</v>
      </c>
      <c r="O37" t="n">
        <v>3</v>
      </c>
      <c r="P37" t="n">
        <v>0</v>
      </c>
      <c r="Q37" t="n">
        <v>3</v>
      </c>
      <c r="R37" s="2" t="inlineStr">
        <is>
          <t>Spillkråka
Tallticka
Ullticka</t>
        </is>
      </c>
      <c r="S37">
        <f>HYPERLINK("https://klasma.github.io/Logging_1907/artfynd/A 2708-2020 artfynd.xlsx", "A 2708-2020")</f>
        <v/>
      </c>
      <c r="T37">
        <f>HYPERLINK("https://klasma.github.io/Logging_1907/kartor/A 2708-2020 karta.png", "A 2708-2020")</f>
        <v/>
      </c>
      <c r="V37">
        <f>HYPERLINK("https://klasma.github.io/Logging_1907/klagomål/A 2708-2020 FSC-klagomål.docx", "A 2708-2020")</f>
        <v/>
      </c>
      <c r="W37">
        <f>HYPERLINK("https://klasma.github.io/Logging_1907/klagomålsmail/A 2708-2020 FSC-klagomål mail.docx", "A 2708-2020")</f>
        <v/>
      </c>
      <c r="X37">
        <f>HYPERLINK("https://klasma.github.io/Logging_1907/tillsyn/A 2708-2020 tillsynsbegäran.docx", "A 2708-2020")</f>
        <v/>
      </c>
      <c r="Y37">
        <f>HYPERLINK("https://klasma.github.io/Logging_1907/tillsynsmail/A 2708-2020 tillsynsbegäran mail.docx", "A 2708-2020")</f>
        <v/>
      </c>
      <c r="Z37">
        <f>HYPERLINK("https://klasma.github.io/Logging_1907/fåglar/A 2708-2020 prioriterade fågelarter.docx", "A 2708-2020")</f>
        <v/>
      </c>
    </row>
    <row r="38" ht="15" customHeight="1">
      <c r="A38" t="inlineStr">
        <is>
          <t>A 43169-2020</t>
        </is>
      </c>
      <c r="B38" s="1" t="n">
        <v>44081</v>
      </c>
      <c r="C38" s="1" t="n">
        <v>45742</v>
      </c>
      <c r="D38" t="inlineStr">
        <is>
          <t>VÄSTMANLANDS LÄN</t>
        </is>
      </c>
      <c r="E38" t="inlineStr">
        <is>
          <t>SURAHAMMAR</t>
        </is>
      </c>
      <c r="F38" t="inlineStr">
        <is>
          <t>Sveaskog</t>
        </is>
      </c>
      <c r="G38" t="n">
        <v>6.4</v>
      </c>
      <c r="H38" t="n">
        <v>1</v>
      </c>
      <c r="I38" t="n">
        <v>0</v>
      </c>
      <c r="J38" t="n">
        <v>2</v>
      </c>
      <c r="K38" t="n">
        <v>1</v>
      </c>
      <c r="L38" t="n">
        <v>0</v>
      </c>
      <c r="M38" t="n">
        <v>0</v>
      </c>
      <c r="N38" t="n">
        <v>0</v>
      </c>
      <c r="O38" t="n">
        <v>3</v>
      </c>
      <c r="P38" t="n">
        <v>1</v>
      </c>
      <c r="Q38" t="n">
        <v>3</v>
      </c>
      <c r="R38" s="2" t="inlineStr">
        <is>
          <t>Hängticka
Björktrast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c r="Z38">
        <f>HYPERLINK("https://klasma.github.io/Logging_1907/fåglar/A 43169-2020 prioriterade fågelarter.docx", "A 43169-2020")</f>
        <v/>
      </c>
    </row>
    <row r="39" ht="15" customHeight="1">
      <c r="A39" t="inlineStr">
        <is>
          <t>A 59550-2020</t>
        </is>
      </c>
      <c r="B39" s="1" t="n">
        <v>44148</v>
      </c>
      <c r="C39" s="1" t="n">
        <v>45742</v>
      </c>
      <c r="D39" t="inlineStr">
        <is>
          <t>VÄSTMANLANDS LÄN</t>
        </is>
      </c>
      <c r="E39" t="inlineStr">
        <is>
          <t>SURAHAMMAR</t>
        </is>
      </c>
      <c r="G39" t="n">
        <v>0.8</v>
      </c>
      <c r="H39" t="n">
        <v>1</v>
      </c>
      <c r="I39" t="n">
        <v>1</v>
      </c>
      <c r="J39" t="n">
        <v>1</v>
      </c>
      <c r="K39" t="n">
        <v>0</v>
      </c>
      <c r="L39" t="n">
        <v>0</v>
      </c>
      <c r="M39" t="n">
        <v>0</v>
      </c>
      <c r="N39" t="n">
        <v>0</v>
      </c>
      <c r="O39" t="n">
        <v>1</v>
      </c>
      <c r="P39" t="n">
        <v>0</v>
      </c>
      <c r="Q39" t="n">
        <v>3</v>
      </c>
      <c r="R39" s="2" t="inlineStr">
        <is>
          <t>Ljusskivig lerskivling
Hasselticka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38200-2021</t>
        </is>
      </c>
      <c r="B40" s="1" t="n">
        <v>44405</v>
      </c>
      <c r="C40" s="1" t="n">
        <v>45742</v>
      </c>
      <c r="D40" t="inlineStr">
        <is>
          <t>VÄSTMANLANDS LÄN</t>
        </is>
      </c>
      <c r="E40" t="inlineStr">
        <is>
          <t>SURAHAMMAR</t>
        </is>
      </c>
      <c r="F40" t="inlineStr">
        <is>
          <t>Sveaskog</t>
        </is>
      </c>
      <c r="G40" t="n">
        <v>1.5</v>
      </c>
      <c r="H40" t="n">
        <v>1</v>
      </c>
      <c r="I40" t="n">
        <v>0</v>
      </c>
      <c r="J40" t="n">
        <v>1</v>
      </c>
      <c r="K40" t="n">
        <v>1</v>
      </c>
      <c r="L40" t="n">
        <v>0</v>
      </c>
      <c r="M40" t="n">
        <v>0</v>
      </c>
      <c r="N40" t="n">
        <v>0</v>
      </c>
      <c r="O40" t="n">
        <v>2</v>
      </c>
      <c r="P40" t="n">
        <v>1</v>
      </c>
      <c r="Q40" t="n">
        <v>3</v>
      </c>
      <c r="R40" s="2" t="inlineStr">
        <is>
          <t>Vågticka
Svinrot
Kopparödla</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8552-2022</t>
        </is>
      </c>
      <c r="B41" s="1" t="n">
        <v>44613</v>
      </c>
      <c r="C41" s="1" t="n">
        <v>45742</v>
      </c>
      <c r="D41" t="inlineStr">
        <is>
          <t>VÄSTMANLANDS LÄN</t>
        </is>
      </c>
      <c r="E41" t="inlineStr">
        <is>
          <t>SURAHAMMAR</t>
        </is>
      </c>
      <c r="F41" t="inlineStr">
        <is>
          <t>Bergvik skog väst AB</t>
        </is>
      </c>
      <c r="G41" t="n">
        <v>3.2</v>
      </c>
      <c r="H41" t="n">
        <v>2</v>
      </c>
      <c r="I41" t="n">
        <v>1</v>
      </c>
      <c r="J41" t="n">
        <v>2</v>
      </c>
      <c r="K41" t="n">
        <v>0</v>
      </c>
      <c r="L41" t="n">
        <v>0</v>
      </c>
      <c r="M41" t="n">
        <v>0</v>
      </c>
      <c r="N41" t="n">
        <v>0</v>
      </c>
      <c r="O41" t="n">
        <v>2</v>
      </c>
      <c r="P41" t="n">
        <v>0</v>
      </c>
      <c r="Q41" t="n">
        <v>3</v>
      </c>
      <c r="R41" s="2" t="inlineStr">
        <is>
          <t>Spillkråka
Talltita
Mindre märgborre</t>
        </is>
      </c>
      <c r="S41">
        <f>HYPERLINK("https://klasma.github.io/Logging_1907/artfynd/A 8552-2022 artfynd.xlsx", "A 8552-2022")</f>
        <v/>
      </c>
      <c r="T41">
        <f>HYPERLINK("https://klasma.github.io/Logging_1907/kartor/A 8552-2022 karta.png", "A 8552-2022")</f>
        <v/>
      </c>
      <c r="V41">
        <f>HYPERLINK("https://klasma.github.io/Logging_1907/klagomål/A 8552-2022 FSC-klagomål.docx", "A 8552-2022")</f>
        <v/>
      </c>
      <c r="W41">
        <f>HYPERLINK("https://klasma.github.io/Logging_1907/klagomålsmail/A 8552-2022 FSC-klagomål mail.docx", "A 8552-2022")</f>
        <v/>
      </c>
      <c r="X41">
        <f>HYPERLINK("https://klasma.github.io/Logging_1907/tillsyn/A 8552-2022 tillsynsbegäran.docx", "A 8552-2022")</f>
        <v/>
      </c>
      <c r="Y41">
        <f>HYPERLINK("https://klasma.github.io/Logging_1907/tillsynsmail/A 8552-2022 tillsynsbegäran mail.docx", "A 8552-2022")</f>
        <v/>
      </c>
      <c r="Z41">
        <f>HYPERLINK("https://klasma.github.io/Logging_1907/fåglar/A 8552-2022 prioriterade fågelarter.docx", "A 8552-2022")</f>
        <v/>
      </c>
    </row>
    <row r="42" ht="15" customHeight="1">
      <c r="A42" t="inlineStr">
        <is>
          <t>A 42708-2022</t>
        </is>
      </c>
      <c r="B42" s="1" t="n">
        <v>44832</v>
      </c>
      <c r="C42" s="1" t="n">
        <v>45742</v>
      </c>
      <c r="D42" t="inlineStr">
        <is>
          <t>VÄSTMANLANDS LÄN</t>
        </is>
      </c>
      <c r="E42" t="inlineStr">
        <is>
          <t>SURAHAMMAR</t>
        </is>
      </c>
      <c r="G42" t="n">
        <v>27.2</v>
      </c>
      <c r="H42" t="n">
        <v>3</v>
      </c>
      <c r="I42" t="n">
        <v>0</v>
      </c>
      <c r="J42" t="n">
        <v>2</v>
      </c>
      <c r="K42" t="n">
        <v>0</v>
      </c>
      <c r="L42" t="n">
        <v>0</v>
      </c>
      <c r="M42" t="n">
        <v>0</v>
      </c>
      <c r="N42" t="n">
        <v>0</v>
      </c>
      <c r="O42" t="n">
        <v>2</v>
      </c>
      <c r="P42" t="n">
        <v>0</v>
      </c>
      <c r="Q42" t="n">
        <v>3</v>
      </c>
      <c r="R42" s="2" t="inlineStr">
        <is>
          <t>Entita
Spillkråka
Blåsippa</t>
        </is>
      </c>
      <c r="S42">
        <f>HYPERLINK("https://klasma.github.io/Logging_1907/artfynd/A 42708-2022 artfynd.xlsx", "A 42708-2022")</f>
        <v/>
      </c>
      <c r="T42">
        <f>HYPERLINK("https://klasma.github.io/Logging_1907/kartor/A 42708-2022 karta.png", "A 42708-2022")</f>
        <v/>
      </c>
      <c r="V42">
        <f>HYPERLINK("https://klasma.github.io/Logging_1907/klagomål/A 42708-2022 FSC-klagomål.docx", "A 42708-2022")</f>
        <v/>
      </c>
      <c r="W42">
        <f>HYPERLINK("https://klasma.github.io/Logging_1907/klagomålsmail/A 42708-2022 FSC-klagomål mail.docx", "A 42708-2022")</f>
        <v/>
      </c>
      <c r="X42">
        <f>HYPERLINK("https://klasma.github.io/Logging_1907/tillsyn/A 42708-2022 tillsynsbegäran.docx", "A 42708-2022")</f>
        <v/>
      </c>
      <c r="Y42">
        <f>HYPERLINK("https://klasma.github.io/Logging_1907/tillsynsmail/A 42708-2022 tillsynsbegäran mail.docx", "A 42708-2022")</f>
        <v/>
      </c>
      <c r="Z42">
        <f>HYPERLINK("https://klasma.github.io/Logging_1907/fåglar/A 42708-2022 prioriterade fågelarter.docx", "A 42708-2022")</f>
        <v/>
      </c>
    </row>
    <row r="43" ht="15" customHeight="1">
      <c r="A43" t="inlineStr">
        <is>
          <t>A 42853-2022</t>
        </is>
      </c>
      <c r="B43" s="1" t="n">
        <v>44832</v>
      </c>
      <c r="C43" s="1" t="n">
        <v>45742</v>
      </c>
      <c r="D43" t="inlineStr">
        <is>
          <t>VÄSTMANLANDS LÄN</t>
        </is>
      </c>
      <c r="E43" t="inlineStr">
        <is>
          <t>SURAHAMMAR</t>
        </is>
      </c>
      <c r="G43" t="n">
        <v>7.4</v>
      </c>
      <c r="H43" t="n">
        <v>1</v>
      </c>
      <c r="I43" t="n">
        <v>1</v>
      </c>
      <c r="J43" t="n">
        <v>1</v>
      </c>
      <c r="K43" t="n">
        <v>0</v>
      </c>
      <c r="L43" t="n">
        <v>1</v>
      </c>
      <c r="M43" t="n">
        <v>0</v>
      </c>
      <c r="N43" t="n">
        <v>0</v>
      </c>
      <c r="O43" t="n">
        <v>2</v>
      </c>
      <c r="P43" t="n">
        <v>1</v>
      </c>
      <c r="Q43" t="n">
        <v>3</v>
      </c>
      <c r="R43" s="2" t="inlineStr">
        <is>
          <t>Ask
Kandelabersvamp
Tvåblad</t>
        </is>
      </c>
      <c r="S43">
        <f>HYPERLINK("https://klasma.github.io/Logging_1907/artfynd/A 42853-2022 artfynd.xlsx", "A 42853-2022")</f>
        <v/>
      </c>
      <c r="T43">
        <f>HYPERLINK("https://klasma.github.io/Logging_1907/kartor/A 42853-2022 karta.png", "A 42853-2022")</f>
        <v/>
      </c>
      <c r="V43">
        <f>HYPERLINK("https://klasma.github.io/Logging_1907/klagomål/A 42853-2022 FSC-klagomål.docx", "A 42853-2022")</f>
        <v/>
      </c>
      <c r="W43">
        <f>HYPERLINK("https://klasma.github.io/Logging_1907/klagomålsmail/A 42853-2022 FSC-klagomål mail.docx", "A 42853-2022")</f>
        <v/>
      </c>
      <c r="X43">
        <f>HYPERLINK("https://klasma.github.io/Logging_1907/tillsyn/A 42853-2022 tillsynsbegäran.docx", "A 42853-2022")</f>
        <v/>
      </c>
      <c r="Y43">
        <f>HYPERLINK("https://klasma.github.io/Logging_1907/tillsynsmail/A 42853-2022 tillsynsbegäran mail.docx", "A 42853-2022")</f>
        <v/>
      </c>
    </row>
    <row r="44" ht="15" customHeight="1">
      <c r="A44" t="inlineStr">
        <is>
          <t>A 42860-2022</t>
        </is>
      </c>
      <c r="B44" s="1" t="n">
        <v>44832</v>
      </c>
      <c r="C44" s="1" t="n">
        <v>45742</v>
      </c>
      <c r="D44" t="inlineStr">
        <is>
          <t>VÄSTMANLANDS LÄN</t>
        </is>
      </c>
      <c r="E44" t="inlineStr">
        <is>
          <t>SURAHAMMAR</t>
        </is>
      </c>
      <c r="G44" t="n">
        <v>0.9</v>
      </c>
      <c r="H44" t="n">
        <v>0</v>
      </c>
      <c r="I44" t="n">
        <v>1</v>
      </c>
      <c r="J44" t="n">
        <v>0</v>
      </c>
      <c r="K44" t="n">
        <v>0</v>
      </c>
      <c r="L44" t="n">
        <v>1</v>
      </c>
      <c r="M44" t="n">
        <v>1</v>
      </c>
      <c r="N44" t="n">
        <v>0</v>
      </c>
      <c r="O44" t="n">
        <v>2</v>
      </c>
      <c r="P44" t="n">
        <v>2</v>
      </c>
      <c r="Q44" t="n">
        <v>3</v>
      </c>
      <c r="R44" s="2" t="inlineStr">
        <is>
          <t>Skogsalm
Ask
Scharlakansvårskål agg.</t>
        </is>
      </c>
      <c r="S44">
        <f>HYPERLINK("https://klasma.github.io/Logging_1907/artfynd/A 42860-2022 artfynd.xlsx", "A 42860-2022")</f>
        <v/>
      </c>
      <c r="T44">
        <f>HYPERLINK("https://klasma.github.io/Logging_1907/kartor/A 42860-2022 karta.png", "A 42860-2022")</f>
        <v/>
      </c>
      <c r="V44">
        <f>HYPERLINK("https://klasma.github.io/Logging_1907/klagomål/A 42860-2022 FSC-klagomål.docx", "A 42860-2022")</f>
        <v/>
      </c>
      <c r="W44">
        <f>HYPERLINK("https://klasma.github.io/Logging_1907/klagomålsmail/A 42860-2022 FSC-klagomål mail.docx", "A 42860-2022")</f>
        <v/>
      </c>
      <c r="X44">
        <f>HYPERLINK("https://klasma.github.io/Logging_1907/tillsyn/A 42860-2022 tillsynsbegäran.docx", "A 42860-2022")</f>
        <v/>
      </c>
      <c r="Y44">
        <f>HYPERLINK("https://klasma.github.io/Logging_1907/tillsynsmail/A 42860-2022 tillsynsbegäran mail.docx", "A 42860-2022")</f>
        <v/>
      </c>
    </row>
    <row r="45" ht="15" customHeight="1">
      <c r="A45" t="inlineStr">
        <is>
          <t>A 3012-2023</t>
        </is>
      </c>
      <c r="B45" s="1" t="n">
        <v>44945</v>
      </c>
      <c r="C45" s="1" t="n">
        <v>45742</v>
      </c>
      <c r="D45" t="inlineStr">
        <is>
          <t>VÄSTMANLANDS LÄN</t>
        </is>
      </c>
      <c r="E45" t="inlineStr">
        <is>
          <t>SURAHAMMAR</t>
        </is>
      </c>
      <c r="F45" t="inlineStr">
        <is>
          <t>Sveaskog</t>
        </is>
      </c>
      <c r="G45" t="n">
        <v>5.7</v>
      </c>
      <c r="H45" t="n">
        <v>0</v>
      </c>
      <c r="I45" t="n">
        <v>1</v>
      </c>
      <c r="J45" t="n">
        <v>0</v>
      </c>
      <c r="K45" t="n">
        <v>0</v>
      </c>
      <c r="L45" t="n">
        <v>1</v>
      </c>
      <c r="M45" t="n">
        <v>1</v>
      </c>
      <c r="N45" t="n">
        <v>0</v>
      </c>
      <c r="O45" t="n">
        <v>2</v>
      </c>
      <c r="P45" t="n">
        <v>2</v>
      </c>
      <c r="Q45" t="n">
        <v>3</v>
      </c>
      <c r="R45" s="2" t="inlineStr">
        <is>
          <t>Skogsalm
Ask
Svart trolldruva</t>
        </is>
      </c>
      <c r="S45">
        <f>HYPERLINK("https://klasma.github.io/Logging_1907/artfynd/A 3012-2023 artfynd.xlsx", "A 3012-2023")</f>
        <v/>
      </c>
      <c r="T45">
        <f>HYPERLINK("https://klasma.github.io/Logging_1907/kartor/A 3012-2023 karta.png", "A 3012-2023")</f>
        <v/>
      </c>
      <c r="V45">
        <f>HYPERLINK("https://klasma.github.io/Logging_1907/klagomål/A 3012-2023 FSC-klagomål.docx", "A 3012-2023")</f>
        <v/>
      </c>
      <c r="W45">
        <f>HYPERLINK("https://klasma.github.io/Logging_1907/klagomålsmail/A 3012-2023 FSC-klagomål mail.docx", "A 3012-2023")</f>
        <v/>
      </c>
      <c r="X45">
        <f>HYPERLINK("https://klasma.github.io/Logging_1907/tillsyn/A 3012-2023 tillsynsbegäran.docx", "A 3012-2023")</f>
        <v/>
      </c>
      <c r="Y45">
        <f>HYPERLINK("https://klasma.github.io/Logging_1907/tillsynsmail/A 3012-2023 tillsynsbegäran mail.docx", "A 3012-2023")</f>
        <v/>
      </c>
    </row>
    <row r="46" ht="15" customHeight="1">
      <c r="A46" t="inlineStr">
        <is>
          <t>A 14587-2023</t>
        </is>
      </c>
      <c r="B46" s="1" t="n">
        <v>45013</v>
      </c>
      <c r="C46" s="1" t="n">
        <v>45742</v>
      </c>
      <c r="D46" t="inlineStr">
        <is>
          <t>VÄSTMANLANDS LÄN</t>
        </is>
      </c>
      <c r="E46" t="inlineStr">
        <is>
          <t>SURAHAMMAR</t>
        </is>
      </c>
      <c r="G46" t="n">
        <v>14.8</v>
      </c>
      <c r="H46" t="n">
        <v>1</v>
      </c>
      <c r="I46" t="n">
        <v>1</v>
      </c>
      <c r="J46" t="n">
        <v>1</v>
      </c>
      <c r="K46" t="n">
        <v>0</v>
      </c>
      <c r="L46" t="n">
        <v>0</v>
      </c>
      <c r="M46" t="n">
        <v>0</v>
      </c>
      <c r="N46" t="n">
        <v>0</v>
      </c>
      <c r="O46" t="n">
        <v>1</v>
      </c>
      <c r="P46" t="n">
        <v>0</v>
      </c>
      <c r="Q46" t="n">
        <v>3</v>
      </c>
      <c r="R46" s="2" t="inlineStr">
        <is>
          <t>Skogshare
Vedticka
Mattlummer</t>
        </is>
      </c>
      <c r="S46">
        <f>HYPERLINK("https://klasma.github.io/Logging_1907/artfynd/A 14587-2023 artfynd.xlsx", "A 14587-2023")</f>
        <v/>
      </c>
      <c r="T46">
        <f>HYPERLINK("https://klasma.github.io/Logging_1907/kartor/A 14587-2023 karta.png", "A 14587-2023")</f>
        <v/>
      </c>
      <c r="V46">
        <f>HYPERLINK("https://klasma.github.io/Logging_1907/klagomål/A 14587-2023 FSC-klagomål.docx", "A 14587-2023")</f>
        <v/>
      </c>
      <c r="W46">
        <f>HYPERLINK("https://klasma.github.io/Logging_1907/klagomålsmail/A 14587-2023 FSC-klagomål mail.docx", "A 14587-2023")</f>
        <v/>
      </c>
      <c r="X46">
        <f>HYPERLINK("https://klasma.github.io/Logging_1907/tillsyn/A 14587-2023 tillsynsbegäran.docx", "A 14587-2023")</f>
        <v/>
      </c>
      <c r="Y46">
        <f>HYPERLINK("https://klasma.github.io/Logging_1907/tillsynsmail/A 14587-2023 tillsynsbegäran mail.docx", "A 14587-2023")</f>
        <v/>
      </c>
    </row>
    <row r="47" ht="15" customHeight="1">
      <c r="A47" t="inlineStr">
        <is>
          <t>A 23734-2023</t>
        </is>
      </c>
      <c r="B47" s="1" t="n">
        <v>45077</v>
      </c>
      <c r="C47" s="1" t="n">
        <v>45742</v>
      </c>
      <c r="D47" t="inlineStr">
        <is>
          <t>VÄSTMANLANDS LÄN</t>
        </is>
      </c>
      <c r="E47" t="inlineStr">
        <is>
          <t>SURAHAMMAR</t>
        </is>
      </c>
      <c r="F47" t="inlineStr">
        <is>
          <t>Sveaskog</t>
        </is>
      </c>
      <c r="G47" t="n">
        <v>6.7</v>
      </c>
      <c r="H47" t="n">
        <v>1</v>
      </c>
      <c r="I47" t="n">
        <v>0</v>
      </c>
      <c r="J47" t="n">
        <v>2</v>
      </c>
      <c r="K47" t="n">
        <v>1</v>
      </c>
      <c r="L47" t="n">
        <v>0</v>
      </c>
      <c r="M47" t="n">
        <v>0</v>
      </c>
      <c r="N47" t="n">
        <v>0</v>
      </c>
      <c r="O47" t="n">
        <v>3</v>
      </c>
      <c r="P47" t="n">
        <v>1</v>
      </c>
      <c r="Q47" t="n">
        <v>3</v>
      </c>
      <c r="R47" s="2" t="inlineStr">
        <is>
          <t>Hängticka
Björktrast
Kandelabersvamp</t>
        </is>
      </c>
      <c r="S47">
        <f>HYPERLINK("https://klasma.github.io/Logging_1907/artfynd/A 23734-2023 artfynd.xlsx", "A 23734-2023")</f>
        <v/>
      </c>
      <c r="T47">
        <f>HYPERLINK("https://klasma.github.io/Logging_1907/kartor/A 23734-2023 karta.png", "A 23734-2023")</f>
        <v/>
      </c>
      <c r="V47">
        <f>HYPERLINK("https://klasma.github.io/Logging_1907/klagomål/A 23734-2023 FSC-klagomål.docx", "A 23734-2023")</f>
        <v/>
      </c>
      <c r="W47">
        <f>HYPERLINK("https://klasma.github.io/Logging_1907/klagomålsmail/A 23734-2023 FSC-klagomål mail.docx", "A 23734-2023")</f>
        <v/>
      </c>
      <c r="X47">
        <f>HYPERLINK("https://klasma.github.io/Logging_1907/tillsyn/A 23734-2023 tillsynsbegäran.docx", "A 23734-2023")</f>
        <v/>
      </c>
      <c r="Y47">
        <f>HYPERLINK("https://klasma.github.io/Logging_1907/tillsynsmail/A 23734-2023 tillsynsbegäran mail.docx", "A 23734-2023")</f>
        <v/>
      </c>
      <c r="Z47">
        <f>HYPERLINK("https://klasma.github.io/Logging_1907/fåglar/A 23734-2023 prioriterade fågelarter.docx", "A 23734-2023")</f>
        <v/>
      </c>
    </row>
    <row r="48" ht="15" customHeight="1">
      <c r="A48" t="inlineStr">
        <is>
          <t>A 24222-2023</t>
        </is>
      </c>
      <c r="B48" s="1" t="n">
        <v>45079</v>
      </c>
      <c r="C48" s="1" t="n">
        <v>45742</v>
      </c>
      <c r="D48" t="inlineStr">
        <is>
          <t>VÄSTMANLANDS LÄN</t>
        </is>
      </c>
      <c r="E48" t="inlineStr">
        <is>
          <t>SURAHAMMAR</t>
        </is>
      </c>
      <c r="F48" t="inlineStr">
        <is>
          <t>Sveaskog</t>
        </is>
      </c>
      <c r="G48" t="n">
        <v>9.699999999999999</v>
      </c>
      <c r="H48" t="n">
        <v>1</v>
      </c>
      <c r="I48" t="n">
        <v>1</v>
      </c>
      <c r="J48" t="n">
        <v>1</v>
      </c>
      <c r="K48" t="n">
        <v>0</v>
      </c>
      <c r="L48" t="n">
        <v>0</v>
      </c>
      <c r="M48" t="n">
        <v>0</v>
      </c>
      <c r="N48" t="n">
        <v>0</v>
      </c>
      <c r="O48" t="n">
        <v>1</v>
      </c>
      <c r="P48" t="n">
        <v>0</v>
      </c>
      <c r="Q48" t="n">
        <v>3</v>
      </c>
      <c r="R48" s="2" t="inlineStr">
        <is>
          <t>Svinrot
Blodticka
Revlummer</t>
        </is>
      </c>
      <c r="S48">
        <f>HYPERLINK("https://klasma.github.io/Logging_1907/artfynd/A 24222-2023 artfynd.xlsx", "A 24222-2023")</f>
        <v/>
      </c>
      <c r="T48">
        <f>HYPERLINK("https://klasma.github.io/Logging_1907/kartor/A 24222-2023 karta.png", "A 24222-2023")</f>
        <v/>
      </c>
      <c r="V48">
        <f>HYPERLINK("https://klasma.github.io/Logging_1907/klagomål/A 24222-2023 FSC-klagomål.docx", "A 24222-2023")</f>
        <v/>
      </c>
      <c r="W48">
        <f>HYPERLINK("https://klasma.github.io/Logging_1907/klagomålsmail/A 24222-2023 FSC-klagomål mail.docx", "A 24222-2023")</f>
        <v/>
      </c>
      <c r="X48">
        <f>HYPERLINK("https://klasma.github.io/Logging_1907/tillsyn/A 24222-2023 tillsynsbegäran.docx", "A 24222-2023")</f>
        <v/>
      </c>
      <c r="Y48">
        <f>HYPERLINK("https://klasma.github.io/Logging_1907/tillsynsmail/A 24222-2023 tillsynsbegäran mail.docx", "A 24222-2023")</f>
        <v/>
      </c>
    </row>
    <row r="49" ht="15" customHeight="1">
      <c r="A49" t="inlineStr">
        <is>
          <t>A 48128-2023</t>
        </is>
      </c>
      <c r="B49" s="1" t="n">
        <v>45205</v>
      </c>
      <c r="C49" s="1" t="n">
        <v>45742</v>
      </c>
      <c r="D49" t="inlineStr">
        <is>
          <t>VÄSTMANLANDS LÄN</t>
        </is>
      </c>
      <c r="E49" t="inlineStr">
        <is>
          <t>SURAHAMMAR</t>
        </is>
      </c>
      <c r="F49" t="inlineStr">
        <is>
          <t>Allmännings- och besparingsskogar</t>
        </is>
      </c>
      <c r="G49" t="n">
        <v>11.8</v>
      </c>
      <c r="H49" t="n">
        <v>0</v>
      </c>
      <c r="I49" t="n">
        <v>2</v>
      </c>
      <c r="J49" t="n">
        <v>1</v>
      </c>
      <c r="K49" t="n">
        <v>0</v>
      </c>
      <c r="L49" t="n">
        <v>0</v>
      </c>
      <c r="M49" t="n">
        <v>0</v>
      </c>
      <c r="N49" t="n">
        <v>0</v>
      </c>
      <c r="O49" t="n">
        <v>1</v>
      </c>
      <c r="P49" t="n">
        <v>0</v>
      </c>
      <c r="Q49" t="n">
        <v>3</v>
      </c>
      <c r="R49" s="2" t="inlineStr">
        <is>
          <t>Svinrot
Blodticka
Vedticka</t>
        </is>
      </c>
      <c r="S49">
        <f>HYPERLINK("https://klasma.github.io/Logging_1907/artfynd/A 48128-2023 artfynd.xlsx", "A 48128-2023")</f>
        <v/>
      </c>
      <c r="T49">
        <f>HYPERLINK("https://klasma.github.io/Logging_1907/kartor/A 48128-2023 karta.png", "A 48128-2023")</f>
        <v/>
      </c>
      <c r="V49">
        <f>HYPERLINK("https://klasma.github.io/Logging_1907/klagomål/A 48128-2023 FSC-klagomål.docx", "A 48128-2023")</f>
        <v/>
      </c>
      <c r="W49">
        <f>HYPERLINK("https://klasma.github.io/Logging_1907/klagomålsmail/A 48128-2023 FSC-klagomål mail.docx", "A 48128-2023")</f>
        <v/>
      </c>
      <c r="X49">
        <f>HYPERLINK("https://klasma.github.io/Logging_1907/tillsyn/A 48128-2023 tillsynsbegäran.docx", "A 48128-2023")</f>
        <v/>
      </c>
      <c r="Y49">
        <f>HYPERLINK("https://klasma.github.io/Logging_1907/tillsynsmail/A 48128-2023 tillsynsbegäran mail.docx", "A 48128-2023")</f>
        <v/>
      </c>
    </row>
    <row r="50" ht="15" customHeight="1">
      <c r="A50" t="inlineStr">
        <is>
          <t>A 49718-2023</t>
        </is>
      </c>
      <c r="B50" s="1" t="n">
        <v>45212</v>
      </c>
      <c r="C50" s="1" t="n">
        <v>45742</v>
      </c>
      <c r="D50" t="inlineStr">
        <is>
          <t>VÄSTMANLANDS LÄN</t>
        </is>
      </c>
      <c r="E50" t="inlineStr">
        <is>
          <t>SURAHAMMAR</t>
        </is>
      </c>
      <c r="G50" t="n">
        <v>3.4</v>
      </c>
      <c r="H50" t="n">
        <v>1</v>
      </c>
      <c r="I50" t="n">
        <v>1</v>
      </c>
      <c r="J50" t="n">
        <v>2</v>
      </c>
      <c r="K50" t="n">
        <v>0</v>
      </c>
      <c r="L50" t="n">
        <v>0</v>
      </c>
      <c r="M50" t="n">
        <v>0</v>
      </c>
      <c r="N50" t="n">
        <v>0</v>
      </c>
      <c r="O50" t="n">
        <v>2</v>
      </c>
      <c r="P50" t="n">
        <v>0</v>
      </c>
      <c r="Q50" t="n">
        <v>3</v>
      </c>
      <c r="R50" s="2" t="inlineStr">
        <is>
          <t>Motaggsvamp
Talltita
Zontaggsvamp</t>
        </is>
      </c>
      <c r="S50">
        <f>HYPERLINK("https://klasma.github.io/Logging_1907/artfynd/A 49718-2023 artfynd.xlsx", "A 49718-2023")</f>
        <v/>
      </c>
      <c r="T50">
        <f>HYPERLINK("https://klasma.github.io/Logging_1907/kartor/A 49718-2023 karta.png", "A 49718-2023")</f>
        <v/>
      </c>
      <c r="V50">
        <f>HYPERLINK("https://klasma.github.io/Logging_1907/klagomål/A 49718-2023 FSC-klagomål.docx", "A 49718-2023")</f>
        <v/>
      </c>
      <c r="W50">
        <f>HYPERLINK("https://klasma.github.io/Logging_1907/klagomålsmail/A 49718-2023 FSC-klagomål mail.docx", "A 49718-2023")</f>
        <v/>
      </c>
      <c r="X50">
        <f>HYPERLINK("https://klasma.github.io/Logging_1907/tillsyn/A 49718-2023 tillsynsbegäran.docx", "A 49718-2023")</f>
        <v/>
      </c>
      <c r="Y50">
        <f>HYPERLINK("https://klasma.github.io/Logging_1907/tillsynsmail/A 49718-2023 tillsynsbegäran mail.docx", "A 49718-2023")</f>
        <v/>
      </c>
      <c r="Z50">
        <f>HYPERLINK("https://klasma.github.io/Logging_1907/fåglar/A 49718-2023 prioriterade fågelarter.docx", "A 49718-2023")</f>
        <v/>
      </c>
    </row>
    <row r="51" ht="15" customHeight="1">
      <c r="A51" t="inlineStr">
        <is>
          <t>A 20391-2024</t>
        </is>
      </c>
      <c r="B51" s="1" t="n">
        <v>45435</v>
      </c>
      <c r="C51" s="1" t="n">
        <v>45742</v>
      </c>
      <c r="D51" t="inlineStr">
        <is>
          <t>VÄSTMANLANDS LÄN</t>
        </is>
      </c>
      <c r="E51" t="inlineStr">
        <is>
          <t>SURAHAMMAR</t>
        </is>
      </c>
      <c r="G51" t="n">
        <v>1.5</v>
      </c>
      <c r="H51" t="n">
        <v>0</v>
      </c>
      <c r="I51" t="n">
        <v>2</v>
      </c>
      <c r="J51" t="n">
        <v>1</v>
      </c>
      <c r="K51" t="n">
        <v>0</v>
      </c>
      <c r="L51" t="n">
        <v>0</v>
      </c>
      <c r="M51" t="n">
        <v>0</v>
      </c>
      <c r="N51" t="n">
        <v>0</v>
      </c>
      <c r="O51" t="n">
        <v>1</v>
      </c>
      <c r="P51" t="n">
        <v>0</v>
      </c>
      <c r="Q51" t="n">
        <v>3</v>
      </c>
      <c r="R51" s="2" t="inlineStr">
        <is>
          <t>Vedtrappmossa
Kattfotslav
Stubbspretmossa</t>
        </is>
      </c>
      <c r="S51">
        <f>HYPERLINK("https://klasma.github.io/Logging_1907/artfynd/A 20391-2024 artfynd.xlsx", "A 20391-2024")</f>
        <v/>
      </c>
      <c r="T51">
        <f>HYPERLINK("https://klasma.github.io/Logging_1907/kartor/A 20391-2024 karta.png", "A 20391-2024")</f>
        <v/>
      </c>
      <c r="V51">
        <f>HYPERLINK("https://klasma.github.io/Logging_1907/klagomål/A 20391-2024 FSC-klagomål.docx", "A 20391-2024")</f>
        <v/>
      </c>
      <c r="W51">
        <f>HYPERLINK("https://klasma.github.io/Logging_1907/klagomålsmail/A 20391-2024 FSC-klagomål mail.docx", "A 20391-2024")</f>
        <v/>
      </c>
      <c r="X51">
        <f>HYPERLINK("https://klasma.github.io/Logging_1907/tillsyn/A 20391-2024 tillsynsbegäran.docx", "A 20391-2024")</f>
        <v/>
      </c>
      <c r="Y51">
        <f>HYPERLINK("https://klasma.github.io/Logging_1907/tillsynsmail/A 20391-2024 tillsynsbegäran mail.docx", "A 20391-2024")</f>
        <v/>
      </c>
    </row>
    <row r="52" ht="15" customHeight="1">
      <c r="A52" t="inlineStr">
        <is>
          <t>A 24561-2024</t>
        </is>
      </c>
      <c r="B52" s="1" t="n">
        <v>45460</v>
      </c>
      <c r="C52" s="1" t="n">
        <v>45742</v>
      </c>
      <c r="D52" t="inlineStr">
        <is>
          <t>VÄSTMANLANDS LÄN</t>
        </is>
      </c>
      <c r="E52" t="inlineStr">
        <is>
          <t>SURAHAMMAR</t>
        </is>
      </c>
      <c r="G52" t="n">
        <v>2.6</v>
      </c>
      <c r="H52" t="n">
        <v>2</v>
      </c>
      <c r="I52" t="n">
        <v>1</v>
      </c>
      <c r="J52" t="n">
        <v>0</v>
      </c>
      <c r="K52" t="n">
        <v>1</v>
      </c>
      <c r="L52" t="n">
        <v>0</v>
      </c>
      <c r="M52" t="n">
        <v>0</v>
      </c>
      <c r="N52" t="n">
        <v>0</v>
      </c>
      <c r="O52" t="n">
        <v>1</v>
      </c>
      <c r="P52" t="n">
        <v>1</v>
      </c>
      <c r="Q52" t="n">
        <v>3</v>
      </c>
      <c r="R52" s="2" t="inlineStr">
        <is>
          <t>Knärot
Grönpyrola
Revlummer</t>
        </is>
      </c>
      <c r="S52">
        <f>HYPERLINK("https://klasma.github.io/Logging_1907/artfynd/A 24561-2024 artfynd.xlsx", "A 24561-2024")</f>
        <v/>
      </c>
      <c r="T52">
        <f>HYPERLINK("https://klasma.github.io/Logging_1907/kartor/A 24561-2024 karta.png", "A 24561-2024")</f>
        <v/>
      </c>
      <c r="U52">
        <f>HYPERLINK("https://klasma.github.io/Logging_1907/knärot/A 24561-2024 karta knärot.png", "A 24561-2024")</f>
        <v/>
      </c>
      <c r="V52">
        <f>HYPERLINK("https://klasma.github.io/Logging_1907/klagomål/A 24561-2024 FSC-klagomål.docx", "A 24561-2024")</f>
        <v/>
      </c>
      <c r="W52">
        <f>HYPERLINK("https://klasma.github.io/Logging_1907/klagomålsmail/A 24561-2024 FSC-klagomål mail.docx", "A 24561-2024")</f>
        <v/>
      </c>
      <c r="X52">
        <f>HYPERLINK("https://klasma.github.io/Logging_1907/tillsyn/A 24561-2024 tillsynsbegäran.docx", "A 24561-2024")</f>
        <v/>
      </c>
      <c r="Y52">
        <f>HYPERLINK("https://klasma.github.io/Logging_1907/tillsynsmail/A 24561-2024 tillsynsbegäran mail.docx", "A 24561-2024")</f>
        <v/>
      </c>
    </row>
    <row r="53" ht="15" customHeight="1">
      <c r="A53" t="inlineStr">
        <is>
          <t>A 33094-2024</t>
        </is>
      </c>
      <c r="B53" s="1" t="n">
        <v>45517</v>
      </c>
      <c r="C53" s="1" t="n">
        <v>45742</v>
      </c>
      <c r="D53" t="inlineStr">
        <is>
          <t>VÄSTMANLANDS LÄN</t>
        </is>
      </c>
      <c r="E53" t="inlineStr">
        <is>
          <t>SURAHAMMAR</t>
        </is>
      </c>
      <c r="G53" t="n">
        <v>6.3</v>
      </c>
      <c r="H53" t="n">
        <v>1</v>
      </c>
      <c r="I53" t="n">
        <v>0</v>
      </c>
      <c r="J53" t="n">
        <v>2</v>
      </c>
      <c r="K53" t="n">
        <v>0</v>
      </c>
      <c r="L53" t="n">
        <v>0</v>
      </c>
      <c r="M53" t="n">
        <v>0</v>
      </c>
      <c r="N53" t="n">
        <v>0</v>
      </c>
      <c r="O53" t="n">
        <v>2</v>
      </c>
      <c r="P53" t="n">
        <v>0</v>
      </c>
      <c r="Q53" t="n">
        <v>3</v>
      </c>
      <c r="R53" s="2" t="inlineStr">
        <is>
          <t>Svinrot
Vippärt
Revlummer</t>
        </is>
      </c>
      <c r="S53">
        <f>HYPERLINK("https://klasma.github.io/Logging_1907/artfynd/A 33094-2024 artfynd.xlsx", "A 33094-2024")</f>
        <v/>
      </c>
      <c r="T53">
        <f>HYPERLINK("https://klasma.github.io/Logging_1907/kartor/A 33094-2024 karta.png", "A 33094-2024")</f>
        <v/>
      </c>
      <c r="V53">
        <f>HYPERLINK("https://klasma.github.io/Logging_1907/klagomål/A 33094-2024 FSC-klagomål.docx", "A 33094-2024")</f>
        <v/>
      </c>
      <c r="W53">
        <f>HYPERLINK("https://klasma.github.io/Logging_1907/klagomålsmail/A 33094-2024 FSC-klagomål mail.docx", "A 33094-2024")</f>
        <v/>
      </c>
      <c r="X53">
        <f>HYPERLINK("https://klasma.github.io/Logging_1907/tillsyn/A 33094-2024 tillsynsbegäran.docx", "A 33094-2024")</f>
        <v/>
      </c>
      <c r="Y53">
        <f>HYPERLINK("https://klasma.github.io/Logging_1907/tillsynsmail/A 33094-2024 tillsynsbegäran mail.docx", "A 33094-2024")</f>
        <v/>
      </c>
    </row>
    <row r="54" ht="15" customHeight="1">
      <c r="A54" t="inlineStr">
        <is>
          <t>A 57412-2020</t>
        </is>
      </c>
      <c r="B54" s="1" t="n">
        <v>44138</v>
      </c>
      <c r="C54" s="1" t="n">
        <v>45742</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45742</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45742</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45742</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45742</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45742</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45742</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45742</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45742</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45742</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45742</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45742</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45742</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45742</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45742</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45742</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45742</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45742</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45742</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45742</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45742</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45742</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45742</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45742</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45742</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45742</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45742</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45742</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45742</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45742</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45742</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45742</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45742</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45742</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45742</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45742</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45742</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45742</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45742</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45742</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45742</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45742</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45742</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45742</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45742</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45742</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45742</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45742</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45742</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45742</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45742</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45742</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45742</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45742</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45742</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45742</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45742</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45742</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45742</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45742</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45742</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45742</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45742</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45742</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45742</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45742</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45742</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45742</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45742</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45742</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45742</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45742</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45742</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45742</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45742</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45742</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45742</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45742</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45742</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45742</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45742</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45742</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45742</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45742</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45742</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45742</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45742</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45742</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45742</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45742</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45742</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45742</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45742</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45742</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45742</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45742</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45742</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45742</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45742</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45742</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45742</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45742</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45742</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45742</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45742</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45742</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45742</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45742</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45742</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45742</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45742</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45742</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45742</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45742</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45742</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45742</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45742</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45742</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45742</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45742</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45742</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45742</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45742</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45742</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45742</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45742</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45742</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45742</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45742</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45742</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45742</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45742</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45742</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45742</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45742</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45742</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45742</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45742</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45742</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45742</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45742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45742</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45742</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45742</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45742</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45742</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45742</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45742</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45742</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45742</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45742</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45742</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45742</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45742</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45742</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45742</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45742</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45742</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45742</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45742</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45742</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45742</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45742</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45742</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45742</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45742</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45742</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45742</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45742</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45742</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45742</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45742</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45742</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45742</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45742</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45742</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45742</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45742</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45742</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45742</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45742</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45742</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45742</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45742</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45742</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45742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45742</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45742</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45742</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45742</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45742</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45742</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45742</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45742</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45742</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45742</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45742</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45742</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45742</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45742</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45742</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45742</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45742</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45742</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45742</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45742</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45742</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45742</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45742</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45742</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45742</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45742</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45742</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45742</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45742</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45742</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45742</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45742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45742</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45742</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45742</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45742</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45742</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45742</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45742</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45742</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45742</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45742</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45742</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45742</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45742</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45742</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45742</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45742</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45742</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45742</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45742</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45742</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45742</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45742</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45742</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45742</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45742</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45742</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45742</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45742</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2025-03-26T17:30:03Z</dcterms:created>
  <dcterms:modified xmlns:dcterms="http://purl.org/dc/terms/" xmlns:xsi="http://www.w3.org/2001/XMLSchema-instance" xsi:type="dcterms:W3CDTF">2025-03-26T17:30:04Z</dcterms:modified>
</cp:coreProperties>
</file>