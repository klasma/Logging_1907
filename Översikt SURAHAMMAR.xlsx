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45925</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45925</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45925</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45925</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45925</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45925</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45925</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45925</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45925</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45925</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45925</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45925</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45925</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45925</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45925</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45925</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45925</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45925</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45925</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8552-2022</t>
        </is>
      </c>
      <c r="B28" s="1" t="n">
        <v>44613</v>
      </c>
      <c r="C28" s="1" t="n">
        <v>45925</v>
      </c>
      <c r="D28" t="inlineStr">
        <is>
          <t>VÄSTMANLANDS LÄN</t>
        </is>
      </c>
      <c r="E28" t="inlineStr">
        <is>
          <t>SURAHAMMAR</t>
        </is>
      </c>
      <c r="F28" t="inlineStr">
        <is>
          <t>Bergvik skog väst AB</t>
        </is>
      </c>
      <c r="G28" t="n">
        <v>3.2</v>
      </c>
      <c r="H28" t="n">
        <v>2</v>
      </c>
      <c r="I28" t="n">
        <v>1</v>
      </c>
      <c r="J28" t="n">
        <v>2</v>
      </c>
      <c r="K28" t="n">
        <v>0</v>
      </c>
      <c r="L28" t="n">
        <v>0</v>
      </c>
      <c r="M28" t="n">
        <v>0</v>
      </c>
      <c r="N28" t="n">
        <v>0</v>
      </c>
      <c r="O28" t="n">
        <v>2</v>
      </c>
      <c r="P28" t="n">
        <v>0</v>
      </c>
      <c r="Q28" t="n">
        <v>3</v>
      </c>
      <c r="R28" s="2" t="inlineStr">
        <is>
          <t>Spillkråka
Talltita
Mindre märgborre</t>
        </is>
      </c>
      <c r="S28">
        <f>HYPERLINK("https://klasma.github.io/Logging_1907/artfynd/A 8552-2022 artfynd.xlsx", "A 8552-2022")</f>
        <v/>
      </c>
      <c r="T28">
        <f>HYPERLINK("https://klasma.github.io/Logging_1907/kartor/A 8552-2022 karta.png", "A 8552-2022")</f>
        <v/>
      </c>
      <c r="V28">
        <f>HYPERLINK("https://klasma.github.io/Logging_1907/klagomål/A 8552-2022 FSC-klagomål.docx", "A 8552-2022")</f>
        <v/>
      </c>
      <c r="W28">
        <f>HYPERLINK("https://klasma.github.io/Logging_1907/klagomålsmail/A 8552-2022 FSC-klagomål mail.docx", "A 8552-2022")</f>
        <v/>
      </c>
      <c r="X28">
        <f>HYPERLINK("https://klasma.github.io/Logging_1907/tillsyn/A 8552-2022 tillsynsbegäran.docx", "A 8552-2022")</f>
        <v/>
      </c>
      <c r="Y28">
        <f>HYPERLINK("https://klasma.github.io/Logging_1907/tillsynsmail/A 8552-2022 tillsynsbegäran mail.docx", "A 8552-2022")</f>
        <v/>
      </c>
      <c r="Z28">
        <f>HYPERLINK("https://klasma.github.io/Logging_1907/fåglar/A 8552-2022 prioriterade fågelarter.docx", "A 8552-2022")</f>
        <v/>
      </c>
    </row>
    <row r="29" ht="15" customHeight="1">
      <c r="A29" t="inlineStr">
        <is>
          <t>A 42860-2022</t>
        </is>
      </c>
      <c r="B29" s="1" t="n">
        <v>44832</v>
      </c>
      <c r="C29" s="1" t="n">
        <v>45925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45925</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48128-2023</t>
        </is>
      </c>
      <c r="B31" s="1" t="n">
        <v>45205</v>
      </c>
      <c r="C31" s="1" t="n">
        <v>45925</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38200-2021</t>
        </is>
      </c>
      <c r="B32" s="1" t="n">
        <v>44405</v>
      </c>
      <c r="C32" s="1" t="n">
        <v>45925</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42853-2022</t>
        </is>
      </c>
      <c r="B33" s="1" t="n">
        <v>44832</v>
      </c>
      <c r="C33" s="1" t="n">
        <v>45925</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39594-2025</t>
        </is>
      </c>
      <c r="B34" s="1" t="n">
        <v>45890</v>
      </c>
      <c r="C34" s="1" t="n">
        <v>45925</v>
      </c>
      <c r="D34" t="inlineStr">
        <is>
          <t>VÄSTMANLANDS LÄN</t>
        </is>
      </c>
      <c r="E34" t="inlineStr">
        <is>
          <t>SURAHAMMAR</t>
        </is>
      </c>
      <c r="F34" t="inlineStr">
        <is>
          <t>Bergvik skog väst AB</t>
        </is>
      </c>
      <c r="G34" t="n">
        <v>7</v>
      </c>
      <c r="H34" t="n">
        <v>0</v>
      </c>
      <c r="I34" t="n">
        <v>2</v>
      </c>
      <c r="J34" t="n">
        <v>1</v>
      </c>
      <c r="K34" t="n">
        <v>0</v>
      </c>
      <c r="L34" t="n">
        <v>0</v>
      </c>
      <c r="M34" t="n">
        <v>0</v>
      </c>
      <c r="N34" t="n">
        <v>0</v>
      </c>
      <c r="O34" t="n">
        <v>1</v>
      </c>
      <c r="P34" t="n">
        <v>0</v>
      </c>
      <c r="Q34" t="n">
        <v>3</v>
      </c>
      <c r="R34" s="2" t="inlineStr">
        <is>
          <t>Gropticka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row>
    <row r="35" ht="15" customHeight="1">
      <c r="A35" t="inlineStr">
        <is>
          <t>A 49718-2023</t>
        </is>
      </c>
      <c r="B35" s="1" t="n">
        <v>45212</v>
      </c>
      <c r="C35" s="1" t="n">
        <v>45925</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29707-2025</t>
        </is>
      </c>
      <c r="B36" s="1" t="n">
        <v>45825.56100694444</v>
      </c>
      <c r="C36" s="1" t="n">
        <v>45925</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45925</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37801-2021</t>
        </is>
      </c>
      <c r="B38" s="1" t="n">
        <v>44402</v>
      </c>
      <c r="C38" s="1" t="n">
        <v>45925</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45925</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45925</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45925</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45925</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45925</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45925</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45925</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45925</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47453-2024</t>
        </is>
      </c>
      <c r="B47" s="1" t="n">
        <v>45587.55017361111</v>
      </c>
      <c r="C47" s="1" t="n">
        <v>45925</v>
      </c>
      <c r="D47" t="inlineStr">
        <is>
          <t>VÄSTMANLANDS LÄN</t>
        </is>
      </c>
      <c r="E47" t="inlineStr">
        <is>
          <t>SURAHAMMAR</t>
        </is>
      </c>
      <c r="G47" t="n">
        <v>5.1</v>
      </c>
      <c r="H47" t="n">
        <v>1</v>
      </c>
      <c r="I47" t="n">
        <v>0</v>
      </c>
      <c r="J47" t="n">
        <v>0</v>
      </c>
      <c r="K47" t="n">
        <v>0</v>
      </c>
      <c r="L47" t="n">
        <v>0</v>
      </c>
      <c r="M47" t="n">
        <v>0</v>
      </c>
      <c r="N47" t="n">
        <v>0</v>
      </c>
      <c r="O47" t="n">
        <v>0</v>
      </c>
      <c r="P47" t="n">
        <v>0</v>
      </c>
      <c r="Q47" t="n">
        <v>1</v>
      </c>
      <c r="R47" s="2" t="inlineStr">
        <is>
          <t>Göktyta</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40403-2025</t>
        </is>
      </c>
      <c r="B48" s="1" t="n">
        <v>45895</v>
      </c>
      <c r="C48" s="1" t="n">
        <v>45925</v>
      </c>
      <c r="D48" t="inlineStr">
        <is>
          <t>VÄSTMANLANDS LÄN</t>
        </is>
      </c>
      <c r="E48" t="inlineStr">
        <is>
          <t>SURAHAMMAR</t>
        </is>
      </c>
      <c r="F48" t="inlineStr">
        <is>
          <t>Kommuner</t>
        </is>
      </c>
      <c r="G48" t="n">
        <v>3.9</v>
      </c>
      <c r="H48" t="n">
        <v>0</v>
      </c>
      <c r="I48" t="n">
        <v>0</v>
      </c>
      <c r="J48" t="n">
        <v>1</v>
      </c>
      <c r="K48" t="n">
        <v>0</v>
      </c>
      <c r="L48" t="n">
        <v>0</v>
      </c>
      <c r="M48" t="n">
        <v>0</v>
      </c>
      <c r="N48" t="n">
        <v>0</v>
      </c>
      <c r="O48" t="n">
        <v>1</v>
      </c>
      <c r="P48" t="n">
        <v>0</v>
      </c>
      <c r="Q48" t="n">
        <v>1</v>
      </c>
      <c r="R48" s="2" t="inlineStr">
        <is>
          <t>Igelkott</t>
        </is>
      </c>
      <c r="S48">
        <f>HYPERLINK("https://klasma.github.io/Logging_1907/artfynd/A 40403-2025 artfynd.xlsx", "A 40403-2025")</f>
        <v/>
      </c>
      <c r="T48">
        <f>HYPERLINK("https://klasma.github.io/Logging_1907/kartor/A 40403-2025 karta.png", "A 40403-2025")</f>
        <v/>
      </c>
      <c r="V48">
        <f>HYPERLINK("https://klasma.github.io/Logging_1907/klagomål/A 40403-2025 FSC-klagomål.docx", "A 40403-2025")</f>
        <v/>
      </c>
      <c r="W48">
        <f>HYPERLINK("https://klasma.github.io/Logging_1907/klagomålsmail/A 40403-2025 FSC-klagomål mail.docx", "A 40403-2025")</f>
        <v/>
      </c>
      <c r="X48">
        <f>HYPERLINK("https://klasma.github.io/Logging_1907/tillsyn/A 40403-2025 tillsynsbegäran.docx", "A 40403-2025")</f>
        <v/>
      </c>
      <c r="Y48">
        <f>HYPERLINK("https://klasma.github.io/Logging_1907/tillsynsmail/A 40403-2025 tillsynsbegäran mail.docx", "A 40403-2025")</f>
        <v/>
      </c>
    </row>
    <row r="49" ht="15" customHeight="1">
      <c r="A49" t="inlineStr">
        <is>
          <t>A 56362-2023</t>
        </is>
      </c>
      <c r="B49" s="1" t="n">
        <v>45236</v>
      </c>
      <c r="C49" s="1" t="n">
        <v>45925</v>
      </c>
      <c r="D49" t="inlineStr">
        <is>
          <t>VÄSTMANLANDS LÄN</t>
        </is>
      </c>
      <c r="E49" t="inlineStr">
        <is>
          <t>SURAHAMMAR</t>
        </is>
      </c>
      <c r="F49" t="inlineStr">
        <is>
          <t>Bergvik skog väst AB</t>
        </is>
      </c>
      <c r="G49" t="n">
        <v>15.2</v>
      </c>
      <c r="H49" t="n">
        <v>0</v>
      </c>
      <c r="I49" t="n">
        <v>1</v>
      </c>
      <c r="J49" t="n">
        <v>0</v>
      </c>
      <c r="K49" t="n">
        <v>0</v>
      </c>
      <c r="L49" t="n">
        <v>0</v>
      </c>
      <c r="M49" t="n">
        <v>0</v>
      </c>
      <c r="N49" t="n">
        <v>0</v>
      </c>
      <c r="O49" t="n">
        <v>0</v>
      </c>
      <c r="P49" t="n">
        <v>0</v>
      </c>
      <c r="Q49" t="n">
        <v>1</v>
      </c>
      <c r="R49" s="2" t="inlineStr">
        <is>
          <t>Grönpyrola</t>
        </is>
      </c>
      <c r="S49">
        <f>HYPERLINK("https://klasma.github.io/Logging_1907/artfynd/A 56362-2023 artfynd.xlsx", "A 56362-2023")</f>
        <v/>
      </c>
      <c r="T49">
        <f>HYPERLINK("https://klasma.github.io/Logging_1907/kartor/A 56362-2023 karta.png", "A 56362-2023")</f>
        <v/>
      </c>
      <c r="V49">
        <f>HYPERLINK("https://klasma.github.io/Logging_1907/klagomål/A 56362-2023 FSC-klagomål.docx", "A 56362-2023")</f>
        <v/>
      </c>
      <c r="W49">
        <f>HYPERLINK("https://klasma.github.io/Logging_1907/klagomålsmail/A 56362-2023 FSC-klagomål mail.docx", "A 56362-2023")</f>
        <v/>
      </c>
      <c r="X49">
        <f>HYPERLINK("https://klasma.github.io/Logging_1907/tillsyn/A 56362-2023 tillsynsbegäran.docx", "A 56362-2023")</f>
        <v/>
      </c>
      <c r="Y49">
        <f>HYPERLINK("https://klasma.github.io/Logging_1907/tillsynsmail/A 56362-2023 tillsynsbegäran mail.docx", "A 56362-2023")</f>
        <v/>
      </c>
    </row>
    <row r="50" ht="15" customHeight="1">
      <c r="A50" t="inlineStr">
        <is>
          <t>A 39099-2022</t>
        </is>
      </c>
      <c r="B50" s="1" t="n">
        <v>44817</v>
      </c>
      <c r="C50" s="1" t="n">
        <v>45925</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10819-2024</t>
        </is>
      </c>
      <c r="B51" s="1" t="n">
        <v>45369.66049768519</v>
      </c>
      <c r="C51" s="1" t="n">
        <v>45925</v>
      </c>
      <c r="D51" t="inlineStr">
        <is>
          <t>VÄSTMANLANDS LÄN</t>
        </is>
      </c>
      <c r="E51" t="inlineStr">
        <is>
          <t>SURAHAMMAR</t>
        </is>
      </c>
      <c r="G51" t="n">
        <v>2</v>
      </c>
      <c r="H51" t="n">
        <v>0</v>
      </c>
      <c r="I51" t="n">
        <v>1</v>
      </c>
      <c r="J51" t="n">
        <v>0</v>
      </c>
      <c r="K51" t="n">
        <v>0</v>
      </c>
      <c r="L51" t="n">
        <v>0</v>
      </c>
      <c r="M51" t="n">
        <v>0</v>
      </c>
      <c r="N51" t="n">
        <v>0</v>
      </c>
      <c r="O51" t="n">
        <v>0</v>
      </c>
      <c r="P51" t="n">
        <v>0</v>
      </c>
      <c r="Q51" t="n">
        <v>1</v>
      </c>
      <c r="R51" s="2" t="inlineStr">
        <is>
          <t>Tibast</t>
        </is>
      </c>
      <c r="S51">
        <f>HYPERLINK("https://klasma.github.io/Logging_1907/artfynd/A 10819-2024 artfynd.xlsx", "A 10819-2024")</f>
        <v/>
      </c>
      <c r="T51">
        <f>HYPERLINK("https://klasma.github.io/Logging_1907/kartor/A 10819-2024 karta.png", "A 10819-2024")</f>
        <v/>
      </c>
      <c r="V51">
        <f>HYPERLINK("https://klasma.github.io/Logging_1907/klagomål/A 10819-2024 FSC-klagomål.docx", "A 10819-2024")</f>
        <v/>
      </c>
      <c r="W51">
        <f>HYPERLINK("https://klasma.github.io/Logging_1907/klagomålsmail/A 10819-2024 FSC-klagomål mail.docx", "A 10819-2024")</f>
        <v/>
      </c>
      <c r="X51">
        <f>HYPERLINK("https://klasma.github.io/Logging_1907/tillsyn/A 10819-2024 tillsynsbegäran.docx", "A 10819-2024")</f>
        <v/>
      </c>
      <c r="Y51">
        <f>HYPERLINK("https://klasma.github.io/Logging_1907/tillsynsmail/A 10819-2024 tillsynsbegäran mail.docx", "A 10819-2024")</f>
        <v/>
      </c>
    </row>
    <row r="52" ht="15" customHeight="1">
      <c r="A52" t="inlineStr">
        <is>
          <t>A 22840-2023</t>
        </is>
      </c>
      <c r="B52" s="1" t="n">
        <v>45072</v>
      </c>
      <c r="C52" s="1" t="n">
        <v>45925</v>
      </c>
      <c r="D52" t="inlineStr">
        <is>
          <t>VÄSTMANLANDS LÄN</t>
        </is>
      </c>
      <c r="E52" t="inlineStr">
        <is>
          <t>SURAHAMMAR</t>
        </is>
      </c>
      <c r="G52" t="n">
        <v>4.3</v>
      </c>
      <c r="H52" t="n">
        <v>1</v>
      </c>
      <c r="I52" t="n">
        <v>0</v>
      </c>
      <c r="J52" t="n">
        <v>0</v>
      </c>
      <c r="K52" t="n">
        <v>0</v>
      </c>
      <c r="L52" t="n">
        <v>0</v>
      </c>
      <c r="M52" t="n">
        <v>0</v>
      </c>
      <c r="N52" t="n">
        <v>0</v>
      </c>
      <c r="O52" t="n">
        <v>0</v>
      </c>
      <c r="P52" t="n">
        <v>0</v>
      </c>
      <c r="Q52" t="n">
        <v>1</v>
      </c>
      <c r="R52" s="2" t="inlineStr">
        <is>
          <t>Fläcknycklar</t>
        </is>
      </c>
      <c r="S52">
        <f>HYPERLINK("https://klasma.github.io/Logging_1907/artfynd/A 22840-2023 artfynd.xlsx", "A 22840-2023")</f>
        <v/>
      </c>
      <c r="T52">
        <f>HYPERLINK("https://klasma.github.io/Logging_1907/kartor/A 22840-2023 karta.png", "A 22840-2023")</f>
        <v/>
      </c>
      <c r="V52">
        <f>HYPERLINK("https://klasma.github.io/Logging_1907/klagomål/A 22840-2023 FSC-klagomål.docx", "A 22840-2023")</f>
        <v/>
      </c>
      <c r="W52">
        <f>HYPERLINK("https://klasma.github.io/Logging_1907/klagomålsmail/A 22840-2023 FSC-klagomål mail.docx", "A 22840-2023")</f>
        <v/>
      </c>
      <c r="X52">
        <f>HYPERLINK("https://klasma.github.io/Logging_1907/tillsyn/A 22840-2023 tillsynsbegäran.docx", "A 22840-2023")</f>
        <v/>
      </c>
      <c r="Y52">
        <f>HYPERLINK("https://klasma.github.io/Logging_1907/tillsynsmail/A 22840-2023 tillsynsbegäran mail.docx", "A 22840-2023")</f>
        <v/>
      </c>
    </row>
    <row r="53" ht="15" customHeight="1">
      <c r="A53" t="inlineStr">
        <is>
          <t>A 42089-2025</t>
        </is>
      </c>
      <c r="B53" s="1" t="n">
        <v>45902</v>
      </c>
      <c r="C53" s="1" t="n">
        <v>45925</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62097-2024</t>
        </is>
      </c>
      <c r="B54" s="1" t="n">
        <v>45646</v>
      </c>
      <c r="C54" s="1" t="n">
        <v>45925</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69777-2021</t>
        </is>
      </c>
      <c r="B55" s="1" t="n">
        <v>44532</v>
      </c>
      <c r="C55" s="1" t="n">
        <v>45925</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45925</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39694-2025</t>
        </is>
      </c>
      <c r="B57" s="1" t="n">
        <v>45890</v>
      </c>
      <c r="C57" s="1" t="n">
        <v>45925</v>
      </c>
      <c r="D57" t="inlineStr">
        <is>
          <t>VÄSTMANLANDS LÄN</t>
        </is>
      </c>
      <c r="E57" t="inlineStr">
        <is>
          <t>SURAHAMMAR</t>
        </is>
      </c>
      <c r="F57" t="inlineStr">
        <is>
          <t>Bergvik skog väst AB</t>
        </is>
      </c>
      <c r="G57" t="n">
        <v>2.9</v>
      </c>
      <c r="H57" t="n">
        <v>0</v>
      </c>
      <c r="I57" t="n">
        <v>1</v>
      </c>
      <c r="J57" t="n">
        <v>0</v>
      </c>
      <c r="K57" t="n">
        <v>0</v>
      </c>
      <c r="L57" t="n">
        <v>0</v>
      </c>
      <c r="M57" t="n">
        <v>0</v>
      </c>
      <c r="N57" t="n">
        <v>0</v>
      </c>
      <c r="O57" t="n">
        <v>0</v>
      </c>
      <c r="P57" t="n">
        <v>0</v>
      </c>
      <c r="Q57" t="n">
        <v>1</v>
      </c>
      <c r="R57" s="2" t="inlineStr">
        <is>
          <t>Mindre märgborre</t>
        </is>
      </c>
      <c r="S57">
        <f>HYPERLINK("https://klasma.github.io/Logging_1907/artfynd/A 39694-2025 artfynd.xlsx", "A 39694-2025")</f>
        <v/>
      </c>
      <c r="T57">
        <f>HYPERLINK("https://klasma.github.io/Logging_1907/kartor/A 39694-2025 karta.png", "A 39694-2025")</f>
        <v/>
      </c>
      <c r="V57">
        <f>HYPERLINK("https://klasma.github.io/Logging_1907/klagomål/A 39694-2025 FSC-klagomål.docx", "A 39694-2025")</f>
        <v/>
      </c>
      <c r="W57">
        <f>HYPERLINK("https://klasma.github.io/Logging_1907/klagomålsmail/A 39694-2025 FSC-klagomål mail.docx", "A 39694-2025")</f>
        <v/>
      </c>
      <c r="X57">
        <f>HYPERLINK("https://klasma.github.io/Logging_1907/tillsyn/A 39694-2025 tillsynsbegäran.docx", "A 39694-2025")</f>
        <v/>
      </c>
      <c r="Y57">
        <f>HYPERLINK("https://klasma.github.io/Logging_1907/tillsynsmail/A 39694-2025 tillsynsbegäran mail.docx", "A 39694-2025")</f>
        <v/>
      </c>
    </row>
    <row r="58" ht="15" customHeight="1">
      <c r="A58" t="inlineStr">
        <is>
          <t>A 40411-2021</t>
        </is>
      </c>
      <c r="B58" s="1" t="n">
        <v>44419</v>
      </c>
      <c r="C58" s="1" t="n">
        <v>45925</v>
      </c>
      <c r="D58" t="inlineStr">
        <is>
          <t>VÄSTMANLANDS LÄN</t>
        </is>
      </c>
      <c r="E58" t="inlineStr">
        <is>
          <t>SURAHAMMAR</t>
        </is>
      </c>
      <c r="F58" t="inlineStr">
        <is>
          <t>Sveaskog</t>
        </is>
      </c>
      <c r="G58" t="n">
        <v>2.4</v>
      </c>
      <c r="H58" t="n">
        <v>1</v>
      </c>
      <c r="I58" t="n">
        <v>0</v>
      </c>
      <c r="J58" t="n">
        <v>0</v>
      </c>
      <c r="K58" t="n">
        <v>0</v>
      </c>
      <c r="L58" t="n">
        <v>0</v>
      </c>
      <c r="M58" t="n">
        <v>0</v>
      </c>
      <c r="N58" t="n">
        <v>0</v>
      </c>
      <c r="O58" t="n">
        <v>0</v>
      </c>
      <c r="P58" t="n">
        <v>0</v>
      </c>
      <c r="Q58" t="n">
        <v>1</v>
      </c>
      <c r="R58" s="2" t="inlineStr">
        <is>
          <t>Kopparödla</t>
        </is>
      </c>
      <c r="S58">
        <f>HYPERLINK("https://klasma.github.io/Logging_1907/artfynd/A 40411-2021 artfynd.xlsx", "A 40411-2021")</f>
        <v/>
      </c>
      <c r="T58">
        <f>HYPERLINK("https://klasma.github.io/Logging_1907/kartor/A 40411-2021 karta.png", "A 40411-2021")</f>
        <v/>
      </c>
      <c r="V58">
        <f>HYPERLINK("https://klasma.github.io/Logging_1907/klagomål/A 40411-2021 FSC-klagomål.docx", "A 40411-2021")</f>
        <v/>
      </c>
      <c r="W58">
        <f>HYPERLINK("https://klasma.github.io/Logging_1907/klagomålsmail/A 40411-2021 FSC-klagomål mail.docx", "A 40411-2021")</f>
        <v/>
      </c>
      <c r="X58">
        <f>HYPERLINK("https://klasma.github.io/Logging_1907/tillsyn/A 40411-2021 tillsynsbegäran.docx", "A 40411-2021")</f>
        <v/>
      </c>
      <c r="Y58">
        <f>HYPERLINK("https://klasma.github.io/Logging_1907/tillsynsmail/A 40411-2021 tillsynsbegäran mail.docx", "A 40411-2021")</f>
        <v/>
      </c>
    </row>
    <row r="59" ht="15" customHeight="1">
      <c r="A59" t="inlineStr">
        <is>
          <t>A 43451-2024</t>
        </is>
      </c>
      <c r="B59" s="1" t="n">
        <v>45568</v>
      </c>
      <c r="C59" s="1" t="n">
        <v>45925</v>
      </c>
      <c r="D59" t="inlineStr">
        <is>
          <t>VÄSTMANLANDS LÄN</t>
        </is>
      </c>
      <c r="E59" t="inlineStr">
        <is>
          <t>SURAHAMMAR</t>
        </is>
      </c>
      <c r="F59" t="inlineStr">
        <is>
          <t>Bergvik skog väst AB</t>
        </is>
      </c>
      <c r="G59" t="n">
        <v>2.9</v>
      </c>
      <c r="H59" t="n">
        <v>0</v>
      </c>
      <c r="I59" t="n">
        <v>0</v>
      </c>
      <c r="J59" t="n">
        <v>1</v>
      </c>
      <c r="K59" t="n">
        <v>0</v>
      </c>
      <c r="L59" t="n">
        <v>0</v>
      </c>
      <c r="M59" t="n">
        <v>0</v>
      </c>
      <c r="N59" t="n">
        <v>0</v>
      </c>
      <c r="O59" t="n">
        <v>1</v>
      </c>
      <c r="P59" t="n">
        <v>0</v>
      </c>
      <c r="Q59" t="n">
        <v>1</v>
      </c>
      <c r="R59" s="2" t="inlineStr">
        <is>
          <t>Ullticka</t>
        </is>
      </c>
      <c r="S59">
        <f>HYPERLINK("https://klasma.github.io/Logging_1907/artfynd/A 43451-2024 artfynd.xlsx", "A 43451-2024")</f>
        <v/>
      </c>
      <c r="T59">
        <f>HYPERLINK("https://klasma.github.io/Logging_1907/kartor/A 43451-2024 karta.png", "A 43451-2024")</f>
        <v/>
      </c>
      <c r="V59">
        <f>HYPERLINK("https://klasma.github.io/Logging_1907/klagomål/A 43451-2024 FSC-klagomål.docx", "A 43451-2024")</f>
        <v/>
      </c>
      <c r="W59">
        <f>HYPERLINK("https://klasma.github.io/Logging_1907/klagomålsmail/A 43451-2024 FSC-klagomål mail.docx", "A 43451-2024")</f>
        <v/>
      </c>
      <c r="X59">
        <f>HYPERLINK("https://klasma.github.io/Logging_1907/tillsyn/A 43451-2024 tillsynsbegäran.docx", "A 43451-2024")</f>
        <v/>
      </c>
      <c r="Y59">
        <f>HYPERLINK("https://klasma.github.io/Logging_1907/tillsynsmail/A 43451-2024 tillsynsbegäran mail.docx", "A 43451-2024")</f>
        <v/>
      </c>
    </row>
    <row r="60" ht="15" customHeight="1">
      <c r="A60" t="inlineStr">
        <is>
          <t>A 33231-2024</t>
        </is>
      </c>
      <c r="B60" s="1" t="n">
        <v>45518</v>
      </c>
      <c r="C60" s="1" t="n">
        <v>45925</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45925</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45925</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45925</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13788-2025</t>
        </is>
      </c>
      <c r="B64" s="1" t="n">
        <v>45737.45327546296</v>
      </c>
      <c r="C64" s="1" t="n">
        <v>45925</v>
      </c>
      <c r="D64" t="inlineStr">
        <is>
          <t>VÄSTMANLANDS LÄN</t>
        </is>
      </c>
      <c r="E64" t="inlineStr">
        <is>
          <t>SURAHAMMAR</t>
        </is>
      </c>
      <c r="G64" t="n">
        <v>9.699999999999999</v>
      </c>
      <c r="H64" t="n">
        <v>1</v>
      </c>
      <c r="I64" t="n">
        <v>0</v>
      </c>
      <c r="J64" t="n">
        <v>0</v>
      </c>
      <c r="K64" t="n">
        <v>0</v>
      </c>
      <c r="L64" t="n">
        <v>0</v>
      </c>
      <c r="M64" t="n">
        <v>0</v>
      </c>
      <c r="N64" t="n">
        <v>0</v>
      </c>
      <c r="O64" t="n">
        <v>0</v>
      </c>
      <c r="P64" t="n">
        <v>0</v>
      </c>
      <c r="Q64" t="n">
        <v>1</v>
      </c>
      <c r="R64" s="2" t="inlineStr">
        <is>
          <t>Sparvuggla</t>
        </is>
      </c>
      <c r="S64">
        <f>HYPERLINK("https://klasma.github.io/Logging_1907/artfynd/A 13788-2025 artfynd.xlsx", "A 13788-2025")</f>
        <v/>
      </c>
      <c r="T64">
        <f>HYPERLINK("https://klasma.github.io/Logging_1907/kartor/A 13788-2025 karta.png", "A 13788-2025")</f>
        <v/>
      </c>
      <c r="V64">
        <f>HYPERLINK("https://klasma.github.io/Logging_1907/klagomål/A 13788-2025 FSC-klagomål.docx", "A 13788-2025")</f>
        <v/>
      </c>
      <c r="W64">
        <f>HYPERLINK("https://klasma.github.io/Logging_1907/klagomålsmail/A 13788-2025 FSC-klagomål mail.docx", "A 13788-2025")</f>
        <v/>
      </c>
      <c r="X64">
        <f>HYPERLINK("https://klasma.github.io/Logging_1907/tillsyn/A 13788-2025 tillsynsbegäran.docx", "A 13788-2025")</f>
        <v/>
      </c>
      <c r="Y64">
        <f>HYPERLINK("https://klasma.github.io/Logging_1907/tillsynsmail/A 13788-2025 tillsynsbegäran mail.docx", "A 13788-2025")</f>
        <v/>
      </c>
      <c r="Z64">
        <f>HYPERLINK("https://klasma.github.io/Logging_1907/fåglar/A 13788-2025 prioriterade fågelarter.docx", "A 13788-2025")</f>
        <v/>
      </c>
    </row>
    <row r="65" ht="15" customHeight="1">
      <c r="A65" t="inlineStr">
        <is>
          <t>A 13971-2023</t>
        </is>
      </c>
      <c r="B65" s="1" t="n">
        <v>45007</v>
      </c>
      <c r="C65" s="1" t="n">
        <v>45925</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45925</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45925</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17632-2022</t>
        </is>
      </c>
      <c r="B68" s="1" t="n">
        <v>44680</v>
      </c>
      <c r="C68" s="1" t="n">
        <v>45925</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1492-2021</t>
        </is>
      </c>
      <c r="B69" s="1" t="n">
        <v>44209</v>
      </c>
      <c r="C69" s="1" t="n">
        <v>45925</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45925</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45925</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45925</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45925</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45925</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45925</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45925</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45925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45925</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45925</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45925</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45925</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45925</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52076-2020</t>
        </is>
      </c>
      <c r="B83" s="1" t="n">
        <v>44117</v>
      </c>
      <c r="C83" s="1" t="n">
        <v>45925</v>
      </c>
      <c r="D83" t="inlineStr">
        <is>
          <t>VÄSTMANLANDS LÄN</t>
        </is>
      </c>
      <c r="E83" t="inlineStr">
        <is>
          <t>SURAHAMMAR</t>
        </is>
      </c>
      <c r="F83" t="inlineStr">
        <is>
          <t>Sveaskog</t>
        </is>
      </c>
      <c r="G83" t="n">
        <v>1.5</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45925</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59543-2020</t>
        </is>
      </c>
      <c r="B85" s="1" t="n">
        <v>44148</v>
      </c>
      <c r="C85" s="1" t="n">
        <v>45925</v>
      </c>
      <c r="D85" t="inlineStr">
        <is>
          <t>VÄSTMANLANDS LÄN</t>
        </is>
      </c>
      <c r="E85" t="inlineStr">
        <is>
          <t>SURAHAMMAR</t>
        </is>
      </c>
      <c r="G85" t="n">
        <v>1.3</v>
      </c>
      <c r="H85" t="n">
        <v>0</v>
      </c>
      <c r="I85" t="n">
        <v>0</v>
      </c>
      <c r="J85" t="n">
        <v>0</v>
      </c>
      <c r="K85" t="n">
        <v>0</v>
      </c>
      <c r="L85" t="n">
        <v>0</v>
      </c>
      <c r="M85" t="n">
        <v>0</v>
      </c>
      <c r="N85" t="n">
        <v>0</v>
      </c>
      <c r="O85" t="n">
        <v>0</v>
      </c>
      <c r="P85" t="n">
        <v>0</v>
      </c>
      <c r="Q85" t="n">
        <v>0</v>
      </c>
      <c r="R85" s="2" t="inlineStr"/>
    </row>
    <row r="86" ht="15" customHeight="1">
      <c r="A86" t="inlineStr">
        <is>
          <t>A 18723-2021</t>
        </is>
      </c>
      <c r="B86" s="1" t="n">
        <v>44306</v>
      </c>
      <c r="C86" s="1" t="n">
        <v>45925</v>
      </c>
      <c r="D86" t="inlineStr">
        <is>
          <t>VÄSTMANLANDS LÄN</t>
        </is>
      </c>
      <c r="E86" t="inlineStr">
        <is>
          <t>SURAHAMMAR</t>
        </is>
      </c>
      <c r="F86" t="inlineStr">
        <is>
          <t>Bergvik skog väst AB</t>
        </is>
      </c>
      <c r="G86" t="n">
        <v>3.9</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45925</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67611-2021</t>
        </is>
      </c>
      <c r="B88" s="1" t="n">
        <v>44524</v>
      </c>
      <c r="C88" s="1" t="n">
        <v>45925</v>
      </c>
      <c r="D88" t="inlineStr">
        <is>
          <t>VÄSTMANLANDS LÄN</t>
        </is>
      </c>
      <c r="E88" t="inlineStr">
        <is>
          <t>SURAHAMMAR</t>
        </is>
      </c>
      <c r="F88" t="inlineStr">
        <is>
          <t>Kommuner</t>
        </is>
      </c>
      <c r="G88" t="n">
        <v>3.8</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45925</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45925</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45925</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19637-2022</t>
        </is>
      </c>
      <c r="B92" s="1" t="n">
        <v>44694</v>
      </c>
      <c r="C92" s="1" t="n">
        <v>45925</v>
      </c>
      <c r="D92" t="inlineStr">
        <is>
          <t>VÄSTMANLANDS LÄN</t>
        </is>
      </c>
      <c r="E92" t="inlineStr">
        <is>
          <t>SURAHAMMAR</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13119-2022</t>
        </is>
      </c>
      <c r="B93" s="1" t="n">
        <v>44643</v>
      </c>
      <c r="C93" s="1" t="n">
        <v>45925</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19782-2023</t>
        </is>
      </c>
      <c r="B94" s="1" t="n">
        <v>45050</v>
      </c>
      <c r="C94" s="1" t="n">
        <v>45925</v>
      </c>
      <c r="D94" t="inlineStr">
        <is>
          <t>VÄSTMANLANDS LÄN</t>
        </is>
      </c>
      <c r="E94" t="inlineStr">
        <is>
          <t>SURAHAMMAR</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14626-2023</t>
        </is>
      </c>
      <c r="B95" s="1" t="n">
        <v>45012</v>
      </c>
      <c r="C95" s="1" t="n">
        <v>45925</v>
      </c>
      <c r="D95" t="inlineStr">
        <is>
          <t>VÄSTMANLANDS LÄN</t>
        </is>
      </c>
      <c r="E95" t="inlineStr">
        <is>
          <t>SURAHAMMAR</t>
        </is>
      </c>
      <c r="F95" t="inlineStr">
        <is>
          <t>Bergvik skog väst AB</t>
        </is>
      </c>
      <c r="G95" t="n">
        <v>5</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45925</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42832-2022</t>
        </is>
      </c>
      <c r="B97" s="1" t="n">
        <v>44832</v>
      </c>
      <c r="C97" s="1" t="n">
        <v>45925</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42841-2022</t>
        </is>
      </c>
      <c r="B98" s="1" t="n">
        <v>44832</v>
      </c>
      <c r="C98" s="1" t="n">
        <v>45925</v>
      </c>
      <c r="D98" t="inlineStr">
        <is>
          <t>VÄSTMANLANDS LÄN</t>
        </is>
      </c>
      <c r="E98" t="inlineStr">
        <is>
          <t>SURAHAMMAR</t>
        </is>
      </c>
      <c r="G98" t="n">
        <v>1.8</v>
      </c>
      <c r="H98" t="n">
        <v>0</v>
      </c>
      <c r="I98" t="n">
        <v>0</v>
      </c>
      <c r="J98" t="n">
        <v>0</v>
      </c>
      <c r="K98" t="n">
        <v>0</v>
      </c>
      <c r="L98" t="n">
        <v>0</v>
      </c>
      <c r="M98" t="n">
        <v>0</v>
      </c>
      <c r="N98" t="n">
        <v>0</v>
      </c>
      <c r="O98" t="n">
        <v>0</v>
      </c>
      <c r="P98" t="n">
        <v>0</v>
      </c>
      <c r="Q98" t="n">
        <v>0</v>
      </c>
      <c r="R98" s="2" t="inlineStr"/>
    </row>
    <row r="99" ht="15" customHeight="1">
      <c r="A99" t="inlineStr">
        <is>
          <t>A 24158-2023</t>
        </is>
      </c>
      <c r="B99" s="1" t="n">
        <v>45079</v>
      </c>
      <c r="C99" s="1" t="n">
        <v>45925</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45925</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52074-2020</t>
        </is>
      </c>
      <c r="B101" s="1" t="n">
        <v>44117</v>
      </c>
      <c r="C101" s="1" t="n">
        <v>45925</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32910-2025</t>
        </is>
      </c>
      <c r="B102" s="1" t="n">
        <v>45839</v>
      </c>
      <c r="C102" s="1" t="n">
        <v>45925</v>
      </c>
      <c r="D102" t="inlineStr">
        <is>
          <t>VÄSTMANLANDS LÄN</t>
        </is>
      </c>
      <c r="E102" t="inlineStr">
        <is>
          <t>SURAHAMMAR</t>
        </is>
      </c>
      <c r="F102" t="inlineStr">
        <is>
          <t>Kommuner</t>
        </is>
      </c>
      <c r="G102" t="n">
        <v>1.1</v>
      </c>
      <c r="H102" t="n">
        <v>0</v>
      </c>
      <c r="I102" t="n">
        <v>0</v>
      </c>
      <c r="J102" t="n">
        <v>0</v>
      </c>
      <c r="K102" t="n">
        <v>0</v>
      </c>
      <c r="L102" t="n">
        <v>0</v>
      </c>
      <c r="M102" t="n">
        <v>0</v>
      </c>
      <c r="N102" t="n">
        <v>0</v>
      </c>
      <c r="O102" t="n">
        <v>0</v>
      </c>
      <c r="P102" t="n">
        <v>0</v>
      </c>
      <c r="Q102" t="n">
        <v>0</v>
      </c>
      <c r="R102" s="2" t="inlineStr"/>
    </row>
    <row r="103" ht="15" customHeight="1">
      <c r="A103" t="inlineStr">
        <is>
          <t>A 32916-2025</t>
        </is>
      </c>
      <c r="B103" s="1" t="n">
        <v>45839</v>
      </c>
      <c r="C103" s="1" t="n">
        <v>45925</v>
      </c>
      <c r="D103" t="inlineStr">
        <is>
          <t>VÄSTMANLANDS LÄN</t>
        </is>
      </c>
      <c r="E103" t="inlineStr">
        <is>
          <t>SURAHAMMAR</t>
        </is>
      </c>
      <c r="F103" t="inlineStr">
        <is>
          <t>Kommuner</t>
        </is>
      </c>
      <c r="G103" t="n">
        <v>4.9</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45925</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45925</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3085-2023</t>
        </is>
      </c>
      <c r="B106" s="1" t="n">
        <v>44946</v>
      </c>
      <c r="C106" s="1" t="n">
        <v>45925</v>
      </c>
      <c r="D106" t="inlineStr">
        <is>
          <t>VÄSTMANLANDS LÄN</t>
        </is>
      </c>
      <c r="E106" t="inlineStr">
        <is>
          <t>SURAHAMMAR</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7848-2022</t>
        </is>
      </c>
      <c r="B107" s="1" t="n">
        <v>44608.58400462963</v>
      </c>
      <c r="C107" s="1" t="n">
        <v>45925</v>
      </c>
      <c r="D107" t="inlineStr">
        <is>
          <t>VÄSTMANLANDS LÄN</t>
        </is>
      </c>
      <c r="E107" t="inlineStr">
        <is>
          <t>SURAHAMMAR</t>
        </is>
      </c>
      <c r="G107" t="n">
        <v>2.1</v>
      </c>
      <c r="H107" t="n">
        <v>0</v>
      </c>
      <c r="I107" t="n">
        <v>0</v>
      </c>
      <c r="J107" t="n">
        <v>0</v>
      </c>
      <c r="K107" t="n">
        <v>0</v>
      </c>
      <c r="L107" t="n">
        <v>0</v>
      </c>
      <c r="M107" t="n">
        <v>0</v>
      </c>
      <c r="N107" t="n">
        <v>0</v>
      </c>
      <c r="O107" t="n">
        <v>0</v>
      </c>
      <c r="P107" t="n">
        <v>0</v>
      </c>
      <c r="Q107" t="n">
        <v>0</v>
      </c>
      <c r="R107" s="2" t="inlineStr"/>
    </row>
    <row r="108" ht="15" customHeight="1">
      <c r="A108" t="inlineStr">
        <is>
          <t>A 42088-2025</t>
        </is>
      </c>
      <c r="B108" s="1" t="n">
        <v>45902</v>
      </c>
      <c r="C108" s="1" t="n">
        <v>45925</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11501-2023</t>
        </is>
      </c>
      <c r="B109" s="1" t="n">
        <v>44991</v>
      </c>
      <c r="C109" s="1" t="n">
        <v>45925</v>
      </c>
      <c r="D109" t="inlineStr">
        <is>
          <t>VÄSTMANLANDS LÄN</t>
        </is>
      </c>
      <c r="E109" t="inlineStr">
        <is>
          <t>SURAHAMMAR</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16013-2023</t>
        </is>
      </c>
      <c r="B110" s="1" t="n">
        <v>45026</v>
      </c>
      <c r="C110" s="1" t="n">
        <v>45925</v>
      </c>
      <c r="D110" t="inlineStr">
        <is>
          <t>VÄSTMANLANDS LÄN</t>
        </is>
      </c>
      <c r="E110" t="inlineStr">
        <is>
          <t>SURAHAMMAR</t>
        </is>
      </c>
      <c r="G110" t="n">
        <v>3.9</v>
      </c>
      <c r="H110" t="n">
        <v>0</v>
      </c>
      <c r="I110" t="n">
        <v>0</v>
      </c>
      <c r="J110" t="n">
        <v>0</v>
      </c>
      <c r="K110" t="n">
        <v>0</v>
      </c>
      <c r="L110" t="n">
        <v>0</v>
      </c>
      <c r="M110" t="n">
        <v>0</v>
      </c>
      <c r="N110" t="n">
        <v>0</v>
      </c>
      <c r="O110" t="n">
        <v>0</v>
      </c>
      <c r="P110" t="n">
        <v>0</v>
      </c>
      <c r="Q110" t="n">
        <v>0</v>
      </c>
      <c r="R110" s="2" t="inlineStr"/>
    </row>
    <row r="111" ht="15" customHeight="1">
      <c r="A111" t="inlineStr">
        <is>
          <t>A 20904-2023</t>
        </is>
      </c>
      <c r="B111" s="1" t="n">
        <v>45060</v>
      </c>
      <c r="C111" s="1" t="n">
        <v>45925</v>
      </c>
      <c r="D111" t="inlineStr">
        <is>
          <t>VÄSTMANLANDS LÄN</t>
        </is>
      </c>
      <c r="E111" t="inlineStr">
        <is>
          <t>SURAHAMMAR</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16608-2022</t>
        </is>
      </c>
      <c r="B112" s="1" t="n">
        <v>44672</v>
      </c>
      <c r="C112" s="1" t="n">
        <v>45925</v>
      </c>
      <c r="D112" t="inlineStr">
        <is>
          <t>VÄSTMANLANDS LÄN</t>
        </is>
      </c>
      <c r="E112" t="inlineStr">
        <is>
          <t>SURAHAMMAR</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43249-2025</t>
        </is>
      </c>
      <c r="B113" s="1" t="n">
        <v>45910.55059027778</v>
      </c>
      <c r="C113" s="1" t="n">
        <v>45925</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45925</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43255-2025</t>
        </is>
      </c>
      <c r="B115" s="1" t="n">
        <v>45910.55325231481</v>
      </c>
      <c r="C115" s="1" t="n">
        <v>45925</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32808-2024</t>
        </is>
      </c>
      <c r="B116" s="1" t="n">
        <v>45516</v>
      </c>
      <c r="C116" s="1" t="n">
        <v>45925</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45925</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15743-2023</t>
        </is>
      </c>
      <c r="B118" s="1" t="n">
        <v>45021</v>
      </c>
      <c r="C118" s="1" t="n">
        <v>45925</v>
      </c>
      <c r="D118" t="inlineStr">
        <is>
          <t>VÄSTMANLANDS LÄN</t>
        </is>
      </c>
      <c r="E118" t="inlineStr">
        <is>
          <t>SURAHAMMAR</t>
        </is>
      </c>
      <c r="G118" t="n">
        <v>0.5</v>
      </c>
      <c r="H118" t="n">
        <v>0</v>
      </c>
      <c r="I118" t="n">
        <v>0</v>
      </c>
      <c r="J118" t="n">
        <v>0</v>
      </c>
      <c r="K118" t="n">
        <v>0</v>
      </c>
      <c r="L118" t="n">
        <v>0</v>
      </c>
      <c r="M118" t="n">
        <v>0</v>
      </c>
      <c r="N118" t="n">
        <v>0</v>
      </c>
      <c r="O118" t="n">
        <v>0</v>
      </c>
      <c r="P118" t="n">
        <v>0</v>
      </c>
      <c r="Q118" t="n">
        <v>0</v>
      </c>
      <c r="R118" s="2" t="inlineStr"/>
    </row>
    <row r="119" ht="15" customHeight="1">
      <c r="A119" t="inlineStr">
        <is>
          <t>A 3818-2022</t>
        </is>
      </c>
      <c r="B119" s="1" t="n">
        <v>44587</v>
      </c>
      <c r="C119" s="1" t="n">
        <v>45925</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45925</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45925</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48205-2023</t>
        </is>
      </c>
      <c r="B122" s="1" t="n">
        <v>45205</v>
      </c>
      <c r="C122" s="1" t="n">
        <v>45925</v>
      </c>
      <c r="D122" t="inlineStr">
        <is>
          <t>VÄSTMANLANDS LÄN</t>
        </is>
      </c>
      <c r="E122" t="inlineStr">
        <is>
          <t>SURAHAMMAR</t>
        </is>
      </c>
      <c r="F122" t="inlineStr">
        <is>
          <t>Allmännings- och besparingsskogar</t>
        </is>
      </c>
      <c r="G122" t="n">
        <v>7.6</v>
      </c>
      <c r="H122" t="n">
        <v>0</v>
      </c>
      <c r="I122" t="n">
        <v>0</v>
      </c>
      <c r="J122" t="n">
        <v>0</v>
      </c>
      <c r="K122" t="n">
        <v>0</v>
      </c>
      <c r="L122" t="n">
        <v>0</v>
      </c>
      <c r="M122" t="n">
        <v>0</v>
      </c>
      <c r="N122" t="n">
        <v>0</v>
      </c>
      <c r="O122" t="n">
        <v>0</v>
      </c>
      <c r="P122" t="n">
        <v>0</v>
      </c>
      <c r="Q122" t="n">
        <v>0</v>
      </c>
      <c r="R122" s="2" t="inlineStr"/>
    </row>
    <row r="123" ht="15" customHeight="1">
      <c r="A123" t="inlineStr">
        <is>
          <t>A 15637-2022</t>
        </is>
      </c>
      <c r="B123" s="1" t="n">
        <v>44662.89638888889</v>
      </c>
      <c r="C123" s="1" t="n">
        <v>45925</v>
      </c>
      <c r="D123" t="inlineStr">
        <is>
          <t>VÄSTMANLANDS LÄN</t>
        </is>
      </c>
      <c r="E123" t="inlineStr">
        <is>
          <t>SURAHAMMAR</t>
        </is>
      </c>
      <c r="G123" t="n">
        <v>2.2</v>
      </c>
      <c r="H123" t="n">
        <v>0</v>
      </c>
      <c r="I123" t="n">
        <v>0</v>
      </c>
      <c r="J123" t="n">
        <v>0</v>
      </c>
      <c r="K123" t="n">
        <v>0</v>
      </c>
      <c r="L123" t="n">
        <v>0</v>
      </c>
      <c r="M123" t="n">
        <v>0</v>
      </c>
      <c r="N123" t="n">
        <v>0</v>
      </c>
      <c r="O123" t="n">
        <v>0</v>
      </c>
      <c r="P123" t="n">
        <v>0</v>
      </c>
      <c r="Q123" t="n">
        <v>0</v>
      </c>
      <c r="R123" s="2" t="inlineStr"/>
    </row>
    <row r="124" ht="15" customHeight="1">
      <c r="A124" t="inlineStr">
        <is>
          <t>A 19786-2023</t>
        </is>
      </c>
      <c r="B124" s="1" t="n">
        <v>45050</v>
      </c>
      <c r="C124" s="1" t="n">
        <v>45925</v>
      </c>
      <c r="D124" t="inlineStr">
        <is>
          <t>VÄSTMANLANDS LÄN</t>
        </is>
      </c>
      <c r="E124" t="inlineStr">
        <is>
          <t>SURAHAMMAR</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45925</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33931-2022</t>
        </is>
      </c>
      <c r="B126" s="1" t="n">
        <v>44790.65153935185</v>
      </c>
      <c r="C126" s="1" t="n">
        <v>45925</v>
      </c>
      <c r="D126" t="inlineStr">
        <is>
          <t>VÄSTMANLANDS LÄN</t>
        </is>
      </c>
      <c r="E126" t="inlineStr">
        <is>
          <t>SURAHAMMAR</t>
        </is>
      </c>
      <c r="G126" t="n">
        <v>2.2</v>
      </c>
      <c r="H126" t="n">
        <v>0</v>
      </c>
      <c r="I126" t="n">
        <v>0</v>
      </c>
      <c r="J126" t="n">
        <v>0</v>
      </c>
      <c r="K126" t="n">
        <v>0</v>
      </c>
      <c r="L126" t="n">
        <v>0</v>
      </c>
      <c r="M126" t="n">
        <v>0</v>
      </c>
      <c r="N126" t="n">
        <v>0</v>
      </c>
      <c r="O126" t="n">
        <v>0</v>
      </c>
      <c r="P126" t="n">
        <v>0</v>
      </c>
      <c r="Q126" t="n">
        <v>0</v>
      </c>
      <c r="R126" s="2" t="inlineStr"/>
    </row>
    <row r="127" ht="15" customHeight="1">
      <c r="A127" t="inlineStr">
        <is>
          <t>A 22662-2023</t>
        </is>
      </c>
      <c r="B127" s="1" t="n">
        <v>45071</v>
      </c>
      <c r="C127" s="1" t="n">
        <v>45925</v>
      </c>
      <c r="D127" t="inlineStr">
        <is>
          <t>VÄSTMANLANDS LÄN</t>
        </is>
      </c>
      <c r="E127" t="inlineStr">
        <is>
          <t>SURAHAMMAR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30076-2023</t>
        </is>
      </c>
      <c r="B128" s="1" t="n">
        <v>45110</v>
      </c>
      <c r="C128" s="1" t="n">
        <v>45925</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10396-2025</t>
        </is>
      </c>
      <c r="B129" s="1" t="n">
        <v>45720.60721064815</v>
      </c>
      <c r="C129" s="1" t="n">
        <v>45925</v>
      </c>
      <c r="D129" t="inlineStr">
        <is>
          <t>VÄSTMANLANDS LÄN</t>
        </is>
      </c>
      <c r="E129" t="inlineStr">
        <is>
          <t>SURAHAMMAR</t>
        </is>
      </c>
      <c r="F129" t="inlineStr">
        <is>
          <t>Allmännings- och besparingsskogar</t>
        </is>
      </c>
      <c r="G129" t="n">
        <v>9.300000000000001</v>
      </c>
      <c r="H129" t="n">
        <v>0</v>
      </c>
      <c r="I129" t="n">
        <v>0</v>
      </c>
      <c r="J129" t="n">
        <v>0</v>
      </c>
      <c r="K129" t="n">
        <v>0</v>
      </c>
      <c r="L129" t="n">
        <v>0</v>
      </c>
      <c r="M129" t="n">
        <v>0</v>
      </c>
      <c r="N129" t="n">
        <v>0</v>
      </c>
      <c r="O129" t="n">
        <v>0</v>
      </c>
      <c r="P129" t="n">
        <v>0</v>
      </c>
      <c r="Q129" t="n">
        <v>0</v>
      </c>
      <c r="R129" s="2" t="inlineStr"/>
    </row>
    <row r="130" ht="15" customHeight="1">
      <c r="A130" t="inlineStr">
        <is>
          <t>A 7787-2024</t>
        </is>
      </c>
      <c r="B130" s="1" t="n">
        <v>45348</v>
      </c>
      <c r="C130" s="1" t="n">
        <v>45925</v>
      </c>
      <c r="D130" t="inlineStr">
        <is>
          <t>VÄSTMANLANDS LÄN</t>
        </is>
      </c>
      <c r="E130" t="inlineStr">
        <is>
          <t>SURAHAMMAR</t>
        </is>
      </c>
      <c r="G130" t="n">
        <v>1</v>
      </c>
      <c r="H130" t="n">
        <v>0</v>
      </c>
      <c r="I130" t="n">
        <v>0</v>
      </c>
      <c r="J130" t="n">
        <v>0</v>
      </c>
      <c r="K130" t="n">
        <v>0</v>
      </c>
      <c r="L130" t="n">
        <v>0</v>
      </c>
      <c r="M130" t="n">
        <v>0</v>
      </c>
      <c r="N130" t="n">
        <v>0</v>
      </c>
      <c r="O130" t="n">
        <v>0</v>
      </c>
      <c r="P130" t="n">
        <v>0</v>
      </c>
      <c r="Q130" t="n">
        <v>0</v>
      </c>
      <c r="R130" s="2" t="inlineStr"/>
    </row>
    <row r="131" ht="15" customHeight="1">
      <c r="A131" t="inlineStr">
        <is>
          <t>A 47785-2021</t>
        </is>
      </c>
      <c r="B131" s="1" t="n">
        <v>44448</v>
      </c>
      <c r="C131" s="1" t="n">
        <v>45925</v>
      </c>
      <c r="D131" t="inlineStr">
        <is>
          <t>VÄSTMANLANDS LÄN</t>
        </is>
      </c>
      <c r="E131" t="inlineStr">
        <is>
          <t>SURAHAMMAR</t>
        </is>
      </c>
      <c r="F131" t="inlineStr">
        <is>
          <t>Kommuner</t>
        </is>
      </c>
      <c r="G131" t="n">
        <v>3.3</v>
      </c>
      <c r="H131" t="n">
        <v>0</v>
      </c>
      <c r="I131" t="n">
        <v>0</v>
      </c>
      <c r="J131" t="n">
        <v>0</v>
      </c>
      <c r="K131" t="n">
        <v>0</v>
      </c>
      <c r="L131" t="n">
        <v>0</v>
      </c>
      <c r="M131" t="n">
        <v>0</v>
      </c>
      <c r="N131" t="n">
        <v>0</v>
      </c>
      <c r="O131" t="n">
        <v>0</v>
      </c>
      <c r="P131" t="n">
        <v>0</v>
      </c>
      <c r="Q131" t="n">
        <v>0</v>
      </c>
      <c r="R131" s="2" t="inlineStr"/>
    </row>
    <row r="132" ht="15" customHeight="1">
      <c r="A132" t="inlineStr">
        <is>
          <t>A 25417-2024</t>
        </is>
      </c>
      <c r="B132" s="1" t="n">
        <v>45463</v>
      </c>
      <c r="C132" s="1" t="n">
        <v>45925</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45925</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45925</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15739-2023</t>
        </is>
      </c>
      <c r="B135" s="1" t="n">
        <v>45021</v>
      </c>
      <c r="C135" s="1" t="n">
        <v>45925</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38154-2021</t>
        </is>
      </c>
      <c r="B136" s="1" t="n">
        <v>44405.42373842592</v>
      </c>
      <c r="C136" s="1" t="n">
        <v>45925</v>
      </c>
      <c r="D136" t="inlineStr">
        <is>
          <t>VÄSTMANLANDS LÄN</t>
        </is>
      </c>
      <c r="E136" t="inlineStr">
        <is>
          <t>SURAHAMMAR</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24665-2023</t>
        </is>
      </c>
      <c r="B137" s="1" t="n">
        <v>45084.48592592592</v>
      </c>
      <c r="C137" s="1" t="n">
        <v>45925</v>
      </c>
      <c r="D137" t="inlineStr">
        <is>
          <t>VÄSTMANLANDS LÄN</t>
        </is>
      </c>
      <c r="E137" t="inlineStr">
        <is>
          <t>SURAHAMMAR</t>
        </is>
      </c>
      <c r="G137" t="n">
        <v>0.9</v>
      </c>
      <c r="H137" t="n">
        <v>0</v>
      </c>
      <c r="I137" t="n">
        <v>0</v>
      </c>
      <c r="J137" t="n">
        <v>0</v>
      </c>
      <c r="K137" t="n">
        <v>0</v>
      </c>
      <c r="L137" t="n">
        <v>0</v>
      </c>
      <c r="M137" t="n">
        <v>0</v>
      </c>
      <c r="N137" t="n">
        <v>0</v>
      </c>
      <c r="O137" t="n">
        <v>0</v>
      </c>
      <c r="P137" t="n">
        <v>0</v>
      </c>
      <c r="Q137" t="n">
        <v>0</v>
      </c>
      <c r="R137" s="2" t="inlineStr"/>
    </row>
    <row r="138" ht="15" customHeight="1">
      <c r="A138" t="inlineStr">
        <is>
          <t>A 24167-2024</t>
        </is>
      </c>
      <c r="B138" s="1" t="n">
        <v>45456</v>
      </c>
      <c r="C138" s="1" t="n">
        <v>45925</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45925</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42714-2022</t>
        </is>
      </c>
      <c r="B140" s="1" t="n">
        <v>44832</v>
      </c>
      <c r="C140" s="1" t="n">
        <v>45925</v>
      </c>
      <c r="D140" t="inlineStr">
        <is>
          <t>VÄSTMANLANDS LÄN</t>
        </is>
      </c>
      <c r="E140" t="inlineStr">
        <is>
          <t>SURAHAMMAR</t>
        </is>
      </c>
      <c r="G140" t="n">
        <v>1.1</v>
      </c>
      <c r="H140" t="n">
        <v>0</v>
      </c>
      <c r="I140" t="n">
        <v>0</v>
      </c>
      <c r="J140" t="n">
        <v>0</v>
      </c>
      <c r="K140" t="n">
        <v>0</v>
      </c>
      <c r="L140" t="n">
        <v>0</v>
      </c>
      <c r="M140" t="n">
        <v>0</v>
      </c>
      <c r="N140" t="n">
        <v>0</v>
      </c>
      <c r="O140" t="n">
        <v>0</v>
      </c>
      <c r="P140" t="n">
        <v>0</v>
      </c>
      <c r="Q140" t="n">
        <v>0</v>
      </c>
      <c r="R140" s="2" t="inlineStr"/>
    </row>
    <row r="141" ht="15" customHeight="1">
      <c r="A141" t="inlineStr">
        <is>
          <t>A 37287-2023</t>
        </is>
      </c>
      <c r="B141" s="1" t="n">
        <v>45156</v>
      </c>
      <c r="C141" s="1" t="n">
        <v>45925</v>
      </c>
      <c r="D141" t="inlineStr">
        <is>
          <t>VÄSTMANLANDS LÄN</t>
        </is>
      </c>
      <c r="E141" t="inlineStr">
        <is>
          <t>SURAHAMMAR</t>
        </is>
      </c>
      <c r="G141" t="n">
        <v>0.6</v>
      </c>
      <c r="H141" t="n">
        <v>0</v>
      </c>
      <c r="I141" t="n">
        <v>0</v>
      </c>
      <c r="J141" t="n">
        <v>0</v>
      </c>
      <c r="K141" t="n">
        <v>0</v>
      </c>
      <c r="L141" t="n">
        <v>0</v>
      </c>
      <c r="M141" t="n">
        <v>0</v>
      </c>
      <c r="N141" t="n">
        <v>0</v>
      </c>
      <c r="O141" t="n">
        <v>0</v>
      </c>
      <c r="P141" t="n">
        <v>0</v>
      </c>
      <c r="Q141" t="n">
        <v>0</v>
      </c>
      <c r="R141" s="2" t="inlineStr"/>
    </row>
    <row r="142" ht="15" customHeight="1">
      <c r="A142" t="inlineStr">
        <is>
          <t>A 49058-2024</t>
        </is>
      </c>
      <c r="B142" s="1" t="n">
        <v>45594</v>
      </c>
      <c r="C142" s="1" t="n">
        <v>45925</v>
      </c>
      <c r="D142" t="inlineStr">
        <is>
          <t>VÄSTMANLANDS LÄN</t>
        </is>
      </c>
      <c r="E142" t="inlineStr">
        <is>
          <t>SURAHAMMAR</t>
        </is>
      </c>
      <c r="F142" t="inlineStr">
        <is>
          <t>Sveaskog</t>
        </is>
      </c>
      <c r="G142" t="n">
        <v>11.4</v>
      </c>
      <c r="H142" t="n">
        <v>0</v>
      </c>
      <c r="I142" t="n">
        <v>0</v>
      </c>
      <c r="J142" t="n">
        <v>0</v>
      </c>
      <c r="K142" t="n">
        <v>0</v>
      </c>
      <c r="L142" t="n">
        <v>0</v>
      </c>
      <c r="M142" t="n">
        <v>0</v>
      </c>
      <c r="N142" t="n">
        <v>0</v>
      </c>
      <c r="O142" t="n">
        <v>0</v>
      </c>
      <c r="P142" t="n">
        <v>0</v>
      </c>
      <c r="Q142" t="n">
        <v>0</v>
      </c>
      <c r="R142" s="2" t="inlineStr"/>
    </row>
    <row r="143" ht="15" customHeight="1">
      <c r="A143" t="inlineStr">
        <is>
          <t>A 49060-2024</t>
        </is>
      </c>
      <c r="B143" s="1" t="n">
        <v>45594</v>
      </c>
      <c r="C143" s="1" t="n">
        <v>45925</v>
      </c>
      <c r="D143" t="inlineStr">
        <is>
          <t>VÄSTMANLANDS LÄN</t>
        </is>
      </c>
      <c r="E143" t="inlineStr">
        <is>
          <t>SURAHAMMAR</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45925</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25780-2023</t>
        </is>
      </c>
      <c r="B145" s="1" t="n">
        <v>45090.47523148148</v>
      </c>
      <c r="C145" s="1" t="n">
        <v>45925</v>
      </c>
      <c r="D145" t="inlineStr">
        <is>
          <t>VÄSTMANLANDS LÄN</t>
        </is>
      </c>
      <c r="E145" t="inlineStr">
        <is>
          <t>SURAHAMMAR</t>
        </is>
      </c>
      <c r="G145" t="n">
        <v>2.8</v>
      </c>
      <c r="H145" t="n">
        <v>0</v>
      </c>
      <c r="I145" t="n">
        <v>0</v>
      </c>
      <c r="J145" t="n">
        <v>0</v>
      </c>
      <c r="K145" t="n">
        <v>0</v>
      </c>
      <c r="L145" t="n">
        <v>0</v>
      </c>
      <c r="M145" t="n">
        <v>0</v>
      </c>
      <c r="N145" t="n">
        <v>0</v>
      </c>
      <c r="O145" t="n">
        <v>0</v>
      </c>
      <c r="P145" t="n">
        <v>0</v>
      </c>
      <c r="Q145" t="n">
        <v>0</v>
      </c>
      <c r="R145" s="2" t="inlineStr"/>
    </row>
    <row r="146" ht="15" customHeight="1">
      <c r="A146" t="inlineStr">
        <is>
          <t>A 13386-2025</t>
        </is>
      </c>
      <c r="B146" s="1" t="n">
        <v>45735</v>
      </c>
      <c r="C146" s="1" t="n">
        <v>45925</v>
      </c>
      <c r="D146" t="inlineStr">
        <is>
          <t>VÄSTMANLANDS LÄN</t>
        </is>
      </c>
      <c r="E146" t="inlineStr">
        <is>
          <t>SURAHAMMAR</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35682-2022</t>
        </is>
      </c>
      <c r="B147" s="1" t="n">
        <v>44799.60422453703</v>
      </c>
      <c r="C147" s="1" t="n">
        <v>45925</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45925</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34582-2025</t>
        </is>
      </c>
      <c r="B149" s="1" t="n">
        <v>45846</v>
      </c>
      <c r="C149" s="1" t="n">
        <v>45925</v>
      </c>
      <c r="D149" t="inlineStr">
        <is>
          <t>VÄSTMANLANDS LÄN</t>
        </is>
      </c>
      <c r="E149" t="inlineStr">
        <is>
          <t>SURAHAMMAR</t>
        </is>
      </c>
      <c r="F149" t="inlineStr">
        <is>
          <t>Bergvik skog väst AB</t>
        </is>
      </c>
      <c r="G149" t="n">
        <v>2.6</v>
      </c>
      <c r="H149" t="n">
        <v>0</v>
      </c>
      <c r="I149" t="n">
        <v>0</v>
      </c>
      <c r="J149" t="n">
        <v>0</v>
      </c>
      <c r="K149" t="n">
        <v>0</v>
      </c>
      <c r="L149" t="n">
        <v>0</v>
      </c>
      <c r="M149" t="n">
        <v>0</v>
      </c>
      <c r="N149" t="n">
        <v>0</v>
      </c>
      <c r="O149" t="n">
        <v>0</v>
      </c>
      <c r="P149" t="n">
        <v>0</v>
      </c>
      <c r="Q149" t="n">
        <v>0</v>
      </c>
      <c r="R149" s="2" t="inlineStr"/>
    </row>
    <row r="150" ht="15" customHeight="1">
      <c r="A150" t="inlineStr">
        <is>
          <t>A 2867-2024</t>
        </is>
      </c>
      <c r="B150" s="1" t="n">
        <v>45315</v>
      </c>
      <c r="C150" s="1" t="n">
        <v>45925</v>
      </c>
      <c r="D150" t="inlineStr">
        <is>
          <t>VÄSTMANLANDS LÄN</t>
        </is>
      </c>
      <c r="E150" t="inlineStr">
        <is>
          <t>SURAHAMMAR</t>
        </is>
      </c>
      <c r="F150" t="inlineStr">
        <is>
          <t>Bergvik skog väst AB</t>
        </is>
      </c>
      <c r="G150" t="n">
        <v>1.4</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45925</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45925</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5567-2022</t>
        </is>
      </c>
      <c r="B153" s="1" t="n">
        <v>44595</v>
      </c>
      <c r="C153" s="1" t="n">
        <v>45925</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c r="A154" t="inlineStr">
        <is>
          <t>A 41576-2022</t>
        </is>
      </c>
      <c r="B154" s="1" t="n">
        <v>44826</v>
      </c>
      <c r="C154" s="1" t="n">
        <v>45925</v>
      </c>
      <c r="D154" t="inlineStr">
        <is>
          <t>VÄSTMANLANDS LÄN</t>
        </is>
      </c>
      <c r="E154" t="inlineStr">
        <is>
          <t>SURAHAMMAR</t>
        </is>
      </c>
      <c r="F154" t="inlineStr">
        <is>
          <t>Bergvik skog väst AB</t>
        </is>
      </c>
      <c r="G154" t="n">
        <v>6.4</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2025-09-25T10:38:25Z</dcterms:created>
  <dcterms:modified xmlns:dcterms="http://purl.org/dc/terms/" xmlns:xsi="http://www.w3.org/2001/XMLSchema-instance" xsi:type="dcterms:W3CDTF">2025-09-25T10:38:25Z</dcterms:modified>
</cp:coreProperties>
</file>