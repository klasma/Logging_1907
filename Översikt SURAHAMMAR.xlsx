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45749</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45749</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45749</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45749</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45749</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45749</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45749</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45749</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45749</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45749</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45749</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45749</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45749</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45749</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45749</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45749</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45749</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45749</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45749</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45749</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45749</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45749</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45749</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45749</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45749</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45749</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45749</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45749</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45749</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57412-2020</t>
        </is>
      </c>
      <c r="B55" s="1" t="n">
        <v>44138</v>
      </c>
      <c r="C55" s="1" t="n">
        <v>45749</v>
      </c>
      <c r="D55" t="inlineStr">
        <is>
          <t>VÄSTMANLANDS LÄN</t>
        </is>
      </c>
      <c r="E55" t="inlineStr">
        <is>
          <t>SURAHAMMAR</t>
        </is>
      </c>
      <c r="G55" t="n">
        <v>2.9</v>
      </c>
      <c r="H55" t="n">
        <v>2</v>
      </c>
      <c r="I55" t="n">
        <v>0</v>
      </c>
      <c r="J55" t="n">
        <v>2</v>
      </c>
      <c r="K55" t="n">
        <v>0</v>
      </c>
      <c r="L55" t="n">
        <v>0</v>
      </c>
      <c r="M55" t="n">
        <v>0</v>
      </c>
      <c r="N55" t="n">
        <v>0</v>
      </c>
      <c r="O55" t="n">
        <v>2</v>
      </c>
      <c r="P55" t="n">
        <v>0</v>
      </c>
      <c r="Q55" t="n">
        <v>2</v>
      </c>
      <c r="R55" s="2" t="inlineStr">
        <is>
          <t>Duvhök
Gulsparv</t>
        </is>
      </c>
      <c r="S55">
        <f>HYPERLINK("https://klasma.github.io/Logging_1907/artfynd/A 57412-2020 artfynd.xlsx", "A 57412-2020")</f>
        <v/>
      </c>
      <c r="T55">
        <f>HYPERLINK("https://klasma.github.io/Logging_1907/kartor/A 57412-2020 karta.png", "A 57412-2020")</f>
        <v/>
      </c>
      <c r="V55">
        <f>HYPERLINK("https://klasma.github.io/Logging_1907/klagomål/A 57412-2020 FSC-klagomål.docx", "A 57412-2020")</f>
        <v/>
      </c>
      <c r="W55">
        <f>HYPERLINK("https://klasma.github.io/Logging_1907/klagomålsmail/A 57412-2020 FSC-klagomål mail.docx", "A 57412-2020")</f>
        <v/>
      </c>
      <c r="X55">
        <f>HYPERLINK("https://klasma.github.io/Logging_1907/tillsyn/A 57412-2020 tillsynsbegäran.docx", "A 57412-2020")</f>
        <v/>
      </c>
      <c r="Y55">
        <f>HYPERLINK("https://klasma.github.io/Logging_1907/tillsynsmail/A 57412-2020 tillsynsbegäran mail.docx", "A 57412-2020")</f>
        <v/>
      </c>
      <c r="Z55">
        <f>HYPERLINK("https://klasma.github.io/Logging_1907/fåglar/A 57412-2020 prioriterade fågelarter.docx", "A 57412-2020")</f>
        <v/>
      </c>
    </row>
    <row r="56" ht="15" customHeight="1">
      <c r="A56" t="inlineStr">
        <is>
          <t>A 21825-2021</t>
        </is>
      </c>
      <c r="B56" s="1" t="n">
        <v>44322</v>
      </c>
      <c r="C56" s="1" t="n">
        <v>45749</v>
      </c>
      <c r="D56" t="inlineStr">
        <is>
          <t>VÄSTMANLANDS LÄN</t>
        </is>
      </c>
      <c r="E56" t="inlineStr">
        <is>
          <t>SURAHAMMAR</t>
        </is>
      </c>
      <c r="G56" t="n">
        <v>4.7</v>
      </c>
      <c r="H56" t="n">
        <v>1</v>
      </c>
      <c r="I56" t="n">
        <v>0</v>
      </c>
      <c r="J56" t="n">
        <v>1</v>
      </c>
      <c r="K56" t="n">
        <v>0</v>
      </c>
      <c r="L56" t="n">
        <v>0</v>
      </c>
      <c r="M56" t="n">
        <v>0</v>
      </c>
      <c r="N56" t="n">
        <v>0</v>
      </c>
      <c r="O56" t="n">
        <v>1</v>
      </c>
      <c r="P56" t="n">
        <v>0</v>
      </c>
      <c r="Q56" t="n">
        <v>2</v>
      </c>
      <c r="R56" s="2" t="inlineStr">
        <is>
          <t>Svinrot
Blåsippa</t>
        </is>
      </c>
      <c r="S56">
        <f>HYPERLINK("https://klasma.github.io/Logging_1907/artfynd/A 21825-2021 artfynd.xlsx", "A 21825-2021")</f>
        <v/>
      </c>
      <c r="T56">
        <f>HYPERLINK("https://klasma.github.io/Logging_1907/kartor/A 21825-2021 karta.png", "A 21825-2021")</f>
        <v/>
      </c>
      <c r="V56">
        <f>HYPERLINK("https://klasma.github.io/Logging_1907/klagomål/A 21825-2021 FSC-klagomål.docx", "A 21825-2021")</f>
        <v/>
      </c>
      <c r="W56">
        <f>HYPERLINK("https://klasma.github.io/Logging_1907/klagomålsmail/A 21825-2021 FSC-klagomål mail.docx", "A 21825-2021")</f>
        <v/>
      </c>
      <c r="X56">
        <f>HYPERLINK("https://klasma.github.io/Logging_1907/tillsyn/A 21825-2021 tillsynsbegäran.docx", "A 21825-2021")</f>
        <v/>
      </c>
      <c r="Y56">
        <f>HYPERLINK("https://klasma.github.io/Logging_1907/tillsynsmail/A 21825-2021 tillsynsbegäran mail.docx", "A 21825-2021")</f>
        <v/>
      </c>
    </row>
    <row r="57" ht="15" customHeight="1">
      <c r="A57" t="inlineStr">
        <is>
          <t>A 37801-2021</t>
        </is>
      </c>
      <c r="B57" s="1" t="n">
        <v>44402</v>
      </c>
      <c r="C57" s="1" t="n">
        <v>45749</v>
      </c>
      <c r="D57" t="inlineStr">
        <is>
          <t>VÄSTMANLANDS LÄN</t>
        </is>
      </c>
      <c r="E57" t="inlineStr">
        <is>
          <t>SURAHAMMAR</t>
        </is>
      </c>
      <c r="F57" t="inlineStr">
        <is>
          <t>Kommuner</t>
        </is>
      </c>
      <c r="G57" t="n">
        <v>2.3</v>
      </c>
      <c r="H57" t="n">
        <v>1</v>
      </c>
      <c r="I57" t="n">
        <v>0</v>
      </c>
      <c r="J57" t="n">
        <v>1</v>
      </c>
      <c r="K57" t="n">
        <v>0</v>
      </c>
      <c r="L57" t="n">
        <v>0</v>
      </c>
      <c r="M57" t="n">
        <v>0</v>
      </c>
      <c r="N57" t="n">
        <v>0</v>
      </c>
      <c r="O57" t="n">
        <v>1</v>
      </c>
      <c r="P57" t="n">
        <v>0</v>
      </c>
      <c r="Q57" t="n">
        <v>2</v>
      </c>
      <c r="R57" s="2" t="inlineStr">
        <is>
          <t>Veckticka
Nattviol</t>
        </is>
      </c>
      <c r="S57">
        <f>HYPERLINK("https://klasma.github.io/Logging_1907/artfynd/A 37801-2021 artfynd.xlsx", "A 37801-2021")</f>
        <v/>
      </c>
      <c r="T57">
        <f>HYPERLINK("https://klasma.github.io/Logging_1907/kartor/A 37801-2021 karta.png", "A 37801-2021")</f>
        <v/>
      </c>
      <c r="V57">
        <f>HYPERLINK("https://klasma.github.io/Logging_1907/klagomål/A 37801-2021 FSC-klagomål.docx", "A 37801-2021")</f>
        <v/>
      </c>
      <c r="W57">
        <f>HYPERLINK("https://klasma.github.io/Logging_1907/klagomålsmail/A 37801-2021 FSC-klagomål mail.docx", "A 37801-2021")</f>
        <v/>
      </c>
      <c r="X57">
        <f>HYPERLINK("https://klasma.github.io/Logging_1907/tillsyn/A 37801-2021 tillsynsbegäran.docx", "A 37801-2021")</f>
        <v/>
      </c>
      <c r="Y57">
        <f>HYPERLINK("https://klasma.github.io/Logging_1907/tillsynsmail/A 37801-2021 tillsynsbegäran mail.docx", "A 37801-2021")</f>
        <v/>
      </c>
    </row>
    <row r="58" ht="15" customHeight="1">
      <c r="A58" t="inlineStr">
        <is>
          <t>A 37800-2021</t>
        </is>
      </c>
      <c r="B58" s="1" t="n">
        <v>44402</v>
      </c>
      <c r="C58" s="1" t="n">
        <v>45749</v>
      </c>
      <c r="D58" t="inlineStr">
        <is>
          <t>VÄSTMANLANDS LÄN</t>
        </is>
      </c>
      <c r="E58" t="inlineStr">
        <is>
          <t>SURAHAMMAR</t>
        </is>
      </c>
      <c r="F58" t="inlineStr">
        <is>
          <t>Kommuner</t>
        </is>
      </c>
      <c r="G58" t="n">
        <v>1.3</v>
      </c>
      <c r="H58" t="n">
        <v>1</v>
      </c>
      <c r="I58" t="n">
        <v>0</v>
      </c>
      <c r="J58" t="n">
        <v>1</v>
      </c>
      <c r="K58" t="n">
        <v>0</v>
      </c>
      <c r="L58" t="n">
        <v>0</v>
      </c>
      <c r="M58" t="n">
        <v>0</v>
      </c>
      <c r="N58" t="n">
        <v>0</v>
      </c>
      <c r="O58" t="n">
        <v>1</v>
      </c>
      <c r="P58" t="n">
        <v>0</v>
      </c>
      <c r="Q58" t="n">
        <v>2</v>
      </c>
      <c r="R58" s="2" t="inlineStr">
        <is>
          <t>Svinrot
Grönvit nattviol</t>
        </is>
      </c>
      <c r="S58">
        <f>HYPERLINK("https://klasma.github.io/Logging_1907/artfynd/A 37800-2021 artfynd.xlsx", "A 37800-2021")</f>
        <v/>
      </c>
      <c r="T58">
        <f>HYPERLINK("https://klasma.github.io/Logging_1907/kartor/A 37800-2021 karta.png", "A 37800-2021")</f>
        <v/>
      </c>
      <c r="V58">
        <f>HYPERLINK("https://klasma.github.io/Logging_1907/klagomål/A 37800-2021 FSC-klagomål.docx", "A 37800-2021")</f>
        <v/>
      </c>
      <c r="W58">
        <f>HYPERLINK("https://klasma.github.io/Logging_1907/klagomålsmail/A 37800-2021 FSC-klagomål mail.docx", "A 37800-2021")</f>
        <v/>
      </c>
      <c r="X58">
        <f>HYPERLINK("https://klasma.github.io/Logging_1907/tillsyn/A 37800-2021 tillsynsbegäran.docx", "A 37800-2021")</f>
        <v/>
      </c>
      <c r="Y58">
        <f>HYPERLINK("https://klasma.github.io/Logging_1907/tillsynsmail/A 37800-2021 tillsynsbegäran mail.docx", "A 37800-2021")</f>
        <v/>
      </c>
    </row>
    <row r="59" ht="15" customHeight="1">
      <c r="A59" t="inlineStr">
        <is>
          <t>A 57168-2021</t>
        </is>
      </c>
      <c r="B59" s="1" t="n">
        <v>44482</v>
      </c>
      <c r="C59" s="1" t="n">
        <v>45749</v>
      </c>
      <c r="D59" t="inlineStr">
        <is>
          <t>VÄSTMANLANDS LÄN</t>
        </is>
      </c>
      <c r="E59" t="inlineStr">
        <is>
          <t>SURAHAMMAR</t>
        </is>
      </c>
      <c r="G59" t="n">
        <v>1.7</v>
      </c>
      <c r="H59" t="n">
        <v>0</v>
      </c>
      <c r="I59" t="n">
        <v>0</v>
      </c>
      <c r="J59" t="n">
        <v>1</v>
      </c>
      <c r="K59" t="n">
        <v>0</v>
      </c>
      <c r="L59" t="n">
        <v>1</v>
      </c>
      <c r="M59" t="n">
        <v>0</v>
      </c>
      <c r="N59" t="n">
        <v>0</v>
      </c>
      <c r="O59" t="n">
        <v>2</v>
      </c>
      <c r="P59" t="n">
        <v>1</v>
      </c>
      <c r="Q59" t="n">
        <v>2</v>
      </c>
      <c r="R59" s="2" t="inlineStr">
        <is>
          <t>Ask
Svartöra</t>
        </is>
      </c>
      <c r="S59">
        <f>HYPERLINK("https://klasma.github.io/Logging_1907/artfynd/A 57168-2021 artfynd.xlsx", "A 57168-2021")</f>
        <v/>
      </c>
      <c r="T59">
        <f>HYPERLINK("https://klasma.github.io/Logging_1907/kartor/A 57168-2021 karta.png", "A 57168-2021")</f>
        <v/>
      </c>
      <c r="V59">
        <f>HYPERLINK("https://klasma.github.io/Logging_1907/klagomål/A 57168-2021 FSC-klagomål.docx", "A 57168-2021")</f>
        <v/>
      </c>
      <c r="W59">
        <f>HYPERLINK("https://klasma.github.io/Logging_1907/klagomålsmail/A 57168-2021 FSC-klagomål mail.docx", "A 57168-2021")</f>
        <v/>
      </c>
      <c r="X59">
        <f>HYPERLINK("https://klasma.github.io/Logging_1907/tillsyn/A 57168-2021 tillsynsbegäran.docx", "A 57168-2021")</f>
        <v/>
      </c>
      <c r="Y59">
        <f>HYPERLINK("https://klasma.github.io/Logging_1907/tillsynsmail/A 57168-2021 tillsynsbegäran mail.docx", "A 57168-2021")</f>
        <v/>
      </c>
    </row>
    <row r="60" ht="15" customHeight="1">
      <c r="A60" t="inlineStr">
        <is>
          <t>A 66343-2021</t>
        </is>
      </c>
      <c r="B60" s="1" t="n">
        <v>44518</v>
      </c>
      <c r="C60" s="1" t="n">
        <v>45749</v>
      </c>
      <c r="D60" t="inlineStr">
        <is>
          <t>VÄSTMANLANDS LÄN</t>
        </is>
      </c>
      <c r="E60" t="inlineStr">
        <is>
          <t>SURAHAMMAR</t>
        </is>
      </c>
      <c r="F60" t="inlineStr">
        <is>
          <t>Sveaskog</t>
        </is>
      </c>
      <c r="G60" t="n">
        <v>2.5</v>
      </c>
      <c r="H60" t="n">
        <v>0</v>
      </c>
      <c r="I60" t="n">
        <v>1</v>
      </c>
      <c r="J60" t="n">
        <v>0</v>
      </c>
      <c r="K60" t="n">
        <v>1</v>
      </c>
      <c r="L60" t="n">
        <v>0</v>
      </c>
      <c r="M60" t="n">
        <v>0</v>
      </c>
      <c r="N60" t="n">
        <v>0</v>
      </c>
      <c r="O60" t="n">
        <v>1</v>
      </c>
      <c r="P60" t="n">
        <v>1</v>
      </c>
      <c r="Q60" t="n">
        <v>2</v>
      </c>
      <c r="R60" s="2" t="inlineStr">
        <is>
          <t>Torrmusseron
Blåmossa</t>
        </is>
      </c>
      <c r="S60">
        <f>HYPERLINK("https://klasma.github.io/Logging_1907/artfynd/A 66343-2021 artfynd.xlsx", "A 66343-2021")</f>
        <v/>
      </c>
      <c r="T60">
        <f>HYPERLINK("https://klasma.github.io/Logging_1907/kartor/A 66343-2021 karta.png", "A 66343-2021")</f>
        <v/>
      </c>
      <c r="V60">
        <f>HYPERLINK("https://klasma.github.io/Logging_1907/klagomål/A 66343-2021 FSC-klagomål.docx", "A 66343-2021")</f>
        <v/>
      </c>
      <c r="W60">
        <f>HYPERLINK("https://klasma.github.io/Logging_1907/klagomålsmail/A 66343-2021 FSC-klagomål mail.docx", "A 66343-2021")</f>
        <v/>
      </c>
      <c r="X60">
        <f>HYPERLINK("https://klasma.github.io/Logging_1907/tillsyn/A 66343-2021 tillsynsbegäran.docx", "A 66343-2021")</f>
        <v/>
      </c>
      <c r="Y60">
        <f>HYPERLINK("https://klasma.github.io/Logging_1907/tillsynsmail/A 66343-2021 tillsynsbegäran mail.docx", "A 66343-2021")</f>
        <v/>
      </c>
    </row>
    <row r="61" ht="15" customHeight="1">
      <c r="A61" t="inlineStr">
        <is>
          <t>A 7845-2022</t>
        </is>
      </c>
      <c r="B61" s="1" t="n">
        <v>44608</v>
      </c>
      <c r="C61" s="1" t="n">
        <v>45749</v>
      </c>
      <c r="D61" t="inlineStr">
        <is>
          <t>VÄSTMANLANDS LÄN</t>
        </is>
      </c>
      <c r="E61" t="inlineStr">
        <is>
          <t>SURAHAMMAR</t>
        </is>
      </c>
      <c r="G61" t="n">
        <v>3</v>
      </c>
      <c r="H61" t="n">
        <v>1</v>
      </c>
      <c r="I61" t="n">
        <v>1</v>
      </c>
      <c r="J61" t="n">
        <v>0</v>
      </c>
      <c r="K61" t="n">
        <v>1</v>
      </c>
      <c r="L61" t="n">
        <v>0</v>
      </c>
      <c r="M61" t="n">
        <v>0</v>
      </c>
      <c r="N61" t="n">
        <v>0</v>
      </c>
      <c r="O61" t="n">
        <v>1</v>
      </c>
      <c r="P61" t="n">
        <v>1</v>
      </c>
      <c r="Q61" t="n">
        <v>2</v>
      </c>
      <c r="R61" s="2" t="inlineStr">
        <is>
          <t>Knärot
Vedticka</t>
        </is>
      </c>
      <c r="S61">
        <f>HYPERLINK("https://klasma.github.io/Logging_1907/artfynd/A 7845-2022 artfynd.xlsx", "A 7845-2022")</f>
        <v/>
      </c>
      <c r="T61">
        <f>HYPERLINK("https://klasma.github.io/Logging_1907/kartor/A 7845-2022 karta.png", "A 7845-2022")</f>
        <v/>
      </c>
      <c r="U61">
        <f>HYPERLINK("https://klasma.github.io/Logging_1907/knärot/A 7845-2022 karta knärot.png", "A 7845-2022")</f>
        <v/>
      </c>
      <c r="V61">
        <f>HYPERLINK("https://klasma.github.io/Logging_1907/klagomål/A 7845-2022 FSC-klagomål.docx", "A 7845-2022")</f>
        <v/>
      </c>
      <c r="W61">
        <f>HYPERLINK("https://klasma.github.io/Logging_1907/klagomålsmail/A 7845-2022 FSC-klagomål mail.docx", "A 7845-2022")</f>
        <v/>
      </c>
      <c r="X61">
        <f>HYPERLINK("https://klasma.github.io/Logging_1907/tillsyn/A 7845-2022 tillsynsbegäran.docx", "A 7845-2022")</f>
        <v/>
      </c>
      <c r="Y61">
        <f>HYPERLINK("https://klasma.github.io/Logging_1907/tillsynsmail/A 7845-2022 tillsynsbegäran mail.docx", "A 7845-2022")</f>
        <v/>
      </c>
    </row>
    <row r="62" ht="15" customHeight="1">
      <c r="A62" t="inlineStr">
        <is>
          <t>A 16217-2023</t>
        </is>
      </c>
      <c r="B62" s="1" t="n">
        <v>45022</v>
      </c>
      <c r="C62" s="1" t="n">
        <v>45749</v>
      </c>
      <c r="D62" t="inlineStr">
        <is>
          <t>VÄSTMANLANDS LÄN</t>
        </is>
      </c>
      <c r="E62" t="inlineStr">
        <is>
          <t>SURAHAMMAR</t>
        </is>
      </c>
      <c r="G62" t="n">
        <v>2.6</v>
      </c>
      <c r="H62" t="n">
        <v>1</v>
      </c>
      <c r="I62" t="n">
        <v>1</v>
      </c>
      <c r="J62" t="n">
        <v>1</v>
      </c>
      <c r="K62" t="n">
        <v>0</v>
      </c>
      <c r="L62" t="n">
        <v>0</v>
      </c>
      <c r="M62" t="n">
        <v>0</v>
      </c>
      <c r="N62" t="n">
        <v>0</v>
      </c>
      <c r="O62" t="n">
        <v>1</v>
      </c>
      <c r="P62" t="n">
        <v>0</v>
      </c>
      <c r="Q62" t="n">
        <v>2</v>
      </c>
      <c r="R62" s="2" t="inlineStr">
        <is>
          <t>Tretåig hackspett
Gullgröppa</t>
        </is>
      </c>
      <c r="S62">
        <f>HYPERLINK("https://klasma.github.io/Logging_1907/artfynd/A 16217-2023 artfynd.xlsx", "A 16217-2023")</f>
        <v/>
      </c>
      <c r="T62">
        <f>HYPERLINK("https://klasma.github.io/Logging_1907/kartor/A 16217-2023 karta.png", "A 16217-2023")</f>
        <v/>
      </c>
      <c r="V62">
        <f>HYPERLINK("https://klasma.github.io/Logging_1907/klagomål/A 16217-2023 FSC-klagomål.docx", "A 16217-2023")</f>
        <v/>
      </c>
      <c r="W62">
        <f>HYPERLINK("https://klasma.github.io/Logging_1907/klagomålsmail/A 16217-2023 FSC-klagomål mail.docx", "A 16217-2023")</f>
        <v/>
      </c>
      <c r="X62">
        <f>HYPERLINK("https://klasma.github.io/Logging_1907/tillsyn/A 16217-2023 tillsynsbegäran.docx", "A 16217-2023")</f>
        <v/>
      </c>
      <c r="Y62">
        <f>HYPERLINK("https://klasma.github.io/Logging_1907/tillsynsmail/A 16217-2023 tillsynsbegäran mail.docx", "A 16217-2023")</f>
        <v/>
      </c>
      <c r="Z62">
        <f>HYPERLINK("https://klasma.github.io/Logging_1907/fåglar/A 16217-2023 prioriterade fågelarter.docx", "A 16217-2023")</f>
        <v/>
      </c>
    </row>
    <row r="63" ht="15" customHeight="1">
      <c r="A63" t="inlineStr">
        <is>
          <t>A 28043-2023</t>
        </is>
      </c>
      <c r="B63" s="1" t="n">
        <v>45099</v>
      </c>
      <c r="C63" s="1" t="n">
        <v>45749</v>
      </c>
      <c r="D63" t="inlineStr">
        <is>
          <t>VÄSTMANLANDS LÄN</t>
        </is>
      </c>
      <c r="E63" t="inlineStr">
        <is>
          <t>SURAHAMMAR</t>
        </is>
      </c>
      <c r="F63" t="inlineStr">
        <is>
          <t>Allmännings- och besparingsskogar</t>
        </is>
      </c>
      <c r="G63" t="n">
        <v>23.9</v>
      </c>
      <c r="H63" t="n">
        <v>1</v>
      </c>
      <c r="I63" t="n">
        <v>0</v>
      </c>
      <c r="J63" t="n">
        <v>1</v>
      </c>
      <c r="K63" t="n">
        <v>0</v>
      </c>
      <c r="L63" t="n">
        <v>0</v>
      </c>
      <c r="M63" t="n">
        <v>0</v>
      </c>
      <c r="N63" t="n">
        <v>0</v>
      </c>
      <c r="O63" t="n">
        <v>1</v>
      </c>
      <c r="P63" t="n">
        <v>0</v>
      </c>
      <c r="Q63" t="n">
        <v>2</v>
      </c>
      <c r="R63" s="2" t="inlineStr">
        <is>
          <t>Gropticka
Revlummer</t>
        </is>
      </c>
      <c r="S63">
        <f>HYPERLINK("https://klasma.github.io/Logging_1907/artfynd/A 28043-2023 artfynd.xlsx", "A 28043-2023")</f>
        <v/>
      </c>
      <c r="T63">
        <f>HYPERLINK("https://klasma.github.io/Logging_1907/kartor/A 28043-2023 karta.png", "A 28043-2023")</f>
        <v/>
      </c>
      <c r="V63">
        <f>HYPERLINK("https://klasma.github.io/Logging_1907/klagomål/A 28043-2023 FSC-klagomål.docx", "A 28043-2023")</f>
        <v/>
      </c>
      <c r="W63">
        <f>HYPERLINK("https://klasma.github.io/Logging_1907/klagomålsmail/A 28043-2023 FSC-klagomål mail.docx", "A 28043-2023")</f>
        <v/>
      </c>
      <c r="X63">
        <f>HYPERLINK("https://klasma.github.io/Logging_1907/tillsyn/A 28043-2023 tillsynsbegäran.docx", "A 28043-2023")</f>
        <v/>
      </c>
      <c r="Y63">
        <f>HYPERLINK("https://klasma.github.io/Logging_1907/tillsynsmail/A 28043-2023 tillsynsbegäran mail.docx", "A 28043-2023")</f>
        <v/>
      </c>
    </row>
    <row r="64" ht="15" customHeight="1">
      <c r="A64" t="inlineStr">
        <is>
          <t>A 41204-2023</t>
        </is>
      </c>
      <c r="B64" s="1" t="n">
        <v>45174</v>
      </c>
      <c r="C64" s="1" t="n">
        <v>45749</v>
      </c>
      <c r="D64" t="inlineStr">
        <is>
          <t>VÄSTMANLANDS LÄN</t>
        </is>
      </c>
      <c r="E64" t="inlineStr">
        <is>
          <t>SURAHAMMAR</t>
        </is>
      </c>
      <c r="G64" t="n">
        <v>1</v>
      </c>
      <c r="H64" t="n">
        <v>1</v>
      </c>
      <c r="I64" t="n">
        <v>0</v>
      </c>
      <c r="J64" t="n">
        <v>1</v>
      </c>
      <c r="K64" t="n">
        <v>1</v>
      </c>
      <c r="L64" t="n">
        <v>0</v>
      </c>
      <c r="M64" t="n">
        <v>0</v>
      </c>
      <c r="N64" t="n">
        <v>0</v>
      </c>
      <c r="O64" t="n">
        <v>2</v>
      </c>
      <c r="P64" t="n">
        <v>1</v>
      </c>
      <c r="Q64" t="n">
        <v>2</v>
      </c>
      <c r="R64" s="2" t="inlineStr">
        <is>
          <t>Knärot
Vedtrappmossa</t>
        </is>
      </c>
      <c r="S64">
        <f>HYPERLINK("https://klasma.github.io/Logging_1907/artfynd/A 41204-2023 artfynd.xlsx", "A 41204-2023")</f>
        <v/>
      </c>
      <c r="T64">
        <f>HYPERLINK("https://klasma.github.io/Logging_1907/kartor/A 41204-2023 karta.png", "A 41204-2023")</f>
        <v/>
      </c>
      <c r="U64">
        <f>HYPERLINK("https://klasma.github.io/Logging_1907/knärot/A 41204-2023 karta knärot.png", "A 41204-2023")</f>
        <v/>
      </c>
      <c r="V64">
        <f>HYPERLINK("https://klasma.github.io/Logging_1907/klagomål/A 41204-2023 FSC-klagomål.docx", "A 41204-2023")</f>
        <v/>
      </c>
      <c r="W64">
        <f>HYPERLINK("https://klasma.github.io/Logging_1907/klagomålsmail/A 41204-2023 FSC-klagomål mail.docx", "A 41204-2023")</f>
        <v/>
      </c>
      <c r="X64">
        <f>HYPERLINK("https://klasma.github.io/Logging_1907/tillsyn/A 41204-2023 tillsynsbegäran.docx", "A 41204-2023")</f>
        <v/>
      </c>
      <c r="Y64">
        <f>HYPERLINK("https://klasma.github.io/Logging_1907/tillsynsmail/A 41204-2023 tillsynsbegäran mail.docx", "A 41204-2023")</f>
        <v/>
      </c>
    </row>
    <row r="65" ht="15" customHeight="1">
      <c r="A65" t="inlineStr">
        <is>
          <t>A 7796-2024</t>
        </is>
      </c>
      <c r="B65" s="1" t="n">
        <v>45348</v>
      </c>
      <c r="C65" s="1" t="n">
        <v>45749</v>
      </c>
      <c r="D65" t="inlineStr">
        <is>
          <t>VÄSTMANLANDS LÄN</t>
        </is>
      </c>
      <c r="E65" t="inlineStr">
        <is>
          <t>SURAHAMMAR</t>
        </is>
      </c>
      <c r="G65" t="n">
        <v>10.5</v>
      </c>
      <c r="H65" t="n">
        <v>1</v>
      </c>
      <c r="I65" t="n">
        <v>1</v>
      </c>
      <c r="J65" t="n">
        <v>1</v>
      </c>
      <c r="K65" t="n">
        <v>0</v>
      </c>
      <c r="L65" t="n">
        <v>0</v>
      </c>
      <c r="M65" t="n">
        <v>0</v>
      </c>
      <c r="N65" t="n">
        <v>0</v>
      </c>
      <c r="O65" t="n">
        <v>1</v>
      </c>
      <c r="P65" t="n">
        <v>0</v>
      </c>
      <c r="Q65" t="n">
        <v>2</v>
      </c>
      <c r="R65" s="2" t="inlineStr">
        <is>
          <t>Ullticka
Plattlummer</t>
        </is>
      </c>
      <c r="S65">
        <f>HYPERLINK("https://klasma.github.io/Logging_1907/artfynd/A 7796-2024 artfynd.xlsx", "A 7796-2024")</f>
        <v/>
      </c>
      <c r="T65">
        <f>HYPERLINK("https://klasma.github.io/Logging_1907/kartor/A 7796-2024 karta.png", "A 7796-2024")</f>
        <v/>
      </c>
      <c r="V65">
        <f>HYPERLINK("https://klasma.github.io/Logging_1907/klagomål/A 7796-2024 FSC-klagomål.docx", "A 7796-2024")</f>
        <v/>
      </c>
      <c r="W65">
        <f>HYPERLINK("https://klasma.github.io/Logging_1907/klagomålsmail/A 7796-2024 FSC-klagomål mail.docx", "A 7796-2024")</f>
        <v/>
      </c>
      <c r="X65">
        <f>HYPERLINK("https://klasma.github.io/Logging_1907/tillsyn/A 7796-2024 tillsynsbegäran.docx", "A 7796-2024")</f>
        <v/>
      </c>
      <c r="Y65">
        <f>HYPERLINK("https://klasma.github.io/Logging_1907/tillsynsmail/A 7796-2024 tillsynsbegäran mail.docx", "A 7796-2024")</f>
        <v/>
      </c>
    </row>
    <row r="66" ht="15" customHeight="1">
      <c r="A66" t="inlineStr">
        <is>
          <t>A 19120-2024</t>
        </is>
      </c>
      <c r="B66" s="1" t="n">
        <v>45428</v>
      </c>
      <c r="C66" s="1" t="n">
        <v>45749</v>
      </c>
      <c r="D66" t="inlineStr">
        <is>
          <t>VÄSTMANLANDS LÄN</t>
        </is>
      </c>
      <c r="E66" t="inlineStr">
        <is>
          <t>SURAHAMMAR</t>
        </is>
      </c>
      <c r="F66" t="inlineStr">
        <is>
          <t>Allmännings- och besparingsskogar</t>
        </is>
      </c>
      <c r="G66" t="n">
        <v>17.5</v>
      </c>
      <c r="H66" t="n">
        <v>0</v>
      </c>
      <c r="I66" t="n">
        <v>1</v>
      </c>
      <c r="J66" t="n">
        <v>1</v>
      </c>
      <c r="K66" t="n">
        <v>0</v>
      </c>
      <c r="L66" t="n">
        <v>0</v>
      </c>
      <c r="M66" t="n">
        <v>0</v>
      </c>
      <c r="N66" t="n">
        <v>0</v>
      </c>
      <c r="O66" t="n">
        <v>1</v>
      </c>
      <c r="P66" t="n">
        <v>0</v>
      </c>
      <c r="Q66" t="n">
        <v>2</v>
      </c>
      <c r="R66" s="2" t="inlineStr">
        <is>
          <t>Tallticka
Vedticka</t>
        </is>
      </c>
      <c r="S66">
        <f>HYPERLINK("https://klasma.github.io/Logging_1907/artfynd/A 19120-2024 artfynd.xlsx", "A 19120-2024")</f>
        <v/>
      </c>
      <c r="T66">
        <f>HYPERLINK("https://klasma.github.io/Logging_1907/kartor/A 19120-2024 karta.png", "A 19120-2024")</f>
        <v/>
      </c>
      <c r="V66">
        <f>HYPERLINK("https://klasma.github.io/Logging_1907/klagomål/A 19120-2024 FSC-klagomål.docx", "A 19120-2024")</f>
        <v/>
      </c>
      <c r="W66">
        <f>HYPERLINK("https://klasma.github.io/Logging_1907/klagomålsmail/A 19120-2024 FSC-klagomål mail.docx", "A 19120-2024")</f>
        <v/>
      </c>
      <c r="X66">
        <f>HYPERLINK("https://klasma.github.io/Logging_1907/tillsyn/A 19120-2024 tillsynsbegäran.docx", "A 19120-2024")</f>
        <v/>
      </c>
      <c r="Y66">
        <f>HYPERLINK("https://klasma.github.io/Logging_1907/tillsynsmail/A 19120-2024 tillsynsbegäran mail.docx", "A 19120-2024")</f>
        <v/>
      </c>
    </row>
    <row r="67" ht="15" customHeight="1">
      <c r="A67" t="inlineStr">
        <is>
          <t>A 20705-2024</t>
        </is>
      </c>
      <c r="B67" s="1" t="n">
        <v>45436</v>
      </c>
      <c r="C67" s="1" t="n">
        <v>45749</v>
      </c>
      <c r="D67" t="inlineStr">
        <is>
          <t>VÄSTMANLANDS LÄN</t>
        </is>
      </c>
      <c r="E67" t="inlineStr">
        <is>
          <t>SURAHAMMAR</t>
        </is>
      </c>
      <c r="F67" t="inlineStr">
        <is>
          <t>Bergvik skog väst AB</t>
        </is>
      </c>
      <c r="G67" t="n">
        <v>4</v>
      </c>
      <c r="H67" t="n">
        <v>0</v>
      </c>
      <c r="I67" t="n">
        <v>1</v>
      </c>
      <c r="J67" t="n">
        <v>1</v>
      </c>
      <c r="K67" t="n">
        <v>0</v>
      </c>
      <c r="L67" t="n">
        <v>0</v>
      </c>
      <c r="M67" t="n">
        <v>0</v>
      </c>
      <c r="N67" t="n">
        <v>0</v>
      </c>
      <c r="O67" t="n">
        <v>1</v>
      </c>
      <c r="P67" t="n">
        <v>0</v>
      </c>
      <c r="Q67" t="n">
        <v>2</v>
      </c>
      <c r="R67" s="2" t="inlineStr">
        <is>
          <t>Kandelabersvamp
Rävticka</t>
        </is>
      </c>
      <c r="S67">
        <f>HYPERLINK("https://klasma.github.io/Logging_1907/artfynd/A 20705-2024 artfynd.xlsx", "A 20705-2024")</f>
        <v/>
      </c>
      <c r="T67">
        <f>HYPERLINK("https://klasma.github.io/Logging_1907/kartor/A 20705-2024 karta.png", "A 20705-2024")</f>
        <v/>
      </c>
      <c r="V67">
        <f>HYPERLINK("https://klasma.github.io/Logging_1907/klagomål/A 20705-2024 FSC-klagomål.docx", "A 20705-2024")</f>
        <v/>
      </c>
      <c r="W67">
        <f>HYPERLINK("https://klasma.github.io/Logging_1907/klagomålsmail/A 20705-2024 FSC-klagomål mail.docx", "A 20705-2024")</f>
        <v/>
      </c>
      <c r="X67">
        <f>HYPERLINK("https://klasma.github.io/Logging_1907/tillsyn/A 20705-2024 tillsynsbegäran.docx", "A 20705-2024")</f>
        <v/>
      </c>
      <c r="Y67">
        <f>HYPERLINK("https://klasma.github.io/Logging_1907/tillsynsmail/A 20705-2024 tillsynsbegäran mail.docx", "A 20705-2024")</f>
        <v/>
      </c>
    </row>
    <row r="68" ht="15" customHeight="1">
      <c r="A68" t="inlineStr">
        <is>
          <t>A 24538-2024</t>
        </is>
      </c>
      <c r="B68" s="1" t="n">
        <v>45460</v>
      </c>
      <c r="C68" s="1" t="n">
        <v>45749</v>
      </c>
      <c r="D68" t="inlineStr">
        <is>
          <t>VÄSTMANLANDS LÄN</t>
        </is>
      </c>
      <c r="E68" t="inlineStr">
        <is>
          <t>SURAHAMMAR</t>
        </is>
      </c>
      <c r="G68" t="n">
        <v>2.5</v>
      </c>
      <c r="H68" t="n">
        <v>1</v>
      </c>
      <c r="I68" t="n">
        <v>1</v>
      </c>
      <c r="J68" t="n">
        <v>0</v>
      </c>
      <c r="K68" t="n">
        <v>1</v>
      </c>
      <c r="L68" t="n">
        <v>0</v>
      </c>
      <c r="M68" t="n">
        <v>0</v>
      </c>
      <c r="N68" t="n">
        <v>0</v>
      </c>
      <c r="O68" t="n">
        <v>1</v>
      </c>
      <c r="P68" t="n">
        <v>1</v>
      </c>
      <c r="Q68" t="n">
        <v>2</v>
      </c>
      <c r="R68" s="2" t="inlineStr">
        <is>
          <t>Knärot
Vedticka</t>
        </is>
      </c>
      <c r="S68">
        <f>HYPERLINK("https://klasma.github.io/Logging_1907/artfynd/A 24538-2024 artfynd.xlsx", "A 24538-2024")</f>
        <v/>
      </c>
      <c r="T68">
        <f>HYPERLINK("https://klasma.github.io/Logging_1907/kartor/A 24538-2024 karta.png", "A 24538-2024")</f>
        <v/>
      </c>
      <c r="U68">
        <f>HYPERLINK("https://klasma.github.io/Logging_1907/knärot/A 24538-2024 karta knärot.png", "A 24538-2024")</f>
        <v/>
      </c>
      <c r="V68">
        <f>HYPERLINK("https://klasma.github.io/Logging_1907/klagomål/A 24538-2024 FSC-klagomål.docx", "A 24538-2024")</f>
        <v/>
      </c>
      <c r="W68">
        <f>HYPERLINK("https://klasma.github.io/Logging_1907/klagomålsmail/A 24538-2024 FSC-klagomål mail.docx", "A 24538-2024")</f>
        <v/>
      </c>
      <c r="X68">
        <f>HYPERLINK("https://klasma.github.io/Logging_1907/tillsyn/A 24538-2024 tillsynsbegäran.docx", "A 24538-2024")</f>
        <v/>
      </c>
      <c r="Y68">
        <f>HYPERLINK("https://klasma.github.io/Logging_1907/tillsynsmail/A 24538-2024 tillsynsbegäran mail.docx", "A 24538-2024")</f>
        <v/>
      </c>
    </row>
    <row r="69" ht="15" customHeight="1">
      <c r="A69" t="inlineStr">
        <is>
          <t>A 4082-2025</t>
        </is>
      </c>
      <c r="B69" s="1" t="n">
        <v>45684</v>
      </c>
      <c r="C69" s="1" t="n">
        <v>45749</v>
      </c>
      <c r="D69" t="inlineStr">
        <is>
          <t>VÄSTMANLANDS LÄN</t>
        </is>
      </c>
      <c r="E69" t="inlineStr">
        <is>
          <t>SURAHAMMAR</t>
        </is>
      </c>
      <c r="F69" t="inlineStr">
        <is>
          <t>Bergvik skog väst AB</t>
        </is>
      </c>
      <c r="G69" t="n">
        <v>11.6</v>
      </c>
      <c r="H69" t="n">
        <v>1</v>
      </c>
      <c r="I69" t="n">
        <v>2</v>
      </c>
      <c r="J69" t="n">
        <v>0</v>
      </c>
      <c r="K69" t="n">
        <v>0</v>
      </c>
      <c r="L69" t="n">
        <v>0</v>
      </c>
      <c r="M69" t="n">
        <v>0</v>
      </c>
      <c r="N69" t="n">
        <v>0</v>
      </c>
      <c r="O69" t="n">
        <v>0</v>
      </c>
      <c r="P69" t="n">
        <v>0</v>
      </c>
      <c r="Q69" t="n">
        <v>2</v>
      </c>
      <c r="R69" s="2" t="inlineStr">
        <is>
          <t>Grönpyrola
Plattlummer</t>
        </is>
      </c>
      <c r="S69">
        <f>HYPERLINK("https://klasma.github.io/Logging_1907/artfynd/A 4082-2025 artfynd.xlsx", "A 4082-2025")</f>
        <v/>
      </c>
      <c r="T69">
        <f>HYPERLINK("https://klasma.github.io/Logging_1907/kartor/A 4082-2025 karta.png", "A 4082-2025")</f>
        <v/>
      </c>
      <c r="V69">
        <f>HYPERLINK("https://klasma.github.io/Logging_1907/klagomål/A 4082-2025 FSC-klagomål.docx", "A 4082-2025")</f>
        <v/>
      </c>
      <c r="W69">
        <f>HYPERLINK("https://klasma.github.io/Logging_1907/klagomålsmail/A 4082-2025 FSC-klagomål mail.docx", "A 4082-2025")</f>
        <v/>
      </c>
      <c r="X69">
        <f>HYPERLINK("https://klasma.github.io/Logging_1907/tillsyn/A 4082-2025 tillsynsbegäran.docx", "A 4082-2025")</f>
        <v/>
      </c>
      <c r="Y69">
        <f>HYPERLINK("https://klasma.github.io/Logging_1907/tillsynsmail/A 4082-2025 tillsynsbegäran mail.docx", "A 4082-2025")</f>
        <v/>
      </c>
    </row>
    <row r="70" ht="15" customHeight="1">
      <c r="A70" t="inlineStr">
        <is>
          <t>A 18948-2019</t>
        </is>
      </c>
      <c r="B70" s="1" t="n">
        <v>43563</v>
      </c>
      <c r="C70" s="1" t="n">
        <v>45749</v>
      </c>
      <c r="D70" t="inlineStr">
        <is>
          <t>VÄSTMANLANDS LÄN</t>
        </is>
      </c>
      <c r="E70" t="inlineStr">
        <is>
          <t>SURAHAMMAR</t>
        </is>
      </c>
      <c r="F70" t="inlineStr">
        <is>
          <t>Övriga Aktiebolag</t>
        </is>
      </c>
      <c r="G70" t="n">
        <v>1.9</v>
      </c>
      <c r="H70" t="n">
        <v>0</v>
      </c>
      <c r="I70" t="n">
        <v>0</v>
      </c>
      <c r="J70" t="n">
        <v>0</v>
      </c>
      <c r="K70" t="n">
        <v>0</v>
      </c>
      <c r="L70" t="n">
        <v>1</v>
      </c>
      <c r="M70" t="n">
        <v>0</v>
      </c>
      <c r="N70" t="n">
        <v>0</v>
      </c>
      <c r="O70" t="n">
        <v>1</v>
      </c>
      <c r="P70" t="n">
        <v>1</v>
      </c>
      <c r="Q70" t="n">
        <v>1</v>
      </c>
      <c r="R70" s="2" t="inlineStr">
        <is>
          <t>Ask</t>
        </is>
      </c>
      <c r="S70">
        <f>HYPERLINK("https://klasma.github.io/Logging_1907/artfynd/A 18948-2019 artfynd.xlsx", "A 18948-2019")</f>
        <v/>
      </c>
      <c r="T70">
        <f>HYPERLINK("https://klasma.github.io/Logging_1907/kartor/A 18948-2019 karta.png", "A 18948-2019")</f>
        <v/>
      </c>
      <c r="V70">
        <f>HYPERLINK("https://klasma.github.io/Logging_1907/klagomål/A 18948-2019 FSC-klagomål.docx", "A 18948-2019")</f>
        <v/>
      </c>
      <c r="W70">
        <f>HYPERLINK("https://klasma.github.io/Logging_1907/klagomålsmail/A 18948-2019 FSC-klagomål mail.docx", "A 18948-2019")</f>
        <v/>
      </c>
      <c r="X70">
        <f>HYPERLINK("https://klasma.github.io/Logging_1907/tillsyn/A 18948-2019 tillsynsbegäran.docx", "A 18948-2019")</f>
        <v/>
      </c>
      <c r="Y70">
        <f>HYPERLINK("https://klasma.github.io/Logging_1907/tillsynsmail/A 18948-2019 tillsynsbegäran mail.docx", "A 18948-2019")</f>
        <v/>
      </c>
    </row>
    <row r="71" ht="15" customHeight="1">
      <c r="A71" t="inlineStr">
        <is>
          <t>A 28276-2019</t>
        </is>
      </c>
      <c r="B71" s="1" t="n">
        <v>43623</v>
      </c>
      <c r="C71" s="1" t="n">
        <v>45749</v>
      </c>
      <c r="D71" t="inlineStr">
        <is>
          <t>VÄSTMANLANDS LÄN</t>
        </is>
      </c>
      <c r="E71" t="inlineStr">
        <is>
          <t>SURAHAMMAR</t>
        </is>
      </c>
      <c r="F71" t="inlineStr">
        <is>
          <t>Allmännings- och besparingsskogar</t>
        </is>
      </c>
      <c r="G71" t="n">
        <v>8.4</v>
      </c>
      <c r="H71" t="n">
        <v>0</v>
      </c>
      <c r="I71" t="n">
        <v>0</v>
      </c>
      <c r="J71" t="n">
        <v>1</v>
      </c>
      <c r="K71" t="n">
        <v>0</v>
      </c>
      <c r="L71" t="n">
        <v>0</v>
      </c>
      <c r="M71" t="n">
        <v>0</v>
      </c>
      <c r="N71" t="n">
        <v>0</v>
      </c>
      <c r="O71" t="n">
        <v>1</v>
      </c>
      <c r="P71" t="n">
        <v>0</v>
      </c>
      <c r="Q71" t="n">
        <v>1</v>
      </c>
      <c r="R71" s="2" t="inlineStr">
        <is>
          <t>Hapalopilus aurantiacus</t>
        </is>
      </c>
      <c r="S71">
        <f>HYPERLINK("https://klasma.github.io/Logging_1907/artfynd/A 28276-2019 artfynd.xlsx", "A 28276-2019")</f>
        <v/>
      </c>
      <c r="T71">
        <f>HYPERLINK("https://klasma.github.io/Logging_1907/kartor/A 28276-2019 karta.png", "A 28276-2019")</f>
        <v/>
      </c>
      <c r="V71">
        <f>HYPERLINK("https://klasma.github.io/Logging_1907/klagomål/A 28276-2019 FSC-klagomål.docx", "A 28276-2019")</f>
        <v/>
      </c>
      <c r="W71">
        <f>HYPERLINK("https://klasma.github.io/Logging_1907/klagomålsmail/A 28276-2019 FSC-klagomål mail.docx", "A 28276-2019")</f>
        <v/>
      </c>
      <c r="X71">
        <f>HYPERLINK("https://klasma.github.io/Logging_1907/tillsyn/A 28276-2019 tillsynsbegäran.docx", "A 28276-2019")</f>
        <v/>
      </c>
      <c r="Y71">
        <f>HYPERLINK("https://klasma.github.io/Logging_1907/tillsynsmail/A 28276-2019 tillsynsbegäran mail.docx", "A 28276-2019")</f>
        <v/>
      </c>
    </row>
    <row r="72" ht="15" customHeight="1">
      <c r="A72" t="inlineStr">
        <is>
          <t>A 33879-2019</t>
        </is>
      </c>
      <c r="B72" s="1" t="n">
        <v>43653</v>
      </c>
      <c r="C72" s="1" t="n">
        <v>45749</v>
      </c>
      <c r="D72" t="inlineStr">
        <is>
          <t>VÄSTMANLANDS LÄN</t>
        </is>
      </c>
      <c r="E72" t="inlineStr">
        <is>
          <t>SURAHAMMAR</t>
        </is>
      </c>
      <c r="F72" t="inlineStr">
        <is>
          <t>Kyrkan</t>
        </is>
      </c>
      <c r="G72" t="n">
        <v>1.8</v>
      </c>
      <c r="H72" t="n">
        <v>1</v>
      </c>
      <c r="I72" t="n">
        <v>0</v>
      </c>
      <c r="J72" t="n">
        <v>0</v>
      </c>
      <c r="K72" t="n">
        <v>1</v>
      </c>
      <c r="L72" t="n">
        <v>0</v>
      </c>
      <c r="M72" t="n">
        <v>0</v>
      </c>
      <c r="N72" t="n">
        <v>0</v>
      </c>
      <c r="O72" t="n">
        <v>1</v>
      </c>
      <c r="P72" t="n">
        <v>1</v>
      </c>
      <c r="Q72" t="n">
        <v>1</v>
      </c>
      <c r="R72" s="2" t="inlineStr">
        <is>
          <t>Bombmurkla</t>
        </is>
      </c>
      <c r="S72">
        <f>HYPERLINK("https://klasma.github.io/Logging_1907/artfynd/A 33879-2019 artfynd.xlsx", "A 33879-2019")</f>
        <v/>
      </c>
      <c r="T72">
        <f>HYPERLINK("https://klasma.github.io/Logging_1907/kartor/A 33879-2019 karta.png", "A 33879-2019")</f>
        <v/>
      </c>
      <c r="V72">
        <f>HYPERLINK("https://klasma.github.io/Logging_1907/klagomål/A 33879-2019 FSC-klagomål.docx", "A 33879-2019")</f>
        <v/>
      </c>
      <c r="W72">
        <f>HYPERLINK("https://klasma.github.io/Logging_1907/klagomålsmail/A 33879-2019 FSC-klagomål mail.docx", "A 33879-2019")</f>
        <v/>
      </c>
      <c r="X72">
        <f>HYPERLINK("https://klasma.github.io/Logging_1907/tillsyn/A 33879-2019 tillsynsbegäran.docx", "A 33879-2019")</f>
        <v/>
      </c>
      <c r="Y72">
        <f>HYPERLINK("https://klasma.github.io/Logging_1907/tillsynsmail/A 33879-2019 tillsynsbegäran mail.docx", "A 33879-2019")</f>
        <v/>
      </c>
    </row>
    <row r="73" ht="15" customHeight="1">
      <c r="A73" t="inlineStr">
        <is>
          <t>A 39755-2019</t>
        </is>
      </c>
      <c r="B73" s="1" t="n">
        <v>43692</v>
      </c>
      <c r="C73" s="1" t="n">
        <v>45749</v>
      </c>
      <c r="D73" t="inlineStr">
        <is>
          <t>VÄSTMANLANDS LÄN</t>
        </is>
      </c>
      <c r="E73" t="inlineStr">
        <is>
          <t>SURAHAMMAR</t>
        </is>
      </c>
      <c r="F73" t="inlineStr">
        <is>
          <t>Övriga Aktiebolag</t>
        </is>
      </c>
      <c r="G73" t="n">
        <v>11.8</v>
      </c>
      <c r="H73" t="n">
        <v>1</v>
      </c>
      <c r="I73" t="n">
        <v>0</v>
      </c>
      <c r="J73" t="n">
        <v>0</v>
      </c>
      <c r="K73" t="n">
        <v>0</v>
      </c>
      <c r="L73" t="n">
        <v>0</v>
      </c>
      <c r="M73" t="n">
        <v>0</v>
      </c>
      <c r="N73" t="n">
        <v>0</v>
      </c>
      <c r="O73" t="n">
        <v>0</v>
      </c>
      <c r="P73" t="n">
        <v>0</v>
      </c>
      <c r="Q73" t="n">
        <v>1</v>
      </c>
      <c r="R73" s="2" t="inlineStr">
        <is>
          <t>Kopparödla</t>
        </is>
      </c>
      <c r="S73">
        <f>HYPERLINK("https://klasma.github.io/Logging_1907/artfynd/A 39755-2019 artfynd.xlsx", "A 39755-2019")</f>
        <v/>
      </c>
      <c r="T73">
        <f>HYPERLINK("https://klasma.github.io/Logging_1907/kartor/A 39755-2019 karta.png", "A 39755-2019")</f>
        <v/>
      </c>
      <c r="V73">
        <f>HYPERLINK("https://klasma.github.io/Logging_1907/klagomål/A 39755-2019 FSC-klagomål.docx", "A 39755-2019")</f>
        <v/>
      </c>
      <c r="W73">
        <f>HYPERLINK("https://klasma.github.io/Logging_1907/klagomålsmail/A 39755-2019 FSC-klagomål mail.docx", "A 39755-2019")</f>
        <v/>
      </c>
      <c r="X73">
        <f>HYPERLINK("https://klasma.github.io/Logging_1907/tillsyn/A 39755-2019 tillsynsbegäran.docx", "A 39755-2019")</f>
        <v/>
      </c>
      <c r="Y73">
        <f>HYPERLINK("https://klasma.github.io/Logging_1907/tillsynsmail/A 39755-2019 tillsynsbegäran mail.docx", "A 39755-2019")</f>
        <v/>
      </c>
    </row>
    <row r="74" ht="15" customHeight="1">
      <c r="A74" t="inlineStr">
        <is>
          <t>A 6514-2020</t>
        </is>
      </c>
      <c r="B74" s="1" t="n">
        <v>43867</v>
      </c>
      <c r="C74" s="1" t="n">
        <v>45749</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45749</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45749</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45749</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45749</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45749</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45749</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45749</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45749</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45749</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45749</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45749</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45749</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45749</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45749</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45749</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45749</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45749</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45749</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45749</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45749</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45749</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45749</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45749</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45749</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45749</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45749</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45749</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45749</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45749</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45749</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45749</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45749</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45749</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62097-2024</t>
        </is>
      </c>
      <c r="B108" s="1" t="n">
        <v>45646</v>
      </c>
      <c r="C108" s="1" t="n">
        <v>45749</v>
      </c>
      <c r="D108" t="inlineStr">
        <is>
          <t>VÄSTMANLANDS LÄN</t>
        </is>
      </c>
      <c r="E108" t="inlineStr">
        <is>
          <t>SURAHAMMAR</t>
        </is>
      </c>
      <c r="F108" t="inlineStr">
        <is>
          <t>Bergvik skog väst AB</t>
        </is>
      </c>
      <c r="G108" t="n">
        <v>21.7</v>
      </c>
      <c r="H108" t="n">
        <v>1</v>
      </c>
      <c r="I108" t="n">
        <v>0</v>
      </c>
      <c r="J108" t="n">
        <v>0</v>
      </c>
      <c r="K108" t="n">
        <v>0</v>
      </c>
      <c r="L108" t="n">
        <v>0</v>
      </c>
      <c r="M108" t="n">
        <v>0</v>
      </c>
      <c r="N108" t="n">
        <v>0</v>
      </c>
      <c r="O108" t="n">
        <v>0</v>
      </c>
      <c r="P108" t="n">
        <v>0</v>
      </c>
      <c r="Q108" t="n">
        <v>1</v>
      </c>
      <c r="R108" s="2" t="inlineStr">
        <is>
          <t>Revlummer</t>
        </is>
      </c>
      <c r="S108">
        <f>HYPERLINK("https://klasma.github.io/Logging_1907/artfynd/A 62097-2024 artfynd.xlsx", "A 62097-2024")</f>
        <v/>
      </c>
      <c r="T108">
        <f>HYPERLINK("https://klasma.github.io/Logging_1907/kartor/A 62097-2024 karta.png", "A 62097-2024")</f>
        <v/>
      </c>
      <c r="V108">
        <f>HYPERLINK("https://klasma.github.io/Logging_1907/klagomål/A 62097-2024 FSC-klagomål.docx", "A 62097-2024")</f>
        <v/>
      </c>
      <c r="W108">
        <f>HYPERLINK("https://klasma.github.io/Logging_1907/klagomålsmail/A 62097-2024 FSC-klagomål mail.docx", "A 62097-2024")</f>
        <v/>
      </c>
      <c r="X108">
        <f>HYPERLINK("https://klasma.github.io/Logging_1907/tillsyn/A 62097-2024 tillsynsbegäran.docx", "A 62097-2024")</f>
        <v/>
      </c>
      <c r="Y108">
        <f>HYPERLINK("https://klasma.github.io/Logging_1907/tillsynsmail/A 62097-2024 tillsynsbegäran mail.docx", "A 62097-2024")</f>
        <v/>
      </c>
    </row>
    <row r="109" ht="15" customHeight="1">
      <c r="A109" t="inlineStr">
        <is>
          <t>A 13788-2025</t>
        </is>
      </c>
      <c r="B109" s="1" t="n">
        <v>45737</v>
      </c>
      <c r="C109" s="1" t="n">
        <v>45749</v>
      </c>
      <c r="D109" t="inlineStr">
        <is>
          <t>VÄSTMANLANDS LÄN</t>
        </is>
      </c>
      <c r="E109" t="inlineStr">
        <is>
          <t>SURAHAMMAR</t>
        </is>
      </c>
      <c r="G109" t="n">
        <v>9.699999999999999</v>
      </c>
      <c r="H109" t="n">
        <v>1</v>
      </c>
      <c r="I109" t="n">
        <v>0</v>
      </c>
      <c r="J109" t="n">
        <v>0</v>
      </c>
      <c r="K109" t="n">
        <v>0</v>
      </c>
      <c r="L109" t="n">
        <v>0</v>
      </c>
      <c r="M109" t="n">
        <v>0</v>
      </c>
      <c r="N109" t="n">
        <v>0</v>
      </c>
      <c r="O109" t="n">
        <v>0</v>
      </c>
      <c r="P109" t="n">
        <v>0</v>
      </c>
      <c r="Q109" t="n">
        <v>1</v>
      </c>
      <c r="R109" s="2" t="inlineStr">
        <is>
          <t>Sparvuggla</t>
        </is>
      </c>
      <c r="S109">
        <f>HYPERLINK("https://klasma.github.io/Logging_191907/artfynd/A 13788-2025 artfynd.xlsx", "A 13788-2025")</f>
        <v/>
      </c>
      <c r="T109">
        <f>HYPERLINK("https://klasma.github.io/Logging_191907/kartor/A 13788-2025 karta.png", "A 13788-2025")</f>
        <v/>
      </c>
      <c r="V109">
        <f>HYPERLINK("https://klasma.github.io/Logging_191907/klagomål/A 13788-2025 FSC-klagomål.docx", "A 13788-2025")</f>
        <v/>
      </c>
      <c r="W109">
        <f>HYPERLINK("https://klasma.github.io/Logging_191907/klagomålsmail/A 13788-2025 FSC-klagomål mail.docx", "A 13788-2025")</f>
        <v/>
      </c>
      <c r="X109">
        <f>HYPERLINK("https://klasma.github.io/Logging_191907/tillsyn/A 13788-2025 tillsynsbegäran.docx", "A 13788-2025")</f>
        <v/>
      </c>
      <c r="Y109">
        <f>HYPERLINK("https://klasma.github.io/Logging_191907/tillsynsmail/A 13788-2025 tillsynsbegäran mail.docx", "A 13788-2025")</f>
        <v/>
      </c>
      <c r="Z109">
        <f>HYPERLINK("https://klasma.github.io/Logging_191907/fåglar/A 13788-2025 prioriterade fågelarter.docx", "A 13788-2025")</f>
        <v/>
      </c>
    </row>
    <row r="110" ht="15" customHeight="1">
      <c r="A110" t="inlineStr">
        <is>
          <t>A 17946-2019</t>
        </is>
      </c>
      <c r="B110" s="1" t="n">
        <v>43557</v>
      </c>
      <c r="C110" s="1" t="n">
        <v>45749</v>
      </c>
      <c r="D110" t="inlineStr">
        <is>
          <t>VÄSTMANLANDS LÄN</t>
        </is>
      </c>
      <c r="E110" t="inlineStr">
        <is>
          <t>SURAHAMMAR</t>
        </is>
      </c>
      <c r="G110" t="n">
        <v>9.9</v>
      </c>
      <c r="H110" t="n">
        <v>0</v>
      </c>
      <c r="I110" t="n">
        <v>0</v>
      </c>
      <c r="J110" t="n">
        <v>0</v>
      </c>
      <c r="K110" t="n">
        <v>0</v>
      </c>
      <c r="L110" t="n">
        <v>0</v>
      </c>
      <c r="M110" t="n">
        <v>0</v>
      </c>
      <c r="N110" t="n">
        <v>0</v>
      </c>
      <c r="O110" t="n">
        <v>0</v>
      </c>
      <c r="P110" t="n">
        <v>0</v>
      </c>
      <c r="Q110" t="n">
        <v>0</v>
      </c>
      <c r="R110" s="2" t="inlineStr"/>
    </row>
    <row r="111" ht="15" customHeight="1">
      <c r="A111" t="inlineStr">
        <is>
          <t>A 18953-2019</t>
        </is>
      </c>
      <c r="B111" s="1" t="n">
        <v>43563</v>
      </c>
      <c r="C111" s="1" t="n">
        <v>45749</v>
      </c>
      <c r="D111" t="inlineStr">
        <is>
          <t>VÄSTMANLANDS LÄN</t>
        </is>
      </c>
      <c r="E111" t="inlineStr">
        <is>
          <t>SURAHAMMAR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18960-2019</t>
        </is>
      </c>
      <c r="B112" s="1" t="n">
        <v>43563</v>
      </c>
      <c r="C112" s="1" t="n">
        <v>45749</v>
      </c>
      <c r="D112" t="inlineStr">
        <is>
          <t>VÄSTMANLANDS LÄN</t>
        </is>
      </c>
      <c r="E112" t="inlineStr">
        <is>
          <t>SURAHAMMAR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19659-2019</t>
        </is>
      </c>
      <c r="B113" s="1" t="n">
        <v>43566</v>
      </c>
      <c r="C113" s="1" t="n">
        <v>45749</v>
      </c>
      <c r="D113" t="inlineStr">
        <is>
          <t>VÄSTMANLANDS LÄN</t>
        </is>
      </c>
      <c r="E113" t="inlineStr">
        <is>
          <t>SURAHAMMAR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20127-2019</t>
        </is>
      </c>
      <c r="B114" s="1" t="n">
        <v>43570</v>
      </c>
      <c r="C114" s="1" t="n">
        <v>45749</v>
      </c>
      <c r="D114" t="inlineStr">
        <is>
          <t>VÄSTMANLANDS LÄN</t>
        </is>
      </c>
      <c r="E114" t="inlineStr">
        <is>
          <t>SURAHAMMAR</t>
        </is>
      </c>
      <c r="G114" t="n">
        <v>2.6</v>
      </c>
      <c r="H114" t="n">
        <v>0</v>
      </c>
      <c r="I114" t="n">
        <v>0</v>
      </c>
      <c r="J114" t="n">
        <v>0</v>
      </c>
      <c r="K114" t="n">
        <v>0</v>
      </c>
      <c r="L114" t="n">
        <v>0</v>
      </c>
      <c r="M114" t="n">
        <v>0</v>
      </c>
      <c r="N114" t="n">
        <v>0</v>
      </c>
      <c r="O114" t="n">
        <v>0</v>
      </c>
      <c r="P114" t="n">
        <v>0</v>
      </c>
      <c r="Q114" t="n">
        <v>0</v>
      </c>
      <c r="R114" s="2" t="inlineStr"/>
    </row>
    <row r="115" ht="15" customHeight="1">
      <c r="A115" t="inlineStr">
        <is>
          <t>A 20904-2019</t>
        </is>
      </c>
      <c r="B115" s="1" t="n">
        <v>43578</v>
      </c>
      <c r="C115" s="1" t="n">
        <v>45749</v>
      </c>
      <c r="D115" t="inlineStr">
        <is>
          <t>VÄSTMANLANDS LÄN</t>
        </is>
      </c>
      <c r="E115" t="inlineStr">
        <is>
          <t>SURAHAMMAR</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22834-2019</t>
        </is>
      </c>
      <c r="B116" s="1" t="n">
        <v>43591</v>
      </c>
      <c r="C116" s="1" t="n">
        <v>45749</v>
      </c>
      <c r="D116" t="inlineStr">
        <is>
          <t>VÄSTMANLANDS LÄN</t>
        </is>
      </c>
      <c r="E116" t="inlineStr">
        <is>
          <t>SURAHAMMAR</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28274-2019</t>
        </is>
      </c>
      <c r="B117" s="1" t="n">
        <v>43623</v>
      </c>
      <c r="C117" s="1" t="n">
        <v>45749</v>
      </c>
      <c r="D117" t="inlineStr">
        <is>
          <t>VÄSTMANLANDS LÄN</t>
        </is>
      </c>
      <c r="E117" t="inlineStr">
        <is>
          <t>SURAHAMMAR</t>
        </is>
      </c>
      <c r="F117" t="inlineStr">
        <is>
          <t>Allmännings- och besparingsskogar</t>
        </is>
      </c>
      <c r="G117" t="n">
        <v>0.7</v>
      </c>
      <c r="H117" t="n">
        <v>0</v>
      </c>
      <c r="I117" t="n">
        <v>0</v>
      </c>
      <c r="J117" t="n">
        <v>0</v>
      </c>
      <c r="K117" t="n">
        <v>0</v>
      </c>
      <c r="L117" t="n">
        <v>0</v>
      </c>
      <c r="M117" t="n">
        <v>0</v>
      </c>
      <c r="N117" t="n">
        <v>0</v>
      </c>
      <c r="O117" t="n">
        <v>0</v>
      </c>
      <c r="P117" t="n">
        <v>0</v>
      </c>
      <c r="Q117" t="n">
        <v>0</v>
      </c>
      <c r="R117" s="2" t="inlineStr"/>
    </row>
    <row r="118" ht="15" customHeight="1">
      <c r="A118" t="inlineStr">
        <is>
          <t>A 29523-2019</t>
        </is>
      </c>
      <c r="B118" s="1" t="n">
        <v>43630</v>
      </c>
      <c r="C118" s="1" t="n">
        <v>45749</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31008-2019</t>
        </is>
      </c>
      <c r="B119" s="1" t="n">
        <v>43640</v>
      </c>
      <c r="C119" s="1" t="n">
        <v>45749</v>
      </c>
      <c r="D119" t="inlineStr">
        <is>
          <t>VÄSTMANLANDS LÄN</t>
        </is>
      </c>
      <c r="E119" t="inlineStr">
        <is>
          <t>SURAHAMMAR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39552-2019</t>
        </is>
      </c>
      <c r="B120" s="1" t="n">
        <v>43691</v>
      </c>
      <c r="C120" s="1" t="n">
        <v>45749</v>
      </c>
      <c r="D120" t="inlineStr">
        <is>
          <t>VÄSTMANLANDS LÄN</t>
        </is>
      </c>
      <c r="E120" t="inlineStr">
        <is>
          <t>SURAHAMMAR</t>
        </is>
      </c>
      <c r="F120" t="inlineStr">
        <is>
          <t>Övriga Aktiebolag</t>
        </is>
      </c>
      <c r="G120" t="n">
        <v>4.4</v>
      </c>
      <c r="H120" t="n">
        <v>0</v>
      </c>
      <c r="I120" t="n">
        <v>0</v>
      </c>
      <c r="J120" t="n">
        <v>0</v>
      </c>
      <c r="K120" t="n">
        <v>0</v>
      </c>
      <c r="L120" t="n">
        <v>0</v>
      </c>
      <c r="M120" t="n">
        <v>0</v>
      </c>
      <c r="N120" t="n">
        <v>0</v>
      </c>
      <c r="O120" t="n">
        <v>0</v>
      </c>
      <c r="P120" t="n">
        <v>0</v>
      </c>
      <c r="Q120" t="n">
        <v>0</v>
      </c>
      <c r="R120" s="2" t="inlineStr"/>
    </row>
    <row r="121" ht="15" customHeight="1">
      <c r="A121" t="inlineStr">
        <is>
          <t>A 39754-2019</t>
        </is>
      </c>
      <c r="B121" s="1" t="n">
        <v>43692</v>
      </c>
      <c r="C121" s="1" t="n">
        <v>45749</v>
      </c>
      <c r="D121" t="inlineStr">
        <is>
          <t>VÄSTMANLANDS LÄN</t>
        </is>
      </c>
      <c r="E121" t="inlineStr">
        <is>
          <t>SURAHAMMAR</t>
        </is>
      </c>
      <c r="F121" t="inlineStr">
        <is>
          <t>Övriga Aktiebolag</t>
        </is>
      </c>
      <c r="G121" t="n">
        <v>5.7</v>
      </c>
      <c r="H121" t="n">
        <v>0</v>
      </c>
      <c r="I121" t="n">
        <v>0</v>
      </c>
      <c r="J121" t="n">
        <v>0</v>
      </c>
      <c r="K121" t="n">
        <v>0</v>
      </c>
      <c r="L121" t="n">
        <v>0</v>
      </c>
      <c r="M121" t="n">
        <v>0</v>
      </c>
      <c r="N121" t="n">
        <v>0</v>
      </c>
      <c r="O121" t="n">
        <v>0</v>
      </c>
      <c r="P121" t="n">
        <v>0</v>
      </c>
      <c r="Q121" t="n">
        <v>0</v>
      </c>
      <c r="R121" s="2" t="inlineStr"/>
    </row>
    <row r="122" ht="15" customHeight="1">
      <c r="A122" t="inlineStr">
        <is>
          <t>A 40191-2019</t>
        </is>
      </c>
      <c r="B122" s="1" t="n">
        <v>43693</v>
      </c>
      <c r="C122" s="1" t="n">
        <v>45749</v>
      </c>
      <c r="D122" t="inlineStr">
        <is>
          <t>VÄSTMANLANDS LÄN</t>
        </is>
      </c>
      <c r="E122" t="inlineStr">
        <is>
          <t>SURAHAMMAR</t>
        </is>
      </c>
      <c r="F122" t="inlineStr">
        <is>
          <t>Bergvik skog väst AB</t>
        </is>
      </c>
      <c r="G122" t="n">
        <v>3.5</v>
      </c>
      <c r="H122" t="n">
        <v>0</v>
      </c>
      <c r="I122" t="n">
        <v>0</v>
      </c>
      <c r="J122" t="n">
        <v>0</v>
      </c>
      <c r="K122" t="n">
        <v>0</v>
      </c>
      <c r="L122" t="n">
        <v>0</v>
      </c>
      <c r="M122" t="n">
        <v>0</v>
      </c>
      <c r="N122" t="n">
        <v>0</v>
      </c>
      <c r="O122" t="n">
        <v>0</v>
      </c>
      <c r="P122" t="n">
        <v>0</v>
      </c>
      <c r="Q122" t="n">
        <v>0</v>
      </c>
      <c r="R122" s="2" t="inlineStr"/>
    </row>
    <row r="123" ht="15" customHeight="1">
      <c r="A123" t="inlineStr">
        <is>
          <t>A 60343-2019</t>
        </is>
      </c>
      <c r="B123" s="1" t="n">
        <v>43780</v>
      </c>
      <c r="C123" s="1" t="n">
        <v>45749</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64772-2019</t>
        </is>
      </c>
      <c r="B124" s="1" t="n">
        <v>43801</v>
      </c>
      <c r="C124" s="1" t="n">
        <v>45749</v>
      </c>
      <c r="D124" t="inlineStr">
        <is>
          <t>VÄSTMANLANDS LÄN</t>
        </is>
      </c>
      <c r="E124" t="inlineStr">
        <is>
          <t>SURAHAMMAR</t>
        </is>
      </c>
      <c r="F124" t="inlineStr">
        <is>
          <t>Övriga Aktiebolag</t>
        </is>
      </c>
      <c r="G124" t="n">
        <v>7</v>
      </c>
      <c r="H124" t="n">
        <v>0</v>
      </c>
      <c r="I124" t="n">
        <v>0</v>
      </c>
      <c r="J124" t="n">
        <v>0</v>
      </c>
      <c r="K124" t="n">
        <v>0</v>
      </c>
      <c r="L124" t="n">
        <v>0</v>
      </c>
      <c r="M124" t="n">
        <v>0</v>
      </c>
      <c r="N124" t="n">
        <v>0</v>
      </c>
      <c r="O124" t="n">
        <v>0</v>
      </c>
      <c r="P124" t="n">
        <v>0</v>
      </c>
      <c r="Q124" t="n">
        <v>0</v>
      </c>
      <c r="R124" s="2" t="inlineStr"/>
    </row>
    <row r="125" ht="15" customHeight="1">
      <c r="A125" t="inlineStr">
        <is>
          <t>A 66269-2019</t>
        </is>
      </c>
      <c r="B125" s="1" t="n">
        <v>43802</v>
      </c>
      <c r="C125" s="1" t="n">
        <v>45749</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65619-2019</t>
        </is>
      </c>
      <c r="B126" s="1" t="n">
        <v>43804</v>
      </c>
      <c r="C126" s="1" t="n">
        <v>45749</v>
      </c>
      <c r="D126" t="inlineStr">
        <is>
          <t>VÄSTMANLANDS LÄN</t>
        </is>
      </c>
      <c r="E126" t="inlineStr">
        <is>
          <t>SURAHAMMAR</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2039-2020</t>
        </is>
      </c>
      <c r="B127" s="1" t="n">
        <v>43839</v>
      </c>
      <c r="C127" s="1" t="n">
        <v>45749</v>
      </c>
      <c r="D127" t="inlineStr">
        <is>
          <t>VÄSTMANLANDS LÄN</t>
        </is>
      </c>
      <c r="E127" t="inlineStr">
        <is>
          <t>SURAHAMMAR</t>
        </is>
      </c>
      <c r="G127" t="n">
        <v>1</v>
      </c>
      <c r="H127" t="n">
        <v>0</v>
      </c>
      <c r="I127" t="n">
        <v>0</v>
      </c>
      <c r="J127" t="n">
        <v>0</v>
      </c>
      <c r="K127" t="n">
        <v>0</v>
      </c>
      <c r="L127" t="n">
        <v>0</v>
      </c>
      <c r="M127" t="n">
        <v>0</v>
      </c>
      <c r="N127" t="n">
        <v>0</v>
      </c>
      <c r="O127" t="n">
        <v>0</v>
      </c>
      <c r="P127" t="n">
        <v>0</v>
      </c>
      <c r="Q127" t="n">
        <v>0</v>
      </c>
      <c r="R127" s="2" t="inlineStr"/>
    </row>
    <row r="128" ht="15" customHeight="1">
      <c r="A128" t="inlineStr">
        <is>
          <t>A 5804-2020</t>
        </is>
      </c>
      <c r="B128" s="1" t="n">
        <v>43864</v>
      </c>
      <c r="C128" s="1" t="n">
        <v>45749</v>
      </c>
      <c r="D128" t="inlineStr">
        <is>
          <t>VÄSTMANLANDS LÄN</t>
        </is>
      </c>
      <c r="E128" t="inlineStr">
        <is>
          <t>SURAHAMMAR</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8608-2020</t>
        </is>
      </c>
      <c r="B129" s="1" t="n">
        <v>43878</v>
      </c>
      <c r="C129" s="1" t="n">
        <v>45749</v>
      </c>
      <c r="D129" t="inlineStr">
        <is>
          <t>VÄSTMANLANDS LÄN</t>
        </is>
      </c>
      <c r="E129" t="inlineStr">
        <is>
          <t>SURAHAMMAR</t>
        </is>
      </c>
      <c r="F129" t="inlineStr">
        <is>
          <t>Övriga Aktiebolag</t>
        </is>
      </c>
      <c r="G129" t="n">
        <v>20.2</v>
      </c>
      <c r="H129" t="n">
        <v>0</v>
      </c>
      <c r="I129" t="n">
        <v>0</v>
      </c>
      <c r="J129" t="n">
        <v>0</v>
      </c>
      <c r="K129" t="n">
        <v>0</v>
      </c>
      <c r="L129" t="n">
        <v>0</v>
      </c>
      <c r="M129" t="n">
        <v>0</v>
      </c>
      <c r="N129" t="n">
        <v>0</v>
      </c>
      <c r="O129" t="n">
        <v>0</v>
      </c>
      <c r="P129" t="n">
        <v>0</v>
      </c>
      <c r="Q129" t="n">
        <v>0</v>
      </c>
      <c r="R129" s="2" t="inlineStr"/>
    </row>
    <row r="130" ht="15" customHeight="1">
      <c r="A130" t="inlineStr">
        <is>
          <t>A 40660-2020</t>
        </is>
      </c>
      <c r="B130" s="1" t="n">
        <v>44069</v>
      </c>
      <c r="C130" s="1" t="n">
        <v>45749</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43171-2020</t>
        </is>
      </c>
      <c r="B131" s="1" t="n">
        <v>44081</v>
      </c>
      <c r="C131" s="1" t="n">
        <v>45749</v>
      </c>
      <c r="D131" t="inlineStr">
        <is>
          <t>VÄSTMANLANDS LÄN</t>
        </is>
      </c>
      <c r="E131" t="inlineStr">
        <is>
          <t>SURAHAMMAR</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43174-2020</t>
        </is>
      </c>
      <c r="B132" s="1" t="n">
        <v>44081</v>
      </c>
      <c r="C132" s="1" t="n">
        <v>45749</v>
      </c>
      <c r="D132" t="inlineStr">
        <is>
          <t>VÄSTMANLANDS LÄN</t>
        </is>
      </c>
      <c r="E132" t="inlineStr">
        <is>
          <t>SURAHAMMAR</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43177-2020</t>
        </is>
      </c>
      <c r="B133" s="1" t="n">
        <v>44081</v>
      </c>
      <c r="C133" s="1" t="n">
        <v>45749</v>
      </c>
      <c r="D133" t="inlineStr">
        <is>
          <t>VÄSTMANLANDS LÄN</t>
        </is>
      </c>
      <c r="E133" t="inlineStr">
        <is>
          <t>SURAHAMMAR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43590-2020</t>
        </is>
      </c>
      <c r="B134" s="1" t="n">
        <v>44082</v>
      </c>
      <c r="C134" s="1" t="n">
        <v>45749</v>
      </c>
      <c r="D134" t="inlineStr">
        <is>
          <t>VÄSTMANLANDS LÄN</t>
        </is>
      </c>
      <c r="E134" t="inlineStr">
        <is>
          <t>SURAHAMMAR</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47997-2020</t>
        </is>
      </c>
      <c r="B135" s="1" t="n">
        <v>44099</v>
      </c>
      <c r="C135" s="1" t="n">
        <v>45749</v>
      </c>
      <c r="D135" t="inlineStr">
        <is>
          <t>VÄSTMANLANDS LÄN</t>
        </is>
      </c>
      <c r="E135" t="inlineStr">
        <is>
          <t>SURAHAMMAR</t>
        </is>
      </c>
      <c r="G135" t="n">
        <v>4.8</v>
      </c>
      <c r="H135" t="n">
        <v>0</v>
      </c>
      <c r="I135" t="n">
        <v>0</v>
      </c>
      <c r="J135" t="n">
        <v>0</v>
      </c>
      <c r="K135" t="n">
        <v>0</v>
      </c>
      <c r="L135" t="n">
        <v>0</v>
      </c>
      <c r="M135" t="n">
        <v>0</v>
      </c>
      <c r="N135" t="n">
        <v>0</v>
      </c>
      <c r="O135" t="n">
        <v>0</v>
      </c>
      <c r="P135" t="n">
        <v>0</v>
      </c>
      <c r="Q135" t="n">
        <v>0</v>
      </c>
      <c r="R135" s="2" t="inlineStr"/>
    </row>
    <row r="136" ht="15" customHeight="1">
      <c r="A136" t="inlineStr">
        <is>
          <t>A 52076-2020</t>
        </is>
      </c>
      <c r="B136" s="1" t="n">
        <v>44117</v>
      </c>
      <c r="C136" s="1" t="n">
        <v>45749</v>
      </c>
      <c r="D136" t="inlineStr">
        <is>
          <t>VÄSTMANLANDS LÄN</t>
        </is>
      </c>
      <c r="E136" t="inlineStr">
        <is>
          <t>SURAHAMMAR</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45749</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54962-2020</t>
        </is>
      </c>
      <c r="B138" s="1" t="n">
        <v>44130</v>
      </c>
      <c r="C138" s="1" t="n">
        <v>45749</v>
      </c>
      <c r="D138" t="inlineStr">
        <is>
          <t>VÄSTMANLANDS LÄN</t>
        </is>
      </c>
      <c r="E138" t="inlineStr">
        <is>
          <t>SURAHAMMAR</t>
        </is>
      </c>
      <c r="F138" t="inlineStr">
        <is>
          <t>Sveaskog</t>
        </is>
      </c>
      <c r="G138" t="n">
        <v>4.2</v>
      </c>
      <c r="H138" t="n">
        <v>0</v>
      </c>
      <c r="I138" t="n">
        <v>0</v>
      </c>
      <c r="J138" t="n">
        <v>0</v>
      </c>
      <c r="K138" t="n">
        <v>0</v>
      </c>
      <c r="L138" t="n">
        <v>0</v>
      </c>
      <c r="M138" t="n">
        <v>0</v>
      </c>
      <c r="N138" t="n">
        <v>0</v>
      </c>
      <c r="O138" t="n">
        <v>0</v>
      </c>
      <c r="P138" t="n">
        <v>0</v>
      </c>
      <c r="Q138" t="n">
        <v>0</v>
      </c>
      <c r="R138" s="2" t="inlineStr"/>
    </row>
    <row r="139" ht="15" customHeight="1">
      <c r="A139" t="inlineStr">
        <is>
          <t>A 55397-2020</t>
        </is>
      </c>
      <c r="B139" s="1" t="n">
        <v>44131</v>
      </c>
      <c r="C139" s="1" t="n">
        <v>45749</v>
      </c>
      <c r="D139" t="inlineStr">
        <is>
          <t>VÄSTMANLANDS LÄN</t>
        </is>
      </c>
      <c r="E139" t="inlineStr">
        <is>
          <t>SURAHAMMAR</t>
        </is>
      </c>
      <c r="F139" t="inlineStr">
        <is>
          <t>Sveaskog</t>
        </is>
      </c>
      <c r="G139" t="n">
        <v>5</v>
      </c>
      <c r="H139" t="n">
        <v>0</v>
      </c>
      <c r="I139" t="n">
        <v>0</v>
      </c>
      <c r="J139" t="n">
        <v>0</v>
      </c>
      <c r="K139" t="n">
        <v>0</v>
      </c>
      <c r="L139" t="n">
        <v>0</v>
      </c>
      <c r="M139" t="n">
        <v>0</v>
      </c>
      <c r="N139" t="n">
        <v>0</v>
      </c>
      <c r="O139" t="n">
        <v>0</v>
      </c>
      <c r="P139" t="n">
        <v>0</v>
      </c>
      <c r="Q139" t="n">
        <v>0</v>
      </c>
      <c r="R139" s="2" t="inlineStr"/>
    </row>
    <row r="140" ht="15" customHeight="1">
      <c r="A140" t="inlineStr">
        <is>
          <t>A 59543-2020</t>
        </is>
      </c>
      <c r="B140" s="1" t="n">
        <v>44148</v>
      </c>
      <c r="C140" s="1" t="n">
        <v>45749</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59740-2020</t>
        </is>
      </c>
      <c r="B141" s="1" t="n">
        <v>44151</v>
      </c>
      <c r="C141" s="1" t="n">
        <v>45749</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59727-2020</t>
        </is>
      </c>
      <c r="B142" s="1" t="n">
        <v>44151</v>
      </c>
      <c r="C142" s="1" t="n">
        <v>45749</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1492-2021</t>
        </is>
      </c>
      <c r="B143" s="1" t="n">
        <v>44209</v>
      </c>
      <c r="C143" s="1" t="n">
        <v>45749</v>
      </c>
      <c r="D143" t="inlineStr">
        <is>
          <t>VÄSTMANLANDS LÄN</t>
        </is>
      </c>
      <c r="E143" t="inlineStr">
        <is>
          <t>SURAHAMMAR</t>
        </is>
      </c>
      <c r="G143" t="n">
        <v>1.2</v>
      </c>
      <c r="H143" t="n">
        <v>0</v>
      </c>
      <c r="I143" t="n">
        <v>0</v>
      </c>
      <c r="J143" t="n">
        <v>0</v>
      </c>
      <c r="K143" t="n">
        <v>0</v>
      </c>
      <c r="L143" t="n">
        <v>0</v>
      </c>
      <c r="M143" t="n">
        <v>0</v>
      </c>
      <c r="N143" t="n">
        <v>0</v>
      </c>
      <c r="O143" t="n">
        <v>0</v>
      </c>
      <c r="P143" t="n">
        <v>0</v>
      </c>
      <c r="Q143" t="n">
        <v>0</v>
      </c>
      <c r="R143" s="2" t="inlineStr"/>
    </row>
    <row r="144" ht="15" customHeight="1">
      <c r="A144" t="inlineStr">
        <is>
          <t>A 18723-2021</t>
        </is>
      </c>
      <c r="B144" s="1" t="n">
        <v>44306</v>
      </c>
      <c r="C144" s="1" t="n">
        <v>45749</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20478-2021</t>
        </is>
      </c>
      <c r="B145" s="1" t="n">
        <v>44315</v>
      </c>
      <c r="C145" s="1" t="n">
        <v>45749</v>
      </c>
      <c r="D145" t="inlineStr">
        <is>
          <t>VÄSTMANLANDS LÄN</t>
        </is>
      </c>
      <c r="E145" t="inlineStr">
        <is>
          <t>SURAHAMMAR</t>
        </is>
      </c>
      <c r="F145" t="inlineStr">
        <is>
          <t>Sveaskog</t>
        </is>
      </c>
      <c r="G145" t="n">
        <v>6.2</v>
      </c>
      <c r="H145" t="n">
        <v>0</v>
      </c>
      <c r="I145" t="n">
        <v>0</v>
      </c>
      <c r="J145" t="n">
        <v>0</v>
      </c>
      <c r="K145" t="n">
        <v>0</v>
      </c>
      <c r="L145" t="n">
        <v>0</v>
      </c>
      <c r="M145" t="n">
        <v>0</v>
      </c>
      <c r="N145" t="n">
        <v>0</v>
      </c>
      <c r="O145" t="n">
        <v>0</v>
      </c>
      <c r="P145" t="n">
        <v>0</v>
      </c>
      <c r="Q145" t="n">
        <v>0</v>
      </c>
      <c r="R145" s="2" t="inlineStr"/>
    </row>
    <row r="146" ht="15" customHeight="1">
      <c r="A146" t="inlineStr">
        <is>
          <t>A 21839-2021</t>
        </is>
      </c>
      <c r="B146" s="1" t="n">
        <v>44322</v>
      </c>
      <c r="C146" s="1" t="n">
        <v>45749</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24804-2021</t>
        </is>
      </c>
      <c r="B147" s="1" t="n">
        <v>44340</v>
      </c>
      <c r="C147" s="1" t="n">
        <v>45749</v>
      </c>
      <c r="D147" t="inlineStr">
        <is>
          <t>VÄSTMANLANDS LÄN</t>
        </is>
      </c>
      <c r="E147" t="inlineStr">
        <is>
          <t>SURAHAMMAR</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31468-2021</t>
        </is>
      </c>
      <c r="B148" s="1" t="n">
        <v>44369</v>
      </c>
      <c r="C148" s="1" t="n">
        <v>45749</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33998-2021</t>
        </is>
      </c>
      <c r="B149" s="1" t="n">
        <v>44378</v>
      </c>
      <c r="C149" s="1" t="n">
        <v>45749</v>
      </c>
      <c r="D149" t="inlineStr">
        <is>
          <t>VÄSTMANLANDS LÄN</t>
        </is>
      </c>
      <c r="E149" t="inlineStr">
        <is>
          <t>SURAHAMMAR</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34001-2021</t>
        </is>
      </c>
      <c r="B150" s="1" t="n">
        <v>44378</v>
      </c>
      <c r="C150" s="1" t="n">
        <v>45749</v>
      </c>
      <c r="D150" t="inlineStr">
        <is>
          <t>VÄSTMANLANDS LÄN</t>
        </is>
      </c>
      <c r="E150" t="inlineStr">
        <is>
          <t>SURAHAMMAR</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45749</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37799-2021</t>
        </is>
      </c>
      <c r="B152" s="1" t="n">
        <v>44402</v>
      </c>
      <c r="C152" s="1" t="n">
        <v>45749</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38150-2021</t>
        </is>
      </c>
      <c r="B153" s="1" t="n">
        <v>44405</v>
      </c>
      <c r="C153" s="1" t="n">
        <v>45749</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38178-2021</t>
        </is>
      </c>
      <c r="B154" s="1" t="n">
        <v>44405</v>
      </c>
      <c r="C154" s="1" t="n">
        <v>45749</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38149-2021</t>
        </is>
      </c>
      <c r="B155" s="1" t="n">
        <v>44405</v>
      </c>
      <c r="C155" s="1" t="n">
        <v>45749</v>
      </c>
      <c r="D155" t="inlineStr">
        <is>
          <t>VÄSTMANLANDS LÄN</t>
        </is>
      </c>
      <c r="E155" t="inlineStr">
        <is>
          <t>SURAHAMMAR</t>
        </is>
      </c>
      <c r="F155" t="inlineStr">
        <is>
          <t>Sveaskog</t>
        </is>
      </c>
      <c r="G155" t="n">
        <v>4.9</v>
      </c>
      <c r="H155" t="n">
        <v>0</v>
      </c>
      <c r="I155" t="n">
        <v>0</v>
      </c>
      <c r="J155" t="n">
        <v>0</v>
      </c>
      <c r="K155" t="n">
        <v>0</v>
      </c>
      <c r="L155" t="n">
        <v>0</v>
      </c>
      <c r="M155" t="n">
        <v>0</v>
      </c>
      <c r="N155" t="n">
        <v>0</v>
      </c>
      <c r="O155" t="n">
        <v>0</v>
      </c>
      <c r="P155" t="n">
        <v>0</v>
      </c>
      <c r="Q155" t="n">
        <v>0</v>
      </c>
      <c r="R155" s="2" t="inlineStr"/>
    </row>
    <row r="156" ht="15" customHeight="1">
      <c r="A156" t="inlineStr">
        <is>
          <t>A 38163-2021</t>
        </is>
      </c>
      <c r="B156" s="1" t="n">
        <v>44405</v>
      </c>
      <c r="C156" s="1" t="n">
        <v>45749</v>
      </c>
      <c r="D156" t="inlineStr">
        <is>
          <t>VÄSTMANLANDS LÄN</t>
        </is>
      </c>
      <c r="E156" t="inlineStr">
        <is>
          <t>SURAHAMMAR</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38154-2021</t>
        </is>
      </c>
      <c r="B157" s="1" t="n">
        <v>44405</v>
      </c>
      <c r="C157" s="1" t="n">
        <v>45749</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47852-2021</t>
        </is>
      </c>
      <c r="B158" s="1" t="n">
        <v>44448</v>
      </c>
      <c r="C158" s="1" t="n">
        <v>45749</v>
      </c>
      <c r="D158" t="inlineStr">
        <is>
          <t>VÄSTMANLANDS LÄN</t>
        </is>
      </c>
      <c r="E158" t="inlineStr">
        <is>
          <t>SURAHAMMAR</t>
        </is>
      </c>
      <c r="G158" t="n">
        <v>4.1</v>
      </c>
      <c r="H158" t="n">
        <v>0</v>
      </c>
      <c r="I158" t="n">
        <v>0</v>
      </c>
      <c r="J158" t="n">
        <v>0</v>
      </c>
      <c r="K158" t="n">
        <v>0</v>
      </c>
      <c r="L158" t="n">
        <v>0</v>
      </c>
      <c r="M158" t="n">
        <v>0</v>
      </c>
      <c r="N158" t="n">
        <v>0</v>
      </c>
      <c r="O158" t="n">
        <v>0</v>
      </c>
      <c r="P158" t="n">
        <v>0</v>
      </c>
      <c r="Q158" t="n">
        <v>0</v>
      </c>
      <c r="R158" s="2" t="inlineStr"/>
    </row>
    <row r="159" ht="15" customHeight="1">
      <c r="A159" t="inlineStr">
        <is>
          <t>A 47785-2021</t>
        </is>
      </c>
      <c r="B159" s="1" t="n">
        <v>44448</v>
      </c>
      <c r="C159" s="1" t="n">
        <v>45749</v>
      </c>
      <c r="D159" t="inlineStr">
        <is>
          <t>VÄSTMANLANDS LÄN</t>
        </is>
      </c>
      <c r="E159" t="inlineStr">
        <is>
          <t>SURAHAMMAR</t>
        </is>
      </c>
      <c r="F159" t="inlineStr">
        <is>
          <t>Kommuner</t>
        </is>
      </c>
      <c r="G159" t="n">
        <v>3.3</v>
      </c>
      <c r="H159" t="n">
        <v>0</v>
      </c>
      <c r="I159" t="n">
        <v>0</v>
      </c>
      <c r="J159" t="n">
        <v>0</v>
      </c>
      <c r="K159" t="n">
        <v>0</v>
      </c>
      <c r="L159" t="n">
        <v>0</v>
      </c>
      <c r="M159" t="n">
        <v>0</v>
      </c>
      <c r="N159" t="n">
        <v>0</v>
      </c>
      <c r="O159" t="n">
        <v>0</v>
      </c>
      <c r="P159" t="n">
        <v>0</v>
      </c>
      <c r="Q159" t="n">
        <v>0</v>
      </c>
      <c r="R159" s="2" t="inlineStr"/>
    </row>
    <row r="160" ht="15" customHeight="1">
      <c r="A160" t="inlineStr">
        <is>
          <t>A 64073-2021</t>
        </is>
      </c>
      <c r="B160" s="1" t="n">
        <v>44509</v>
      </c>
      <c r="C160" s="1" t="n">
        <v>45749</v>
      </c>
      <c r="D160" t="inlineStr">
        <is>
          <t>VÄSTMANLANDS LÄN</t>
        </is>
      </c>
      <c r="E160" t="inlineStr">
        <is>
          <t>SURAHAMMAR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66342-2021</t>
        </is>
      </c>
      <c r="B161" s="1" t="n">
        <v>44518</v>
      </c>
      <c r="C161" s="1" t="n">
        <v>45749</v>
      </c>
      <c r="D161" t="inlineStr">
        <is>
          <t>VÄSTMANLANDS LÄN</t>
        </is>
      </c>
      <c r="E161" t="inlineStr">
        <is>
          <t>SURAHAMMAR</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66350-2021</t>
        </is>
      </c>
      <c r="B162" s="1" t="n">
        <v>44518</v>
      </c>
      <c r="C162" s="1" t="n">
        <v>45749</v>
      </c>
      <c r="D162" t="inlineStr">
        <is>
          <t>VÄSTMANLANDS LÄN</t>
        </is>
      </c>
      <c r="E162" t="inlineStr">
        <is>
          <t>SURAHAMMAR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67611-2021</t>
        </is>
      </c>
      <c r="B163" s="1" t="n">
        <v>44524</v>
      </c>
      <c r="C163" s="1" t="n">
        <v>45749</v>
      </c>
      <c r="D163" t="inlineStr">
        <is>
          <t>VÄSTMANLANDS LÄN</t>
        </is>
      </c>
      <c r="E163" t="inlineStr">
        <is>
          <t>SURAHAMMAR</t>
        </is>
      </c>
      <c r="F163" t="inlineStr">
        <is>
          <t>Kommuner</t>
        </is>
      </c>
      <c r="G163" t="n">
        <v>3.8</v>
      </c>
      <c r="H163" t="n">
        <v>0</v>
      </c>
      <c r="I163" t="n">
        <v>0</v>
      </c>
      <c r="J163" t="n">
        <v>0</v>
      </c>
      <c r="K163" t="n">
        <v>0</v>
      </c>
      <c r="L163" t="n">
        <v>0</v>
      </c>
      <c r="M163" t="n">
        <v>0</v>
      </c>
      <c r="N163" t="n">
        <v>0</v>
      </c>
      <c r="O163" t="n">
        <v>0</v>
      </c>
      <c r="P163" t="n">
        <v>0</v>
      </c>
      <c r="Q163" t="n">
        <v>0</v>
      </c>
      <c r="R163" s="2" t="inlineStr"/>
    </row>
    <row r="164" ht="15" customHeight="1">
      <c r="A164" t="inlineStr">
        <is>
          <t>A 72367-2021</t>
        </is>
      </c>
      <c r="B164" s="1" t="n">
        <v>44545</v>
      </c>
      <c r="C164" s="1" t="n">
        <v>45749</v>
      </c>
      <c r="D164" t="inlineStr">
        <is>
          <t>VÄSTMANLANDS LÄN</t>
        </is>
      </c>
      <c r="E164" t="inlineStr">
        <is>
          <t>SURAHAMMAR</t>
        </is>
      </c>
      <c r="G164" t="n">
        <v>2.5</v>
      </c>
      <c r="H164" t="n">
        <v>0</v>
      </c>
      <c r="I164" t="n">
        <v>0</v>
      </c>
      <c r="J164" t="n">
        <v>0</v>
      </c>
      <c r="K164" t="n">
        <v>0</v>
      </c>
      <c r="L164" t="n">
        <v>0</v>
      </c>
      <c r="M164" t="n">
        <v>0</v>
      </c>
      <c r="N164" t="n">
        <v>0</v>
      </c>
      <c r="O164" t="n">
        <v>0</v>
      </c>
      <c r="P164" t="n">
        <v>0</v>
      </c>
      <c r="Q164" t="n">
        <v>0</v>
      </c>
      <c r="R164" s="2" t="inlineStr"/>
    </row>
    <row r="165" ht="15" customHeight="1">
      <c r="A165" t="inlineStr">
        <is>
          <t>A 73156-2021</t>
        </is>
      </c>
      <c r="B165" s="1" t="n">
        <v>44550</v>
      </c>
      <c r="C165" s="1" t="n">
        <v>45749</v>
      </c>
      <c r="D165" t="inlineStr">
        <is>
          <t>VÄSTMANLANDS LÄN</t>
        </is>
      </c>
      <c r="E165" t="inlineStr">
        <is>
          <t>SURAHAMMAR</t>
        </is>
      </c>
      <c r="F165" t="inlineStr">
        <is>
          <t>Övriga Aktiebolag</t>
        </is>
      </c>
      <c r="G165" t="n">
        <v>2.5</v>
      </c>
      <c r="H165" t="n">
        <v>0</v>
      </c>
      <c r="I165" t="n">
        <v>0</v>
      </c>
      <c r="J165" t="n">
        <v>0</v>
      </c>
      <c r="K165" t="n">
        <v>0</v>
      </c>
      <c r="L165" t="n">
        <v>0</v>
      </c>
      <c r="M165" t="n">
        <v>0</v>
      </c>
      <c r="N165" t="n">
        <v>0</v>
      </c>
      <c r="O165" t="n">
        <v>0</v>
      </c>
      <c r="P165" t="n">
        <v>0</v>
      </c>
      <c r="Q165" t="n">
        <v>0</v>
      </c>
      <c r="R165" s="2" t="inlineStr"/>
    </row>
    <row r="166" ht="15" customHeight="1">
      <c r="A166" t="inlineStr">
        <is>
          <t>A 3155-2022</t>
        </is>
      </c>
      <c r="B166" s="1" t="n">
        <v>44582</v>
      </c>
      <c r="C166" s="1" t="n">
        <v>45749</v>
      </c>
      <c r="D166" t="inlineStr">
        <is>
          <t>VÄSTMANLANDS LÄN</t>
        </is>
      </c>
      <c r="E166" t="inlineStr">
        <is>
          <t>SURAHAMMAR</t>
        </is>
      </c>
      <c r="G166" t="n">
        <v>5.5</v>
      </c>
      <c r="H166" t="n">
        <v>0</v>
      </c>
      <c r="I166" t="n">
        <v>0</v>
      </c>
      <c r="J166" t="n">
        <v>0</v>
      </c>
      <c r="K166" t="n">
        <v>0</v>
      </c>
      <c r="L166" t="n">
        <v>0</v>
      </c>
      <c r="M166" t="n">
        <v>0</v>
      </c>
      <c r="N166" t="n">
        <v>0</v>
      </c>
      <c r="O166" t="n">
        <v>0</v>
      </c>
      <c r="P166" t="n">
        <v>0</v>
      </c>
      <c r="Q166" t="n">
        <v>0</v>
      </c>
      <c r="R166" s="2" t="inlineStr"/>
    </row>
    <row r="167" ht="15" customHeight="1">
      <c r="A167" t="inlineStr">
        <is>
          <t>A 3595-2022</t>
        </is>
      </c>
      <c r="B167" s="1" t="n">
        <v>44586</v>
      </c>
      <c r="C167" s="1" t="n">
        <v>45749</v>
      </c>
      <c r="D167" t="inlineStr">
        <is>
          <t>VÄSTMANLANDS LÄN</t>
        </is>
      </c>
      <c r="E167" t="inlineStr">
        <is>
          <t>SURAHAMMAR</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3818-2022</t>
        </is>
      </c>
      <c r="B168" s="1" t="n">
        <v>44587</v>
      </c>
      <c r="C168" s="1" t="n">
        <v>45749</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row r="169" ht="15" customHeight="1">
      <c r="A169" t="inlineStr">
        <is>
          <t>A 5567-2022</t>
        </is>
      </c>
      <c r="B169" s="1" t="n">
        <v>44595</v>
      </c>
      <c r="C169" s="1" t="n">
        <v>45749</v>
      </c>
      <c r="D169" t="inlineStr">
        <is>
          <t>VÄSTMANLANDS LÄN</t>
        </is>
      </c>
      <c r="E169" t="inlineStr">
        <is>
          <t>SURAHAMMAR</t>
        </is>
      </c>
      <c r="G169" t="n">
        <v>1.3</v>
      </c>
      <c r="H169" t="n">
        <v>0</v>
      </c>
      <c r="I169" t="n">
        <v>0</v>
      </c>
      <c r="J169" t="n">
        <v>0</v>
      </c>
      <c r="K169" t="n">
        <v>0</v>
      </c>
      <c r="L169" t="n">
        <v>0</v>
      </c>
      <c r="M169" t="n">
        <v>0</v>
      </c>
      <c r="N169" t="n">
        <v>0</v>
      </c>
      <c r="O169" t="n">
        <v>0</v>
      </c>
      <c r="P169" t="n">
        <v>0</v>
      </c>
      <c r="Q169" t="n">
        <v>0</v>
      </c>
      <c r="R169" s="2" t="inlineStr"/>
    </row>
    <row r="170" ht="15" customHeight="1">
      <c r="A170" t="inlineStr">
        <is>
          <t>A 7848-2022</t>
        </is>
      </c>
      <c r="B170" s="1" t="n">
        <v>44608</v>
      </c>
      <c r="C170" s="1" t="n">
        <v>45749</v>
      </c>
      <c r="D170" t="inlineStr">
        <is>
          <t>VÄSTMANLANDS LÄN</t>
        </is>
      </c>
      <c r="E170" t="inlineStr">
        <is>
          <t>SURAHAMMAR</t>
        </is>
      </c>
      <c r="G170" t="n">
        <v>2.1</v>
      </c>
      <c r="H170" t="n">
        <v>0</v>
      </c>
      <c r="I170" t="n">
        <v>0</v>
      </c>
      <c r="J170" t="n">
        <v>0</v>
      </c>
      <c r="K170" t="n">
        <v>0</v>
      </c>
      <c r="L170" t="n">
        <v>0</v>
      </c>
      <c r="M170" t="n">
        <v>0</v>
      </c>
      <c r="N170" t="n">
        <v>0</v>
      </c>
      <c r="O170" t="n">
        <v>0</v>
      </c>
      <c r="P170" t="n">
        <v>0</v>
      </c>
      <c r="Q170" t="n">
        <v>0</v>
      </c>
      <c r="R170" s="2" t="inlineStr"/>
    </row>
    <row r="171" ht="15" customHeight="1">
      <c r="A171" t="inlineStr">
        <is>
          <t>A 13119-2022</t>
        </is>
      </c>
      <c r="B171" s="1" t="n">
        <v>44643</v>
      </c>
      <c r="C171" s="1" t="n">
        <v>45749</v>
      </c>
      <c r="D171" t="inlineStr">
        <is>
          <t>VÄSTMANLANDS LÄN</t>
        </is>
      </c>
      <c r="E171" t="inlineStr">
        <is>
          <t>SURAHAMMAR</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13070-2022</t>
        </is>
      </c>
      <c r="B172" s="1" t="n">
        <v>44643</v>
      </c>
      <c r="C172" s="1" t="n">
        <v>45749</v>
      </c>
      <c r="D172" t="inlineStr">
        <is>
          <t>VÄSTMANLANDS LÄN</t>
        </is>
      </c>
      <c r="E172" t="inlineStr">
        <is>
          <t>SURAHAMMAR</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15637-2022</t>
        </is>
      </c>
      <c r="B173" s="1" t="n">
        <v>44662</v>
      </c>
      <c r="C173" s="1" t="n">
        <v>45749</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16608-2022</t>
        </is>
      </c>
      <c r="B174" s="1" t="n">
        <v>44672</v>
      </c>
      <c r="C174" s="1" t="n">
        <v>45749</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19099-2022</t>
        </is>
      </c>
      <c r="B175" s="1" t="n">
        <v>44691</v>
      </c>
      <c r="C175" s="1" t="n">
        <v>45749</v>
      </c>
      <c r="D175" t="inlineStr">
        <is>
          <t>VÄSTMANLANDS LÄN</t>
        </is>
      </c>
      <c r="E175" t="inlineStr">
        <is>
          <t>SURAHAMMAR</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19637-2022</t>
        </is>
      </c>
      <c r="B176" s="1" t="n">
        <v>44694</v>
      </c>
      <c r="C176" s="1" t="n">
        <v>45749</v>
      </c>
      <c r="D176" t="inlineStr">
        <is>
          <t>VÄSTMANLANDS LÄN</t>
        </is>
      </c>
      <c r="E176" t="inlineStr">
        <is>
          <t>SURAHAMMAR</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19844-2022</t>
        </is>
      </c>
      <c r="B177" s="1" t="n">
        <v>44696</v>
      </c>
      <c r="C177" s="1" t="n">
        <v>45749</v>
      </c>
      <c r="D177" t="inlineStr">
        <is>
          <t>VÄSTMANLANDS LÄN</t>
        </is>
      </c>
      <c r="E177" t="inlineStr">
        <is>
          <t>SURAHAMMAR</t>
        </is>
      </c>
      <c r="F177" t="inlineStr">
        <is>
          <t>Kommuner</t>
        </is>
      </c>
      <c r="G177" t="n">
        <v>2.1</v>
      </c>
      <c r="H177" t="n">
        <v>0</v>
      </c>
      <c r="I177" t="n">
        <v>0</v>
      </c>
      <c r="J177" t="n">
        <v>0</v>
      </c>
      <c r="K177" t="n">
        <v>0</v>
      </c>
      <c r="L177" t="n">
        <v>0</v>
      </c>
      <c r="M177" t="n">
        <v>0</v>
      </c>
      <c r="N177" t="n">
        <v>0</v>
      </c>
      <c r="O177" t="n">
        <v>0</v>
      </c>
      <c r="P177" t="n">
        <v>0</v>
      </c>
      <c r="Q177" t="n">
        <v>0</v>
      </c>
      <c r="R177" s="2" t="inlineStr"/>
    </row>
    <row r="178" ht="15" customHeight="1">
      <c r="A178" t="inlineStr">
        <is>
          <t>A 19845-2022</t>
        </is>
      </c>
      <c r="B178" s="1" t="n">
        <v>44696</v>
      </c>
      <c r="C178" s="1" t="n">
        <v>45749</v>
      </c>
      <c r="D178" t="inlineStr">
        <is>
          <t>VÄSTMANLANDS LÄN</t>
        </is>
      </c>
      <c r="E178" t="inlineStr">
        <is>
          <t>SURAHAMMAR</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19846-2022</t>
        </is>
      </c>
      <c r="B179" s="1" t="n">
        <v>44696</v>
      </c>
      <c r="C179" s="1" t="n">
        <v>45749</v>
      </c>
      <c r="D179" t="inlineStr">
        <is>
          <t>VÄSTMANLANDS LÄN</t>
        </is>
      </c>
      <c r="E179" t="inlineStr">
        <is>
          <t>SURAHAMMAR</t>
        </is>
      </c>
      <c r="F179" t="inlineStr">
        <is>
          <t>Kommuner</t>
        </is>
      </c>
      <c r="G179" t="n">
        <v>3.4</v>
      </c>
      <c r="H179" t="n">
        <v>0</v>
      </c>
      <c r="I179" t="n">
        <v>0</v>
      </c>
      <c r="J179" t="n">
        <v>0</v>
      </c>
      <c r="K179" t="n">
        <v>0</v>
      </c>
      <c r="L179" t="n">
        <v>0</v>
      </c>
      <c r="M179" t="n">
        <v>0</v>
      </c>
      <c r="N179" t="n">
        <v>0</v>
      </c>
      <c r="O179" t="n">
        <v>0</v>
      </c>
      <c r="P179" t="n">
        <v>0</v>
      </c>
      <c r="Q179" t="n">
        <v>0</v>
      </c>
      <c r="R179" s="2" t="inlineStr"/>
    </row>
    <row r="180" ht="15" customHeight="1">
      <c r="A180" t="inlineStr">
        <is>
          <t>A 26700-2022</t>
        </is>
      </c>
      <c r="B180" s="1" t="n">
        <v>44739</v>
      </c>
      <c r="C180" s="1" t="n">
        <v>45749</v>
      </c>
      <c r="D180" t="inlineStr">
        <is>
          <t>VÄSTMANLANDS LÄN</t>
        </is>
      </c>
      <c r="E180" t="inlineStr">
        <is>
          <t>SURAHAMMAR</t>
        </is>
      </c>
      <c r="F180" t="inlineStr">
        <is>
          <t>Kommuner</t>
        </is>
      </c>
      <c r="G180" t="n">
        <v>3.1</v>
      </c>
      <c r="H180" t="n">
        <v>0</v>
      </c>
      <c r="I180" t="n">
        <v>0</v>
      </c>
      <c r="J180" t="n">
        <v>0</v>
      </c>
      <c r="K180" t="n">
        <v>0</v>
      </c>
      <c r="L180" t="n">
        <v>0</v>
      </c>
      <c r="M180" t="n">
        <v>0</v>
      </c>
      <c r="N180" t="n">
        <v>0</v>
      </c>
      <c r="O180" t="n">
        <v>0</v>
      </c>
      <c r="P180" t="n">
        <v>0</v>
      </c>
      <c r="Q180" t="n">
        <v>0</v>
      </c>
      <c r="R180" s="2" t="inlineStr"/>
    </row>
    <row r="181" ht="15" customHeight="1">
      <c r="A181" t="inlineStr">
        <is>
          <t>A 32475-2022</t>
        </is>
      </c>
      <c r="B181" s="1" t="n">
        <v>44782</v>
      </c>
      <c r="C181" s="1" t="n">
        <v>45749</v>
      </c>
      <c r="D181" t="inlineStr">
        <is>
          <t>VÄSTMANLANDS LÄN</t>
        </is>
      </c>
      <c r="E181" t="inlineStr">
        <is>
          <t>SURAHAMMAR</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32491-2022</t>
        </is>
      </c>
      <c r="B182" s="1" t="n">
        <v>44782</v>
      </c>
      <c r="C182" s="1" t="n">
        <v>45749</v>
      </c>
      <c r="D182" t="inlineStr">
        <is>
          <t>VÄSTMANLANDS LÄN</t>
        </is>
      </c>
      <c r="E182" t="inlineStr">
        <is>
          <t>SURAHAMMAR</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32492-2022</t>
        </is>
      </c>
      <c r="B183" s="1" t="n">
        <v>44782</v>
      </c>
      <c r="C183" s="1" t="n">
        <v>45749</v>
      </c>
      <c r="D183" t="inlineStr">
        <is>
          <t>VÄSTMANLANDS LÄN</t>
        </is>
      </c>
      <c r="E183" t="inlineStr">
        <is>
          <t>SURAHAMMAR</t>
        </is>
      </c>
      <c r="F183" t="inlineStr">
        <is>
          <t>Bergvik skog väst AB</t>
        </is>
      </c>
      <c r="G183" t="n">
        <v>5.3</v>
      </c>
      <c r="H183" t="n">
        <v>0</v>
      </c>
      <c r="I183" t="n">
        <v>0</v>
      </c>
      <c r="J183" t="n">
        <v>0</v>
      </c>
      <c r="K183" t="n">
        <v>0</v>
      </c>
      <c r="L183" t="n">
        <v>0</v>
      </c>
      <c r="M183" t="n">
        <v>0</v>
      </c>
      <c r="N183" t="n">
        <v>0</v>
      </c>
      <c r="O183" t="n">
        <v>0</v>
      </c>
      <c r="P183" t="n">
        <v>0</v>
      </c>
      <c r="Q183" t="n">
        <v>0</v>
      </c>
      <c r="R183" s="2" t="inlineStr"/>
    </row>
    <row r="184" ht="15" customHeight="1">
      <c r="A184" t="inlineStr">
        <is>
          <t>A 33931-2022</t>
        </is>
      </c>
      <c r="B184" s="1" t="n">
        <v>44790</v>
      </c>
      <c r="C184" s="1" t="n">
        <v>45749</v>
      </c>
      <c r="D184" t="inlineStr">
        <is>
          <t>VÄSTMANLANDS LÄN</t>
        </is>
      </c>
      <c r="E184" t="inlineStr">
        <is>
          <t>SURAHAMMAR</t>
        </is>
      </c>
      <c r="G184" t="n">
        <v>2.2</v>
      </c>
      <c r="H184" t="n">
        <v>0</v>
      </c>
      <c r="I184" t="n">
        <v>0</v>
      </c>
      <c r="J184" t="n">
        <v>0</v>
      </c>
      <c r="K184" t="n">
        <v>0</v>
      </c>
      <c r="L184" t="n">
        <v>0</v>
      </c>
      <c r="M184" t="n">
        <v>0</v>
      </c>
      <c r="N184" t="n">
        <v>0</v>
      </c>
      <c r="O184" t="n">
        <v>0</v>
      </c>
      <c r="P184" t="n">
        <v>0</v>
      </c>
      <c r="Q184" t="n">
        <v>0</v>
      </c>
      <c r="R184" s="2" t="inlineStr"/>
    </row>
    <row r="185" ht="15" customHeight="1">
      <c r="A185" t="inlineStr">
        <is>
          <t>A 33946-2022</t>
        </is>
      </c>
      <c r="B185" s="1" t="n">
        <v>44790</v>
      </c>
      <c r="C185" s="1" t="n">
        <v>45749</v>
      </c>
      <c r="D185" t="inlineStr">
        <is>
          <t>VÄSTMANLANDS LÄN</t>
        </is>
      </c>
      <c r="E185" t="inlineStr">
        <is>
          <t>SURAHAMMAR</t>
        </is>
      </c>
      <c r="G185" t="n">
        <v>2.3</v>
      </c>
      <c r="H185" t="n">
        <v>0</v>
      </c>
      <c r="I185" t="n">
        <v>0</v>
      </c>
      <c r="J185" t="n">
        <v>0</v>
      </c>
      <c r="K185" t="n">
        <v>0</v>
      </c>
      <c r="L185" t="n">
        <v>0</v>
      </c>
      <c r="M185" t="n">
        <v>0</v>
      </c>
      <c r="N185" t="n">
        <v>0</v>
      </c>
      <c r="O185" t="n">
        <v>0</v>
      </c>
      <c r="P185" t="n">
        <v>0</v>
      </c>
      <c r="Q185" t="n">
        <v>0</v>
      </c>
      <c r="R185" s="2" t="inlineStr"/>
    </row>
    <row r="186" ht="15" customHeight="1">
      <c r="A186" t="inlineStr">
        <is>
          <t>A 33953-2022</t>
        </is>
      </c>
      <c r="B186" s="1" t="n">
        <v>44790</v>
      </c>
      <c r="C186" s="1" t="n">
        <v>45749</v>
      </c>
      <c r="D186" t="inlineStr">
        <is>
          <t>VÄSTMANLANDS LÄN</t>
        </is>
      </c>
      <c r="E186" t="inlineStr">
        <is>
          <t>SURAHAMMAR</t>
        </is>
      </c>
      <c r="G186" t="n">
        <v>3</v>
      </c>
      <c r="H186" t="n">
        <v>0</v>
      </c>
      <c r="I186" t="n">
        <v>0</v>
      </c>
      <c r="J186" t="n">
        <v>0</v>
      </c>
      <c r="K186" t="n">
        <v>0</v>
      </c>
      <c r="L186" t="n">
        <v>0</v>
      </c>
      <c r="M186" t="n">
        <v>0</v>
      </c>
      <c r="N186" t="n">
        <v>0</v>
      </c>
      <c r="O186" t="n">
        <v>0</v>
      </c>
      <c r="P186" t="n">
        <v>0</v>
      </c>
      <c r="Q186" t="n">
        <v>0</v>
      </c>
      <c r="R186" s="2" t="inlineStr"/>
    </row>
    <row r="187" ht="15" customHeight="1">
      <c r="A187" t="inlineStr">
        <is>
          <t>A 34957-2022</t>
        </is>
      </c>
      <c r="B187" s="1" t="n">
        <v>44796</v>
      </c>
      <c r="C187" s="1" t="n">
        <v>45749</v>
      </c>
      <c r="D187" t="inlineStr">
        <is>
          <t>VÄSTMANLANDS LÄN</t>
        </is>
      </c>
      <c r="E187" t="inlineStr">
        <is>
          <t>SURAHAMMAR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34955-2022</t>
        </is>
      </c>
      <c r="B188" s="1" t="n">
        <v>44796</v>
      </c>
      <c r="C188" s="1" t="n">
        <v>45749</v>
      </c>
      <c r="D188" t="inlineStr">
        <is>
          <t>VÄSTMANLANDS LÄN</t>
        </is>
      </c>
      <c r="E188" t="inlineStr">
        <is>
          <t>SURAHAMMAR</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34956-2022</t>
        </is>
      </c>
      <c r="B189" s="1" t="n">
        <v>44796</v>
      </c>
      <c r="C189" s="1" t="n">
        <v>45749</v>
      </c>
      <c r="D189" t="inlineStr">
        <is>
          <t>VÄSTMANLANDS LÄN</t>
        </is>
      </c>
      <c r="E189" t="inlineStr">
        <is>
          <t>SURAHAMMAR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35677-2022</t>
        </is>
      </c>
      <c r="B190" s="1" t="n">
        <v>44799</v>
      </c>
      <c r="C190" s="1" t="n">
        <v>45749</v>
      </c>
      <c r="D190" t="inlineStr">
        <is>
          <t>VÄSTMANLANDS LÄN</t>
        </is>
      </c>
      <c r="E190" t="inlineStr">
        <is>
          <t>SURAHAMMAR</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35682-2022</t>
        </is>
      </c>
      <c r="B191" s="1" t="n">
        <v>44799</v>
      </c>
      <c r="C191" s="1" t="n">
        <v>45749</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35679-2022</t>
        </is>
      </c>
      <c r="B192" s="1" t="n">
        <v>44799</v>
      </c>
      <c r="C192" s="1" t="n">
        <v>45749</v>
      </c>
      <c r="D192" t="inlineStr">
        <is>
          <t>VÄSTMANLANDS LÄN</t>
        </is>
      </c>
      <c r="E192" t="inlineStr">
        <is>
          <t>SURAHAMMAR</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41576-2022</t>
        </is>
      </c>
      <c r="B193" s="1" t="n">
        <v>44826</v>
      </c>
      <c r="C193" s="1" t="n">
        <v>45749</v>
      </c>
      <c r="D193" t="inlineStr">
        <is>
          <t>VÄSTMANLANDS LÄN</t>
        </is>
      </c>
      <c r="E193" t="inlineStr">
        <is>
          <t>SURAHAMMAR</t>
        </is>
      </c>
      <c r="F193" t="inlineStr">
        <is>
          <t>Bergvik skog väst AB</t>
        </is>
      </c>
      <c r="G193" t="n">
        <v>6.4</v>
      </c>
      <c r="H193" t="n">
        <v>0</v>
      </c>
      <c r="I193" t="n">
        <v>0</v>
      </c>
      <c r="J193" t="n">
        <v>0</v>
      </c>
      <c r="K193" t="n">
        <v>0</v>
      </c>
      <c r="L193" t="n">
        <v>0</v>
      </c>
      <c r="M193" t="n">
        <v>0</v>
      </c>
      <c r="N193" t="n">
        <v>0</v>
      </c>
      <c r="O193" t="n">
        <v>0</v>
      </c>
      <c r="P193" t="n">
        <v>0</v>
      </c>
      <c r="Q193" t="n">
        <v>0</v>
      </c>
      <c r="R193" s="2" t="inlineStr"/>
    </row>
    <row r="194" ht="15" customHeight="1">
      <c r="A194" t="inlineStr">
        <is>
          <t>A 41555-2022</t>
        </is>
      </c>
      <c r="B194" s="1" t="n">
        <v>44826</v>
      </c>
      <c r="C194" s="1" t="n">
        <v>45749</v>
      </c>
      <c r="D194" t="inlineStr">
        <is>
          <t>VÄSTMANLANDS LÄN</t>
        </is>
      </c>
      <c r="E194" t="inlineStr">
        <is>
          <t>SURAHAMMAR</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42714-2022</t>
        </is>
      </c>
      <c r="B195" s="1" t="n">
        <v>44832</v>
      </c>
      <c r="C195" s="1" t="n">
        <v>45749</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42832-2022</t>
        </is>
      </c>
      <c r="B196" s="1" t="n">
        <v>44832</v>
      </c>
      <c r="C196" s="1" t="n">
        <v>45749</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42841-2022</t>
        </is>
      </c>
      <c r="B197" s="1" t="n">
        <v>44832</v>
      </c>
      <c r="C197" s="1" t="n">
        <v>45749</v>
      </c>
      <c r="D197" t="inlineStr">
        <is>
          <t>VÄSTMANLANDS LÄN</t>
        </is>
      </c>
      <c r="E197" t="inlineStr">
        <is>
          <t>SURAHAMMAR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42829-2022</t>
        </is>
      </c>
      <c r="B198" s="1" t="n">
        <v>44832</v>
      </c>
      <c r="C198" s="1" t="n">
        <v>45749</v>
      </c>
      <c r="D198" t="inlineStr">
        <is>
          <t>VÄSTMANLANDS LÄN</t>
        </is>
      </c>
      <c r="E198" t="inlineStr">
        <is>
          <t>SURAHAMMAR</t>
        </is>
      </c>
      <c r="G198" t="n">
        <v>1.6</v>
      </c>
      <c r="H198" t="n">
        <v>0</v>
      </c>
      <c r="I198" t="n">
        <v>0</v>
      </c>
      <c r="J198" t="n">
        <v>0</v>
      </c>
      <c r="K198" t="n">
        <v>0</v>
      </c>
      <c r="L198" t="n">
        <v>0</v>
      </c>
      <c r="M198" t="n">
        <v>0</v>
      </c>
      <c r="N198" t="n">
        <v>0</v>
      </c>
      <c r="O198" t="n">
        <v>0</v>
      </c>
      <c r="P198" t="n">
        <v>0</v>
      </c>
      <c r="Q198" t="n">
        <v>0</v>
      </c>
      <c r="R198" s="2" t="inlineStr"/>
    </row>
    <row r="199" ht="15" customHeight="1">
      <c r="A199" t="inlineStr">
        <is>
          <t>A 48581-2022</t>
        </is>
      </c>
      <c r="B199" s="1" t="n">
        <v>44859</v>
      </c>
      <c r="C199" s="1" t="n">
        <v>45749</v>
      </c>
      <c r="D199" t="inlineStr">
        <is>
          <t>VÄSTMANLANDS LÄN</t>
        </is>
      </c>
      <c r="E199" t="inlineStr">
        <is>
          <t>SURAHAMMAR</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49686-2022</t>
        </is>
      </c>
      <c r="B200" s="1" t="n">
        <v>44862</v>
      </c>
      <c r="C200" s="1" t="n">
        <v>45749</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3085-2023</t>
        </is>
      </c>
      <c r="B201" s="1" t="n">
        <v>44946</v>
      </c>
      <c r="C201" s="1" t="n">
        <v>45749</v>
      </c>
      <c r="D201" t="inlineStr">
        <is>
          <t>VÄSTMANLANDS LÄN</t>
        </is>
      </c>
      <c r="E201" t="inlineStr">
        <is>
          <t>SURAHAMMAR</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8553-2023</t>
        </is>
      </c>
      <c r="B202" s="1" t="n">
        <v>44977</v>
      </c>
      <c r="C202" s="1" t="n">
        <v>45749</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10877-2023</t>
        </is>
      </c>
      <c r="B203" s="1" t="n">
        <v>44991</v>
      </c>
      <c r="C203" s="1" t="n">
        <v>45749</v>
      </c>
      <c r="D203" t="inlineStr">
        <is>
          <t>VÄSTMANLANDS LÄN</t>
        </is>
      </c>
      <c r="E203" t="inlineStr">
        <is>
          <t>SURAHAMMAR</t>
        </is>
      </c>
      <c r="F203" t="inlineStr">
        <is>
          <t>Övriga Aktiebolag</t>
        </is>
      </c>
      <c r="G203" t="n">
        <v>1.4</v>
      </c>
      <c r="H203" t="n">
        <v>0</v>
      </c>
      <c r="I203" t="n">
        <v>0</v>
      </c>
      <c r="J203" t="n">
        <v>0</v>
      </c>
      <c r="K203" t="n">
        <v>0</v>
      </c>
      <c r="L203" t="n">
        <v>0</v>
      </c>
      <c r="M203" t="n">
        <v>0</v>
      </c>
      <c r="N203" t="n">
        <v>0</v>
      </c>
      <c r="O203" t="n">
        <v>0</v>
      </c>
      <c r="P203" t="n">
        <v>0</v>
      </c>
      <c r="Q203" t="n">
        <v>0</v>
      </c>
      <c r="R203" s="2" t="inlineStr"/>
    </row>
    <row r="204" ht="15" customHeight="1">
      <c r="A204" t="inlineStr">
        <is>
          <t>A 10883-2023</t>
        </is>
      </c>
      <c r="B204" s="1" t="n">
        <v>44991</v>
      </c>
      <c r="C204" s="1" t="n">
        <v>45749</v>
      </c>
      <c r="D204" t="inlineStr">
        <is>
          <t>VÄSTMANLANDS LÄN</t>
        </is>
      </c>
      <c r="E204" t="inlineStr">
        <is>
          <t>SURAHAMMAR</t>
        </is>
      </c>
      <c r="F204" t="inlineStr">
        <is>
          <t>Övriga Aktiebolag</t>
        </is>
      </c>
      <c r="G204" t="n">
        <v>12.5</v>
      </c>
      <c r="H204" t="n">
        <v>0</v>
      </c>
      <c r="I204" t="n">
        <v>0</v>
      </c>
      <c r="J204" t="n">
        <v>0</v>
      </c>
      <c r="K204" t="n">
        <v>0</v>
      </c>
      <c r="L204" t="n">
        <v>0</v>
      </c>
      <c r="M204" t="n">
        <v>0</v>
      </c>
      <c r="N204" t="n">
        <v>0</v>
      </c>
      <c r="O204" t="n">
        <v>0</v>
      </c>
      <c r="P204" t="n">
        <v>0</v>
      </c>
      <c r="Q204" t="n">
        <v>0</v>
      </c>
      <c r="R204" s="2" t="inlineStr"/>
    </row>
    <row r="205" ht="15" customHeight="1">
      <c r="A205" t="inlineStr">
        <is>
          <t>A 11501-2023</t>
        </is>
      </c>
      <c r="B205" s="1" t="n">
        <v>44991</v>
      </c>
      <c r="C205" s="1" t="n">
        <v>45749</v>
      </c>
      <c r="D205" t="inlineStr">
        <is>
          <t>VÄSTMANLANDS LÄN</t>
        </is>
      </c>
      <c r="E205" t="inlineStr">
        <is>
          <t>SURAHAMMAR</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11728-2023</t>
        </is>
      </c>
      <c r="B206" s="1" t="n">
        <v>44993</v>
      </c>
      <c r="C206" s="1" t="n">
        <v>45749</v>
      </c>
      <c r="D206" t="inlineStr">
        <is>
          <t>VÄSTMANLANDS LÄN</t>
        </is>
      </c>
      <c r="E206" t="inlineStr">
        <is>
          <t>SURAHAMMAR</t>
        </is>
      </c>
      <c r="F206" t="inlineStr">
        <is>
          <t>Bergvik skog väst AB</t>
        </is>
      </c>
      <c r="G206" t="n">
        <v>0.4</v>
      </c>
      <c r="H206" t="n">
        <v>0</v>
      </c>
      <c r="I206" t="n">
        <v>0</v>
      </c>
      <c r="J206" t="n">
        <v>0</v>
      </c>
      <c r="K206" t="n">
        <v>0</v>
      </c>
      <c r="L206" t="n">
        <v>0</v>
      </c>
      <c r="M206" t="n">
        <v>0</v>
      </c>
      <c r="N206" t="n">
        <v>0</v>
      </c>
      <c r="O206" t="n">
        <v>0</v>
      </c>
      <c r="P206" t="n">
        <v>0</v>
      </c>
      <c r="Q206" t="n">
        <v>0</v>
      </c>
      <c r="R206" s="2" t="inlineStr"/>
    </row>
    <row r="207" ht="15" customHeight="1">
      <c r="A207" t="inlineStr">
        <is>
          <t>A 13479-2023</t>
        </is>
      </c>
      <c r="B207" s="1" t="n">
        <v>45005</v>
      </c>
      <c r="C207" s="1" t="n">
        <v>45749</v>
      </c>
      <c r="D207" t="inlineStr">
        <is>
          <t>VÄSTMANLANDS LÄN</t>
        </is>
      </c>
      <c r="E207" t="inlineStr">
        <is>
          <t>SURAHAMMAR</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14626-2023</t>
        </is>
      </c>
      <c r="B208" s="1" t="n">
        <v>45012</v>
      </c>
      <c r="C208" s="1" t="n">
        <v>45749</v>
      </c>
      <c r="D208" t="inlineStr">
        <is>
          <t>VÄSTMANLANDS LÄN</t>
        </is>
      </c>
      <c r="E208" t="inlineStr">
        <is>
          <t>SURAHAMMAR</t>
        </is>
      </c>
      <c r="F208" t="inlineStr">
        <is>
          <t>Bergvik skog väst AB</t>
        </is>
      </c>
      <c r="G208" t="n">
        <v>5</v>
      </c>
      <c r="H208" t="n">
        <v>0</v>
      </c>
      <c r="I208" t="n">
        <v>0</v>
      </c>
      <c r="J208" t="n">
        <v>0</v>
      </c>
      <c r="K208" t="n">
        <v>0</v>
      </c>
      <c r="L208" t="n">
        <v>0</v>
      </c>
      <c r="M208" t="n">
        <v>0</v>
      </c>
      <c r="N208" t="n">
        <v>0</v>
      </c>
      <c r="O208" t="n">
        <v>0</v>
      </c>
      <c r="P208" t="n">
        <v>0</v>
      </c>
      <c r="Q208" t="n">
        <v>0</v>
      </c>
      <c r="R208" s="2" t="inlineStr"/>
    </row>
    <row r="209" ht="15" customHeight="1">
      <c r="A209" t="inlineStr">
        <is>
          <t>A 14583-2023</t>
        </is>
      </c>
      <c r="B209" s="1" t="n">
        <v>45013</v>
      </c>
      <c r="C209" s="1" t="n">
        <v>45749</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15743-2023</t>
        </is>
      </c>
      <c r="B210" s="1" t="n">
        <v>45021</v>
      </c>
      <c r="C210" s="1" t="n">
        <v>45749</v>
      </c>
      <c r="D210" t="inlineStr">
        <is>
          <t>VÄSTMANLANDS LÄN</t>
        </is>
      </c>
      <c r="E210" t="inlineStr">
        <is>
          <t>SURAHAMMAR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15739-2023</t>
        </is>
      </c>
      <c r="B211" s="1" t="n">
        <v>45021</v>
      </c>
      <c r="C211" s="1" t="n">
        <v>45749</v>
      </c>
      <c r="D211" t="inlineStr">
        <is>
          <t>VÄSTMANLANDS LÄN</t>
        </is>
      </c>
      <c r="E211" t="inlineStr">
        <is>
          <t>SURAHAMMAR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16013-2023</t>
        </is>
      </c>
      <c r="B212" s="1" t="n">
        <v>45026</v>
      </c>
      <c r="C212" s="1" t="n">
        <v>45749</v>
      </c>
      <c r="D212" t="inlineStr">
        <is>
          <t>VÄSTMANLANDS LÄN</t>
        </is>
      </c>
      <c r="E212" t="inlineStr">
        <is>
          <t>SURAHAMMAR</t>
        </is>
      </c>
      <c r="G212" t="n">
        <v>3.9</v>
      </c>
      <c r="H212" t="n">
        <v>0</v>
      </c>
      <c r="I212" t="n">
        <v>0</v>
      </c>
      <c r="J212" t="n">
        <v>0</v>
      </c>
      <c r="K212" t="n">
        <v>0</v>
      </c>
      <c r="L212" t="n">
        <v>0</v>
      </c>
      <c r="M212" t="n">
        <v>0</v>
      </c>
      <c r="N212" t="n">
        <v>0</v>
      </c>
      <c r="O212" t="n">
        <v>0</v>
      </c>
      <c r="P212" t="n">
        <v>0</v>
      </c>
      <c r="Q212" t="n">
        <v>0</v>
      </c>
      <c r="R212" s="2" t="inlineStr"/>
    </row>
    <row r="213" ht="15" customHeight="1">
      <c r="A213" t="inlineStr">
        <is>
          <t>A 18223-2023</t>
        </is>
      </c>
      <c r="B213" s="1" t="n">
        <v>45041</v>
      </c>
      <c r="C213" s="1" t="n">
        <v>45749</v>
      </c>
      <c r="D213" t="inlineStr">
        <is>
          <t>VÄSTMANLANDS LÄN</t>
        </is>
      </c>
      <c r="E213" t="inlineStr">
        <is>
          <t>SURAHAMMAR</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19778-2023</t>
        </is>
      </c>
      <c r="B214" s="1" t="n">
        <v>45050</v>
      </c>
      <c r="C214" s="1" t="n">
        <v>45749</v>
      </c>
      <c r="D214" t="inlineStr">
        <is>
          <t>VÄSTMANLANDS LÄN</t>
        </is>
      </c>
      <c r="E214" t="inlineStr">
        <is>
          <t>SURAHAMMAR</t>
        </is>
      </c>
      <c r="F214" t="inlineStr">
        <is>
          <t>Bergvik skog väst AB</t>
        </is>
      </c>
      <c r="G214" t="n">
        <v>6</v>
      </c>
      <c r="H214" t="n">
        <v>0</v>
      </c>
      <c r="I214" t="n">
        <v>0</v>
      </c>
      <c r="J214" t="n">
        <v>0</v>
      </c>
      <c r="K214" t="n">
        <v>0</v>
      </c>
      <c r="L214" t="n">
        <v>0</v>
      </c>
      <c r="M214" t="n">
        <v>0</v>
      </c>
      <c r="N214" t="n">
        <v>0</v>
      </c>
      <c r="O214" t="n">
        <v>0</v>
      </c>
      <c r="P214" t="n">
        <v>0</v>
      </c>
      <c r="Q214" t="n">
        <v>0</v>
      </c>
      <c r="R214" s="2" t="inlineStr"/>
    </row>
    <row r="215" ht="15" customHeight="1">
      <c r="A215" t="inlineStr">
        <is>
          <t>A 19779-2023</t>
        </is>
      </c>
      <c r="B215" s="1" t="n">
        <v>45050</v>
      </c>
      <c r="C215" s="1" t="n">
        <v>45749</v>
      </c>
      <c r="D215" t="inlineStr">
        <is>
          <t>VÄSTMANLANDS LÄN</t>
        </is>
      </c>
      <c r="E215" t="inlineStr">
        <is>
          <t>SURAHAMMAR</t>
        </is>
      </c>
      <c r="F215" t="inlineStr">
        <is>
          <t>Bergvik skog väst AB</t>
        </is>
      </c>
      <c r="G215" t="n">
        <v>11.1</v>
      </c>
      <c r="H215" t="n">
        <v>0</v>
      </c>
      <c r="I215" t="n">
        <v>0</v>
      </c>
      <c r="J215" t="n">
        <v>0</v>
      </c>
      <c r="K215" t="n">
        <v>0</v>
      </c>
      <c r="L215" t="n">
        <v>0</v>
      </c>
      <c r="M215" t="n">
        <v>0</v>
      </c>
      <c r="N215" t="n">
        <v>0</v>
      </c>
      <c r="O215" t="n">
        <v>0</v>
      </c>
      <c r="P215" t="n">
        <v>0</v>
      </c>
      <c r="Q215" t="n">
        <v>0</v>
      </c>
      <c r="R215" s="2" t="inlineStr"/>
    </row>
    <row r="216" ht="15" customHeight="1">
      <c r="A216" t="inlineStr">
        <is>
          <t>A 19786-2023</t>
        </is>
      </c>
      <c r="B216" s="1" t="n">
        <v>45050</v>
      </c>
      <c r="C216" s="1" t="n">
        <v>45749</v>
      </c>
      <c r="D216" t="inlineStr">
        <is>
          <t>VÄSTMANLANDS LÄN</t>
        </is>
      </c>
      <c r="E216" t="inlineStr">
        <is>
          <t>SURAHAMMAR</t>
        </is>
      </c>
      <c r="F216" t="inlineStr">
        <is>
          <t>Bergvik skog väst AB</t>
        </is>
      </c>
      <c r="G216" t="n">
        <v>8.1</v>
      </c>
      <c r="H216" t="n">
        <v>0</v>
      </c>
      <c r="I216" t="n">
        <v>0</v>
      </c>
      <c r="J216" t="n">
        <v>0</v>
      </c>
      <c r="K216" t="n">
        <v>0</v>
      </c>
      <c r="L216" t="n">
        <v>0</v>
      </c>
      <c r="M216" t="n">
        <v>0</v>
      </c>
      <c r="N216" t="n">
        <v>0</v>
      </c>
      <c r="O216" t="n">
        <v>0</v>
      </c>
      <c r="P216" t="n">
        <v>0</v>
      </c>
      <c r="Q216" t="n">
        <v>0</v>
      </c>
      <c r="R216" s="2" t="inlineStr"/>
    </row>
    <row r="217" ht="15" customHeight="1">
      <c r="A217" t="inlineStr">
        <is>
          <t>A 19782-2023</t>
        </is>
      </c>
      <c r="B217" s="1" t="n">
        <v>45050</v>
      </c>
      <c r="C217" s="1" t="n">
        <v>45749</v>
      </c>
      <c r="D217" t="inlineStr">
        <is>
          <t>VÄSTMANLANDS LÄN</t>
        </is>
      </c>
      <c r="E217" t="inlineStr">
        <is>
          <t>SURAHAMMAR</t>
        </is>
      </c>
      <c r="F217" t="inlineStr">
        <is>
          <t>Bergvik skog väst AB</t>
        </is>
      </c>
      <c r="G217" t="n">
        <v>5.2</v>
      </c>
      <c r="H217" t="n">
        <v>0</v>
      </c>
      <c r="I217" t="n">
        <v>0</v>
      </c>
      <c r="J217" t="n">
        <v>0</v>
      </c>
      <c r="K217" t="n">
        <v>0</v>
      </c>
      <c r="L217" t="n">
        <v>0</v>
      </c>
      <c r="M217" t="n">
        <v>0</v>
      </c>
      <c r="N217" t="n">
        <v>0</v>
      </c>
      <c r="O217" t="n">
        <v>0</v>
      </c>
      <c r="P217" t="n">
        <v>0</v>
      </c>
      <c r="Q217" t="n">
        <v>0</v>
      </c>
      <c r="R217" s="2" t="inlineStr"/>
    </row>
    <row r="218" ht="15" customHeight="1">
      <c r="A218" t="inlineStr">
        <is>
          <t>A 20020-2023</t>
        </is>
      </c>
      <c r="B218" s="1" t="n">
        <v>45054</v>
      </c>
      <c r="C218" s="1" t="n">
        <v>45749</v>
      </c>
      <c r="D218" t="inlineStr">
        <is>
          <t>VÄSTMANLANDS LÄN</t>
        </is>
      </c>
      <c r="E218" t="inlineStr">
        <is>
          <t>SURAHAMMAR</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20018-2023</t>
        </is>
      </c>
      <c r="B219" s="1" t="n">
        <v>45054</v>
      </c>
      <c r="C219" s="1" t="n">
        <v>45749</v>
      </c>
      <c r="D219" t="inlineStr">
        <is>
          <t>VÄSTMANLANDS LÄN</t>
        </is>
      </c>
      <c r="E219" t="inlineStr">
        <is>
          <t>SURAHAMMAR</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20019-2023</t>
        </is>
      </c>
      <c r="B220" s="1" t="n">
        <v>45054</v>
      </c>
      <c r="C220" s="1" t="n">
        <v>45749</v>
      </c>
      <c r="D220" t="inlineStr">
        <is>
          <t>VÄSTMANLANDS LÄN</t>
        </is>
      </c>
      <c r="E220" t="inlineStr">
        <is>
          <t>SURAHAMMAR</t>
        </is>
      </c>
      <c r="F220" t="inlineStr">
        <is>
          <t>Sveaskog</t>
        </is>
      </c>
      <c r="G220" t="n">
        <v>18.5</v>
      </c>
      <c r="H220" t="n">
        <v>0</v>
      </c>
      <c r="I220" t="n">
        <v>0</v>
      </c>
      <c r="J220" t="n">
        <v>0</v>
      </c>
      <c r="K220" t="n">
        <v>0</v>
      </c>
      <c r="L220" t="n">
        <v>0</v>
      </c>
      <c r="M220" t="n">
        <v>0</v>
      </c>
      <c r="N220" t="n">
        <v>0</v>
      </c>
      <c r="O220" t="n">
        <v>0</v>
      </c>
      <c r="P220" t="n">
        <v>0</v>
      </c>
      <c r="Q220" t="n">
        <v>0</v>
      </c>
      <c r="R220" s="2" t="inlineStr"/>
    </row>
    <row r="221" ht="15" customHeight="1">
      <c r="A221" t="inlineStr">
        <is>
          <t>A 20023-2023</t>
        </is>
      </c>
      <c r="B221" s="1" t="n">
        <v>45054</v>
      </c>
      <c r="C221" s="1" t="n">
        <v>45749</v>
      </c>
      <c r="D221" t="inlineStr">
        <is>
          <t>VÄSTMANLANDS LÄN</t>
        </is>
      </c>
      <c r="E221" t="inlineStr">
        <is>
          <t>SURAHAMMAR</t>
        </is>
      </c>
      <c r="F221" t="inlineStr">
        <is>
          <t>Sveaskog</t>
        </is>
      </c>
      <c r="G221" t="n">
        <v>7.8</v>
      </c>
      <c r="H221" t="n">
        <v>0</v>
      </c>
      <c r="I221" t="n">
        <v>0</v>
      </c>
      <c r="J221" t="n">
        <v>0</v>
      </c>
      <c r="K221" t="n">
        <v>0</v>
      </c>
      <c r="L221" t="n">
        <v>0</v>
      </c>
      <c r="M221" t="n">
        <v>0</v>
      </c>
      <c r="N221" t="n">
        <v>0</v>
      </c>
      <c r="O221" t="n">
        <v>0</v>
      </c>
      <c r="P221" t="n">
        <v>0</v>
      </c>
      <c r="Q221" t="n">
        <v>0</v>
      </c>
      <c r="R221" s="2" t="inlineStr"/>
    </row>
    <row r="222" ht="15" customHeight="1">
      <c r="A222" t="inlineStr">
        <is>
          <t>A 20429-2023</t>
        </is>
      </c>
      <c r="B222" s="1" t="n">
        <v>45056</v>
      </c>
      <c r="C222" s="1" t="n">
        <v>45749</v>
      </c>
      <c r="D222" t="inlineStr">
        <is>
          <t>VÄSTMANLANDS LÄN</t>
        </is>
      </c>
      <c r="E222" t="inlineStr">
        <is>
          <t>SURAHAMMAR</t>
        </is>
      </c>
      <c r="G222" t="n">
        <v>5</v>
      </c>
      <c r="H222" t="n">
        <v>0</v>
      </c>
      <c r="I222" t="n">
        <v>0</v>
      </c>
      <c r="J222" t="n">
        <v>0</v>
      </c>
      <c r="K222" t="n">
        <v>0</v>
      </c>
      <c r="L222" t="n">
        <v>0</v>
      </c>
      <c r="M222" t="n">
        <v>0</v>
      </c>
      <c r="N222" t="n">
        <v>0</v>
      </c>
      <c r="O222" t="n">
        <v>0</v>
      </c>
      <c r="P222" t="n">
        <v>0</v>
      </c>
      <c r="Q222" t="n">
        <v>0</v>
      </c>
      <c r="R222" s="2" t="inlineStr"/>
    </row>
    <row r="223" ht="15" customHeight="1">
      <c r="A223" t="inlineStr">
        <is>
          <t>A 20904-2023</t>
        </is>
      </c>
      <c r="B223" s="1" t="n">
        <v>45060</v>
      </c>
      <c r="C223" s="1" t="n">
        <v>45749</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21906-2023</t>
        </is>
      </c>
      <c r="B224" s="1" t="n">
        <v>45068</v>
      </c>
      <c r="C224" s="1" t="n">
        <v>45749</v>
      </c>
      <c r="D224" t="inlineStr">
        <is>
          <t>VÄSTMANLANDS LÄN</t>
        </is>
      </c>
      <c r="E224" t="inlineStr">
        <is>
          <t>SURAHAMMAR</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21905-2023</t>
        </is>
      </c>
      <c r="B225" s="1" t="n">
        <v>45068</v>
      </c>
      <c r="C225" s="1" t="n">
        <v>45749</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21904-2023</t>
        </is>
      </c>
      <c r="B226" s="1" t="n">
        <v>45068</v>
      </c>
      <c r="C226" s="1" t="n">
        <v>45749</v>
      </c>
      <c r="D226" t="inlineStr">
        <is>
          <t>VÄSTMANLANDS LÄN</t>
        </is>
      </c>
      <c r="E226" t="inlineStr">
        <is>
          <t>SURAHAMMAR</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22915-2023</t>
        </is>
      </c>
      <c r="B227" s="1" t="n">
        <v>45070</v>
      </c>
      <c r="C227" s="1" t="n">
        <v>45749</v>
      </c>
      <c r="D227" t="inlineStr">
        <is>
          <t>VÄSTMANLANDS LÄN</t>
        </is>
      </c>
      <c r="E227" t="inlineStr">
        <is>
          <t>SURAHAMMAR</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22660-2023</t>
        </is>
      </c>
      <c r="B228" s="1" t="n">
        <v>45071</v>
      </c>
      <c r="C228" s="1" t="n">
        <v>45749</v>
      </c>
      <c r="D228" t="inlineStr">
        <is>
          <t>VÄSTMANLANDS LÄN</t>
        </is>
      </c>
      <c r="E228" t="inlineStr">
        <is>
          <t>SURAHAMMAR</t>
        </is>
      </c>
      <c r="F228" t="inlineStr">
        <is>
          <t>Sveaskog</t>
        </is>
      </c>
      <c r="G228" t="n">
        <v>15.3</v>
      </c>
      <c r="H228" t="n">
        <v>0</v>
      </c>
      <c r="I228" t="n">
        <v>0</v>
      </c>
      <c r="J228" t="n">
        <v>0</v>
      </c>
      <c r="K228" t="n">
        <v>0</v>
      </c>
      <c r="L228" t="n">
        <v>0</v>
      </c>
      <c r="M228" t="n">
        <v>0</v>
      </c>
      <c r="N228" t="n">
        <v>0</v>
      </c>
      <c r="O228" t="n">
        <v>0</v>
      </c>
      <c r="P228" t="n">
        <v>0</v>
      </c>
      <c r="Q228" t="n">
        <v>0</v>
      </c>
      <c r="R228" s="2" t="inlineStr"/>
    </row>
    <row r="229" ht="15" customHeight="1">
      <c r="A229" t="inlineStr">
        <is>
          <t>A 22662-2023</t>
        </is>
      </c>
      <c r="B229" s="1" t="n">
        <v>45071</v>
      </c>
      <c r="C229" s="1" t="n">
        <v>45749</v>
      </c>
      <c r="D229" t="inlineStr">
        <is>
          <t>VÄSTMANLANDS LÄN</t>
        </is>
      </c>
      <c r="E229" t="inlineStr">
        <is>
          <t>SURAHAMMAR</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22661-2023</t>
        </is>
      </c>
      <c r="B230" s="1" t="n">
        <v>45071</v>
      </c>
      <c r="C230" s="1" t="n">
        <v>45749</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22659-2023</t>
        </is>
      </c>
      <c r="B231" s="1" t="n">
        <v>45071</v>
      </c>
      <c r="C231" s="1" t="n">
        <v>45749</v>
      </c>
      <c r="D231" t="inlineStr">
        <is>
          <t>VÄSTMANLANDS LÄN</t>
        </is>
      </c>
      <c r="E231" t="inlineStr">
        <is>
          <t>SURAHAMMAR</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23731-2023</t>
        </is>
      </c>
      <c r="B232" s="1" t="n">
        <v>45077</v>
      </c>
      <c r="C232" s="1" t="n">
        <v>45749</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24156-2023</t>
        </is>
      </c>
      <c r="B233" s="1" t="n">
        <v>45079</v>
      </c>
      <c r="C233" s="1" t="n">
        <v>45749</v>
      </c>
      <c r="D233" t="inlineStr">
        <is>
          <t>VÄSTMANLANDS LÄN</t>
        </is>
      </c>
      <c r="E233" t="inlineStr">
        <is>
          <t>SURAHAMMAR</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24158-2023</t>
        </is>
      </c>
      <c r="B234" s="1" t="n">
        <v>45079</v>
      </c>
      <c r="C234" s="1" t="n">
        <v>45749</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24197-2023</t>
        </is>
      </c>
      <c r="B235" s="1" t="n">
        <v>45079</v>
      </c>
      <c r="C235" s="1" t="n">
        <v>45749</v>
      </c>
      <c r="D235" t="inlineStr">
        <is>
          <t>VÄSTMANLANDS LÄN</t>
        </is>
      </c>
      <c r="E235" t="inlineStr">
        <is>
          <t>SURAHAMMAR</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24180-2023</t>
        </is>
      </c>
      <c r="B236" s="1" t="n">
        <v>45079</v>
      </c>
      <c r="C236" s="1" t="n">
        <v>45749</v>
      </c>
      <c r="D236" t="inlineStr">
        <is>
          <t>VÄSTMANLANDS LÄN</t>
        </is>
      </c>
      <c r="E236" t="inlineStr">
        <is>
          <t>SURAHAMMAR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24665-2023</t>
        </is>
      </c>
      <c r="B237" s="1" t="n">
        <v>45084</v>
      </c>
      <c r="C237" s="1" t="n">
        <v>45749</v>
      </c>
      <c r="D237" t="inlineStr">
        <is>
          <t>VÄSTMANLANDS LÄN</t>
        </is>
      </c>
      <c r="E237" t="inlineStr">
        <is>
          <t>SURAHAMMAR</t>
        </is>
      </c>
      <c r="G237" t="n">
        <v>0.9</v>
      </c>
      <c r="H237" t="n">
        <v>0</v>
      </c>
      <c r="I237" t="n">
        <v>0</v>
      </c>
      <c r="J237" t="n">
        <v>0</v>
      </c>
      <c r="K237" t="n">
        <v>0</v>
      </c>
      <c r="L237" t="n">
        <v>0</v>
      </c>
      <c r="M237" t="n">
        <v>0</v>
      </c>
      <c r="N237" t="n">
        <v>0</v>
      </c>
      <c r="O237" t="n">
        <v>0</v>
      </c>
      <c r="P237" t="n">
        <v>0</v>
      </c>
      <c r="Q237" t="n">
        <v>0</v>
      </c>
      <c r="R237" s="2" t="inlineStr"/>
    </row>
    <row r="238" ht="15" customHeight="1">
      <c r="A238" t="inlineStr">
        <is>
          <t>A 25775-2023</t>
        </is>
      </c>
      <c r="B238" s="1" t="n">
        <v>45090</v>
      </c>
      <c r="C238" s="1" t="n">
        <v>45749</v>
      </c>
      <c r="D238" t="inlineStr">
        <is>
          <t>VÄSTMANLANDS LÄN</t>
        </is>
      </c>
      <c r="E238" t="inlineStr">
        <is>
          <t>SURAHAMMAR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25780-2023</t>
        </is>
      </c>
      <c r="B239" s="1" t="n">
        <v>45090</v>
      </c>
      <c r="C239" s="1" t="n">
        <v>45749</v>
      </c>
      <c r="D239" t="inlineStr">
        <is>
          <t>VÄSTMANLANDS LÄN</t>
        </is>
      </c>
      <c r="E239" t="inlineStr">
        <is>
          <t>SURAHAMMAR</t>
        </is>
      </c>
      <c r="G239" t="n">
        <v>2.8</v>
      </c>
      <c r="H239" t="n">
        <v>0</v>
      </c>
      <c r="I239" t="n">
        <v>0</v>
      </c>
      <c r="J239" t="n">
        <v>0</v>
      </c>
      <c r="K239" t="n">
        <v>0</v>
      </c>
      <c r="L239" t="n">
        <v>0</v>
      </c>
      <c r="M239" t="n">
        <v>0</v>
      </c>
      <c r="N239" t="n">
        <v>0</v>
      </c>
      <c r="O239" t="n">
        <v>0</v>
      </c>
      <c r="P239" t="n">
        <v>0</v>
      </c>
      <c r="Q239" t="n">
        <v>0</v>
      </c>
      <c r="R239" s="2" t="inlineStr"/>
    </row>
    <row r="240" ht="15" customHeight="1">
      <c r="A240" t="inlineStr">
        <is>
          <t>A 27140-2023</t>
        </is>
      </c>
      <c r="B240" s="1" t="n">
        <v>45096</v>
      </c>
      <c r="C240" s="1" t="n">
        <v>45749</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27156-2023</t>
        </is>
      </c>
      <c r="B241" s="1" t="n">
        <v>45096</v>
      </c>
      <c r="C241" s="1" t="n">
        <v>45749</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27142-2023</t>
        </is>
      </c>
      <c r="B242" s="1" t="n">
        <v>45096</v>
      </c>
      <c r="C242" s="1" t="n">
        <v>45749</v>
      </c>
      <c r="D242" t="inlineStr">
        <is>
          <t>VÄSTMANLANDS LÄN</t>
        </is>
      </c>
      <c r="E242" t="inlineStr">
        <is>
          <t>SURAHAMMAR</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27171-2023</t>
        </is>
      </c>
      <c r="B243" s="1" t="n">
        <v>45096</v>
      </c>
      <c r="C243" s="1" t="n">
        <v>45749</v>
      </c>
      <c r="D243" t="inlineStr">
        <is>
          <t>VÄSTMANLANDS LÄN</t>
        </is>
      </c>
      <c r="E243" t="inlineStr">
        <is>
          <t>SURAHAMMAR</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28051-2023</t>
        </is>
      </c>
      <c r="B244" s="1" t="n">
        <v>45099</v>
      </c>
      <c r="C244" s="1" t="n">
        <v>45749</v>
      </c>
      <c r="D244" t="inlineStr">
        <is>
          <t>VÄSTMANLANDS LÄN</t>
        </is>
      </c>
      <c r="E244" t="inlineStr">
        <is>
          <t>SURAHAMMAR</t>
        </is>
      </c>
      <c r="F244" t="inlineStr">
        <is>
          <t>Allmännings- och besparingsskogar</t>
        </is>
      </c>
      <c r="G244" t="n">
        <v>23.3</v>
      </c>
      <c r="H244" t="n">
        <v>0</v>
      </c>
      <c r="I244" t="n">
        <v>0</v>
      </c>
      <c r="J244" t="n">
        <v>0</v>
      </c>
      <c r="K244" t="n">
        <v>0</v>
      </c>
      <c r="L244" t="n">
        <v>0</v>
      </c>
      <c r="M244" t="n">
        <v>0</v>
      </c>
      <c r="N244" t="n">
        <v>0</v>
      </c>
      <c r="O244" t="n">
        <v>0</v>
      </c>
      <c r="P244" t="n">
        <v>0</v>
      </c>
      <c r="Q244" t="n">
        <v>0</v>
      </c>
      <c r="R244" s="2" t="inlineStr"/>
    </row>
    <row r="245" ht="15" customHeight="1">
      <c r="A245" t="inlineStr">
        <is>
          <t>A 30076-2023</t>
        </is>
      </c>
      <c r="B245" s="1" t="n">
        <v>45110</v>
      </c>
      <c r="C245" s="1" t="n">
        <v>45749</v>
      </c>
      <c r="D245" t="inlineStr">
        <is>
          <t>VÄSTMANLANDS LÄN</t>
        </is>
      </c>
      <c r="E245" t="inlineStr">
        <is>
          <t>SURAHAMMAR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37138-2023</t>
        </is>
      </c>
      <c r="B246" s="1" t="n">
        <v>45155</v>
      </c>
      <c r="C246" s="1" t="n">
        <v>45749</v>
      </c>
      <c r="D246" t="inlineStr">
        <is>
          <t>VÄSTMANLANDS LÄN</t>
        </is>
      </c>
      <c r="E246" t="inlineStr">
        <is>
          <t>SURAHAMMAR</t>
        </is>
      </c>
      <c r="G246" t="n">
        <v>1.4</v>
      </c>
      <c r="H246" t="n">
        <v>0</v>
      </c>
      <c r="I246" t="n">
        <v>0</v>
      </c>
      <c r="J246" t="n">
        <v>0</v>
      </c>
      <c r="K246" t="n">
        <v>0</v>
      </c>
      <c r="L246" t="n">
        <v>0</v>
      </c>
      <c r="M246" t="n">
        <v>0</v>
      </c>
      <c r="N246" t="n">
        <v>0</v>
      </c>
      <c r="O246" t="n">
        <v>0</v>
      </c>
      <c r="P246" t="n">
        <v>0</v>
      </c>
      <c r="Q246" t="n">
        <v>0</v>
      </c>
      <c r="R246" s="2" t="inlineStr"/>
    </row>
    <row r="247" ht="15" customHeight="1">
      <c r="A247" t="inlineStr">
        <is>
          <t>A 37287-2023</t>
        </is>
      </c>
      <c r="B247" s="1" t="n">
        <v>45156</v>
      </c>
      <c r="C247" s="1" t="n">
        <v>45749</v>
      </c>
      <c r="D247" t="inlineStr">
        <is>
          <t>VÄSTMANLANDS LÄN</t>
        </is>
      </c>
      <c r="E247" t="inlineStr">
        <is>
          <t>SURAHAMMAR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37635-2023</t>
        </is>
      </c>
      <c r="B248" s="1" t="n">
        <v>45159</v>
      </c>
      <c r="C248" s="1" t="n">
        <v>45749</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37639-2023</t>
        </is>
      </c>
      <c r="B249" s="1" t="n">
        <v>45159</v>
      </c>
      <c r="C249" s="1" t="n">
        <v>45749</v>
      </c>
      <c r="D249" t="inlineStr">
        <is>
          <t>VÄSTMANLANDS LÄN</t>
        </is>
      </c>
      <c r="E249" t="inlineStr">
        <is>
          <t>SURAHAMMAR</t>
        </is>
      </c>
      <c r="G249" t="n">
        <v>4.9</v>
      </c>
      <c r="H249" t="n">
        <v>0</v>
      </c>
      <c r="I249" t="n">
        <v>0</v>
      </c>
      <c r="J249" t="n">
        <v>0</v>
      </c>
      <c r="K249" t="n">
        <v>0</v>
      </c>
      <c r="L249" t="n">
        <v>0</v>
      </c>
      <c r="M249" t="n">
        <v>0</v>
      </c>
      <c r="N249" t="n">
        <v>0</v>
      </c>
      <c r="O249" t="n">
        <v>0</v>
      </c>
      <c r="P249" t="n">
        <v>0</v>
      </c>
      <c r="Q249" t="n">
        <v>0</v>
      </c>
      <c r="R249" s="2" t="inlineStr"/>
    </row>
    <row r="250" ht="15" customHeight="1">
      <c r="A250" t="inlineStr">
        <is>
          <t>A 40956-2023</t>
        </is>
      </c>
      <c r="B250" s="1" t="n">
        <v>45169</v>
      </c>
      <c r="C250" s="1" t="n">
        <v>45749</v>
      </c>
      <c r="D250" t="inlineStr">
        <is>
          <t>VÄSTMANLANDS LÄN</t>
        </is>
      </c>
      <c r="E250" t="inlineStr">
        <is>
          <t>SURAHAMMAR</t>
        </is>
      </c>
      <c r="F250" t="inlineStr">
        <is>
          <t>Bergvik skog väst AB</t>
        </is>
      </c>
      <c r="G250" t="n">
        <v>7.6</v>
      </c>
      <c r="H250" t="n">
        <v>0</v>
      </c>
      <c r="I250" t="n">
        <v>0</v>
      </c>
      <c r="J250" t="n">
        <v>0</v>
      </c>
      <c r="K250" t="n">
        <v>0</v>
      </c>
      <c r="L250" t="n">
        <v>0</v>
      </c>
      <c r="M250" t="n">
        <v>0</v>
      </c>
      <c r="N250" t="n">
        <v>0</v>
      </c>
      <c r="O250" t="n">
        <v>0</v>
      </c>
      <c r="P250" t="n">
        <v>0</v>
      </c>
      <c r="Q250" t="n">
        <v>0</v>
      </c>
      <c r="R250" s="2" t="inlineStr"/>
    </row>
    <row r="251" ht="15" customHeight="1">
      <c r="A251" t="inlineStr">
        <is>
          <t>A 40445-2023</t>
        </is>
      </c>
      <c r="B251" s="1" t="n">
        <v>45170</v>
      </c>
      <c r="C251" s="1" t="n">
        <v>45749</v>
      </c>
      <c r="D251" t="inlineStr">
        <is>
          <t>VÄSTMANLANDS LÄN</t>
        </is>
      </c>
      <c r="E251" t="inlineStr">
        <is>
          <t>SURAHAMMAR</t>
        </is>
      </c>
      <c r="G251" t="n">
        <v>15.6</v>
      </c>
      <c r="H251" t="n">
        <v>0</v>
      </c>
      <c r="I251" t="n">
        <v>0</v>
      </c>
      <c r="J251" t="n">
        <v>0</v>
      </c>
      <c r="K251" t="n">
        <v>0</v>
      </c>
      <c r="L251" t="n">
        <v>0</v>
      </c>
      <c r="M251" t="n">
        <v>0</v>
      </c>
      <c r="N251" t="n">
        <v>0</v>
      </c>
      <c r="O251" t="n">
        <v>0</v>
      </c>
      <c r="P251" t="n">
        <v>0</v>
      </c>
      <c r="Q251" t="n">
        <v>0</v>
      </c>
      <c r="R251" s="2" t="inlineStr"/>
    </row>
    <row r="252" ht="15" customHeight="1">
      <c r="A252" t="inlineStr">
        <is>
          <t>A 48906-2023</t>
        </is>
      </c>
      <c r="B252" s="1" t="n">
        <v>45203</v>
      </c>
      <c r="C252" s="1" t="n">
        <v>45749</v>
      </c>
      <c r="D252" t="inlineStr">
        <is>
          <t>VÄSTMANLANDS LÄN</t>
        </is>
      </c>
      <c r="E252" t="inlineStr">
        <is>
          <t>SURAHAMMAR</t>
        </is>
      </c>
      <c r="F252" t="inlineStr">
        <is>
          <t>Bergvik skog väst AB</t>
        </is>
      </c>
      <c r="G252" t="n">
        <v>2.5</v>
      </c>
      <c r="H252" t="n">
        <v>0</v>
      </c>
      <c r="I252" t="n">
        <v>0</v>
      </c>
      <c r="J252" t="n">
        <v>0</v>
      </c>
      <c r="K252" t="n">
        <v>0</v>
      </c>
      <c r="L252" t="n">
        <v>0</v>
      </c>
      <c r="M252" t="n">
        <v>0</v>
      </c>
      <c r="N252" t="n">
        <v>0</v>
      </c>
      <c r="O252" t="n">
        <v>0</v>
      </c>
      <c r="P252" t="n">
        <v>0</v>
      </c>
      <c r="Q252" t="n">
        <v>0</v>
      </c>
      <c r="R252" s="2" t="inlineStr"/>
      <c r="U252">
        <f>HYPERLINK("https://klasma.github.io/Logging_1907/knärot/A 48906-2023 karta knärot.png", "A 48906-2023")</f>
        <v/>
      </c>
      <c r="V252">
        <f>HYPERLINK("https://klasma.github.io/Logging_1907/klagomål/A 48906-2023 FSC-klagomål.docx", "A 48906-2023")</f>
        <v/>
      </c>
      <c r="W252">
        <f>HYPERLINK("https://klasma.github.io/Logging_1907/klagomålsmail/A 48906-2023 FSC-klagomål mail.docx", "A 48906-2023")</f>
        <v/>
      </c>
      <c r="X252">
        <f>HYPERLINK("https://klasma.github.io/Logging_1907/tillsyn/A 48906-2023 tillsynsbegäran.docx", "A 48906-2023")</f>
        <v/>
      </c>
      <c r="Y252">
        <f>HYPERLINK("https://klasma.github.io/Logging_1907/tillsynsmail/A 48906-2023 tillsynsbegäran mail.docx", "A 48906-2023")</f>
        <v/>
      </c>
    </row>
    <row r="253" ht="15" customHeight="1">
      <c r="A253" t="inlineStr">
        <is>
          <t>A 48205-2023</t>
        </is>
      </c>
      <c r="B253" s="1" t="n">
        <v>45205</v>
      </c>
      <c r="C253" s="1" t="n">
        <v>45749</v>
      </c>
      <c r="D253" t="inlineStr">
        <is>
          <t>VÄSTMANLANDS LÄN</t>
        </is>
      </c>
      <c r="E253" t="inlineStr">
        <is>
          <t>SURAHAMMAR</t>
        </is>
      </c>
      <c r="F253" t="inlineStr">
        <is>
          <t>Allmännings- och besparingsskogar</t>
        </is>
      </c>
      <c r="G253" t="n">
        <v>7.6</v>
      </c>
      <c r="H253" t="n">
        <v>0</v>
      </c>
      <c r="I253" t="n">
        <v>0</v>
      </c>
      <c r="J253" t="n">
        <v>0</v>
      </c>
      <c r="K253" t="n">
        <v>0</v>
      </c>
      <c r="L253" t="n">
        <v>0</v>
      </c>
      <c r="M253" t="n">
        <v>0</v>
      </c>
      <c r="N253" t="n">
        <v>0</v>
      </c>
      <c r="O253" t="n">
        <v>0</v>
      </c>
      <c r="P253" t="n">
        <v>0</v>
      </c>
      <c r="Q253" t="n">
        <v>0</v>
      </c>
      <c r="R253" s="2" t="inlineStr"/>
    </row>
    <row r="254" ht="15" customHeight="1">
      <c r="A254" t="inlineStr">
        <is>
          <t>A 56378-2023</t>
        </is>
      </c>
      <c r="B254" s="1" t="n">
        <v>45236</v>
      </c>
      <c r="C254" s="1" t="n">
        <v>45749</v>
      </c>
      <c r="D254" t="inlineStr">
        <is>
          <t>VÄSTMANLANDS LÄN</t>
        </is>
      </c>
      <c r="E254" t="inlineStr">
        <is>
          <t>SURAHAMMAR</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56183-2023</t>
        </is>
      </c>
      <c r="B255" s="1" t="n">
        <v>45240</v>
      </c>
      <c r="C255" s="1" t="n">
        <v>45749</v>
      </c>
      <c r="D255" t="inlineStr">
        <is>
          <t>VÄSTMANLANDS LÄN</t>
        </is>
      </c>
      <c r="E255" t="inlineStr">
        <is>
          <t>SURAHAMMAR</t>
        </is>
      </c>
      <c r="F255" t="inlineStr">
        <is>
          <t>Allmännings- och besparingsskogar</t>
        </is>
      </c>
      <c r="G255" t="n">
        <v>2</v>
      </c>
      <c r="H255" t="n">
        <v>0</v>
      </c>
      <c r="I255" t="n">
        <v>0</v>
      </c>
      <c r="J255" t="n">
        <v>0</v>
      </c>
      <c r="K255" t="n">
        <v>0</v>
      </c>
      <c r="L255" t="n">
        <v>0</v>
      </c>
      <c r="M255" t="n">
        <v>0</v>
      </c>
      <c r="N255" t="n">
        <v>0</v>
      </c>
      <c r="O255" t="n">
        <v>0</v>
      </c>
      <c r="P255" t="n">
        <v>0</v>
      </c>
      <c r="Q255" t="n">
        <v>0</v>
      </c>
      <c r="R255" s="2" t="inlineStr"/>
    </row>
    <row r="256" ht="15" customHeight="1">
      <c r="A256" t="inlineStr">
        <is>
          <t>A 58338-2023</t>
        </is>
      </c>
      <c r="B256" s="1" t="n">
        <v>45250</v>
      </c>
      <c r="C256" s="1" t="n">
        <v>45749</v>
      </c>
      <c r="D256" t="inlineStr">
        <is>
          <t>VÄSTMANLANDS LÄN</t>
        </is>
      </c>
      <c r="E256" t="inlineStr">
        <is>
          <t>SURAHAMMAR</t>
        </is>
      </c>
      <c r="F256" t="inlineStr">
        <is>
          <t>Allmännings- och besparingsskogar</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58356-2023</t>
        </is>
      </c>
      <c r="B257" s="1" t="n">
        <v>45250</v>
      </c>
      <c r="C257" s="1" t="n">
        <v>45749</v>
      </c>
      <c r="D257" t="inlineStr">
        <is>
          <t>VÄSTMANLANDS LÄN</t>
        </is>
      </c>
      <c r="E257" t="inlineStr">
        <is>
          <t>SURAHAMMAR</t>
        </is>
      </c>
      <c r="F257" t="inlineStr">
        <is>
          <t>Allmännings- och besparingsskogar</t>
        </is>
      </c>
      <c r="G257" t="n">
        <v>2.2</v>
      </c>
      <c r="H257" t="n">
        <v>0</v>
      </c>
      <c r="I257" t="n">
        <v>0</v>
      </c>
      <c r="J257" t="n">
        <v>0</v>
      </c>
      <c r="K257" t="n">
        <v>0</v>
      </c>
      <c r="L257" t="n">
        <v>0</v>
      </c>
      <c r="M257" t="n">
        <v>0</v>
      </c>
      <c r="N257" t="n">
        <v>0</v>
      </c>
      <c r="O257" t="n">
        <v>0</v>
      </c>
      <c r="P257" t="n">
        <v>0</v>
      </c>
      <c r="Q257" t="n">
        <v>0</v>
      </c>
      <c r="R257" s="2" t="inlineStr"/>
    </row>
    <row r="258" ht="15" customHeight="1">
      <c r="A258" t="inlineStr">
        <is>
          <t>A 59317-2023</t>
        </is>
      </c>
      <c r="B258" s="1" t="n">
        <v>45253</v>
      </c>
      <c r="C258" s="1" t="n">
        <v>45749</v>
      </c>
      <c r="D258" t="inlineStr">
        <is>
          <t>VÄSTMANLANDS LÄN</t>
        </is>
      </c>
      <c r="E258" t="inlineStr">
        <is>
          <t>SURAHAMMAR</t>
        </is>
      </c>
      <c r="G258" t="n">
        <v>7.1</v>
      </c>
      <c r="H258" t="n">
        <v>0</v>
      </c>
      <c r="I258" t="n">
        <v>0</v>
      </c>
      <c r="J258" t="n">
        <v>0</v>
      </c>
      <c r="K258" t="n">
        <v>0</v>
      </c>
      <c r="L258" t="n">
        <v>0</v>
      </c>
      <c r="M258" t="n">
        <v>0</v>
      </c>
      <c r="N258" t="n">
        <v>0</v>
      </c>
      <c r="O258" t="n">
        <v>0</v>
      </c>
      <c r="P258" t="n">
        <v>0</v>
      </c>
      <c r="Q258" t="n">
        <v>0</v>
      </c>
      <c r="R258" s="2" t="inlineStr"/>
    </row>
    <row r="259" ht="15" customHeight="1">
      <c r="A259" t="inlineStr">
        <is>
          <t>A 64343-2023</t>
        </is>
      </c>
      <c r="B259" s="1" t="n">
        <v>45280</v>
      </c>
      <c r="C259" s="1" t="n">
        <v>45749</v>
      </c>
      <c r="D259" t="inlineStr">
        <is>
          <t>VÄSTMANLANDS LÄN</t>
        </is>
      </c>
      <c r="E259" t="inlineStr">
        <is>
          <t>SURAHAMMAR</t>
        </is>
      </c>
      <c r="G259" t="n">
        <v>2.9</v>
      </c>
      <c r="H259" t="n">
        <v>0</v>
      </c>
      <c r="I259" t="n">
        <v>0</v>
      </c>
      <c r="J259" t="n">
        <v>0</v>
      </c>
      <c r="K259" t="n">
        <v>0</v>
      </c>
      <c r="L259" t="n">
        <v>0</v>
      </c>
      <c r="M259" t="n">
        <v>0</v>
      </c>
      <c r="N259" t="n">
        <v>0</v>
      </c>
      <c r="O259" t="n">
        <v>0</v>
      </c>
      <c r="P259" t="n">
        <v>0</v>
      </c>
      <c r="Q259" t="n">
        <v>0</v>
      </c>
      <c r="R259" s="2" t="inlineStr"/>
    </row>
    <row r="260" ht="15" customHeight="1">
      <c r="A260" t="inlineStr">
        <is>
          <t>A 1316-2024</t>
        </is>
      </c>
      <c r="B260" s="1" t="n">
        <v>45303</v>
      </c>
      <c r="C260" s="1" t="n">
        <v>45749</v>
      </c>
      <c r="D260" t="inlineStr">
        <is>
          <t>VÄSTMANLANDS LÄN</t>
        </is>
      </c>
      <c r="E260" t="inlineStr">
        <is>
          <t>SURAHAMMAR</t>
        </is>
      </c>
      <c r="G260" t="n">
        <v>1</v>
      </c>
      <c r="H260" t="n">
        <v>0</v>
      </c>
      <c r="I260" t="n">
        <v>0</v>
      </c>
      <c r="J260" t="n">
        <v>0</v>
      </c>
      <c r="K260" t="n">
        <v>0</v>
      </c>
      <c r="L260" t="n">
        <v>0</v>
      </c>
      <c r="M260" t="n">
        <v>0</v>
      </c>
      <c r="N260" t="n">
        <v>0</v>
      </c>
      <c r="O260" t="n">
        <v>0</v>
      </c>
      <c r="P260" t="n">
        <v>0</v>
      </c>
      <c r="Q260" t="n">
        <v>0</v>
      </c>
      <c r="R260" s="2" t="inlineStr"/>
    </row>
    <row r="261" ht="15" customHeight="1">
      <c r="A261" t="inlineStr">
        <is>
          <t>A 2680-2024</t>
        </is>
      </c>
      <c r="B261" s="1" t="n">
        <v>45310</v>
      </c>
      <c r="C261" s="1" t="n">
        <v>45749</v>
      </c>
      <c r="D261" t="inlineStr">
        <is>
          <t>VÄSTMANLANDS LÄN</t>
        </is>
      </c>
      <c r="E261" t="inlineStr">
        <is>
          <t>SURAHAMMAR</t>
        </is>
      </c>
      <c r="G261" t="n">
        <v>1.8</v>
      </c>
      <c r="H261" t="n">
        <v>0</v>
      </c>
      <c r="I261" t="n">
        <v>0</v>
      </c>
      <c r="J261" t="n">
        <v>0</v>
      </c>
      <c r="K261" t="n">
        <v>0</v>
      </c>
      <c r="L261" t="n">
        <v>0</v>
      </c>
      <c r="M261" t="n">
        <v>0</v>
      </c>
      <c r="N261" t="n">
        <v>0</v>
      </c>
      <c r="O261" t="n">
        <v>0</v>
      </c>
      <c r="P261" t="n">
        <v>0</v>
      </c>
      <c r="Q261" t="n">
        <v>0</v>
      </c>
      <c r="R261" s="2" t="inlineStr"/>
    </row>
    <row r="262" ht="15" customHeight="1">
      <c r="A262" t="inlineStr">
        <is>
          <t>A 2660-2024</t>
        </is>
      </c>
      <c r="B262" s="1" t="n">
        <v>45310</v>
      </c>
      <c r="C262" s="1" t="n">
        <v>45749</v>
      </c>
      <c r="D262" t="inlineStr">
        <is>
          <t>VÄSTMANLANDS LÄN</t>
        </is>
      </c>
      <c r="E262" t="inlineStr">
        <is>
          <t>SURAHAMMAR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2866-2024</t>
        </is>
      </c>
      <c r="B263" s="1" t="n">
        <v>45315</v>
      </c>
      <c r="C263" s="1" t="n">
        <v>45749</v>
      </c>
      <c r="D263" t="inlineStr">
        <is>
          <t>VÄSTMANLANDS LÄN</t>
        </is>
      </c>
      <c r="E263" t="inlineStr">
        <is>
          <t>SURAHAMMAR</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2867-2024</t>
        </is>
      </c>
      <c r="B264" s="1" t="n">
        <v>45315</v>
      </c>
      <c r="C264" s="1" t="n">
        <v>45749</v>
      </c>
      <c r="D264" t="inlineStr">
        <is>
          <t>VÄSTMANLANDS LÄN</t>
        </is>
      </c>
      <c r="E264" t="inlineStr">
        <is>
          <t>SURAHAMMAR</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4759-2024</t>
        </is>
      </c>
      <c r="B265" s="1" t="n">
        <v>45328</v>
      </c>
      <c r="C265" s="1" t="n">
        <v>45749</v>
      </c>
      <c r="D265" t="inlineStr">
        <is>
          <t>VÄSTMANLANDS LÄN</t>
        </is>
      </c>
      <c r="E265" t="inlineStr">
        <is>
          <t>SURAHAMMAR</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5168-2024</t>
        </is>
      </c>
      <c r="B266" s="1" t="n">
        <v>45330</v>
      </c>
      <c r="C266" s="1" t="n">
        <v>45749</v>
      </c>
      <c r="D266" t="inlineStr">
        <is>
          <t>VÄSTMANLANDS LÄN</t>
        </is>
      </c>
      <c r="E266" t="inlineStr">
        <is>
          <t>SURAHAMMAR</t>
        </is>
      </c>
      <c r="F266" t="inlineStr">
        <is>
          <t>Övriga Aktiebolag</t>
        </is>
      </c>
      <c r="G266" t="n">
        <v>3.4</v>
      </c>
      <c r="H266" t="n">
        <v>0</v>
      </c>
      <c r="I266" t="n">
        <v>0</v>
      </c>
      <c r="J266" t="n">
        <v>0</v>
      </c>
      <c r="K266" t="n">
        <v>0</v>
      </c>
      <c r="L266" t="n">
        <v>0</v>
      </c>
      <c r="M266" t="n">
        <v>0</v>
      </c>
      <c r="N266" t="n">
        <v>0</v>
      </c>
      <c r="O266" t="n">
        <v>0</v>
      </c>
      <c r="P266" t="n">
        <v>0</v>
      </c>
      <c r="Q266" t="n">
        <v>0</v>
      </c>
      <c r="R266" s="2" t="inlineStr"/>
    </row>
    <row r="267" ht="15" customHeight="1">
      <c r="A267" t="inlineStr">
        <is>
          <t>A 7787-2024</t>
        </is>
      </c>
      <c r="B267" s="1" t="n">
        <v>45348</v>
      </c>
      <c r="C267" s="1" t="n">
        <v>45749</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7782-2024</t>
        </is>
      </c>
      <c r="B268" s="1" t="n">
        <v>45349</v>
      </c>
      <c r="C268" s="1" t="n">
        <v>45749</v>
      </c>
      <c r="D268" t="inlineStr">
        <is>
          <t>VÄSTMANLANDS LÄN</t>
        </is>
      </c>
      <c r="E268" t="inlineStr">
        <is>
          <t>SURAHAMMAR</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8066-2024</t>
        </is>
      </c>
      <c r="B269" s="1" t="n">
        <v>45351</v>
      </c>
      <c r="C269" s="1" t="n">
        <v>45749</v>
      </c>
      <c r="D269" t="inlineStr">
        <is>
          <t>VÄSTMANLANDS LÄN</t>
        </is>
      </c>
      <c r="E269" t="inlineStr">
        <is>
          <t>SURAHAMMAR</t>
        </is>
      </c>
      <c r="G269" t="n">
        <v>12.7</v>
      </c>
      <c r="H269" t="n">
        <v>0</v>
      </c>
      <c r="I269" t="n">
        <v>0</v>
      </c>
      <c r="J269" t="n">
        <v>0</v>
      </c>
      <c r="K269" t="n">
        <v>0</v>
      </c>
      <c r="L269" t="n">
        <v>0</v>
      </c>
      <c r="M269" t="n">
        <v>0</v>
      </c>
      <c r="N269" t="n">
        <v>0</v>
      </c>
      <c r="O269" t="n">
        <v>0</v>
      </c>
      <c r="P269" t="n">
        <v>0</v>
      </c>
      <c r="Q269" t="n">
        <v>0</v>
      </c>
      <c r="R269" s="2" t="inlineStr"/>
    </row>
    <row r="270" ht="15" customHeight="1">
      <c r="A270" t="inlineStr">
        <is>
          <t>A 9741-2024</t>
        </is>
      </c>
      <c r="B270" s="1" t="n">
        <v>45362</v>
      </c>
      <c r="C270" s="1" t="n">
        <v>45749</v>
      </c>
      <c r="D270" t="inlineStr">
        <is>
          <t>VÄSTMANLANDS LÄN</t>
        </is>
      </c>
      <c r="E270" t="inlineStr">
        <is>
          <t>SURAHAMMAR</t>
        </is>
      </c>
      <c r="G270" t="n">
        <v>4.6</v>
      </c>
      <c r="H270" t="n">
        <v>0</v>
      </c>
      <c r="I270" t="n">
        <v>0</v>
      </c>
      <c r="J270" t="n">
        <v>0</v>
      </c>
      <c r="K270" t="n">
        <v>0</v>
      </c>
      <c r="L270" t="n">
        <v>0</v>
      </c>
      <c r="M270" t="n">
        <v>0</v>
      </c>
      <c r="N270" t="n">
        <v>0</v>
      </c>
      <c r="O270" t="n">
        <v>0</v>
      </c>
      <c r="P270" t="n">
        <v>0</v>
      </c>
      <c r="Q270" t="n">
        <v>0</v>
      </c>
      <c r="R270" s="2" t="inlineStr"/>
    </row>
    <row r="271" ht="15" customHeight="1">
      <c r="A271" t="inlineStr">
        <is>
          <t>A 21509-2024</t>
        </is>
      </c>
      <c r="B271" s="1" t="n">
        <v>45441</v>
      </c>
      <c r="C271" s="1" t="n">
        <v>45749</v>
      </c>
      <c r="D271" t="inlineStr">
        <is>
          <t>VÄSTMANLANDS LÄN</t>
        </is>
      </c>
      <c r="E271" t="inlineStr">
        <is>
          <t>SURAHAMMAR</t>
        </is>
      </c>
      <c r="F271" t="inlineStr">
        <is>
          <t>Bergvik skog väst AB</t>
        </is>
      </c>
      <c r="G271" t="n">
        <v>3.9</v>
      </c>
      <c r="H271" t="n">
        <v>0</v>
      </c>
      <c r="I271" t="n">
        <v>0</v>
      </c>
      <c r="J271" t="n">
        <v>0</v>
      </c>
      <c r="K271" t="n">
        <v>0</v>
      </c>
      <c r="L271" t="n">
        <v>0</v>
      </c>
      <c r="M271" t="n">
        <v>0</v>
      </c>
      <c r="N271" t="n">
        <v>0</v>
      </c>
      <c r="O271" t="n">
        <v>0</v>
      </c>
      <c r="P271" t="n">
        <v>0</v>
      </c>
      <c r="Q271" t="n">
        <v>0</v>
      </c>
      <c r="R271" s="2" t="inlineStr"/>
    </row>
    <row r="272" ht="15" customHeight="1">
      <c r="A272" t="inlineStr">
        <is>
          <t>A 24167-2024</t>
        </is>
      </c>
      <c r="B272" s="1" t="n">
        <v>45456</v>
      </c>
      <c r="C272" s="1" t="n">
        <v>45749</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24168-2024</t>
        </is>
      </c>
      <c r="B273" s="1" t="n">
        <v>45456</v>
      </c>
      <c r="C273" s="1" t="n">
        <v>45749</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24570-2024</t>
        </is>
      </c>
      <c r="B274" s="1" t="n">
        <v>45460</v>
      </c>
      <c r="C274" s="1" t="n">
        <v>45749</v>
      </c>
      <c r="D274" t="inlineStr">
        <is>
          <t>VÄSTMANLANDS LÄN</t>
        </is>
      </c>
      <c r="E274" t="inlineStr">
        <is>
          <t>SURAHAMMAR</t>
        </is>
      </c>
      <c r="G274" t="n">
        <v>0.8</v>
      </c>
      <c r="H274" t="n">
        <v>0</v>
      </c>
      <c r="I274" t="n">
        <v>0</v>
      </c>
      <c r="J274" t="n">
        <v>0</v>
      </c>
      <c r="K274" t="n">
        <v>0</v>
      </c>
      <c r="L274" t="n">
        <v>0</v>
      </c>
      <c r="M274" t="n">
        <v>0</v>
      </c>
      <c r="N274" t="n">
        <v>0</v>
      </c>
      <c r="O274" t="n">
        <v>0</v>
      </c>
      <c r="P274" t="n">
        <v>0</v>
      </c>
      <c r="Q274" t="n">
        <v>0</v>
      </c>
      <c r="R274" s="2" t="inlineStr"/>
    </row>
    <row r="275" ht="15" customHeight="1">
      <c r="A275" t="inlineStr">
        <is>
          <t>A 24530-2024</t>
        </is>
      </c>
      <c r="B275" s="1" t="n">
        <v>45460</v>
      </c>
      <c r="C275" s="1" t="n">
        <v>45749</v>
      </c>
      <c r="D275" t="inlineStr">
        <is>
          <t>VÄSTMANLANDS LÄN</t>
        </is>
      </c>
      <c r="E275" t="inlineStr">
        <is>
          <t>SURAHAMMAR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25450-2024</t>
        </is>
      </c>
      <c r="B276" s="1" t="n">
        <v>45463</v>
      </c>
      <c r="C276" s="1" t="n">
        <v>45749</v>
      </c>
      <c r="D276" t="inlineStr">
        <is>
          <t>VÄSTMANLANDS LÄN</t>
        </is>
      </c>
      <c r="E276" t="inlineStr">
        <is>
          <t>SURAHAMMAR</t>
        </is>
      </c>
      <c r="F276" t="inlineStr">
        <is>
          <t>Bergvik skog väst AB</t>
        </is>
      </c>
      <c r="G276" t="n">
        <v>6.7</v>
      </c>
      <c r="H276" t="n">
        <v>0</v>
      </c>
      <c r="I276" t="n">
        <v>0</v>
      </c>
      <c r="J276" t="n">
        <v>0</v>
      </c>
      <c r="K276" t="n">
        <v>0</v>
      </c>
      <c r="L276" t="n">
        <v>0</v>
      </c>
      <c r="M276" t="n">
        <v>0</v>
      </c>
      <c r="N276" t="n">
        <v>0</v>
      </c>
      <c r="O276" t="n">
        <v>0</v>
      </c>
      <c r="P276" t="n">
        <v>0</v>
      </c>
      <c r="Q276" t="n">
        <v>0</v>
      </c>
      <c r="R276" s="2" t="inlineStr"/>
    </row>
    <row r="277" ht="15" customHeight="1">
      <c r="A277" t="inlineStr">
        <is>
          <t>A 25417-2024</t>
        </is>
      </c>
      <c r="B277" s="1" t="n">
        <v>45463</v>
      </c>
      <c r="C277" s="1" t="n">
        <v>45749</v>
      </c>
      <c r="D277" t="inlineStr">
        <is>
          <t>VÄSTMANLANDS LÄN</t>
        </is>
      </c>
      <c r="E277" t="inlineStr">
        <is>
          <t>SURAHAMMAR</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26878-2024</t>
        </is>
      </c>
      <c r="B278" s="1" t="n">
        <v>45470</v>
      </c>
      <c r="C278" s="1" t="n">
        <v>45749</v>
      </c>
      <c r="D278" t="inlineStr">
        <is>
          <t>VÄSTMANLANDS LÄN</t>
        </is>
      </c>
      <c r="E278" t="inlineStr">
        <is>
          <t>SURAHAMMAR</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28812-2024</t>
        </is>
      </c>
      <c r="B279" s="1" t="n">
        <v>45478</v>
      </c>
      <c r="C279" s="1" t="n">
        <v>45749</v>
      </c>
      <c r="D279" t="inlineStr">
        <is>
          <t>VÄSTMANLANDS LÄN</t>
        </is>
      </c>
      <c r="E279" t="inlineStr">
        <is>
          <t>SURAHAMMAR</t>
        </is>
      </c>
      <c r="F279" t="inlineStr">
        <is>
          <t>Bergvik skog väst AB</t>
        </is>
      </c>
      <c r="G279" t="n">
        <v>17.8</v>
      </c>
      <c r="H279" t="n">
        <v>0</v>
      </c>
      <c r="I279" t="n">
        <v>0</v>
      </c>
      <c r="J279" t="n">
        <v>0</v>
      </c>
      <c r="K279" t="n">
        <v>0</v>
      </c>
      <c r="L279" t="n">
        <v>0</v>
      </c>
      <c r="M279" t="n">
        <v>0</v>
      </c>
      <c r="N279" t="n">
        <v>0</v>
      </c>
      <c r="O279" t="n">
        <v>0</v>
      </c>
      <c r="P279" t="n">
        <v>0</v>
      </c>
      <c r="Q279" t="n">
        <v>0</v>
      </c>
      <c r="R279" s="2" t="inlineStr"/>
    </row>
    <row r="280" ht="15" customHeight="1">
      <c r="A280" t="inlineStr">
        <is>
          <t>A 29158-2024</t>
        </is>
      </c>
      <c r="B280" s="1" t="n">
        <v>45482</v>
      </c>
      <c r="C280" s="1" t="n">
        <v>45749</v>
      </c>
      <c r="D280" t="inlineStr">
        <is>
          <t>VÄSTMANLANDS LÄN</t>
        </is>
      </c>
      <c r="E280" t="inlineStr">
        <is>
          <t>SURAHAMMAR</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31192-2024</t>
        </is>
      </c>
      <c r="B281" s="1" t="n">
        <v>45503</v>
      </c>
      <c r="C281" s="1" t="n">
        <v>45749</v>
      </c>
      <c r="D281" t="inlineStr">
        <is>
          <t>VÄSTMANLANDS LÄN</t>
        </is>
      </c>
      <c r="E281" t="inlineStr">
        <is>
          <t>SURAHAMMAR</t>
        </is>
      </c>
      <c r="F281" t="inlineStr">
        <is>
          <t>Allmännings- och besparingsskogar</t>
        </is>
      </c>
      <c r="G281" t="n">
        <v>17.2</v>
      </c>
      <c r="H281" t="n">
        <v>0</v>
      </c>
      <c r="I281" t="n">
        <v>0</v>
      </c>
      <c r="J281" t="n">
        <v>0</v>
      </c>
      <c r="K281" t="n">
        <v>0</v>
      </c>
      <c r="L281" t="n">
        <v>0</v>
      </c>
      <c r="M281" t="n">
        <v>0</v>
      </c>
      <c r="N281" t="n">
        <v>0</v>
      </c>
      <c r="O281" t="n">
        <v>0</v>
      </c>
      <c r="P281" t="n">
        <v>0</v>
      </c>
      <c r="Q281" t="n">
        <v>0</v>
      </c>
      <c r="R281" s="2" t="inlineStr"/>
    </row>
    <row r="282" ht="15" customHeight="1">
      <c r="A282" t="inlineStr">
        <is>
          <t>A 32808-2024</t>
        </is>
      </c>
      <c r="B282" s="1" t="n">
        <v>45516</v>
      </c>
      <c r="C282" s="1" t="n">
        <v>45749</v>
      </c>
      <c r="D282" t="inlineStr">
        <is>
          <t>VÄSTMANLANDS LÄN</t>
        </is>
      </c>
      <c r="E282" t="inlineStr">
        <is>
          <t>SURAHAMMAR</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33231-2024</t>
        </is>
      </c>
      <c r="B283" s="1" t="n">
        <v>45518</v>
      </c>
      <c r="C283" s="1" t="n">
        <v>45749</v>
      </c>
      <c r="D283" t="inlineStr">
        <is>
          <t>VÄSTMANLANDS LÄN</t>
        </is>
      </c>
      <c r="E283" t="inlineStr">
        <is>
          <t>SURAHAMMAR</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33160-2024</t>
        </is>
      </c>
      <c r="B284" s="1" t="n">
        <v>45518</v>
      </c>
      <c r="C284" s="1" t="n">
        <v>45749</v>
      </c>
      <c r="D284" t="inlineStr">
        <is>
          <t>VÄSTMANLANDS LÄN</t>
        </is>
      </c>
      <c r="E284" t="inlineStr">
        <is>
          <t>SURAHAMMAR</t>
        </is>
      </c>
      <c r="G284" t="n">
        <v>1</v>
      </c>
      <c r="H284" t="n">
        <v>0</v>
      </c>
      <c r="I284" t="n">
        <v>0</v>
      </c>
      <c r="J284" t="n">
        <v>0</v>
      </c>
      <c r="K284" t="n">
        <v>0</v>
      </c>
      <c r="L284" t="n">
        <v>0</v>
      </c>
      <c r="M284" t="n">
        <v>0</v>
      </c>
      <c r="N284" t="n">
        <v>0</v>
      </c>
      <c r="O284" t="n">
        <v>0</v>
      </c>
      <c r="P284" t="n">
        <v>0</v>
      </c>
      <c r="Q284" t="n">
        <v>0</v>
      </c>
      <c r="R284" s="2" t="inlineStr"/>
    </row>
    <row r="285" ht="15" customHeight="1">
      <c r="A285" t="inlineStr">
        <is>
          <t>A 42406-2024</t>
        </is>
      </c>
      <c r="B285" s="1" t="n">
        <v>45565</v>
      </c>
      <c r="C285" s="1" t="n">
        <v>45749</v>
      </c>
      <c r="D285" t="inlineStr">
        <is>
          <t>VÄSTMANLANDS LÄN</t>
        </is>
      </c>
      <c r="E285" t="inlineStr">
        <is>
          <t>SURAHAMMAR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43455-2024</t>
        </is>
      </c>
      <c r="B286" s="1" t="n">
        <v>45568</v>
      </c>
      <c r="C286" s="1" t="n">
        <v>45749</v>
      </c>
      <c r="D286" t="inlineStr">
        <is>
          <t>VÄSTMANLANDS LÄN</t>
        </is>
      </c>
      <c r="E286" t="inlineStr">
        <is>
          <t>SURAHAMMAR</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43461-2024</t>
        </is>
      </c>
      <c r="B287" s="1" t="n">
        <v>45568</v>
      </c>
      <c r="C287" s="1" t="n">
        <v>45749</v>
      </c>
      <c r="D287" t="inlineStr">
        <is>
          <t>VÄSTMANLANDS LÄN</t>
        </is>
      </c>
      <c r="E287" t="inlineStr">
        <is>
          <t>SURAHAMMAR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44357-2024</t>
        </is>
      </c>
      <c r="B288" s="1" t="n">
        <v>45573</v>
      </c>
      <c r="C288" s="1" t="n">
        <v>45749</v>
      </c>
      <c r="D288" t="inlineStr">
        <is>
          <t>VÄSTMANLANDS LÄN</t>
        </is>
      </c>
      <c r="E288" t="inlineStr">
        <is>
          <t>SURAHAMMAR</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44358-2024</t>
        </is>
      </c>
      <c r="B289" s="1" t="n">
        <v>45573</v>
      </c>
      <c r="C289" s="1" t="n">
        <v>45749</v>
      </c>
      <c r="D289" t="inlineStr">
        <is>
          <t>VÄSTMANLANDS LÄN</t>
        </is>
      </c>
      <c r="E289" t="inlineStr">
        <is>
          <t>SURAHAMMAR</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44353-2024</t>
        </is>
      </c>
      <c r="B290" s="1" t="n">
        <v>45573</v>
      </c>
      <c r="C290" s="1" t="n">
        <v>45749</v>
      </c>
      <c r="D290" t="inlineStr">
        <is>
          <t>VÄSTMANLANDS LÄN</t>
        </is>
      </c>
      <c r="E290" t="inlineStr">
        <is>
          <t>SURAHAMMAR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44359-2024</t>
        </is>
      </c>
      <c r="B291" s="1" t="n">
        <v>45573</v>
      </c>
      <c r="C291" s="1" t="n">
        <v>45749</v>
      </c>
      <c r="D291" t="inlineStr">
        <is>
          <t>VÄSTMANLANDS LÄN</t>
        </is>
      </c>
      <c r="E291" t="inlineStr">
        <is>
          <t>SURAHAMMAR</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47453-2024</t>
        </is>
      </c>
      <c r="B292" s="1" t="n">
        <v>45587</v>
      </c>
      <c r="C292" s="1" t="n">
        <v>45749</v>
      </c>
      <c r="D292" t="inlineStr">
        <is>
          <t>VÄSTMANLANDS LÄN</t>
        </is>
      </c>
      <c r="E292" t="inlineStr">
        <is>
          <t>SURAHAMMAR</t>
        </is>
      </c>
      <c r="G292" t="n">
        <v>5.1</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45749</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45749</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45749</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45749</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45749</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45749</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45749</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45749</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2025-04-02T16:57:52Z</dcterms:created>
  <dcterms:modified xmlns:dcterms="http://purl.org/dc/terms/" xmlns:xsi="http://www.w3.org/2001/XMLSchema-instance" xsi:type="dcterms:W3CDTF">2025-04-02T16:57:53Z</dcterms:modified>
</cp:coreProperties>
</file>