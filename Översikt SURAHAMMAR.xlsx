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46309</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46309</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46309</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46309</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46309</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46309</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46309</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46309</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46309</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46309</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46309</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46309</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46309</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46309</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46309</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46309</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46309</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46309</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46309</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46309</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46309</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20391-2024</t>
        </is>
      </c>
      <c r="B24" t="inlineStr">
        <is>
          <t>avverkningsanmälan</t>
        </is>
      </c>
      <c r="C24" t="inlineStr">
        <is>
          <t>Föryngringsavverkning</t>
        </is>
      </c>
      <c r="D24" s="1" t="n">
        <v>45435</v>
      </c>
      <c r="E24" s="1" t="n">
        <v>46309</v>
      </c>
      <c r="F24" t="inlineStr">
        <is>
          <t>VÄSTMANLANDS LÄN</t>
        </is>
      </c>
      <c r="G24" t="inlineStr">
        <is>
          <t>SURAHAMMAR</t>
        </is>
      </c>
      <c r="I24" t="n">
        <v>1.5</v>
      </c>
      <c r="J24" t="n">
        <v>5</v>
      </c>
      <c r="K24" t="n">
        <v>1</v>
      </c>
      <c r="L24" t="n">
        <v>6</v>
      </c>
      <c r="M24" t="n">
        <v>0</v>
      </c>
      <c r="N24" t="n">
        <v>0</v>
      </c>
      <c r="O24" t="n">
        <v>0</v>
      </c>
      <c r="P24" t="n">
        <v>0</v>
      </c>
      <c r="Q24" t="n">
        <v>6</v>
      </c>
      <c r="R24" t="n">
        <v>0</v>
      </c>
      <c r="S24" t="n">
        <v>9</v>
      </c>
      <c r="T24" t="n">
        <v>10</v>
      </c>
      <c r="U24" t="n">
        <v>1</v>
      </c>
      <c r="V24" s="2" t="inlineStr">
        <is>
          <t>Duvhök
Kattfotslav
Sparvuggla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44798-2024</t>
        </is>
      </c>
      <c r="B25" t="inlineStr">
        <is>
          <t>avverkningsanmälan</t>
        </is>
      </c>
      <c r="C25" t="inlineStr">
        <is>
          <t>Föryngringsavverkning</t>
        </is>
      </c>
      <c r="D25" s="1" t="n">
        <v>45574</v>
      </c>
      <c r="E25" s="1" t="n">
        <v>46309</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31060-2026</t>
        </is>
      </c>
      <c r="B26" t="inlineStr">
        <is>
          <t>avverkningsanmälan</t>
        </is>
      </c>
      <c r="C26" t="inlineStr">
        <is>
          <t>Föryngringsavverkning</t>
        </is>
      </c>
      <c r="D26" s="1" t="n">
        <v>46215</v>
      </c>
      <c r="E26" s="1" t="n">
        <v>46309</v>
      </c>
      <c r="F26" t="inlineStr">
        <is>
          <t>VÄSTMANLANDS LÄN</t>
        </is>
      </c>
      <c r="G26" t="inlineStr">
        <is>
          <t>SURAHAMMAR</t>
        </is>
      </c>
      <c r="H26" t="inlineStr">
        <is>
          <t>Sveaskog</t>
        </is>
      </c>
      <c r="I26" t="n">
        <v>7.8</v>
      </c>
      <c r="J26" t="n">
        <v>7</v>
      </c>
      <c r="K26" t="n">
        <v>2</v>
      </c>
      <c r="L26" t="n">
        <v>2</v>
      </c>
      <c r="M26" t="n">
        <v>0</v>
      </c>
      <c r="N26" t="n">
        <v>1</v>
      </c>
      <c r="O26" t="n">
        <v>0</v>
      </c>
      <c r="P26" t="n">
        <v>0</v>
      </c>
      <c r="Q26" t="n">
        <v>3</v>
      </c>
      <c r="R26" t="n">
        <v>1</v>
      </c>
      <c r="S26" t="n">
        <v>9</v>
      </c>
      <c r="T26" t="n">
        <v>9</v>
      </c>
      <c r="U26" t="n">
        <v>3</v>
      </c>
      <c r="V26" s="2" t="inlineStr">
        <is>
          <t>Bombmurkla
Brunlångöra
Nordfladdermus
Springkorn
Vedticka
Spillkråka
Dvärgpipistrell
Åkergroda
Vanlig groda</t>
        </is>
      </c>
      <c r="W26">
        <f>HYPERLINK("https://klasma.github.io/Logging_1907/artfynd/A 31060-2026 artfynd.xlsx", "A 31060-2026")</f>
        <v/>
      </c>
      <c r="X26">
        <f>HYPERLINK("https://klasma.github.io/Logging_1907/kartor/A 31060-2026 karta.png", "A 31060-2026")</f>
        <v/>
      </c>
      <c r="Y26">
        <f>HYPERLINK("https://klasma.github.io/Logging_1907/kartor_geotiff/A 31060-2026 georefererad karta.tif", "A 31060-2026")</f>
        <v/>
      </c>
      <c r="AA26">
        <f>HYPERLINK("https://klasma.github.io/Logging_1907/klagomål/A 31060-2026 FSC-klagomål.docx", "A 31060-2026")</f>
        <v/>
      </c>
      <c r="AB26">
        <f>HYPERLINK("https://klasma.github.io/Logging_1907/klagomålsmail/A 31060-2026 FSC-klagomål mail.docx", "A 31060-2026")</f>
        <v/>
      </c>
      <c r="AC26">
        <f>HYPERLINK("https://klasma.github.io/Logging_1907/tillsyn/A 31060-2026 tillsynsbegäran.docx", "A 31060-2026")</f>
        <v/>
      </c>
      <c r="AD26">
        <f>HYPERLINK("https://klasma.github.io/Logging_1907/tillsynsmail/A 31060-2026 tillsynsbegäran mail.docx", "A 31060-2026")</f>
        <v/>
      </c>
      <c r="AE26">
        <f>HYPERLINK("https://klasma.github.io/Logging_1907/fåglar/A 31060-2026 prioriterade fågelarter.docx", "A 31060-2026")</f>
        <v/>
      </c>
    </row>
    <row r="27" ht="15" customHeight="1">
      <c r="A27" t="inlineStr">
        <is>
          <t>A 38172-2024</t>
        </is>
      </c>
      <c r="B27" t="inlineStr">
        <is>
          <t>avverkningsanmälan</t>
        </is>
      </c>
      <c r="C27" t="inlineStr">
        <is>
          <t>Avverkning för att bevara och utveckla /försöksver</t>
        </is>
      </c>
      <c r="D27" s="1" t="n">
        <v>45545</v>
      </c>
      <c r="E27" s="1" t="n">
        <v>46309</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46309</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46309</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46309</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46309</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46309</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46309</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10236-2026</t>
        </is>
      </c>
      <c r="B34" t="inlineStr">
        <is>
          <t>avverkningsanmälan</t>
        </is>
      </c>
      <c r="C34" t="inlineStr">
        <is>
          <t>Föryngringsavverkning</t>
        </is>
      </c>
      <c r="D34" s="1" t="n">
        <v>46076</v>
      </c>
      <c r="E34" s="1" t="n">
        <v>46309</v>
      </c>
      <c r="F34" t="inlineStr">
        <is>
          <t>VÄSTMANLANDS LÄN</t>
        </is>
      </c>
      <c r="G34" t="inlineStr">
        <is>
          <t>SURAHAMMAR</t>
        </is>
      </c>
      <c r="H34" t="inlineStr">
        <is>
          <t>Allmännings- och besparingsskogar</t>
        </is>
      </c>
      <c r="I34" t="n">
        <v>2.8</v>
      </c>
      <c r="J34" t="n">
        <v>2</v>
      </c>
      <c r="K34" t="n">
        <v>2</v>
      </c>
      <c r="L34" t="n">
        <v>2</v>
      </c>
      <c r="M34" t="n">
        <v>0</v>
      </c>
      <c r="N34" t="n">
        <v>0</v>
      </c>
      <c r="O34" t="n">
        <v>0</v>
      </c>
      <c r="P34" t="n">
        <v>0</v>
      </c>
      <c r="Q34" t="n">
        <v>2</v>
      </c>
      <c r="R34" t="n">
        <v>0</v>
      </c>
      <c r="S34" t="n">
        <v>6</v>
      </c>
      <c r="T34" t="n">
        <v>13</v>
      </c>
      <c r="U34" t="n">
        <v>0</v>
      </c>
      <c r="V34" s="2" t="inlineStr">
        <is>
          <t>Gullpudra
Vågticka
Brandticka
Strutbräken
Lopplummer (aggregat)
Revlummer</t>
        </is>
      </c>
      <c r="W34">
        <f>HYPERLINK("https://klasma.github.io/Logging_1907/artfynd/A 10236-2026 artfynd.xlsx", "A 10236-2026")</f>
        <v/>
      </c>
      <c r="X34">
        <f>HYPERLINK("https://klasma.github.io/Logging_1907/kartor/A 10236-2026 karta.png", "A 10236-2026")</f>
        <v/>
      </c>
      <c r="Y34">
        <f>HYPERLINK("https://klasma.github.io/Logging_1907/kartor_geotiff/A 10236-2026 georefererad karta.tif", "A 10236-2026")</f>
        <v/>
      </c>
      <c r="AA34">
        <f>HYPERLINK("https://klasma.github.io/Logging_1907/klagomål/A 10236-2026 FSC-klagomål.docx", "A 10236-2026")</f>
        <v/>
      </c>
      <c r="AB34">
        <f>HYPERLINK("https://klasma.github.io/Logging_1907/klagomålsmail/A 10236-2026 FSC-klagomål mail.docx", "A 10236-2026")</f>
        <v/>
      </c>
      <c r="AC34">
        <f>HYPERLINK("https://klasma.github.io/Logging_1907/tillsyn/A 10236-2026 tillsynsbegäran.docx", "A 10236-2026")</f>
        <v/>
      </c>
      <c r="AD34">
        <f>HYPERLINK("https://klasma.github.io/Logging_1907/tillsynsmail/A 10236-2026 tillsynsbegäran mail.docx", "A 10236-2026")</f>
        <v/>
      </c>
    </row>
    <row r="35" ht="15" customHeight="1">
      <c r="A35" t="inlineStr">
        <is>
          <t>A 63145-2025</t>
        </is>
      </c>
      <c r="B35" t="inlineStr">
        <is>
          <t>avverkningsanmälan</t>
        </is>
      </c>
      <c r="C35" t="inlineStr">
        <is>
          <t>Föryngringsavverkning</t>
        </is>
      </c>
      <c r="D35" s="1" t="n">
        <v>46009</v>
      </c>
      <c r="E35" s="1" t="n">
        <v>46309</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42860-2022</t>
        </is>
      </c>
      <c r="B36" t="inlineStr">
        <is>
          <t>avverkningsanmälan</t>
        </is>
      </c>
      <c r="C36" t="inlineStr">
        <is>
          <t>Avverkning för annat ändamål</t>
        </is>
      </c>
      <c r="D36" s="1" t="n">
        <v>44832</v>
      </c>
      <c r="E36" s="1" t="n">
        <v>46309</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46309</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10819-2024</t>
        </is>
      </c>
      <c r="B38" t="inlineStr">
        <is>
          <t>avverkningsanmälan</t>
        </is>
      </c>
      <c r="C38" t="inlineStr">
        <is>
          <t>Föryngringsavverkning</t>
        </is>
      </c>
      <c r="D38" s="1" t="n">
        <v>45369</v>
      </c>
      <c r="E38" s="1" t="n">
        <v>46309</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46309</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46309</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46309</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46309</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69777-2021</t>
        </is>
      </c>
      <c r="B43" t="inlineStr">
        <is>
          <t>avverkningsanmälan</t>
        </is>
      </c>
      <c r="C43" t="inlineStr">
        <is>
          <t>Föryngringsavverkning</t>
        </is>
      </c>
      <c r="D43" s="1" t="n">
        <v>44532</v>
      </c>
      <c r="E43" s="1" t="n">
        <v>46309</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46309</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63146-2025</t>
        </is>
      </c>
      <c r="B45" t="inlineStr">
        <is>
          <t>avverkningsanmälan</t>
        </is>
      </c>
      <c r="C45" t="inlineStr">
        <is>
          <t>Föryngringsavverkning</t>
        </is>
      </c>
      <c r="D45" s="1" t="n">
        <v>46009</v>
      </c>
      <c r="E45" s="1" t="n">
        <v>46309</v>
      </c>
      <c r="F45" t="inlineStr">
        <is>
          <t>VÄSTMANLANDS LÄN</t>
        </is>
      </c>
      <c r="G45" t="inlineStr">
        <is>
          <t>SURAHAMMAR</t>
        </is>
      </c>
      <c r="H45" t="inlineStr">
        <is>
          <t>Bergvik skog väst AB</t>
        </is>
      </c>
      <c r="I45" t="n">
        <v>10.2</v>
      </c>
      <c r="J45" t="n">
        <v>1</v>
      </c>
      <c r="K45" t="n">
        <v>2</v>
      </c>
      <c r="L45" t="n">
        <v>0</v>
      </c>
      <c r="M45" t="n">
        <v>0</v>
      </c>
      <c r="N45" t="n">
        <v>0</v>
      </c>
      <c r="O45" t="n">
        <v>0</v>
      </c>
      <c r="P45" t="n">
        <v>0</v>
      </c>
      <c r="Q45" t="n">
        <v>0</v>
      </c>
      <c r="R45" t="n">
        <v>0</v>
      </c>
      <c r="S45" t="n">
        <v>3</v>
      </c>
      <c r="T45" t="n">
        <v>12</v>
      </c>
      <c r="U45" t="n">
        <v>0</v>
      </c>
      <c r="V45" s="2" t="inlineStr">
        <is>
          <t>Stor aspticka
Svart trolldruva
Blåsippa</t>
        </is>
      </c>
      <c r="W45">
        <f>HYPERLINK("https://klasma.github.io/Logging_1907/artfynd/A 63146-2025 artfynd.xlsx", "A 63146-2025")</f>
        <v/>
      </c>
      <c r="X45">
        <f>HYPERLINK("https://klasma.github.io/Logging_1907/kartor/A 63146-2025 karta.png", "A 63146-2025")</f>
        <v/>
      </c>
      <c r="Y45">
        <f>HYPERLINK("https://klasma.github.io/Logging_1907/kartor_geotiff/A 63146-2025 georefererad karta.tif", "A 63146-2025")</f>
        <v/>
      </c>
      <c r="AA45">
        <f>HYPERLINK("https://klasma.github.io/Logging_1907/klagomål/A 63146-2025 FSC-klagomål.docx", "A 63146-2025")</f>
        <v/>
      </c>
      <c r="AB45">
        <f>HYPERLINK("https://klasma.github.io/Logging_1907/klagomålsmail/A 63146-2025 FSC-klagomål mail.docx", "A 63146-2025")</f>
        <v/>
      </c>
      <c r="AC45">
        <f>HYPERLINK("https://klasma.github.io/Logging_1907/tillsyn/A 63146-2025 tillsynsbegäran.docx", "A 63146-2025")</f>
        <v/>
      </c>
      <c r="AD45">
        <f>HYPERLINK("https://klasma.github.io/Logging_1907/tillsynsmail/A 63146-2025 tillsynsbegäran mail.docx", "A 63146-2025")</f>
        <v/>
      </c>
    </row>
    <row r="46" ht="15" customHeight="1">
      <c r="A46" t="inlineStr">
        <is>
          <t>A 4082-2025</t>
        </is>
      </c>
      <c r="B46" t="inlineStr">
        <is>
          <t>avverkningsanmälan</t>
        </is>
      </c>
      <c r="C46" t="inlineStr">
        <is>
          <t>Föryngringsavverkning</t>
        </is>
      </c>
      <c r="D46" s="1" t="n">
        <v>45684</v>
      </c>
      <c r="E46" s="1" t="n">
        <v>46309</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46309</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42765-2022</t>
        </is>
      </c>
      <c r="B48" t="inlineStr">
        <is>
          <t>avverkningsanmälan</t>
        </is>
      </c>
      <c r="C48" t="inlineStr">
        <is>
          <t>Avverkning för annat ändamål</t>
        </is>
      </c>
      <c r="D48" s="1" t="n">
        <v>44832</v>
      </c>
      <c r="E48" s="1" t="n">
        <v>46309</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A 36264-2026</t>
        </is>
      </c>
      <c r="B49" t="inlineStr">
        <is>
          <t>avverkningsanmälan</t>
        </is>
      </c>
      <c r="C49" t="inlineStr">
        <is>
          <t>Föryngringsavverkning</t>
        </is>
      </c>
      <c r="D49" s="1" t="n">
        <v>46268</v>
      </c>
      <c r="E49" s="1" t="n">
        <v>46309</v>
      </c>
      <c r="F49" t="inlineStr">
        <is>
          <t>VÄSTMANLANDS LÄN</t>
        </is>
      </c>
      <c r="G49" t="inlineStr">
        <is>
          <t>SURAHAMMAR</t>
        </is>
      </c>
      <c r="H49" t="inlineStr">
        <is>
          <t>Sveaskog</t>
        </is>
      </c>
      <c r="I49" t="n">
        <v>2.4</v>
      </c>
      <c r="J49" t="n">
        <v>1</v>
      </c>
      <c r="K49" t="n">
        <v>0</v>
      </c>
      <c r="L49" t="n">
        <v>1</v>
      </c>
      <c r="M49" t="n">
        <v>1</v>
      </c>
      <c r="N49" t="n">
        <v>0</v>
      </c>
      <c r="O49" t="n">
        <v>0</v>
      </c>
      <c r="P49" t="n">
        <v>0</v>
      </c>
      <c r="Q49" t="n">
        <v>2</v>
      </c>
      <c r="R49" t="n">
        <v>1</v>
      </c>
      <c r="S49" t="n">
        <v>3</v>
      </c>
      <c r="T49" t="n">
        <v>3</v>
      </c>
      <c r="U49" t="n">
        <v>0</v>
      </c>
      <c r="V49" s="2" t="inlineStr">
        <is>
          <t>Grangråticka
Fjällig taggsvamp s.str.
Blåsippa</t>
        </is>
      </c>
      <c r="W49">
        <f>HYPERLINK("https://klasma.github.io/Logging_1907/artfynd/A 36264-2026 artfynd.xlsx", "A 36264-2026")</f>
        <v/>
      </c>
      <c r="X49">
        <f>HYPERLINK("https://klasma.github.io/Logging_1907/kartor/A 36264-2026 karta.png", "A 36264-2026")</f>
        <v/>
      </c>
      <c r="Y49">
        <f>HYPERLINK("https://klasma.github.io/Logging_1907/kartor_geotiff/A 36264-2026 georefererad karta.tif", "A 36264-2026")</f>
        <v/>
      </c>
      <c r="AA49">
        <f>HYPERLINK("https://klasma.github.io/Logging_1907/klagomål/A 36264-2026 FSC-klagomål.docx", "A 36264-2026")</f>
        <v/>
      </c>
      <c r="AB49">
        <f>HYPERLINK("https://klasma.github.io/Logging_1907/klagomålsmail/A 36264-2026 FSC-klagomål mail.docx", "A 36264-2026")</f>
        <v/>
      </c>
      <c r="AC49">
        <f>HYPERLINK("https://klasma.github.io/Logging_1907/tillsyn/A 36264-2026 tillsynsbegäran.docx", "A 36264-2026")</f>
        <v/>
      </c>
      <c r="AD49">
        <f>HYPERLINK("https://klasma.github.io/Logging_1907/tillsynsmail/A 36264-2026 tillsynsbegäran mail.docx", "A 36264-2026")</f>
        <v/>
      </c>
    </row>
    <row r="50" ht="15" customHeight="1">
      <c r="A50" t="inlineStr">
        <is>
          <t>A 32443-2026</t>
        </is>
      </c>
      <c r="B50" t="inlineStr">
        <is>
          <t>avverkningsanmälan</t>
        </is>
      </c>
      <c r="C50" t="inlineStr">
        <is>
          <t>Föryngringsavverkning</t>
        </is>
      </c>
      <c r="D50" s="1" t="n">
        <v>46239</v>
      </c>
      <c r="E50" s="1" t="n">
        <v>46309</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46309</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S 1450-2022</t>
        </is>
      </c>
      <c r="B52" t="inlineStr">
        <is>
          <t>samrådsanmälan</t>
        </is>
      </c>
      <c r="C52" t="inlineStr">
        <is>
          <t>Skogsgödsling</t>
        </is>
      </c>
      <c r="D52" s="1" t="n">
        <v>44635</v>
      </c>
      <c r="E52" s="1" t="n">
        <v>46309</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46309</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46309</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56362-2023</t>
        </is>
      </c>
      <c r="B55" t="inlineStr">
        <is>
          <t>avverkningsanmälan</t>
        </is>
      </c>
      <c r="C55" t="inlineStr">
        <is>
          <t>Föryngringsavverkning</t>
        </is>
      </c>
      <c r="D55" s="1" t="n">
        <v>45236</v>
      </c>
      <c r="E55" s="1" t="n">
        <v>46309</v>
      </c>
      <c r="F55" t="inlineStr">
        <is>
          <t>VÄSTMANLANDS LÄN</t>
        </is>
      </c>
      <c r="G55" t="inlineStr">
        <is>
          <t>SURAHAMMAR</t>
        </is>
      </c>
      <c r="H55" t="inlineStr">
        <is>
          <t>Bergvik skog väst AB</t>
        </is>
      </c>
      <c r="I55" t="n">
        <v>15.2</v>
      </c>
      <c r="J55" t="n">
        <v>1</v>
      </c>
      <c r="K55" t="n">
        <v>1</v>
      </c>
      <c r="L55" t="n">
        <v>0</v>
      </c>
      <c r="M55" t="n">
        <v>1</v>
      </c>
      <c r="N55" t="n">
        <v>0</v>
      </c>
      <c r="O55" t="n">
        <v>0</v>
      </c>
      <c r="P55" t="n">
        <v>0</v>
      </c>
      <c r="Q55" t="n">
        <v>1</v>
      </c>
      <c r="R55" t="n">
        <v>1</v>
      </c>
      <c r="S55" t="n">
        <v>2</v>
      </c>
      <c r="T55" t="n">
        <v>2</v>
      </c>
      <c r="U55" t="n">
        <v>1</v>
      </c>
      <c r="V55" s="2" t="inlineStr">
        <is>
          <t>Väddnätfjäril
Grönpyrola</t>
        </is>
      </c>
      <c r="W55">
        <f>HYPERLINK("https://klasma.github.io/Logging_1907/artfynd/A 56362-2023 artfynd.xlsx", "A 56362-2023")</f>
        <v/>
      </c>
      <c r="X55">
        <f>HYPERLINK("https://klasma.github.io/Logging_1907/kartor/A 56362-2023 karta.png", "A 56362-2023")</f>
        <v/>
      </c>
      <c r="Y55">
        <f>HYPERLINK("https://klasma.github.io/Logging_1907/kartor_geotiff/A 56362-2023 georefererad karta.tif", "A 56362-2023")</f>
        <v/>
      </c>
      <c r="AA55">
        <f>HYPERLINK("https://klasma.github.io/Logging_1907/klagomål/A 56362-2023 FSC-klagomål.docx", "A 56362-2023")</f>
        <v/>
      </c>
      <c r="AB55">
        <f>HYPERLINK("https://klasma.github.io/Logging_1907/klagomålsmail/A 56362-2023 FSC-klagomål mail.docx", "A 56362-2023")</f>
        <v/>
      </c>
      <c r="AC55">
        <f>HYPERLINK("https://klasma.github.io/Logging_1907/tillsyn/A 56362-2023 tillsynsbegäran.docx", "A 56362-2023")</f>
        <v/>
      </c>
      <c r="AD55">
        <f>HYPERLINK("https://klasma.github.io/Logging_1907/tillsynsmail/A 56362-2023 tillsynsbegäran mail.docx", "A 56362-2023")</f>
        <v/>
      </c>
    </row>
    <row r="56" ht="15" customHeight="1">
      <c r="A56" t="inlineStr">
        <is>
          <t>A 13788-2025</t>
        </is>
      </c>
      <c r="B56" t="inlineStr">
        <is>
          <t>avverkningsanmälan</t>
        </is>
      </c>
      <c r="C56" t="inlineStr">
        <is>
          <t>Föryngringsavverkning</t>
        </is>
      </c>
      <c r="D56" s="1" t="n">
        <v>45737</v>
      </c>
      <c r="E56" s="1" t="n">
        <v>46309</v>
      </c>
      <c r="F56" t="inlineStr">
        <is>
          <t>VÄSTMANLANDS LÄN</t>
        </is>
      </c>
      <c r="G56" t="inlineStr">
        <is>
          <t>SURAHAMMAR</t>
        </is>
      </c>
      <c r="I56" t="n">
        <v>9.699999999999999</v>
      </c>
      <c r="J56" t="n">
        <v>2</v>
      </c>
      <c r="K56" t="n">
        <v>0</v>
      </c>
      <c r="L56" t="n">
        <v>1</v>
      </c>
      <c r="M56" t="n">
        <v>0</v>
      </c>
      <c r="N56" t="n">
        <v>0</v>
      </c>
      <c r="O56" t="n">
        <v>0</v>
      </c>
      <c r="P56" t="n">
        <v>0</v>
      </c>
      <c r="Q56" t="n">
        <v>1</v>
      </c>
      <c r="R56" t="n">
        <v>0</v>
      </c>
      <c r="S56" t="n">
        <v>2</v>
      </c>
      <c r="T56" t="n">
        <v>2</v>
      </c>
      <c r="U56" t="n">
        <v>2</v>
      </c>
      <c r="V56" s="2" t="inlineStr">
        <is>
          <t>Sparvuggla
Nattskärra</t>
        </is>
      </c>
      <c r="W56">
        <f>HYPERLINK("https://klasma.github.io/Logging_1907/artfynd/A 13788-2025 artfynd.xlsx", "A 13788-2025")</f>
        <v/>
      </c>
      <c r="X56">
        <f>HYPERLINK("https://klasma.github.io/Logging_1907/kartor/A 13788-2025 karta.png", "A 13788-2025")</f>
        <v/>
      </c>
      <c r="Y56">
        <f>HYPERLINK("https://klasma.github.io/Logging_1907/kartor_geotiff/A 13788-2025 georefererad karta.tif", "A 13788-2025")</f>
        <v/>
      </c>
      <c r="AA56">
        <f>HYPERLINK("https://klasma.github.io/Logging_1907/klagomål/A 13788-2025 FSC-klagomål.docx", "A 13788-2025")</f>
        <v/>
      </c>
      <c r="AB56">
        <f>HYPERLINK("https://klasma.github.io/Logging_1907/klagomålsmail/A 13788-2025 FSC-klagomål mail.docx", "A 13788-2025")</f>
        <v/>
      </c>
      <c r="AC56">
        <f>HYPERLINK("https://klasma.github.io/Logging_1907/tillsyn/A 13788-2025 tillsynsbegäran.docx", "A 13788-2025")</f>
        <v/>
      </c>
      <c r="AD56">
        <f>HYPERLINK("https://klasma.github.io/Logging_1907/tillsynsmail/A 13788-2025 tillsynsbegäran mail.docx", "A 13788-2025")</f>
        <v/>
      </c>
      <c r="AE56">
        <f>HYPERLINK("https://klasma.github.io/Logging_1907/fåglar/A 13788-2025 prioriterade fågelarter.docx", "A 13788-2025")</f>
        <v/>
      </c>
    </row>
    <row r="57" ht="15" customHeight="1">
      <c r="A57" t="inlineStr">
        <is>
          <t>A 40403-2025</t>
        </is>
      </c>
      <c r="B57" t="inlineStr">
        <is>
          <t>avverkningsanmälan</t>
        </is>
      </c>
      <c r="C57" t="inlineStr">
        <is>
          <t>Föryngringsavverkning</t>
        </is>
      </c>
      <c r="D57" s="1" t="n">
        <v>45895</v>
      </c>
      <c r="E57" s="1" t="n">
        <v>46309</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14001-2023</t>
        </is>
      </c>
      <c r="B58" t="inlineStr">
        <is>
          <t>avverkningsanmälan</t>
        </is>
      </c>
      <c r="C58" t="inlineStr">
        <is>
          <t>Föryngringsavverkning</t>
        </is>
      </c>
      <c r="D58" s="1" t="n">
        <v>45007</v>
      </c>
      <c r="E58" s="1" t="n">
        <v>46309</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t="n">
        <v>0</v>
      </c>
      <c r="V58" s="2" t="inlineStr">
        <is>
          <t>Garnlav
Motaggsvamp</t>
        </is>
      </c>
      <c r="W58">
        <f>HYPERLINK("https://klasma.github.io/Logging_1907/artfynd/A 14001-2023 artfynd.xlsx", "A 14001-2023")</f>
        <v/>
      </c>
      <c r="X58">
        <f>HYPERLINK("https://klasma.github.io/Logging_1907/kartor/A 14001-2023 karta.png", "A 14001-2023")</f>
        <v/>
      </c>
      <c r="Y58">
        <f>HYPERLINK("https://klasma.github.io/Logging_1907/kartor_geotiff/A 14001-2023 georefererad karta.tif", "A 14001-2023")</f>
        <v/>
      </c>
      <c r="AA58">
        <f>HYPERLINK("https://klasma.github.io/Logging_1907/klagomål/A 14001-2023 FSC-klagomål.docx", "A 14001-2023")</f>
        <v/>
      </c>
      <c r="AB58">
        <f>HYPERLINK("https://klasma.github.io/Logging_1907/klagomålsmail/A 14001-2023 FSC-klagomål mail.docx", "A 14001-2023")</f>
        <v/>
      </c>
      <c r="AC58">
        <f>HYPERLINK("https://klasma.github.io/Logging_1907/tillsyn/A 14001-2023 tillsynsbegäran.docx", "A 14001-2023")</f>
        <v/>
      </c>
      <c r="AD58">
        <f>HYPERLINK("https://klasma.github.io/Logging_1907/tillsynsmail/A 14001-2023 tillsynsbegäran mail.docx", "A 14001-2023")</f>
        <v/>
      </c>
    </row>
    <row r="59" ht="15" customHeight="1">
      <c r="A59" t="inlineStr">
        <is>
          <t>A 47453-2024</t>
        </is>
      </c>
      <c r="B59" t="inlineStr">
        <is>
          <t>avverkningsanmälan</t>
        </is>
      </c>
      <c r="C59" t="inlineStr">
        <is>
          <t>Föryngringsavverkning</t>
        </is>
      </c>
      <c r="D59" s="1" t="n">
        <v>45587</v>
      </c>
      <c r="E59" s="1" t="n">
        <v>46309</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37013-2025</t>
        </is>
      </c>
      <c r="B60" t="inlineStr">
        <is>
          <t>avverkningsanmälan</t>
        </is>
      </c>
      <c r="C60" t="inlineStr">
        <is>
          <t>Föryngringsavverkning</t>
        </is>
      </c>
      <c r="D60" s="1" t="n">
        <v>45874</v>
      </c>
      <c r="E60" s="1" t="n">
        <v>46309</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11501-2023</t>
        </is>
      </c>
      <c r="B61" t="inlineStr">
        <is>
          <t>avverkningsanmälan</t>
        </is>
      </c>
      <c r="C61" t="inlineStr">
        <is>
          <t>Föryngringsavverkning</t>
        </is>
      </c>
      <c r="D61" s="1" t="n">
        <v>44991</v>
      </c>
      <c r="E61" s="1" t="n">
        <v>46309</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63138-2025</t>
        </is>
      </c>
      <c r="B62" t="inlineStr">
        <is>
          <t>avverkningsanmälan</t>
        </is>
      </c>
      <c r="C62" t="inlineStr">
        <is>
          <t>Föryngringsavverkning</t>
        </is>
      </c>
      <c r="D62" s="1" t="n">
        <v>46009</v>
      </c>
      <c r="E62" s="1" t="n">
        <v>46309</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A 41204-2023</t>
        </is>
      </c>
      <c r="B63" t="inlineStr">
        <is>
          <t>avverkningsanmälan</t>
        </is>
      </c>
      <c r="C63" t="inlineStr">
        <is>
          <t>Föryngringsavverkning</t>
        </is>
      </c>
      <c r="D63" s="1" t="n">
        <v>45174</v>
      </c>
      <c r="E63" s="1" t="n">
        <v>46309</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30074-2023</t>
        </is>
      </c>
      <c r="B64" t="inlineStr">
        <is>
          <t>avverkningsanmälan</t>
        </is>
      </c>
      <c r="C64" t="inlineStr">
        <is>
          <t>Föryngringsavverkning</t>
        </is>
      </c>
      <c r="D64" s="1" t="n">
        <v>45110</v>
      </c>
      <c r="E64" s="1" t="n">
        <v>46309</v>
      </c>
      <c r="F64" t="inlineStr">
        <is>
          <t>VÄSTMANLANDS LÄN</t>
        </is>
      </c>
      <c r="G64" t="inlineStr">
        <is>
          <t>SURAHAMMAR</t>
        </is>
      </c>
      <c r="H64" t="inlineStr">
        <is>
          <t>Sveaskog</t>
        </is>
      </c>
      <c r="I64" t="n">
        <v>1.1</v>
      </c>
      <c r="J64" t="n">
        <v>1</v>
      </c>
      <c r="K64" t="n">
        <v>1</v>
      </c>
      <c r="L64" t="n">
        <v>0</v>
      </c>
      <c r="M64" t="n">
        <v>0</v>
      </c>
      <c r="N64" t="n">
        <v>0</v>
      </c>
      <c r="O64" t="n">
        <v>0</v>
      </c>
      <c r="P64" t="n">
        <v>0</v>
      </c>
      <c r="Q64" t="n">
        <v>0</v>
      </c>
      <c r="R64" t="n">
        <v>0</v>
      </c>
      <c r="S64" t="n">
        <v>2</v>
      </c>
      <c r="T64" t="n">
        <v>2</v>
      </c>
      <c r="U64" t="n">
        <v>0</v>
      </c>
      <c r="V64" s="2" t="inlineStr">
        <is>
          <t>Grönpyrola
Revlummer</t>
        </is>
      </c>
      <c r="W64">
        <f>HYPERLINK("https://klasma.github.io/Logging_1907/artfynd/A 30074-2023 artfynd.xlsx", "A 30074-2023")</f>
        <v/>
      </c>
      <c r="X64">
        <f>HYPERLINK("https://klasma.github.io/Logging_1907/kartor/A 30074-2023 karta.png", "A 30074-2023")</f>
        <v/>
      </c>
      <c r="Y64">
        <f>HYPERLINK("https://klasma.github.io/Logging_1907/kartor_geotiff/A 30074-2023 georefererad karta.tif", "A 30074-2023")</f>
        <v/>
      </c>
      <c r="AA64">
        <f>HYPERLINK("https://klasma.github.io/Logging_1907/klagomål/A 30074-2023 FSC-klagomål.docx", "A 30074-2023")</f>
        <v/>
      </c>
      <c r="AB64">
        <f>HYPERLINK("https://klasma.github.io/Logging_1907/klagomålsmail/A 30074-2023 FSC-klagomål mail.docx", "A 30074-2023")</f>
        <v/>
      </c>
      <c r="AC64">
        <f>HYPERLINK("https://klasma.github.io/Logging_1907/tillsyn/A 30074-2023 tillsynsbegäran.docx", "A 30074-2023")</f>
        <v/>
      </c>
      <c r="AD64">
        <f>HYPERLINK("https://klasma.github.io/Logging_1907/tillsynsmail/A 30074-2023 tillsynsbegäran mail.docx", "A 30074-2023")</f>
        <v/>
      </c>
    </row>
    <row r="65" ht="15" customHeight="1">
      <c r="A65" t="inlineStr">
        <is>
          <t>A 13971-2023</t>
        </is>
      </c>
      <c r="B65" t="inlineStr">
        <is>
          <t>avverkningsanmälan</t>
        </is>
      </c>
      <c r="C65" t="inlineStr">
        <is>
          <t>Föryngringsavverkning</t>
        </is>
      </c>
      <c r="D65" s="1" t="n">
        <v>45007</v>
      </c>
      <c r="E65" s="1" t="n">
        <v>46309</v>
      </c>
      <c r="F65" t="inlineStr">
        <is>
          <t>VÄSTMANLANDS LÄN</t>
        </is>
      </c>
      <c r="G65" t="inlineStr">
        <is>
          <t>SURAHAMMAR</t>
        </is>
      </c>
      <c r="H65" t="inlineStr">
        <is>
          <t>Bergvik skog väst AB</t>
        </is>
      </c>
      <c r="I65" t="n">
        <v>2.9</v>
      </c>
      <c r="J65" t="n">
        <v>2</v>
      </c>
      <c r="K65" t="n">
        <v>0</v>
      </c>
      <c r="L65" t="n">
        <v>0</v>
      </c>
      <c r="M65" t="n">
        <v>0</v>
      </c>
      <c r="N65" t="n">
        <v>0</v>
      </c>
      <c r="O65" t="n">
        <v>0</v>
      </c>
      <c r="P65" t="n">
        <v>0</v>
      </c>
      <c r="Q65" t="n">
        <v>0</v>
      </c>
      <c r="R65" t="n">
        <v>0</v>
      </c>
      <c r="S65" t="n">
        <v>2</v>
      </c>
      <c r="T65" t="n">
        <v>3</v>
      </c>
      <c r="U65" t="n">
        <v>0</v>
      </c>
      <c r="V65" s="2" t="inlineStr">
        <is>
          <t>Dubbelnycklar
Fläcknycklar</t>
        </is>
      </c>
      <c r="W65">
        <f>HYPERLINK("https://klasma.github.io/Logging_1907/artfynd/A 13971-2023 artfynd.xlsx", "A 13971-2023")</f>
        <v/>
      </c>
      <c r="X65">
        <f>HYPERLINK("https://klasma.github.io/Logging_1907/kartor/A 13971-2023 karta.png", "A 13971-2023")</f>
        <v/>
      </c>
      <c r="Y65">
        <f>HYPERLINK("https://klasma.github.io/Logging_1907/kartor_geotiff/A 13971-2023 georefererad karta.tif", "A 13971-2023")</f>
        <v/>
      </c>
      <c r="AA65">
        <f>HYPERLINK("https://klasma.github.io/Logging_1907/klagomål/A 13971-2023 FSC-klagomål.docx", "A 13971-2023")</f>
        <v/>
      </c>
      <c r="AB65">
        <f>HYPERLINK("https://klasma.github.io/Logging_1907/klagomålsmail/A 13971-2023 FSC-klagomål mail.docx", "A 13971-2023")</f>
        <v/>
      </c>
      <c r="AC65">
        <f>HYPERLINK("https://klasma.github.io/Logging_1907/tillsyn/A 13971-2023 tillsynsbegäran.docx", "A 13971-2023")</f>
        <v/>
      </c>
      <c r="AD65">
        <f>HYPERLINK("https://klasma.github.io/Logging_1907/tillsynsmail/A 13971-2023 tillsynsbegäran mail.docx", "A 13971-2023")</f>
        <v/>
      </c>
    </row>
    <row r="66" ht="15" customHeight="1">
      <c r="A66" t="inlineStr">
        <is>
          <t>A 36261-2026</t>
        </is>
      </c>
      <c r="B66" t="inlineStr">
        <is>
          <t>avverkningsanmälan</t>
        </is>
      </c>
      <c r="C66" t="inlineStr">
        <is>
          <t>Föryngringsavverkning</t>
        </is>
      </c>
      <c r="D66" s="1" t="n">
        <v>46268</v>
      </c>
      <c r="E66" s="1" t="n">
        <v>46309</v>
      </c>
      <c r="F66" t="inlineStr">
        <is>
          <t>VÄSTMANLANDS LÄN</t>
        </is>
      </c>
      <c r="G66" t="inlineStr">
        <is>
          <t>SURAHAMMAR</t>
        </is>
      </c>
      <c r="H66" t="inlineStr">
        <is>
          <t>Sveaskog</t>
        </is>
      </c>
      <c r="I66" t="n">
        <v>7.9</v>
      </c>
      <c r="J66" t="n">
        <v>1</v>
      </c>
      <c r="K66" t="n">
        <v>0</v>
      </c>
      <c r="L66" t="n">
        <v>1</v>
      </c>
      <c r="M66" t="n">
        <v>0</v>
      </c>
      <c r="N66" t="n">
        <v>0</v>
      </c>
      <c r="O66" t="n">
        <v>0</v>
      </c>
      <c r="P66" t="n">
        <v>0</v>
      </c>
      <c r="Q66" t="n">
        <v>1</v>
      </c>
      <c r="R66" t="n">
        <v>0</v>
      </c>
      <c r="S66" t="n">
        <v>2</v>
      </c>
      <c r="T66" t="n">
        <v>2</v>
      </c>
      <c r="U66" t="n">
        <v>0</v>
      </c>
      <c r="V66" s="2" t="inlineStr">
        <is>
          <t>Krusfrö
Revlummer</t>
        </is>
      </c>
      <c r="W66">
        <f>HYPERLINK("https://klasma.github.io/Logging_1907/artfynd/A 36261-2026 artfynd.xlsx", "A 36261-2026")</f>
        <v/>
      </c>
      <c r="X66">
        <f>HYPERLINK("https://klasma.github.io/Logging_1907/kartor/A 36261-2026 karta.png", "A 36261-2026")</f>
        <v/>
      </c>
      <c r="Y66">
        <f>HYPERLINK("https://klasma.github.io/Logging_1907/kartor_geotiff/A 36261-2026 georefererad karta.tif", "A 36261-2026")</f>
        <v/>
      </c>
      <c r="AA66">
        <f>HYPERLINK("https://klasma.github.io/Logging_1907/klagomål/A 36261-2026 FSC-klagomål.docx", "A 36261-2026")</f>
        <v/>
      </c>
      <c r="AB66">
        <f>HYPERLINK("https://klasma.github.io/Logging_1907/klagomålsmail/A 36261-2026 FSC-klagomål mail.docx", "A 36261-2026")</f>
        <v/>
      </c>
      <c r="AC66">
        <f>HYPERLINK("https://klasma.github.io/Logging_1907/tillsyn/A 36261-2026 tillsynsbegäran.docx", "A 36261-2026")</f>
        <v/>
      </c>
      <c r="AD66">
        <f>HYPERLINK("https://klasma.github.io/Logging_1907/tillsynsmail/A 36261-2026 tillsynsbegäran mail.docx", "A 36261-2026")</f>
        <v/>
      </c>
    </row>
    <row r="67" ht="15" customHeight="1">
      <c r="A67" t="inlineStr">
        <is>
          <t>A 41395-2026</t>
        </is>
      </c>
      <c r="B67" t="inlineStr">
        <is>
          <t>avverkningsanmälan</t>
        </is>
      </c>
      <c r="C67" t="inlineStr">
        <is>
          <t>Föryngringsavverkning</t>
        </is>
      </c>
      <c r="D67" s="1" t="n">
        <v>46301</v>
      </c>
      <c r="E67" s="1" t="n">
        <v>46309</v>
      </c>
      <c r="F67" t="inlineStr">
        <is>
          <t>VÄSTMANLANDS LÄN</t>
        </is>
      </c>
      <c r="G67" t="inlineStr">
        <is>
          <t>SURAHAMMAR</t>
        </is>
      </c>
      <c r="I67" t="n">
        <v>1.8</v>
      </c>
      <c r="J67" t="n">
        <v>1</v>
      </c>
      <c r="K67" t="n">
        <v>1</v>
      </c>
      <c r="L67" t="n">
        <v>0</v>
      </c>
      <c r="M67" t="n">
        <v>1</v>
      </c>
      <c r="N67" t="n">
        <v>0</v>
      </c>
      <c r="O67" t="n">
        <v>0</v>
      </c>
      <c r="P67" t="n">
        <v>0</v>
      </c>
      <c r="Q67" t="n">
        <v>1</v>
      </c>
      <c r="R67" t="n">
        <v>1</v>
      </c>
      <c r="S67" t="n">
        <v>2</v>
      </c>
      <c r="T67" t="n">
        <v>3</v>
      </c>
      <c r="U67" t="n">
        <v>0</v>
      </c>
      <c r="V67" s="2" t="inlineStr">
        <is>
          <t>Knärot
Grönpyrola</t>
        </is>
      </c>
      <c r="W67">
        <f>HYPERLINK("https://klasma.github.io/Logging_1907/artfynd/A 41395-2026 artfynd.xlsx", "A 41395-2026")</f>
        <v/>
      </c>
      <c r="X67">
        <f>HYPERLINK("https://klasma.github.io/Logging_1907/kartor/A 41395-2026 karta.png", "A 41395-2026")</f>
        <v/>
      </c>
      <c r="Y67">
        <f>HYPERLINK("https://klasma.github.io/Logging_1907/kartor_geotiff/A 41395-2026 georefererad karta.tif", "A 41395-2026")</f>
        <v/>
      </c>
      <c r="Z67">
        <f>HYPERLINK("https://klasma.github.io/Logging_1907/knärot/A 41395-2026 karta knärot.png", "A 41395-2026")</f>
        <v/>
      </c>
      <c r="AA67">
        <f>HYPERLINK("https://klasma.github.io/Logging_1907/klagomål/A 41395-2026 FSC-klagomål.docx", "A 41395-2026")</f>
        <v/>
      </c>
      <c r="AB67">
        <f>HYPERLINK("https://klasma.github.io/Logging_1907/klagomålsmail/A 41395-2026 FSC-klagomål mail.docx", "A 41395-2026")</f>
        <v/>
      </c>
      <c r="AC67">
        <f>HYPERLINK("https://klasma.github.io/Logging_1907/tillsyn/A 41395-2026 tillsynsbegäran.docx", "A 41395-2026")</f>
        <v/>
      </c>
      <c r="AD67">
        <f>HYPERLINK("https://klasma.github.io/Logging_1907/tillsynsmail/A 41395-2026 tillsynsbegäran mail.docx", "A 41395-2026")</f>
        <v/>
      </c>
    </row>
    <row r="68" ht="15" customHeight="1">
      <c r="A68" t="inlineStr">
        <is>
          <t>S 703-2025</t>
        </is>
      </c>
      <c r="B68" t="inlineStr">
        <is>
          <t>samrådsanmälan</t>
        </is>
      </c>
      <c r="C68" t="inlineStr">
        <is>
          <t>Skogsgödsling</t>
        </is>
      </c>
      <c r="D68" s="1" t="n">
        <v>45720</v>
      </c>
      <c r="E68" s="1" t="n">
        <v>46309</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46309</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46309</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46309</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46309</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46309</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34584-2025</t>
        </is>
      </c>
      <c r="B74" t="inlineStr">
        <is>
          <t>avverkningsanmälan</t>
        </is>
      </c>
      <c r="C74" t="inlineStr">
        <is>
          <t>Föryngringsavverkning</t>
        </is>
      </c>
      <c r="D74" s="1" t="n">
        <v>45846</v>
      </c>
      <c r="E74" s="1" t="n">
        <v>46309</v>
      </c>
      <c r="F74" t="inlineStr">
        <is>
          <t>VÄSTMANLANDS LÄN</t>
        </is>
      </c>
      <c r="G74" t="inlineStr">
        <is>
          <t>SURAHAMMAR</t>
        </is>
      </c>
      <c r="H74" t="inlineStr">
        <is>
          <t>Bergvik skog väst AB</t>
        </is>
      </c>
      <c r="I74" t="n">
        <v>2.7</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HYPERLINK("https://klasma.github.io/Logging_1907/artfynd/A 34584-2025 artfynd.xlsx", "A 34584-2025")</f>
        <v/>
      </c>
      <c r="X74">
        <f>HYPERLINK("https://klasma.github.io/Logging_1907/kartor/A 34584-2025 karta.png", "A 34584-2025")</f>
        <v/>
      </c>
      <c r="Y74">
        <f>HYPERLINK("https://klasma.github.io/Logging_1907/kartor_geotiff/A 34584-2025 georefererad karta.tif", "A 34584-2025")</f>
        <v/>
      </c>
      <c r="AA74">
        <f>HYPERLINK("https://klasma.github.io/Logging_1907/klagomål/A 34584-2025 FSC-klagomål.docx", "A 34584-2025")</f>
        <v/>
      </c>
      <c r="AB74">
        <f>HYPERLINK("https://klasma.github.io/Logging_1907/klagomålsmail/A 34584-2025 FSC-klagomål mail.docx", "A 34584-2025")</f>
        <v/>
      </c>
      <c r="AC74">
        <f>HYPERLINK("https://klasma.github.io/Logging_1907/tillsyn/A 34584-2025 tillsynsbegäran.docx", "A 34584-2025")</f>
        <v/>
      </c>
      <c r="AD74">
        <f>HYPERLINK("https://klasma.github.io/Logging_1907/tillsynsmail/A 34584-2025 tillsynsbegäran mail.docx", "A 34584-2025")</f>
        <v/>
      </c>
      <c r="AE74">
        <f>HYPERLINK("https://klasma.github.io/Logging_1907/fåglar/A 34584-2025 prioriterade fågelarter.docx", "A 34584-2025")</f>
        <v/>
      </c>
    </row>
    <row r="75" ht="15" customHeight="1">
      <c r="A75" t="inlineStr">
        <is>
          <t>A 8553-2023</t>
        </is>
      </c>
      <c r="B75" t="inlineStr">
        <is>
          <t>avverkningsanmälan</t>
        </is>
      </c>
      <c r="C75" t="inlineStr">
        <is>
          <t>Avverkning för att bevara och utveckla /försöksver</t>
        </is>
      </c>
      <c r="D75" s="1" t="n">
        <v>44977</v>
      </c>
      <c r="E75" s="1" t="n">
        <v>46309</v>
      </c>
      <c r="F75" t="inlineStr">
        <is>
          <t>VÄSTMANLANDS LÄN</t>
        </is>
      </c>
      <c r="G75" t="inlineStr">
        <is>
          <t>SURAHAMMAR</t>
        </is>
      </c>
      <c r="H75" t="inlineStr">
        <is>
          <t>Sveaskog</t>
        </is>
      </c>
      <c r="I75" t="n">
        <v>1.5</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HYPERLINK("https://klasma.github.io/Logging_1907/artfynd/A 8553-2023 artfynd.xlsx", "A 8553-2023")</f>
        <v/>
      </c>
      <c r="X75">
        <f>HYPERLINK("https://klasma.github.io/Logging_1907/kartor/A 8553-2023 karta.png", "A 8553-2023")</f>
        <v/>
      </c>
      <c r="Y75">
        <f>HYPERLINK("https://klasma.github.io/Logging_1907/kartor_geotiff/A 8553-2023 georefererad karta.tif", "A 8553-2023")</f>
        <v/>
      </c>
      <c r="AA75">
        <f>HYPERLINK("https://klasma.github.io/Logging_1907/klagomål/A 8553-2023 FSC-klagomål.docx", "A 8553-2023")</f>
        <v/>
      </c>
      <c r="AB75">
        <f>HYPERLINK("https://klasma.github.io/Logging_1907/klagomålsmail/A 8553-2023 FSC-klagomål mail.docx", "A 8553-2023")</f>
        <v/>
      </c>
      <c r="AC75">
        <f>HYPERLINK("https://klasma.github.io/Logging_1907/tillsyn/A 8553-2023 tillsynsbegäran.docx", "A 8553-2023")</f>
        <v/>
      </c>
      <c r="AD75">
        <f>HYPERLINK("https://klasma.github.io/Logging_1907/tillsynsmail/A 8553-2023 tillsynsbegäran mail.docx", "A 8553-2023")</f>
        <v/>
      </c>
    </row>
    <row r="76" ht="15" customHeight="1">
      <c r="A76" t="inlineStr">
        <is>
          <t>A 16013-2023</t>
        </is>
      </c>
      <c r="B76" t="inlineStr">
        <is>
          <t>avverkningsanmälan</t>
        </is>
      </c>
      <c r="C76" t="inlineStr">
        <is>
          <t>Föryngringsavverkning</t>
        </is>
      </c>
      <c r="D76" s="1" t="n">
        <v>45026</v>
      </c>
      <c r="E76" s="1" t="n">
        <v>46309</v>
      </c>
      <c r="F76" t="inlineStr">
        <is>
          <t>VÄSTMANLANDS LÄN</t>
        </is>
      </c>
      <c r="G76" t="inlineStr">
        <is>
          <t>SURAHAMMAR</t>
        </is>
      </c>
      <c r="I76" t="n">
        <v>3.9</v>
      </c>
      <c r="J76" t="n">
        <v>0</v>
      </c>
      <c r="K76" t="n">
        <v>0</v>
      </c>
      <c r="L76" t="n">
        <v>0</v>
      </c>
      <c r="M76" t="n">
        <v>1</v>
      </c>
      <c r="N76" t="n">
        <v>0</v>
      </c>
      <c r="O76" t="n">
        <v>0</v>
      </c>
      <c r="P76" t="n">
        <v>0</v>
      </c>
      <c r="Q76" t="n">
        <v>1</v>
      </c>
      <c r="R76" t="n">
        <v>1</v>
      </c>
      <c r="S76" t="n">
        <v>1</v>
      </c>
      <c r="T76" t="n">
        <v>1</v>
      </c>
      <c r="U76" t="n">
        <v>0</v>
      </c>
      <c r="V76" s="2" t="inlineStr">
        <is>
          <t>Garnlav</t>
        </is>
      </c>
      <c r="W76">
        <f>HYPERLINK("https://klasma.github.io/Logging_1907/artfynd/A 16013-2023 artfynd.xlsx", "A 16013-2023")</f>
        <v/>
      </c>
      <c r="X76">
        <f>HYPERLINK("https://klasma.github.io/Logging_1907/kartor/A 16013-2023 karta.png", "A 16013-2023")</f>
        <v/>
      </c>
      <c r="Y76">
        <f>HYPERLINK("https://klasma.github.io/Logging_1907/kartor_geotiff/A 16013-2023 georefererad karta.tif", "A 16013-2023")</f>
        <v/>
      </c>
      <c r="AA76">
        <f>HYPERLINK("https://klasma.github.io/Logging_1907/klagomål/A 16013-2023 FSC-klagomål.docx", "A 16013-2023")</f>
        <v/>
      </c>
      <c r="AB76">
        <f>HYPERLINK("https://klasma.github.io/Logging_1907/klagomålsmail/A 16013-2023 FSC-klagomål mail.docx", "A 16013-2023")</f>
        <v/>
      </c>
      <c r="AC76">
        <f>HYPERLINK("https://klasma.github.io/Logging_1907/tillsyn/A 16013-2023 tillsynsbegäran.docx", "A 16013-2023")</f>
        <v/>
      </c>
      <c r="AD76">
        <f>HYPERLINK("https://klasma.github.io/Logging_1907/tillsynsmail/A 16013-2023 tillsynsbegäran mail.docx", "A 16013-2023")</f>
        <v/>
      </c>
    </row>
    <row r="77" ht="15" customHeight="1">
      <c r="A77" t="inlineStr">
        <is>
          <t>A 34955-2022</t>
        </is>
      </c>
      <c r="B77" t="inlineStr">
        <is>
          <t>avverkningsanmälan</t>
        </is>
      </c>
      <c r="C77" t="inlineStr">
        <is>
          <t>Föryngringsavverkning</t>
        </is>
      </c>
      <c r="D77" s="1" t="n">
        <v>44796</v>
      </c>
      <c r="E77" s="1" t="n">
        <v>46309</v>
      </c>
      <c r="F77" t="inlineStr">
        <is>
          <t>VÄSTMANLANDS LÄN</t>
        </is>
      </c>
      <c r="G77" t="inlineStr">
        <is>
          <t>SURAHAMMAR</t>
        </is>
      </c>
      <c r="H77" t="inlineStr">
        <is>
          <t>Sveaskog</t>
        </is>
      </c>
      <c r="I77" t="n">
        <v>4.6</v>
      </c>
      <c r="J77" t="n">
        <v>0</v>
      </c>
      <c r="K77" t="n">
        <v>0</v>
      </c>
      <c r="L77" t="n">
        <v>1</v>
      </c>
      <c r="M77" t="n">
        <v>0</v>
      </c>
      <c r="N77" t="n">
        <v>0</v>
      </c>
      <c r="O77" t="n">
        <v>0</v>
      </c>
      <c r="P77" t="n">
        <v>0</v>
      </c>
      <c r="Q77" t="n">
        <v>1</v>
      </c>
      <c r="R77" t="n">
        <v>0</v>
      </c>
      <c r="S77" t="n">
        <v>1</v>
      </c>
      <c r="T77" t="n">
        <v>1</v>
      </c>
      <c r="U77" t="n">
        <v>1</v>
      </c>
      <c r="V77" s="2" t="inlineStr">
        <is>
          <t>Svinrot</t>
        </is>
      </c>
      <c r="W77">
        <f>HYPERLINK("https://klasma.github.io/Logging_1907/artfynd/A 34955-2022 artfynd.xlsx", "A 34955-2022")</f>
        <v/>
      </c>
      <c r="X77">
        <f>HYPERLINK("https://klasma.github.io/Logging_1907/kartor/A 34955-2022 karta.png", "A 34955-2022")</f>
        <v/>
      </c>
      <c r="Y77">
        <f>HYPERLINK("https://klasma.github.io/Logging_1907/kartor_geotiff/A 34955-2022 georefererad karta.tif", "A 34955-2022")</f>
        <v/>
      </c>
      <c r="AA77">
        <f>HYPERLINK("https://klasma.github.io/Logging_1907/klagomål/A 34955-2022 FSC-klagomål.docx", "A 34955-2022")</f>
        <v/>
      </c>
      <c r="AB77">
        <f>HYPERLINK("https://klasma.github.io/Logging_1907/klagomålsmail/A 34955-2022 FSC-klagomål mail.docx", "A 34955-2022")</f>
        <v/>
      </c>
      <c r="AC77">
        <f>HYPERLINK("https://klasma.github.io/Logging_1907/tillsyn/A 34955-2022 tillsynsbegäran.docx", "A 34955-2022")</f>
        <v/>
      </c>
      <c r="AD77">
        <f>HYPERLINK("https://klasma.github.io/Logging_1907/tillsynsmail/A 34955-2022 tillsynsbegäran mail.docx", "A 34955-2022")</f>
        <v/>
      </c>
    </row>
    <row r="78" ht="15" customHeight="1">
      <c r="A78" t="inlineStr">
        <is>
          <t>A 33231-2024</t>
        </is>
      </c>
      <c r="B78" t="inlineStr">
        <is>
          <t>avverkningsanmälan</t>
        </is>
      </c>
      <c r="C78" t="inlineStr">
        <is>
          <t>Föryngringsavverkning</t>
        </is>
      </c>
      <c r="D78" s="1" t="n">
        <v>45518</v>
      </c>
      <c r="E78" s="1" t="n">
        <v>46309</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30076-2023</t>
        </is>
      </c>
      <c r="B79" t="inlineStr">
        <is>
          <t>avverkningsanmälan</t>
        </is>
      </c>
      <c r="C79" t="inlineStr">
        <is>
          <t>Föryngringsavverkning</t>
        </is>
      </c>
      <c r="D79" s="1" t="n">
        <v>45110</v>
      </c>
      <c r="E79" s="1" t="n">
        <v>46309</v>
      </c>
      <c r="F79" t="inlineStr">
        <is>
          <t>VÄSTMANLANDS LÄN</t>
        </is>
      </c>
      <c r="G79" t="inlineStr">
        <is>
          <t>SURAHAMMAR</t>
        </is>
      </c>
      <c r="H79" t="inlineStr">
        <is>
          <t>Sveaskog</t>
        </is>
      </c>
      <c r="I79" t="n">
        <v>1.1</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HYPERLINK("https://klasma.github.io/Logging_1907/artfynd/A 30076-2023 artfynd.xlsx", "A 30076-2023")</f>
        <v/>
      </c>
      <c r="X79">
        <f>HYPERLINK("https://klasma.github.io/Logging_1907/kartor/A 30076-2023 karta.png", "A 30076-2023")</f>
        <v/>
      </c>
      <c r="Y79">
        <f>HYPERLINK("https://klasma.github.io/Logging_1907/kartor_geotiff/A 30076-2023 georefererad karta.tif", "A 30076-2023")</f>
        <v/>
      </c>
      <c r="AA79">
        <f>HYPERLINK("https://klasma.github.io/Logging_1907/klagomål/A 30076-2023 FSC-klagomål.docx", "A 30076-2023")</f>
        <v/>
      </c>
      <c r="AB79">
        <f>HYPERLINK("https://klasma.github.io/Logging_1907/klagomålsmail/A 30076-2023 FSC-klagomål mail.docx", "A 30076-2023")</f>
        <v/>
      </c>
      <c r="AC79">
        <f>HYPERLINK("https://klasma.github.io/Logging_1907/tillsyn/A 30076-2023 tillsynsbegäran.docx", "A 30076-2023")</f>
        <v/>
      </c>
      <c r="AD79">
        <f>HYPERLINK("https://klasma.github.io/Logging_1907/tillsynsmail/A 30076-2023 tillsynsbegäran mail.docx", "A 30076-2023")</f>
        <v/>
      </c>
    </row>
    <row r="80" ht="15" customHeight="1">
      <c r="A80" t="inlineStr">
        <is>
          <t>A 10883-2023</t>
        </is>
      </c>
      <c r="B80" t="inlineStr">
        <is>
          <t>avverkningsanmälan</t>
        </is>
      </c>
      <c r="C80" t="inlineStr">
        <is>
          <t>Föryngringsavverkning</t>
        </is>
      </c>
      <c r="D80" s="1" t="n">
        <v>44991</v>
      </c>
      <c r="E80" s="1" t="n">
        <v>46309</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46309</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46309</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46309</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46309</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46309</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46309</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46309</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46309</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46309</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46309</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46309</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46309</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46309</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46309</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21509-2024</t>
        </is>
      </c>
      <c r="B95" t="inlineStr">
        <is>
          <t>avverkningsanmälan</t>
        </is>
      </c>
      <c r="C95" t="inlineStr">
        <is>
          <t>Föryngringsavverkning</t>
        </is>
      </c>
      <c r="D95" s="1" t="n">
        <v>45441</v>
      </c>
      <c r="E95" s="1" t="n">
        <v>46309</v>
      </c>
      <c r="F95" t="inlineStr">
        <is>
          <t>VÄSTMANLANDS LÄN</t>
        </is>
      </c>
      <c r="G95" t="inlineStr">
        <is>
          <t>SURAHAMMAR</t>
        </is>
      </c>
      <c r="H95" t="inlineStr">
        <is>
          <t>Bergvik skog väst AB</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42832-2022</t>
        </is>
      </c>
      <c r="B96" t="inlineStr">
        <is>
          <t>avverkningsanmälan</t>
        </is>
      </c>
      <c r="C96" t="inlineStr">
        <is>
          <t>Avverkning för annat ändamål</t>
        </is>
      </c>
      <c r="D96" s="1" t="n">
        <v>44832</v>
      </c>
      <c r="E96" s="1" t="n">
        <v>46309</v>
      </c>
      <c r="F96" t="inlineStr">
        <is>
          <t>VÄSTMANLANDS LÄN</t>
        </is>
      </c>
      <c r="G96" t="inlineStr">
        <is>
          <t>SURAHAMMAR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42841-2022</t>
        </is>
      </c>
      <c r="B97" t="inlineStr">
        <is>
          <t>avverkningsanmälan</t>
        </is>
      </c>
      <c r="C97" t="inlineStr">
        <is>
          <t>Avverkning för annat ändamål</t>
        </is>
      </c>
      <c r="D97" s="1" t="n">
        <v>44832</v>
      </c>
      <c r="E97" s="1" t="n">
        <v>46309</v>
      </c>
      <c r="F97" t="inlineStr">
        <is>
          <t>VÄSTMANLANDS LÄN</t>
        </is>
      </c>
      <c r="G97" t="inlineStr">
        <is>
          <t>SURAHAMMAR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24158-2023</t>
        </is>
      </c>
      <c r="B98" t="inlineStr">
        <is>
          <t>avverkningsanmälan</t>
        </is>
      </c>
      <c r="C98" t="inlineStr">
        <is>
          <t>Föryngringsavverkning</t>
        </is>
      </c>
      <c r="D98" s="1" t="n">
        <v>45079</v>
      </c>
      <c r="E98" s="1" t="n">
        <v>46309</v>
      </c>
      <c r="F98" t="inlineStr">
        <is>
          <t>VÄSTMANLANDS LÄN</t>
        </is>
      </c>
      <c r="G98" t="inlineStr">
        <is>
          <t>SURAHAMMAR</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15739-2023</t>
        </is>
      </c>
      <c r="B99" t="inlineStr">
        <is>
          <t>avverkningsanmälan</t>
        </is>
      </c>
      <c r="C99" t="inlineStr">
        <is>
          <t>Föryngringsavverkning</t>
        </is>
      </c>
      <c r="D99" s="1" t="n">
        <v>45021</v>
      </c>
      <c r="E99" s="1" t="n">
        <v>46309</v>
      </c>
      <c r="F99" t="inlineStr">
        <is>
          <t>VÄSTMANLANDS LÄN</t>
        </is>
      </c>
      <c r="G99" t="inlineStr">
        <is>
          <t>SURAHAMMAR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3818-2022</t>
        </is>
      </c>
      <c r="B100" t="inlineStr">
        <is>
          <t>avverkningsanmälan</t>
        </is>
      </c>
      <c r="C100" t="inlineStr">
        <is>
          <t>Föryngringsavverkning</t>
        </is>
      </c>
      <c r="D100" s="1" t="n">
        <v>44587</v>
      </c>
      <c r="E100" s="1" t="n">
        <v>46309</v>
      </c>
      <c r="F100" t="inlineStr">
        <is>
          <t>VÄSTMANLANDS LÄN</t>
        </is>
      </c>
      <c r="G100" t="inlineStr">
        <is>
          <t>SURAHAMMAR</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4724-2026</t>
        </is>
      </c>
      <c r="B101" t="inlineStr">
        <is>
          <t>avverkningsanmälan</t>
        </is>
      </c>
      <c r="C101" t="inlineStr">
        <is>
          <t>Föryngringsavverkning</t>
        </is>
      </c>
      <c r="D101" s="1" t="n">
        <v>46048</v>
      </c>
      <c r="E101" s="1" t="n">
        <v>46309</v>
      </c>
      <c r="F101" t="inlineStr">
        <is>
          <t>VÄSTMANLANDS LÄN</t>
        </is>
      </c>
      <c r="G101" t="inlineStr">
        <is>
          <t>SURAHAMMAR</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4734-2026</t>
        </is>
      </c>
      <c r="B102" t="inlineStr">
        <is>
          <t>avverkningsanmälan</t>
        </is>
      </c>
      <c r="C102" t="inlineStr">
        <is>
          <t>Föryngringsavverkning</t>
        </is>
      </c>
      <c r="D102" s="1" t="n">
        <v>46048</v>
      </c>
      <c r="E102" s="1" t="n">
        <v>46309</v>
      </c>
      <c r="F102" t="inlineStr">
        <is>
          <t>VÄSTMANLANDS LÄN</t>
        </is>
      </c>
      <c r="G102" t="inlineStr">
        <is>
          <t>SURAHAMMAR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19782-2023</t>
        </is>
      </c>
      <c r="B103" t="inlineStr">
        <is>
          <t>avverkningsanmälan</t>
        </is>
      </c>
      <c r="C103" t="inlineStr">
        <is>
          <t>Föryngringsavverkning</t>
        </is>
      </c>
      <c r="D103" s="1" t="n">
        <v>45050</v>
      </c>
      <c r="E103" s="1" t="n">
        <v>46309</v>
      </c>
      <c r="F103" t="inlineStr">
        <is>
          <t>VÄSTMANLANDS LÄN</t>
        </is>
      </c>
      <c r="G103" t="inlineStr">
        <is>
          <t>SURAHAMMAR</t>
        </is>
      </c>
      <c r="H103" t="inlineStr">
        <is>
          <t>Bergvik skog väst AB</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14626-2023</t>
        </is>
      </c>
      <c r="B104" t="inlineStr">
        <is>
          <t>avverkningsanmälan</t>
        </is>
      </c>
      <c r="C104" t="inlineStr">
        <is>
          <t>Föryngringsavverkning</t>
        </is>
      </c>
      <c r="D104" s="1" t="n">
        <v>45012</v>
      </c>
      <c r="E104" s="1" t="n">
        <v>46309</v>
      </c>
      <c r="F104" t="inlineStr">
        <is>
          <t>VÄSTMANLANDS LÄN</t>
        </is>
      </c>
      <c r="G104" t="inlineStr">
        <is>
          <t>SURAHAMMAR</t>
        </is>
      </c>
      <c r="H104" t="inlineStr">
        <is>
          <t>Bergvik skog väst AB</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56378-2023</t>
        </is>
      </c>
      <c r="B105" t="inlineStr">
        <is>
          <t>avverkningsanmälan</t>
        </is>
      </c>
      <c r="C105" t="inlineStr">
        <is>
          <t>Föryngringsavverkning</t>
        </is>
      </c>
      <c r="D105" s="1" t="n">
        <v>45236</v>
      </c>
      <c r="E105" s="1" t="n">
        <v>46309</v>
      </c>
      <c r="F105" t="inlineStr">
        <is>
          <t>VÄSTMANLANDS LÄN</t>
        </is>
      </c>
      <c r="G105" t="inlineStr">
        <is>
          <t>SURAHAMMAR</t>
        </is>
      </c>
      <c r="H105" t="inlineStr">
        <is>
          <t>Bergvik skog väst AB</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55873-2025</t>
        </is>
      </c>
      <c r="B106" t="inlineStr">
        <is>
          <t>avverkningsanmälan</t>
        </is>
      </c>
      <c r="C106" t="inlineStr">
        <is>
          <t>Föryngringsavverkning</t>
        </is>
      </c>
      <c r="D106" s="1" t="n">
        <v>45973</v>
      </c>
      <c r="E106" s="1" t="n">
        <v>46309</v>
      </c>
      <c r="F106" t="inlineStr">
        <is>
          <t>VÄSTMANLANDS LÄN</t>
        </is>
      </c>
      <c r="G106" t="inlineStr">
        <is>
          <t>SURAHAMMAR</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11728-2023</t>
        </is>
      </c>
      <c r="B107" t="inlineStr">
        <is>
          <t>avverkningsanmälan</t>
        </is>
      </c>
      <c r="C107" t="inlineStr">
        <is>
          <t>Avverkning för att bevara och utveckla /försöksver</t>
        </is>
      </c>
      <c r="D107" s="1" t="n">
        <v>44993</v>
      </c>
      <c r="E107" s="1" t="n">
        <v>46309</v>
      </c>
      <c r="F107" t="inlineStr">
        <is>
          <t>VÄSTMANLANDS LÄN</t>
        </is>
      </c>
      <c r="G107" t="inlineStr">
        <is>
          <t>SURAHAMMAR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20904-2023</t>
        </is>
      </c>
      <c r="B108" t="inlineStr">
        <is>
          <t>avverkningsanmälan</t>
        </is>
      </c>
      <c r="C108" t="inlineStr">
        <is>
          <t>Avverkning för att bevara och utveckla /försöksver</t>
        </is>
      </c>
      <c r="D108" s="1" t="n">
        <v>45060</v>
      </c>
      <c r="E108" s="1" t="n">
        <v>46309</v>
      </c>
      <c r="F108" t="inlineStr">
        <is>
          <t>VÄSTMANLANDS LÄN</t>
        </is>
      </c>
      <c r="G108" t="inlineStr">
        <is>
          <t>SURAHAMMAR</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10244-2026</t>
        </is>
      </c>
      <c r="B109" t="inlineStr">
        <is>
          <t>avverkningsanmälan</t>
        </is>
      </c>
      <c r="C109" t="inlineStr">
        <is>
          <t>Föryngringsavverkning</t>
        </is>
      </c>
      <c r="D109" s="1" t="n">
        <v>46076</v>
      </c>
      <c r="E109" s="1" t="n">
        <v>46309</v>
      </c>
      <c r="F109" t="inlineStr">
        <is>
          <t>VÄSTMANLANDS LÄN</t>
        </is>
      </c>
      <c r="G109" t="inlineStr">
        <is>
          <t>SURAHAMMAR</t>
        </is>
      </c>
      <c r="H109" t="inlineStr">
        <is>
          <t>Allmännings- och besparingsskogar</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10562-2026</t>
        </is>
      </c>
      <c r="B110" t="inlineStr">
        <is>
          <t>avverkningsanmälan</t>
        </is>
      </c>
      <c r="C110" t="inlineStr">
        <is>
          <t>Föryngringsavverkning</t>
        </is>
      </c>
      <c r="D110" s="1" t="n">
        <v>46077</v>
      </c>
      <c r="E110" s="1" t="n">
        <v>46309</v>
      </c>
      <c r="F110" t="inlineStr">
        <is>
          <t>VÄSTMANLANDS LÄN</t>
        </is>
      </c>
      <c r="G110" t="inlineStr">
        <is>
          <t>SURAHAMMAR</t>
        </is>
      </c>
      <c r="H110" t="inlineStr">
        <is>
          <t>Övriga Aktiebolag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42829-2022</t>
        </is>
      </c>
      <c r="B111" t="inlineStr">
        <is>
          <t>avverkningsanmälan</t>
        </is>
      </c>
      <c r="C111" t="inlineStr">
        <is>
          <t>Avverkning för annat ändamål</t>
        </is>
      </c>
      <c r="D111" s="1" t="n">
        <v>44832</v>
      </c>
      <c r="E111" s="1" t="n">
        <v>46309</v>
      </c>
      <c r="F111" t="inlineStr">
        <is>
          <t>VÄSTMANLANDS LÄN</t>
        </is>
      </c>
      <c r="G111" t="inlineStr">
        <is>
          <t>SURAHAMMAR</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12841-2026</t>
        </is>
      </c>
      <c r="B112" t="inlineStr">
        <is>
          <t>avverkningsanmälan</t>
        </is>
      </c>
      <c r="C112" t="inlineStr">
        <is>
          <t>Föryngringsavverkning</t>
        </is>
      </c>
      <c r="D112" s="1" t="n">
        <v>46091</v>
      </c>
      <c r="E112" s="1" t="n">
        <v>46309</v>
      </c>
      <c r="F112" t="inlineStr">
        <is>
          <t>VÄSTMANLANDS LÄN</t>
        </is>
      </c>
      <c r="G112" t="inlineStr">
        <is>
          <t>SURAHAMMAR</t>
        </is>
      </c>
      <c r="H112" t="inlineStr">
        <is>
          <t>Bergvik skog väst AB</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48205-2023</t>
        </is>
      </c>
      <c r="B113" t="inlineStr">
        <is>
          <t>avverkningsanmälan</t>
        </is>
      </c>
      <c r="C113" t="inlineStr">
        <is>
          <t>Föryngringsavverkning</t>
        </is>
      </c>
      <c r="D113" s="1" t="n">
        <v>45205</v>
      </c>
      <c r="E113" s="1" t="n">
        <v>46309</v>
      </c>
      <c r="F113" t="inlineStr">
        <is>
          <t>VÄSTMANLANDS LÄN</t>
        </is>
      </c>
      <c r="G113" t="inlineStr">
        <is>
          <t>SURAHAMMAR</t>
        </is>
      </c>
      <c r="H113" t="inlineStr">
        <is>
          <t>Allmännings- och besparingsskogar</t>
        </is>
      </c>
      <c r="I113" t="n">
        <v>7.6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33931-2022</t>
        </is>
      </c>
      <c r="B114" t="inlineStr">
        <is>
          <t>avverkningsanmälan</t>
        </is>
      </c>
      <c r="C114" t="inlineStr">
        <is>
          <t>Föryngringsavverkning</t>
        </is>
      </c>
      <c r="D114" s="1" t="n">
        <v>44790</v>
      </c>
      <c r="E114" s="1" t="n">
        <v>46309</v>
      </c>
      <c r="F114" t="inlineStr">
        <is>
          <t>VÄSTMANLANDS LÄN</t>
        </is>
      </c>
      <c r="G114" t="inlineStr">
        <is>
          <t>SURAHAMMAR</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22662-2023</t>
        </is>
      </c>
      <c r="B115" t="inlineStr">
        <is>
          <t>avverkningsanmälan</t>
        </is>
      </c>
      <c r="C115" t="inlineStr">
        <is>
          <t>Avverkning för att bevara och utveckla /försöksver</t>
        </is>
      </c>
      <c r="D115" s="1" t="n">
        <v>45071</v>
      </c>
      <c r="E115" s="1" t="n">
        <v>46309</v>
      </c>
      <c r="F115" t="inlineStr">
        <is>
          <t>VÄSTMANLANDS LÄN</t>
        </is>
      </c>
      <c r="G115" t="inlineStr">
        <is>
          <t>SURAHAMMAR</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19246-2026</t>
        </is>
      </c>
      <c r="B116" t="inlineStr">
        <is>
          <t>avverkningsanmälan</t>
        </is>
      </c>
      <c r="C116" t="inlineStr">
        <is>
          <t>Avverkning för annat ändamål</t>
        </is>
      </c>
      <c r="D116" s="1" t="n">
        <v>46132</v>
      </c>
      <c r="E116" s="1" t="n">
        <v>46309</v>
      </c>
      <c r="F116" t="inlineStr">
        <is>
          <t>VÄSTMANLANDS LÄN</t>
        </is>
      </c>
      <c r="G116" t="inlineStr">
        <is>
          <t>SURAHAMMAR</t>
        </is>
      </c>
      <c r="H116" t="inlineStr">
        <is>
          <t>Sveaskog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25450-2024</t>
        </is>
      </c>
      <c r="B117" t="inlineStr">
        <is>
          <t>avverkningsanmälan</t>
        </is>
      </c>
      <c r="C117" t="inlineStr">
        <is>
          <t>Föryngringsavverkning</t>
        </is>
      </c>
      <c r="D117" s="1" t="n">
        <v>45463</v>
      </c>
      <c r="E117" s="1" t="n">
        <v>46309</v>
      </c>
      <c r="F117" t="inlineStr">
        <is>
          <t>VÄSTMANLANDS LÄN</t>
        </is>
      </c>
      <c r="G117" t="inlineStr">
        <is>
          <t>SURAHAMMAR</t>
        </is>
      </c>
      <c r="H117" t="inlineStr">
        <is>
          <t>Bergvik skog väst AB</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32808-2024</t>
        </is>
      </c>
      <c r="B118" t="inlineStr">
        <is>
          <t>avverkningsanmälan</t>
        </is>
      </c>
      <c r="C118" t="inlineStr">
        <is>
          <t>Föryngringsavverkning</t>
        </is>
      </c>
      <c r="D118" s="1" t="n">
        <v>45516</v>
      </c>
      <c r="E118" s="1" t="n">
        <v>46309</v>
      </c>
      <c r="F118" t="inlineStr">
        <is>
          <t>VÄSTMANLANDS LÄN</t>
        </is>
      </c>
      <c r="G118" t="inlineStr">
        <is>
          <t>SURAHAMMAR</t>
        </is>
      </c>
      <c r="H118" t="inlineStr">
        <is>
          <t>Övriga Aktiebolag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24665-2023</t>
        </is>
      </c>
      <c r="B119" t="inlineStr">
        <is>
          <t>avverkningsanmälan</t>
        </is>
      </c>
      <c r="C119" t="inlineStr">
        <is>
          <t>Föryngringsavverkning</t>
        </is>
      </c>
      <c r="D119" s="1" t="n">
        <v>45084</v>
      </c>
      <c r="E119" s="1" t="n">
        <v>46309</v>
      </c>
      <c r="F119" t="inlineStr">
        <is>
          <t>VÄSTMANLANDS LÄN</t>
        </is>
      </c>
      <c r="G119" t="inlineStr">
        <is>
          <t>SURAHAMMAR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20535-2026</t>
        </is>
      </c>
      <c r="B120" t="inlineStr">
        <is>
          <t>avverkningsanmälan</t>
        </is>
      </c>
      <c r="C120" t="inlineStr">
        <is>
          <t>Avverkning för annat ändamål</t>
        </is>
      </c>
      <c r="D120" s="1" t="n">
        <v>46140</v>
      </c>
      <c r="E120" s="1" t="n">
        <v>46309</v>
      </c>
      <c r="F120" t="inlineStr">
        <is>
          <t>VÄSTMANLANDS LÄN</t>
        </is>
      </c>
      <c r="G120" t="inlineStr">
        <is>
          <t>SURAHAMMAR</t>
        </is>
      </c>
      <c r="H120" t="inlineStr">
        <is>
          <t>Bergvik skog väst AB</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49058-2024</t>
        </is>
      </c>
      <c r="B121" t="inlineStr">
        <is>
          <t>avverkningsanmälan</t>
        </is>
      </c>
      <c r="C121" t="inlineStr">
        <is>
          <t>Föryngringsavverkning</t>
        </is>
      </c>
      <c r="D121" s="1" t="n">
        <v>45594</v>
      </c>
      <c r="E121" s="1" t="n">
        <v>46309</v>
      </c>
      <c r="F121" t="inlineStr">
        <is>
          <t>VÄSTMANLANDS LÄN</t>
        </is>
      </c>
      <c r="G121" t="inlineStr">
        <is>
          <t>SURAHAMMAR</t>
        </is>
      </c>
      <c r="H121" t="inlineStr">
        <is>
          <t>Sveaskog</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72367-2021</t>
        </is>
      </c>
      <c r="B122" t="inlineStr">
        <is>
          <t>avverkningsanmälan</t>
        </is>
      </c>
      <c r="C122" t="inlineStr">
        <is>
          <t>Föryngringsavverkning</t>
        </is>
      </c>
      <c r="D122" s="1" t="n">
        <v>44545</v>
      </c>
      <c r="E122" s="1" t="n">
        <v>46309</v>
      </c>
      <c r="F122" t="inlineStr">
        <is>
          <t>VÄSTMANLANDS LÄN</t>
        </is>
      </c>
      <c r="G122" t="inlineStr">
        <is>
          <t>SURAHAMMAR</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42714-2022</t>
        </is>
      </c>
      <c r="B123" t="inlineStr">
        <is>
          <t>avverkningsanmälan</t>
        </is>
      </c>
      <c r="C123" t="inlineStr">
        <is>
          <t>Föryngringsavverkning</t>
        </is>
      </c>
      <c r="D123" s="1" t="n">
        <v>44832</v>
      </c>
      <c r="E123" s="1" t="n">
        <v>46309</v>
      </c>
      <c r="F123" t="inlineStr">
        <is>
          <t>VÄSTMANLANDS LÄN</t>
        </is>
      </c>
      <c r="G123" t="inlineStr">
        <is>
          <t>SURAHAMMAR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19099-2022</t>
        </is>
      </c>
      <c r="B124" t="inlineStr">
        <is>
          <t>avverkningsanmälan</t>
        </is>
      </c>
      <c r="C124" t="inlineStr">
        <is>
          <t>Föryngringsavverkning</t>
        </is>
      </c>
      <c r="D124" s="1" t="n">
        <v>44691</v>
      </c>
      <c r="E124" s="1" t="n">
        <v>46309</v>
      </c>
      <c r="F124" t="inlineStr">
        <is>
          <t>VÄSTMANLANDS LÄN</t>
        </is>
      </c>
      <c r="G124" t="inlineStr">
        <is>
          <t>SURAHAMMAR</t>
        </is>
      </c>
      <c r="H124" t="inlineStr">
        <is>
          <t>Övriga Aktiebolag</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24201-2026</t>
        </is>
      </c>
      <c r="B125" t="inlineStr">
        <is>
          <t>avverkningsanmälan</t>
        </is>
      </c>
      <c r="C125" t="inlineStr">
        <is>
          <t>Föryngringsavverkning</t>
        </is>
      </c>
      <c r="D125" s="1" t="n">
        <v>46168</v>
      </c>
      <c r="E125" s="1" t="n">
        <v>46309</v>
      </c>
      <c r="F125" t="inlineStr">
        <is>
          <t>VÄSTMANLANDS LÄN</t>
        </is>
      </c>
      <c r="G125" t="inlineStr">
        <is>
          <t>SURAHAMMAR</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25780-2023</t>
        </is>
      </c>
      <c r="B126" t="inlineStr">
        <is>
          <t>avverkningsanmälan</t>
        </is>
      </c>
      <c r="C126" t="inlineStr">
        <is>
          <t>Föryngringsavverkning</t>
        </is>
      </c>
      <c r="D126" s="1" t="n">
        <v>45090</v>
      </c>
      <c r="E126" s="1" t="n">
        <v>46309</v>
      </c>
      <c r="F126" t="inlineStr">
        <is>
          <t>VÄSTMANLANDS LÄN</t>
        </is>
      </c>
      <c r="G126" t="inlineStr">
        <is>
          <t>SURAHAMMAR</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35682-2022</t>
        </is>
      </c>
      <c r="B127" t="inlineStr">
        <is>
          <t>avverkningsanmälan</t>
        </is>
      </c>
      <c r="C127" t="inlineStr">
        <is>
          <t>Föryngringsavverkning</t>
        </is>
      </c>
      <c r="D127" s="1" t="n">
        <v>44799</v>
      </c>
      <c r="E127" s="1" t="n">
        <v>46309</v>
      </c>
      <c r="F127" t="inlineStr">
        <is>
          <t>VÄSTMANLANDS LÄN</t>
        </is>
      </c>
      <c r="G127" t="inlineStr">
        <is>
          <t>SURAHAMMAR</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2867-2024</t>
        </is>
      </c>
      <c r="B128" t="inlineStr">
        <is>
          <t>avverkningsanmälan</t>
        </is>
      </c>
      <c r="C128" t="inlineStr">
        <is>
          <t>Föryngringsavverkning</t>
        </is>
      </c>
      <c r="D128" s="1" t="n">
        <v>45315</v>
      </c>
      <c r="E128" s="1" t="n">
        <v>46309</v>
      </c>
      <c r="F128" t="inlineStr">
        <is>
          <t>VÄSTMANLANDS LÄN</t>
        </is>
      </c>
      <c r="G128" t="inlineStr">
        <is>
          <t>SURAHAMMAR</t>
        </is>
      </c>
      <c r="H128" t="inlineStr">
        <is>
          <t>Bergvik skog väst AB</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2660-2024</t>
        </is>
      </c>
      <c r="B129" t="inlineStr">
        <is>
          <t>avverkningsanmälan</t>
        </is>
      </c>
      <c r="C129" t="inlineStr">
        <is>
          <t>Föryngringsavverkning</t>
        </is>
      </c>
      <c r="D129" s="1" t="n">
        <v>45310</v>
      </c>
      <c r="E129" s="1" t="n">
        <v>46309</v>
      </c>
      <c r="F129" t="inlineStr">
        <is>
          <t>VÄSTMANLANDS LÄN</t>
        </is>
      </c>
      <c r="G129" t="inlineStr">
        <is>
          <t>SURAHAMMAR</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5567-2022</t>
        </is>
      </c>
      <c r="B130" t="inlineStr">
        <is>
          <t>avverkningsanmälan</t>
        </is>
      </c>
      <c r="C130" t="inlineStr">
        <is>
          <t>Föryngringsavverkning</t>
        </is>
      </c>
      <c r="D130" s="1" t="n">
        <v>44595</v>
      </c>
      <c r="E130" s="1" t="n">
        <v>46309</v>
      </c>
      <c r="F130" t="inlineStr">
        <is>
          <t>VÄSTMANLANDS LÄN</t>
        </is>
      </c>
      <c r="G130" t="inlineStr">
        <is>
          <t>SURAHAMMAR</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22628-2026</t>
        </is>
      </c>
      <c r="B131" t="inlineStr">
        <is>
          <t>avverkningsanmälan</t>
        </is>
      </c>
      <c r="C131" t="inlineStr">
        <is>
          <t>Föryngringsavverkning</t>
        </is>
      </c>
      <c r="D131" s="1" t="n">
        <v>46155</v>
      </c>
      <c r="E131" s="1" t="n">
        <v>46309</v>
      </c>
      <c r="F131" t="inlineStr">
        <is>
          <t>VÄSTMANLANDS LÄN</t>
        </is>
      </c>
      <c r="G131" t="inlineStr">
        <is>
          <t>SURAHAMMAR</t>
        </is>
      </c>
      <c r="H131" t="inlineStr">
        <is>
          <t>Sveaskog</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3085-2023</t>
        </is>
      </c>
      <c r="B132" t="inlineStr">
        <is>
          <t>avverkningsanmälan</t>
        </is>
      </c>
      <c r="C132" t="inlineStr">
        <is>
          <t>Föryngringsavverkning</t>
        </is>
      </c>
      <c r="D132" s="1" t="n">
        <v>44946</v>
      </c>
      <c r="E132" s="1" t="n">
        <v>46309</v>
      </c>
      <c r="F132" t="inlineStr">
        <is>
          <t>VÄSTMANLANDS LÄN</t>
        </is>
      </c>
      <c r="G132" t="inlineStr">
        <is>
          <t>SURAHAMMAR</t>
        </is>
      </c>
      <c r="H132" t="inlineStr">
        <is>
          <t>Kyrkan</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31061-2026</t>
        </is>
      </c>
      <c r="B133" t="inlineStr">
        <is>
          <t>avverkningsanmälan</t>
        </is>
      </c>
      <c r="C133" t="inlineStr">
        <is>
          <t>Föryngringsavverkning</t>
        </is>
      </c>
      <c r="D133" s="1" t="n">
        <v>46215</v>
      </c>
      <c r="E133" s="1" t="n">
        <v>46309</v>
      </c>
      <c r="F133" t="inlineStr">
        <is>
          <t>VÄSTMANLANDS LÄN</t>
        </is>
      </c>
      <c r="G133" t="inlineStr">
        <is>
          <t>SURAHAMMAR</t>
        </is>
      </c>
      <c r="H133" t="inlineStr">
        <is>
          <t>Sveaskog</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7848-2022</t>
        </is>
      </c>
      <c r="B134" t="inlineStr">
        <is>
          <t>avverkningsanmälan</t>
        </is>
      </c>
      <c r="C134" t="inlineStr">
        <is>
          <t>Föryngringsavverkning</t>
        </is>
      </c>
      <c r="D134" s="1" t="n">
        <v>44608</v>
      </c>
      <c r="E134" s="1" t="n">
        <v>46309</v>
      </c>
      <c r="F134" t="inlineStr">
        <is>
          <t>VÄSTMANLANDS LÄN</t>
        </is>
      </c>
      <c r="G134" t="inlineStr">
        <is>
          <t>SURAHAMMAR</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15743-2023</t>
        </is>
      </c>
      <c r="B135" t="inlineStr">
        <is>
          <t>avverkningsanmälan</t>
        </is>
      </c>
      <c r="C135" t="inlineStr">
        <is>
          <t>Föryngringsavverkning</t>
        </is>
      </c>
      <c r="D135" s="1" t="n">
        <v>45021</v>
      </c>
      <c r="E135" s="1" t="n">
        <v>46309</v>
      </c>
      <c r="F135" t="inlineStr">
        <is>
          <t>VÄSTMANLANDS LÄN</t>
        </is>
      </c>
      <c r="G135" t="inlineStr">
        <is>
          <t>SURAHAMMAR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46309</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32501-2026</t>
        </is>
      </c>
      <c r="B137" t="inlineStr">
        <is>
          <t>avverkningsanmälan</t>
        </is>
      </c>
      <c r="C137" t="inlineStr">
        <is>
          <t>Avverkning för annat ändamål</t>
        </is>
      </c>
      <c r="D137" s="1" t="n">
        <v>46239</v>
      </c>
      <c r="E137" s="1" t="n">
        <v>46309</v>
      </c>
      <c r="F137" t="inlineStr">
        <is>
          <t>VÄSTMANLANDS LÄN</t>
        </is>
      </c>
      <c r="G137" t="inlineStr">
        <is>
          <t>SURAHAMMAR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15637-2022</t>
        </is>
      </c>
      <c r="B138" t="inlineStr">
        <is>
          <t>avverkningsanmälan</t>
        </is>
      </c>
      <c r="C138" t="inlineStr">
        <is>
          <t>Föryngringsavverkning</t>
        </is>
      </c>
      <c r="D138" s="1" t="n">
        <v>44662</v>
      </c>
      <c r="E138" s="1" t="n">
        <v>46309</v>
      </c>
      <c r="F138" t="inlineStr">
        <is>
          <t>VÄSTMANLANDS LÄN</t>
        </is>
      </c>
      <c r="G138" t="inlineStr">
        <is>
          <t>SURAHAMMAR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19786-2023</t>
        </is>
      </c>
      <c r="B139" t="inlineStr">
        <is>
          <t>avverkningsanmälan</t>
        </is>
      </c>
      <c r="C139" t="inlineStr">
        <is>
          <t>Föryngringsavverkning</t>
        </is>
      </c>
      <c r="D139" s="1" t="n">
        <v>45050</v>
      </c>
      <c r="E139" s="1" t="n">
        <v>46309</v>
      </c>
      <c r="F139" t="inlineStr">
        <is>
          <t>VÄSTMANLANDS LÄN</t>
        </is>
      </c>
      <c r="G139" t="inlineStr">
        <is>
          <t>SURAHAMMAR</t>
        </is>
      </c>
      <c r="H139" t="inlineStr">
        <is>
          <t>Bergvik skog väst AB</t>
        </is>
      </c>
      <c r="I139" t="n">
        <v>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33933-2026</t>
        </is>
      </c>
      <c r="B140" t="inlineStr">
        <is>
          <t>avverkningsanmälan</t>
        </is>
      </c>
      <c r="C140" t="inlineStr">
        <is>
          <t>Föryngringsavverkning</t>
        </is>
      </c>
      <c r="D140" s="1" t="n">
        <v>46248</v>
      </c>
      <c r="E140" s="1" t="n">
        <v>46309</v>
      </c>
      <c r="F140" t="inlineStr">
        <is>
          <t>VÄSTMANLANDS LÄN</t>
        </is>
      </c>
      <c r="G140" t="inlineStr">
        <is>
          <t>SURAHAMMAR</t>
        </is>
      </c>
      <c r="H140" t="inlineStr">
        <is>
          <t>Bergvik skog väst AB</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7787-2024</t>
        </is>
      </c>
      <c r="B141" t="inlineStr">
        <is>
          <t>avverkningsanmälan</t>
        </is>
      </c>
      <c r="C141" t="inlineStr">
        <is>
          <t>Föryngringsavverkning</t>
        </is>
      </c>
      <c r="D141" s="1" t="n">
        <v>45348</v>
      </c>
      <c r="E141" s="1" t="n">
        <v>46309</v>
      </c>
      <c r="F141" t="inlineStr">
        <is>
          <t>VÄSTMANLANDS LÄN</t>
        </is>
      </c>
      <c r="G141" t="inlineStr">
        <is>
          <t>SURAHAMMAR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37954-2025</t>
        </is>
      </c>
      <c r="B142" t="inlineStr">
        <is>
          <t>avverkningsanmälan</t>
        </is>
      </c>
      <c r="C142" t="inlineStr">
        <is>
          <t>Föryngringsavverkning</t>
        </is>
      </c>
      <c r="D142" s="1" t="n">
        <v>45881</v>
      </c>
      <c r="E142" s="1" t="n">
        <v>46309</v>
      </c>
      <c r="F142" t="inlineStr">
        <is>
          <t>VÄSTMANLANDS LÄN</t>
        </is>
      </c>
      <c r="G142" t="inlineStr">
        <is>
          <t>SURAHAMMAR</t>
        </is>
      </c>
      <c r="I142" t="n">
        <v>9.5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46309</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46309</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46309</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2026-10-14T02:00:51Z</dcterms:created>
  <dcterms:modified xmlns:dcterms="http://purl.org/dc/terms/" xmlns:xsi="http://www.w3.org/2001/XMLSchema-instance" xsi:type="dcterms:W3CDTF">2026-10-14T02:00:51Z</dcterms:modified>
</cp:coreProperties>
</file>