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243</v>
      </c>
      <c r="U4" t="n">
        <v>107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46290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46290</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46290</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46290</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46290</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46290</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46290</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46290</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46290</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46290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46290</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46290</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46290</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46290</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46290</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46290</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46290</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46290</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46290</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46290</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46290</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46290</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46290</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46290</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46290</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46290</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46290</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46290</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46290</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46290</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46290</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46290</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39694-2025</t>
        </is>
      </c>
      <c r="B44" t="inlineStr">
        <is>
          <t>avverkningsanmälan</t>
        </is>
      </c>
      <c r="C44" t="inlineStr">
        <is>
          <t>Föryngringsavverkning</t>
        </is>
      </c>
      <c r="D44" s="1" t="n">
        <v>45890</v>
      </c>
      <c r="E44" s="1" t="n">
        <v>46290</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42765-2022</t>
        </is>
      </c>
      <c r="B45" t="inlineStr">
        <is>
          <t>avverkningsanmälan</t>
        </is>
      </c>
      <c r="C45" t="inlineStr">
        <is>
          <t>Avverkning för annat ändamål</t>
        </is>
      </c>
      <c r="D45" s="1" t="n">
        <v>44832</v>
      </c>
      <c r="E45" s="1" t="n">
        <v>46290</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46290</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4082-2025</t>
        </is>
      </c>
      <c r="B47" t="inlineStr">
        <is>
          <t>avverkningsanmälan</t>
        </is>
      </c>
      <c r="C47" t="inlineStr">
        <is>
          <t>Föryngringsavverkning</t>
        </is>
      </c>
      <c r="D47" s="1" t="n">
        <v>45684</v>
      </c>
      <c r="E47" s="1" t="n">
        <v>46290</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46290</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46290</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33935-2026</t>
        </is>
      </c>
      <c r="B50" t="inlineStr">
        <is>
          <t>avverkningsanmälan</t>
        </is>
      </c>
      <c r="C50" t="inlineStr">
        <is>
          <t>Föryngringsavverkning</t>
        </is>
      </c>
      <c r="D50" s="1" t="n">
        <v>46248</v>
      </c>
      <c r="E50" s="1" t="n">
        <v>46290</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46290</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46290</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46290</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46290</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46290</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46290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46290</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46290</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37013-2025</t>
        </is>
      </c>
      <c r="B59" t="inlineStr">
        <is>
          <t>avverkningsanmälan</t>
        </is>
      </c>
      <c r="C59" t="inlineStr">
        <is>
          <t>Föryngringsavverkning</t>
        </is>
      </c>
      <c r="D59" s="1" t="n">
        <v>45874</v>
      </c>
      <c r="E59" s="1" t="n">
        <v>46290</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40403-2025</t>
        </is>
      </c>
      <c r="B60" t="inlineStr">
        <is>
          <t>avverkningsanmälan</t>
        </is>
      </c>
      <c r="C60" t="inlineStr">
        <is>
          <t>Föryngringsavverkning</t>
        </is>
      </c>
      <c r="D60" s="1" t="n">
        <v>45895</v>
      </c>
      <c r="E60" s="1" t="n">
        <v>46290</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63138-2025</t>
        </is>
      </c>
      <c r="B61" t="inlineStr">
        <is>
          <t>avverkningsanmälan</t>
        </is>
      </c>
      <c r="C61" t="inlineStr">
        <is>
          <t>Föryngringsavverkning</t>
        </is>
      </c>
      <c r="D61" s="1" t="n">
        <v>46009</v>
      </c>
      <c r="E61" s="1" t="n">
        <v>46290</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41204-2023</t>
        </is>
      </c>
      <c r="B62" t="inlineStr">
        <is>
          <t>avverkningsanmälan</t>
        </is>
      </c>
      <c r="C62" t="inlineStr">
        <is>
          <t>Föryngringsavverkning</t>
        </is>
      </c>
      <c r="D62" s="1" t="n">
        <v>45174</v>
      </c>
      <c r="E62" s="1" t="n">
        <v>46290</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11501-2023</t>
        </is>
      </c>
      <c r="B63" t="inlineStr">
        <is>
          <t>avverkningsanmälan</t>
        </is>
      </c>
      <c r="C63" t="inlineStr">
        <is>
          <t>Föryngringsavverkning</t>
        </is>
      </c>
      <c r="D63" s="1" t="n">
        <v>44991</v>
      </c>
      <c r="E63" s="1" t="n">
        <v>46290</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14001-2023</t>
        </is>
      </c>
      <c r="B64" t="inlineStr">
        <is>
          <t>avverkningsanmälan</t>
        </is>
      </c>
      <c r="C64" t="inlineStr">
        <is>
          <t>Föryngringsavverkning</t>
        </is>
      </c>
      <c r="D64" s="1" t="n">
        <v>45007</v>
      </c>
      <c r="E64" s="1" t="n">
        <v>46290</v>
      </c>
      <c r="F64" t="inlineStr">
        <is>
          <t>VÄSTMANLANDS LÄN</t>
        </is>
      </c>
      <c r="G64" t="inlineStr">
        <is>
          <t>SURAHAMMAR</t>
        </is>
      </c>
      <c r="H64" t="inlineStr">
        <is>
          <t>Bergvik skog väst AB</t>
        </is>
      </c>
      <c r="I64" t="n">
        <v>1</v>
      </c>
      <c r="J64" t="n">
        <v>0</v>
      </c>
      <c r="K64" t="n">
        <v>0</v>
      </c>
      <c r="L64" t="n">
        <v>1</v>
      </c>
      <c r="M64" t="n">
        <v>1</v>
      </c>
      <c r="N64" t="n">
        <v>0</v>
      </c>
      <c r="O64" t="n">
        <v>0</v>
      </c>
      <c r="P64" t="n">
        <v>0</v>
      </c>
      <c r="Q64" t="n">
        <v>2</v>
      </c>
      <c r="R64" t="n">
        <v>1</v>
      </c>
      <c r="S64" t="n">
        <v>2</v>
      </c>
      <c r="T64" t="n">
        <v>2</v>
      </c>
      <c r="U64" t="n">
        <v>0</v>
      </c>
      <c r="V64" s="2" t="inlineStr">
        <is>
          <t>Garnlav
Motaggsvamp</t>
        </is>
      </c>
      <c r="W64">
        <f>HYPERLINK("https://klasma.github.io/Logging_1907/artfynd/A 14001-2023 artfynd.xlsx", "A 14001-2023")</f>
        <v/>
      </c>
      <c r="X64">
        <f>HYPERLINK("https://klasma.github.io/Logging_1907/kartor/A 14001-2023 karta.png", "A 14001-2023")</f>
        <v/>
      </c>
      <c r="Y64">
        <f>HYPERLINK("https://klasma.github.io/Logging_1907/kartor_geotiff/A 14001-2023 georefererad karta.tif", "A 14001-2023")</f>
        <v/>
      </c>
      <c r="AA64">
        <f>HYPERLINK("https://klasma.github.io/Logging_1907/klagomål/A 14001-2023 FSC-klagomål.docx", "A 14001-2023")</f>
        <v/>
      </c>
      <c r="AB64">
        <f>HYPERLINK("https://klasma.github.io/Logging_1907/klagomålsmail/A 14001-2023 FSC-klagomål mail.docx", "A 14001-2023")</f>
        <v/>
      </c>
      <c r="AC64">
        <f>HYPERLINK("https://klasma.github.io/Logging_1907/tillsyn/A 14001-2023 tillsynsbegäran.docx", "A 14001-2023")</f>
        <v/>
      </c>
      <c r="AD64">
        <f>HYPERLINK("https://klasma.github.io/Logging_1907/tillsynsmail/A 14001-2023 tillsynsbegäran mail.docx", "A 14001-2023")</f>
        <v/>
      </c>
    </row>
    <row r="65" ht="15" customHeight="1">
      <c r="A65" t="inlineStr">
        <is>
          <t>A 13971-2023</t>
        </is>
      </c>
      <c r="B65" t="inlineStr">
        <is>
          <t>avverkningsanmälan</t>
        </is>
      </c>
      <c r="C65" t="inlineStr">
        <is>
          <t>Föryngringsavverkning</t>
        </is>
      </c>
      <c r="D65" s="1" t="n">
        <v>45007</v>
      </c>
      <c r="E65" s="1" t="n">
        <v>46290</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46290</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13788-2025</t>
        </is>
      </c>
      <c r="B67" t="inlineStr">
        <is>
          <t>avverkningsanmälan</t>
        </is>
      </c>
      <c r="C67" t="inlineStr">
        <is>
          <t>Föryngringsavverkning</t>
        </is>
      </c>
      <c r="D67" s="1" t="n">
        <v>45737</v>
      </c>
      <c r="E67" s="1" t="n">
        <v>46290</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46290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46290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46290</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46290</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46290</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46290</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46290</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46290</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46290</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46290</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46290</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31589-2026</t>
        </is>
      </c>
      <c r="B83" t="inlineStr">
        <is>
          <t>avverkningsanmälan</t>
        </is>
      </c>
      <c r="C83" t="inlineStr">
        <is>
          <t>Föryngringsavverkning</t>
        </is>
      </c>
      <c r="D83" s="1" t="n">
        <v>46224</v>
      </c>
      <c r="E83" s="1" t="n">
        <v>46290</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16013-2023</t>
        </is>
      </c>
      <c r="B84" t="inlineStr">
        <is>
          <t>avverkningsanmälan</t>
        </is>
      </c>
      <c r="C84" t="inlineStr">
        <is>
          <t>Föryngringsavverkning</t>
        </is>
      </c>
      <c r="D84" s="1" t="n">
        <v>45026</v>
      </c>
      <c r="E84" s="1" t="n">
        <v>46290</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34584-2025</t>
        </is>
      </c>
      <c r="B85" t="inlineStr">
        <is>
          <t>avverkningsanmälan</t>
        </is>
      </c>
      <c r="C85" t="inlineStr">
        <is>
          <t>Föryngringsavverkning</t>
        </is>
      </c>
      <c r="D85" s="1" t="n">
        <v>45846</v>
      </c>
      <c r="E85" s="1" t="n">
        <v>46290</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46290</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46290</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46290</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46290</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46290</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46290</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46290</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46290</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46290</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46290</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46290</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46290</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46290</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46290</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46290</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46290</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46290</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32808-2024</t>
        </is>
      </c>
      <c r="B103" t="inlineStr">
        <is>
          <t>avverkningsanmälan</t>
        </is>
      </c>
      <c r="C103" t="inlineStr">
        <is>
          <t>Föryngringsavverkning</t>
        </is>
      </c>
      <c r="D103" s="1" t="n">
        <v>45516</v>
      </c>
      <c r="E103" s="1" t="n">
        <v>46290</v>
      </c>
      <c r="F103" t="inlineStr">
        <is>
          <t>VÄSTMANLANDS LÄN</t>
        </is>
      </c>
      <c r="G103" t="inlineStr">
        <is>
          <t>SURAHAMMAR</t>
        </is>
      </c>
      <c r="H103" t="inlineStr">
        <is>
          <t>Övriga Aktiebolag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37954-2025</t>
        </is>
      </c>
      <c r="B104" t="inlineStr">
        <is>
          <t>avverkningsanmälan</t>
        </is>
      </c>
      <c r="C104" t="inlineStr">
        <is>
          <t>Föryngringsavverkning</t>
        </is>
      </c>
      <c r="D104" s="1" t="n">
        <v>45881</v>
      </c>
      <c r="E104" s="1" t="n">
        <v>46290</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42714-2022</t>
        </is>
      </c>
      <c r="B105" t="inlineStr">
        <is>
          <t>avverkningsanmälan</t>
        </is>
      </c>
      <c r="C105" t="inlineStr">
        <is>
          <t>Föryngringsavverkning</t>
        </is>
      </c>
      <c r="D105" s="1" t="n">
        <v>44832</v>
      </c>
      <c r="E105" s="1" t="n">
        <v>46290</v>
      </c>
      <c r="F105" t="inlineStr">
        <is>
          <t>VÄSTMANLANDS LÄN</t>
        </is>
      </c>
      <c r="G105" t="inlineStr">
        <is>
          <t>SURAHAMMAR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46290</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11728-2023</t>
        </is>
      </c>
      <c r="B107" t="inlineStr">
        <is>
          <t>avverkningsanmälan</t>
        </is>
      </c>
      <c r="C107" t="inlineStr">
        <is>
          <t>Avverkning för att bevara och utveckla /försöksver</t>
        </is>
      </c>
      <c r="D107" s="1" t="n">
        <v>44993</v>
      </c>
      <c r="E107" s="1" t="n">
        <v>46290</v>
      </c>
      <c r="F107" t="inlineStr">
        <is>
          <t>VÄSTMANLANDS LÄN</t>
        </is>
      </c>
      <c r="G107" t="inlineStr">
        <is>
          <t>SURAHAMMAR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5567-2022</t>
        </is>
      </c>
      <c r="B108" t="inlineStr">
        <is>
          <t>avverkningsanmälan</t>
        </is>
      </c>
      <c r="C108" t="inlineStr">
        <is>
          <t>Föryngringsavverkning</t>
        </is>
      </c>
      <c r="D108" s="1" t="n">
        <v>44595</v>
      </c>
      <c r="E108" s="1" t="n">
        <v>46290</v>
      </c>
      <c r="F108" t="inlineStr">
        <is>
          <t>VÄSTMANLANDS LÄN</t>
        </is>
      </c>
      <c r="G108" t="inlineStr">
        <is>
          <t>SURAHAMMAR</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42832-2022</t>
        </is>
      </c>
      <c r="B109" t="inlineStr">
        <is>
          <t>avverkningsanmälan</t>
        </is>
      </c>
      <c r="C109" t="inlineStr">
        <is>
          <t>Avverkning för annat ändamål</t>
        </is>
      </c>
      <c r="D109" s="1" t="n">
        <v>44832</v>
      </c>
      <c r="E109" s="1" t="n">
        <v>46290</v>
      </c>
      <c r="F109" t="inlineStr">
        <is>
          <t>VÄSTMANLANDS LÄN</t>
        </is>
      </c>
      <c r="G109" t="inlineStr">
        <is>
          <t>SURAHAMMAR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24665-2023</t>
        </is>
      </c>
      <c r="B110" t="inlineStr">
        <is>
          <t>avverkningsanmälan</t>
        </is>
      </c>
      <c r="C110" t="inlineStr">
        <is>
          <t>Föryngringsavverkning</t>
        </is>
      </c>
      <c r="D110" s="1" t="n">
        <v>45084</v>
      </c>
      <c r="E110" s="1" t="n">
        <v>46290</v>
      </c>
      <c r="F110" t="inlineStr">
        <is>
          <t>VÄSTMANLANDS LÄN</t>
        </is>
      </c>
      <c r="G110" t="inlineStr">
        <is>
          <t>SURAHAMMAR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42841-2022</t>
        </is>
      </c>
      <c r="B111" t="inlineStr">
        <is>
          <t>avverkningsanmälan</t>
        </is>
      </c>
      <c r="C111" t="inlineStr">
        <is>
          <t>Avverkning för annat ändamål</t>
        </is>
      </c>
      <c r="D111" s="1" t="n">
        <v>44832</v>
      </c>
      <c r="E111" s="1" t="n">
        <v>46290</v>
      </c>
      <c r="F111" t="inlineStr">
        <is>
          <t>VÄSTMANLANDS LÄN</t>
        </is>
      </c>
      <c r="G111" t="inlineStr">
        <is>
          <t>SURAHAMMAR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46290</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46290</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49058-2024</t>
        </is>
      </c>
      <c r="B114" t="inlineStr">
        <is>
          <t>avverkningsanmälan</t>
        </is>
      </c>
      <c r="C114" t="inlineStr">
        <is>
          <t>Föryngringsavverkning</t>
        </is>
      </c>
      <c r="D114" s="1" t="n">
        <v>45594</v>
      </c>
      <c r="E114" s="1" t="n">
        <v>46290</v>
      </c>
      <c r="F114" t="inlineStr">
        <is>
          <t>VÄSTMANLANDS LÄN</t>
        </is>
      </c>
      <c r="G114" t="inlineStr">
        <is>
          <t>SURAHAMMAR</t>
        </is>
      </c>
      <c r="H114" t="inlineStr">
        <is>
          <t>Sveaskog</t>
        </is>
      </c>
      <c r="I114" t="n">
        <v>11.4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3085-2023</t>
        </is>
      </c>
      <c r="B115" t="inlineStr">
        <is>
          <t>avverkningsanmälan</t>
        </is>
      </c>
      <c r="C115" t="inlineStr">
        <is>
          <t>Föryngringsavverkning</t>
        </is>
      </c>
      <c r="D115" s="1" t="n">
        <v>44946</v>
      </c>
      <c r="E115" s="1" t="n">
        <v>46290</v>
      </c>
      <c r="F115" t="inlineStr">
        <is>
          <t>VÄSTMANLANDS LÄN</t>
        </is>
      </c>
      <c r="G115" t="inlineStr">
        <is>
          <t>SURAHAMMAR</t>
        </is>
      </c>
      <c r="H115" t="inlineStr">
        <is>
          <t>Kyrkan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46290</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55873-2025</t>
        </is>
      </c>
      <c r="B117" t="inlineStr">
        <is>
          <t>avverkningsanmälan</t>
        </is>
      </c>
      <c r="C117" t="inlineStr">
        <is>
          <t>Föryngringsavverkning</t>
        </is>
      </c>
      <c r="D117" s="1" t="n">
        <v>45973</v>
      </c>
      <c r="E117" s="1" t="n">
        <v>46290</v>
      </c>
      <c r="F117" t="inlineStr">
        <is>
          <t>VÄSTMANLANDS LÄN</t>
        </is>
      </c>
      <c r="G117" t="inlineStr">
        <is>
          <t>SURAHAMMAR</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20904-2023</t>
        </is>
      </c>
      <c r="B118" t="inlineStr">
        <is>
          <t>avverkningsanmälan</t>
        </is>
      </c>
      <c r="C118" t="inlineStr">
        <is>
          <t>Avverkning för att bevara och utveckla /försöksver</t>
        </is>
      </c>
      <c r="D118" s="1" t="n">
        <v>45060</v>
      </c>
      <c r="E118" s="1" t="n">
        <v>46290</v>
      </c>
      <c r="F118" t="inlineStr">
        <is>
          <t>VÄSTMANLANDS LÄN</t>
        </is>
      </c>
      <c r="G118" t="inlineStr">
        <is>
          <t>SURAHAMMAR</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46290</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4724-2026</t>
        </is>
      </c>
      <c r="B120" t="inlineStr">
        <is>
          <t>avverkningsanmälan</t>
        </is>
      </c>
      <c r="C120" t="inlineStr">
        <is>
          <t>Föryngringsavverkning</t>
        </is>
      </c>
      <c r="D120" s="1" t="n">
        <v>46048</v>
      </c>
      <c r="E120" s="1" t="n">
        <v>46290</v>
      </c>
      <c r="F120" t="inlineStr">
        <is>
          <t>VÄSTMANLANDS LÄN</t>
        </is>
      </c>
      <c r="G120" t="inlineStr">
        <is>
          <t>SURAHAMMAR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4734-2026</t>
        </is>
      </c>
      <c r="B121" t="inlineStr">
        <is>
          <t>avverkningsanmälan</t>
        </is>
      </c>
      <c r="C121" t="inlineStr">
        <is>
          <t>Föryngringsavverkning</t>
        </is>
      </c>
      <c r="D121" s="1" t="n">
        <v>46048</v>
      </c>
      <c r="E121" s="1" t="n">
        <v>46290</v>
      </c>
      <c r="F121" t="inlineStr">
        <is>
          <t>VÄSTMANLANDS LÄN</t>
        </is>
      </c>
      <c r="G121" t="inlineStr">
        <is>
          <t>SURAHAMMAR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14626-2023</t>
        </is>
      </c>
      <c r="B122" t="inlineStr">
        <is>
          <t>avverkningsanmälan</t>
        </is>
      </c>
      <c r="C122" t="inlineStr">
        <is>
          <t>Föryngringsavverkning</t>
        </is>
      </c>
      <c r="D122" s="1" t="n">
        <v>45012</v>
      </c>
      <c r="E122" s="1" t="n">
        <v>46290</v>
      </c>
      <c r="F122" t="inlineStr">
        <is>
          <t>VÄSTMANLANDS LÄN</t>
        </is>
      </c>
      <c r="G122" t="inlineStr">
        <is>
          <t>SURAHAMMAR</t>
        </is>
      </c>
      <c r="H122" t="inlineStr">
        <is>
          <t>Bergvik skog väst AB</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24201-2026</t>
        </is>
      </c>
      <c r="B123" t="inlineStr">
        <is>
          <t>avverkningsanmälan</t>
        </is>
      </c>
      <c r="C123" t="inlineStr">
        <is>
          <t>Föryngringsavverkning</t>
        </is>
      </c>
      <c r="D123" s="1" t="n">
        <v>46168</v>
      </c>
      <c r="E123" s="1" t="n">
        <v>46290</v>
      </c>
      <c r="F123" t="inlineStr">
        <is>
          <t>VÄSTMANLANDS LÄN</t>
        </is>
      </c>
      <c r="G123" t="inlineStr">
        <is>
          <t>SURAHAMMAR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10249-2026</t>
        </is>
      </c>
      <c r="B124" t="inlineStr">
        <is>
          <t>avverkningsanmälan</t>
        </is>
      </c>
      <c r="C124" t="inlineStr">
        <is>
          <t>Föryngringsavverkning</t>
        </is>
      </c>
      <c r="D124" s="1" t="n">
        <v>46076</v>
      </c>
      <c r="E124" s="1" t="n">
        <v>46290</v>
      </c>
      <c r="F124" t="inlineStr">
        <is>
          <t>VÄSTMANLANDS LÄN</t>
        </is>
      </c>
      <c r="G124" t="inlineStr">
        <is>
          <t>SURAHAMMAR</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10244-2026</t>
        </is>
      </c>
      <c r="B125" t="inlineStr">
        <is>
          <t>avverkningsanmälan</t>
        </is>
      </c>
      <c r="C125" t="inlineStr">
        <is>
          <t>Föryngringsavverkning</t>
        </is>
      </c>
      <c r="D125" s="1" t="n">
        <v>46076</v>
      </c>
      <c r="E125" s="1" t="n">
        <v>46290</v>
      </c>
      <c r="F125" t="inlineStr">
        <is>
          <t>VÄSTMANLANDS LÄN</t>
        </is>
      </c>
      <c r="G125" t="inlineStr">
        <is>
          <t>SURAHAMMAR</t>
        </is>
      </c>
      <c r="H125" t="inlineStr">
        <is>
          <t>Allmännings- och besparingsskogar</t>
        </is>
      </c>
      <c r="I125" t="n">
        <v>8.699999999999999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46290</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25450-2024</t>
        </is>
      </c>
      <c r="B127" t="inlineStr">
        <is>
          <t>avverkningsanmälan</t>
        </is>
      </c>
      <c r="C127" t="inlineStr">
        <is>
          <t>Föryngringsavverkning</t>
        </is>
      </c>
      <c r="D127" s="1" t="n">
        <v>45463</v>
      </c>
      <c r="E127" s="1" t="n">
        <v>46290</v>
      </c>
      <c r="F127" t="inlineStr">
        <is>
          <t>VÄSTMANLANDS LÄN</t>
        </is>
      </c>
      <c r="G127" t="inlineStr">
        <is>
          <t>SURAHAMMAR</t>
        </is>
      </c>
      <c r="H127" t="inlineStr">
        <is>
          <t>Bergvik skog väst AB</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12841-2026</t>
        </is>
      </c>
      <c r="B128" t="inlineStr">
        <is>
          <t>avverkningsanmälan</t>
        </is>
      </c>
      <c r="C128" t="inlineStr">
        <is>
          <t>Föryngringsavverkning</t>
        </is>
      </c>
      <c r="D128" s="1" t="n">
        <v>46091</v>
      </c>
      <c r="E128" s="1" t="n">
        <v>46290</v>
      </c>
      <c r="F128" t="inlineStr">
        <is>
          <t>VÄSTMANLANDS LÄN</t>
        </is>
      </c>
      <c r="G128" t="inlineStr">
        <is>
          <t>SURAHAMMAR</t>
        </is>
      </c>
      <c r="H128" t="inlineStr">
        <is>
          <t>Bergvik skog väst AB</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19782-2023</t>
        </is>
      </c>
      <c r="B129" t="inlineStr">
        <is>
          <t>avverkningsanmälan</t>
        </is>
      </c>
      <c r="C129" t="inlineStr">
        <is>
          <t>Föryngringsavverkning</t>
        </is>
      </c>
      <c r="D129" s="1" t="n">
        <v>45050</v>
      </c>
      <c r="E129" s="1" t="n">
        <v>46290</v>
      </c>
      <c r="F129" t="inlineStr">
        <is>
          <t>VÄSTMANLANDS LÄN</t>
        </is>
      </c>
      <c r="G129" t="inlineStr">
        <is>
          <t>SURAHAMMAR</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7848-2022</t>
        </is>
      </c>
      <c r="B130" t="inlineStr">
        <is>
          <t>avverkningsanmälan</t>
        </is>
      </c>
      <c r="C130" t="inlineStr">
        <is>
          <t>Föryngringsavverkning</t>
        </is>
      </c>
      <c r="D130" s="1" t="n">
        <v>44608</v>
      </c>
      <c r="E130" s="1" t="n">
        <v>46290</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19246-2026</t>
        </is>
      </c>
      <c r="B131" t="inlineStr">
        <is>
          <t>avverkningsanmälan</t>
        </is>
      </c>
      <c r="C131" t="inlineStr">
        <is>
          <t>Avverkning för annat ändamål</t>
        </is>
      </c>
      <c r="D131" s="1" t="n">
        <v>46132</v>
      </c>
      <c r="E131" s="1" t="n">
        <v>46290</v>
      </c>
      <c r="F131" t="inlineStr">
        <is>
          <t>VÄSTMANLANDS LÄN</t>
        </is>
      </c>
      <c r="G131" t="inlineStr">
        <is>
          <t>SURAHAMMAR</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46290</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46290</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46290</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46290</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46290</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31061-2026</t>
        </is>
      </c>
      <c r="B137" t="inlineStr">
        <is>
          <t>avverkningsanmälan</t>
        </is>
      </c>
      <c r="C137" t="inlineStr">
        <is>
          <t>Föryngringsavverkning</t>
        </is>
      </c>
      <c r="D137" s="1" t="n">
        <v>46215</v>
      </c>
      <c r="E137" s="1" t="n">
        <v>46290</v>
      </c>
      <c r="F137" t="inlineStr">
        <is>
          <t>VÄSTMANLANDS LÄN</t>
        </is>
      </c>
      <c r="G137" t="inlineStr">
        <is>
          <t>SURAHAMMAR</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46290</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46290</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46290</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32501-2026</t>
        </is>
      </c>
      <c r="B141" t="inlineStr">
        <is>
          <t>avverkningsanmälan</t>
        </is>
      </c>
      <c r="C141" t="inlineStr">
        <is>
          <t>Avverkning för annat ändamål</t>
        </is>
      </c>
      <c r="D141" s="1" t="n">
        <v>46239</v>
      </c>
      <c r="E141" s="1" t="n">
        <v>46290</v>
      </c>
      <c r="F141" t="inlineStr">
        <is>
          <t>VÄSTMANLANDS LÄN</t>
        </is>
      </c>
      <c r="G141" t="inlineStr">
        <is>
          <t>SURAHAMMAR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32223-2026</t>
        </is>
      </c>
      <c r="B142" t="inlineStr">
        <is>
          <t>avverkningsanmälan</t>
        </is>
      </c>
      <c r="C142" t="inlineStr">
        <is>
          <t>Föryngringsavverkning</t>
        </is>
      </c>
      <c r="D142" s="1" t="n">
        <v>46237</v>
      </c>
      <c r="E142" s="1" t="n">
        <v>46290</v>
      </c>
      <c r="F142" t="inlineStr">
        <is>
          <t>VÄSTMANLANDS LÄN</t>
        </is>
      </c>
      <c r="G142" t="inlineStr">
        <is>
          <t>SURAHAMMAR</t>
        </is>
      </c>
      <c r="H142" t="inlineStr">
        <is>
          <t>Allmännings- och besparingsskogar</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46290</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46290</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46290</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46290</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2026-09-25T02:03:59Z</dcterms:created>
  <dcterms:modified xmlns:dcterms="http://purl.org/dc/terms/" xmlns:xsi="http://www.w3.org/2001/XMLSchema-instance" xsi:type="dcterms:W3CDTF">2026-09-25T02:03:59Z</dcterms:modified>
</cp:coreProperties>
</file>