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46314</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46314</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46314</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46314</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46314</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46314</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46314</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46314</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46314</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46314</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46314</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46314</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46314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46314</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46314</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46314</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31060-2026</t>
        </is>
      </c>
      <c r="B25" t="inlineStr">
        <is>
          <t>avverkningsanmälan</t>
        </is>
      </c>
      <c r="C25" t="inlineStr">
        <is>
          <t>Föryngringsavverkning</t>
        </is>
      </c>
      <c r="D25" s="1" t="n">
        <v>46215</v>
      </c>
      <c r="E25" s="1" t="n">
        <v>46314</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46314</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46314</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46314</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46314</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46314</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46314</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46314</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46314</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46314</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46314</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46314</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46314</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46314</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46314</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46314</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46314</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49718-2023</t>
        </is>
      </c>
      <c r="B42" t="inlineStr">
        <is>
          <t>avverkningsanmälan</t>
        </is>
      </c>
      <c r="C42" t="inlineStr">
        <is>
          <t>Föryngringsavverkning</t>
        </is>
      </c>
      <c r="D42" s="1" t="n">
        <v>45212</v>
      </c>
      <c r="E42" s="1" t="n">
        <v>46314</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46314</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39694-2025</t>
        </is>
      </c>
      <c r="B44" t="inlineStr">
        <is>
          <t>avverkningsanmälan</t>
        </is>
      </c>
      <c r="C44" t="inlineStr">
        <is>
          <t>Föryngringsavverkning</t>
        </is>
      </c>
      <c r="D44" s="1" t="n">
        <v>45890</v>
      </c>
      <c r="E44" s="1" t="n">
        <v>46314</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20535-2026</t>
        </is>
      </c>
      <c r="B45" t="inlineStr">
        <is>
          <t>avverkningsanmälan</t>
        </is>
      </c>
      <c r="C45" t="inlineStr">
        <is>
          <t>Avverkning för annat ändamål</t>
        </is>
      </c>
      <c r="D45" s="1" t="n">
        <v>46140</v>
      </c>
      <c r="E45" s="1" t="n">
        <v>46314</v>
      </c>
      <c r="F45" t="inlineStr">
        <is>
          <t>VÄSTMANLANDS LÄN</t>
        </is>
      </c>
      <c r="G45" t="inlineStr">
        <is>
          <t>SURAHAMMAR</t>
        </is>
      </c>
      <c r="H45" t="inlineStr">
        <is>
          <t>Bergvik skog väst AB</t>
        </is>
      </c>
      <c r="I45" t="n">
        <v>2.7</v>
      </c>
      <c r="J45" t="n">
        <v>2</v>
      </c>
      <c r="K45" t="n">
        <v>1</v>
      </c>
      <c r="L45" t="n">
        <v>1</v>
      </c>
      <c r="M45" t="n">
        <v>0</v>
      </c>
      <c r="N45" t="n">
        <v>0</v>
      </c>
      <c r="O45" t="n">
        <v>0</v>
      </c>
      <c r="P45" t="n">
        <v>0</v>
      </c>
      <c r="Q45" t="n">
        <v>1</v>
      </c>
      <c r="R45" t="n">
        <v>0</v>
      </c>
      <c r="S45" t="n">
        <v>3</v>
      </c>
      <c r="T45" t="n">
        <v>3</v>
      </c>
      <c r="U45" t="n">
        <v>3</v>
      </c>
      <c r="V45" s="2" t="inlineStr">
        <is>
          <t>Talltita
Blomkålssvamp
Tofsmes</t>
        </is>
      </c>
      <c r="W45">
        <f>HYPERLINK("https://klasma.github.io/Logging_1907/artfynd/A 20535-2026 artfynd.xlsx", "A 20535-2026")</f>
        <v/>
      </c>
      <c r="X45">
        <f>HYPERLINK("https://klasma.github.io/Logging_1907/kartor/A 20535-2026 karta.png", "A 20535-2026")</f>
        <v/>
      </c>
      <c r="Y45">
        <f>HYPERLINK("https://klasma.github.io/Logging_1907/kartor_geotiff/A 20535-2026 georefererad karta.tif", "A 20535-2026")</f>
        <v/>
      </c>
      <c r="AA45">
        <f>HYPERLINK("https://klasma.github.io/Logging_1907/klagomål/A 20535-2026 FSC-klagomål.docx", "A 20535-2026")</f>
        <v/>
      </c>
      <c r="AB45">
        <f>HYPERLINK("https://klasma.github.io/Logging_1907/klagomålsmail/A 20535-2026 FSC-klagomål mail.docx", "A 20535-2026")</f>
        <v/>
      </c>
      <c r="AC45">
        <f>HYPERLINK("https://klasma.github.io/Logging_1907/tillsyn/A 20535-2026 tillsynsbegäran.docx", "A 20535-2026")</f>
        <v/>
      </c>
      <c r="AD45">
        <f>HYPERLINK("https://klasma.github.io/Logging_1907/tillsynsmail/A 20535-2026 tillsynsbegäran mail.docx", "A 20535-2026")</f>
        <v/>
      </c>
      <c r="AE45">
        <f>HYPERLINK("https://klasma.github.io/Logging_1907/fåglar/A 20535-2026 prioriterade fågelarter.docx", "A 20535-2026")</f>
        <v/>
      </c>
    </row>
    <row r="46" ht="15" customHeight="1">
      <c r="A46" t="inlineStr">
        <is>
          <t>A 4082-2025</t>
        </is>
      </c>
      <c r="B46" t="inlineStr">
        <is>
          <t>avverkningsanmälan</t>
        </is>
      </c>
      <c r="C46" t="inlineStr">
        <is>
          <t>Föryngringsavverkning</t>
        </is>
      </c>
      <c r="D46" s="1" t="n">
        <v>45684</v>
      </c>
      <c r="E46" s="1" t="n">
        <v>46314</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69777-2021</t>
        </is>
      </c>
      <c r="B47" t="inlineStr">
        <is>
          <t>avverkningsanmälan</t>
        </is>
      </c>
      <c r="C47" t="inlineStr">
        <is>
          <t>Föryngringsavverkning</t>
        </is>
      </c>
      <c r="D47" s="1" t="n">
        <v>44532</v>
      </c>
      <c r="E47" s="1" t="n">
        <v>46314</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48128-2023</t>
        </is>
      </c>
      <c r="B48" t="inlineStr">
        <is>
          <t>avverkningsanmälan</t>
        </is>
      </c>
      <c r="C48" t="inlineStr">
        <is>
          <t>Föryngringsavverkning</t>
        </is>
      </c>
      <c r="D48" s="1" t="n">
        <v>45205</v>
      </c>
      <c r="E48" s="1" t="n">
        <v>46314</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46314</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32443-2026</t>
        </is>
      </c>
      <c r="B50" t="inlineStr">
        <is>
          <t>avverkningsanmälan</t>
        </is>
      </c>
      <c r="C50" t="inlineStr">
        <is>
          <t>Föryngringsavverkning</t>
        </is>
      </c>
      <c r="D50" s="1" t="n">
        <v>46239</v>
      </c>
      <c r="E50" s="1" t="n">
        <v>46314</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46314</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46314</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46314</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46314</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46314</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46314</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46314</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46314</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46314</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63138-2025</t>
        </is>
      </c>
      <c r="B60" t="inlineStr">
        <is>
          <t>avverkningsanmälan</t>
        </is>
      </c>
      <c r="C60" t="inlineStr">
        <is>
          <t>Föryngringsavverkning</t>
        </is>
      </c>
      <c r="D60" s="1" t="n">
        <v>46009</v>
      </c>
      <c r="E60" s="1" t="n">
        <v>46314</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46314</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46314</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46314</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46314</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41395-2026</t>
        </is>
      </c>
      <c r="B65" t="inlineStr">
        <is>
          <t>avverkningsanmälan</t>
        </is>
      </c>
      <c r="C65" t="inlineStr">
        <is>
          <t>Föryngringsavverkning</t>
        </is>
      </c>
      <c r="D65" s="1" t="n">
        <v>46301</v>
      </c>
      <c r="E65" s="1" t="n">
        <v>46314</v>
      </c>
      <c r="F65" t="inlineStr">
        <is>
          <t>VÄSTMANLANDS LÄN</t>
        </is>
      </c>
      <c r="G65" t="inlineStr">
        <is>
          <t>SURAHAMMAR</t>
        </is>
      </c>
      <c r="I65" t="n">
        <v>1.8</v>
      </c>
      <c r="J65" t="n">
        <v>1</v>
      </c>
      <c r="K65" t="n">
        <v>1</v>
      </c>
      <c r="L65" t="n">
        <v>0</v>
      </c>
      <c r="M65" t="n">
        <v>1</v>
      </c>
      <c r="N65" t="n">
        <v>0</v>
      </c>
      <c r="O65" t="n">
        <v>0</v>
      </c>
      <c r="P65" t="n">
        <v>0</v>
      </c>
      <c r="Q65" t="n">
        <v>1</v>
      </c>
      <c r="R65" t="n">
        <v>1</v>
      </c>
      <c r="S65" t="n">
        <v>2</v>
      </c>
      <c r="T65" t="n">
        <v>3</v>
      </c>
      <c r="U65" t="n">
        <v>0</v>
      </c>
      <c r="V65" s="2" t="inlineStr">
        <is>
          <t>Knärot
Grönpyrola</t>
        </is>
      </c>
      <c r="W65">
        <f>HYPERLINK("https://klasma.github.io/Logging_1907/artfynd/A 41395-2026 artfynd.xlsx", "A 41395-2026")</f>
        <v/>
      </c>
      <c r="X65">
        <f>HYPERLINK("https://klasma.github.io/Logging_1907/kartor/A 41395-2026 karta.png", "A 41395-2026")</f>
        <v/>
      </c>
      <c r="Y65">
        <f>HYPERLINK("https://klasma.github.io/Logging_1907/kartor_geotiff/A 41395-2026 georefererad karta.tif", "A 41395-2026")</f>
        <v/>
      </c>
      <c r="Z65">
        <f>HYPERLINK("https://klasma.github.io/Logging_1907/knärot/A 41395-2026 karta knärot.png", "A 41395-2026")</f>
        <v/>
      </c>
      <c r="AA65">
        <f>HYPERLINK("https://klasma.github.io/Logging_1907/klagomål/A 41395-2026 FSC-klagomål.docx", "A 41395-2026")</f>
        <v/>
      </c>
      <c r="AB65">
        <f>HYPERLINK("https://klasma.github.io/Logging_1907/klagomålsmail/A 41395-2026 FSC-klagomål mail.docx", "A 41395-2026")</f>
        <v/>
      </c>
      <c r="AC65">
        <f>HYPERLINK("https://klasma.github.io/Logging_1907/tillsyn/A 41395-2026 tillsynsbegäran.docx", "A 41395-2026")</f>
        <v/>
      </c>
      <c r="AD65">
        <f>HYPERLINK("https://klasma.github.io/Logging_1907/tillsynsmail/A 41395-2026 tillsynsbegäran mail.docx", "A 41395-2026")</f>
        <v/>
      </c>
    </row>
    <row r="66" ht="15" customHeight="1">
      <c r="A66" t="inlineStr">
        <is>
          <t>A 13788-2025</t>
        </is>
      </c>
      <c r="B66" t="inlineStr">
        <is>
          <t>avverkningsanmälan</t>
        </is>
      </c>
      <c r="C66" t="inlineStr">
        <is>
          <t>Föryngringsavverkning</t>
        </is>
      </c>
      <c r="D66" s="1" t="n">
        <v>45737</v>
      </c>
      <c r="E66" s="1" t="n">
        <v>46314</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36261-2026</t>
        </is>
      </c>
      <c r="B67" t="inlineStr">
        <is>
          <t>avverkningsanmälan</t>
        </is>
      </c>
      <c r="C67" t="inlineStr">
        <is>
          <t>Föryngringsavverkning</t>
        </is>
      </c>
      <c r="D67" s="1" t="n">
        <v>46268</v>
      </c>
      <c r="E67" s="1" t="n">
        <v>46314</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A 37013-2025</t>
        </is>
      </c>
      <c r="B68" t="inlineStr">
        <is>
          <t>avverkningsanmälan</t>
        </is>
      </c>
      <c r="C68" t="inlineStr">
        <is>
          <t>Föryngringsavverkning</t>
        </is>
      </c>
      <c r="D68" s="1" t="n">
        <v>45874</v>
      </c>
      <c r="E68" s="1" t="n">
        <v>46314</v>
      </c>
      <c r="F68" t="inlineStr">
        <is>
          <t>VÄSTMANLANDS LÄN</t>
        </is>
      </c>
      <c r="G68" t="inlineStr">
        <is>
          <t>SURAHAMMAR</t>
        </is>
      </c>
      <c r="H68" t="inlineStr">
        <is>
          <t>Bergvik skog väst AB</t>
        </is>
      </c>
      <c r="I68" t="n">
        <v>10.7</v>
      </c>
      <c r="J68" t="n">
        <v>0</v>
      </c>
      <c r="K68" t="n">
        <v>0</v>
      </c>
      <c r="L68" t="n">
        <v>0</v>
      </c>
      <c r="M68" t="n">
        <v>2</v>
      </c>
      <c r="N68" t="n">
        <v>0</v>
      </c>
      <c r="O68" t="n">
        <v>0</v>
      </c>
      <c r="P68" t="n">
        <v>0</v>
      </c>
      <c r="Q68" t="n">
        <v>2</v>
      </c>
      <c r="R68" t="n">
        <v>2</v>
      </c>
      <c r="S68" t="n">
        <v>2</v>
      </c>
      <c r="T68" t="n">
        <v>2</v>
      </c>
      <c r="U68" t="n">
        <v>0</v>
      </c>
      <c r="V68" s="2" t="inlineStr">
        <is>
          <t>Brunfläckig pärlemorfjäril
Fältgentiana</t>
        </is>
      </c>
      <c r="W68">
        <f>HYPERLINK("https://klasma.github.io/Logging_1907/artfynd/A 37013-2025 artfynd.xlsx", "A 37013-2025")</f>
        <v/>
      </c>
      <c r="X68">
        <f>HYPERLINK("https://klasma.github.io/Logging_1907/kartor/A 37013-2025 karta.png", "A 37013-2025")</f>
        <v/>
      </c>
      <c r="Y68">
        <f>HYPERLINK("https://klasma.github.io/Logging_1907/kartor_geotiff/A 37013-2025 georefererad karta.tif", "A 37013-2025")</f>
        <v/>
      </c>
      <c r="AA68">
        <f>HYPERLINK("https://klasma.github.io/Logging_1907/klagomål/A 37013-2025 FSC-klagomål.docx", "A 37013-2025")</f>
        <v/>
      </c>
      <c r="AB68">
        <f>HYPERLINK("https://klasma.github.io/Logging_1907/klagomålsmail/A 37013-2025 FSC-klagomål mail.docx", "A 37013-2025")</f>
        <v/>
      </c>
      <c r="AC68">
        <f>HYPERLINK("https://klasma.github.io/Logging_1907/tillsyn/A 37013-2025 tillsynsbegäran.docx", "A 37013-2025")</f>
        <v/>
      </c>
      <c r="AD68">
        <f>HYPERLINK("https://klasma.github.io/Logging_1907/tillsynsmail/A 37013-2025 tillsynsbegäran mail.docx", "A 37013-2025")</f>
        <v/>
      </c>
    </row>
    <row r="69" ht="15" customHeight="1">
      <c r="A69" t="inlineStr">
        <is>
          <t>S 703-2025</t>
        </is>
      </c>
      <c r="B69" t="inlineStr">
        <is>
          <t>samrådsanmälan</t>
        </is>
      </c>
      <c r="C69" t="inlineStr">
        <is>
          <t>Skogsgödsling</t>
        </is>
      </c>
      <c r="D69" s="1" t="n">
        <v>45720</v>
      </c>
      <c r="E69" s="1" t="n">
        <v>46314</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46314</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46314</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46314</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46314</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30076-2023</t>
        </is>
      </c>
      <c r="B74" t="inlineStr">
        <is>
          <t>avverkningsanmälan</t>
        </is>
      </c>
      <c r="C74" t="inlineStr">
        <is>
          <t>Föryngringsavverkning</t>
        </is>
      </c>
      <c r="D74" s="1" t="n">
        <v>45110</v>
      </c>
      <c r="E74" s="1" t="n">
        <v>46314</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8553-2023</t>
        </is>
      </c>
      <c r="B75" t="inlineStr">
        <is>
          <t>avverkningsanmälan</t>
        </is>
      </c>
      <c r="C75" t="inlineStr">
        <is>
          <t>Avverkning för att bevara och utveckla /försöksver</t>
        </is>
      </c>
      <c r="D75" s="1" t="n">
        <v>44977</v>
      </c>
      <c r="E75" s="1" t="n">
        <v>46314</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37287-2023</t>
        </is>
      </c>
      <c r="B76" t="inlineStr">
        <is>
          <t>avverkningsanmälan</t>
        </is>
      </c>
      <c r="C76" t="inlineStr">
        <is>
          <t>Föryngringsavverkning</t>
        </is>
      </c>
      <c r="D76" s="1" t="n">
        <v>45156</v>
      </c>
      <c r="E76" s="1" t="n">
        <v>46314</v>
      </c>
      <c r="F76" t="inlineStr">
        <is>
          <t>VÄSTMANLANDS LÄN</t>
        </is>
      </c>
      <c r="G76" t="inlineStr">
        <is>
          <t>SURAHAMMAR</t>
        </is>
      </c>
      <c r="I76" t="n">
        <v>0.6</v>
      </c>
      <c r="J76" t="n">
        <v>0</v>
      </c>
      <c r="K76" t="n">
        <v>0</v>
      </c>
      <c r="L76" t="n">
        <v>1</v>
      </c>
      <c r="M76" t="n">
        <v>0</v>
      </c>
      <c r="N76" t="n">
        <v>0</v>
      </c>
      <c r="O76" t="n">
        <v>0</v>
      </c>
      <c r="P76" t="n">
        <v>0</v>
      </c>
      <c r="Q76" t="n">
        <v>1</v>
      </c>
      <c r="R76" t="n">
        <v>0</v>
      </c>
      <c r="S76" t="n">
        <v>1</v>
      </c>
      <c r="T76" t="n">
        <v>1</v>
      </c>
      <c r="U76" t="n">
        <v>0</v>
      </c>
      <c r="V76" s="2" t="inlineStr">
        <is>
          <t>Mindre tåtelsmygare</t>
        </is>
      </c>
      <c r="W76">
        <f>HYPERLINK("https://klasma.github.io/Logging_1907/artfynd/A 37287-2023 artfynd.xlsx", "A 37287-2023")</f>
        <v/>
      </c>
      <c r="X76">
        <f>HYPERLINK("https://klasma.github.io/Logging_1907/kartor/A 37287-2023 karta.png", "A 37287-2023")</f>
        <v/>
      </c>
      <c r="Y76">
        <f>HYPERLINK("https://klasma.github.io/Logging_1907/kartor_geotiff/A 37287-2023 georefererad karta.tif", "A 37287-2023")</f>
        <v/>
      </c>
      <c r="AA76">
        <f>HYPERLINK("https://klasma.github.io/Logging_1907/klagomål/A 37287-2023 FSC-klagomål.docx", "A 37287-2023")</f>
        <v/>
      </c>
      <c r="AB76">
        <f>HYPERLINK("https://klasma.github.io/Logging_1907/klagomålsmail/A 37287-2023 FSC-klagomål mail.docx", "A 37287-2023")</f>
        <v/>
      </c>
      <c r="AC76">
        <f>HYPERLINK("https://klasma.github.io/Logging_1907/tillsyn/A 37287-2023 tillsynsbegäran.docx", "A 37287-2023")</f>
        <v/>
      </c>
      <c r="AD76">
        <f>HYPERLINK("https://klasma.github.io/Logging_1907/tillsynsmail/A 37287-2023 tillsynsbegäran mail.docx", "A 37287-2023")</f>
        <v/>
      </c>
    </row>
    <row r="77" ht="15" customHeight="1">
      <c r="A77" t="inlineStr">
        <is>
          <t>A 39099-2022</t>
        </is>
      </c>
      <c r="B77" t="inlineStr">
        <is>
          <t>avverkningsanmälan</t>
        </is>
      </c>
      <c r="C77" t="inlineStr">
        <is>
          <t>Föryngringsavverkning</t>
        </is>
      </c>
      <c r="D77" s="1" t="n">
        <v>44817</v>
      </c>
      <c r="E77" s="1" t="n">
        <v>46314</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46314</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46314</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46314</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46314</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46314</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46314</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46314</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46314</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34584-2025</t>
        </is>
      </c>
      <c r="B86" t="inlineStr">
        <is>
          <t>avverkningsanmälan</t>
        </is>
      </c>
      <c r="C86" t="inlineStr">
        <is>
          <t>Föryngringsavverkning</t>
        </is>
      </c>
      <c r="D86" s="1" t="n">
        <v>45846</v>
      </c>
      <c r="E86" s="1" t="n">
        <v>46314</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46314</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46314</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46314</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46314</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46314</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46314</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46314</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46314</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46314</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15637-2022</t>
        </is>
      </c>
      <c r="B96" t="inlineStr">
        <is>
          <t>avverkningsanmälan</t>
        </is>
      </c>
      <c r="C96" t="inlineStr">
        <is>
          <t>Föryngringsavverkning</t>
        </is>
      </c>
      <c r="D96" s="1" t="n">
        <v>44662</v>
      </c>
      <c r="E96" s="1" t="n">
        <v>46314</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46314</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46314</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46314</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46314</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46314</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46314</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46314</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46314</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35682-2022</t>
        </is>
      </c>
      <c r="B105" t="inlineStr">
        <is>
          <t>avverkningsanmälan</t>
        </is>
      </c>
      <c r="C105" t="inlineStr">
        <is>
          <t>Föryngringsavverkning</t>
        </is>
      </c>
      <c r="D105" s="1" t="n">
        <v>44799</v>
      </c>
      <c r="E105" s="1" t="n">
        <v>46314</v>
      </c>
      <c r="F105" t="inlineStr">
        <is>
          <t>VÄSTMANLANDS LÄN</t>
        </is>
      </c>
      <c r="G105" t="inlineStr">
        <is>
          <t>SURAHAMMAR</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11728-2023</t>
        </is>
      </c>
      <c r="B106" t="inlineStr">
        <is>
          <t>avverkningsanmälan</t>
        </is>
      </c>
      <c r="C106" t="inlineStr">
        <is>
          <t>Avverkning för att bevara och utveckla /försöksver</t>
        </is>
      </c>
      <c r="D106" s="1" t="n">
        <v>44993</v>
      </c>
      <c r="E106" s="1" t="n">
        <v>46314</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5567-2022</t>
        </is>
      </c>
      <c r="B107" t="inlineStr">
        <is>
          <t>avverkningsanmälan</t>
        </is>
      </c>
      <c r="C107" t="inlineStr">
        <is>
          <t>Föryngringsavverkning</t>
        </is>
      </c>
      <c r="D107" s="1" t="n">
        <v>44595</v>
      </c>
      <c r="E107" s="1" t="n">
        <v>46314</v>
      </c>
      <c r="F107" t="inlineStr">
        <is>
          <t>VÄSTMANLANDS LÄN</t>
        </is>
      </c>
      <c r="G107" t="inlineStr">
        <is>
          <t>SURAHAMMAR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42832-2022</t>
        </is>
      </c>
      <c r="B108" t="inlineStr">
        <is>
          <t>avverkningsanmälan</t>
        </is>
      </c>
      <c r="C108" t="inlineStr">
        <is>
          <t>Avverkning för annat ändamål</t>
        </is>
      </c>
      <c r="D108" s="1" t="n">
        <v>44832</v>
      </c>
      <c r="E108" s="1" t="n">
        <v>46314</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49058-2024</t>
        </is>
      </c>
      <c r="B109" t="inlineStr">
        <is>
          <t>avverkningsanmälan</t>
        </is>
      </c>
      <c r="C109" t="inlineStr">
        <is>
          <t>Föryngringsavverkning</t>
        </is>
      </c>
      <c r="D109" s="1" t="n">
        <v>45594</v>
      </c>
      <c r="E109" s="1" t="n">
        <v>46314</v>
      </c>
      <c r="F109" t="inlineStr">
        <is>
          <t>VÄSTMANLANDS LÄN</t>
        </is>
      </c>
      <c r="G109" t="inlineStr">
        <is>
          <t>SURAHAMMAR</t>
        </is>
      </c>
      <c r="H109" t="inlineStr">
        <is>
          <t>Sveaskog</t>
        </is>
      </c>
      <c r="I109" t="n">
        <v>11.4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24665-2023</t>
        </is>
      </c>
      <c r="B110" t="inlineStr">
        <is>
          <t>avverkningsanmälan</t>
        </is>
      </c>
      <c r="C110" t="inlineStr">
        <is>
          <t>Föryngringsavverkning</t>
        </is>
      </c>
      <c r="D110" s="1" t="n">
        <v>45084</v>
      </c>
      <c r="E110" s="1" t="n">
        <v>46314</v>
      </c>
      <c r="F110" t="inlineStr">
        <is>
          <t>VÄSTMANLANDS LÄN</t>
        </is>
      </c>
      <c r="G110" t="inlineStr">
        <is>
          <t>SURAHAMMAR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42841-2022</t>
        </is>
      </c>
      <c r="B111" t="inlineStr">
        <is>
          <t>avverkningsanmälan</t>
        </is>
      </c>
      <c r="C111" t="inlineStr">
        <is>
          <t>Avverkning för annat ändamål</t>
        </is>
      </c>
      <c r="D111" s="1" t="n">
        <v>44832</v>
      </c>
      <c r="E111" s="1" t="n">
        <v>46314</v>
      </c>
      <c r="F111" t="inlineStr">
        <is>
          <t>VÄSTMANLANDS LÄN</t>
        </is>
      </c>
      <c r="G111" t="inlineStr">
        <is>
          <t>SURAHAMMAR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46314</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46314</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3085-2023</t>
        </is>
      </c>
      <c r="B114" t="inlineStr">
        <is>
          <t>avverkningsanmälan</t>
        </is>
      </c>
      <c r="C114" t="inlineStr">
        <is>
          <t>Föryngringsavverkning</t>
        </is>
      </c>
      <c r="D114" s="1" t="n">
        <v>44946</v>
      </c>
      <c r="E114" s="1" t="n">
        <v>46314</v>
      </c>
      <c r="F114" t="inlineStr">
        <is>
          <t>VÄSTMANLANDS LÄN</t>
        </is>
      </c>
      <c r="G114" t="inlineStr">
        <is>
          <t>SURAHAMMAR</t>
        </is>
      </c>
      <c r="H114" t="inlineStr">
        <is>
          <t>Kyrkan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55873-2025</t>
        </is>
      </c>
      <c r="B115" t="inlineStr">
        <is>
          <t>avverkningsanmälan</t>
        </is>
      </c>
      <c r="C115" t="inlineStr">
        <is>
          <t>Föryngringsavverkning</t>
        </is>
      </c>
      <c r="D115" s="1" t="n">
        <v>45973</v>
      </c>
      <c r="E115" s="1" t="n">
        <v>46314</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20904-2023</t>
        </is>
      </c>
      <c r="B116" t="inlineStr">
        <is>
          <t>avverkningsanmälan</t>
        </is>
      </c>
      <c r="C116" t="inlineStr">
        <is>
          <t>Avverkning för att bevara och utveckla /försöksver</t>
        </is>
      </c>
      <c r="D116" s="1" t="n">
        <v>45060</v>
      </c>
      <c r="E116" s="1" t="n">
        <v>46314</v>
      </c>
      <c r="F116" t="inlineStr">
        <is>
          <t>VÄSTMANLANDS LÄN</t>
        </is>
      </c>
      <c r="G116" t="inlineStr">
        <is>
          <t>SURAHAMMAR</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2660-2024</t>
        </is>
      </c>
      <c r="B117" t="inlineStr">
        <is>
          <t>avverkningsanmälan</t>
        </is>
      </c>
      <c r="C117" t="inlineStr">
        <is>
          <t>Föryngringsavverkning</t>
        </is>
      </c>
      <c r="D117" s="1" t="n">
        <v>45310</v>
      </c>
      <c r="E117" s="1" t="n">
        <v>46314</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24201-2026</t>
        </is>
      </c>
      <c r="B118" t="inlineStr">
        <is>
          <t>avverkningsanmälan</t>
        </is>
      </c>
      <c r="C118" t="inlineStr">
        <is>
          <t>Föryngringsavverkning</t>
        </is>
      </c>
      <c r="D118" s="1" t="n">
        <v>46168</v>
      </c>
      <c r="E118" s="1" t="n">
        <v>46314</v>
      </c>
      <c r="F118" t="inlineStr">
        <is>
          <t>VÄSTMANLANDS LÄN</t>
        </is>
      </c>
      <c r="G118" t="inlineStr">
        <is>
          <t>SURAHAMMAR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14626-2023</t>
        </is>
      </c>
      <c r="B119" t="inlineStr">
        <is>
          <t>avverkningsanmälan</t>
        </is>
      </c>
      <c r="C119" t="inlineStr">
        <is>
          <t>Föryngringsavverkning</t>
        </is>
      </c>
      <c r="D119" s="1" t="n">
        <v>45012</v>
      </c>
      <c r="E119" s="1" t="n">
        <v>46314</v>
      </c>
      <c r="F119" t="inlineStr">
        <is>
          <t>VÄSTMANLANDS LÄN</t>
        </is>
      </c>
      <c r="G119" t="inlineStr">
        <is>
          <t>SURAHAMMAR</t>
        </is>
      </c>
      <c r="H119" t="inlineStr">
        <is>
          <t>Bergvik skog väst AB</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4724-2026</t>
        </is>
      </c>
      <c r="B120" t="inlineStr">
        <is>
          <t>avverkningsanmälan</t>
        </is>
      </c>
      <c r="C120" t="inlineStr">
        <is>
          <t>Föryngringsavverkning</t>
        </is>
      </c>
      <c r="D120" s="1" t="n">
        <v>46048</v>
      </c>
      <c r="E120" s="1" t="n">
        <v>46314</v>
      </c>
      <c r="F120" t="inlineStr">
        <is>
          <t>VÄSTMANLANDS LÄN</t>
        </is>
      </c>
      <c r="G120" t="inlineStr">
        <is>
          <t>SURAHAMMAR</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4734-2026</t>
        </is>
      </c>
      <c r="B121" t="inlineStr">
        <is>
          <t>avverkningsanmälan</t>
        </is>
      </c>
      <c r="C121" t="inlineStr">
        <is>
          <t>Föryngringsavverkning</t>
        </is>
      </c>
      <c r="D121" s="1" t="n">
        <v>46048</v>
      </c>
      <c r="E121" s="1" t="n">
        <v>46314</v>
      </c>
      <c r="F121" t="inlineStr">
        <is>
          <t>VÄSTMANLANDS LÄN</t>
        </is>
      </c>
      <c r="G121" t="inlineStr">
        <is>
          <t>SURAHAMMAR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46314</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10562-2026</t>
        </is>
      </c>
      <c r="B123" t="inlineStr">
        <is>
          <t>avverkningsanmälan</t>
        </is>
      </c>
      <c r="C123" t="inlineStr">
        <is>
          <t>Föryngringsavverkning</t>
        </is>
      </c>
      <c r="D123" s="1" t="n">
        <v>46077</v>
      </c>
      <c r="E123" s="1" t="n">
        <v>46314</v>
      </c>
      <c r="F123" t="inlineStr">
        <is>
          <t>VÄSTMANLANDS LÄN</t>
        </is>
      </c>
      <c r="G123" t="inlineStr">
        <is>
          <t>SURAHAMMAR</t>
        </is>
      </c>
      <c r="H123" t="inlineStr">
        <is>
          <t>Övriga Aktiebolag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46314</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12841-2026</t>
        </is>
      </c>
      <c r="B125" t="inlineStr">
        <is>
          <t>avverkningsanmälan</t>
        </is>
      </c>
      <c r="C125" t="inlineStr">
        <is>
          <t>Föryngringsavverkning</t>
        </is>
      </c>
      <c r="D125" s="1" t="n">
        <v>46091</v>
      </c>
      <c r="E125" s="1" t="n">
        <v>46314</v>
      </c>
      <c r="F125" t="inlineStr">
        <is>
          <t>VÄSTMANLANDS LÄN</t>
        </is>
      </c>
      <c r="G125" t="inlineStr">
        <is>
          <t>SURAHAMMAR</t>
        </is>
      </c>
      <c r="H125" t="inlineStr">
        <is>
          <t>Bergvik skog väst AB</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19782-2023</t>
        </is>
      </c>
      <c r="B126" t="inlineStr">
        <is>
          <t>avverkningsanmälan</t>
        </is>
      </c>
      <c r="C126" t="inlineStr">
        <is>
          <t>Föryngringsavverkning</t>
        </is>
      </c>
      <c r="D126" s="1" t="n">
        <v>45050</v>
      </c>
      <c r="E126" s="1" t="n">
        <v>46314</v>
      </c>
      <c r="F126" t="inlineStr">
        <is>
          <t>VÄSTMANLANDS LÄN</t>
        </is>
      </c>
      <c r="G126" t="inlineStr">
        <is>
          <t>SURAHAMMAR</t>
        </is>
      </c>
      <c r="H126" t="inlineStr">
        <is>
          <t>Bergvik skog väst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22628-2026</t>
        </is>
      </c>
      <c r="B127" t="inlineStr">
        <is>
          <t>avverkningsanmälan</t>
        </is>
      </c>
      <c r="C127" t="inlineStr">
        <is>
          <t>Föryngringsavverkning</t>
        </is>
      </c>
      <c r="D127" s="1" t="n">
        <v>46155</v>
      </c>
      <c r="E127" s="1" t="n">
        <v>46314</v>
      </c>
      <c r="F127" t="inlineStr">
        <is>
          <t>VÄSTMANLANDS LÄN</t>
        </is>
      </c>
      <c r="G127" t="inlineStr">
        <is>
          <t>SURAHAMMAR</t>
        </is>
      </c>
      <c r="H127" t="inlineStr">
        <is>
          <t>Sveaskog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46314</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19246-2026</t>
        </is>
      </c>
      <c r="B129" t="inlineStr">
        <is>
          <t>avverkningsanmälan</t>
        </is>
      </c>
      <c r="C129" t="inlineStr">
        <is>
          <t>Avverkning för annat ändamål</t>
        </is>
      </c>
      <c r="D129" s="1" t="n">
        <v>46132</v>
      </c>
      <c r="E129" s="1" t="n">
        <v>46314</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56378-2023</t>
        </is>
      </c>
      <c r="B130" t="inlineStr">
        <is>
          <t>avverkningsanmälan</t>
        </is>
      </c>
      <c r="C130" t="inlineStr">
        <is>
          <t>Föryngringsavverkning</t>
        </is>
      </c>
      <c r="D130" s="1" t="n">
        <v>45236</v>
      </c>
      <c r="E130" s="1" t="n">
        <v>46314</v>
      </c>
      <c r="F130" t="inlineStr">
        <is>
          <t>VÄSTMANLANDS LÄN</t>
        </is>
      </c>
      <c r="G130" t="inlineStr">
        <is>
          <t>SURAHAMMAR</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19099-2022</t>
        </is>
      </c>
      <c r="B131" t="inlineStr">
        <is>
          <t>avverkningsanmälan</t>
        </is>
      </c>
      <c r="C131" t="inlineStr">
        <is>
          <t>Föryngringsavverkning</t>
        </is>
      </c>
      <c r="D131" s="1" t="n">
        <v>44691</v>
      </c>
      <c r="E131" s="1" t="n">
        <v>46314</v>
      </c>
      <c r="F131" t="inlineStr">
        <is>
          <t>VÄSTMANLANDS LÄN</t>
        </is>
      </c>
      <c r="G131" t="inlineStr">
        <is>
          <t>SURAHAMMAR</t>
        </is>
      </c>
      <c r="H131" t="inlineStr">
        <is>
          <t>Övriga Aktiebolag</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32808-2024</t>
        </is>
      </c>
      <c r="B132" t="inlineStr">
        <is>
          <t>avverkningsanmälan</t>
        </is>
      </c>
      <c r="C132" t="inlineStr">
        <is>
          <t>Föryngringsavverkning</t>
        </is>
      </c>
      <c r="D132" s="1" t="n">
        <v>45516</v>
      </c>
      <c r="E132" s="1" t="n">
        <v>46314</v>
      </c>
      <c r="F132" t="inlineStr">
        <is>
          <t>VÄSTMANLANDS LÄN</t>
        </is>
      </c>
      <c r="G132" t="inlineStr">
        <is>
          <t>SURAHAMMAR</t>
        </is>
      </c>
      <c r="H132" t="inlineStr">
        <is>
          <t>Övriga Aktiebolag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31061-2026</t>
        </is>
      </c>
      <c r="B133" t="inlineStr">
        <is>
          <t>avverkningsanmälan</t>
        </is>
      </c>
      <c r="C133" t="inlineStr">
        <is>
          <t>Föryngringsavverkning</t>
        </is>
      </c>
      <c r="D133" s="1" t="n">
        <v>46215</v>
      </c>
      <c r="E133" s="1" t="n">
        <v>46314</v>
      </c>
      <c r="F133" t="inlineStr">
        <is>
          <t>VÄSTMANLANDS LÄN</t>
        </is>
      </c>
      <c r="G133" t="inlineStr">
        <is>
          <t>SURAHAMMAR</t>
        </is>
      </c>
      <c r="H133" t="inlineStr">
        <is>
          <t>Sveaskog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3818-2022</t>
        </is>
      </c>
      <c r="B134" t="inlineStr">
        <is>
          <t>avverkningsanmälan</t>
        </is>
      </c>
      <c r="C134" t="inlineStr">
        <is>
          <t>Föryngringsavverkning</t>
        </is>
      </c>
      <c r="D134" s="1" t="n">
        <v>44587</v>
      </c>
      <c r="E134" s="1" t="n">
        <v>46314</v>
      </c>
      <c r="F134" t="inlineStr">
        <is>
          <t>VÄSTMANLANDS LÄN</t>
        </is>
      </c>
      <c r="G134" t="inlineStr">
        <is>
          <t>SURAHAMMAR</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46314</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46314</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21509-2024</t>
        </is>
      </c>
      <c r="B137" t="inlineStr">
        <is>
          <t>avverkningsanmälan</t>
        </is>
      </c>
      <c r="C137" t="inlineStr">
        <is>
          <t>Föryngringsavverkning</t>
        </is>
      </c>
      <c r="D137" s="1" t="n">
        <v>45441</v>
      </c>
      <c r="E137" s="1" t="n">
        <v>46314</v>
      </c>
      <c r="F137" t="inlineStr">
        <is>
          <t>VÄSTMANLANDS LÄN</t>
        </is>
      </c>
      <c r="G137" t="inlineStr">
        <is>
          <t>SURAHAMMAR</t>
        </is>
      </c>
      <c r="H137" t="inlineStr">
        <is>
          <t>Bergvik skog väst AB</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22662-2023</t>
        </is>
      </c>
      <c r="B138" t="inlineStr">
        <is>
          <t>avverkningsanmälan</t>
        </is>
      </c>
      <c r="C138" t="inlineStr">
        <is>
          <t>Avverkning för att bevara och utveckla /försöksver</t>
        </is>
      </c>
      <c r="D138" s="1" t="n">
        <v>45071</v>
      </c>
      <c r="E138" s="1" t="n">
        <v>46314</v>
      </c>
      <c r="F138" t="inlineStr">
        <is>
          <t>VÄSTMANLANDS LÄN</t>
        </is>
      </c>
      <c r="G138" t="inlineStr">
        <is>
          <t>SURAHAMMAR</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46314</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46314</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37954-2025</t>
        </is>
      </c>
      <c r="B141" t="inlineStr">
        <is>
          <t>avverkningsanmälan</t>
        </is>
      </c>
      <c r="C141" t="inlineStr">
        <is>
          <t>Föryngringsavverkning</t>
        </is>
      </c>
      <c r="D141" s="1" t="n">
        <v>45881</v>
      </c>
      <c r="E141" s="1" t="n">
        <v>46314</v>
      </c>
      <c r="F141" t="inlineStr">
        <is>
          <t>VÄSTMANLANDS LÄN</t>
        </is>
      </c>
      <c r="G141" t="inlineStr">
        <is>
          <t>SURAHAMMAR</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46314</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46314</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46314</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46314</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2026-10-19T02:04:46Z</dcterms:created>
  <dcterms:modified xmlns:dcterms="http://purl.org/dc/terms/" xmlns:xsi="http://www.w3.org/2001/XMLSchema-instance" xsi:type="dcterms:W3CDTF">2026-10-19T02:04:46Z</dcterms:modified>
</cp:coreProperties>
</file>