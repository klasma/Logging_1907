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45974</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45974</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45974</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45974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45974</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45974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45974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45974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45974</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45974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45974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45974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45974</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45974</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48891-2023</t>
        </is>
      </c>
      <c r="B28" s="1" t="n">
        <v>45203</v>
      </c>
      <c r="C28" s="1" t="n">
        <v>45974</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59550-2020</t>
        </is>
      </c>
      <c r="B29" s="1" t="n">
        <v>44148</v>
      </c>
      <c r="C29" s="1" t="n">
        <v>45974</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48128-2023</t>
        </is>
      </c>
      <c r="B30" s="1" t="n">
        <v>45205</v>
      </c>
      <c r="C30" s="1" t="n">
        <v>45974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45974</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42860-2022</t>
        </is>
      </c>
      <c r="B32" s="1" t="n">
        <v>44832</v>
      </c>
      <c r="C32" s="1" t="n">
        <v>45974</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45974</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29707-2025</t>
        </is>
      </c>
      <c r="B34" s="1" t="n">
        <v>45825.56100694444</v>
      </c>
      <c r="C34" s="1" t="n">
        <v>45974</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39694-2025</t>
        </is>
      </c>
      <c r="B35" s="1" t="n">
        <v>45890</v>
      </c>
      <c r="C35" s="1" t="n">
        <v>45974</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45974</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20391-2024</t>
        </is>
      </c>
      <c r="B37" s="1" t="n">
        <v>45435</v>
      </c>
      <c r="C37" s="1" t="n">
        <v>45974</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42853-2022</t>
        </is>
      </c>
      <c r="B38" s="1" t="n">
        <v>44832</v>
      </c>
      <c r="C38" s="1" t="n">
        <v>45974</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38200-2021</t>
        </is>
      </c>
      <c r="B39" s="1" t="n">
        <v>44405</v>
      </c>
      <c r="C39" s="1" t="n">
        <v>45974</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45974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62097-2024</t>
        </is>
      </c>
      <c r="B41" s="1" t="n">
        <v>45646</v>
      </c>
      <c r="C41" s="1" t="n">
        <v>45974</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21618-2025</t>
        </is>
      </c>
      <c r="B42" s="1" t="n">
        <v>45783</v>
      </c>
      <c r="C42" s="1" t="n">
        <v>45974</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40403-2025</t>
        </is>
      </c>
      <c r="B43" s="1" t="n">
        <v>45895</v>
      </c>
      <c r="C43" s="1" t="n">
        <v>45974</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37800-2021</t>
        </is>
      </c>
      <c r="B44" s="1" t="n">
        <v>44402</v>
      </c>
      <c r="C44" s="1" t="n">
        <v>45974</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4082-2025</t>
        </is>
      </c>
      <c r="B45" s="1" t="n">
        <v>45684</v>
      </c>
      <c r="C45" s="1" t="n">
        <v>45974</v>
      </c>
      <c r="D45" t="inlineStr">
        <is>
          <t>VÄSTMANLANDS LÄN</t>
        </is>
      </c>
      <c r="E45" t="inlineStr">
        <is>
          <t>SURAHAMMAR</t>
        </is>
      </c>
      <c r="F45" t="inlineStr">
        <is>
          <t>Bergvik skog väst AB</t>
        </is>
      </c>
      <c r="G45" t="n">
        <v>11.6</v>
      </c>
      <c r="H45" t="n">
        <v>1</v>
      </c>
      <c r="I45" t="n">
        <v>2</v>
      </c>
      <c r="J45" t="n">
        <v>0</v>
      </c>
      <c r="K45" t="n">
        <v>0</v>
      </c>
      <c r="L45" t="n">
        <v>0</v>
      </c>
      <c r="M45" t="n">
        <v>0</v>
      </c>
      <c r="N45" t="n">
        <v>0</v>
      </c>
      <c r="O45" t="n">
        <v>0</v>
      </c>
      <c r="P45" t="n">
        <v>0</v>
      </c>
      <c r="Q45" t="n">
        <v>2</v>
      </c>
      <c r="R45" s="2" t="inlineStr">
        <is>
          <t>Grönpyrola
Plattlummer</t>
        </is>
      </c>
      <c r="S45">
        <f>HYPERLINK("https://klasma.github.io/Logging_1907/artfynd/A 4082-2025 artfynd.xlsx", "A 4082-2025")</f>
        <v/>
      </c>
      <c r="T45">
        <f>HYPERLINK("https://klasma.github.io/Logging_1907/kartor/A 4082-2025 karta.png", "A 4082-2025")</f>
        <v/>
      </c>
      <c r="V45">
        <f>HYPERLINK("https://klasma.github.io/Logging_1907/klagomål/A 4082-2025 FSC-klagomål.docx", "A 4082-2025")</f>
        <v/>
      </c>
      <c r="W45">
        <f>HYPERLINK("https://klasma.github.io/Logging_1907/klagomålsmail/A 4082-2025 FSC-klagomål mail.docx", "A 4082-2025")</f>
        <v/>
      </c>
      <c r="X45">
        <f>HYPERLINK("https://klasma.github.io/Logging_1907/tillsyn/A 4082-2025 tillsynsbegäran.docx", "A 4082-2025")</f>
        <v/>
      </c>
      <c r="Y45">
        <f>HYPERLINK("https://klasma.github.io/Logging_1907/tillsynsmail/A 4082-2025 tillsynsbegäran mail.docx", "A 4082-2025")</f>
        <v/>
      </c>
    </row>
    <row r="46" ht="15" customHeight="1">
      <c r="A46" t="inlineStr">
        <is>
          <t>A 41204-2023</t>
        </is>
      </c>
      <c r="B46" s="1" t="n">
        <v>45174</v>
      </c>
      <c r="C46" s="1" t="n">
        <v>45974</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38170-2021</t>
        </is>
      </c>
      <c r="B47" s="1" t="n">
        <v>44405.43472222222</v>
      </c>
      <c r="C47" s="1" t="n">
        <v>45974</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18717-2021</t>
        </is>
      </c>
      <c r="B48" s="1" t="n">
        <v>44306</v>
      </c>
      <c r="C48" s="1" t="n">
        <v>45974</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45974</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45974</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25583-2024</t>
        </is>
      </c>
      <c r="B51" s="1" t="n">
        <v>45463</v>
      </c>
      <c r="C51" s="1" t="n">
        <v>45974</v>
      </c>
      <c r="D51" t="inlineStr">
        <is>
          <t>VÄSTMANLANDS LÄN</t>
        </is>
      </c>
      <c r="E51" t="inlineStr">
        <is>
          <t>SURAHAMMAR</t>
        </is>
      </c>
      <c r="F51" t="inlineStr">
        <is>
          <t>Bergvik skog väst AB</t>
        </is>
      </c>
      <c r="G51" t="n">
        <v>7.8</v>
      </c>
      <c r="H51" t="n">
        <v>1</v>
      </c>
      <c r="I51" t="n">
        <v>0</v>
      </c>
      <c r="J51" t="n">
        <v>0</v>
      </c>
      <c r="K51" t="n">
        <v>0</v>
      </c>
      <c r="L51" t="n">
        <v>0</v>
      </c>
      <c r="M51" t="n">
        <v>0</v>
      </c>
      <c r="N51" t="n">
        <v>0</v>
      </c>
      <c r="O51" t="n">
        <v>0</v>
      </c>
      <c r="P51" t="n">
        <v>0</v>
      </c>
      <c r="Q51" t="n">
        <v>1</v>
      </c>
      <c r="R51" s="2" t="inlineStr">
        <is>
          <t>Blåsippa</t>
        </is>
      </c>
      <c r="S51">
        <f>HYPERLINK("https://klasma.github.io/Logging_1907/artfynd/A 25583-2024 artfynd.xlsx", "A 25583-2024")</f>
        <v/>
      </c>
      <c r="T51">
        <f>HYPERLINK("https://klasma.github.io/Logging_1907/kartor/A 25583-2024 karta.png", "A 25583-2024")</f>
        <v/>
      </c>
      <c r="V51">
        <f>HYPERLINK("https://klasma.github.io/Logging_1907/klagomål/A 25583-2024 FSC-klagomål.docx", "A 25583-2024")</f>
        <v/>
      </c>
      <c r="W51">
        <f>HYPERLINK("https://klasma.github.io/Logging_1907/klagomålsmail/A 25583-2024 FSC-klagomål mail.docx", "A 25583-2024")</f>
        <v/>
      </c>
      <c r="X51">
        <f>HYPERLINK("https://klasma.github.io/Logging_1907/tillsyn/A 25583-2024 tillsynsbegäran.docx", "A 25583-2024")</f>
        <v/>
      </c>
      <c r="Y51">
        <f>HYPERLINK("https://klasma.github.io/Logging_1907/tillsynsmail/A 25583-2024 tillsynsbegäran mail.docx", "A 25583-2024")</f>
        <v/>
      </c>
    </row>
    <row r="52" ht="15" customHeight="1">
      <c r="A52" t="inlineStr">
        <is>
          <t>A 14001-2023</t>
        </is>
      </c>
      <c r="B52" s="1" t="n">
        <v>45007</v>
      </c>
      <c r="C52" s="1" t="n">
        <v>45974</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43451-2024</t>
        </is>
      </c>
      <c r="B53" s="1" t="n">
        <v>45568</v>
      </c>
      <c r="C53" s="1" t="n">
        <v>45974</v>
      </c>
      <c r="D53" t="inlineStr">
        <is>
          <t>VÄSTMANLANDS LÄN</t>
        </is>
      </c>
      <c r="E53" t="inlineStr">
        <is>
          <t>SURAHAMMAR</t>
        </is>
      </c>
      <c r="F53" t="inlineStr">
        <is>
          <t>Bergvik skog väst AB</t>
        </is>
      </c>
      <c r="G53" t="n">
        <v>2.9</v>
      </c>
      <c r="H53" t="n">
        <v>0</v>
      </c>
      <c r="I53" t="n">
        <v>0</v>
      </c>
      <c r="J53" t="n">
        <v>1</v>
      </c>
      <c r="K53" t="n">
        <v>0</v>
      </c>
      <c r="L53" t="n">
        <v>0</v>
      </c>
      <c r="M53" t="n">
        <v>0</v>
      </c>
      <c r="N53" t="n">
        <v>0</v>
      </c>
      <c r="O53" t="n">
        <v>1</v>
      </c>
      <c r="P53" t="n">
        <v>0</v>
      </c>
      <c r="Q53" t="n">
        <v>1</v>
      </c>
      <c r="R53" s="2" t="inlineStr">
        <is>
          <t>Ullticka</t>
        </is>
      </c>
      <c r="S53">
        <f>HYPERLINK("https://klasma.github.io/Logging_1907/artfynd/A 43451-2024 artfynd.xlsx", "A 43451-2024")</f>
        <v/>
      </c>
      <c r="T53">
        <f>HYPERLINK("https://klasma.github.io/Logging_1907/kartor/A 43451-2024 karta.png", "A 43451-2024")</f>
        <v/>
      </c>
      <c r="V53">
        <f>HYPERLINK("https://klasma.github.io/Logging_1907/klagomål/A 43451-2024 FSC-klagomål.docx", "A 43451-2024")</f>
        <v/>
      </c>
      <c r="W53">
        <f>HYPERLINK("https://klasma.github.io/Logging_1907/klagomålsmail/A 43451-2024 FSC-klagomål mail.docx", "A 43451-2024")</f>
        <v/>
      </c>
      <c r="X53">
        <f>HYPERLINK("https://klasma.github.io/Logging_1907/tillsyn/A 43451-2024 tillsynsbegäran.docx", "A 43451-2024")</f>
        <v/>
      </c>
      <c r="Y53">
        <f>HYPERLINK("https://klasma.github.io/Logging_1907/tillsynsmail/A 43451-2024 tillsynsbegäran mail.docx", "A 43451-2024")</f>
        <v/>
      </c>
    </row>
    <row r="54" ht="15" customHeight="1">
      <c r="A54" t="inlineStr">
        <is>
          <t>A 30074-2023</t>
        </is>
      </c>
      <c r="B54" s="1" t="n">
        <v>45110</v>
      </c>
      <c r="C54" s="1" t="n">
        <v>45974</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39099-2022</t>
        </is>
      </c>
      <c r="B55" s="1" t="n">
        <v>44817</v>
      </c>
      <c r="C55" s="1" t="n">
        <v>45974</v>
      </c>
      <c r="D55" t="inlineStr">
        <is>
          <t>VÄSTMANLANDS LÄN</t>
        </is>
      </c>
      <c r="E55" t="inlineStr">
        <is>
          <t>SURAHAMMAR</t>
        </is>
      </c>
      <c r="F55" t="inlineStr">
        <is>
          <t>Bergvik skog väst AB</t>
        </is>
      </c>
      <c r="G55" t="n">
        <v>7.4</v>
      </c>
      <c r="H55" t="n">
        <v>0</v>
      </c>
      <c r="I55" t="n">
        <v>1</v>
      </c>
      <c r="J55" t="n">
        <v>0</v>
      </c>
      <c r="K55" t="n">
        <v>0</v>
      </c>
      <c r="L55" t="n">
        <v>0</v>
      </c>
      <c r="M55" t="n">
        <v>0</v>
      </c>
      <c r="N55" t="n">
        <v>0</v>
      </c>
      <c r="O55" t="n">
        <v>0</v>
      </c>
      <c r="P55" t="n">
        <v>0</v>
      </c>
      <c r="Q55" t="n">
        <v>1</v>
      </c>
      <c r="R55" s="2" t="inlineStr">
        <is>
          <t>Stekelbock</t>
        </is>
      </c>
      <c r="S55">
        <f>HYPERLINK("https://klasma.github.io/Logging_1907/artfynd/A 39099-2022 artfynd.xlsx", "A 39099-2022")</f>
        <v/>
      </c>
      <c r="T55">
        <f>HYPERLINK("https://klasma.github.io/Logging_1907/kartor/A 39099-2022 karta.png", "A 39099-2022")</f>
        <v/>
      </c>
      <c r="V55">
        <f>HYPERLINK("https://klasma.github.io/Logging_1907/klagomål/A 39099-2022 FSC-klagomål.docx", "A 39099-2022")</f>
        <v/>
      </c>
      <c r="W55">
        <f>HYPERLINK("https://klasma.github.io/Logging_1907/klagomålsmail/A 39099-2022 FSC-klagomål mail.docx", "A 39099-2022")</f>
        <v/>
      </c>
      <c r="X55">
        <f>HYPERLINK("https://klasma.github.io/Logging_1907/tillsyn/A 39099-2022 tillsynsbegäran.docx", "A 39099-2022")</f>
        <v/>
      </c>
      <c r="Y55">
        <f>HYPERLINK("https://klasma.github.io/Logging_1907/tillsynsmail/A 39099-2022 tillsynsbegäran mail.docx", "A 39099-2022")</f>
        <v/>
      </c>
    </row>
    <row r="56" ht="15" customHeight="1">
      <c r="A56" t="inlineStr">
        <is>
          <t>A 40411-2021</t>
        </is>
      </c>
      <c r="B56" s="1" t="n">
        <v>44419</v>
      </c>
      <c r="C56" s="1" t="n">
        <v>45974</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42765-2022</t>
        </is>
      </c>
      <c r="B57" s="1" t="n">
        <v>44832</v>
      </c>
      <c r="C57" s="1" t="n">
        <v>45974</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10819-2024</t>
        </is>
      </c>
      <c r="B58" s="1" t="n">
        <v>45369.66049768519</v>
      </c>
      <c r="C58" s="1" t="n">
        <v>45974</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13788-2025</t>
        </is>
      </c>
      <c r="B59" s="1" t="n">
        <v>45737.45327546296</v>
      </c>
      <c r="C59" s="1" t="n">
        <v>45974</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56362-2023</t>
        </is>
      </c>
      <c r="B60" s="1" t="n">
        <v>45236</v>
      </c>
      <c r="C60" s="1" t="n">
        <v>45974</v>
      </c>
      <c r="D60" t="inlineStr">
        <is>
          <t>VÄSTMANLANDS LÄN</t>
        </is>
      </c>
      <c r="E60" t="inlineStr">
        <is>
          <t>SURAHAMMAR</t>
        </is>
      </c>
      <c r="F60" t="inlineStr">
        <is>
          <t>Bergvik skog väst AB</t>
        </is>
      </c>
      <c r="G60" t="n">
        <v>15.2</v>
      </c>
      <c r="H60" t="n">
        <v>0</v>
      </c>
      <c r="I60" t="n">
        <v>1</v>
      </c>
      <c r="J60" t="n">
        <v>0</v>
      </c>
      <c r="K60" t="n">
        <v>0</v>
      </c>
      <c r="L60" t="n">
        <v>0</v>
      </c>
      <c r="M60" t="n">
        <v>0</v>
      </c>
      <c r="N60" t="n">
        <v>0</v>
      </c>
      <c r="O60" t="n">
        <v>0</v>
      </c>
      <c r="P60" t="n">
        <v>0</v>
      </c>
      <c r="Q60" t="n">
        <v>1</v>
      </c>
      <c r="R60" s="2" t="inlineStr">
        <is>
          <t>Grönpyrola</t>
        </is>
      </c>
      <c r="S60">
        <f>HYPERLINK("https://klasma.github.io/Logging_1907/artfynd/A 56362-2023 artfynd.xlsx", "A 56362-2023")</f>
        <v/>
      </c>
      <c r="T60">
        <f>HYPERLINK("https://klasma.github.io/Logging_1907/kartor/A 56362-2023 karta.png", "A 56362-2023")</f>
        <v/>
      </c>
      <c r="V60">
        <f>HYPERLINK("https://klasma.github.io/Logging_1907/klagomål/A 56362-2023 FSC-klagomål.docx", "A 56362-2023")</f>
        <v/>
      </c>
      <c r="W60">
        <f>HYPERLINK("https://klasma.github.io/Logging_1907/klagomålsmail/A 56362-2023 FSC-klagomål mail.docx", "A 56362-2023")</f>
        <v/>
      </c>
      <c r="X60">
        <f>HYPERLINK("https://klasma.github.io/Logging_1907/tillsyn/A 56362-2023 tillsynsbegäran.docx", "A 56362-2023")</f>
        <v/>
      </c>
      <c r="Y60">
        <f>HYPERLINK("https://klasma.github.io/Logging_1907/tillsynsmail/A 56362-2023 tillsynsbegäran mail.docx", "A 56362-2023")</f>
        <v/>
      </c>
    </row>
    <row r="61" ht="15" customHeight="1">
      <c r="A61" t="inlineStr">
        <is>
          <t>A 47453-2024</t>
        </is>
      </c>
      <c r="B61" s="1" t="n">
        <v>45587.55017361111</v>
      </c>
      <c r="C61" s="1" t="n">
        <v>45974</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13971-2023</t>
        </is>
      </c>
      <c r="B62" s="1" t="n">
        <v>45007</v>
      </c>
      <c r="C62" s="1" t="n">
        <v>45974</v>
      </c>
      <c r="D62" t="inlineStr">
        <is>
          <t>VÄSTMANLANDS LÄN</t>
        </is>
      </c>
      <c r="E62" t="inlineStr">
        <is>
          <t>SURAHAMMAR</t>
        </is>
      </c>
      <c r="F62" t="inlineStr">
        <is>
          <t>Bergvik skog väst AB</t>
        </is>
      </c>
      <c r="G62" t="n">
        <v>2.9</v>
      </c>
      <c r="H62" t="n">
        <v>1</v>
      </c>
      <c r="I62" t="n">
        <v>0</v>
      </c>
      <c r="J62" t="n">
        <v>0</v>
      </c>
      <c r="K62" t="n">
        <v>0</v>
      </c>
      <c r="L62" t="n">
        <v>0</v>
      </c>
      <c r="M62" t="n">
        <v>0</v>
      </c>
      <c r="N62" t="n">
        <v>0</v>
      </c>
      <c r="O62" t="n">
        <v>0</v>
      </c>
      <c r="P62" t="n">
        <v>0</v>
      </c>
      <c r="Q62" t="n">
        <v>1</v>
      </c>
      <c r="R62" s="2" t="inlineStr">
        <is>
          <t>Fläcknycklar</t>
        </is>
      </c>
      <c r="S62">
        <f>HYPERLINK("https://klasma.github.io/Logging_1907/artfynd/A 13971-2023 artfynd.xlsx", "A 13971-2023")</f>
        <v/>
      </c>
      <c r="T62">
        <f>HYPERLINK("https://klasma.github.io/Logging_1907/kartor/A 13971-2023 karta.png", "A 13971-2023")</f>
        <v/>
      </c>
      <c r="V62">
        <f>HYPERLINK("https://klasma.github.io/Logging_1907/klagomål/A 13971-2023 FSC-klagomål.docx", "A 13971-2023")</f>
        <v/>
      </c>
      <c r="W62">
        <f>HYPERLINK("https://klasma.github.io/Logging_1907/klagomålsmail/A 13971-2023 FSC-klagomål mail.docx", "A 13971-2023")</f>
        <v/>
      </c>
      <c r="X62">
        <f>HYPERLINK("https://klasma.github.io/Logging_1907/tillsyn/A 13971-2023 tillsynsbegäran.docx", "A 13971-2023")</f>
        <v/>
      </c>
      <c r="Y62">
        <f>HYPERLINK("https://klasma.github.io/Logging_1907/tillsynsmail/A 13971-2023 tillsynsbegäran mail.docx", "A 13971-2023")</f>
        <v/>
      </c>
    </row>
    <row r="63" ht="15" customHeight="1">
      <c r="A63" t="inlineStr">
        <is>
          <t>A 69777-2021</t>
        </is>
      </c>
      <c r="B63" s="1" t="n">
        <v>44532</v>
      </c>
      <c r="C63" s="1" t="n">
        <v>45974</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31176-2024</t>
        </is>
      </c>
      <c r="B64" s="1" t="n">
        <v>45503</v>
      </c>
      <c r="C64" s="1" t="n">
        <v>45974</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17632-2022</t>
        </is>
      </c>
      <c r="B65" s="1" t="n">
        <v>44680</v>
      </c>
      <c r="C65" s="1" t="n">
        <v>45974</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42089-2025</t>
        </is>
      </c>
      <c r="B66" s="1" t="n">
        <v>45902</v>
      </c>
      <c r="C66" s="1" t="n">
        <v>45974</v>
      </c>
      <c r="D66" t="inlineStr">
        <is>
          <t>VÄSTMANLANDS LÄN</t>
        </is>
      </c>
      <c r="E66" t="inlineStr">
        <is>
          <t>SURAHAMMAR</t>
        </is>
      </c>
      <c r="G66" t="n">
        <v>2.2</v>
      </c>
      <c r="H66" t="n">
        <v>0</v>
      </c>
      <c r="I66" t="n">
        <v>0</v>
      </c>
      <c r="J66" t="n">
        <v>1</v>
      </c>
      <c r="K66" t="n">
        <v>0</v>
      </c>
      <c r="L66" t="n">
        <v>0</v>
      </c>
      <c r="M66" t="n">
        <v>0</v>
      </c>
      <c r="N66" t="n">
        <v>0</v>
      </c>
      <c r="O66" t="n">
        <v>1</v>
      </c>
      <c r="P66" t="n">
        <v>0</v>
      </c>
      <c r="Q66" t="n">
        <v>1</v>
      </c>
      <c r="R66" s="2" t="inlineStr">
        <is>
          <t>Motaggsvamp</t>
        </is>
      </c>
      <c r="S66">
        <f>HYPERLINK("https://klasma.github.io/Logging_1907/artfynd/A 42089-2025 artfynd.xlsx", "A 42089-2025")</f>
        <v/>
      </c>
      <c r="T66">
        <f>HYPERLINK("https://klasma.github.io/Logging_1907/kartor/A 42089-2025 karta.png", "A 42089-2025")</f>
        <v/>
      </c>
      <c r="V66">
        <f>HYPERLINK("https://klasma.github.io/Logging_1907/klagomål/A 42089-2025 FSC-klagomål.docx", "A 42089-2025")</f>
        <v/>
      </c>
      <c r="W66">
        <f>HYPERLINK("https://klasma.github.io/Logging_1907/klagomålsmail/A 42089-2025 FSC-klagomål mail.docx", "A 42089-2025")</f>
        <v/>
      </c>
      <c r="X66">
        <f>HYPERLINK("https://klasma.github.io/Logging_1907/tillsyn/A 42089-2025 tillsynsbegäran.docx", "A 42089-2025")</f>
        <v/>
      </c>
      <c r="Y66">
        <f>HYPERLINK("https://klasma.github.io/Logging_1907/tillsynsmail/A 42089-2025 tillsynsbegäran mail.docx", "A 42089-2025")</f>
        <v/>
      </c>
    </row>
    <row r="67" ht="15" customHeight="1">
      <c r="A67" t="inlineStr">
        <is>
          <t>A 44356-2024</t>
        </is>
      </c>
      <c r="B67" s="1" t="n">
        <v>45573</v>
      </c>
      <c r="C67" s="1" t="n">
        <v>45974</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45974</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45974</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1492-2021</t>
        </is>
      </c>
      <c r="B70" s="1" t="n">
        <v>44209</v>
      </c>
      <c r="C70" s="1" t="n">
        <v>45974</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45974</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45974</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45974</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45974</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45974</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3595-2022</t>
        </is>
      </c>
      <c r="B77" s="1" t="n">
        <v>44586</v>
      </c>
      <c r="C77" s="1" t="n">
        <v>45974</v>
      </c>
      <c r="D77" t="inlineStr">
        <is>
          <t>VÄSTMANLANDS LÄN</t>
        </is>
      </c>
      <c r="E77" t="inlineStr">
        <is>
          <t>SURAHAMMAR</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19637-2022</t>
        </is>
      </c>
      <c r="B78" s="1" t="n">
        <v>44694</v>
      </c>
      <c r="C78" s="1" t="n">
        <v>45974</v>
      </c>
      <c r="D78" t="inlineStr">
        <is>
          <t>VÄSTMANLANDS LÄN</t>
        </is>
      </c>
      <c r="E78" t="inlineStr">
        <is>
          <t>SURAHAMMAR</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45974</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3155-2022</t>
        </is>
      </c>
      <c r="B80" s="1" t="n">
        <v>44582</v>
      </c>
      <c r="C80" s="1" t="n">
        <v>45974</v>
      </c>
      <c r="D80" t="inlineStr">
        <is>
          <t>VÄSTMANLANDS LÄN</t>
        </is>
      </c>
      <c r="E80" t="inlineStr">
        <is>
          <t>SURAHAMMAR</t>
        </is>
      </c>
      <c r="G80" t="n">
        <v>5.5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45974</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45974</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45974</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45974</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45974</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45974</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45974</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41576-2022</t>
        </is>
      </c>
      <c r="B88" s="1" t="n">
        <v>44826</v>
      </c>
      <c r="C88" s="1" t="n">
        <v>45974</v>
      </c>
      <c r="D88" t="inlineStr">
        <is>
          <t>VÄSTMANLANDS LÄN</t>
        </is>
      </c>
      <c r="E88" t="inlineStr">
        <is>
          <t>SURAHAMMAR</t>
        </is>
      </c>
      <c r="F88" t="inlineStr">
        <is>
          <t>Bergvik skog väst AB</t>
        </is>
      </c>
      <c r="G88" t="n">
        <v>6.4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45974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7848-2022</t>
        </is>
      </c>
      <c r="B90" s="1" t="n">
        <v>44608.58400462963</v>
      </c>
      <c r="C90" s="1" t="n">
        <v>45974</v>
      </c>
      <c r="D90" t="inlineStr">
        <is>
          <t>VÄSTMANLANDS LÄN</t>
        </is>
      </c>
      <c r="E90" t="inlineStr">
        <is>
          <t>SURAHAMMAR</t>
        </is>
      </c>
      <c r="G90" t="n">
        <v>2.1</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45974</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24167-2024</t>
        </is>
      </c>
      <c r="B92" s="1" t="n">
        <v>45456</v>
      </c>
      <c r="C92" s="1" t="n">
        <v>45974</v>
      </c>
      <c r="D92" t="inlineStr">
        <is>
          <t>VÄSTMANLANDS LÄN</t>
        </is>
      </c>
      <c r="E92" t="inlineStr">
        <is>
          <t>SURAHAMMAR</t>
        </is>
      </c>
      <c r="G92" t="n">
        <v>0.6</v>
      </c>
      <c r="H92" t="n">
        <v>0</v>
      </c>
      <c r="I92" t="n">
        <v>0</v>
      </c>
      <c r="J92" t="n">
        <v>0</v>
      </c>
      <c r="K92" t="n">
        <v>0</v>
      </c>
      <c r="L92" t="n">
        <v>0</v>
      </c>
      <c r="M92" t="n">
        <v>0</v>
      </c>
      <c r="N92" t="n">
        <v>0</v>
      </c>
      <c r="O92" t="n">
        <v>0</v>
      </c>
      <c r="P92" t="n">
        <v>0</v>
      </c>
      <c r="Q92" t="n">
        <v>0</v>
      </c>
      <c r="R92" s="2" t="inlineStr"/>
    </row>
    <row r="93" ht="15" customHeight="1">
      <c r="A93" t="inlineStr">
        <is>
          <t>A 56378-2023</t>
        </is>
      </c>
      <c r="B93" s="1" t="n">
        <v>45236</v>
      </c>
      <c r="C93" s="1" t="n">
        <v>45974</v>
      </c>
      <c r="D93" t="inlineStr">
        <is>
          <t>VÄSTMANLANDS LÄN</t>
        </is>
      </c>
      <c r="E93" t="inlineStr">
        <is>
          <t>SURAHAMMAR</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19099-2022</t>
        </is>
      </c>
      <c r="B94" s="1" t="n">
        <v>44691</v>
      </c>
      <c r="C94" s="1" t="n">
        <v>45974</v>
      </c>
      <c r="D94" t="inlineStr">
        <is>
          <t>VÄSTMANLANDS LÄN</t>
        </is>
      </c>
      <c r="E94" t="inlineStr">
        <is>
          <t>SURAHAMMAR</t>
        </is>
      </c>
      <c r="F94" t="inlineStr">
        <is>
          <t>Övriga Aktiebolag</t>
        </is>
      </c>
      <c r="G94" t="n">
        <v>3.4</v>
      </c>
      <c r="H94" t="n">
        <v>0</v>
      </c>
      <c r="I94" t="n">
        <v>0</v>
      </c>
      <c r="J94" t="n">
        <v>0</v>
      </c>
      <c r="K94" t="n">
        <v>0</v>
      </c>
      <c r="L94" t="n">
        <v>0</v>
      </c>
      <c r="M94" t="n">
        <v>0</v>
      </c>
      <c r="N94" t="n">
        <v>0</v>
      </c>
      <c r="O94" t="n">
        <v>0</v>
      </c>
      <c r="P94" t="n">
        <v>0</v>
      </c>
      <c r="Q94" t="n">
        <v>0</v>
      </c>
      <c r="R94" s="2" t="inlineStr"/>
    </row>
    <row r="95" ht="15" customHeight="1">
      <c r="A95" t="inlineStr">
        <is>
          <t>A 34957-2022</t>
        </is>
      </c>
      <c r="B95" s="1" t="n">
        <v>44796.64672453704</v>
      </c>
      <c r="C95" s="1" t="n">
        <v>45974</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11501-2023</t>
        </is>
      </c>
      <c r="B96" s="1" t="n">
        <v>44991</v>
      </c>
      <c r="C96" s="1" t="n">
        <v>45974</v>
      </c>
      <c r="D96" t="inlineStr">
        <is>
          <t>VÄSTMANLANDS LÄN</t>
        </is>
      </c>
      <c r="E96" t="inlineStr">
        <is>
          <t>SURAHAMMAR</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25780-2023</t>
        </is>
      </c>
      <c r="B97" s="1" t="n">
        <v>45090.47523148148</v>
      </c>
      <c r="C97" s="1" t="n">
        <v>45974</v>
      </c>
      <c r="D97" t="inlineStr">
        <is>
          <t>VÄSTMANLANDS LÄN</t>
        </is>
      </c>
      <c r="E97" t="inlineStr">
        <is>
          <t>SURAHAMMAR</t>
        </is>
      </c>
      <c r="G97" t="n">
        <v>2.8</v>
      </c>
      <c r="H97" t="n">
        <v>0</v>
      </c>
      <c r="I97" t="n">
        <v>0</v>
      </c>
      <c r="J97" t="n">
        <v>0</v>
      </c>
      <c r="K97" t="n">
        <v>0</v>
      </c>
      <c r="L97" t="n">
        <v>0</v>
      </c>
      <c r="M97" t="n">
        <v>0</v>
      </c>
      <c r="N97" t="n">
        <v>0</v>
      </c>
      <c r="O97" t="n">
        <v>0</v>
      </c>
      <c r="P97" t="n">
        <v>0</v>
      </c>
      <c r="Q97" t="n">
        <v>0</v>
      </c>
      <c r="R97" s="2" t="inlineStr"/>
    </row>
    <row r="98" ht="15" customHeight="1">
      <c r="A98" t="inlineStr">
        <is>
          <t>A 72367-2021</t>
        </is>
      </c>
      <c r="B98" s="1" t="n">
        <v>44545</v>
      </c>
      <c r="C98" s="1" t="n">
        <v>45974</v>
      </c>
      <c r="D98" t="inlineStr">
        <is>
          <t>VÄSTMANLANDS LÄN</t>
        </is>
      </c>
      <c r="E98" t="inlineStr">
        <is>
          <t>SURAHAMMAR</t>
        </is>
      </c>
      <c r="G98" t="n">
        <v>2.5</v>
      </c>
      <c r="H98" t="n">
        <v>0</v>
      </c>
      <c r="I98" t="n">
        <v>0</v>
      </c>
      <c r="J98" t="n">
        <v>0</v>
      </c>
      <c r="K98" t="n">
        <v>0</v>
      </c>
      <c r="L98" t="n">
        <v>0</v>
      </c>
      <c r="M98" t="n">
        <v>0</v>
      </c>
      <c r="N98" t="n">
        <v>0</v>
      </c>
      <c r="O98" t="n">
        <v>0</v>
      </c>
      <c r="P98" t="n">
        <v>0</v>
      </c>
      <c r="Q98" t="n">
        <v>0</v>
      </c>
      <c r="R98" s="2" t="inlineStr"/>
    </row>
    <row r="99" ht="15" customHeight="1">
      <c r="A99" t="inlineStr">
        <is>
          <t>A 3818-2022</t>
        </is>
      </c>
      <c r="B99" s="1" t="n">
        <v>44587</v>
      </c>
      <c r="C99" s="1" t="n">
        <v>45974</v>
      </c>
      <c r="D99" t="inlineStr">
        <is>
          <t>VÄSTMANLANDS LÄN</t>
        </is>
      </c>
      <c r="E99" t="inlineStr">
        <is>
          <t>SURAHAMMAR</t>
        </is>
      </c>
      <c r="G99" t="n">
        <v>2.6</v>
      </c>
      <c r="H99" t="n">
        <v>0</v>
      </c>
      <c r="I99" t="n">
        <v>0</v>
      </c>
      <c r="J99" t="n">
        <v>0</v>
      </c>
      <c r="K99" t="n">
        <v>0</v>
      </c>
      <c r="L99" t="n">
        <v>0</v>
      </c>
      <c r="M99" t="n">
        <v>0</v>
      </c>
      <c r="N99" t="n">
        <v>0</v>
      </c>
      <c r="O99" t="n">
        <v>0</v>
      </c>
      <c r="P99" t="n">
        <v>0</v>
      </c>
      <c r="Q99" t="n">
        <v>0</v>
      </c>
      <c r="R99" s="2" t="inlineStr"/>
    </row>
    <row r="100" ht="15" customHeight="1">
      <c r="A100" t="inlineStr">
        <is>
          <t>A 33931-2022</t>
        </is>
      </c>
      <c r="B100" s="1" t="n">
        <v>44790.65153935185</v>
      </c>
      <c r="C100" s="1" t="n">
        <v>45974</v>
      </c>
      <c r="D100" t="inlineStr">
        <is>
          <t>VÄSTMANLANDS LÄN</t>
        </is>
      </c>
      <c r="E100" t="inlineStr">
        <is>
          <t>SURAHAMMAR</t>
        </is>
      </c>
      <c r="G100" t="n">
        <v>2.2</v>
      </c>
      <c r="H100" t="n">
        <v>0</v>
      </c>
      <c r="I100" t="n">
        <v>0</v>
      </c>
      <c r="J100" t="n">
        <v>0</v>
      </c>
      <c r="K100" t="n">
        <v>0</v>
      </c>
      <c r="L100" t="n">
        <v>0</v>
      </c>
      <c r="M100" t="n">
        <v>0</v>
      </c>
      <c r="N100" t="n">
        <v>0</v>
      </c>
      <c r="O100" t="n">
        <v>0</v>
      </c>
      <c r="P100" t="n">
        <v>0</v>
      </c>
      <c r="Q100" t="n">
        <v>0</v>
      </c>
      <c r="R100" s="2" t="inlineStr"/>
    </row>
    <row r="101" ht="15" customHeight="1">
      <c r="A101" t="inlineStr">
        <is>
          <t>A 48205-2023</t>
        </is>
      </c>
      <c r="B101" s="1" t="n">
        <v>45205</v>
      </c>
      <c r="C101" s="1" t="n">
        <v>45974</v>
      </c>
      <c r="D101" t="inlineStr">
        <is>
          <t>VÄSTMANLANDS LÄN</t>
        </is>
      </c>
      <c r="E101" t="inlineStr">
        <is>
          <t>SURAHAMMAR</t>
        </is>
      </c>
      <c r="F101" t="inlineStr">
        <is>
          <t>Allmännings- och besparingsskogar</t>
        </is>
      </c>
      <c r="G101" t="n">
        <v>7.6</v>
      </c>
      <c r="H101" t="n">
        <v>0</v>
      </c>
      <c r="I101" t="n">
        <v>0</v>
      </c>
      <c r="J101" t="n">
        <v>0</v>
      </c>
      <c r="K101" t="n">
        <v>0</v>
      </c>
      <c r="L101" t="n">
        <v>0</v>
      </c>
      <c r="M101" t="n">
        <v>0</v>
      </c>
      <c r="N101" t="n">
        <v>0</v>
      </c>
      <c r="O101" t="n">
        <v>0</v>
      </c>
      <c r="P101" t="n">
        <v>0</v>
      </c>
      <c r="Q101" t="n">
        <v>0</v>
      </c>
      <c r="R101" s="2" t="inlineStr"/>
    </row>
    <row r="102" ht="15" customHeight="1">
      <c r="A102" t="inlineStr">
        <is>
          <t>A 15743-2023</t>
        </is>
      </c>
      <c r="B102" s="1" t="n">
        <v>45021</v>
      </c>
      <c r="C102" s="1" t="n">
        <v>45974</v>
      </c>
      <c r="D102" t="inlineStr">
        <is>
          <t>VÄSTMANLANDS LÄN</t>
        </is>
      </c>
      <c r="E102" t="inlineStr">
        <is>
          <t>SURAHAMMAR</t>
        </is>
      </c>
      <c r="G102" t="n">
        <v>0.5</v>
      </c>
      <c r="H102" t="n">
        <v>0</v>
      </c>
      <c r="I102" t="n">
        <v>0</v>
      </c>
      <c r="J102" t="n">
        <v>0</v>
      </c>
      <c r="K102" t="n">
        <v>0</v>
      </c>
      <c r="L102" t="n">
        <v>0</v>
      </c>
      <c r="M102" t="n">
        <v>0</v>
      </c>
      <c r="N102" t="n">
        <v>0</v>
      </c>
      <c r="O102" t="n">
        <v>0</v>
      </c>
      <c r="P102" t="n">
        <v>0</v>
      </c>
      <c r="Q102" t="n">
        <v>0</v>
      </c>
      <c r="R102" s="2" t="inlineStr"/>
    </row>
    <row r="103" ht="15" customHeight="1">
      <c r="A103" t="inlineStr">
        <is>
          <t>A 30076-2023</t>
        </is>
      </c>
      <c r="B103" s="1" t="n">
        <v>45110</v>
      </c>
      <c r="C103" s="1" t="n">
        <v>45974</v>
      </c>
      <c r="D103" t="inlineStr">
        <is>
          <t>VÄSTMANLANDS LÄN</t>
        </is>
      </c>
      <c r="E103" t="inlineStr">
        <is>
          <t>SURAHAMMAR</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13386-2025</t>
        </is>
      </c>
      <c r="B104" s="1" t="n">
        <v>45735</v>
      </c>
      <c r="C104" s="1" t="n">
        <v>45974</v>
      </c>
      <c r="D104" t="inlineStr">
        <is>
          <t>VÄSTMANLANDS LÄN</t>
        </is>
      </c>
      <c r="E104" t="inlineStr">
        <is>
          <t>SURAHAMMAR</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16608-2022</t>
        </is>
      </c>
      <c r="B105" s="1" t="n">
        <v>44672</v>
      </c>
      <c r="C105" s="1" t="n">
        <v>45974</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15637-2022</t>
        </is>
      </c>
      <c r="B106" s="1" t="n">
        <v>44662.89638888889</v>
      </c>
      <c r="C106" s="1" t="n">
        <v>45974</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47785-2021</t>
        </is>
      </c>
      <c r="B107" s="1" t="n">
        <v>44448</v>
      </c>
      <c r="C107" s="1" t="n">
        <v>45974</v>
      </c>
      <c r="D107" t="inlineStr">
        <is>
          <t>VÄSTMANLANDS LÄN</t>
        </is>
      </c>
      <c r="E107" t="inlineStr">
        <is>
          <t>SURAHAMMAR</t>
        </is>
      </c>
      <c r="F107" t="inlineStr">
        <is>
          <t>Kommuner</t>
        </is>
      </c>
      <c r="G107" t="n">
        <v>3.3</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45974</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13119-2022</t>
        </is>
      </c>
      <c r="B109" s="1" t="n">
        <v>44643</v>
      </c>
      <c r="C109" s="1" t="n">
        <v>45974</v>
      </c>
      <c r="D109" t="inlineStr">
        <is>
          <t>VÄSTMANLANDS LÄN</t>
        </is>
      </c>
      <c r="E109" t="inlineStr">
        <is>
          <t>SURAHAMMAR</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8553-2023</t>
        </is>
      </c>
      <c r="B110" s="1" t="n">
        <v>44977</v>
      </c>
      <c r="C110" s="1" t="n">
        <v>45974</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19786-2023</t>
        </is>
      </c>
      <c r="B111" s="1" t="n">
        <v>45050</v>
      </c>
      <c r="C111" s="1" t="n">
        <v>45974</v>
      </c>
      <c r="D111" t="inlineStr">
        <is>
          <t>VÄSTMANLANDS LÄN</t>
        </is>
      </c>
      <c r="E111" t="inlineStr">
        <is>
          <t>SURAHAMMAR</t>
        </is>
      </c>
      <c r="F111" t="inlineStr">
        <is>
          <t>Bergvik skog väst AB</t>
        </is>
      </c>
      <c r="G111" t="n">
        <v>8.1</v>
      </c>
      <c r="H111" t="n">
        <v>0</v>
      </c>
      <c r="I111" t="n">
        <v>0</v>
      </c>
      <c r="J111" t="n">
        <v>0</v>
      </c>
      <c r="K111" t="n">
        <v>0</v>
      </c>
      <c r="L111" t="n">
        <v>0</v>
      </c>
      <c r="M111" t="n">
        <v>0</v>
      </c>
      <c r="N111" t="n">
        <v>0</v>
      </c>
      <c r="O111" t="n">
        <v>0</v>
      </c>
      <c r="P111" t="n">
        <v>0</v>
      </c>
      <c r="Q111" t="n">
        <v>0</v>
      </c>
      <c r="R111" s="2" t="inlineStr"/>
    </row>
    <row r="112" ht="15" customHeight="1">
      <c r="A112" t="inlineStr">
        <is>
          <t>A 42714-2022</t>
        </is>
      </c>
      <c r="B112" s="1" t="n">
        <v>44832</v>
      </c>
      <c r="C112" s="1" t="n">
        <v>45974</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45974</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45974</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7787-2024</t>
        </is>
      </c>
      <c r="B115" s="1" t="n">
        <v>45348</v>
      </c>
      <c r="C115" s="1" t="n">
        <v>45974</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15739-2023</t>
        </is>
      </c>
      <c r="B116" s="1" t="n">
        <v>45021</v>
      </c>
      <c r="C116" s="1" t="n">
        <v>45974</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5567-2022</t>
        </is>
      </c>
      <c r="B117" s="1" t="n">
        <v>44595</v>
      </c>
      <c r="C117" s="1" t="n">
        <v>45974</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42832-2022</t>
        </is>
      </c>
      <c r="B118" s="1" t="n">
        <v>44832</v>
      </c>
      <c r="C118" s="1" t="n">
        <v>45974</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38154-2021</t>
        </is>
      </c>
      <c r="B119" s="1" t="n">
        <v>44405.42373842592</v>
      </c>
      <c r="C119" s="1" t="n">
        <v>45974</v>
      </c>
      <c r="D119" t="inlineStr">
        <is>
          <t>VÄSTMANLANDS LÄN</t>
        </is>
      </c>
      <c r="E119" t="inlineStr">
        <is>
          <t>SURAHAMMAR</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24665-2023</t>
        </is>
      </c>
      <c r="B120" s="1" t="n">
        <v>45084.48592592592</v>
      </c>
      <c r="C120" s="1" t="n">
        <v>45974</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32808-2024</t>
        </is>
      </c>
      <c r="B121" s="1" t="n">
        <v>45516</v>
      </c>
      <c r="C121" s="1" t="n">
        <v>45974</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42841-2022</t>
        </is>
      </c>
      <c r="B122" s="1" t="n">
        <v>44832</v>
      </c>
      <c r="C122" s="1" t="n">
        <v>45974</v>
      </c>
      <c r="D122" t="inlineStr">
        <is>
          <t>VÄSTMANLANDS LÄN</t>
        </is>
      </c>
      <c r="E122" t="inlineStr">
        <is>
          <t>SURAHAMMAR</t>
        </is>
      </c>
      <c r="G122" t="n">
        <v>1.8</v>
      </c>
      <c r="H122" t="n">
        <v>0</v>
      </c>
      <c r="I122" t="n">
        <v>0</v>
      </c>
      <c r="J122" t="n">
        <v>0</v>
      </c>
      <c r="K122" t="n">
        <v>0</v>
      </c>
      <c r="L122" t="n">
        <v>0</v>
      </c>
      <c r="M122" t="n">
        <v>0</v>
      </c>
      <c r="N122" t="n">
        <v>0</v>
      </c>
      <c r="O122" t="n">
        <v>0</v>
      </c>
      <c r="P122" t="n">
        <v>0</v>
      </c>
      <c r="Q122" t="n">
        <v>0</v>
      </c>
      <c r="R122" s="2" t="inlineStr"/>
    </row>
    <row r="123" ht="15" customHeight="1">
      <c r="A123" t="inlineStr">
        <is>
          <t>A 42829-2022</t>
        </is>
      </c>
      <c r="B123" s="1" t="n">
        <v>44832</v>
      </c>
      <c r="C123" s="1" t="n">
        <v>45974</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37287-2023</t>
        </is>
      </c>
      <c r="B124" s="1" t="n">
        <v>45156</v>
      </c>
      <c r="C124" s="1" t="n">
        <v>45974</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2867-2024</t>
        </is>
      </c>
      <c r="B125" s="1" t="n">
        <v>45315</v>
      </c>
      <c r="C125" s="1" t="n">
        <v>45974</v>
      </c>
      <c r="D125" t="inlineStr">
        <is>
          <t>VÄSTMANLANDS LÄN</t>
        </is>
      </c>
      <c r="E125" t="inlineStr">
        <is>
          <t>SURAHAMMAR</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3085-2023</t>
        </is>
      </c>
      <c r="B126" s="1" t="n">
        <v>44946</v>
      </c>
      <c r="C126" s="1" t="n">
        <v>45974</v>
      </c>
      <c r="D126" t="inlineStr">
        <is>
          <t>VÄSTMANLANDS LÄN</t>
        </is>
      </c>
      <c r="E126" t="inlineStr">
        <is>
          <t>SURAHAMMAR</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21509-2024</t>
        </is>
      </c>
      <c r="B127" s="1" t="n">
        <v>45441</v>
      </c>
      <c r="C127" s="1" t="n">
        <v>45974</v>
      </c>
      <c r="D127" t="inlineStr">
        <is>
          <t>VÄSTMANLANDS LÄN</t>
        </is>
      </c>
      <c r="E127" t="inlineStr">
        <is>
          <t>SURAHAMMAR</t>
        </is>
      </c>
      <c r="F127" t="inlineStr">
        <is>
          <t>Bergvik skog väst AB</t>
        </is>
      </c>
      <c r="G127" t="n">
        <v>3.9</v>
      </c>
      <c r="H127" t="n">
        <v>0</v>
      </c>
      <c r="I127" t="n">
        <v>0</v>
      </c>
      <c r="J127" t="n">
        <v>0</v>
      </c>
      <c r="K127" t="n">
        <v>0</v>
      </c>
      <c r="L127" t="n">
        <v>0</v>
      </c>
      <c r="M127" t="n">
        <v>0</v>
      </c>
      <c r="N127" t="n">
        <v>0</v>
      </c>
      <c r="O127" t="n">
        <v>0</v>
      </c>
      <c r="P127" t="n">
        <v>0</v>
      </c>
      <c r="Q127" t="n">
        <v>0</v>
      </c>
      <c r="R127" s="2" t="inlineStr"/>
    </row>
    <row r="128" ht="15" customHeight="1">
      <c r="A128" t="inlineStr">
        <is>
          <t>A 22662-2023</t>
        </is>
      </c>
      <c r="B128" s="1" t="n">
        <v>45071</v>
      </c>
      <c r="C128" s="1" t="n">
        <v>45974</v>
      </c>
      <c r="D128" t="inlineStr">
        <is>
          <t>VÄSTMANLANDS LÄN</t>
        </is>
      </c>
      <c r="E128" t="inlineStr">
        <is>
          <t>SURAHAMMAR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16013-2023</t>
        </is>
      </c>
      <c r="B129" s="1" t="n">
        <v>45026</v>
      </c>
      <c r="C129" s="1" t="n">
        <v>45974</v>
      </c>
      <c r="D129" t="inlineStr">
        <is>
          <t>VÄSTMANLANDS LÄN</t>
        </is>
      </c>
      <c r="E129" t="inlineStr">
        <is>
          <t>SURAHAMMAR</t>
        </is>
      </c>
      <c r="G129" t="n">
        <v>3.9</v>
      </c>
      <c r="H129" t="n">
        <v>0</v>
      </c>
      <c r="I129" t="n">
        <v>0</v>
      </c>
      <c r="J129" t="n">
        <v>0</v>
      </c>
      <c r="K129" t="n">
        <v>0</v>
      </c>
      <c r="L129" t="n">
        <v>0</v>
      </c>
      <c r="M129" t="n">
        <v>0</v>
      </c>
      <c r="N129" t="n">
        <v>0</v>
      </c>
      <c r="O129" t="n">
        <v>0</v>
      </c>
      <c r="P129" t="n">
        <v>0</v>
      </c>
      <c r="Q129" t="n">
        <v>0</v>
      </c>
      <c r="R129" s="2" t="inlineStr"/>
    </row>
    <row r="130" ht="15" customHeight="1">
      <c r="A130" t="inlineStr">
        <is>
          <t>A 41555-2022</t>
        </is>
      </c>
      <c r="B130" s="1" t="n">
        <v>44826</v>
      </c>
      <c r="C130" s="1" t="n">
        <v>45974</v>
      </c>
      <c r="D130" t="inlineStr">
        <is>
          <t>VÄSTMANLANDS LÄN</t>
        </is>
      </c>
      <c r="E130" t="inlineStr">
        <is>
          <t>SURAHAMMAR</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34582-2025</t>
        </is>
      </c>
      <c r="B131" s="1" t="n">
        <v>45846</v>
      </c>
      <c r="C131" s="1" t="n">
        <v>45974</v>
      </c>
      <c r="D131" t="inlineStr">
        <is>
          <t>VÄSTMANLANDS LÄN</t>
        </is>
      </c>
      <c r="E131" t="inlineStr">
        <is>
          <t>SURAHAMMAR</t>
        </is>
      </c>
      <c r="F131" t="inlineStr">
        <is>
          <t>Bergvik skog väst AB</t>
        </is>
      </c>
      <c r="G131" t="n">
        <v>2.6</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45974</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49060-2024</t>
        </is>
      </c>
      <c r="B133" s="1" t="n">
        <v>45594</v>
      </c>
      <c r="C133" s="1" t="n">
        <v>45974</v>
      </c>
      <c r="D133" t="inlineStr">
        <is>
          <t>VÄSTMANLANDS LÄN</t>
        </is>
      </c>
      <c r="E133" t="inlineStr">
        <is>
          <t>SURAHAMMAR</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34584-2025</t>
        </is>
      </c>
      <c r="B134" s="1" t="n">
        <v>45846</v>
      </c>
      <c r="C134" s="1" t="n">
        <v>45974</v>
      </c>
      <c r="D134" t="inlineStr">
        <is>
          <t>VÄSTMANLANDS LÄN</t>
        </is>
      </c>
      <c r="E134" t="inlineStr">
        <is>
          <t>SURAHAMMAR</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45974</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32916-2025</t>
        </is>
      </c>
      <c r="B136" s="1" t="n">
        <v>45839</v>
      </c>
      <c r="C136" s="1" t="n">
        <v>45974</v>
      </c>
      <c r="D136" t="inlineStr">
        <is>
          <t>VÄSTMANLANDS LÄN</t>
        </is>
      </c>
      <c r="E136" t="inlineStr">
        <is>
          <t>SURAHAMMAR</t>
        </is>
      </c>
      <c r="F136" t="inlineStr">
        <is>
          <t>Kommuner</t>
        </is>
      </c>
      <c r="G136" t="n">
        <v>4.9</v>
      </c>
      <c r="H136" t="n">
        <v>0</v>
      </c>
      <c r="I136" t="n">
        <v>0</v>
      </c>
      <c r="J136" t="n">
        <v>0</v>
      </c>
      <c r="K136" t="n">
        <v>0</v>
      </c>
      <c r="L136" t="n">
        <v>0</v>
      </c>
      <c r="M136" t="n">
        <v>0</v>
      </c>
      <c r="N136" t="n">
        <v>0</v>
      </c>
      <c r="O136" t="n">
        <v>0</v>
      </c>
      <c r="P136" t="n">
        <v>0</v>
      </c>
      <c r="Q136" t="n">
        <v>0</v>
      </c>
      <c r="R136" s="2" t="inlineStr"/>
    </row>
    <row r="137" ht="15" customHeight="1">
      <c r="A137" t="inlineStr">
        <is>
          <t>A 32910-2025</t>
        </is>
      </c>
      <c r="B137" s="1" t="n">
        <v>45839</v>
      </c>
      <c r="C137" s="1" t="n">
        <v>45974</v>
      </c>
      <c r="D137" t="inlineStr">
        <is>
          <t>VÄSTMANLANDS LÄN</t>
        </is>
      </c>
      <c r="E137" t="inlineStr">
        <is>
          <t>SURAHAMMAR</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20904-2023</t>
        </is>
      </c>
      <c r="B138" s="1" t="n">
        <v>45060</v>
      </c>
      <c r="C138" s="1" t="n">
        <v>45974</v>
      </c>
      <c r="D138" t="inlineStr">
        <is>
          <t>VÄSTMANLANDS LÄN</t>
        </is>
      </c>
      <c r="E138" t="inlineStr">
        <is>
          <t>SURAHAMMAR</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10883-2023</t>
        </is>
      </c>
      <c r="B139" s="1" t="n">
        <v>44991</v>
      </c>
      <c r="C139" s="1" t="n">
        <v>45974</v>
      </c>
      <c r="D139" t="inlineStr">
        <is>
          <t>VÄSTMANLANDS LÄN</t>
        </is>
      </c>
      <c r="E139" t="inlineStr">
        <is>
          <t>SURAHAMMAR</t>
        </is>
      </c>
      <c r="F139" t="inlineStr">
        <is>
          <t>Övriga Aktiebolag</t>
        </is>
      </c>
      <c r="G139" t="n">
        <v>12.5</v>
      </c>
      <c r="H139" t="n">
        <v>0</v>
      </c>
      <c r="I139" t="n">
        <v>0</v>
      </c>
      <c r="J139" t="n">
        <v>0</v>
      </c>
      <c r="K139" t="n">
        <v>0</v>
      </c>
      <c r="L139" t="n">
        <v>0</v>
      </c>
      <c r="M139" t="n">
        <v>0</v>
      </c>
      <c r="N139" t="n">
        <v>0</v>
      </c>
      <c r="O139" t="n">
        <v>0</v>
      </c>
      <c r="P139" t="n">
        <v>0</v>
      </c>
      <c r="Q139" t="n">
        <v>0</v>
      </c>
      <c r="R139" s="2" t="inlineStr"/>
    </row>
    <row r="140" ht="15" customHeight="1">
      <c r="A140" t="inlineStr">
        <is>
          <t>A 2660-2024</t>
        </is>
      </c>
      <c r="B140" s="1" t="n">
        <v>45310</v>
      </c>
      <c r="C140" s="1" t="n">
        <v>45974</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37013-2025</t>
        </is>
      </c>
      <c r="B141" s="1" t="n">
        <v>45874</v>
      </c>
      <c r="C141" s="1" t="n">
        <v>45974</v>
      </c>
      <c r="D141" t="inlineStr">
        <is>
          <t>VÄSTMANLANDS LÄN</t>
        </is>
      </c>
      <c r="E141" t="inlineStr">
        <is>
          <t>SURAHAMMAR</t>
        </is>
      </c>
      <c r="F141" t="inlineStr">
        <is>
          <t>Bergvik skog väst AB</t>
        </is>
      </c>
      <c r="G141" t="n">
        <v>10.7</v>
      </c>
      <c r="H141" t="n">
        <v>0</v>
      </c>
      <c r="I141" t="n">
        <v>0</v>
      </c>
      <c r="J141" t="n">
        <v>0</v>
      </c>
      <c r="K141" t="n">
        <v>0</v>
      </c>
      <c r="L141" t="n">
        <v>0</v>
      </c>
      <c r="M141" t="n">
        <v>0</v>
      </c>
      <c r="N141" t="n">
        <v>0</v>
      </c>
      <c r="O141" t="n">
        <v>0</v>
      </c>
      <c r="P141" t="n">
        <v>0</v>
      </c>
      <c r="Q141" t="n">
        <v>0</v>
      </c>
      <c r="R141" s="2" t="inlineStr"/>
    </row>
    <row r="142" ht="15" customHeight="1">
      <c r="A142" t="inlineStr">
        <is>
          <t>A 42088-2025</t>
        </is>
      </c>
      <c r="B142" s="1" t="n">
        <v>45902</v>
      </c>
      <c r="C142" s="1" t="n">
        <v>45974</v>
      </c>
      <c r="D142" t="inlineStr">
        <is>
          <t>VÄSTMANLANDS LÄN</t>
        </is>
      </c>
      <c r="E142" t="inlineStr">
        <is>
          <t>SURAHAMMAR</t>
        </is>
      </c>
      <c r="G142" t="n">
        <v>1</v>
      </c>
      <c r="H142" t="n">
        <v>0</v>
      </c>
      <c r="I142" t="n">
        <v>0</v>
      </c>
      <c r="J142" t="n">
        <v>0</v>
      </c>
      <c r="K142" t="n">
        <v>0</v>
      </c>
      <c r="L142" t="n">
        <v>0</v>
      </c>
      <c r="M142" t="n">
        <v>0</v>
      </c>
      <c r="N142" t="n">
        <v>0</v>
      </c>
      <c r="O142" t="n">
        <v>0</v>
      </c>
      <c r="P142" t="n">
        <v>0</v>
      </c>
      <c r="Q142" t="n">
        <v>0</v>
      </c>
      <c r="R142" s="2" t="inlineStr"/>
    </row>
    <row r="143" ht="15" customHeight="1">
      <c r="A143" t="inlineStr">
        <is>
          <t>A 37954-2025</t>
        </is>
      </c>
      <c r="B143" s="1" t="n">
        <v>45881</v>
      </c>
      <c r="C143" s="1" t="n">
        <v>45974</v>
      </c>
      <c r="D143" t="inlineStr">
        <is>
          <t>VÄSTMANLANDS LÄN</t>
        </is>
      </c>
      <c r="E143" t="inlineStr">
        <is>
          <t>SURAHAMMAR</t>
        </is>
      </c>
      <c r="G143" t="n">
        <v>9.5</v>
      </c>
      <c r="H143" t="n">
        <v>0</v>
      </c>
      <c r="I143" t="n">
        <v>0</v>
      </c>
      <c r="J143" t="n">
        <v>0</v>
      </c>
      <c r="K143" t="n">
        <v>0</v>
      </c>
      <c r="L143" t="n">
        <v>0</v>
      </c>
      <c r="M143" t="n">
        <v>0</v>
      </c>
      <c r="N143" t="n">
        <v>0</v>
      </c>
      <c r="O143" t="n">
        <v>0</v>
      </c>
      <c r="P143" t="n">
        <v>0</v>
      </c>
      <c r="Q143" t="n">
        <v>0</v>
      </c>
      <c r="R143" s="2" t="inlineStr"/>
    </row>
    <row r="144" ht="15" customHeight="1">
      <c r="A144" t="inlineStr">
        <is>
          <t>A 31107-2025</t>
        </is>
      </c>
      <c r="B144" s="1" t="n">
        <v>45831</v>
      </c>
      <c r="C144" s="1" t="n">
        <v>45974</v>
      </c>
      <c r="D144" t="inlineStr">
        <is>
          <t>VÄSTMANLANDS LÄN</t>
        </is>
      </c>
      <c r="E144" t="inlineStr">
        <is>
          <t>SURAHAMMAR</t>
        </is>
      </c>
      <c r="F144" t="inlineStr">
        <is>
          <t>Kommuner</t>
        </is>
      </c>
      <c r="G144" t="n">
        <v>1.7</v>
      </c>
      <c r="H144" t="n">
        <v>0</v>
      </c>
      <c r="I144" t="n">
        <v>0</v>
      </c>
      <c r="J144" t="n">
        <v>0</v>
      </c>
      <c r="K144" t="n">
        <v>0</v>
      </c>
      <c r="L144" t="n">
        <v>0</v>
      </c>
      <c r="M144" t="n">
        <v>0</v>
      </c>
      <c r="N144" t="n">
        <v>0</v>
      </c>
      <c r="O144" t="n">
        <v>0</v>
      </c>
      <c r="P144" t="n">
        <v>0</v>
      </c>
      <c r="Q144" t="n">
        <v>0</v>
      </c>
      <c r="R144" s="2" t="inlineStr"/>
    </row>
    <row r="145" ht="15" customHeight="1">
      <c r="A145" t="inlineStr">
        <is>
          <t>A 43249-2025</t>
        </is>
      </c>
      <c r="B145" s="1" t="n">
        <v>45910.55059027778</v>
      </c>
      <c r="C145" s="1" t="n">
        <v>45974</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43255-2025</t>
        </is>
      </c>
      <c r="B146" s="1" t="n">
        <v>45910.55325231481</v>
      </c>
      <c r="C146" s="1" t="n">
        <v>45974</v>
      </c>
      <c r="D146" t="inlineStr">
        <is>
          <t>VÄSTMANLANDS LÄN</t>
        </is>
      </c>
      <c r="E146" t="inlineStr">
        <is>
          <t>SURAHAMMAR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14626-2023</t>
        </is>
      </c>
      <c r="B147" s="1" t="n">
        <v>45012</v>
      </c>
      <c r="C147" s="1" t="n">
        <v>45974</v>
      </c>
      <c r="D147" t="inlineStr">
        <is>
          <t>VÄSTMANLANDS LÄN</t>
        </is>
      </c>
      <c r="E147" t="inlineStr">
        <is>
          <t>SURAHAMMAR</t>
        </is>
      </c>
      <c r="F147" t="inlineStr">
        <is>
          <t>Bergvik skog väst AB</t>
        </is>
      </c>
      <c r="G147" t="n">
        <v>5</v>
      </c>
      <c r="H147" t="n">
        <v>0</v>
      </c>
      <c r="I147" t="n">
        <v>0</v>
      </c>
      <c r="J147" t="n">
        <v>0</v>
      </c>
      <c r="K147" t="n">
        <v>0</v>
      </c>
      <c r="L147" t="n">
        <v>0</v>
      </c>
      <c r="M147" t="n">
        <v>0</v>
      </c>
      <c r="N147" t="n">
        <v>0</v>
      </c>
      <c r="O147" t="n">
        <v>0</v>
      </c>
      <c r="P147" t="n">
        <v>0</v>
      </c>
      <c r="Q147" t="n">
        <v>0</v>
      </c>
      <c r="R147" s="2" t="inlineStr"/>
    </row>
    <row r="148" ht="15" customHeight="1">
      <c r="A148" t="inlineStr">
        <is>
          <t>A 37798-2021</t>
        </is>
      </c>
      <c r="B148" s="1" t="n">
        <v>44402</v>
      </c>
      <c r="C148" s="1" t="n">
        <v>45974</v>
      </c>
      <c r="D148" t="inlineStr">
        <is>
          <t>VÄSTMANLANDS LÄN</t>
        </is>
      </c>
      <c r="E148" t="inlineStr">
        <is>
          <t>SURAHAMMAR</t>
        </is>
      </c>
      <c r="F148" t="inlineStr">
        <is>
          <t>Kommuner</t>
        </is>
      </c>
      <c r="G148" t="n">
        <v>1.2</v>
      </c>
      <c r="H148" t="n">
        <v>0</v>
      </c>
      <c r="I148" t="n">
        <v>0</v>
      </c>
      <c r="J148" t="n">
        <v>0</v>
      </c>
      <c r="K148" t="n">
        <v>0</v>
      </c>
      <c r="L148" t="n">
        <v>0</v>
      </c>
      <c r="M148" t="n">
        <v>0</v>
      </c>
      <c r="N148" t="n">
        <v>0</v>
      </c>
      <c r="O148" t="n">
        <v>0</v>
      </c>
      <c r="P148" t="n">
        <v>0</v>
      </c>
      <c r="Q148" t="n">
        <v>0</v>
      </c>
      <c r="R148" s="2" t="inlineStr"/>
    </row>
    <row r="149" ht="15" customHeight="1">
      <c r="A149" t="inlineStr">
        <is>
          <t>A 25450-2024</t>
        </is>
      </c>
      <c r="B149" s="1" t="n">
        <v>45463</v>
      </c>
      <c r="C149" s="1" t="n">
        <v>45974</v>
      </c>
      <c r="D149" t="inlineStr">
        <is>
          <t>VÄSTMANLANDS LÄN</t>
        </is>
      </c>
      <c r="E149" t="inlineStr">
        <is>
          <t>SURAHAMMAR</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55042-2025</t>
        </is>
      </c>
      <c r="B150" s="1" t="n">
        <v>45967.65858796296</v>
      </c>
      <c r="C150" s="1" t="n">
        <v>45974</v>
      </c>
      <c r="D150" t="inlineStr">
        <is>
          <t>VÄSTMANLANDS LÄN</t>
        </is>
      </c>
      <c r="E150" t="inlineStr">
        <is>
          <t>SURAHAMMAR</t>
        </is>
      </c>
      <c r="F150" t="inlineStr">
        <is>
          <t>Sveaskog</t>
        </is>
      </c>
      <c r="G150" t="n">
        <v>7.2</v>
      </c>
      <c r="H150" t="n">
        <v>0</v>
      </c>
      <c r="I150" t="n">
        <v>0</v>
      </c>
      <c r="J150" t="n">
        <v>0</v>
      </c>
      <c r="K150" t="n">
        <v>0</v>
      </c>
      <c r="L150" t="n">
        <v>0</v>
      </c>
      <c r="M150" t="n">
        <v>0</v>
      </c>
      <c r="N150" t="n">
        <v>0</v>
      </c>
      <c r="O150" t="n">
        <v>0</v>
      </c>
      <c r="P150" t="n">
        <v>0</v>
      </c>
      <c r="Q150" t="n">
        <v>0</v>
      </c>
      <c r="R150" s="2" t="inlineStr"/>
    </row>
    <row r="151" ht="15" customHeight="1">
      <c r="A151" t="inlineStr">
        <is>
          <t>A 19782-2023</t>
        </is>
      </c>
      <c r="B151" s="1" t="n">
        <v>45050</v>
      </c>
      <c r="C151" s="1" t="n">
        <v>45974</v>
      </c>
      <c r="D151" t="inlineStr">
        <is>
          <t>VÄSTMANLANDS LÄN</t>
        </is>
      </c>
      <c r="E151" t="inlineStr">
        <is>
          <t>SURAHAMMAR</t>
        </is>
      </c>
      <c r="F151" t="inlineStr">
        <is>
          <t>Bergvik skog väst AB</t>
        </is>
      </c>
      <c r="G151" t="n">
        <v>5.2</v>
      </c>
      <c r="H151" t="n">
        <v>0</v>
      </c>
      <c r="I151" t="n">
        <v>0</v>
      </c>
      <c r="J151" t="n">
        <v>0</v>
      </c>
      <c r="K151" t="n">
        <v>0</v>
      </c>
      <c r="L151" t="n">
        <v>0</v>
      </c>
      <c r="M151" t="n">
        <v>0</v>
      </c>
      <c r="N151" t="n">
        <v>0</v>
      </c>
      <c r="O151" t="n">
        <v>0</v>
      </c>
      <c r="P151" t="n">
        <v>0</v>
      </c>
      <c r="Q151" t="n">
        <v>0</v>
      </c>
      <c r="R151" s="2" t="inlineStr"/>
    </row>
    <row r="152" ht="15" customHeight="1">
      <c r="A152" t="inlineStr">
        <is>
          <t>A 55871-2025</t>
        </is>
      </c>
      <c r="B152" s="1" t="n">
        <v>45973.35452546296</v>
      </c>
      <c r="C152" s="1" t="n">
        <v>45974</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55868-2025</t>
        </is>
      </c>
      <c r="B153" s="1" t="n">
        <v>45973.35263888889</v>
      </c>
      <c r="C153" s="1" t="n">
        <v>45974</v>
      </c>
      <c r="D153" t="inlineStr">
        <is>
          <t>VÄSTMANLANDS LÄN</t>
        </is>
      </c>
      <c r="E153" t="inlineStr">
        <is>
          <t>SURAHAMMAR</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55873-2025</t>
        </is>
      </c>
      <c r="B154" s="1" t="n">
        <v>45973.35608796297</v>
      </c>
      <c r="C154" s="1" t="n">
        <v>45974</v>
      </c>
      <c r="D154" t="inlineStr">
        <is>
          <t>VÄSTMANLANDS LÄN</t>
        </is>
      </c>
      <c r="E154" t="inlineStr">
        <is>
          <t>SURAHAMMAR</t>
        </is>
      </c>
      <c r="F154" t="inlineStr">
        <is>
          <t>Sveaskog</t>
        </is>
      </c>
      <c r="G154" t="n">
        <v>0.5</v>
      </c>
      <c r="H154" t="n">
        <v>0</v>
      </c>
      <c r="I154" t="n">
        <v>0</v>
      </c>
      <c r="J154" t="n">
        <v>0</v>
      </c>
      <c r="K154" t="n">
        <v>0</v>
      </c>
      <c r="L154" t="n">
        <v>0</v>
      </c>
      <c r="M154" t="n">
        <v>0</v>
      </c>
      <c r="N154" t="n">
        <v>0</v>
      </c>
      <c r="O154" t="n">
        <v>0</v>
      </c>
      <c r="P154" t="n">
        <v>0</v>
      </c>
      <c r="Q154" t="n">
        <v>0</v>
      </c>
      <c r="R154" s="2" t="inlineStr"/>
    </row>
    <row r="155">
      <c r="A155" t="inlineStr">
        <is>
          <t>A 55874-2025</t>
        </is>
      </c>
      <c r="B155" s="1" t="n">
        <v>45973.3569212963</v>
      </c>
      <c r="C155" s="1" t="n">
        <v>45974</v>
      </c>
      <c r="D155" t="inlineStr">
        <is>
          <t>VÄSTMANLANDS LÄN</t>
        </is>
      </c>
      <c r="E155" t="inlineStr">
        <is>
          <t>SURAHAMMAR</t>
        </is>
      </c>
      <c r="F155" t="inlineStr">
        <is>
          <t>Sveaskog</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2025-11-13T10:13:09Z</dcterms:created>
  <dcterms:modified xmlns:dcterms="http://purl.org/dc/terms/" xmlns:xsi="http://www.w3.org/2001/XMLSchema-instance" xsi:type="dcterms:W3CDTF">2025-11-13T10:13:09Z</dcterms:modified>
</cp:coreProperties>
</file>