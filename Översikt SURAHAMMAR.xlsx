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46299</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46299</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249</v>
      </c>
      <c r="U4" t="n">
        <v>113</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46299</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46299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46299</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46299</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46299</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46299</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46299</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46299</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46299</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46299</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46299</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46299</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46299</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46299</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46299</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46299</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46299</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46299</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46299</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46299</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46299</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38172-2024</t>
        </is>
      </c>
      <c r="B28" t="inlineStr">
        <is>
          <t>avverkningsanmälan</t>
        </is>
      </c>
      <c r="C28" t="inlineStr">
        <is>
          <t>Avverkning för att bevara och utveckla /försöksver</t>
        </is>
      </c>
      <c r="D28" s="1" t="n">
        <v>45545</v>
      </c>
      <c r="E28" s="1" t="n">
        <v>46299</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A 56299-2021</t>
        </is>
      </c>
      <c r="B29" t="inlineStr">
        <is>
          <t>avverkningsanmälan</t>
        </is>
      </c>
      <c r="C29" t="inlineStr">
        <is>
          <t>Föryngringsavverkning</t>
        </is>
      </c>
      <c r="D29" s="1" t="n">
        <v>44477</v>
      </c>
      <c r="E29" s="1" t="n">
        <v>46299</v>
      </c>
      <c r="F29" t="inlineStr">
        <is>
          <t>VÄSTMANLANDS LÄN</t>
        </is>
      </c>
      <c r="G29" t="inlineStr">
        <is>
          <t>SURAHAMMAR</t>
        </is>
      </c>
      <c r="H29" t="inlineStr">
        <is>
          <t>Bergvik skog väst AB</t>
        </is>
      </c>
      <c r="I29" t="n">
        <v>8</v>
      </c>
      <c r="J29" t="n">
        <v>2</v>
      </c>
      <c r="K29" t="n">
        <v>4</v>
      </c>
      <c r="L29" t="n">
        <v>2</v>
      </c>
      <c r="M29" t="n">
        <v>0</v>
      </c>
      <c r="N29" t="n">
        <v>0</v>
      </c>
      <c r="O29" t="n">
        <v>0</v>
      </c>
      <c r="P29" t="n">
        <v>0</v>
      </c>
      <c r="Q29" t="n">
        <v>2</v>
      </c>
      <c r="R29" t="n">
        <v>0</v>
      </c>
      <c r="S29" t="n">
        <v>7</v>
      </c>
      <c r="T29" t="n">
        <v>7</v>
      </c>
      <c r="U29" t="n">
        <v>1</v>
      </c>
      <c r="V29" s="2" t="inlineStr">
        <is>
          <t>Större flatbagge
Tretåig hackspett
Björksplintborre
Blodticka
Korallblylav
Skinnlav
Kungsfågel</t>
        </is>
      </c>
      <c r="W29">
        <f>HYPERLINK("https://klasma.github.io/Logging_1907/artfynd/A 56299-2021 artfynd.xlsx", "A 56299-2021")</f>
        <v/>
      </c>
      <c r="X29">
        <f>HYPERLINK("https://klasma.github.io/Logging_1907/kartor/A 56299-2021 karta.png", "A 56299-2021")</f>
        <v/>
      </c>
      <c r="Y29">
        <f>HYPERLINK("https://klasma.github.io/Logging_1907/kartor_geotiff/A 56299-2021 georefererad karta.tif", "A 56299-2021")</f>
        <v/>
      </c>
      <c r="AA29">
        <f>HYPERLINK("https://klasma.github.io/Logging_1907/klagomål/A 56299-2021 FSC-klagomål.docx", "A 56299-2021")</f>
        <v/>
      </c>
      <c r="AB29">
        <f>HYPERLINK("https://klasma.github.io/Logging_1907/klagomålsmail/A 56299-2021 FSC-klagomål mail.docx", "A 56299-2021")</f>
        <v/>
      </c>
      <c r="AC29">
        <f>HYPERLINK("https://klasma.github.io/Logging_1907/tillsyn/A 56299-2021 tillsynsbegäran.docx", "A 56299-2021")</f>
        <v/>
      </c>
      <c r="AD29">
        <f>HYPERLINK("https://klasma.github.io/Logging_1907/tillsynsmail/A 56299-2021 tillsynsbegäran mail.docx", "A 56299-2021")</f>
        <v/>
      </c>
      <c r="AE29">
        <f>HYPERLINK("https://klasma.github.io/Logging_1907/fåglar/A 56299-2021 prioriterade fågelarter.docx", "A 56299-2021")</f>
        <v/>
      </c>
    </row>
    <row r="30" ht="15" customHeight="1">
      <c r="A30" t="inlineStr">
        <is>
          <t>A 48891-2023</t>
        </is>
      </c>
      <c r="B30" t="inlineStr">
        <is>
          <t>avverkningsanmälan</t>
        </is>
      </c>
      <c r="C30" t="inlineStr">
        <is>
          <t>Föryngringsavverkning</t>
        </is>
      </c>
      <c r="D30" s="1" t="n">
        <v>45203</v>
      </c>
      <c r="E30" s="1" t="n">
        <v>46299</v>
      </c>
      <c r="F30" t="inlineStr">
        <is>
          <t>VÄSTMANLANDS LÄN</t>
        </is>
      </c>
      <c r="G30" t="inlineStr">
        <is>
          <t>SURAHAMMAR</t>
        </is>
      </c>
      <c r="H30" t="inlineStr">
        <is>
          <t>Bergvik skog väst AB</t>
        </is>
      </c>
      <c r="I30" t="n">
        <v>2.9</v>
      </c>
      <c r="J30" t="n">
        <v>3</v>
      </c>
      <c r="K30" t="n">
        <v>1</v>
      </c>
      <c r="L30" t="n">
        <v>3</v>
      </c>
      <c r="M30" t="n">
        <v>1</v>
      </c>
      <c r="N30" t="n">
        <v>0</v>
      </c>
      <c r="O30" t="n">
        <v>0</v>
      </c>
      <c r="P30" t="n">
        <v>0</v>
      </c>
      <c r="Q30" t="n">
        <v>4</v>
      </c>
      <c r="R30" t="n">
        <v>1</v>
      </c>
      <c r="S30" t="n">
        <v>7</v>
      </c>
      <c r="T30" t="n">
        <v>10</v>
      </c>
      <c r="U30" t="n">
        <v>5</v>
      </c>
      <c r="V30" s="2" t="inlineStr">
        <is>
          <t>Knärot
Motaggsvamp
Tallticka
Vintertagging
Flagellkvastmossa
Spillkråka
Gröngöling</t>
        </is>
      </c>
      <c r="W30">
        <f>HYPERLINK("https://klasma.github.io/Logging_1907/artfynd/A 48891-2023 artfynd.xlsx", "A 48891-2023")</f>
        <v/>
      </c>
      <c r="X30">
        <f>HYPERLINK("https://klasma.github.io/Logging_1907/kartor/A 48891-2023 karta.png", "A 48891-2023")</f>
        <v/>
      </c>
      <c r="Y30">
        <f>HYPERLINK("https://klasma.github.io/Logging_1907/kartor_geotiff/A 48891-2023 georefererad karta.tif", "A 48891-2023")</f>
        <v/>
      </c>
      <c r="Z30">
        <f>HYPERLINK("https://klasma.github.io/Logging_1907/knärot/A 48891-2023 karta knärot.png", "A 48891-2023")</f>
        <v/>
      </c>
      <c r="AA30">
        <f>HYPERLINK("https://klasma.github.io/Logging_1907/klagomål/A 48891-2023 FSC-klagomål.docx", "A 48891-2023")</f>
        <v/>
      </c>
      <c r="AB30">
        <f>HYPERLINK("https://klasma.github.io/Logging_1907/klagomålsmail/A 48891-2023 FSC-klagomål mail.docx", "A 48891-2023")</f>
        <v/>
      </c>
      <c r="AC30">
        <f>HYPERLINK("https://klasma.github.io/Logging_1907/tillsyn/A 48891-2023 tillsynsbegäran.docx", "A 48891-2023")</f>
        <v/>
      </c>
      <c r="AD30">
        <f>HYPERLINK("https://klasma.github.io/Logging_1907/tillsynsmail/A 48891-2023 tillsynsbegäran mail.docx", "A 48891-2023")</f>
        <v/>
      </c>
      <c r="AE30">
        <f>HYPERLINK("https://klasma.github.io/Logging_1907/fåglar/A 48891-2023 prioriterade fågelarter.docx", "A 48891-2023")</f>
        <v/>
      </c>
    </row>
    <row r="31" ht="15" customHeight="1">
      <c r="A31" t="inlineStr">
        <is>
          <t>A 22840-2023</t>
        </is>
      </c>
      <c r="B31" t="inlineStr">
        <is>
          <t>avverkningsanmälan</t>
        </is>
      </c>
      <c r="C31" t="inlineStr">
        <is>
          <t>Föryngringsavverkning</t>
        </is>
      </c>
      <c r="D31" s="1" t="n">
        <v>45072</v>
      </c>
      <c r="E31" s="1" t="n">
        <v>46299</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36260-2026</t>
        </is>
      </c>
      <c r="B32" t="inlineStr">
        <is>
          <t>avverkningsanmälan</t>
        </is>
      </c>
      <c r="C32" t="inlineStr">
        <is>
          <t>Föryngringsavverkning</t>
        </is>
      </c>
      <c r="D32" s="1" t="n">
        <v>46268</v>
      </c>
      <c r="E32" s="1" t="n">
        <v>46299</v>
      </c>
      <c r="F32" t="inlineStr">
        <is>
          <t>VÄSTMANLANDS LÄN</t>
        </is>
      </c>
      <c r="G32" t="inlineStr">
        <is>
          <t>SURAHAMMAR</t>
        </is>
      </c>
      <c r="H32" t="inlineStr">
        <is>
          <t>Sveaskog</t>
        </is>
      </c>
      <c r="I32" t="n">
        <v>5.7</v>
      </c>
      <c r="J32" t="n">
        <v>4</v>
      </c>
      <c r="K32" t="n">
        <v>1</v>
      </c>
      <c r="L32" t="n">
        <v>1</v>
      </c>
      <c r="M32" t="n">
        <v>2</v>
      </c>
      <c r="N32" t="n">
        <v>0</v>
      </c>
      <c r="O32" t="n">
        <v>0</v>
      </c>
      <c r="P32" t="n">
        <v>0</v>
      </c>
      <c r="Q32" t="n">
        <v>3</v>
      </c>
      <c r="R32" t="n">
        <v>2</v>
      </c>
      <c r="S32" t="n">
        <v>7</v>
      </c>
      <c r="T32" t="n">
        <v>8</v>
      </c>
      <c r="U32" t="n">
        <v>0</v>
      </c>
      <c r="V32" s="2" t="inlineStr">
        <is>
          <t>Mindre bastardsvärmare
Silverblåvinge
Enkelbeckasin
Blodticka
Nattskärra
Vanlig snok
Revlummer</t>
        </is>
      </c>
      <c r="W32">
        <f>HYPERLINK("https://klasma.github.io/Logging_1907/artfynd/A 36260-2026 artfynd.xlsx", "A 36260-2026")</f>
        <v/>
      </c>
      <c r="X32">
        <f>HYPERLINK("https://klasma.github.io/Logging_1907/kartor/A 36260-2026 karta.png", "A 36260-2026")</f>
        <v/>
      </c>
      <c r="Y32">
        <f>HYPERLINK("https://klasma.github.io/Logging_1907/kartor_geotiff/A 36260-2026 georefererad karta.tif", "A 36260-2026")</f>
        <v/>
      </c>
      <c r="AA32">
        <f>HYPERLINK("https://klasma.github.io/Logging_1907/klagomål/A 36260-2026 FSC-klagomål.docx", "A 36260-2026")</f>
        <v/>
      </c>
      <c r="AB32">
        <f>HYPERLINK("https://klasma.github.io/Logging_1907/klagomålsmail/A 36260-2026 FSC-klagomål mail.docx", "A 36260-2026")</f>
        <v/>
      </c>
      <c r="AC32">
        <f>HYPERLINK("https://klasma.github.io/Logging_1907/tillsyn/A 36260-2026 tillsynsbegäran.docx", "A 36260-2026")</f>
        <v/>
      </c>
      <c r="AD32">
        <f>HYPERLINK("https://klasma.github.io/Logging_1907/tillsynsmail/A 36260-2026 tillsynsbegäran mail.docx", "A 36260-2026")</f>
        <v/>
      </c>
      <c r="AE32">
        <f>HYPERLINK("https://klasma.github.io/Logging_1907/fåglar/A 36260-2026 prioriterade fågelarter.docx", "A 36260-2026")</f>
        <v/>
      </c>
    </row>
    <row r="33" ht="15" customHeight="1">
      <c r="A33" t="inlineStr">
        <is>
          <t>S 2882-2025</t>
        </is>
      </c>
      <c r="B33" t="inlineStr">
        <is>
          <t>samrådsanmälan</t>
        </is>
      </c>
      <c r="C33" t="inlineStr">
        <is>
          <t>Annan skogsbruksåtgärd</t>
        </is>
      </c>
      <c r="D33" s="1" t="n">
        <v>45945</v>
      </c>
      <c r="E33" s="1" t="n">
        <v>46299</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46299</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46299</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46299</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46299</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46299</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46299</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46299</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46299</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46299</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63146-2025</t>
        </is>
      </c>
      <c r="B43" t="inlineStr">
        <is>
          <t>avverkningsanmälan</t>
        </is>
      </c>
      <c r="C43" t="inlineStr">
        <is>
          <t>Föryngringsavverkning</t>
        </is>
      </c>
      <c r="D43" s="1" t="n">
        <v>46009</v>
      </c>
      <c r="E43" s="1" t="n">
        <v>46299</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39694-2025</t>
        </is>
      </c>
      <c r="B44" t="inlineStr">
        <is>
          <t>avverkningsanmälan</t>
        </is>
      </c>
      <c r="C44" t="inlineStr">
        <is>
          <t>Föryngringsavverkning</t>
        </is>
      </c>
      <c r="D44" s="1" t="n">
        <v>45890</v>
      </c>
      <c r="E44" s="1" t="n">
        <v>46299</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49718-2023</t>
        </is>
      </c>
      <c r="B45" t="inlineStr">
        <is>
          <t>avverkningsanmälan</t>
        </is>
      </c>
      <c r="C45" t="inlineStr">
        <is>
          <t>Föryngringsavverkning</t>
        </is>
      </c>
      <c r="D45" s="1" t="n">
        <v>45212</v>
      </c>
      <c r="E45" s="1" t="n">
        <v>46299</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42765-2022</t>
        </is>
      </c>
      <c r="B46" t="inlineStr">
        <is>
          <t>avverkningsanmälan</t>
        </is>
      </c>
      <c r="C46" t="inlineStr">
        <is>
          <t>Avverkning för annat ändamål</t>
        </is>
      </c>
      <c r="D46" s="1" t="n">
        <v>44832</v>
      </c>
      <c r="E46" s="1" t="n">
        <v>46299</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t="n">
        <v>1</v>
      </c>
      <c r="V46" s="2" t="inlineStr">
        <is>
          <t>Krusfrö
Barkticka
Blåsippa</t>
        </is>
      </c>
      <c r="W46">
        <f>HYPERLINK("https://klasma.github.io/Logging_1907/artfynd/A 42765-2022 artfynd.xlsx", "A 42765-2022")</f>
        <v/>
      </c>
      <c r="X46">
        <f>HYPERLINK("https://klasma.github.io/Logging_1907/kartor/A 42765-2022 karta.png", "A 42765-2022")</f>
        <v/>
      </c>
      <c r="Y46">
        <f>HYPERLINK("https://klasma.github.io/Logging_1907/kartor_geotiff/A 42765-2022 georefererad karta.tif", "A 42765-2022")</f>
        <v/>
      </c>
      <c r="AA46">
        <f>HYPERLINK("https://klasma.github.io/Logging_1907/klagomål/A 42765-2022 FSC-klagomål.docx", "A 42765-2022")</f>
        <v/>
      </c>
      <c r="AB46">
        <f>HYPERLINK("https://klasma.github.io/Logging_1907/klagomålsmail/A 42765-2022 FSC-klagomål mail.docx", "A 42765-2022")</f>
        <v/>
      </c>
      <c r="AC46">
        <f>HYPERLINK("https://klasma.github.io/Logging_1907/tillsyn/A 42765-2022 tillsynsbegäran.docx", "A 42765-2022")</f>
        <v/>
      </c>
      <c r="AD46">
        <f>HYPERLINK("https://klasma.github.io/Logging_1907/tillsynsmail/A 42765-2022 tillsynsbegäran mail.docx", "A 42765-2022")</f>
        <v/>
      </c>
    </row>
    <row r="47" ht="15" customHeight="1">
      <c r="A47" t="inlineStr">
        <is>
          <t>A 69777-2021</t>
        </is>
      </c>
      <c r="B47" t="inlineStr">
        <is>
          <t>avverkningsanmälan</t>
        </is>
      </c>
      <c r="C47" t="inlineStr">
        <is>
          <t>Föryngringsavverkning</t>
        </is>
      </c>
      <c r="D47" s="1" t="n">
        <v>44532</v>
      </c>
      <c r="E47" s="1" t="n">
        <v>46299</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46299</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46299</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36264-2026</t>
        </is>
      </c>
      <c r="B50" t="inlineStr">
        <is>
          <t>avverkningsanmälan</t>
        </is>
      </c>
      <c r="C50" t="inlineStr">
        <is>
          <t>Föryngringsavverkning</t>
        </is>
      </c>
      <c r="D50" s="1" t="n">
        <v>46268</v>
      </c>
      <c r="E50" s="1" t="n">
        <v>46299</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46299</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46299</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46299</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46299</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46299</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46299</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63138-2025</t>
        </is>
      </c>
      <c r="B57" t="inlineStr">
        <is>
          <t>avverkningsanmälan</t>
        </is>
      </c>
      <c r="C57" t="inlineStr">
        <is>
          <t>Föryngringsavverkning</t>
        </is>
      </c>
      <c r="D57" s="1" t="n">
        <v>46009</v>
      </c>
      <c r="E57" s="1" t="n">
        <v>46299</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40403-2025</t>
        </is>
      </c>
      <c r="B58" t="inlineStr">
        <is>
          <t>avverkningsanmälan</t>
        </is>
      </c>
      <c r="C58" t="inlineStr">
        <is>
          <t>Föryngringsavverkning</t>
        </is>
      </c>
      <c r="D58" s="1" t="n">
        <v>45895</v>
      </c>
      <c r="E58" s="1" t="n">
        <v>46299</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56362-2023</t>
        </is>
      </c>
      <c r="B59" t="inlineStr">
        <is>
          <t>avverkningsanmälan</t>
        </is>
      </c>
      <c r="C59" t="inlineStr">
        <is>
          <t>Föryngringsavverkning</t>
        </is>
      </c>
      <c r="D59" s="1" t="n">
        <v>45236</v>
      </c>
      <c r="E59" s="1" t="n">
        <v>46299</v>
      </c>
      <c r="F59" t="inlineStr">
        <is>
          <t>VÄSTMANLANDS LÄN</t>
        </is>
      </c>
      <c r="G59" t="inlineStr">
        <is>
          <t>SURAHAMMAR</t>
        </is>
      </c>
      <c r="H59" t="inlineStr">
        <is>
          <t>Bergvik skog väst AB</t>
        </is>
      </c>
      <c r="I59" t="n">
        <v>15.2</v>
      </c>
      <c r="J59" t="n">
        <v>1</v>
      </c>
      <c r="K59" t="n">
        <v>1</v>
      </c>
      <c r="L59" t="n">
        <v>0</v>
      </c>
      <c r="M59" t="n">
        <v>1</v>
      </c>
      <c r="N59" t="n">
        <v>0</v>
      </c>
      <c r="O59" t="n">
        <v>0</v>
      </c>
      <c r="P59" t="n">
        <v>0</v>
      </c>
      <c r="Q59" t="n">
        <v>1</v>
      </c>
      <c r="R59" t="n">
        <v>1</v>
      </c>
      <c r="S59" t="n">
        <v>2</v>
      </c>
      <c r="T59" t="n">
        <v>2</v>
      </c>
      <c r="U59" t="n">
        <v>1</v>
      </c>
      <c r="V59" s="2" t="inlineStr">
        <is>
          <t>Väddnätfjäril
Grönpyrola</t>
        </is>
      </c>
      <c r="W59">
        <f>HYPERLINK("https://klasma.github.io/Logging_1907/artfynd/A 56362-2023 artfynd.xlsx", "A 56362-2023")</f>
        <v/>
      </c>
      <c r="X59">
        <f>HYPERLINK("https://klasma.github.io/Logging_1907/kartor/A 56362-2023 karta.png", "A 56362-2023")</f>
        <v/>
      </c>
      <c r="Y59">
        <f>HYPERLINK("https://klasma.github.io/Logging_1907/kartor_geotiff/A 56362-2023 georefererad karta.tif", "A 56362-2023")</f>
        <v/>
      </c>
      <c r="AA59">
        <f>HYPERLINK("https://klasma.github.io/Logging_1907/klagomål/A 56362-2023 FSC-klagomål.docx", "A 56362-2023")</f>
        <v/>
      </c>
      <c r="AB59">
        <f>HYPERLINK("https://klasma.github.io/Logging_1907/klagomålsmail/A 56362-2023 FSC-klagomål mail.docx", "A 56362-2023")</f>
        <v/>
      </c>
      <c r="AC59">
        <f>HYPERLINK("https://klasma.github.io/Logging_1907/tillsyn/A 56362-2023 tillsynsbegäran.docx", "A 56362-2023")</f>
        <v/>
      </c>
      <c r="AD59">
        <f>HYPERLINK("https://klasma.github.io/Logging_1907/tillsynsmail/A 56362-2023 tillsynsbegäran mail.docx", "A 56362-2023")</f>
        <v/>
      </c>
    </row>
    <row r="60" ht="15" customHeight="1">
      <c r="A60" t="inlineStr">
        <is>
          <t>A 47453-2024</t>
        </is>
      </c>
      <c r="B60" t="inlineStr">
        <is>
          <t>avverkningsanmälan</t>
        </is>
      </c>
      <c r="C60" t="inlineStr">
        <is>
          <t>Föryngringsavverkning</t>
        </is>
      </c>
      <c r="D60" s="1" t="n">
        <v>45587</v>
      </c>
      <c r="E60" s="1" t="n">
        <v>46299</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13788-2025</t>
        </is>
      </c>
      <c r="B61" t="inlineStr">
        <is>
          <t>avverkningsanmälan</t>
        </is>
      </c>
      <c r="C61" t="inlineStr">
        <is>
          <t>Föryngringsavverkning</t>
        </is>
      </c>
      <c r="D61" s="1" t="n">
        <v>45737</v>
      </c>
      <c r="E61" s="1" t="n">
        <v>46299</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46299</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41204-2023</t>
        </is>
      </c>
      <c r="B63" t="inlineStr">
        <is>
          <t>avverkningsanmälan</t>
        </is>
      </c>
      <c r="C63" t="inlineStr">
        <is>
          <t>Föryngringsavverkning</t>
        </is>
      </c>
      <c r="D63" s="1" t="n">
        <v>45174</v>
      </c>
      <c r="E63" s="1" t="n">
        <v>46299</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36261-2026</t>
        </is>
      </c>
      <c r="B64" t="inlineStr">
        <is>
          <t>avverkningsanmälan</t>
        </is>
      </c>
      <c r="C64" t="inlineStr">
        <is>
          <t>Föryngringsavverkning</t>
        </is>
      </c>
      <c r="D64" s="1" t="n">
        <v>46268</v>
      </c>
      <c r="E64" s="1" t="n">
        <v>46299</v>
      </c>
      <c r="F64" t="inlineStr">
        <is>
          <t>VÄSTMANLANDS LÄN</t>
        </is>
      </c>
      <c r="G64" t="inlineStr">
        <is>
          <t>SURAHAMMAR</t>
        </is>
      </c>
      <c r="H64" t="inlineStr">
        <is>
          <t>Sveaskog</t>
        </is>
      </c>
      <c r="I64" t="n">
        <v>7.9</v>
      </c>
      <c r="J64" t="n">
        <v>1</v>
      </c>
      <c r="K64" t="n">
        <v>0</v>
      </c>
      <c r="L64" t="n">
        <v>1</v>
      </c>
      <c r="M64" t="n">
        <v>0</v>
      </c>
      <c r="N64" t="n">
        <v>0</v>
      </c>
      <c r="O64" t="n">
        <v>0</v>
      </c>
      <c r="P64" t="n">
        <v>0</v>
      </c>
      <c r="Q64" t="n">
        <v>1</v>
      </c>
      <c r="R64" t="n">
        <v>0</v>
      </c>
      <c r="S64" t="n">
        <v>2</v>
      </c>
      <c r="T64" t="n">
        <v>2</v>
      </c>
      <c r="U64" t="n">
        <v>0</v>
      </c>
      <c r="V64" s="2" t="inlineStr">
        <is>
          <t>Krusfrö
Revlummer</t>
        </is>
      </c>
      <c r="W64">
        <f>HYPERLINK("https://klasma.github.io/Logging_1907/artfynd/A 36261-2026 artfynd.xlsx", "A 36261-2026")</f>
        <v/>
      </c>
      <c r="X64">
        <f>HYPERLINK("https://klasma.github.io/Logging_1907/kartor/A 36261-2026 karta.png", "A 36261-2026")</f>
        <v/>
      </c>
      <c r="Y64">
        <f>HYPERLINK("https://klasma.github.io/Logging_1907/kartor_geotiff/A 36261-2026 georefererad karta.tif", "A 36261-2026")</f>
        <v/>
      </c>
      <c r="AA64">
        <f>HYPERLINK("https://klasma.github.io/Logging_1907/klagomål/A 36261-2026 FSC-klagomål.docx", "A 36261-2026")</f>
        <v/>
      </c>
      <c r="AB64">
        <f>HYPERLINK("https://klasma.github.io/Logging_1907/klagomålsmail/A 36261-2026 FSC-klagomål mail.docx", "A 36261-2026")</f>
        <v/>
      </c>
      <c r="AC64">
        <f>HYPERLINK("https://klasma.github.io/Logging_1907/tillsyn/A 36261-2026 tillsynsbegäran.docx", "A 36261-2026")</f>
        <v/>
      </c>
      <c r="AD64">
        <f>HYPERLINK("https://klasma.github.io/Logging_1907/tillsynsmail/A 36261-2026 tillsynsbegäran mail.docx", "A 36261-2026")</f>
        <v/>
      </c>
    </row>
    <row r="65" ht="15" customHeight="1">
      <c r="A65" t="inlineStr">
        <is>
          <t>A 11501-2023</t>
        </is>
      </c>
      <c r="B65" t="inlineStr">
        <is>
          <t>avverkningsanmälan</t>
        </is>
      </c>
      <c r="C65" t="inlineStr">
        <is>
          <t>Föryngringsavverkning</t>
        </is>
      </c>
      <c r="D65" s="1" t="n">
        <v>44991</v>
      </c>
      <c r="E65" s="1" t="n">
        <v>46299</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46299</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t="n">
        <v>0</v>
      </c>
      <c r="V66" s="2" t="inlineStr">
        <is>
          <t>Garnlav
Motaggsvamp</t>
        </is>
      </c>
      <c r="W66">
        <f>HYPERLINK("https://klasma.github.io/Logging_1907/artfynd/A 14001-2023 artfynd.xlsx", "A 14001-2023")</f>
        <v/>
      </c>
      <c r="X66">
        <f>HYPERLINK("https://klasma.github.io/Logging_1907/kartor/A 14001-2023 karta.png", "A 14001-2023")</f>
        <v/>
      </c>
      <c r="Y66">
        <f>HYPERLINK("https://klasma.github.io/Logging_1907/kartor_geotiff/A 14001-2023 georefererad karta.tif", "A 14001-2023")</f>
        <v/>
      </c>
      <c r="AA66">
        <f>HYPERLINK("https://klasma.github.io/Logging_1907/klagomål/A 14001-2023 FSC-klagomål.docx", "A 14001-2023")</f>
        <v/>
      </c>
      <c r="AB66">
        <f>HYPERLINK("https://klasma.github.io/Logging_1907/klagomålsmail/A 14001-2023 FSC-klagomål mail.docx", "A 14001-2023")</f>
        <v/>
      </c>
      <c r="AC66">
        <f>HYPERLINK("https://klasma.github.io/Logging_1907/tillsyn/A 14001-2023 tillsynsbegäran.docx", "A 14001-2023")</f>
        <v/>
      </c>
      <c r="AD66">
        <f>HYPERLINK("https://klasma.github.io/Logging_1907/tillsynsmail/A 14001-2023 tillsynsbegäran mail.docx", "A 14001-2023")</f>
        <v/>
      </c>
    </row>
    <row r="67" ht="15" customHeight="1">
      <c r="A67" t="inlineStr">
        <is>
          <t>A 13971-2023</t>
        </is>
      </c>
      <c r="B67" t="inlineStr">
        <is>
          <t>avverkningsanmälan</t>
        </is>
      </c>
      <c r="C67" t="inlineStr">
        <is>
          <t>Föryngringsavverkning</t>
        </is>
      </c>
      <c r="D67" s="1" t="n">
        <v>45007</v>
      </c>
      <c r="E67" s="1" t="n">
        <v>46299</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S 703-2025</t>
        </is>
      </c>
      <c r="B68" t="inlineStr">
        <is>
          <t>samrådsanmälan</t>
        </is>
      </c>
      <c r="C68" t="inlineStr">
        <is>
          <t>Skogsgödsling</t>
        </is>
      </c>
      <c r="D68" s="1" t="n">
        <v>45720</v>
      </c>
      <c r="E68" s="1" t="n">
        <v>46299</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46299</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46299</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46299</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46299</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46299</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46299</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46299</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39099-2022</t>
        </is>
      </c>
      <c r="B76" t="inlineStr">
        <is>
          <t>avverkningsanmälan</t>
        </is>
      </c>
      <c r="C76" t="inlineStr">
        <is>
          <t>Föryngringsavverkning</t>
        </is>
      </c>
      <c r="D76" s="1" t="n">
        <v>44817</v>
      </c>
      <c r="E76" s="1" t="n">
        <v>46299</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34584-2025</t>
        </is>
      </c>
      <c r="B77" t="inlineStr">
        <is>
          <t>avverkningsanmälan</t>
        </is>
      </c>
      <c r="C77" t="inlineStr">
        <is>
          <t>Föryngringsavverkning</t>
        </is>
      </c>
      <c r="D77" s="1" t="n">
        <v>45846</v>
      </c>
      <c r="E77" s="1" t="n">
        <v>46299</v>
      </c>
      <c r="F77" t="inlineStr">
        <is>
          <t>VÄSTMANLANDS LÄN</t>
        </is>
      </c>
      <c r="G77" t="inlineStr">
        <is>
          <t>SURAHAMMAR</t>
        </is>
      </c>
      <c r="H77" t="inlineStr">
        <is>
          <t>Bergvik skog väst AB</t>
        </is>
      </c>
      <c r="I77" t="n">
        <v>2.7</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HYPERLINK("https://klasma.github.io/Logging_1907/artfynd/A 34584-2025 artfynd.xlsx", "A 34584-2025")</f>
        <v/>
      </c>
      <c r="X77">
        <f>HYPERLINK("https://klasma.github.io/Logging_1907/kartor/A 34584-2025 karta.png", "A 34584-2025")</f>
        <v/>
      </c>
      <c r="Y77">
        <f>HYPERLINK("https://klasma.github.io/Logging_1907/kartor_geotiff/A 34584-2025 georefererad karta.tif", "A 34584-2025")</f>
        <v/>
      </c>
      <c r="AA77">
        <f>HYPERLINK("https://klasma.github.io/Logging_1907/klagomål/A 34584-2025 FSC-klagomål.docx", "A 34584-2025")</f>
        <v/>
      </c>
      <c r="AB77">
        <f>HYPERLINK("https://klasma.github.io/Logging_1907/klagomålsmail/A 34584-2025 FSC-klagomål mail.docx", "A 34584-2025")</f>
        <v/>
      </c>
      <c r="AC77">
        <f>HYPERLINK("https://klasma.github.io/Logging_1907/tillsyn/A 34584-2025 tillsynsbegäran.docx", "A 34584-2025")</f>
        <v/>
      </c>
      <c r="AD77">
        <f>HYPERLINK("https://klasma.github.io/Logging_1907/tillsynsmail/A 34584-2025 tillsynsbegäran mail.docx", "A 34584-2025")</f>
        <v/>
      </c>
      <c r="AE77">
        <f>HYPERLINK("https://klasma.github.io/Logging_1907/fåglar/A 34584-2025 prioriterade fågelarter.docx", "A 34584-2025")</f>
        <v/>
      </c>
    </row>
    <row r="78" ht="15" customHeight="1">
      <c r="A78" t="inlineStr">
        <is>
          <t>A 17632-2022</t>
        </is>
      </c>
      <c r="B78" t="inlineStr">
        <is>
          <t>avverkningsanmälan</t>
        </is>
      </c>
      <c r="C78" t="inlineStr">
        <is>
          <t>Föryngringsavverkning</t>
        </is>
      </c>
      <c r="D78" s="1" t="n">
        <v>44680</v>
      </c>
      <c r="E78" s="1" t="n">
        <v>46299</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46299</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46299</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46299</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46299</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31589-2026</t>
        </is>
      </c>
      <c r="B83" t="inlineStr">
        <is>
          <t>avverkningsanmälan</t>
        </is>
      </c>
      <c r="C83" t="inlineStr">
        <is>
          <t>Föryngringsavverkning</t>
        </is>
      </c>
      <c r="D83" s="1" t="n">
        <v>46224</v>
      </c>
      <c r="E83" s="1" t="n">
        <v>46299</v>
      </c>
      <c r="F83" t="inlineStr">
        <is>
          <t>VÄSTMANLANDS LÄN</t>
        </is>
      </c>
      <c r="G83" t="inlineStr">
        <is>
          <t>SURAHAMMAR</t>
        </is>
      </c>
      <c r="H83" t="inlineStr">
        <is>
          <t>Allmännings- och besparingsskogar</t>
        </is>
      </c>
      <c r="I83" t="n">
        <v>7</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HYPERLINK("https://klasma.github.io/Logging_1907/artfynd/A 31589-2026 artfynd.xlsx", "A 31589-2026")</f>
        <v/>
      </c>
      <c r="X83">
        <f>HYPERLINK("https://klasma.github.io/Logging_1907/kartor/A 31589-2026 karta.png", "A 31589-2026")</f>
        <v/>
      </c>
      <c r="Y83">
        <f>HYPERLINK("https://klasma.github.io/Logging_1907/kartor_geotiff/A 31589-2026 georefererad karta.tif", "A 31589-2026")</f>
        <v/>
      </c>
      <c r="AA83">
        <f>HYPERLINK("https://klasma.github.io/Logging_1907/klagomål/A 31589-2026 FSC-klagomål.docx", "A 31589-2026")</f>
        <v/>
      </c>
      <c r="AB83">
        <f>HYPERLINK("https://klasma.github.io/Logging_1907/klagomålsmail/A 31589-2026 FSC-klagomål mail.docx", "A 31589-2026")</f>
        <v/>
      </c>
      <c r="AC83">
        <f>HYPERLINK("https://klasma.github.io/Logging_1907/tillsyn/A 31589-2026 tillsynsbegäran.docx", "A 31589-2026")</f>
        <v/>
      </c>
      <c r="AD83">
        <f>HYPERLINK("https://klasma.github.io/Logging_1907/tillsynsmail/A 31589-2026 tillsynsbegäran mail.docx", "A 31589-2026")</f>
        <v/>
      </c>
    </row>
    <row r="84" ht="15" customHeight="1">
      <c r="A84" t="inlineStr">
        <is>
          <t>A 24167-2024</t>
        </is>
      </c>
      <c r="B84" t="inlineStr">
        <is>
          <t>avverkningsanmälan</t>
        </is>
      </c>
      <c r="C84" t="inlineStr">
        <is>
          <t>Avverkning för annat ändamål</t>
        </is>
      </c>
      <c r="D84" s="1" t="n">
        <v>45456</v>
      </c>
      <c r="E84" s="1" t="n">
        <v>46299</v>
      </c>
      <c r="F84" t="inlineStr">
        <is>
          <t>VÄSTMANLANDS LÄN</t>
        </is>
      </c>
      <c r="G84" t="inlineStr">
        <is>
          <t>SURAHAMMAR</t>
        </is>
      </c>
      <c r="I84" t="n">
        <v>0.6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HYPERLINK("https://klasma.github.io/Logging_1907/artfynd/A 24167-2024 artfynd.xlsx", "A 24167-2024")</f>
        <v/>
      </c>
      <c r="X84">
        <f>HYPERLINK("https://klasma.github.io/Logging_1907/kartor/A 24167-2024 karta.png", "A 24167-2024")</f>
        <v/>
      </c>
      <c r="Y84">
        <f>HYPERLINK("https://klasma.github.io/Logging_1907/kartor_geotiff/A 24167-2024 georefererad karta.tif", "A 24167-2024")</f>
        <v/>
      </c>
      <c r="AA84">
        <f>HYPERLINK("https://klasma.github.io/Logging_1907/klagomål/A 24167-2024 FSC-klagomål.docx", "A 24167-2024")</f>
        <v/>
      </c>
      <c r="AB84">
        <f>HYPERLINK("https://klasma.github.io/Logging_1907/klagomålsmail/A 24167-2024 FSC-klagomål mail.docx", "A 24167-2024")</f>
        <v/>
      </c>
      <c r="AC84">
        <f>HYPERLINK("https://klasma.github.io/Logging_1907/tillsyn/A 24167-2024 tillsynsbegäran.docx", "A 24167-2024")</f>
        <v/>
      </c>
      <c r="AD84">
        <f>HYPERLINK("https://klasma.github.io/Logging_1907/tillsynsmail/A 24167-2024 tillsynsbegäran mail.docx", "A 24167-2024")</f>
        <v/>
      </c>
    </row>
    <row r="85" ht="15" customHeight="1">
      <c r="A85" t="inlineStr">
        <is>
          <t>A 16013-2023</t>
        </is>
      </c>
      <c r="B85" t="inlineStr">
        <is>
          <t>avverkningsanmälan</t>
        </is>
      </c>
      <c r="C85" t="inlineStr">
        <is>
          <t>Föryngringsavverkning</t>
        </is>
      </c>
      <c r="D85" s="1" t="n">
        <v>45026</v>
      </c>
      <c r="E85" s="1" t="n">
        <v>46299</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64073-2021</t>
        </is>
      </c>
      <c r="B86" t="inlineStr">
        <is>
          <t>avverkningsanmälan</t>
        </is>
      </c>
      <c r="C86" t="inlineStr">
        <is>
          <t>Avverkning för annat ändamål</t>
        </is>
      </c>
      <c r="D86" s="1" t="n">
        <v>44509</v>
      </c>
      <c r="E86" s="1" t="n">
        <v>46299</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46299</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46299</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46299</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46299</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46299</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46299</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46299</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46299</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15637-2022</t>
        </is>
      </c>
      <c r="B95" t="inlineStr">
        <is>
          <t>avverkningsanmälan</t>
        </is>
      </c>
      <c r="C95" t="inlineStr">
        <is>
          <t>Föryngringsavverkning</t>
        </is>
      </c>
      <c r="D95" s="1" t="n">
        <v>44662</v>
      </c>
      <c r="E95" s="1" t="n">
        <v>46299</v>
      </c>
      <c r="F95" t="inlineStr">
        <is>
          <t>VÄSTMANLANDS LÄN</t>
        </is>
      </c>
      <c r="G95" t="inlineStr">
        <is>
          <t>SURAHAMMAR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46299</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46299</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46299</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46299</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15739-2023</t>
        </is>
      </c>
      <c r="B100" t="inlineStr">
        <is>
          <t>avverkningsanmälan</t>
        </is>
      </c>
      <c r="C100" t="inlineStr">
        <is>
          <t>Föryngringsavverkning</t>
        </is>
      </c>
      <c r="D100" s="1" t="n">
        <v>45021</v>
      </c>
      <c r="E100" s="1" t="n">
        <v>46299</v>
      </c>
      <c r="F100" t="inlineStr">
        <is>
          <t>VÄSTMANLANDS LÄN</t>
        </is>
      </c>
      <c r="G100" t="inlineStr">
        <is>
          <t>SURAHAMMAR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4724-2026</t>
        </is>
      </c>
      <c r="B101" t="inlineStr">
        <is>
          <t>avverkningsanmälan</t>
        </is>
      </c>
      <c r="C101" t="inlineStr">
        <is>
          <t>Föryngringsavverkning</t>
        </is>
      </c>
      <c r="D101" s="1" t="n">
        <v>46048</v>
      </c>
      <c r="E101" s="1" t="n">
        <v>46299</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4734-2026</t>
        </is>
      </c>
      <c r="B102" t="inlineStr">
        <is>
          <t>avverkningsanmälan</t>
        </is>
      </c>
      <c r="C102" t="inlineStr">
        <is>
          <t>Föryngringsavverkning</t>
        </is>
      </c>
      <c r="D102" s="1" t="n">
        <v>46048</v>
      </c>
      <c r="E102" s="1" t="n">
        <v>46299</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10244-2026</t>
        </is>
      </c>
      <c r="B103" t="inlineStr">
        <is>
          <t>avverkningsanmälan</t>
        </is>
      </c>
      <c r="C103" t="inlineStr">
        <is>
          <t>Föryngringsavverkning</t>
        </is>
      </c>
      <c r="D103" s="1" t="n">
        <v>46076</v>
      </c>
      <c r="E103" s="1" t="n">
        <v>46299</v>
      </c>
      <c r="F103" t="inlineStr">
        <is>
          <t>VÄSTMANLANDS LÄN</t>
        </is>
      </c>
      <c r="G103" t="inlineStr">
        <is>
          <t>SURAHAMMAR</t>
        </is>
      </c>
      <c r="H103" t="inlineStr">
        <is>
          <t>Allmännings- och besparingsskogar</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10562-2026</t>
        </is>
      </c>
      <c r="B104" t="inlineStr">
        <is>
          <t>avverkningsanmälan</t>
        </is>
      </c>
      <c r="C104" t="inlineStr">
        <is>
          <t>Föryngringsavverkning</t>
        </is>
      </c>
      <c r="D104" s="1" t="n">
        <v>46077</v>
      </c>
      <c r="E104" s="1" t="n">
        <v>46299</v>
      </c>
      <c r="F104" t="inlineStr">
        <is>
          <t>VÄSTMANLANDS LÄN</t>
        </is>
      </c>
      <c r="G104" t="inlineStr">
        <is>
          <t>SURAHAMMAR</t>
        </is>
      </c>
      <c r="H104" t="inlineStr">
        <is>
          <t>Övriga Aktiebolag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72367-2021</t>
        </is>
      </c>
      <c r="B105" t="inlineStr">
        <is>
          <t>avverkningsanmälan</t>
        </is>
      </c>
      <c r="C105" t="inlineStr">
        <is>
          <t>Föryngringsavverkning</t>
        </is>
      </c>
      <c r="D105" s="1" t="n">
        <v>44545</v>
      </c>
      <c r="E105" s="1" t="n">
        <v>46299</v>
      </c>
      <c r="F105" t="inlineStr">
        <is>
          <t>VÄSTMANLANDS LÄN</t>
        </is>
      </c>
      <c r="G105" t="inlineStr">
        <is>
          <t>SURAHAMMAR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33931-2022</t>
        </is>
      </c>
      <c r="B106" t="inlineStr">
        <is>
          <t>avverkningsanmälan</t>
        </is>
      </c>
      <c r="C106" t="inlineStr">
        <is>
          <t>Föryngringsavverkning</t>
        </is>
      </c>
      <c r="D106" s="1" t="n">
        <v>44790</v>
      </c>
      <c r="E106" s="1" t="n">
        <v>46299</v>
      </c>
      <c r="F106" t="inlineStr">
        <is>
          <t>VÄSTMANLANDS LÄN</t>
        </is>
      </c>
      <c r="G106" t="inlineStr">
        <is>
          <t>SURAHAMMAR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46299</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55873-2025</t>
        </is>
      </c>
      <c r="B108" t="inlineStr">
        <is>
          <t>avverkningsanmälan</t>
        </is>
      </c>
      <c r="C108" t="inlineStr">
        <is>
          <t>Föryngringsavverkning</t>
        </is>
      </c>
      <c r="D108" s="1" t="n">
        <v>45973</v>
      </c>
      <c r="E108" s="1" t="n">
        <v>46299</v>
      </c>
      <c r="F108" t="inlineStr">
        <is>
          <t>VÄSTMANLANDS LÄN</t>
        </is>
      </c>
      <c r="G108" t="inlineStr">
        <is>
          <t>SURAHAMMAR</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24158-2023</t>
        </is>
      </c>
      <c r="B109" t="inlineStr">
        <is>
          <t>avverkningsanmälan</t>
        </is>
      </c>
      <c r="C109" t="inlineStr">
        <is>
          <t>Föryngringsavverkning</t>
        </is>
      </c>
      <c r="D109" s="1" t="n">
        <v>45079</v>
      </c>
      <c r="E109" s="1" t="n">
        <v>46299</v>
      </c>
      <c r="F109" t="inlineStr">
        <is>
          <t>VÄSTMANLANDS LÄN</t>
        </is>
      </c>
      <c r="G109" t="inlineStr">
        <is>
          <t>SURAHAMMAR</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42714-2022</t>
        </is>
      </c>
      <c r="B110" t="inlineStr">
        <is>
          <t>avverkningsanmälan</t>
        </is>
      </c>
      <c r="C110" t="inlineStr">
        <is>
          <t>Föryngringsavverkning</t>
        </is>
      </c>
      <c r="D110" s="1" t="n">
        <v>44832</v>
      </c>
      <c r="E110" s="1" t="n">
        <v>46299</v>
      </c>
      <c r="F110" t="inlineStr">
        <is>
          <t>VÄSTMANLANDS LÄN</t>
        </is>
      </c>
      <c r="G110" t="inlineStr">
        <is>
          <t>SURAHAMMAR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35682-2022</t>
        </is>
      </c>
      <c r="B111" t="inlineStr">
        <is>
          <t>avverkningsanmälan</t>
        </is>
      </c>
      <c r="C111" t="inlineStr">
        <is>
          <t>Föryngringsavverkning</t>
        </is>
      </c>
      <c r="D111" s="1" t="n">
        <v>44799</v>
      </c>
      <c r="E111" s="1" t="n">
        <v>46299</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11728-2023</t>
        </is>
      </c>
      <c r="B112" t="inlineStr">
        <is>
          <t>avverkningsanmälan</t>
        </is>
      </c>
      <c r="C112" t="inlineStr">
        <is>
          <t>Avverkning för att bevara och utveckla /försöksver</t>
        </is>
      </c>
      <c r="D112" s="1" t="n">
        <v>44993</v>
      </c>
      <c r="E112" s="1" t="n">
        <v>46299</v>
      </c>
      <c r="F112" t="inlineStr">
        <is>
          <t>VÄSTMANLANDS LÄN</t>
        </is>
      </c>
      <c r="G112" t="inlineStr">
        <is>
          <t>SURAHAMMAR</t>
        </is>
      </c>
      <c r="H112" t="inlineStr">
        <is>
          <t>Bergvik skog väst AB</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19246-2026</t>
        </is>
      </c>
      <c r="B113" t="inlineStr">
        <is>
          <t>avverkningsanmälan</t>
        </is>
      </c>
      <c r="C113" t="inlineStr">
        <is>
          <t>Avverkning för annat ändamål</t>
        </is>
      </c>
      <c r="D113" s="1" t="n">
        <v>46132</v>
      </c>
      <c r="E113" s="1" t="n">
        <v>46299</v>
      </c>
      <c r="F113" t="inlineStr">
        <is>
          <t>VÄSTMANLANDS LÄN</t>
        </is>
      </c>
      <c r="G113" t="inlineStr">
        <is>
          <t>SURAHAMMAR</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5567-2022</t>
        </is>
      </c>
      <c r="B114" t="inlineStr">
        <is>
          <t>avverkningsanmälan</t>
        </is>
      </c>
      <c r="C114" t="inlineStr">
        <is>
          <t>Föryngringsavverkning</t>
        </is>
      </c>
      <c r="D114" s="1" t="n">
        <v>44595</v>
      </c>
      <c r="E114" s="1" t="n">
        <v>46299</v>
      </c>
      <c r="F114" t="inlineStr">
        <is>
          <t>VÄSTMANLANDS LÄN</t>
        </is>
      </c>
      <c r="G114" t="inlineStr">
        <is>
          <t>SURAHAMMAR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42832-2022</t>
        </is>
      </c>
      <c r="B115" t="inlineStr">
        <is>
          <t>avverkningsanmälan</t>
        </is>
      </c>
      <c r="C115" t="inlineStr">
        <is>
          <t>Avverkning för annat ändamål</t>
        </is>
      </c>
      <c r="D115" s="1" t="n">
        <v>44832</v>
      </c>
      <c r="E115" s="1" t="n">
        <v>46299</v>
      </c>
      <c r="F115" t="inlineStr">
        <is>
          <t>VÄSTMANLANDS LÄN</t>
        </is>
      </c>
      <c r="G115" t="inlineStr">
        <is>
          <t>SURAHAMMAR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24665-2023</t>
        </is>
      </c>
      <c r="B116" t="inlineStr">
        <is>
          <t>avverkningsanmälan</t>
        </is>
      </c>
      <c r="C116" t="inlineStr">
        <is>
          <t>Föryngringsavverkning</t>
        </is>
      </c>
      <c r="D116" s="1" t="n">
        <v>45084</v>
      </c>
      <c r="E116" s="1" t="n">
        <v>46299</v>
      </c>
      <c r="F116" t="inlineStr">
        <is>
          <t>VÄSTMANLANDS LÄN</t>
        </is>
      </c>
      <c r="G116" t="inlineStr">
        <is>
          <t>SURAHAMMAR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32808-2024</t>
        </is>
      </c>
      <c r="B117" t="inlineStr">
        <is>
          <t>avverkningsanmälan</t>
        </is>
      </c>
      <c r="C117" t="inlineStr">
        <is>
          <t>Föryngringsavverkning</t>
        </is>
      </c>
      <c r="D117" s="1" t="n">
        <v>45516</v>
      </c>
      <c r="E117" s="1" t="n">
        <v>46299</v>
      </c>
      <c r="F117" t="inlineStr">
        <is>
          <t>VÄSTMANLANDS LÄN</t>
        </is>
      </c>
      <c r="G117" t="inlineStr">
        <is>
          <t>SURAHAMMAR</t>
        </is>
      </c>
      <c r="H117" t="inlineStr">
        <is>
          <t>Övriga Aktiebolag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42841-2022</t>
        </is>
      </c>
      <c r="B118" t="inlineStr">
        <is>
          <t>avverkningsanmälan</t>
        </is>
      </c>
      <c r="C118" t="inlineStr">
        <is>
          <t>Avverkning för annat ändamål</t>
        </is>
      </c>
      <c r="D118" s="1" t="n">
        <v>44832</v>
      </c>
      <c r="E118" s="1" t="n">
        <v>46299</v>
      </c>
      <c r="F118" t="inlineStr">
        <is>
          <t>VÄSTMANLANDS LÄN</t>
        </is>
      </c>
      <c r="G118" t="inlineStr">
        <is>
          <t>SURAHAMMAR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42829-2022</t>
        </is>
      </c>
      <c r="B119" t="inlineStr">
        <is>
          <t>avverkningsanmälan</t>
        </is>
      </c>
      <c r="C119" t="inlineStr">
        <is>
          <t>Avverkning för annat ändamål</t>
        </is>
      </c>
      <c r="D119" s="1" t="n">
        <v>44832</v>
      </c>
      <c r="E119" s="1" t="n">
        <v>46299</v>
      </c>
      <c r="F119" t="inlineStr">
        <is>
          <t>VÄSTMANLANDS LÄN</t>
        </is>
      </c>
      <c r="G119" t="inlineStr">
        <is>
          <t>SURAHAMMAR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2867-2024</t>
        </is>
      </c>
      <c r="B120" t="inlineStr">
        <is>
          <t>avverkningsanmälan</t>
        </is>
      </c>
      <c r="C120" t="inlineStr">
        <is>
          <t>Föryngringsavverkning</t>
        </is>
      </c>
      <c r="D120" s="1" t="n">
        <v>45315</v>
      </c>
      <c r="E120" s="1" t="n">
        <v>46299</v>
      </c>
      <c r="F120" t="inlineStr">
        <is>
          <t>VÄSTMANLANDS LÄN</t>
        </is>
      </c>
      <c r="G120" t="inlineStr">
        <is>
          <t>SURAHAMMAR</t>
        </is>
      </c>
      <c r="H120" t="inlineStr">
        <is>
          <t>Bergvik skog väst AB</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3085-2023</t>
        </is>
      </c>
      <c r="B121" t="inlineStr">
        <is>
          <t>avverkningsanmälan</t>
        </is>
      </c>
      <c r="C121" t="inlineStr">
        <is>
          <t>Föryngringsavverkning</t>
        </is>
      </c>
      <c r="D121" s="1" t="n">
        <v>44946</v>
      </c>
      <c r="E121" s="1" t="n">
        <v>46299</v>
      </c>
      <c r="F121" t="inlineStr">
        <is>
          <t>VÄSTMANLANDS LÄN</t>
        </is>
      </c>
      <c r="G121" t="inlineStr">
        <is>
          <t>SURAHAMMAR</t>
        </is>
      </c>
      <c r="H121" t="inlineStr">
        <is>
          <t>Kyrkan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49058-2024</t>
        </is>
      </c>
      <c r="B122" t="inlineStr">
        <is>
          <t>avverkningsanmälan</t>
        </is>
      </c>
      <c r="C122" t="inlineStr">
        <is>
          <t>Föryngringsavverkning</t>
        </is>
      </c>
      <c r="D122" s="1" t="n">
        <v>45594</v>
      </c>
      <c r="E122" s="1" t="n">
        <v>46299</v>
      </c>
      <c r="F122" t="inlineStr">
        <is>
          <t>VÄSTMANLANDS LÄN</t>
        </is>
      </c>
      <c r="G122" t="inlineStr">
        <is>
          <t>SURAHAMMAR</t>
        </is>
      </c>
      <c r="H122" t="inlineStr">
        <is>
          <t>Sveaskog</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20535-2026</t>
        </is>
      </c>
      <c r="B123" t="inlineStr">
        <is>
          <t>avverkningsanmälan</t>
        </is>
      </c>
      <c r="C123" t="inlineStr">
        <is>
          <t>Avverkning för annat ändamål</t>
        </is>
      </c>
      <c r="D123" s="1" t="n">
        <v>46140</v>
      </c>
      <c r="E123" s="1" t="n">
        <v>46299</v>
      </c>
      <c r="F123" t="inlineStr">
        <is>
          <t>VÄSTMANLANDS LÄN</t>
        </is>
      </c>
      <c r="G123" t="inlineStr">
        <is>
          <t>SURAHAMMAR</t>
        </is>
      </c>
      <c r="H123" t="inlineStr">
        <is>
          <t>Bergvik skog väst AB</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20904-2023</t>
        </is>
      </c>
      <c r="B124" t="inlineStr">
        <is>
          <t>avverkningsanmälan</t>
        </is>
      </c>
      <c r="C124" t="inlineStr">
        <is>
          <t>Avverkning för att bevara och utveckla /försöksver</t>
        </is>
      </c>
      <c r="D124" s="1" t="n">
        <v>45060</v>
      </c>
      <c r="E124" s="1" t="n">
        <v>46299</v>
      </c>
      <c r="F124" t="inlineStr">
        <is>
          <t>VÄSTMANLANDS LÄN</t>
        </is>
      </c>
      <c r="G124" t="inlineStr">
        <is>
          <t>SURAHAMMAR</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2660-2024</t>
        </is>
      </c>
      <c r="B125" t="inlineStr">
        <is>
          <t>avverkningsanmälan</t>
        </is>
      </c>
      <c r="C125" t="inlineStr">
        <is>
          <t>Föryngringsavverkning</t>
        </is>
      </c>
      <c r="D125" s="1" t="n">
        <v>45310</v>
      </c>
      <c r="E125" s="1" t="n">
        <v>46299</v>
      </c>
      <c r="F125" t="inlineStr">
        <is>
          <t>VÄSTMANLANDS LÄN</t>
        </is>
      </c>
      <c r="G125" t="inlineStr">
        <is>
          <t>SURAHAMMAR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24201-2026</t>
        </is>
      </c>
      <c r="B126" t="inlineStr">
        <is>
          <t>avverkningsanmälan</t>
        </is>
      </c>
      <c r="C126" t="inlineStr">
        <is>
          <t>Föryngringsavverkning</t>
        </is>
      </c>
      <c r="D126" s="1" t="n">
        <v>46168</v>
      </c>
      <c r="E126" s="1" t="n">
        <v>46299</v>
      </c>
      <c r="F126" t="inlineStr">
        <is>
          <t>VÄSTMANLANDS LÄN</t>
        </is>
      </c>
      <c r="G126" t="inlineStr">
        <is>
          <t>SURAHAMMAR</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14626-2023</t>
        </is>
      </c>
      <c r="B127" t="inlineStr">
        <is>
          <t>avverkningsanmälan</t>
        </is>
      </c>
      <c r="C127" t="inlineStr">
        <is>
          <t>Föryngringsavverkning</t>
        </is>
      </c>
      <c r="D127" s="1" t="n">
        <v>45012</v>
      </c>
      <c r="E127" s="1" t="n">
        <v>46299</v>
      </c>
      <c r="F127" t="inlineStr">
        <is>
          <t>VÄSTMANLANDS LÄN</t>
        </is>
      </c>
      <c r="G127" t="inlineStr">
        <is>
          <t>SURAHAMMAR</t>
        </is>
      </c>
      <c r="H127" t="inlineStr">
        <is>
          <t>Bergvik skog väst AB</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22628-2026</t>
        </is>
      </c>
      <c r="B128" t="inlineStr">
        <is>
          <t>avverkningsanmälan</t>
        </is>
      </c>
      <c r="C128" t="inlineStr">
        <is>
          <t>Föryngringsavverkning</t>
        </is>
      </c>
      <c r="D128" s="1" t="n">
        <v>46155</v>
      </c>
      <c r="E128" s="1" t="n">
        <v>46299</v>
      </c>
      <c r="F128" t="inlineStr">
        <is>
          <t>VÄSTMANLANDS LÄN</t>
        </is>
      </c>
      <c r="G128" t="inlineStr">
        <is>
          <t>SURAHAMMAR</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46299</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31061-2026</t>
        </is>
      </c>
      <c r="B130" t="inlineStr">
        <is>
          <t>avverkningsanmälan</t>
        </is>
      </c>
      <c r="C130" t="inlineStr">
        <is>
          <t>Föryngringsavverkning</t>
        </is>
      </c>
      <c r="D130" s="1" t="n">
        <v>46215</v>
      </c>
      <c r="E130" s="1" t="n">
        <v>46299</v>
      </c>
      <c r="F130" t="inlineStr">
        <is>
          <t>VÄSTMANLANDS LÄN</t>
        </is>
      </c>
      <c r="G130" t="inlineStr">
        <is>
          <t>SURAHAMMAR</t>
        </is>
      </c>
      <c r="H130" t="inlineStr">
        <is>
          <t>Sveaskog</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19782-2023</t>
        </is>
      </c>
      <c r="B131" t="inlineStr">
        <is>
          <t>avverkningsanmälan</t>
        </is>
      </c>
      <c r="C131" t="inlineStr">
        <is>
          <t>Föryngringsavverkning</t>
        </is>
      </c>
      <c r="D131" s="1" t="n">
        <v>45050</v>
      </c>
      <c r="E131" s="1" t="n">
        <v>46299</v>
      </c>
      <c r="F131" t="inlineStr">
        <is>
          <t>VÄSTMANLANDS LÄN</t>
        </is>
      </c>
      <c r="G131" t="inlineStr">
        <is>
          <t>SURAHAMMAR</t>
        </is>
      </c>
      <c r="H131" t="inlineStr">
        <is>
          <t>Bergvik skog väst AB</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7848-2022</t>
        </is>
      </c>
      <c r="B132" t="inlineStr">
        <is>
          <t>avverkningsanmälan</t>
        </is>
      </c>
      <c r="C132" t="inlineStr">
        <is>
          <t>Föryngringsavverkning</t>
        </is>
      </c>
      <c r="D132" s="1" t="n">
        <v>44608</v>
      </c>
      <c r="E132" s="1" t="n">
        <v>46299</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56378-2023</t>
        </is>
      </c>
      <c r="B133" t="inlineStr">
        <is>
          <t>avverkningsanmälan</t>
        </is>
      </c>
      <c r="C133" t="inlineStr">
        <is>
          <t>Föryngringsavverkning</t>
        </is>
      </c>
      <c r="D133" s="1" t="n">
        <v>45236</v>
      </c>
      <c r="E133" s="1" t="n">
        <v>46299</v>
      </c>
      <c r="F133" t="inlineStr">
        <is>
          <t>VÄSTMANLANDS LÄN</t>
        </is>
      </c>
      <c r="G133" t="inlineStr">
        <is>
          <t>SURAHAMMAR</t>
        </is>
      </c>
      <c r="H133" t="inlineStr">
        <is>
          <t>Bergvik skog väst AB</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19099-2022</t>
        </is>
      </c>
      <c r="B134" t="inlineStr">
        <is>
          <t>avverkningsanmälan</t>
        </is>
      </c>
      <c r="C134" t="inlineStr">
        <is>
          <t>Föryngringsavverkning</t>
        </is>
      </c>
      <c r="D134" s="1" t="n">
        <v>44691</v>
      </c>
      <c r="E134" s="1" t="n">
        <v>46299</v>
      </c>
      <c r="F134" t="inlineStr">
        <is>
          <t>VÄSTMANLANDS LÄN</t>
        </is>
      </c>
      <c r="G134" t="inlineStr">
        <is>
          <t>SURAHAMMAR</t>
        </is>
      </c>
      <c r="H134" t="inlineStr">
        <is>
          <t>Övriga Aktiebolag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46299</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46299</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3818-2022</t>
        </is>
      </c>
      <c r="B137" t="inlineStr">
        <is>
          <t>avverkningsanmälan</t>
        </is>
      </c>
      <c r="C137" t="inlineStr">
        <is>
          <t>Föryngringsavverkning</t>
        </is>
      </c>
      <c r="D137" s="1" t="n">
        <v>44587</v>
      </c>
      <c r="E137" s="1" t="n">
        <v>46299</v>
      </c>
      <c r="F137" t="inlineStr">
        <is>
          <t>VÄSTMANLANDS LÄN</t>
        </is>
      </c>
      <c r="G137" t="inlineStr">
        <is>
          <t>SURAHAMMAR</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33933-2026</t>
        </is>
      </c>
      <c r="B138" t="inlineStr">
        <is>
          <t>avverkningsanmälan</t>
        </is>
      </c>
      <c r="C138" t="inlineStr">
        <is>
          <t>Föryngringsavverkning</t>
        </is>
      </c>
      <c r="D138" s="1" t="n">
        <v>46248</v>
      </c>
      <c r="E138" s="1" t="n">
        <v>46299</v>
      </c>
      <c r="F138" t="inlineStr">
        <is>
          <t>VÄSTMANLANDS LÄN</t>
        </is>
      </c>
      <c r="G138" t="inlineStr">
        <is>
          <t>SURAHAMMAR</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37954-2025</t>
        </is>
      </c>
      <c r="B139" t="inlineStr">
        <is>
          <t>avverkningsanmälan</t>
        </is>
      </c>
      <c r="C139" t="inlineStr">
        <is>
          <t>Föryngringsavverkning</t>
        </is>
      </c>
      <c r="D139" s="1" t="n">
        <v>45881</v>
      </c>
      <c r="E139" s="1" t="n">
        <v>46299</v>
      </c>
      <c r="F139" t="inlineStr">
        <is>
          <t>VÄSTMANLANDS LÄN</t>
        </is>
      </c>
      <c r="G139" t="inlineStr">
        <is>
          <t>SURAHAMMAR</t>
        </is>
      </c>
      <c r="I139" t="n">
        <v>9.5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21509-2024</t>
        </is>
      </c>
      <c r="B140" t="inlineStr">
        <is>
          <t>avverkningsanmälan</t>
        </is>
      </c>
      <c r="C140" t="inlineStr">
        <is>
          <t>Föryngringsavverkning</t>
        </is>
      </c>
      <c r="D140" s="1" t="n">
        <v>45441</v>
      </c>
      <c r="E140" s="1" t="n">
        <v>46299</v>
      </c>
      <c r="F140" t="inlineStr">
        <is>
          <t>VÄSTMANLANDS LÄN</t>
        </is>
      </c>
      <c r="G140" t="inlineStr">
        <is>
          <t>SURAHAMMAR</t>
        </is>
      </c>
      <c r="H140" t="inlineStr">
        <is>
          <t>Bergvik skog väst AB</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22662-2023</t>
        </is>
      </c>
      <c r="B141" t="inlineStr">
        <is>
          <t>avverkningsanmälan</t>
        </is>
      </c>
      <c r="C141" t="inlineStr">
        <is>
          <t>Avverkning för att bevara och utveckla /försöksver</t>
        </is>
      </c>
      <c r="D141" s="1" t="n">
        <v>45071</v>
      </c>
      <c r="E141" s="1" t="n">
        <v>46299</v>
      </c>
      <c r="F141" t="inlineStr">
        <is>
          <t>VÄSTMANLANDS LÄN</t>
        </is>
      </c>
      <c r="G141" t="inlineStr">
        <is>
          <t>SURAHAMMAR</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25780-2023</t>
        </is>
      </c>
      <c r="B142" t="inlineStr">
        <is>
          <t>avverkningsanmälan</t>
        </is>
      </c>
      <c r="C142" t="inlineStr">
        <is>
          <t>Föryngringsavverkning</t>
        </is>
      </c>
      <c r="D142" s="1" t="n">
        <v>45090</v>
      </c>
      <c r="E142" s="1" t="n">
        <v>46299</v>
      </c>
      <c r="F142" t="inlineStr">
        <is>
          <t>VÄSTMANLANDS LÄN</t>
        </is>
      </c>
      <c r="G142" t="inlineStr">
        <is>
          <t>SURAHAMMAR</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46299</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46299</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46299</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2026-10-04T01:55:05Z</dcterms:created>
  <dcterms:modified xmlns:dcterms="http://purl.org/dc/terms/" xmlns:xsi="http://www.w3.org/2001/XMLSchema-instance" xsi:type="dcterms:W3CDTF">2026-10-04T01:55:06Z</dcterms:modified>
</cp:coreProperties>
</file>