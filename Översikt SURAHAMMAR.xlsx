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45969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45969</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45969</v>
      </c>
      <c r="D5" t="inlineStr">
        <is>
          <t>VÄSTMANLANDS LÄN</t>
        </is>
      </c>
      <c r="E5" t="inlineStr">
        <is>
          <t>SURAHAMMAR</t>
        </is>
      </c>
      <c r="F5" t="inlineStr">
        <is>
          <t>Bergvik skog väst AB</t>
        </is>
      </c>
      <c r="G5" t="n">
        <v>25.7</v>
      </c>
      <c r="H5" t="n">
        <v>15</v>
      </c>
      <c r="I5" t="n">
        <v>7</v>
      </c>
      <c r="J5" t="n">
        <v>6</v>
      </c>
      <c r="K5" t="n">
        <v>1</v>
      </c>
      <c r="L5" t="n">
        <v>1</v>
      </c>
      <c r="M5" t="n">
        <v>0</v>
      </c>
      <c r="N5" t="n">
        <v>0</v>
      </c>
      <c r="O5" t="n">
        <v>8</v>
      </c>
      <c r="P5" t="n">
        <v>2</v>
      </c>
      <c r="Q5" t="n">
        <v>24</v>
      </c>
      <c r="R5"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45969</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45969</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45969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45969</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45969</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45969</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45969</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45969</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45969</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45969</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45969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45969</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45969</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45969</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45969</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45969</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45969</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45969</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45969</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45969</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45969</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45969</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45969</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59550-2020</t>
        </is>
      </c>
      <c r="B29" s="1" t="n">
        <v>44148</v>
      </c>
      <c r="C29" s="1" t="n">
        <v>45969</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42860-2022</t>
        </is>
      </c>
      <c r="B30" s="1" t="n">
        <v>44832</v>
      </c>
      <c r="C30" s="1" t="n">
        <v>45969</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45969</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42853-2022</t>
        </is>
      </c>
      <c r="B32" s="1" t="n">
        <v>44832</v>
      </c>
      <c r="C32" s="1" t="n">
        <v>45969</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38200-2021</t>
        </is>
      </c>
      <c r="B33" s="1" t="n">
        <v>44405</v>
      </c>
      <c r="C33" s="1" t="n">
        <v>45969</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39694-2025</t>
        </is>
      </c>
      <c r="B34" s="1" t="n">
        <v>45890</v>
      </c>
      <c r="C34" s="1" t="n">
        <v>45969</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49718-2023</t>
        </is>
      </c>
      <c r="B35" s="1" t="n">
        <v>45212</v>
      </c>
      <c r="C35" s="1" t="n">
        <v>45969</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48128-2023</t>
        </is>
      </c>
      <c r="B36" s="1" t="n">
        <v>45205</v>
      </c>
      <c r="C36" s="1" t="n">
        <v>45969</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29707-2025</t>
        </is>
      </c>
      <c r="B37" s="1" t="n">
        <v>45825.56100694444</v>
      </c>
      <c r="C37" s="1" t="n">
        <v>45969</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42708-2022</t>
        </is>
      </c>
      <c r="B38" s="1" t="n">
        <v>44832</v>
      </c>
      <c r="C38" s="1" t="n">
        <v>45969</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8552-2022</t>
        </is>
      </c>
      <c r="B39" s="1" t="n">
        <v>44613</v>
      </c>
      <c r="C39" s="1" t="n">
        <v>45969</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37801-2021</t>
        </is>
      </c>
      <c r="B40" s="1" t="n">
        <v>44402</v>
      </c>
      <c r="C40" s="1" t="n">
        <v>45969</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62097-2024</t>
        </is>
      </c>
      <c r="B41" s="1" t="n">
        <v>45646</v>
      </c>
      <c r="C41" s="1" t="n">
        <v>45969</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45969</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37800-2021</t>
        </is>
      </c>
      <c r="B43" s="1" t="n">
        <v>44402</v>
      </c>
      <c r="C43" s="1" t="n">
        <v>45969</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40403-2025</t>
        </is>
      </c>
      <c r="B44" s="1" t="n">
        <v>45895</v>
      </c>
      <c r="C44" s="1" t="n">
        <v>45969</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21618-2025</t>
        </is>
      </c>
      <c r="B45" s="1" t="n">
        <v>45783</v>
      </c>
      <c r="C45" s="1" t="n">
        <v>45969</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4082-2025</t>
        </is>
      </c>
      <c r="B46" s="1" t="n">
        <v>45684</v>
      </c>
      <c r="C46" s="1" t="n">
        <v>45969</v>
      </c>
      <c r="D46" t="inlineStr">
        <is>
          <t>VÄSTMANLANDS LÄN</t>
        </is>
      </c>
      <c r="E46" t="inlineStr">
        <is>
          <t>SURAHAMMAR</t>
        </is>
      </c>
      <c r="F46" t="inlineStr">
        <is>
          <t>Bergvik skog väst AB</t>
        </is>
      </c>
      <c r="G46" t="n">
        <v>11.6</v>
      </c>
      <c r="H46" t="n">
        <v>1</v>
      </c>
      <c r="I46" t="n">
        <v>2</v>
      </c>
      <c r="J46" t="n">
        <v>0</v>
      </c>
      <c r="K46" t="n">
        <v>0</v>
      </c>
      <c r="L46" t="n">
        <v>0</v>
      </c>
      <c r="M46" t="n">
        <v>0</v>
      </c>
      <c r="N46" t="n">
        <v>0</v>
      </c>
      <c r="O46" t="n">
        <v>0</v>
      </c>
      <c r="P46" t="n">
        <v>0</v>
      </c>
      <c r="Q46" t="n">
        <v>2</v>
      </c>
      <c r="R46" s="2" t="inlineStr">
        <is>
          <t>Grönpyrola
Plattlummer</t>
        </is>
      </c>
      <c r="S46">
        <f>HYPERLINK("https://klasma.github.io/Logging_1907/artfynd/A 4082-2025 artfynd.xlsx", "A 4082-2025")</f>
        <v/>
      </c>
      <c r="T46">
        <f>HYPERLINK("https://klasma.github.io/Logging_1907/kartor/A 4082-2025 karta.png", "A 4082-2025")</f>
        <v/>
      </c>
      <c r="V46">
        <f>HYPERLINK("https://klasma.github.io/Logging_1907/klagomål/A 4082-2025 FSC-klagomål.docx", "A 4082-2025")</f>
        <v/>
      </c>
      <c r="W46">
        <f>HYPERLINK("https://klasma.github.io/Logging_1907/klagomålsmail/A 4082-2025 FSC-klagomål mail.docx", "A 4082-2025")</f>
        <v/>
      </c>
      <c r="X46">
        <f>HYPERLINK("https://klasma.github.io/Logging_1907/tillsyn/A 4082-2025 tillsynsbegäran.docx", "A 4082-2025")</f>
        <v/>
      </c>
      <c r="Y46">
        <f>HYPERLINK("https://klasma.github.io/Logging_1907/tillsynsmail/A 4082-2025 tillsynsbegäran mail.docx", "A 4082-2025")</f>
        <v/>
      </c>
    </row>
    <row r="47" ht="15" customHeight="1">
      <c r="A47" t="inlineStr">
        <is>
          <t>A 38170-2021</t>
        </is>
      </c>
      <c r="B47" s="1" t="n">
        <v>44405.43472222222</v>
      </c>
      <c r="C47" s="1" t="n">
        <v>45969</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45969</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45969</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45969</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22840-2023</t>
        </is>
      </c>
      <c r="B51" s="1" t="n">
        <v>45072</v>
      </c>
      <c r="C51" s="1" t="n">
        <v>45969</v>
      </c>
      <c r="D51" t="inlineStr">
        <is>
          <t>VÄSTMANLANDS LÄN</t>
        </is>
      </c>
      <c r="E51" t="inlineStr">
        <is>
          <t>SURAHAMMAR</t>
        </is>
      </c>
      <c r="G51" t="n">
        <v>4.3</v>
      </c>
      <c r="H51" t="n">
        <v>1</v>
      </c>
      <c r="I51" t="n">
        <v>0</v>
      </c>
      <c r="J51" t="n">
        <v>0</v>
      </c>
      <c r="K51" t="n">
        <v>0</v>
      </c>
      <c r="L51" t="n">
        <v>0</v>
      </c>
      <c r="M51" t="n">
        <v>0</v>
      </c>
      <c r="N51" t="n">
        <v>0</v>
      </c>
      <c r="O51" t="n">
        <v>0</v>
      </c>
      <c r="P51" t="n">
        <v>0</v>
      </c>
      <c r="Q51" t="n">
        <v>1</v>
      </c>
      <c r="R51" s="2" t="inlineStr">
        <is>
          <t>Fläcknycklar</t>
        </is>
      </c>
      <c r="S51">
        <f>HYPERLINK("https://klasma.github.io/Logging_1907/artfynd/A 22840-2023 artfynd.xlsx", "A 22840-2023")</f>
        <v/>
      </c>
      <c r="T51">
        <f>HYPERLINK("https://klasma.github.io/Logging_1907/kartor/A 22840-2023 karta.png", "A 22840-2023")</f>
        <v/>
      </c>
      <c r="V51">
        <f>HYPERLINK("https://klasma.github.io/Logging_1907/klagomål/A 22840-2023 FSC-klagomål.docx", "A 22840-2023")</f>
        <v/>
      </c>
      <c r="W51">
        <f>HYPERLINK("https://klasma.github.io/Logging_1907/klagomålsmail/A 22840-2023 FSC-klagomål mail.docx", "A 22840-2023")</f>
        <v/>
      </c>
      <c r="X51">
        <f>HYPERLINK("https://klasma.github.io/Logging_1907/tillsyn/A 22840-2023 tillsynsbegäran.docx", "A 22840-2023")</f>
        <v/>
      </c>
      <c r="Y51">
        <f>HYPERLINK("https://klasma.github.io/Logging_1907/tillsynsmail/A 22840-2023 tillsynsbegäran mail.docx", "A 22840-2023")</f>
        <v/>
      </c>
    </row>
    <row r="52" ht="15" customHeight="1">
      <c r="A52" t="inlineStr">
        <is>
          <t>A 56362-2023</t>
        </is>
      </c>
      <c r="B52" s="1" t="n">
        <v>45236</v>
      </c>
      <c r="C52" s="1" t="n">
        <v>45969</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45969</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40411-2021</t>
        </is>
      </c>
      <c r="B54" s="1" t="n">
        <v>44419</v>
      </c>
      <c r="C54" s="1" t="n">
        <v>45969</v>
      </c>
      <c r="D54" t="inlineStr">
        <is>
          <t>VÄSTMANLANDS LÄN</t>
        </is>
      </c>
      <c r="E54" t="inlineStr">
        <is>
          <t>SURAHAMMAR</t>
        </is>
      </c>
      <c r="F54" t="inlineStr">
        <is>
          <t>Sveaskog</t>
        </is>
      </c>
      <c r="G54" t="n">
        <v>2.4</v>
      </c>
      <c r="H54" t="n">
        <v>1</v>
      </c>
      <c r="I54" t="n">
        <v>0</v>
      </c>
      <c r="J54" t="n">
        <v>0</v>
      </c>
      <c r="K54" t="n">
        <v>0</v>
      </c>
      <c r="L54" t="n">
        <v>0</v>
      </c>
      <c r="M54" t="n">
        <v>0</v>
      </c>
      <c r="N54" t="n">
        <v>0</v>
      </c>
      <c r="O54" t="n">
        <v>0</v>
      </c>
      <c r="P54" t="n">
        <v>0</v>
      </c>
      <c r="Q54" t="n">
        <v>1</v>
      </c>
      <c r="R54" s="2" t="inlineStr">
        <is>
          <t>Kopparödla</t>
        </is>
      </c>
      <c r="S54">
        <f>HYPERLINK("https://klasma.github.io/Logging_1907/artfynd/A 40411-2021 artfynd.xlsx", "A 40411-2021")</f>
        <v/>
      </c>
      <c r="T54">
        <f>HYPERLINK("https://klasma.github.io/Logging_1907/kartor/A 40411-2021 karta.png", "A 40411-2021")</f>
        <v/>
      </c>
      <c r="V54">
        <f>HYPERLINK("https://klasma.github.io/Logging_1907/klagomål/A 40411-2021 FSC-klagomål.docx", "A 40411-2021")</f>
        <v/>
      </c>
      <c r="W54">
        <f>HYPERLINK("https://klasma.github.io/Logging_1907/klagomålsmail/A 40411-2021 FSC-klagomål mail.docx", "A 40411-2021")</f>
        <v/>
      </c>
      <c r="X54">
        <f>HYPERLINK("https://klasma.github.io/Logging_1907/tillsyn/A 40411-2021 tillsynsbegäran.docx", "A 40411-2021")</f>
        <v/>
      </c>
      <c r="Y54">
        <f>HYPERLINK("https://klasma.github.io/Logging_1907/tillsynsmail/A 40411-2021 tillsynsbegäran mail.docx", "A 40411-2021")</f>
        <v/>
      </c>
    </row>
    <row r="55" ht="15" customHeight="1">
      <c r="A55" t="inlineStr">
        <is>
          <t>A 69777-2021</t>
        </is>
      </c>
      <c r="B55" s="1" t="n">
        <v>44532</v>
      </c>
      <c r="C55" s="1" t="n">
        <v>45969</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45969</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33231-2024</t>
        </is>
      </c>
      <c r="B57" s="1" t="n">
        <v>45518</v>
      </c>
      <c r="C57" s="1" t="n">
        <v>45969</v>
      </c>
      <c r="D57" t="inlineStr">
        <is>
          <t>VÄSTMANLANDS LÄN</t>
        </is>
      </c>
      <c r="E57" t="inlineStr">
        <is>
          <t>SURAHAMMAR</t>
        </is>
      </c>
      <c r="F57" t="inlineStr">
        <is>
          <t>Bergvik skog väst AB</t>
        </is>
      </c>
      <c r="G57" t="n">
        <v>1.5</v>
      </c>
      <c r="H57" t="n">
        <v>1</v>
      </c>
      <c r="I57" t="n">
        <v>0</v>
      </c>
      <c r="J57" t="n">
        <v>0</v>
      </c>
      <c r="K57" t="n">
        <v>0</v>
      </c>
      <c r="L57" t="n">
        <v>0</v>
      </c>
      <c r="M57" t="n">
        <v>0</v>
      </c>
      <c r="N57" t="n">
        <v>0</v>
      </c>
      <c r="O57" t="n">
        <v>0</v>
      </c>
      <c r="P57" t="n">
        <v>0</v>
      </c>
      <c r="Q57" t="n">
        <v>1</v>
      </c>
      <c r="R57" s="2" t="inlineStr">
        <is>
          <t>Mindre vattensalamander</t>
        </is>
      </c>
      <c r="S57">
        <f>HYPERLINK("https://klasma.github.io/Logging_1907/artfynd/A 33231-2024 artfynd.xlsx", "A 33231-2024")</f>
        <v/>
      </c>
      <c r="T57">
        <f>HYPERLINK("https://klasma.github.io/Logging_1907/kartor/A 33231-2024 karta.png", "A 33231-2024")</f>
        <v/>
      </c>
      <c r="V57">
        <f>HYPERLINK("https://klasma.github.io/Logging_1907/klagomål/A 33231-2024 FSC-klagomål.docx", "A 33231-2024")</f>
        <v/>
      </c>
      <c r="W57">
        <f>HYPERLINK("https://klasma.github.io/Logging_1907/klagomålsmail/A 33231-2024 FSC-klagomål mail.docx", "A 33231-2024")</f>
        <v/>
      </c>
      <c r="X57">
        <f>HYPERLINK("https://klasma.github.io/Logging_1907/tillsyn/A 33231-2024 tillsynsbegäran.docx", "A 33231-2024")</f>
        <v/>
      </c>
      <c r="Y57">
        <f>HYPERLINK("https://klasma.github.io/Logging_1907/tillsynsmail/A 33231-2024 tillsynsbegäran mail.docx", "A 33231-2024")</f>
        <v/>
      </c>
    </row>
    <row r="58" ht="15" customHeight="1">
      <c r="A58" t="inlineStr">
        <is>
          <t>A 30074-2023</t>
        </is>
      </c>
      <c r="B58" s="1" t="n">
        <v>45110</v>
      </c>
      <c r="C58" s="1" t="n">
        <v>45969</v>
      </c>
      <c r="D58" t="inlineStr">
        <is>
          <t>VÄSTMANLANDS LÄN</t>
        </is>
      </c>
      <c r="E58" t="inlineStr">
        <is>
          <t>SURAHAMMAR</t>
        </is>
      </c>
      <c r="F58" t="inlineStr">
        <is>
          <t>Sveaskog</t>
        </is>
      </c>
      <c r="G58" t="n">
        <v>1.1</v>
      </c>
      <c r="H58" t="n">
        <v>1</v>
      </c>
      <c r="I58" t="n">
        <v>0</v>
      </c>
      <c r="J58" t="n">
        <v>0</v>
      </c>
      <c r="K58" t="n">
        <v>0</v>
      </c>
      <c r="L58" t="n">
        <v>0</v>
      </c>
      <c r="M58" t="n">
        <v>0</v>
      </c>
      <c r="N58" t="n">
        <v>0</v>
      </c>
      <c r="O58" t="n">
        <v>0</v>
      </c>
      <c r="P58" t="n">
        <v>0</v>
      </c>
      <c r="Q58" t="n">
        <v>1</v>
      </c>
      <c r="R58" s="2" t="inlineStr">
        <is>
          <t>Revlummer</t>
        </is>
      </c>
      <c r="S58">
        <f>HYPERLINK("https://klasma.github.io/Logging_1907/artfynd/A 30074-2023 artfynd.xlsx", "A 30074-2023")</f>
        <v/>
      </c>
      <c r="T58">
        <f>HYPERLINK("https://klasma.github.io/Logging_1907/kartor/A 30074-2023 karta.png", "A 30074-2023")</f>
        <v/>
      </c>
      <c r="V58">
        <f>HYPERLINK("https://klasma.github.io/Logging_1907/klagomål/A 30074-2023 FSC-klagomål.docx", "A 30074-2023")</f>
        <v/>
      </c>
      <c r="W58">
        <f>HYPERLINK("https://klasma.github.io/Logging_1907/klagomålsmail/A 30074-2023 FSC-klagomål mail.docx", "A 30074-2023")</f>
        <v/>
      </c>
      <c r="X58">
        <f>HYPERLINK("https://klasma.github.io/Logging_1907/tillsyn/A 30074-2023 tillsynsbegäran.docx", "A 30074-2023")</f>
        <v/>
      </c>
      <c r="Y58">
        <f>HYPERLINK("https://klasma.github.io/Logging_1907/tillsynsmail/A 30074-2023 tillsynsbegäran mail.docx", "A 30074-2023")</f>
        <v/>
      </c>
    </row>
    <row r="59" ht="15" customHeight="1">
      <c r="A59" t="inlineStr">
        <is>
          <t>A 31176-2024</t>
        </is>
      </c>
      <c r="B59" s="1" t="n">
        <v>45503</v>
      </c>
      <c r="C59" s="1" t="n">
        <v>45969</v>
      </c>
      <c r="D59" t="inlineStr">
        <is>
          <t>VÄSTMANLANDS LÄN</t>
        </is>
      </c>
      <c r="E59" t="inlineStr">
        <is>
          <t>SURAHAMMAR</t>
        </is>
      </c>
      <c r="F59" t="inlineStr">
        <is>
          <t>Allmännings- och besparingsskogar</t>
        </is>
      </c>
      <c r="G59" t="n">
        <v>10.7</v>
      </c>
      <c r="H59" t="n">
        <v>0</v>
      </c>
      <c r="I59" t="n">
        <v>0</v>
      </c>
      <c r="J59" t="n">
        <v>1</v>
      </c>
      <c r="K59" t="n">
        <v>0</v>
      </c>
      <c r="L59" t="n">
        <v>0</v>
      </c>
      <c r="M59" t="n">
        <v>0</v>
      </c>
      <c r="N59" t="n">
        <v>0</v>
      </c>
      <c r="O59" t="n">
        <v>1</v>
      </c>
      <c r="P59" t="n">
        <v>0</v>
      </c>
      <c r="Q59" t="n">
        <v>1</v>
      </c>
      <c r="R59" s="2" t="inlineStr">
        <is>
          <t>Doftskinn</t>
        </is>
      </c>
      <c r="S59">
        <f>HYPERLINK("https://klasma.github.io/Logging_1907/artfynd/A 31176-2024 artfynd.xlsx", "A 31176-2024")</f>
        <v/>
      </c>
      <c r="T59">
        <f>HYPERLINK("https://klasma.github.io/Logging_1907/kartor/A 31176-2024 karta.png", "A 31176-2024")</f>
        <v/>
      </c>
      <c r="V59">
        <f>HYPERLINK("https://klasma.github.io/Logging_1907/klagomål/A 31176-2024 FSC-klagomål.docx", "A 31176-2024")</f>
        <v/>
      </c>
      <c r="W59">
        <f>HYPERLINK("https://klasma.github.io/Logging_1907/klagomålsmail/A 31176-2024 FSC-klagomål mail.docx", "A 31176-2024")</f>
        <v/>
      </c>
      <c r="X59">
        <f>HYPERLINK("https://klasma.github.io/Logging_1907/tillsyn/A 31176-2024 tillsynsbegäran.docx", "A 31176-2024")</f>
        <v/>
      </c>
      <c r="Y59">
        <f>HYPERLINK("https://klasma.github.io/Logging_1907/tillsynsmail/A 31176-2024 tillsynsbegäran mail.docx", "A 31176-2024")</f>
        <v/>
      </c>
    </row>
    <row r="60" ht="15" customHeight="1">
      <c r="A60" t="inlineStr">
        <is>
          <t>A 47453-2024</t>
        </is>
      </c>
      <c r="B60" s="1" t="n">
        <v>45587.55017361111</v>
      </c>
      <c r="C60" s="1" t="n">
        <v>45969</v>
      </c>
      <c r="D60" t="inlineStr">
        <is>
          <t>VÄSTMANLANDS LÄN</t>
        </is>
      </c>
      <c r="E60" t="inlineStr">
        <is>
          <t>SURAHAMMAR</t>
        </is>
      </c>
      <c r="G60" t="n">
        <v>5.1</v>
      </c>
      <c r="H60" t="n">
        <v>1</v>
      </c>
      <c r="I60" t="n">
        <v>0</v>
      </c>
      <c r="J60" t="n">
        <v>0</v>
      </c>
      <c r="K60" t="n">
        <v>0</v>
      </c>
      <c r="L60" t="n">
        <v>0</v>
      </c>
      <c r="M60" t="n">
        <v>0</v>
      </c>
      <c r="N60" t="n">
        <v>0</v>
      </c>
      <c r="O60" t="n">
        <v>0</v>
      </c>
      <c r="P60" t="n">
        <v>0</v>
      </c>
      <c r="Q60" t="n">
        <v>1</v>
      </c>
      <c r="R60" s="2" t="inlineStr">
        <is>
          <t>Göktyta</t>
        </is>
      </c>
      <c r="S60">
        <f>HYPERLINK("https://klasma.github.io/Logging_1907/artfynd/A 47453-2024 artfynd.xlsx", "A 47453-2024")</f>
        <v/>
      </c>
      <c r="T60">
        <f>HYPERLINK("https://klasma.github.io/Logging_1907/kartor/A 47453-2024 karta.png", "A 47453-2024")</f>
        <v/>
      </c>
      <c r="V60">
        <f>HYPERLINK("https://klasma.github.io/Logging_1907/klagomål/A 47453-2024 FSC-klagomål.docx", "A 47453-2024")</f>
        <v/>
      </c>
      <c r="W60">
        <f>HYPERLINK("https://klasma.github.io/Logging_1907/klagomålsmail/A 47453-2024 FSC-klagomål mail.docx", "A 47453-2024")</f>
        <v/>
      </c>
      <c r="X60">
        <f>HYPERLINK("https://klasma.github.io/Logging_1907/tillsyn/A 47453-2024 tillsynsbegäran.docx", "A 47453-2024")</f>
        <v/>
      </c>
      <c r="Y60">
        <f>HYPERLINK("https://klasma.github.io/Logging_1907/tillsynsmail/A 47453-2024 tillsynsbegäran mail.docx", "A 47453-2024")</f>
        <v/>
      </c>
      <c r="Z60">
        <f>HYPERLINK("https://klasma.github.io/Logging_1907/fåglar/A 47453-2024 prioriterade fågelarter.docx", "A 47453-2024")</f>
        <v/>
      </c>
    </row>
    <row r="61" ht="15" customHeight="1">
      <c r="A61" t="inlineStr">
        <is>
          <t>A 43451-2024</t>
        </is>
      </c>
      <c r="B61" s="1" t="n">
        <v>45568</v>
      </c>
      <c r="C61" s="1" t="n">
        <v>45969</v>
      </c>
      <c r="D61" t="inlineStr">
        <is>
          <t>VÄSTMANLANDS LÄN</t>
        </is>
      </c>
      <c r="E61" t="inlineStr">
        <is>
          <t>SURAHAMMAR</t>
        </is>
      </c>
      <c r="F61" t="inlineStr">
        <is>
          <t>Bergvik skog väst AB</t>
        </is>
      </c>
      <c r="G61" t="n">
        <v>2.9</v>
      </c>
      <c r="H61" t="n">
        <v>0</v>
      </c>
      <c r="I61" t="n">
        <v>0</v>
      </c>
      <c r="J61" t="n">
        <v>1</v>
      </c>
      <c r="K61" t="n">
        <v>0</v>
      </c>
      <c r="L61" t="n">
        <v>0</v>
      </c>
      <c r="M61" t="n">
        <v>0</v>
      </c>
      <c r="N61" t="n">
        <v>0</v>
      </c>
      <c r="O61" t="n">
        <v>1</v>
      </c>
      <c r="P61" t="n">
        <v>0</v>
      </c>
      <c r="Q61" t="n">
        <v>1</v>
      </c>
      <c r="R61" s="2" t="inlineStr">
        <is>
          <t>Ullticka</t>
        </is>
      </c>
      <c r="S61">
        <f>HYPERLINK("https://klasma.github.io/Logging_1907/artfynd/A 43451-2024 artfynd.xlsx", "A 43451-2024")</f>
        <v/>
      </c>
      <c r="T61">
        <f>HYPERLINK("https://klasma.github.io/Logging_1907/kartor/A 43451-2024 karta.png", "A 43451-2024")</f>
        <v/>
      </c>
      <c r="V61">
        <f>HYPERLINK("https://klasma.github.io/Logging_1907/klagomål/A 43451-2024 FSC-klagomål.docx", "A 43451-2024")</f>
        <v/>
      </c>
      <c r="W61">
        <f>HYPERLINK("https://klasma.github.io/Logging_1907/klagomålsmail/A 43451-2024 FSC-klagomål mail.docx", "A 43451-2024")</f>
        <v/>
      </c>
      <c r="X61">
        <f>HYPERLINK("https://klasma.github.io/Logging_1907/tillsyn/A 43451-2024 tillsynsbegäran.docx", "A 43451-2024")</f>
        <v/>
      </c>
      <c r="Y61">
        <f>HYPERLINK("https://klasma.github.io/Logging_1907/tillsynsmail/A 43451-2024 tillsynsbegäran mail.docx", "A 43451-2024")</f>
        <v/>
      </c>
    </row>
    <row r="62" ht="15" customHeight="1">
      <c r="A62" t="inlineStr">
        <is>
          <t>A 25583-2024</t>
        </is>
      </c>
      <c r="B62" s="1" t="n">
        <v>45463</v>
      </c>
      <c r="C62" s="1" t="n">
        <v>45969</v>
      </c>
      <c r="D62" t="inlineStr">
        <is>
          <t>VÄSTMANLANDS LÄN</t>
        </is>
      </c>
      <c r="E62" t="inlineStr">
        <is>
          <t>SURAHAMMAR</t>
        </is>
      </c>
      <c r="F62" t="inlineStr">
        <is>
          <t>Bergvik skog väst AB</t>
        </is>
      </c>
      <c r="G62" t="n">
        <v>7.8</v>
      </c>
      <c r="H62" t="n">
        <v>1</v>
      </c>
      <c r="I62" t="n">
        <v>0</v>
      </c>
      <c r="J62" t="n">
        <v>0</v>
      </c>
      <c r="K62" t="n">
        <v>0</v>
      </c>
      <c r="L62" t="n">
        <v>0</v>
      </c>
      <c r="M62" t="n">
        <v>0</v>
      </c>
      <c r="N62" t="n">
        <v>0</v>
      </c>
      <c r="O62" t="n">
        <v>0</v>
      </c>
      <c r="P62" t="n">
        <v>0</v>
      </c>
      <c r="Q62" t="n">
        <v>1</v>
      </c>
      <c r="R62" s="2" t="inlineStr">
        <is>
          <t>Blåsippa</t>
        </is>
      </c>
      <c r="S62">
        <f>HYPERLINK("https://klasma.github.io/Logging_1907/artfynd/A 25583-2024 artfynd.xlsx", "A 25583-2024")</f>
        <v/>
      </c>
      <c r="T62">
        <f>HYPERLINK("https://klasma.github.io/Logging_1907/kartor/A 25583-2024 karta.png", "A 25583-2024")</f>
        <v/>
      </c>
      <c r="V62">
        <f>HYPERLINK("https://klasma.github.io/Logging_1907/klagomål/A 25583-2024 FSC-klagomål.docx", "A 25583-2024")</f>
        <v/>
      </c>
      <c r="W62">
        <f>HYPERLINK("https://klasma.github.io/Logging_1907/klagomålsmail/A 25583-2024 FSC-klagomål mail.docx", "A 25583-2024")</f>
        <v/>
      </c>
      <c r="X62">
        <f>HYPERLINK("https://klasma.github.io/Logging_1907/tillsyn/A 25583-2024 tillsynsbegäran.docx", "A 25583-2024")</f>
        <v/>
      </c>
      <c r="Y62">
        <f>HYPERLINK("https://klasma.github.io/Logging_1907/tillsynsmail/A 25583-2024 tillsynsbegäran mail.docx", "A 25583-2024")</f>
        <v/>
      </c>
    </row>
    <row r="63" ht="15" customHeight="1">
      <c r="A63" t="inlineStr">
        <is>
          <t>A 10819-2024</t>
        </is>
      </c>
      <c r="B63" s="1" t="n">
        <v>45369.66049768519</v>
      </c>
      <c r="C63" s="1" t="n">
        <v>45969</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13971-2023</t>
        </is>
      </c>
      <c r="B64" s="1" t="n">
        <v>45007</v>
      </c>
      <c r="C64" s="1" t="n">
        <v>45969</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42089-2025</t>
        </is>
      </c>
      <c r="B65" s="1" t="n">
        <v>45902</v>
      </c>
      <c r="C65" s="1" t="n">
        <v>45969</v>
      </c>
      <c r="D65" t="inlineStr">
        <is>
          <t>VÄSTMANLANDS LÄN</t>
        </is>
      </c>
      <c r="E65" t="inlineStr">
        <is>
          <t>SURAHAMMAR</t>
        </is>
      </c>
      <c r="G65" t="n">
        <v>2.2</v>
      </c>
      <c r="H65" t="n">
        <v>0</v>
      </c>
      <c r="I65" t="n">
        <v>0</v>
      </c>
      <c r="J65" t="n">
        <v>1</v>
      </c>
      <c r="K65" t="n">
        <v>0</v>
      </c>
      <c r="L65" t="n">
        <v>0</v>
      </c>
      <c r="M65" t="n">
        <v>0</v>
      </c>
      <c r="N65" t="n">
        <v>0</v>
      </c>
      <c r="O65" t="n">
        <v>1</v>
      </c>
      <c r="P65" t="n">
        <v>0</v>
      </c>
      <c r="Q65" t="n">
        <v>1</v>
      </c>
      <c r="R65" s="2" t="inlineStr">
        <is>
          <t>Motaggsvamp</t>
        </is>
      </c>
      <c r="S65">
        <f>HYPERLINK("https://klasma.github.io/Logging_1907/artfynd/A 42089-2025 artfynd.xlsx", "A 42089-2025")</f>
        <v/>
      </c>
      <c r="T65">
        <f>HYPERLINK("https://klasma.github.io/Logging_1907/kartor/A 42089-2025 karta.png", "A 42089-2025")</f>
        <v/>
      </c>
      <c r="V65">
        <f>HYPERLINK("https://klasma.github.io/Logging_1907/klagomål/A 42089-2025 FSC-klagomål.docx", "A 42089-2025")</f>
        <v/>
      </c>
      <c r="W65">
        <f>HYPERLINK("https://klasma.github.io/Logging_1907/klagomålsmail/A 42089-2025 FSC-klagomål mail.docx", "A 42089-2025")</f>
        <v/>
      </c>
      <c r="X65">
        <f>HYPERLINK("https://klasma.github.io/Logging_1907/tillsyn/A 42089-2025 tillsynsbegäran.docx", "A 42089-2025")</f>
        <v/>
      </c>
      <c r="Y65">
        <f>HYPERLINK("https://klasma.github.io/Logging_1907/tillsynsmail/A 42089-2025 tillsynsbegäran mail.docx", "A 42089-2025")</f>
        <v/>
      </c>
    </row>
    <row r="66" ht="15" customHeight="1">
      <c r="A66" t="inlineStr">
        <is>
          <t>A 42765-2022</t>
        </is>
      </c>
      <c r="B66" s="1" t="n">
        <v>44832</v>
      </c>
      <c r="C66" s="1" t="n">
        <v>45969</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45969</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13788-2025</t>
        </is>
      </c>
      <c r="B68" s="1" t="n">
        <v>45737.45327546296</v>
      </c>
      <c r="C68" s="1" t="n">
        <v>45969</v>
      </c>
      <c r="D68" t="inlineStr">
        <is>
          <t>VÄSTMANLANDS LÄN</t>
        </is>
      </c>
      <c r="E68" t="inlineStr">
        <is>
          <t>SURAHAMMAR</t>
        </is>
      </c>
      <c r="G68" t="n">
        <v>9.699999999999999</v>
      </c>
      <c r="H68" t="n">
        <v>1</v>
      </c>
      <c r="I68" t="n">
        <v>0</v>
      </c>
      <c r="J68" t="n">
        <v>0</v>
      </c>
      <c r="K68" t="n">
        <v>0</v>
      </c>
      <c r="L68" t="n">
        <v>0</v>
      </c>
      <c r="M68" t="n">
        <v>0</v>
      </c>
      <c r="N68" t="n">
        <v>0</v>
      </c>
      <c r="O68" t="n">
        <v>0</v>
      </c>
      <c r="P68" t="n">
        <v>0</v>
      </c>
      <c r="Q68" t="n">
        <v>1</v>
      </c>
      <c r="R68" s="2" t="inlineStr">
        <is>
          <t>Sparvuggla</t>
        </is>
      </c>
      <c r="S68">
        <f>HYPERLINK("https://klasma.github.io/Logging_1907/artfynd/A 13788-2025 artfynd.xlsx", "A 13788-2025")</f>
        <v/>
      </c>
      <c r="T68">
        <f>HYPERLINK("https://klasma.github.io/Logging_1907/kartor/A 13788-2025 karta.png", "A 13788-2025")</f>
        <v/>
      </c>
      <c r="V68">
        <f>HYPERLINK("https://klasma.github.io/Logging_1907/klagomål/A 13788-2025 FSC-klagomål.docx", "A 13788-2025")</f>
        <v/>
      </c>
      <c r="W68">
        <f>HYPERLINK("https://klasma.github.io/Logging_1907/klagomålsmail/A 13788-2025 FSC-klagomål mail.docx", "A 13788-2025")</f>
        <v/>
      </c>
      <c r="X68">
        <f>HYPERLINK("https://klasma.github.io/Logging_1907/tillsyn/A 13788-2025 tillsynsbegäran.docx", "A 13788-2025")</f>
        <v/>
      </c>
      <c r="Y68">
        <f>HYPERLINK("https://klasma.github.io/Logging_1907/tillsynsmail/A 13788-2025 tillsynsbegäran mail.docx", "A 13788-2025")</f>
        <v/>
      </c>
      <c r="Z68">
        <f>HYPERLINK("https://klasma.github.io/Logging_1907/fåglar/A 13788-2025 prioriterade fågelarter.docx", "A 13788-2025")</f>
        <v/>
      </c>
    </row>
    <row r="69" ht="15" customHeight="1">
      <c r="A69" t="inlineStr">
        <is>
          <t>A 17632-2022</t>
        </is>
      </c>
      <c r="B69" s="1" t="n">
        <v>44680</v>
      </c>
      <c r="C69" s="1" t="n">
        <v>45969</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1492-2021</t>
        </is>
      </c>
      <c r="B70" s="1" t="n">
        <v>44209</v>
      </c>
      <c r="C70" s="1" t="n">
        <v>45969</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45969</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45969</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45969</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45969</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45969</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45969</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45969</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45969</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45969</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45969</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45969</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45969</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45969</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18723-2021</t>
        </is>
      </c>
      <c r="B84" s="1" t="n">
        <v>44306</v>
      </c>
      <c r="C84" s="1" t="n">
        <v>45969</v>
      </c>
      <c r="D84" t="inlineStr">
        <is>
          <t>VÄSTMANLANDS LÄN</t>
        </is>
      </c>
      <c r="E84" t="inlineStr">
        <is>
          <t>SURAHAMMAR</t>
        </is>
      </c>
      <c r="F84" t="inlineStr">
        <is>
          <t>Bergvik skog väst AB</t>
        </is>
      </c>
      <c r="G84" t="n">
        <v>3.9</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45969</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45969</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45969</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45969</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45969</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11501-2023</t>
        </is>
      </c>
      <c r="B90" s="1" t="n">
        <v>44991</v>
      </c>
      <c r="C90" s="1" t="n">
        <v>45969</v>
      </c>
      <c r="D90" t="inlineStr">
        <is>
          <t>VÄSTMANLANDS LÄN</t>
        </is>
      </c>
      <c r="E90" t="inlineStr">
        <is>
          <t>SURAHAMMAR</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16013-2023</t>
        </is>
      </c>
      <c r="B91" s="1" t="n">
        <v>45026</v>
      </c>
      <c r="C91" s="1" t="n">
        <v>45969</v>
      </c>
      <c r="D91" t="inlineStr">
        <is>
          <t>VÄSTMANLANDS LÄN</t>
        </is>
      </c>
      <c r="E91" t="inlineStr">
        <is>
          <t>SURAHAMMAR</t>
        </is>
      </c>
      <c r="G91" t="n">
        <v>3.9</v>
      </c>
      <c r="H91" t="n">
        <v>0</v>
      </c>
      <c r="I91" t="n">
        <v>0</v>
      </c>
      <c r="J91" t="n">
        <v>0</v>
      </c>
      <c r="K91" t="n">
        <v>0</v>
      </c>
      <c r="L91" t="n">
        <v>0</v>
      </c>
      <c r="M91" t="n">
        <v>0</v>
      </c>
      <c r="N91" t="n">
        <v>0</v>
      </c>
      <c r="O91" t="n">
        <v>0</v>
      </c>
      <c r="P91" t="n">
        <v>0</v>
      </c>
      <c r="Q91" t="n">
        <v>0</v>
      </c>
      <c r="R91" s="2" t="inlineStr"/>
    </row>
    <row r="92" ht="15" customHeight="1">
      <c r="A92" t="inlineStr">
        <is>
          <t>A 20904-2023</t>
        </is>
      </c>
      <c r="B92" s="1" t="n">
        <v>45060</v>
      </c>
      <c r="C92" s="1" t="n">
        <v>45969</v>
      </c>
      <c r="D92" t="inlineStr">
        <is>
          <t>VÄSTMANLANDS LÄN</t>
        </is>
      </c>
      <c r="E92" t="inlineStr">
        <is>
          <t>SURAHAMMAR</t>
        </is>
      </c>
      <c r="F92" t="inlineStr">
        <is>
          <t>Sveaskog</t>
        </is>
      </c>
      <c r="G92" t="n">
        <v>1.7</v>
      </c>
      <c r="H92" t="n">
        <v>0</v>
      </c>
      <c r="I92" t="n">
        <v>0</v>
      </c>
      <c r="J92" t="n">
        <v>0</v>
      </c>
      <c r="K92" t="n">
        <v>0</v>
      </c>
      <c r="L92" t="n">
        <v>0</v>
      </c>
      <c r="M92" t="n">
        <v>0</v>
      </c>
      <c r="N92" t="n">
        <v>0</v>
      </c>
      <c r="O92" t="n">
        <v>0</v>
      </c>
      <c r="P92" t="n">
        <v>0</v>
      </c>
      <c r="Q92" t="n">
        <v>0</v>
      </c>
      <c r="R92" s="2" t="inlineStr"/>
    </row>
    <row r="93" ht="15" customHeight="1">
      <c r="A93" t="inlineStr">
        <is>
          <t>A 34957-2022</t>
        </is>
      </c>
      <c r="B93" s="1" t="n">
        <v>44796.64672453704</v>
      </c>
      <c r="C93" s="1" t="n">
        <v>45969</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42829-2022</t>
        </is>
      </c>
      <c r="B94" s="1" t="n">
        <v>44832</v>
      </c>
      <c r="C94" s="1" t="n">
        <v>45969</v>
      </c>
      <c r="D94" t="inlineStr">
        <is>
          <t>VÄSTMANLANDS LÄN</t>
        </is>
      </c>
      <c r="E94" t="inlineStr">
        <is>
          <t>SURAHAMMAR</t>
        </is>
      </c>
      <c r="G94" t="n">
        <v>1.6</v>
      </c>
      <c r="H94" t="n">
        <v>0</v>
      </c>
      <c r="I94" t="n">
        <v>0</v>
      </c>
      <c r="J94" t="n">
        <v>0</v>
      </c>
      <c r="K94" t="n">
        <v>0</v>
      </c>
      <c r="L94" t="n">
        <v>0</v>
      </c>
      <c r="M94" t="n">
        <v>0</v>
      </c>
      <c r="N94" t="n">
        <v>0</v>
      </c>
      <c r="O94" t="n">
        <v>0</v>
      </c>
      <c r="P94" t="n">
        <v>0</v>
      </c>
      <c r="Q94" t="n">
        <v>0</v>
      </c>
      <c r="R94" s="2" t="inlineStr"/>
    </row>
    <row r="95" ht="15" customHeight="1">
      <c r="A95" t="inlineStr">
        <is>
          <t>A 7848-2022</t>
        </is>
      </c>
      <c r="B95" s="1" t="n">
        <v>44608.58400462963</v>
      </c>
      <c r="C95" s="1" t="n">
        <v>45969</v>
      </c>
      <c r="D95" t="inlineStr">
        <is>
          <t>VÄSTMANLANDS LÄN</t>
        </is>
      </c>
      <c r="E95" t="inlineStr">
        <is>
          <t>SURAHAMMAR</t>
        </is>
      </c>
      <c r="G95" t="n">
        <v>2.1</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45969</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42832-2022</t>
        </is>
      </c>
      <c r="B97" s="1" t="n">
        <v>44832</v>
      </c>
      <c r="C97" s="1" t="n">
        <v>45969</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42841-2022</t>
        </is>
      </c>
      <c r="B98" s="1" t="n">
        <v>44832</v>
      </c>
      <c r="C98" s="1" t="n">
        <v>45969</v>
      </c>
      <c r="D98" t="inlineStr">
        <is>
          <t>VÄSTMANLANDS LÄN</t>
        </is>
      </c>
      <c r="E98" t="inlineStr">
        <is>
          <t>SURAHAMMAR</t>
        </is>
      </c>
      <c r="G98" t="n">
        <v>1.8</v>
      </c>
      <c r="H98" t="n">
        <v>0</v>
      </c>
      <c r="I98" t="n">
        <v>0</v>
      </c>
      <c r="J98" t="n">
        <v>0</v>
      </c>
      <c r="K98" t="n">
        <v>0</v>
      </c>
      <c r="L98" t="n">
        <v>0</v>
      </c>
      <c r="M98" t="n">
        <v>0</v>
      </c>
      <c r="N98" t="n">
        <v>0</v>
      </c>
      <c r="O98" t="n">
        <v>0</v>
      </c>
      <c r="P98" t="n">
        <v>0</v>
      </c>
      <c r="Q98" t="n">
        <v>0</v>
      </c>
      <c r="R98" s="2" t="inlineStr"/>
    </row>
    <row r="99" ht="15" customHeight="1">
      <c r="A99" t="inlineStr">
        <is>
          <t>A 24158-2023</t>
        </is>
      </c>
      <c r="B99" s="1" t="n">
        <v>45079</v>
      </c>
      <c r="C99" s="1" t="n">
        <v>45969</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34955-2022</t>
        </is>
      </c>
      <c r="B100" s="1" t="n">
        <v>44796</v>
      </c>
      <c r="C100" s="1" t="n">
        <v>45969</v>
      </c>
      <c r="D100" t="inlineStr">
        <is>
          <t>VÄSTMANLANDS LÄN</t>
        </is>
      </c>
      <c r="E100" t="inlineStr">
        <is>
          <t>SURAHAMMAR</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16608-2022</t>
        </is>
      </c>
      <c r="B101" s="1" t="n">
        <v>44672</v>
      </c>
      <c r="C101" s="1" t="n">
        <v>45969</v>
      </c>
      <c r="D101" t="inlineStr">
        <is>
          <t>VÄSTMANLANDS LÄN</t>
        </is>
      </c>
      <c r="E101" t="inlineStr">
        <is>
          <t>SURAHAMMAR</t>
        </is>
      </c>
      <c r="F101" t="inlineStr">
        <is>
          <t>Bergvik skog väst AB</t>
        </is>
      </c>
      <c r="G101" t="n">
        <v>2</v>
      </c>
      <c r="H101" t="n">
        <v>0</v>
      </c>
      <c r="I101" t="n">
        <v>0</v>
      </c>
      <c r="J101" t="n">
        <v>0</v>
      </c>
      <c r="K101" t="n">
        <v>0</v>
      </c>
      <c r="L101" t="n">
        <v>0</v>
      </c>
      <c r="M101" t="n">
        <v>0</v>
      </c>
      <c r="N101" t="n">
        <v>0</v>
      </c>
      <c r="O101" t="n">
        <v>0</v>
      </c>
      <c r="P101" t="n">
        <v>0</v>
      </c>
      <c r="Q101" t="n">
        <v>0</v>
      </c>
      <c r="R101" s="2" t="inlineStr"/>
    </row>
    <row r="102" ht="15" customHeight="1">
      <c r="A102" t="inlineStr">
        <is>
          <t>A 37798-2021</t>
        </is>
      </c>
      <c r="B102" s="1" t="n">
        <v>44402</v>
      </c>
      <c r="C102" s="1" t="n">
        <v>45969</v>
      </c>
      <c r="D102" t="inlineStr">
        <is>
          <t>VÄSTMANLANDS LÄN</t>
        </is>
      </c>
      <c r="E102" t="inlineStr">
        <is>
          <t>SURAHAMMAR</t>
        </is>
      </c>
      <c r="F102" t="inlineStr">
        <is>
          <t>Kommuner</t>
        </is>
      </c>
      <c r="G102" t="n">
        <v>1.2</v>
      </c>
      <c r="H102" t="n">
        <v>0</v>
      </c>
      <c r="I102" t="n">
        <v>0</v>
      </c>
      <c r="J102" t="n">
        <v>0</v>
      </c>
      <c r="K102" t="n">
        <v>0</v>
      </c>
      <c r="L102" t="n">
        <v>0</v>
      </c>
      <c r="M102" t="n">
        <v>0</v>
      </c>
      <c r="N102" t="n">
        <v>0</v>
      </c>
      <c r="O102" t="n">
        <v>0</v>
      </c>
      <c r="P102" t="n">
        <v>0</v>
      </c>
      <c r="Q102" t="n">
        <v>0</v>
      </c>
      <c r="R102" s="2" t="inlineStr"/>
    </row>
    <row r="103" ht="15" customHeight="1">
      <c r="A103" t="inlineStr">
        <is>
          <t>A 15743-2023</t>
        </is>
      </c>
      <c r="B103" s="1" t="n">
        <v>45021</v>
      </c>
      <c r="C103" s="1" t="n">
        <v>45969</v>
      </c>
      <c r="D103" t="inlineStr">
        <is>
          <t>VÄSTMANLANDS LÄN</t>
        </is>
      </c>
      <c r="E103" t="inlineStr">
        <is>
          <t>SURAHAMMAR</t>
        </is>
      </c>
      <c r="G103" t="n">
        <v>0.5</v>
      </c>
      <c r="H103" t="n">
        <v>0</v>
      </c>
      <c r="I103" t="n">
        <v>0</v>
      </c>
      <c r="J103" t="n">
        <v>0</v>
      </c>
      <c r="K103" t="n">
        <v>0</v>
      </c>
      <c r="L103" t="n">
        <v>0</v>
      </c>
      <c r="M103" t="n">
        <v>0</v>
      </c>
      <c r="N103" t="n">
        <v>0</v>
      </c>
      <c r="O103" t="n">
        <v>0</v>
      </c>
      <c r="P103" t="n">
        <v>0</v>
      </c>
      <c r="Q103" t="n">
        <v>0</v>
      </c>
      <c r="R103" s="2" t="inlineStr"/>
    </row>
    <row r="104" ht="15" customHeight="1">
      <c r="A104" t="inlineStr">
        <is>
          <t>A 48205-2023</t>
        </is>
      </c>
      <c r="B104" s="1" t="n">
        <v>45205</v>
      </c>
      <c r="C104" s="1" t="n">
        <v>45969</v>
      </c>
      <c r="D104" t="inlineStr">
        <is>
          <t>VÄSTMANLANDS LÄN</t>
        </is>
      </c>
      <c r="E104" t="inlineStr">
        <is>
          <t>SURAHAMMAR</t>
        </is>
      </c>
      <c r="F104" t="inlineStr">
        <is>
          <t>Allmännings- och besparingsskogar</t>
        </is>
      </c>
      <c r="G104" t="n">
        <v>7.6</v>
      </c>
      <c r="H104" t="n">
        <v>0</v>
      </c>
      <c r="I104" t="n">
        <v>0</v>
      </c>
      <c r="J104" t="n">
        <v>0</v>
      </c>
      <c r="K104" t="n">
        <v>0</v>
      </c>
      <c r="L104" t="n">
        <v>0</v>
      </c>
      <c r="M104" t="n">
        <v>0</v>
      </c>
      <c r="N104" t="n">
        <v>0</v>
      </c>
      <c r="O104" t="n">
        <v>0</v>
      </c>
      <c r="P104" t="n">
        <v>0</v>
      </c>
      <c r="Q104" t="n">
        <v>0</v>
      </c>
      <c r="R104" s="2" t="inlineStr"/>
    </row>
    <row r="105" ht="15" customHeight="1">
      <c r="A105" t="inlineStr">
        <is>
          <t>A 33931-2022</t>
        </is>
      </c>
      <c r="B105" s="1" t="n">
        <v>44790.65153935185</v>
      </c>
      <c r="C105" s="1" t="n">
        <v>45969</v>
      </c>
      <c r="D105" t="inlineStr">
        <is>
          <t>VÄSTMANLANDS LÄN</t>
        </is>
      </c>
      <c r="E105" t="inlineStr">
        <is>
          <t>SURAHAMMAR</t>
        </is>
      </c>
      <c r="G105" t="n">
        <v>2.2</v>
      </c>
      <c r="H105" t="n">
        <v>0</v>
      </c>
      <c r="I105" t="n">
        <v>0</v>
      </c>
      <c r="J105" t="n">
        <v>0</v>
      </c>
      <c r="K105" t="n">
        <v>0</v>
      </c>
      <c r="L105" t="n">
        <v>0</v>
      </c>
      <c r="M105" t="n">
        <v>0</v>
      </c>
      <c r="N105" t="n">
        <v>0</v>
      </c>
      <c r="O105" t="n">
        <v>0</v>
      </c>
      <c r="P105" t="n">
        <v>0</v>
      </c>
      <c r="Q105" t="n">
        <v>0</v>
      </c>
      <c r="R105" s="2" t="inlineStr"/>
    </row>
    <row r="106" ht="15" customHeight="1">
      <c r="A106" t="inlineStr">
        <is>
          <t>A 32808-2024</t>
        </is>
      </c>
      <c r="B106" s="1" t="n">
        <v>45516</v>
      </c>
      <c r="C106" s="1" t="n">
        <v>45969</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22662-2023</t>
        </is>
      </c>
      <c r="B107" s="1" t="n">
        <v>45071</v>
      </c>
      <c r="C107" s="1" t="n">
        <v>45969</v>
      </c>
      <c r="D107" t="inlineStr">
        <is>
          <t>VÄSTMANLANDS LÄN</t>
        </is>
      </c>
      <c r="E107" t="inlineStr">
        <is>
          <t>SURAHAMMAR</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15637-2022</t>
        </is>
      </c>
      <c r="B108" s="1" t="n">
        <v>44662.89638888889</v>
      </c>
      <c r="C108" s="1" t="n">
        <v>45969</v>
      </c>
      <c r="D108" t="inlineStr">
        <is>
          <t>VÄSTMANLANDS LÄN</t>
        </is>
      </c>
      <c r="E108" t="inlineStr">
        <is>
          <t>SURAHAMMAR</t>
        </is>
      </c>
      <c r="G108" t="n">
        <v>2.2</v>
      </c>
      <c r="H108" t="n">
        <v>0</v>
      </c>
      <c r="I108" t="n">
        <v>0</v>
      </c>
      <c r="J108" t="n">
        <v>0</v>
      </c>
      <c r="K108" t="n">
        <v>0</v>
      </c>
      <c r="L108" t="n">
        <v>0</v>
      </c>
      <c r="M108" t="n">
        <v>0</v>
      </c>
      <c r="N108" t="n">
        <v>0</v>
      </c>
      <c r="O108" t="n">
        <v>0</v>
      </c>
      <c r="P108" t="n">
        <v>0</v>
      </c>
      <c r="Q108" t="n">
        <v>0</v>
      </c>
      <c r="R108" s="2" t="inlineStr"/>
    </row>
    <row r="109" ht="15" customHeight="1">
      <c r="A109" t="inlineStr">
        <is>
          <t>A 19786-2023</t>
        </is>
      </c>
      <c r="B109" s="1" t="n">
        <v>45050</v>
      </c>
      <c r="C109" s="1" t="n">
        <v>45969</v>
      </c>
      <c r="D109" t="inlineStr">
        <is>
          <t>VÄSTMANLANDS LÄN</t>
        </is>
      </c>
      <c r="E109" t="inlineStr">
        <is>
          <t>SURAHAMMAR</t>
        </is>
      </c>
      <c r="F109" t="inlineStr">
        <is>
          <t>Bergvik skog väst AB</t>
        </is>
      </c>
      <c r="G109" t="n">
        <v>8.1</v>
      </c>
      <c r="H109" t="n">
        <v>0</v>
      </c>
      <c r="I109" t="n">
        <v>0</v>
      </c>
      <c r="J109" t="n">
        <v>0</v>
      </c>
      <c r="K109" t="n">
        <v>0</v>
      </c>
      <c r="L109" t="n">
        <v>0</v>
      </c>
      <c r="M109" t="n">
        <v>0</v>
      </c>
      <c r="N109" t="n">
        <v>0</v>
      </c>
      <c r="O109" t="n">
        <v>0</v>
      </c>
      <c r="P109" t="n">
        <v>0</v>
      </c>
      <c r="Q109" t="n">
        <v>0</v>
      </c>
      <c r="R109" s="2" t="inlineStr"/>
    </row>
    <row r="110" ht="15" customHeight="1">
      <c r="A110" t="inlineStr">
        <is>
          <t>A 3818-2022</t>
        </is>
      </c>
      <c r="B110" s="1" t="n">
        <v>44587</v>
      </c>
      <c r="C110" s="1" t="n">
        <v>45969</v>
      </c>
      <c r="D110" t="inlineStr">
        <is>
          <t>VÄSTMANLANDS LÄN</t>
        </is>
      </c>
      <c r="E110" t="inlineStr">
        <is>
          <t>SURAHAMMAR</t>
        </is>
      </c>
      <c r="G110" t="n">
        <v>2.6</v>
      </c>
      <c r="H110" t="n">
        <v>0</v>
      </c>
      <c r="I110" t="n">
        <v>0</v>
      </c>
      <c r="J110" t="n">
        <v>0</v>
      </c>
      <c r="K110" t="n">
        <v>0</v>
      </c>
      <c r="L110" t="n">
        <v>0</v>
      </c>
      <c r="M110" t="n">
        <v>0</v>
      </c>
      <c r="N110" t="n">
        <v>0</v>
      </c>
      <c r="O110" t="n">
        <v>0</v>
      </c>
      <c r="P110" t="n">
        <v>0</v>
      </c>
      <c r="Q110" t="n">
        <v>0</v>
      </c>
      <c r="R110" s="2" t="inlineStr"/>
    </row>
    <row r="111" ht="15" customHeight="1">
      <c r="A111" t="inlineStr">
        <is>
          <t>A 30076-2023</t>
        </is>
      </c>
      <c r="B111" s="1" t="n">
        <v>45110</v>
      </c>
      <c r="C111" s="1" t="n">
        <v>45969</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13119-2022</t>
        </is>
      </c>
      <c r="B112" s="1" t="n">
        <v>44643</v>
      </c>
      <c r="C112" s="1" t="n">
        <v>45969</v>
      </c>
      <c r="D112" t="inlineStr">
        <is>
          <t>VÄSTMANLANDS LÄN</t>
        </is>
      </c>
      <c r="E112" t="inlineStr">
        <is>
          <t>SURAHAMMAR</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19782-2023</t>
        </is>
      </c>
      <c r="B113" s="1" t="n">
        <v>45050</v>
      </c>
      <c r="C113" s="1" t="n">
        <v>45969</v>
      </c>
      <c r="D113" t="inlineStr">
        <is>
          <t>VÄSTMANLANDS LÄN</t>
        </is>
      </c>
      <c r="E113" t="inlineStr">
        <is>
          <t>SURAHAMMAR</t>
        </is>
      </c>
      <c r="F113" t="inlineStr">
        <is>
          <t>Bergvik skog väst AB</t>
        </is>
      </c>
      <c r="G113" t="n">
        <v>5.2</v>
      </c>
      <c r="H113" t="n">
        <v>0</v>
      </c>
      <c r="I113" t="n">
        <v>0</v>
      </c>
      <c r="J113" t="n">
        <v>0</v>
      </c>
      <c r="K113" t="n">
        <v>0</v>
      </c>
      <c r="L113" t="n">
        <v>0</v>
      </c>
      <c r="M113" t="n">
        <v>0</v>
      </c>
      <c r="N113" t="n">
        <v>0</v>
      </c>
      <c r="O113" t="n">
        <v>0</v>
      </c>
      <c r="P113" t="n">
        <v>0</v>
      </c>
      <c r="Q113" t="n">
        <v>0</v>
      </c>
      <c r="R113" s="2" t="inlineStr"/>
    </row>
    <row r="114" ht="15" customHeight="1">
      <c r="A114" t="inlineStr">
        <is>
          <t>A 14626-2023</t>
        </is>
      </c>
      <c r="B114" s="1" t="n">
        <v>45012</v>
      </c>
      <c r="C114" s="1" t="n">
        <v>45969</v>
      </c>
      <c r="D114" t="inlineStr">
        <is>
          <t>VÄSTMANLANDS LÄN</t>
        </is>
      </c>
      <c r="E114" t="inlineStr">
        <is>
          <t>SURAHAMMAR</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8553-2023</t>
        </is>
      </c>
      <c r="B115" s="1" t="n">
        <v>44977</v>
      </c>
      <c r="C115" s="1" t="n">
        <v>45969</v>
      </c>
      <c r="D115" t="inlineStr">
        <is>
          <t>VÄSTMANLANDS LÄN</t>
        </is>
      </c>
      <c r="E115" t="inlineStr">
        <is>
          <t>SURAHAMMAR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47785-2021</t>
        </is>
      </c>
      <c r="B116" s="1" t="n">
        <v>44448</v>
      </c>
      <c r="C116" s="1" t="n">
        <v>45969</v>
      </c>
      <c r="D116" t="inlineStr">
        <is>
          <t>VÄSTMANLANDS LÄN</t>
        </is>
      </c>
      <c r="E116" t="inlineStr">
        <is>
          <t>SURAHAMMAR</t>
        </is>
      </c>
      <c r="F116" t="inlineStr">
        <is>
          <t>Kommuner</t>
        </is>
      </c>
      <c r="G116" t="n">
        <v>3.3</v>
      </c>
      <c r="H116" t="n">
        <v>0</v>
      </c>
      <c r="I116" t="n">
        <v>0</v>
      </c>
      <c r="J116" t="n">
        <v>0</v>
      </c>
      <c r="K116" t="n">
        <v>0</v>
      </c>
      <c r="L116" t="n">
        <v>0</v>
      </c>
      <c r="M116" t="n">
        <v>0</v>
      </c>
      <c r="N116" t="n">
        <v>0</v>
      </c>
      <c r="O116" t="n">
        <v>0</v>
      </c>
      <c r="P116" t="n">
        <v>0</v>
      </c>
      <c r="Q116" t="n">
        <v>0</v>
      </c>
      <c r="R116" s="2" t="inlineStr"/>
    </row>
    <row r="117" ht="15" customHeight="1">
      <c r="A117" t="inlineStr">
        <is>
          <t>A 34582-2025</t>
        </is>
      </c>
      <c r="B117" s="1" t="n">
        <v>45846</v>
      </c>
      <c r="C117" s="1" t="n">
        <v>45969</v>
      </c>
      <c r="D117" t="inlineStr">
        <is>
          <t>VÄSTMANLANDS LÄN</t>
        </is>
      </c>
      <c r="E117" t="inlineStr">
        <is>
          <t>SURAHAMMAR</t>
        </is>
      </c>
      <c r="F117" t="inlineStr">
        <is>
          <t>Bergvik skog väst AB</t>
        </is>
      </c>
      <c r="G117" t="n">
        <v>2.6</v>
      </c>
      <c r="H117" t="n">
        <v>0</v>
      </c>
      <c r="I117" t="n">
        <v>0</v>
      </c>
      <c r="J117" t="n">
        <v>0</v>
      </c>
      <c r="K117" t="n">
        <v>0</v>
      </c>
      <c r="L117" t="n">
        <v>0</v>
      </c>
      <c r="M117" t="n">
        <v>0</v>
      </c>
      <c r="N117" t="n">
        <v>0</v>
      </c>
      <c r="O117" t="n">
        <v>0</v>
      </c>
      <c r="P117" t="n">
        <v>0</v>
      </c>
      <c r="Q117" t="n">
        <v>0</v>
      </c>
      <c r="R117" s="2" t="inlineStr"/>
    </row>
    <row r="118" ht="15" customHeight="1">
      <c r="A118" t="inlineStr">
        <is>
          <t>A 56378-2023</t>
        </is>
      </c>
      <c r="B118" s="1" t="n">
        <v>45236</v>
      </c>
      <c r="C118" s="1" t="n">
        <v>45969</v>
      </c>
      <c r="D118" t="inlineStr">
        <is>
          <t>VÄSTMANLANDS LÄN</t>
        </is>
      </c>
      <c r="E118" t="inlineStr">
        <is>
          <t>SURAHAMMAR</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7787-2024</t>
        </is>
      </c>
      <c r="B119" s="1" t="n">
        <v>45348</v>
      </c>
      <c r="C119" s="1" t="n">
        <v>45969</v>
      </c>
      <c r="D119" t="inlineStr">
        <is>
          <t>VÄSTMANLANDS LÄN</t>
        </is>
      </c>
      <c r="E119" t="inlineStr">
        <is>
          <t>SURAHAMMAR</t>
        </is>
      </c>
      <c r="G119" t="n">
        <v>1</v>
      </c>
      <c r="H119" t="n">
        <v>0</v>
      </c>
      <c r="I119" t="n">
        <v>0</v>
      </c>
      <c r="J119" t="n">
        <v>0</v>
      </c>
      <c r="K119" t="n">
        <v>0</v>
      </c>
      <c r="L119" t="n">
        <v>0</v>
      </c>
      <c r="M119" t="n">
        <v>0</v>
      </c>
      <c r="N119" t="n">
        <v>0</v>
      </c>
      <c r="O119" t="n">
        <v>0</v>
      </c>
      <c r="P119" t="n">
        <v>0</v>
      </c>
      <c r="Q119" t="n">
        <v>0</v>
      </c>
      <c r="R119" s="2" t="inlineStr"/>
    </row>
    <row r="120" ht="15" customHeight="1">
      <c r="A120" t="inlineStr">
        <is>
          <t>A 25450-2024</t>
        </is>
      </c>
      <c r="B120" s="1" t="n">
        <v>45463</v>
      </c>
      <c r="C120" s="1" t="n">
        <v>45969</v>
      </c>
      <c r="D120" t="inlineStr">
        <is>
          <t>VÄSTMANLANDS LÄN</t>
        </is>
      </c>
      <c r="E120" t="inlineStr">
        <is>
          <t>SURAHAMMAR</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11728-2023</t>
        </is>
      </c>
      <c r="B121" s="1" t="n">
        <v>44993</v>
      </c>
      <c r="C121" s="1" t="n">
        <v>45969</v>
      </c>
      <c r="D121" t="inlineStr">
        <is>
          <t>VÄSTMANLANDS LÄN</t>
        </is>
      </c>
      <c r="E121" t="inlineStr">
        <is>
          <t>SURAHAMMAR</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10883-2023</t>
        </is>
      </c>
      <c r="B122" s="1" t="n">
        <v>44991</v>
      </c>
      <c r="C122" s="1" t="n">
        <v>45969</v>
      </c>
      <c r="D122" t="inlineStr">
        <is>
          <t>VÄSTMANLANDS LÄN</t>
        </is>
      </c>
      <c r="E122" t="inlineStr">
        <is>
          <t>SURAHAMMAR</t>
        </is>
      </c>
      <c r="F122" t="inlineStr">
        <is>
          <t>Övriga Aktiebolag</t>
        </is>
      </c>
      <c r="G122" t="n">
        <v>12.5</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45969</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45969</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72367-2021</t>
        </is>
      </c>
      <c r="B125" s="1" t="n">
        <v>44545</v>
      </c>
      <c r="C125" s="1" t="n">
        <v>45969</v>
      </c>
      <c r="D125" t="inlineStr">
        <is>
          <t>VÄSTMANLANDS LÄN</t>
        </is>
      </c>
      <c r="E125" t="inlineStr">
        <is>
          <t>SURAHAMMAR</t>
        </is>
      </c>
      <c r="G125" t="n">
        <v>2.5</v>
      </c>
      <c r="H125" t="n">
        <v>0</v>
      </c>
      <c r="I125" t="n">
        <v>0</v>
      </c>
      <c r="J125" t="n">
        <v>0</v>
      </c>
      <c r="K125" t="n">
        <v>0</v>
      </c>
      <c r="L125" t="n">
        <v>0</v>
      </c>
      <c r="M125" t="n">
        <v>0</v>
      </c>
      <c r="N125" t="n">
        <v>0</v>
      </c>
      <c r="O125" t="n">
        <v>0</v>
      </c>
      <c r="P125" t="n">
        <v>0</v>
      </c>
      <c r="Q125" t="n">
        <v>0</v>
      </c>
      <c r="R125" s="2" t="inlineStr"/>
    </row>
    <row r="126" ht="15" customHeight="1">
      <c r="A126" t="inlineStr">
        <is>
          <t>A 15739-2023</t>
        </is>
      </c>
      <c r="B126" s="1" t="n">
        <v>45021</v>
      </c>
      <c r="C126" s="1" t="n">
        <v>45969</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44405.42373842592</v>
      </c>
      <c r="C127" s="1" t="n">
        <v>45969</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42088-2025</t>
        </is>
      </c>
      <c r="B128" s="1" t="n">
        <v>45902</v>
      </c>
      <c r="C128" s="1" t="n">
        <v>45969</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42714-2022</t>
        </is>
      </c>
      <c r="B129" s="1" t="n">
        <v>44832</v>
      </c>
      <c r="C129" s="1" t="n">
        <v>45969</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37287-2023</t>
        </is>
      </c>
      <c r="B130" s="1" t="n">
        <v>45156</v>
      </c>
      <c r="C130" s="1" t="n">
        <v>45969</v>
      </c>
      <c r="D130" t="inlineStr">
        <is>
          <t>VÄSTMANLANDS LÄN</t>
        </is>
      </c>
      <c r="E130" t="inlineStr">
        <is>
          <t>SURAHAMMAR</t>
        </is>
      </c>
      <c r="G130" t="n">
        <v>0.6</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45969</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49060-2024</t>
        </is>
      </c>
      <c r="B132" s="1" t="n">
        <v>45594</v>
      </c>
      <c r="C132" s="1" t="n">
        <v>45969</v>
      </c>
      <c r="D132" t="inlineStr">
        <is>
          <t>VÄSTMANLANDS LÄN</t>
        </is>
      </c>
      <c r="E132" t="inlineStr">
        <is>
          <t>SURAHAMMAR</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19099-2022</t>
        </is>
      </c>
      <c r="B133" s="1" t="n">
        <v>44691</v>
      </c>
      <c r="C133" s="1" t="n">
        <v>45969</v>
      </c>
      <c r="D133" t="inlineStr">
        <is>
          <t>VÄSTMANLANDS LÄN</t>
        </is>
      </c>
      <c r="E133" t="inlineStr">
        <is>
          <t>SURAHAMMAR</t>
        </is>
      </c>
      <c r="F133" t="inlineStr">
        <is>
          <t>Övriga Aktiebolag</t>
        </is>
      </c>
      <c r="G133" t="n">
        <v>3.4</v>
      </c>
      <c r="H133" t="n">
        <v>0</v>
      </c>
      <c r="I133" t="n">
        <v>0</v>
      </c>
      <c r="J133" t="n">
        <v>0</v>
      </c>
      <c r="K133" t="n">
        <v>0</v>
      </c>
      <c r="L133" t="n">
        <v>0</v>
      </c>
      <c r="M133" t="n">
        <v>0</v>
      </c>
      <c r="N133" t="n">
        <v>0</v>
      </c>
      <c r="O133" t="n">
        <v>0</v>
      </c>
      <c r="P133" t="n">
        <v>0</v>
      </c>
      <c r="Q133" t="n">
        <v>0</v>
      </c>
      <c r="R133" s="2" t="inlineStr"/>
    </row>
    <row r="134" ht="15" customHeight="1">
      <c r="A134" t="inlineStr">
        <is>
          <t>A 43255-2025</t>
        </is>
      </c>
      <c r="B134" s="1" t="n">
        <v>45910.55325231481</v>
      </c>
      <c r="C134" s="1" t="n">
        <v>45969</v>
      </c>
      <c r="D134" t="inlineStr">
        <is>
          <t>VÄSTMANLANDS LÄN</t>
        </is>
      </c>
      <c r="E134" t="inlineStr">
        <is>
          <t>SURAHAMMAR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31107-2025</t>
        </is>
      </c>
      <c r="B135" s="1" t="n">
        <v>45831</v>
      </c>
      <c r="C135" s="1" t="n">
        <v>45969</v>
      </c>
      <c r="D135" t="inlineStr">
        <is>
          <t>VÄSTMANLANDS LÄN</t>
        </is>
      </c>
      <c r="E135" t="inlineStr">
        <is>
          <t>SURAHAMMAR</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43249-2025</t>
        </is>
      </c>
      <c r="B136" s="1" t="n">
        <v>45910.55059027778</v>
      </c>
      <c r="C136" s="1" t="n">
        <v>45969</v>
      </c>
      <c r="D136" t="inlineStr">
        <is>
          <t>VÄSTMANLANDS LÄN</t>
        </is>
      </c>
      <c r="E136" t="inlineStr">
        <is>
          <t>SURAHAMMAR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25780-2023</t>
        </is>
      </c>
      <c r="B137" s="1" t="n">
        <v>45090.47523148148</v>
      </c>
      <c r="C137" s="1" t="n">
        <v>45969</v>
      </c>
      <c r="D137" t="inlineStr">
        <is>
          <t>VÄSTMANLANDS LÄN</t>
        </is>
      </c>
      <c r="E137" t="inlineStr">
        <is>
          <t>SURAHAMMAR</t>
        </is>
      </c>
      <c r="G137" t="n">
        <v>2.8</v>
      </c>
      <c r="H137" t="n">
        <v>0</v>
      </c>
      <c r="I137" t="n">
        <v>0</v>
      </c>
      <c r="J137" t="n">
        <v>0</v>
      </c>
      <c r="K137" t="n">
        <v>0</v>
      </c>
      <c r="L137" t="n">
        <v>0</v>
      </c>
      <c r="M137" t="n">
        <v>0</v>
      </c>
      <c r="N137" t="n">
        <v>0</v>
      </c>
      <c r="O137" t="n">
        <v>0</v>
      </c>
      <c r="P137" t="n">
        <v>0</v>
      </c>
      <c r="Q137" t="n">
        <v>0</v>
      </c>
      <c r="R137" s="2" t="inlineStr"/>
    </row>
    <row r="138" ht="15" customHeight="1">
      <c r="A138" t="inlineStr">
        <is>
          <t>A 13386-2025</t>
        </is>
      </c>
      <c r="B138" s="1" t="n">
        <v>45735</v>
      </c>
      <c r="C138" s="1" t="n">
        <v>45969</v>
      </c>
      <c r="D138" t="inlineStr">
        <is>
          <t>VÄSTMANLANDS LÄN</t>
        </is>
      </c>
      <c r="E138" t="inlineStr">
        <is>
          <t>SURAHAMMAR</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35682-2022</t>
        </is>
      </c>
      <c r="B139" s="1" t="n">
        <v>44799.60422453703</v>
      </c>
      <c r="C139" s="1" t="n">
        <v>45969</v>
      </c>
      <c r="D139" t="inlineStr">
        <is>
          <t>VÄSTMANLANDS LÄN</t>
        </is>
      </c>
      <c r="E139" t="inlineStr">
        <is>
          <t>SURAHAMMAR</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45969</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45969</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34584-2025</t>
        </is>
      </c>
      <c r="B142" s="1" t="n">
        <v>45846</v>
      </c>
      <c r="C142" s="1" t="n">
        <v>45969</v>
      </c>
      <c r="D142" t="inlineStr">
        <is>
          <t>VÄSTMANLANDS LÄN</t>
        </is>
      </c>
      <c r="E142" t="inlineStr">
        <is>
          <t>SURAHAMMAR</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41555-2022</t>
        </is>
      </c>
      <c r="B143" s="1" t="n">
        <v>44826</v>
      </c>
      <c r="C143" s="1" t="n">
        <v>45969</v>
      </c>
      <c r="D143" t="inlineStr">
        <is>
          <t>VÄSTMANLANDS LÄN</t>
        </is>
      </c>
      <c r="E143" t="inlineStr">
        <is>
          <t>SURAHAMMAR</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32910-2025</t>
        </is>
      </c>
      <c r="B144" s="1" t="n">
        <v>45839</v>
      </c>
      <c r="C144" s="1" t="n">
        <v>45969</v>
      </c>
      <c r="D144" t="inlineStr">
        <is>
          <t>VÄSTMANLANDS LÄN</t>
        </is>
      </c>
      <c r="E144" t="inlineStr">
        <is>
          <t>SURAHAMMAR</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45969</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32916-2025</t>
        </is>
      </c>
      <c r="B146" s="1" t="n">
        <v>45839</v>
      </c>
      <c r="C146" s="1" t="n">
        <v>45969</v>
      </c>
      <c r="D146" t="inlineStr">
        <is>
          <t>VÄSTMANLANDS LÄN</t>
        </is>
      </c>
      <c r="E146" t="inlineStr">
        <is>
          <t>SURAHAMMAR</t>
        </is>
      </c>
      <c r="F146" t="inlineStr">
        <is>
          <t>Kommuner</t>
        </is>
      </c>
      <c r="G146" t="n">
        <v>4.9</v>
      </c>
      <c r="H146" t="n">
        <v>0</v>
      </c>
      <c r="I146" t="n">
        <v>0</v>
      </c>
      <c r="J146" t="n">
        <v>0</v>
      </c>
      <c r="K146" t="n">
        <v>0</v>
      </c>
      <c r="L146" t="n">
        <v>0</v>
      </c>
      <c r="M146" t="n">
        <v>0</v>
      </c>
      <c r="N146" t="n">
        <v>0</v>
      </c>
      <c r="O146" t="n">
        <v>0</v>
      </c>
      <c r="P146" t="n">
        <v>0</v>
      </c>
      <c r="Q146" t="n">
        <v>0</v>
      </c>
      <c r="R146" s="2" t="inlineStr"/>
    </row>
    <row r="147" ht="15" customHeight="1">
      <c r="A147" t="inlineStr">
        <is>
          <t>A 41576-2022</t>
        </is>
      </c>
      <c r="B147" s="1" t="n">
        <v>44826</v>
      </c>
      <c r="C147" s="1" t="n">
        <v>45969</v>
      </c>
      <c r="D147" t="inlineStr">
        <is>
          <t>VÄSTMANLANDS LÄN</t>
        </is>
      </c>
      <c r="E147" t="inlineStr">
        <is>
          <t>SURAHAMMAR</t>
        </is>
      </c>
      <c r="F147" t="inlineStr">
        <is>
          <t>Bergvik skog väst AB</t>
        </is>
      </c>
      <c r="G147" t="n">
        <v>6.4</v>
      </c>
      <c r="H147" t="n">
        <v>0</v>
      </c>
      <c r="I147" t="n">
        <v>0</v>
      </c>
      <c r="J147" t="n">
        <v>0</v>
      </c>
      <c r="K147" t="n">
        <v>0</v>
      </c>
      <c r="L147" t="n">
        <v>0</v>
      </c>
      <c r="M147" t="n">
        <v>0</v>
      </c>
      <c r="N147" t="n">
        <v>0</v>
      </c>
      <c r="O147" t="n">
        <v>0</v>
      </c>
      <c r="P147" t="n">
        <v>0</v>
      </c>
      <c r="Q147" t="n">
        <v>0</v>
      </c>
      <c r="R147" s="2" t="inlineStr"/>
    </row>
    <row r="148" ht="15" customHeight="1">
      <c r="A148" t="inlineStr">
        <is>
          <t>A 37013-2025</t>
        </is>
      </c>
      <c r="B148" s="1" t="n">
        <v>45874</v>
      </c>
      <c r="C148" s="1" t="n">
        <v>45969</v>
      </c>
      <c r="D148" t="inlineStr">
        <is>
          <t>VÄSTMANLANDS LÄN</t>
        </is>
      </c>
      <c r="E148" t="inlineStr">
        <is>
          <t>SURAHAMMAR</t>
        </is>
      </c>
      <c r="F148" t="inlineStr">
        <is>
          <t>Bergvik skog väst AB</t>
        </is>
      </c>
      <c r="G148" t="n">
        <v>10.7</v>
      </c>
      <c r="H148" t="n">
        <v>0</v>
      </c>
      <c r="I148" t="n">
        <v>0</v>
      </c>
      <c r="J148" t="n">
        <v>0</v>
      </c>
      <c r="K148" t="n">
        <v>0</v>
      </c>
      <c r="L148" t="n">
        <v>0</v>
      </c>
      <c r="M148" t="n">
        <v>0</v>
      </c>
      <c r="N148" t="n">
        <v>0</v>
      </c>
      <c r="O148" t="n">
        <v>0</v>
      </c>
      <c r="P148" t="n">
        <v>0</v>
      </c>
      <c r="Q148" t="n">
        <v>0</v>
      </c>
      <c r="R148" s="2" t="inlineStr"/>
    </row>
    <row r="149" ht="15" customHeight="1">
      <c r="A149" t="inlineStr">
        <is>
          <t>A 3085-2023</t>
        </is>
      </c>
      <c r="B149" s="1" t="n">
        <v>44946</v>
      </c>
      <c r="C149" s="1" t="n">
        <v>45969</v>
      </c>
      <c r="D149" t="inlineStr">
        <is>
          <t>VÄSTMANLANDS LÄN</t>
        </is>
      </c>
      <c r="E149" t="inlineStr">
        <is>
          <t>SURAHAMMAR</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37954-2025</t>
        </is>
      </c>
      <c r="B150" s="1" t="n">
        <v>45881</v>
      </c>
      <c r="C150" s="1" t="n">
        <v>45969</v>
      </c>
      <c r="D150" t="inlineStr">
        <is>
          <t>VÄSTMANLANDS LÄN</t>
        </is>
      </c>
      <c r="E150" t="inlineStr">
        <is>
          <t>SURAHAMMAR</t>
        </is>
      </c>
      <c r="G150" t="n">
        <v>9.5</v>
      </c>
      <c r="H150" t="n">
        <v>0</v>
      </c>
      <c r="I150" t="n">
        <v>0</v>
      </c>
      <c r="J150" t="n">
        <v>0</v>
      </c>
      <c r="K150" t="n">
        <v>0</v>
      </c>
      <c r="L150" t="n">
        <v>0</v>
      </c>
      <c r="M150" t="n">
        <v>0</v>
      </c>
      <c r="N150" t="n">
        <v>0</v>
      </c>
      <c r="O150" t="n">
        <v>0</v>
      </c>
      <c r="P150" t="n">
        <v>0</v>
      </c>
      <c r="Q150" t="n">
        <v>0</v>
      </c>
      <c r="R150" s="2" t="inlineStr"/>
    </row>
    <row r="151">
      <c r="A151" t="inlineStr">
        <is>
          <t>A 55042-2025</t>
        </is>
      </c>
      <c r="B151" s="1" t="n">
        <v>45967.65858796296</v>
      </c>
      <c r="C151" s="1" t="n">
        <v>45969</v>
      </c>
      <c r="D151" t="inlineStr">
        <is>
          <t>VÄSTMANLANDS LÄN</t>
        </is>
      </c>
      <c r="E151" t="inlineStr">
        <is>
          <t>SURAHAMMAR</t>
        </is>
      </c>
      <c r="F151" t="inlineStr">
        <is>
          <t>Sveaskog</t>
        </is>
      </c>
      <c r="G151" t="n">
        <v>7.2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2025-11-08T10:07:06Z</dcterms:created>
  <dcterms:modified xmlns:dcterms="http://purl.org/dc/terms/" xmlns:xsi="http://www.w3.org/2001/XMLSchema-instance" xsi:type="dcterms:W3CDTF">2025-11-08T10:07:06Z</dcterms:modified>
</cp:coreProperties>
</file>