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2453-2024</t>
        </is>
      </c>
      <c r="B2" t="inlineStr">
        <is>
          <t>samrådsanmälan</t>
        </is>
      </c>
      <c r="C2" t="inlineStr">
        <is>
          <t>Skogsgödsling</t>
        </is>
      </c>
      <c r="D2" s="1" t="n">
        <v>45470</v>
      </c>
      <c r="E2" s="1" t="n">
        <v>46223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HYPERLINK("https://klasma.github.io/Logging_1907/kartor_geotiff/S 2453-2024 georefererad karta.tif", "S 2453-2024")</f>
        <v/>
      </c>
      <c r="Y2">
        <f>HYPERLINK("https://klasma.github.io/Logging_1907/knärot/S 2453-2024 karta knärot.png", "S 2453-2024")</f>
        <v/>
      </c>
      <c r="Z2">
        <f>HYPERLINK("https://klasma.github.io/Logging_1907/klagomål/S 2453-2024 FSC-klagomål.docx", "S 2453-2024")</f>
        <v/>
      </c>
      <c r="AA2">
        <f>HYPERLINK("https://klasma.github.io/Logging_1907/klagomålsmail/S 2453-2024 FSC-klagomål mail.docx", "S 2453-2024")</f>
        <v/>
      </c>
      <c r="AB2">
        <f>HYPERLINK("https://klasma.github.io/Logging_1907/tillsyn/S 2453-2024 tillsynsbegäran.docx", "S 2453-2024")</f>
        <v/>
      </c>
      <c r="AC2">
        <f>HYPERLINK("https://klasma.github.io/Logging_1907/tillsynsmail/S 2453-2024 tillsynsbegäran mail.docx", "S 2453-2024")</f>
        <v/>
      </c>
      <c r="AD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HYPERLINK("https://klasma.github.io/Logging_1907/kartor_geotiff/A 4086-2025 georefererad karta.tif", "A 4086-2025")</f>
        <v/>
      </c>
      <c r="Y3">
        <f>HYPERLINK("https://klasma.github.io/Logging_1907/knärot/A 4086-2025 karta knärot.png", "A 4086-2025")</f>
        <v/>
      </c>
      <c r="Z3">
        <f>HYPERLINK("https://klasma.github.io/Logging_1907/klagomål/A 4086-2025 FSC-klagomål.docx", "A 4086-2025")</f>
        <v/>
      </c>
      <c r="AA3">
        <f>HYPERLINK("https://klasma.github.io/Logging_1907/klagomålsmail/A 4086-2025 FSC-klagomål mail.docx", "A 4086-2025")</f>
        <v/>
      </c>
      <c r="AB3">
        <f>HYPERLINK("https://klasma.github.io/Logging_1907/tillsyn/A 4086-2025 tillsynsbegäran.docx", "A 4086-2025")</f>
        <v/>
      </c>
      <c r="AC3">
        <f>HYPERLINK("https://klasma.github.io/Logging_1907/tillsynsmail/A 4086-2025 tillsynsbegäran mail.docx", "A 4086-2025")</f>
        <v/>
      </c>
      <c r="AD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HYPERLINK("https://klasma.github.io/Logging_1907/kartor_geotiff/A 31280-2024 georefererad karta.tif", "A 31280-2024")</f>
        <v/>
      </c>
      <c r="Y4">
        <f>HYPERLINK("https://klasma.github.io/Logging_1907/knärot/A 31280-2024 karta knärot.png", "A 31280-2024")</f>
        <v/>
      </c>
      <c r="Z4">
        <f>HYPERLINK("https://klasma.github.io/Logging_1907/klagomål/A 31280-2024 FSC-klagomål.docx", "A 31280-2024")</f>
        <v/>
      </c>
      <c r="AA4">
        <f>HYPERLINK("https://klasma.github.io/Logging_1907/klagomålsmail/A 31280-2024 FSC-klagomål mail.docx", "A 31280-2024")</f>
        <v/>
      </c>
      <c r="AB4">
        <f>HYPERLINK("https://klasma.github.io/Logging_1907/tillsyn/A 31280-2024 tillsynsbegäran.docx", "A 31280-2024")</f>
        <v/>
      </c>
      <c r="AC4">
        <f>HYPERLINK("https://klasma.github.io/Logging_1907/tillsynsmail/A 31280-2024 tillsynsbegäran mail.docx", "A 31280-2024")</f>
        <v/>
      </c>
      <c r="AD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46223</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HYPERLINK("https://klasma.github.io/Logging_1907/kartor_geotiff/A 39697-2025 georefererad karta.tif", "A 39697-2025")</f>
        <v/>
      </c>
      <c r="Y5">
        <f>HYPERLINK("https://klasma.github.io/Logging_1907/knärot/A 39697-2025 karta knärot.png", "A 39697-2025")</f>
        <v/>
      </c>
      <c r="Z5">
        <f>HYPERLINK("https://klasma.github.io/Logging_1907/klagomål/A 39697-2025 FSC-klagomål.docx", "A 39697-2025")</f>
        <v/>
      </c>
      <c r="AA5">
        <f>HYPERLINK("https://klasma.github.io/Logging_1907/klagomålsmail/A 39697-2025 FSC-klagomål mail.docx", "A 39697-2025")</f>
        <v/>
      </c>
      <c r="AB5">
        <f>HYPERLINK("https://klasma.github.io/Logging_1907/tillsyn/A 39697-2025 tillsynsbegäran.docx", "A 39697-2025")</f>
        <v/>
      </c>
      <c r="AC5">
        <f>HYPERLINK("https://klasma.github.io/Logging_1907/tillsynsmail/A 39697-2025 tillsynsbegäran mail.docx", "A 39697-2025")</f>
        <v/>
      </c>
      <c r="AD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X6">
        <f>HYPERLINK("https://klasma.github.io/Logging_1907/kartor_geotiff/A 46468-2024 georefererad karta.tif", "A 46468-2024")</f>
        <v/>
      </c>
      <c r="Z6">
        <f>HYPERLINK("https://klasma.github.io/Logging_1907/klagomål/A 46468-2024 FSC-klagomål.docx", "A 46468-2024")</f>
        <v/>
      </c>
      <c r="AA6">
        <f>HYPERLINK("https://klasma.github.io/Logging_1907/klagomålsmail/A 46468-2024 FSC-klagomål mail.docx", "A 46468-2024")</f>
        <v/>
      </c>
      <c r="AB6">
        <f>HYPERLINK("https://klasma.github.io/Logging_1907/tillsyn/A 46468-2024 tillsynsbegäran.docx", "A 46468-2024")</f>
        <v/>
      </c>
      <c r="AC6">
        <f>HYPERLINK("https://klasma.github.io/Logging_1907/tillsynsmail/A 46468-2024 tillsynsbegäran mail.docx", "A 46468-2024")</f>
        <v/>
      </c>
      <c r="AD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X7">
        <f>HYPERLINK("https://klasma.github.io/Logging_1907/kartor_geotiff/A 40942-2023 georefererad karta.tif", "A 40942-2023")</f>
        <v/>
      </c>
      <c r="Z7">
        <f>HYPERLINK("https://klasma.github.io/Logging_1907/klagomål/A 40942-2023 FSC-klagomål.docx", "A 40942-2023")</f>
        <v/>
      </c>
      <c r="AA7">
        <f>HYPERLINK("https://klasma.github.io/Logging_1907/klagomålsmail/A 40942-2023 FSC-klagomål mail.docx", "A 40942-2023")</f>
        <v/>
      </c>
      <c r="AB7">
        <f>HYPERLINK("https://klasma.github.io/Logging_1907/tillsyn/A 40942-2023 tillsynsbegäran.docx", "A 40942-2023")</f>
        <v/>
      </c>
      <c r="AC7">
        <f>HYPERLINK("https://klasma.github.io/Logging_1907/tillsynsmail/A 40942-2023 tillsynsbegäran mail.docx", "A 40942-2023")</f>
        <v/>
      </c>
      <c r="AD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HYPERLINK("https://klasma.github.io/Logging_1907/kartor_geotiff/A 34759-2023 georefererad karta.tif", "A 34759-2023")</f>
        <v/>
      </c>
      <c r="Y8">
        <f>HYPERLINK("https://klasma.github.io/Logging_1907/knärot/A 34759-2023 karta knärot.png", "A 34759-2023")</f>
        <v/>
      </c>
      <c r="Z8">
        <f>HYPERLINK("https://klasma.github.io/Logging_1907/klagomål/A 34759-2023 FSC-klagomål.docx", "A 34759-2023")</f>
        <v/>
      </c>
      <c r="AA8">
        <f>HYPERLINK("https://klasma.github.io/Logging_1907/klagomålsmail/A 34759-2023 FSC-klagomål mail.docx", "A 34759-2023")</f>
        <v/>
      </c>
      <c r="AB8">
        <f>HYPERLINK("https://klasma.github.io/Logging_1907/tillsyn/A 34759-2023 tillsynsbegäran.docx", "A 34759-2023")</f>
        <v/>
      </c>
      <c r="AC8">
        <f>HYPERLINK("https://klasma.github.io/Logging_1907/tillsynsmail/A 34759-2023 tillsynsbegäran mail.docx", "A 34759-2023")</f>
        <v/>
      </c>
      <c r="AD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X9">
        <f>HYPERLINK("https://klasma.github.io/Logging_1907/kartor_geotiff/A 21560-2025 georefererad karta.tif", "A 21560-2025")</f>
        <v/>
      </c>
      <c r="Z9">
        <f>HYPERLINK("https://klasma.github.io/Logging_1907/klagomål/A 21560-2025 FSC-klagomål.docx", "A 21560-2025")</f>
        <v/>
      </c>
      <c r="AA9">
        <f>HYPERLINK("https://klasma.github.io/Logging_1907/klagomålsmail/A 21560-2025 FSC-klagomål mail.docx", "A 21560-2025")</f>
        <v/>
      </c>
      <c r="AB9">
        <f>HYPERLINK("https://klasma.github.io/Logging_1907/tillsyn/A 21560-2025 tillsynsbegäran.docx", "A 21560-2025")</f>
        <v/>
      </c>
      <c r="AC9">
        <f>HYPERLINK("https://klasma.github.io/Logging_1907/tillsynsmail/A 21560-2025 tillsynsbegäran mail.docx", "A 21560-2025")</f>
        <v/>
      </c>
      <c r="AD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HYPERLINK("https://klasma.github.io/Logging_1907/kartor_geotiff/A 65022-2023 georefererad karta.tif", "A 65022-2023")</f>
        <v/>
      </c>
      <c r="Y10">
        <f>HYPERLINK("https://klasma.github.io/Logging_1907/knärot/A 65022-2023 karta knärot.png", "A 65022-2023")</f>
        <v/>
      </c>
      <c r="Z10">
        <f>HYPERLINK("https://klasma.github.io/Logging_1907/klagomål/A 65022-2023 FSC-klagomål.docx", "A 65022-2023")</f>
        <v/>
      </c>
      <c r="AA10">
        <f>HYPERLINK("https://klasma.github.io/Logging_1907/klagomålsmail/A 65022-2023 FSC-klagomål mail.docx", "A 65022-2023")</f>
        <v/>
      </c>
      <c r="AB10">
        <f>HYPERLINK("https://klasma.github.io/Logging_1907/tillsyn/A 65022-2023 tillsynsbegäran.docx", "A 65022-2023")</f>
        <v/>
      </c>
      <c r="AC10">
        <f>HYPERLINK("https://klasma.github.io/Logging_1907/tillsynsmail/A 65022-2023 tillsynsbegäran mail.docx", "A 65022-2023")</f>
        <v/>
      </c>
      <c r="AD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46223</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X11">
        <f>HYPERLINK("https://klasma.github.io/Logging_1907/kartor_geotiff/S 1051-2022 georefererad karta.tif", "S 1051-2022")</f>
        <v/>
      </c>
      <c r="Z11">
        <f>HYPERLINK("https://klasma.github.io/Logging_1907/klagomål/S 1051-2022 FSC-klagomål.docx", "S 1051-2022")</f>
        <v/>
      </c>
      <c r="AA11">
        <f>HYPERLINK("https://klasma.github.io/Logging_1907/klagomålsmail/S 1051-2022 FSC-klagomål mail.docx", "S 1051-2022")</f>
        <v/>
      </c>
      <c r="AB11">
        <f>HYPERLINK("https://klasma.github.io/Logging_1907/tillsyn/S 1051-2022 tillsynsbegäran.docx", "S 1051-2022")</f>
        <v/>
      </c>
      <c r="AC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46223</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HYPERLINK("https://klasma.github.io/Logging_1907/kartor_geotiff/A 20389-2024 georefererad karta.tif", "A 20389-2024")</f>
        <v/>
      </c>
      <c r="Y12">
        <f>HYPERLINK("https://klasma.github.io/Logging_1907/knärot/A 20389-2024 karta knärot.png", "A 20389-2024")</f>
        <v/>
      </c>
      <c r="Z12">
        <f>HYPERLINK("https://klasma.github.io/Logging_1907/klagomål/A 20389-2024 FSC-klagomål.docx", "A 20389-2024")</f>
        <v/>
      </c>
      <c r="AA12">
        <f>HYPERLINK("https://klasma.github.io/Logging_1907/klagomålsmail/A 20389-2024 FSC-klagomål mail.docx", "A 20389-2024")</f>
        <v/>
      </c>
      <c r="AB12">
        <f>HYPERLINK("https://klasma.github.io/Logging_1907/tillsyn/A 20389-2024 tillsynsbegäran.docx", "A 20389-2024")</f>
        <v/>
      </c>
      <c r="AC12">
        <f>HYPERLINK("https://klasma.github.io/Logging_1907/tillsynsmail/A 20389-2024 tillsynsbegäran mail.docx", "A 20389-2024")</f>
        <v/>
      </c>
      <c r="AD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46223</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X13">
        <f>HYPERLINK("https://klasma.github.io/Logging_1907/kartor_geotiff/S 610-2026 georefererad karta.tif", "S 610-2026")</f>
        <v/>
      </c>
      <c r="Z13">
        <f>HYPERLINK("https://klasma.github.io/Logging_1907/klagomål/S 610-2026 FSC-klagomål.docx", "S 610-2026")</f>
        <v/>
      </c>
      <c r="AA13">
        <f>HYPERLINK("https://klasma.github.io/Logging_1907/klagomålsmail/S 610-2026 FSC-klagomål mail.docx", "S 610-2026")</f>
        <v/>
      </c>
      <c r="AB13">
        <f>HYPERLINK("https://klasma.github.io/Logging_1907/tillsyn/S 610-2026 tillsynsbegäran.docx", "S 610-2026")</f>
        <v/>
      </c>
      <c r="AC13">
        <f>HYPERLINK("https://klasma.github.io/Logging_1907/tillsynsmail/S 610-2026 tillsynsbegäran mail.docx", "S 610-2026")</f>
        <v/>
      </c>
      <c r="AD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46223</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X14">
        <f>HYPERLINK("https://klasma.github.io/Logging_1907/kartor_geotiff/S 920-2026 georefererad karta.tif", "S 920-2026")</f>
        <v/>
      </c>
      <c r="Z14">
        <f>HYPERLINK("https://klasma.github.io/Logging_1907/klagomål/S 920-2026 FSC-klagomål.docx", "S 920-2026")</f>
        <v/>
      </c>
      <c r="AA14">
        <f>HYPERLINK("https://klasma.github.io/Logging_1907/klagomålsmail/S 920-2026 FSC-klagomål mail.docx", "S 920-2026")</f>
        <v/>
      </c>
      <c r="AB14">
        <f>HYPERLINK("https://klasma.github.io/Logging_1907/tillsyn/S 920-2026 tillsynsbegäran.docx", "S 920-2026")</f>
        <v/>
      </c>
      <c r="AC14">
        <f>HYPERLINK("https://klasma.github.io/Logging_1907/tillsynsmail/S 920-2026 tillsynsbegäran mail.docx", "S 920-2026")</f>
        <v/>
      </c>
      <c r="AD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46223</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X15">
        <f>HYPERLINK("https://klasma.github.io/Logging_1907/kartor_geotiff/A 39594-2025 georefererad karta.tif", "A 39594-2025")</f>
        <v/>
      </c>
      <c r="Z15">
        <f>HYPERLINK("https://klasma.github.io/Logging_1907/klagomål/A 39594-2025 FSC-klagomål.docx", "A 39594-2025")</f>
        <v/>
      </c>
      <c r="AA15">
        <f>HYPERLINK("https://klasma.github.io/Logging_1907/klagomålsmail/A 39594-2025 FSC-klagomål mail.docx", "A 39594-2025")</f>
        <v/>
      </c>
      <c r="AB15">
        <f>HYPERLINK("https://klasma.github.io/Logging_1907/tillsyn/A 39594-2025 tillsynsbegäran.docx", "A 39594-2025")</f>
        <v/>
      </c>
      <c r="AC15">
        <f>HYPERLINK("https://klasma.github.io/Logging_1907/tillsynsmail/A 39594-2025 tillsynsbegäran mail.docx", "A 39594-2025")</f>
        <v/>
      </c>
      <c r="AD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46223</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X16">
        <f>HYPERLINK("https://klasma.github.io/Logging_1907/kartor_geotiff/A 42853-2022 georefererad karta.tif", "A 42853-2022")</f>
        <v/>
      </c>
      <c r="Z16">
        <f>HYPERLINK("https://klasma.github.io/Logging_1907/klagomål/A 42853-2022 FSC-klagomål.docx", "A 42853-2022")</f>
        <v/>
      </c>
      <c r="AA16">
        <f>HYPERLINK("https://klasma.github.io/Logging_1907/klagomålsmail/A 42853-2022 FSC-klagomål mail.docx", "A 42853-2022")</f>
        <v/>
      </c>
      <c r="AB16">
        <f>HYPERLINK("https://klasma.github.io/Logging_1907/tillsyn/A 42853-2022 tillsynsbegäran.docx", "A 42853-2022")</f>
        <v/>
      </c>
      <c r="AC16">
        <f>HYPERLINK("https://klasma.github.io/Logging_1907/tillsynsmail/A 42853-2022 tillsynsbegäran mail.docx", "A 42853-2022")</f>
        <v/>
      </c>
      <c r="AD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46223</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HYPERLINK("https://klasma.github.io/Logging_1907/kartor_geotiff/A 34040-2024 georefererad karta.tif", "A 34040-2024")</f>
        <v/>
      </c>
      <c r="Y17">
        <f>HYPERLINK("https://klasma.github.io/Logging_1907/knärot/A 34040-2024 karta knärot.png", "A 34040-2024")</f>
        <v/>
      </c>
      <c r="Z17">
        <f>HYPERLINK("https://klasma.github.io/Logging_1907/klagomål/A 34040-2024 FSC-klagomål.docx", "A 34040-2024")</f>
        <v/>
      </c>
      <c r="AA17">
        <f>HYPERLINK("https://klasma.github.io/Logging_1907/klagomålsmail/A 34040-2024 FSC-klagomål mail.docx", "A 34040-2024")</f>
        <v/>
      </c>
      <c r="AB17">
        <f>HYPERLINK("https://klasma.github.io/Logging_1907/tillsyn/A 34040-2024 tillsynsbegäran.docx", "A 34040-2024")</f>
        <v/>
      </c>
      <c r="AC17">
        <f>HYPERLINK("https://klasma.github.io/Logging_1907/tillsynsmail/A 34040-2024 tillsynsbegäran mail.docx", "A 34040-2024")</f>
        <v/>
      </c>
      <c r="AD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46223</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X18">
        <f>HYPERLINK("https://klasma.github.io/Logging_1907/kartor_geotiff/A 22907-2023 georefererad karta.tif", "A 22907-2023")</f>
        <v/>
      </c>
      <c r="Z18">
        <f>HYPERLINK("https://klasma.github.io/Logging_1907/klagomål/A 22907-2023 FSC-klagomål.docx", "A 22907-2023")</f>
        <v/>
      </c>
      <c r="AA18">
        <f>HYPERLINK("https://klasma.github.io/Logging_1907/klagomålsmail/A 22907-2023 FSC-klagomål mail.docx", "A 22907-2023")</f>
        <v/>
      </c>
      <c r="AB18">
        <f>HYPERLINK("https://klasma.github.io/Logging_1907/tillsyn/A 22907-2023 tillsynsbegäran.docx", "A 22907-2023")</f>
        <v/>
      </c>
      <c r="AC18">
        <f>HYPERLINK("https://klasma.github.io/Logging_1907/tillsynsmail/A 22907-2023 tillsynsbegäran mail.docx", "A 22907-2023")</f>
        <v/>
      </c>
      <c r="AD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46223</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X19">
        <f>HYPERLINK("https://klasma.github.io/Logging_1907/kartor_geotiff/A 31059-2026 georefererad karta.tif", "A 31059-2026")</f>
        <v/>
      </c>
      <c r="Z19">
        <f>HYPERLINK("https://klasma.github.io/Logging_1907/klagomål/A 31059-2026 FSC-klagomål.docx", "A 31059-2026")</f>
        <v/>
      </c>
      <c r="AA19">
        <f>HYPERLINK("https://klasma.github.io/Logging_1907/klagomålsmail/A 31059-2026 FSC-klagomål mail.docx", "A 31059-2026")</f>
        <v/>
      </c>
      <c r="AB19">
        <f>HYPERLINK("https://klasma.github.io/Logging_1907/tillsyn/A 31059-2026 tillsynsbegäran.docx", "A 31059-2026")</f>
        <v/>
      </c>
      <c r="AC19">
        <f>HYPERLINK("https://klasma.github.io/Logging_1907/tillsynsmail/A 31059-2026 tillsynsbegäran mail.docx", "A 31059-2026")</f>
        <v/>
      </c>
      <c r="AD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46223</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X20">
        <f>HYPERLINK("https://klasma.github.io/Logging_1907/kartor_geotiff/A 44798-2024 georefererad karta.tif", "A 44798-2024")</f>
        <v/>
      </c>
      <c r="Z20">
        <f>HYPERLINK("https://klasma.github.io/Logging_1907/klagomål/A 44798-2024 FSC-klagomål.docx", "A 44798-2024")</f>
        <v/>
      </c>
      <c r="AA20">
        <f>HYPERLINK("https://klasma.github.io/Logging_1907/klagomålsmail/A 44798-2024 FSC-klagomål mail.docx", "A 44798-2024")</f>
        <v/>
      </c>
      <c r="AB20">
        <f>HYPERLINK("https://klasma.github.io/Logging_1907/tillsyn/A 44798-2024 tillsynsbegäran.docx", "A 44798-2024")</f>
        <v/>
      </c>
      <c r="AC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46223</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X21">
        <f>HYPERLINK("https://klasma.github.io/Logging_1907/kartor_geotiff/A 20391-2024 georefererad karta.tif", "A 20391-2024")</f>
        <v/>
      </c>
      <c r="Z21">
        <f>HYPERLINK("https://klasma.github.io/Logging_1907/klagomål/A 20391-2024 FSC-klagomål.docx", "A 20391-2024")</f>
        <v/>
      </c>
      <c r="AA21">
        <f>HYPERLINK("https://klasma.github.io/Logging_1907/klagomålsmail/A 20391-2024 FSC-klagomål mail.docx", "A 20391-2024")</f>
        <v/>
      </c>
      <c r="AB21">
        <f>HYPERLINK("https://klasma.github.io/Logging_1907/tillsyn/A 20391-2024 tillsynsbegäran.docx", "A 20391-2024")</f>
        <v/>
      </c>
      <c r="AC21">
        <f>HYPERLINK("https://klasma.github.io/Logging_1907/tillsynsmail/A 20391-2024 tillsynsbegäran mail.docx", "A 20391-2024")</f>
        <v/>
      </c>
      <c r="AD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46223</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s="2" t="inlineStr">
        <is>
          <t>Knärot
Orange taggsvamp
Mindre märgborre
Vedticka
Västlig hakmossa
Tjäder
Svartvit flugsnappare
Revlummer</t>
        </is>
      </c>
      <c r="V22">
        <f>HYPERLINK("https://klasma.github.io/Logging_1907/artfynd/S 2049-2026 artfynd.xlsx", "S 2049-2026")</f>
        <v/>
      </c>
      <c r="W22">
        <f>HYPERLINK("https://klasma.github.io/Logging_1907/kartor/S 2049-2026 karta.png", "S 2049-2026")</f>
        <v/>
      </c>
      <c r="X22">
        <f>HYPERLINK("https://klasma.github.io/Logging_1907/kartor_geotiff/S 2049-2026 georefererad karta.tif", "S 2049-2026")</f>
        <v/>
      </c>
      <c r="Y22">
        <f>HYPERLINK("https://klasma.github.io/Logging_1907/knärot/S 2049-2026 karta knärot.png", "S 2049-2026")</f>
        <v/>
      </c>
      <c r="Z22">
        <f>HYPERLINK("https://klasma.github.io/Logging_1907/klagomål/S 2049-2026 FSC-klagomål.docx", "S 2049-2026")</f>
        <v/>
      </c>
      <c r="AA22">
        <f>HYPERLINK("https://klasma.github.io/Logging_1907/klagomålsmail/S 2049-2026 FSC-klagomål mail.docx", "S 2049-2026")</f>
        <v/>
      </c>
      <c r="AB22">
        <f>HYPERLINK("https://klasma.github.io/Logging_1907/tillsyn/S 2049-2026 tillsynsbegäran.docx", "S 2049-2026")</f>
        <v/>
      </c>
      <c r="AC22">
        <f>HYPERLINK("https://klasma.github.io/Logging_1907/tillsynsmail/S 2049-2026 tillsynsbegäran mail.docx", "S 2049-2026")</f>
        <v/>
      </c>
      <c r="AD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46223</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s="2" t="inlineStr">
        <is>
          <t>Silverblåvinge
Ängsblåvinge
Järnsparv
Krusfrö
Bronshjon
Kråka
Fläcknycklar</t>
        </is>
      </c>
      <c r="V23">
        <f>HYPERLINK("https://klasma.github.io/Logging_1907/artfynd/A 66349-2021 artfynd.xlsx", "A 66349-2021")</f>
        <v/>
      </c>
      <c r="W23">
        <f>HYPERLINK("https://klasma.github.io/Logging_1907/kartor/A 66349-2021 karta.png", "A 66349-2021")</f>
        <v/>
      </c>
      <c r="X23">
        <f>HYPERLINK("https://klasma.github.io/Logging_1907/kartor_geotiff/A 66349-2021 georefererad karta.tif", "A 66349-2021")</f>
        <v/>
      </c>
      <c r="Z23">
        <f>HYPERLINK("https://klasma.github.io/Logging_1907/klagomål/A 66349-2021 FSC-klagomål.docx", "A 66349-2021")</f>
        <v/>
      </c>
      <c r="AA23">
        <f>HYPERLINK("https://klasma.github.io/Logging_1907/klagomålsmail/A 66349-2021 FSC-klagomål mail.docx", "A 66349-2021")</f>
        <v/>
      </c>
      <c r="AB23">
        <f>HYPERLINK("https://klasma.github.io/Logging_1907/tillsyn/A 66349-2021 tillsynsbegäran.docx", "A 66349-2021")</f>
        <v/>
      </c>
      <c r="AC23">
        <f>HYPERLINK("https://klasma.github.io/Logging_1907/tillsynsmail/A 66349-2021 tillsynsbegäran mail.docx", "A 66349-2021")</f>
        <v/>
      </c>
      <c r="AD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46223</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s="2" t="inlineStr">
        <is>
          <t>Större flatbagge
Tretåig hackspett
Björksplintborre
Blodticka
Korallblylav
Skinnlav
Kungsfågel</t>
        </is>
      </c>
      <c r="V24">
        <f>HYPERLINK("https://klasma.github.io/Logging_1907/artfynd/A 56299-2021 artfynd.xlsx", "A 56299-2021")</f>
        <v/>
      </c>
      <c r="W24">
        <f>HYPERLINK("https://klasma.github.io/Logging_1907/kartor/A 56299-2021 karta.png", "A 56299-2021")</f>
        <v/>
      </c>
      <c r="X24">
        <f>HYPERLINK("https://klasma.github.io/Logging_1907/kartor_geotiff/A 56299-2021 georefererad karta.tif", "A 56299-2021")</f>
        <v/>
      </c>
      <c r="Z24">
        <f>HYPERLINK("https://klasma.github.io/Logging_1907/klagomål/A 56299-2021 FSC-klagomål.docx", "A 56299-2021")</f>
        <v/>
      </c>
      <c r="AA24">
        <f>HYPERLINK("https://klasma.github.io/Logging_1907/klagomålsmail/A 56299-2021 FSC-klagomål mail.docx", "A 56299-2021")</f>
        <v/>
      </c>
      <c r="AB24">
        <f>HYPERLINK("https://klasma.github.io/Logging_1907/tillsyn/A 56299-2021 tillsynsbegäran.docx", "A 56299-2021")</f>
        <v/>
      </c>
      <c r="AC24">
        <f>HYPERLINK("https://klasma.github.io/Logging_1907/tillsynsmail/A 56299-2021 tillsynsbegäran mail.docx", "A 56299-2021")</f>
        <v/>
      </c>
      <c r="AD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46223</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s="2" t="inlineStr">
        <is>
          <t>Knärot
Motaggsvamp
Tallticka
Vintertagging
Flagellkvastmossa
Spillkråka
Gröngöling</t>
        </is>
      </c>
      <c r="V25">
        <f>HYPERLINK("https://klasma.github.io/Logging_1907/artfynd/A 48891-2023 artfynd.xlsx", "A 48891-2023")</f>
        <v/>
      </c>
      <c r="W25">
        <f>HYPERLINK("https://klasma.github.io/Logging_1907/kartor/A 48891-2023 karta.png", "A 48891-2023")</f>
        <v/>
      </c>
      <c r="X25">
        <f>HYPERLINK("https://klasma.github.io/Logging_1907/kartor_geotiff/A 48891-2023 georefererad karta.tif", "A 48891-2023")</f>
        <v/>
      </c>
      <c r="Y25">
        <f>HYPERLINK("https://klasma.github.io/Logging_1907/knärot/A 48891-2023 karta knärot.png", "A 48891-2023")</f>
        <v/>
      </c>
      <c r="Z25">
        <f>HYPERLINK("https://klasma.github.io/Logging_1907/klagomål/A 48891-2023 FSC-klagomål.docx", "A 48891-2023")</f>
        <v/>
      </c>
      <c r="AA25">
        <f>HYPERLINK("https://klasma.github.io/Logging_1907/klagomålsmail/A 48891-2023 FSC-klagomål mail.docx", "A 48891-2023")</f>
        <v/>
      </c>
      <c r="AB25">
        <f>HYPERLINK("https://klasma.github.io/Logging_1907/tillsyn/A 48891-2023 tillsynsbegäran.docx", "A 48891-2023")</f>
        <v/>
      </c>
      <c r="AC25">
        <f>HYPERLINK("https://klasma.github.io/Logging_1907/tillsynsmail/A 48891-2023 tillsynsbegäran mail.docx", "A 48891-2023")</f>
        <v/>
      </c>
      <c r="AD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46223</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s="2" t="inlineStr">
        <is>
          <t>Hultbräken
Kärrviol
Mattlummer
Skogsstjärna
Stjärnstarr
Vitsippa
Fläcknycklar</t>
        </is>
      </c>
      <c r="V26">
        <f>HYPERLINK("https://klasma.github.io/Logging_1907/artfynd/A 22840-2023 artfynd.xlsx", "A 22840-2023")</f>
        <v/>
      </c>
      <c r="W26">
        <f>HYPERLINK("https://klasma.github.io/Logging_1907/kartor/A 22840-2023 karta.png", "A 22840-2023")</f>
        <v/>
      </c>
      <c r="X26">
        <f>HYPERLINK("https://klasma.github.io/Logging_1907/kartor_geotiff/A 22840-2023 georefererad karta.tif", "A 22840-2023")</f>
        <v/>
      </c>
      <c r="Z26">
        <f>HYPERLINK("https://klasma.github.io/Logging_1907/klagomål/A 22840-2023 FSC-klagomål.docx", "A 22840-2023")</f>
        <v/>
      </c>
      <c r="AA26">
        <f>HYPERLINK("https://klasma.github.io/Logging_1907/klagomålsmail/A 22840-2023 FSC-klagomål mail.docx", "A 22840-2023")</f>
        <v/>
      </c>
      <c r="AB26">
        <f>HYPERLINK("https://klasma.github.io/Logging_1907/tillsyn/A 22840-2023 tillsynsbegäran.docx", "A 22840-2023")</f>
        <v/>
      </c>
      <c r="AC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46223</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s="2" t="inlineStr">
        <is>
          <t>Knärot
Gropticka
Sädesärla
Vedtrappmossa
Stjärtmes
Lopplummer (aggregat)
Revlummer</t>
        </is>
      </c>
      <c r="V27">
        <f>HYPERLINK("https://klasma.github.io/Logging_1907/artfynd/A 38172-2024 artfynd.xlsx", "A 38172-2024")</f>
        <v/>
      </c>
      <c r="W27">
        <f>HYPERLINK("https://klasma.github.io/Logging_1907/kartor/A 38172-2024 karta.png", "A 38172-2024")</f>
        <v/>
      </c>
      <c r="X27">
        <f>HYPERLINK("https://klasma.github.io/Logging_1907/kartor_geotiff/A 38172-2024 georefererad karta.tif", "A 38172-2024")</f>
        <v/>
      </c>
      <c r="Y27">
        <f>HYPERLINK("https://klasma.github.io/Logging_1907/knärot/A 38172-2024 karta knärot.png", "A 38172-2024")</f>
        <v/>
      </c>
      <c r="Z27">
        <f>HYPERLINK("https://klasma.github.io/Logging_1907/klagomål/A 38172-2024 FSC-klagomål.docx", "A 38172-2024")</f>
        <v/>
      </c>
      <c r="AA27">
        <f>HYPERLINK("https://klasma.github.io/Logging_1907/klagomålsmail/A 38172-2024 FSC-klagomål mail.docx", "A 38172-2024")</f>
        <v/>
      </c>
      <c r="AB27">
        <f>HYPERLINK("https://klasma.github.io/Logging_1907/tillsyn/A 38172-2024 tillsynsbegäran.docx", "A 38172-2024")</f>
        <v/>
      </c>
      <c r="AC27">
        <f>HYPERLINK("https://klasma.github.io/Logging_1907/tillsynsmail/A 38172-2024 tillsynsbegäran mail.docx", "A 38172-2024")</f>
        <v/>
      </c>
      <c r="AD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46223</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s="2" t="inlineStr">
        <is>
          <t>Bombmurkla
Järnsparv
Talltita
Ullticka
Mindre märgborre
Stor aspticka
Ärtsångare</t>
        </is>
      </c>
      <c r="V28">
        <f>HYPERLINK("https://klasma.github.io/Logging_1907/artfynd/S 2882-2025 artfynd.xlsx", "S 2882-2025")</f>
        <v/>
      </c>
      <c r="W28">
        <f>HYPERLINK("https://klasma.github.io/Logging_1907/kartor/S 2882-2025 karta.png", "S 2882-2025")</f>
        <v/>
      </c>
      <c r="X28">
        <f>HYPERLINK("https://klasma.github.io/Logging_1907/kartor_geotiff/S 2882-2025 georefererad karta.tif", "S 2882-2025")</f>
        <v/>
      </c>
      <c r="Y28">
        <f>HYPERLINK("https://klasma.github.io/Logging_1907/knärot/S 2882-2025 karta knärot.png", "S 2882-2025")</f>
        <v/>
      </c>
      <c r="Z28">
        <f>HYPERLINK("https://klasma.github.io/Logging_1907/klagomål/S 2882-2025 FSC-klagomål.docx", "S 2882-2025")</f>
        <v/>
      </c>
      <c r="AA28">
        <f>HYPERLINK("https://klasma.github.io/Logging_1907/klagomålsmail/S 2882-2025 FSC-klagomål mail.docx", "S 2882-2025")</f>
        <v/>
      </c>
      <c r="AB28">
        <f>HYPERLINK("https://klasma.github.io/Logging_1907/tillsyn/S 2882-2025 tillsynsbegäran.docx", "S 2882-2025")</f>
        <v/>
      </c>
      <c r="AC28">
        <f>HYPERLINK("https://klasma.github.io/Logging_1907/tillsynsmail/S 2882-2025 tillsynsbegäran mail.docx", "S 2882-2025")</f>
        <v/>
      </c>
      <c r="AD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46223</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s="2" t="inlineStr">
        <is>
          <t>Lakritsmusseron
Torrmusseron
Brunpudrad nållav
Motaggsvamp
Blåmossa
Mindre märgborre</t>
        </is>
      </c>
      <c r="V29">
        <f>HYPERLINK("https://klasma.github.io/Logging_1907/artfynd/A 66343-2021 artfynd.xlsx", "A 66343-2021")</f>
        <v/>
      </c>
      <c r="W29">
        <f>HYPERLINK("https://klasma.github.io/Logging_1907/kartor/A 66343-2021 karta.png", "A 66343-2021")</f>
        <v/>
      </c>
      <c r="X29">
        <f>HYPERLINK("https://klasma.github.io/Logging_1907/kartor_geotiff/A 66343-2021 georefererad karta.tif", "A 66343-2021")</f>
        <v/>
      </c>
      <c r="Z29">
        <f>HYPERLINK("https://klasma.github.io/Logging_1907/klagomål/A 66343-2021 FSC-klagomål.docx", "A 66343-2021")</f>
        <v/>
      </c>
      <c r="AA29">
        <f>HYPERLINK("https://klasma.github.io/Logging_1907/klagomålsmail/A 66343-2021 FSC-klagomål mail.docx", "A 66343-2021")</f>
        <v/>
      </c>
      <c r="AB29">
        <f>HYPERLINK("https://klasma.github.io/Logging_1907/tillsyn/A 66343-2021 tillsynsbegäran.docx", "A 66343-2021")</f>
        <v/>
      </c>
      <c r="AC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46223</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X30">
        <f>HYPERLINK("https://klasma.github.io/Logging_1907/kartor_geotiff/A 10236-2026 georefererad karta.tif", "A 10236-2026")</f>
        <v/>
      </c>
      <c r="Z30">
        <f>HYPERLINK("https://klasma.github.io/Logging_1907/klagomål/A 10236-2026 FSC-klagomål.docx", "A 10236-2026")</f>
        <v/>
      </c>
      <c r="AA30">
        <f>HYPERLINK("https://klasma.github.io/Logging_1907/klagomålsmail/A 10236-2026 FSC-klagomål mail.docx", "A 10236-2026")</f>
        <v/>
      </c>
      <c r="AB30">
        <f>HYPERLINK("https://klasma.github.io/Logging_1907/tillsyn/A 10236-2026 tillsynsbegäran.docx", "A 10236-2026")</f>
        <v/>
      </c>
      <c r="AC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46223</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s="2" t="inlineStr">
        <is>
          <t>Väddnätfjäril
Mindre hackspett
Talltita
Svart trolldruva
Kungsfågel
Nattviol</t>
        </is>
      </c>
      <c r="V31">
        <f>HYPERLINK("https://klasma.github.io/Logging_1907/artfynd/A 63145-2025 artfynd.xlsx", "A 63145-2025")</f>
        <v/>
      </c>
      <c r="W31">
        <f>HYPERLINK("https://klasma.github.io/Logging_1907/kartor/A 63145-2025 karta.png", "A 63145-2025")</f>
        <v/>
      </c>
      <c r="X31">
        <f>HYPERLINK("https://klasma.github.io/Logging_1907/kartor_geotiff/A 63145-2025 georefererad karta.tif", "A 63145-2025")</f>
        <v/>
      </c>
      <c r="Z31">
        <f>HYPERLINK("https://klasma.github.io/Logging_1907/klagomål/A 63145-2025 FSC-klagomål.docx", "A 63145-2025")</f>
        <v/>
      </c>
      <c r="AA31">
        <f>HYPERLINK("https://klasma.github.io/Logging_1907/klagomålsmail/A 63145-2025 FSC-klagomål mail.docx", "A 63145-2025")</f>
        <v/>
      </c>
      <c r="AB31">
        <f>HYPERLINK("https://klasma.github.io/Logging_1907/tillsyn/A 63145-2025 tillsynsbegäran.docx", "A 63145-2025")</f>
        <v/>
      </c>
      <c r="AC31">
        <f>HYPERLINK("https://klasma.github.io/Logging_1907/tillsynsmail/A 63145-2025 tillsynsbegäran mail.docx", "A 63145-2025")</f>
        <v/>
      </c>
      <c r="AD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46223</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s="2" t="inlineStr">
        <is>
          <t>Bombmurkla
Springkorn
Vedticka
Spillkråka
Åkergroda
Vanlig groda</t>
        </is>
      </c>
      <c r="V32">
        <f>HYPERLINK("https://klasma.github.io/Logging_1907/artfynd/A 31060-2026 artfynd.xlsx", "A 31060-2026")</f>
        <v/>
      </c>
      <c r="W32">
        <f>HYPERLINK("https://klasma.github.io/Logging_1907/kartor/A 31060-2026 karta.png", "A 31060-2026")</f>
        <v/>
      </c>
      <c r="X32">
        <f>HYPERLINK("https://klasma.github.io/Logging_1907/kartor_geotiff/A 31060-2026 georefererad karta.tif", "A 31060-2026")</f>
        <v/>
      </c>
      <c r="Z32">
        <f>HYPERLINK("https://klasma.github.io/Logging_1907/klagomål/A 31060-2026 FSC-klagomål.docx", "A 31060-2026")</f>
        <v/>
      </c>
      <c r="AA32">
        <f>HYPERLINK("https://klasma.github.io/Logging_1907/klagomålsmail/A 31060-2026 FSC-klagomål mail.docx", "A 31060-2026")</f>
        <v/>
      </c>
      <c r="AB32">
        <f>HYPERLINK("https://klasma.github.io/Logging_1907/tillsyn/A 31060-2026 tillsynsbegäran.docx", "A 31060-2026")</f>
        <v/>
      </c>
      <c r="AC32">
        <f>HYPERLINK("https://klasma.github.io/Logging_1907/tillsynsmail/A 31060-2026 tillsynsbegäran mail.docx", "A 31060-2026")</f>
        <v/>
      </c>
      <c r="AD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46223</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s="2" t="inlineStr">
        <is>
          <t>Ask
Skogsalm
Scharlakansvårskål agg.
Toppvaxing
Vitvaxing agg.</t>
        </is>
      </c>
      <c r="V33">
        <f>HYPERLINK("https://klasma.github.io/Logging_1907/artfynd/A 42860-2022 artfynd.xlsx", "A 42860-2022")</f>
        <v/>
      </c>
      <c r="W33">
        <f>HYPERLINK("https://klasma.github.io/Logging_1907/kartor/A 42860-2022 karta.png", "A 42860-2022")</f>
        <v/>
      </c>
      <c r="X33">
        <f>HYPERLINK("https://klasma.github.io/Logging_1907/kartor_geotiff/A 42860-2022 georefererad karta.tif", "A 42860-2022")</f>
        <v/>
      </c>
      <c r="Z33">
        <f>HYPERLINK("https://klasma.github.io/Logging_1907/klagomål/A 42860-2022 FSC-klagomål.docx", "A 42860-2022")</f>
        <v/>
      </c>
      <c r="AA33">
        <f>HYPERLINK("https://klasma.github.io/Logging_1907/klagomålsmail/A 42860-2022 FSC-klagomål mail.docx", "A 42860-2022")</f>
        <v/>
      </c>
      <c r="AB33">
        <f>HYPERLINK("https://klasma.github.io/Logging_1907/tillsyn/A 42860-2022 tillsynsbegäran.docx", "A 42860-2022")</f>
        <v/>
      </c>
      <c r="AC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46223</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HYPERLINK("https://klasma.github.io/Logging_1907/kartor_geotiff/A 21716-2025 georefererad karta.tif", "A 21716-2025")</f>
        <v/>
      </c>
      <c r="Y34">
        <f>HYPERLINK("https://klasma.github.io/Logging_1907/knärot/A 21716-2025 karta knärot.png", "A 21716-2025")</f>
        <v/>
      </c>
      <c r="Z34">
        <f>HYPERLINK("https://klasma.github.io/Logging_1907/klagomål/A 21716-2025 FSC-klagomål.docx", "A 21716-2025")</f>
        <v/>
      </c>
      <c r="AA34">
        <f>HYPERLINK("https://klasma.github.io/Logging_1907/klagomålsmail/A 21716-2025 FSC-klagomål mail.docx", "A 21716-2025")</f>
        <v/>
      </c>
      <c r="AB34">
        <f>HYPERLINK("https://klasma.github.io/Logging_1907/tillsyn/A 21716-2025 tillsynsbegäran.docx", "A 21716-2025")</f>
        <v/>
      </c>
      <c r="AC34">
        <f>HYPERLINK("https://klasma.github.io/Logging_1907/tillsynsmail/A 21716-2025 tillsynsbegäran mail.docx", "A 21716-2025")</f>
        <v/>
      </c>
      <c r="AD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46223</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s="2" t="inlineStr">
        <is>
          <t>Entita
Blåsippa
Spillkråka
Gröngöling
Skogsduva</t>
        </is>
      </c>
      <c r="V35">
        <f>HYPERLINK("https://klasma.github.io/Logging_1907/artfynd/A 42708-2022 artfynd.xlsx", "A 42708-2022")</f>
        <v/>
      </c>
      <c r="W35">
        <f>HYPERLINK("https://klasma.github.io/Logging_1907/kartor/A 42708-2022 karta.png", "A 42708-2022")</f>
        <v/>
      </c>
      <c r="X35">
        <f>HYPERLINK("https://klasma.github.io/Logging_1907/kartor_geotiff/A 42708-2022 georefererad karta.tif", "A 42708-2022")</f>
        <v/>
      </c>
      <c r="Z35">
        <f>HYPERLINK("https://klasma.github.io/Logging_1907/klagomål/A 42708-2022 FSC-klagomål.docx", "A 42708-2022")</f>
        <v/>
      </c>
      <c r="AA35">
        <f>HYPERLINK("https://klasma.github.io/Logging_1907/klagomålsmail/A 42708-2022 FSC-klagomål mail.docx", "A 42708-2022")</f>
        <v/>
      </c>
      <c r="AB35">
        <f>HYPERLINK("https://klasma.github.io/Logging_1907/tillsyn/A 42708-2022 tillsynsbegäran.docx", "A 42708-2022")</f>
        <v/>
      </c>
      <c r="AC35">
        <f>HYPERLINK("https://klasma.github.io/Logging_1907/tillsynsmail/A 42708-2022 tillsynsbegäran mail.docx", "A 42708-2022")</f>
        <v/>
      </c>
      <c r="AD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46223</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s="2" t="inlineStr">
        <is>
          <t>Skogshare
Mindre märgborre
Sotpraktbagge
Spillkråka
Tjäder</t>
        </is>
      </c>
      <c r="V36">
        <f>HYPERLINK("https://klasma.github.io/Logging_1907/artfynd/S 42-2022 artfynd.xlsx", "S 42-2022")</f>
        <v/>
      </c>
      <c r="W36">
        <f>HYPERLINK("https://klasma.github.io/Logging_1907/kartor/S 42-2022 karta.png", "S 42-2022")</f>
        <v/>
      </c>
      <c r="X36">
        <f>HYPERLINK("https://klasma.github.io/Logging_1907/kartor_geotiff/S 42-2022 georefererad karta.tif", "S 42-2022")</f>
        <v/>
      </c>
      <c r="Z36">
        <f>HYPERLINK("https://klasma.github.io/Logging_1907/klagomål/S 42-2022 FSC-klagomål.docx", "S 42-2022")</f>
        <v/>
      </c>
      <c r="AA36">
        <f>HYPERLINK("https://klasma.github.io/Logging_1907/klagomålsmail/S 42-2022 FSC-klagomål mail.docx", "S 42-2022")</f>
        <v/>
      </c>
      <c r="AB36">
        <f>HYPERLINK("https://klasma.github.io/Logging_1907/tillsyn/S 42-2022 tillsynsbegäran.docx", "S 42-2022")</f>
        <v/>
      </c>
      <c r="AC36">
        <f>HYPERLINK("https://klasma.github.io/Logging_1907/tillsynsmail/S 42-2022 tillsynsbegäran mail.docx", "S 42-2022")</f>
        <v/>
      </c>
      <c r="AD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46223</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s="2" t="inlineStr">
        <is>
          <t>Svinrot
Veckticka
Grönvit nattviol
Nattviol</t>
        </is>
      </c>
      <c r="V37">
        <f>HYPERLINK("https://klasma.github.io/Logging_1907/artfynd/A 37801-2021 artfynd.xlsx", "A 37801-2021")</f>
        <v/>
      </c>
      <c r="W37">
        <f>HYPERLINK("https://klasma.github.io/Logging_1907/kartor/A 37801-2021 karta.png", "A 37801-2021")</f>
        <v/>
      </c>
      <c r="X37">
        <f>HYPERLINK("https://klasma.github.io/Logging_1907/kartor_geotiff/A 37801-2021 georefererad karta.tif", "A 37801-2021")</f>
        <v/>
      </c>
      <c r="Z37">
        <f>HYPERLINK("https://klasma.github.io/Logging_1907/klagomål/A 37801-2021 FSC-klagomål.docx", "A 37801-2021")</f>
        <v/>
      </c>
      <c r="AA37">
        <f>HYPERLINK("https://klasma.github.io/Logging_1907/klagomålsmail/A 37801-2021 FSC-klagomål mail.docx", "A 37801-2021")</f>
        <v/>
      </c>
      <c r="AB37">
        <f>HYPERLINK("https://klasma.github.io/Logging_1907/tillsyn/A 37801-2021 tillsynsbegäran.docx", "A 37801-2021")</f>
        <v/>
      </c>
      <c r="AC37">
        <f>HYPERLINK("https://klasma.github.io/Logging_1907/tillsynsmail/A 37801-2021 tillsynsbegäran mail.docx", "A 37801-2021")</f>
        <v/>
      </c>
    </row>
    <row r="38" ht="15" customHeight="1">
      <c r="A38" t="inlineStr">
        <is>
          <t>A 10819-2024</t>
        </is>
      </c>
      <c r="B38" t="inlineStr">
        <is>
          <t>avverkningsanmälan</t>
        </is>
      </c>
      <c r="C38" t="inlineStr">
        <is>
          <t>Föryngringsavverkning</t>
        </is>
      </c>
      <c r="D38" s="1" t="n">
        <v>45369</v>
      </c>
      <c r="E38" s="1" t="n">
        <v>46223</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s="2" t="inlineStr">
        <is>
          <t>Igelkott
Entita
Tibast
Näktergal</t>
        </is>
      </c>
      <c r="V38">
        <f>HYPERLINK("https://klasma.github.io/Logging_1907/artfynd/A 10819-2024 artfynd.xlsx", "A 10819-2024")</f>
        <v/>
      </c>
      <c r="W38">
        <f>HYPERLINK("https://klasma.github.io/Logging_1907/kartor/A 10819-2024 karta.png", "A 10819-2024")</f>
        <v/>
      </c>
      <c r="X38">
        <f>HYPERLINK("https://klasma.github.io/Logging_1907/kartor_geotiff/A 10819-2024 georefererad karta.tif", "A 10819-2024")</f>
        <v/>
      </c>
      <c r="Z38">
        <f>HYPERLINK("https://klasma.github.io/Logging_1907/klagomål/A 10819-2024 FSC-klagomål.docx", "A 10819-2024")</f>
        <v/>
      </c>
      <c r="AA38">
        <f>HYPERLINK("https://klasma.github.io/Logging_1907/klagomålsmail/A 10819-2024 FSC-klagomål mail.docx", "A 10819-2024")</f>
        <v/>
      </c>
      <c r="AB38">
        <f>HYPERLINK("https://klasma.github.io/Logging_1907/tillsyn/A 10819-2024 tillsynsbegäran.docx", "A 10819-2024")</f>
        <v/>
      </c>
      <c r="AC38">
        <f>HYPERLINK("https://klasma.github.io/Logging_1907/tillsynsmail/A 10819-2024 tillsynsbegäran mail.docx", "A 10819-2024")</f>
        <v/>
      </c>
      <c r="AD38">
        <f>HYPERLINK("https://klasma.github.io/Logging_1907/fåglar/A 10819-2024 prioriterade fågelarter.docx", "A 10819-2024")</f>
        <v/>
      </c>
    </row>
    <row r="39" ht="15" customHeight="1">
      <c r="A39" t="inlineStr">
        <is>
          <t>A 40411-2021</t>
        </is>
      </c>
      <c r="B39" t="inlineStr">
        <is>
          <t>avverkningsanmälan</t>
        </is>
      </c>
      <c r="C39" t="inlineStr">
        <is>
          <t>Föryngringsavverkning</t>
        </is>
      </c>
      <c r="D39" s="1" t="n">
        <v>44419</v>
      </c>
      <c r="E39" s="1" t="n">
        <v>46223</v>
      </c>
      <c r="F39" t="inlineStr">
        <is>
          <t>VÄSTMANLANDS LÄN</t>
        </is>
      </c>
      <c r="G39" t="inlineStr">
        <is>
          <t>SURAHAMMAR</t>
        </is>
      </c>
      <c r="H39" t="inlineStr">
        <is>
          <t>Sveaskog</t>
        </is>
      </c>
      <c r="I39" t="n">
        <v>2.4</v>
      </c>
      <c r="J39" t="n">
        <v>1</v>
      </c>
      <c r="K39" t="n">
        <v>0</v>
      </c>
      <c r="L39" t="n">
        <v>1</v>
      </c>
      <c r="M39" t="n">
        <v>1</v>
      </c>
      <c r="N39" t="n">
        <v>0</v>
      </c>
      <c r="O39" t="n">
        <v>0</v>
      </c>
      <c r="P39" t="n">
        <v>0</v>
      </c>
      <c r="Q39" t="n">
        <v>2</v>
      </c>
      <c r="R39" t="n">
        <v>1</v>
      </c>
      <c r="S39" t="n">
        <v>4</v>
      </c>
      <c r="T39" t="n">
        <v>4</v>
      </c>
      <c r="U39" s="2" t="inlineStr">
        <is>
          <t>Brunfläckig pärlemorfjäril
Pilblad
Hässlebrodd
Kopparödla</t>
        </is>
      </c>
      <c r="V39">
        <f>HYPERLINK("https://klasma.github.io/Logging_1907/artfynd/A 40411-2021 artfynd.xlsx", "A 40411-2021")</f>
        <v/>
      </c>
      <c r="W39">
        <f>HYPERLINK("https://klasma.github.io/Logging_1907/kartor/A 40411-2021 karta.png", "A 40411-2021")</f>
        <v/>
      </c>
      <c r="X39">
        <f>HYPERLINK("https://klasma.github.io/Logging_1907/kartor_geotiff/A 40411-2021 georefererad karta.tif", "A 40411-2021")</f>
        <v/>
      </c>
      <c r="Z39">
        <f>HYPERLINK("https://klasma.github.io/Logging_1907/klagomål/A 40411-2021 FSC-klagomål.docx", "A 40411-2021")</f>
        <v/>
      </c>
      <c r="AA39">
        <f>HYPERLINK("https://klasma.github.io/Logging_1907/klagomålsmail/A 40411-2021 FSC-klagomål mail.docx", "A 40411-2021")</f>
        <v/>
      </c>
      <c r="AB39">
        <f>HYPERLINK("https://klasma.github.io/Logging_1907/tillsyn/A 40411-2021 tillsynsbegäran.docx", "A 40411-2021")</f>
        <v/>
      </c>
      <c r="AC39">
        <f>HYPERLINK("https://klasma.github.io/Logging_1907/tillsynsmail/A 40411-2021 tillsynsbegäran mail.docx", "A 40411-2021")</f>
        <v/>
      </c>
    </row>
    <row r="40" ht="15" customHeight="1">
      <c r="A40" t="inlineStr">
        <is>
          <t>A 31176-2024</t>
        </is>
      </c>
      <c r="B40" t="inlineStr">
        <is>
          <t>avverkningsanmälan</t>
        </is>
      </c>
      <c r="C40" t="inlineStr">
        <is>
          <t>Föryngringsavverkning</t>
        </is>
      </c>
      <c r="D40" s="1" t="n">
        <v>45503</v>
      </c>
      <c r="E40" s="1" t="n">
        <v>46223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s="2" t="inlineStr">
        <is>
          <t>Doftskinn
Ullticka
Tjäder
Fläcknycklar</t>
        </is>
      </c>
      <c r="V40">
        <f>HYPERLINK("https://klasma.github.io/Logging_1907/artfynd/A 31176-2024 artfynd.xlsx", "A 31176-2024")</f>
        <v/>
      </c>
      <c r="W40">
        <f>HYPERLINK("https://klasma.github.io/Logging_1907/kartor/A 31176-2024 karta.png", "A 31176-2024")</f>
        <v/>
      </c>
      <c r="X40">
        <f>HYPERLINK("https://klasma.github.io/Logging_1907/kartor_geotiff/A 31176-2024 georefererad karta.tif", "A 31176-2024")</f>
        <v/>
      </c>
      <c r="Z40">
        <f>HYPERLINK("https://klasma.github.io/Logging_1907/klagomål/A 31176-2024 FSC-klagomål.docx", "A 31176-2024")</f>
        <v/>
      </c>
      <c r="AA40">
        <f>HYPERLINK("https://klasma.github.io/Logging_1907/klagomålsmail/A 31176-2024 FSC-klagomål mail.docx", "A 31176-2024")</f>
        <v/>
      </c>
      <c r="AB40">
        <f>HYPERLINK("https://klasma.github.io/Logging_1907/tillsyn/A 31176-2024 tillsynsbegäran.docx", "A 31176-2024")</f>
        <v/>
      </c>
      <c r="AC40">
        <f>HYPERLINK("https://klasma.github.io/Logging_1907/tillsynsmail/A 31176-2024 tillsynsbegäran mail.docx", "A 31176-2024")</f>
        <v/>
      </c>
      <c r="AD40">
        <f>HYPERLINK("https://klasma.github.io/Logging_1907/fåglar/A 31176-2024 prioriterade fågelarter.docx", "A 31176-2024")</f>
        <v/>
      </c>
    </row>
    <row r="41" ht="15" customHeight="1">
      <c r="A41" t="inlineStr">
        <is>
          <t>A 37800-2021</t>
        </is>
      </c>
      <c r="B41" t="inlineStr">
        <is>
          <t>avverkningsanmälan</t>
        </is>
      </c>
      <c r="C41" t="inlineStr">
        <is>
          <t>Föryngringsavverkning</t>
        </is>
      </c>
      <c r="D41" s="1" t="n">
        <v>44402</v>
      </c>
      <c r="E41" s="1" t="n">
        <v>46223</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s="2" t="inlineStr">
        <is>
          <t>Svinrot
Veckticka
Grönvit nattviol
Nattviol</t>
        </is>
      </c>
      <c r="V41">
        <f>HYPERLINK("https://klasma.github.io/Logging_1907/artfynd/A 37800-2021 artfynd.xlsx", "A 37800-2021")</f>
        <v/>
      </c>
      <c r="W41">
        <f>HYPERLINK("https://klasma.github.io/Logging_1907/kartor/A 37800-2021 karta.png", "A 37800-2021")</f>
        <v/>
      </c>
      <c r="X41">
        <f>HYPERLINK("https://klasma.github.io/Logging_1907/kartor_geotiff/A 37800-2021 georefererad karta.tif", "A 37800-2021")</f>
        <v/>
      </c>
      <c r="Z41">
        <f>HYPERLINK("https://klasma.github.io/Logging_1907/klagomål/A 37800-2021 FSC-klagomål.docx", "A 37800-2021")</f>
        <v/>
      </c>
      <c r="AA41">
        <f>HYPERLINK("https://klasma.github.io/Logging_1907/klagomålsmail/A 37800-2021 FSC-klagomål mail.docx", "A 37800-2021")</f>
        <v/>
      </c>
      <c r="AB41">
        <f>HYPERLINK("https://klasma.github.io/Logging_1907/tillsyn/A 37800-2021 tillsynsbegäran.docx", "A 37800-2021")</f>
        <v/>
      </c>
      <c r="AC41">
        <f>HYPERLINK("https://klasma.github.io/Logging_1907/tillsynsmail/A 37800-2021 tillsynsbegäran mail.docx", "A 37800-2021")</f>
        <v/>
      </c>
    </row>
    <row r="42" ht="15" customHeight="1">
      <c r="A42" t="inlineStr">
        <is>
          <t>A 25548-2024</t>
        </is>
      </c>
      <c r="B42" t="inlineStr">
        <is>
          <t>avverkningsanmälan</t>
        </is>
      </c>
      <c r="C42" t="inlineStr">
        <is>
          <t>Föryngringsavverkning</t>
        </is>
      </c>
      <c r="D42" s="1" t="n">
        <v>45463</v>
      </c>
      <c r="E42" s="1" t="n">
        <v>46223</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s="2" t="inlineStr">
        <is>
          <t>Knärot
Vedticka
Fläcknycklar
Nattviol</t>
        </is>
      </c>
      <c r="V42">
        <f>HYPERLINK("https://klasma.github.io/Logging_1907/artfynd/A 25548-2024 artfynd.xlsx", "A 25548-2024")</f>
        <v/>
      </c>
      <c r="W42">
        <f>HYPERLINK("https://klasma.github.io/Logging_1907/kartor/A 25548-2024 karta.png", "A 25548-2024")</f>
        <v/>
      </c>
      <c r="X42">
        <f>HYPERLINK("https://klasma.github.io/Logging_1907/kartor_geotiff/A 25548-2024 georefererad karta.tif", "A 25548-2024")</f>
        <v/>
      </c>
      <c r="Y42">
        <f>HYPERLINK("https://klasma.github.io/Logging_1907/knärot/A 25548-2024 karta knärot.png", "A 25548-2024")</f>
        <v/>
      </c>
      <c r="Z42">
        <f>HYPERLINK("https://klasma.github.io/Logging_1907/klagomål/A 25548-2024 FSC-klagomål.docx", "A 25548-2024")</f>
        <v/>
      </c>
      <c r="AA42">
        <f>HYPERLINK("https://klasma.github.io/Logging_1907/klagomålsmail/A 25548-2024 FSC-klagomål mail.docx", "A 25548-2024")</f>
        <v/>
      </c>
      <c r="AB42">
        <f>HYPERLINK("https://klasma.github.io/Logging_1907/tillsyn/A 25548-2024 tillsynsbegäran.docx", "A 25548-2024")</f>
        <v/>
      </c>
      <c r="AC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46223</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s="2" t="inlineStr">
        <is>
          <t>Järnsparv
Kråka
Skogsduva</t>
        </is>
      </c>
      <c r="V43">
        <f>HYPERLINK("https://klasma.github.io/Logging_1907/artfynd/A 66350-2021 artfynd.xlsx", "A 66350-2021")</f>
        <v/>
      </c>
      <c r="W43">
        <f>HYPERLINK("https://klasma.github.io/Logging_1907/kartor/A 66350-2021 karta.png", "A 66350-2021")</f>
        <v/>
      </c>
      <c r="X43">
        <f>HYPERLINK("https://klasma.github.io/Logging_1907/kartor_geotiff/A 66350-2021 georefererad karta.tif", "A 66350-2021")</f>
        <v/>
      </c>
      <c r="Z43">
        <f>HYPERLINK("https://klasma.github.io/Logging_1907/klagomål/A 66350-2021 FSC-klagomål.docx", "A 66350-2021")</f>
        <v/>
      </c>
      <c r="AA43">
        <f>HYPERLINK("https://klasma.github.io/Logging_1907/klagomålsmail/A 66350-2021 FSC-klagomål mail.docx", "A 66350-2021")</f>
        <v/>
      </c>
      <c r="AB43">
        <f>HYPERLINK("https://klasma.github.io/Logging_1907/tillsyn/A 66350-2021 tillsynsbegäran.docx", "A 66350-2021")</f>
        <v/>
      </c>
      <c r="AC43">
        <f>HYPERLINK("https://klasma.github.io/Logging_1907/tillsynsmail/A 66350-2021 tillsynsbegäran mail.docx", "A 66350-2021")</f>
        <v/>
      </c>
      <c r="AD43">
        <f>HYPERLINK("https://klasma.github.io/Logging_1907/fåglar/A 66350-2021 prioriterade fågelarter.docx", "A 66350-2021")</f>
        <v/>
      </c>
    </row>
    <row r="44" ht="15" customHeight="1">
      <c r="A44" t="inlineStr">
        <is>
          <t>A 38200-2021</t>
        </is>
      </c>
      <c r="B44" t="inlineStr">
        <is>
          <t>avverkningsanmälan</t>
        </is>
      </c>
      <c r="C44" t="inlineStr">
        <is>
          <t>Föryngringsavverkning</t>
        </is>
      </c>
      <c r="D44" s="1" t="n">
        <v>44405</v>
      </c>
      <c r="E44" s="1" t="n">
        <v>46223</v>
      </c>
      <c r="F44" t="inlineStr">
        <is>
          <t>VÄSTMANLANDS LÄN</t>
        </is>
      </c>
      <c r="G44" t="inlineStr">
        <is>
          <t>SURAHAMMAR</t>
        </is>
      </c>
      <c r="H44" t="inlineStr">
        <is>
          <t>Sveaskog</t>
        </is>
      </c>
      <c r="I44" t="n">
        <v>1.5</v>
      </c>
      <c r="J44" t="n">
        <v>1</v>
      </c>
      <c r="K44" t="n">
        <v>0</v>
      </c>
      <c r="L44" t="n">
        <v>2</v>
      </c>
      <c r="M44" t="n">
        <v>0</v>
      </c>
      <c r="N44" t="n">
        <v>0</v>
      </c>
      <c r="O44" t="n">
        <v>0</v>
      </c>
      <c r="P44" t="n">
        <v>0</v>
      </c>
      <c r="Q44" t="n">
        <v>2</v>
      </c>
      <c r="R44" t="n">
        <v>0</v>
      </c>
      <c r="S44" t="n">
        <v>3</v>
      </c>
      <c r="T44" t="n">
        <v>3</v>
      </c>
      <c r="U44" s="2" t="inlineStr">
        <is>
          <t>Svinrot
Vågticka
Kopparödla</t>
        </is>
      </c>
      <c r="V44">
        <f>HYPERLINK("https://klasma.github.io/Logging_1907/artfynd/A 38200-2021 artfynd.xlsx", "A 38200-2021")</f>
        <v/>
      </c>
      <c r="W44">
        <f>HYPERLINK("https://klasma.github.io/Logging_1907/kartor/A 38200-2021 karta.png", "A 38200-2021")</f>
        <v/>
      </c>
      <c r="X44">
        <f>HYPERLINK("https://klasma.github.io/Logging_1907/kartor_geotiff/A 38200-2021 georefererad karta.tif", "A 38200-2021")</f>
        <v/>
      </c>
      <c r="Z44">
        <f>HYPERLINK("https://klasma.github.io/Logging_1907/klagomål/A 38200-2021 FSC-klagomål.docx", "A 38200-2021")</f>
        <v/>
      </c>
      <c r="AA44">
        <f>HYPERLINK("https://klasma.github.io/Logging_1907/klagomålsmail/A 38200-2021 FSC-klagomål mail.docx", "A 38200-2021")</f>
        <v/>
      </c>
      <c r="AB44">
        <f>HYPERLINK("https://klasma.github.io/Logging_1907/tillsyn/A 38200-2021 tillsynsbegäran.docx", "A 38200-2021")</f>
        <v/>
      </c>
      <c r="AC44">
        <f>HYPERLINK("https://klasma.github.io/Logging_1907/tillsynsmail/A 38200-2021 tillsynsbegäran mail.docx", "A 38200-2021")</f>
        <v/>
      </c>
    </row>
    <row r="45" ht="15" customHeight="1">
      <c r="A45" t="inlineStr">
        <is>
          <t>A 69777-2021</t>
        </is>
      </c>
      <c r="B45" t="inlineStr">
        <is>
          <t>avverkningsanmälan</t>
        </is>
      </c>
      <c r="C45" t="inlineStr">
        <is>
          <t>Föryngringsavverkning</t>
        </is>
      </c>
      <c r="D45" s="1" t="n">
        <v>44532</v>
      </c>
      <c r="E45" s="1" t="n">
        <v>46223</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s="2" t="inlineStr">
        <is>
          <t>Bombmurkla
Rävticka
Vedticka</t>
        </is>
      </c>
      <c r="V45">
        <f>HYPERLINK("https://klasma.github.io/Logging_1907/artfynd/A 69777-2021 artfynd.xlsx", "A 69777-2021")</f>
        <v/>
      </c>
      <c r="W45">
        <f>HYPERLINK("https://klasma.github.io/Logging_1907/kartor/A 69777-2021 karta.png", "A 69777-2021")</f>
        <v/>
      </c>
      <c r="X45">
        <f>HYPERLINK("https://klasma.github.io/Logging_1907/kartor_geotiff/A 69777-2021 georefererad karta.tif", "A 69777-2021")</f>
        <v/>
      </c>
      <c r="Z45">
        <f>HYPERLINK("https://klasma.github.io/Logging_1907/klagomål/A 69777-2021 FSC-klagomål.docx", "A 69777-2021")</f>
        <v/>
      </c>
      <c r="AA45">
        <f>HYPERLINK("https://klasma.github.io/Logging_1907/klagomålsmail/A 69777-2021 FSC-klagomål mail.docx", "A 69777-2021")</f>
        <v/>
      </c>
      <c r="AB45">
        <f>HYPERLINK("https://klasma.github.io/Logging_1907/tillsyn/A 69777-2021 tillsynsbegäran.docx", "A 69777-2021")</f>
        <v/>
      </c>
      <c r="AC45">
        <f>HYPERLINK("https://klasma.github.io/Logging_1907/tillsynsmail/A 69777-2021 tillsynsbegäran mail.docx", "A 69777-2021")</f>
        <v/>
      </c>
    </row>
    <row r="46" ht="15" customHeight="1">
      <c r="A46" t="inlineStr">
        <is>
          <t>A 39694-2025</t>
        </is>
      </c>
      <c r="B46" t="inlineStr">
        <is>
          <t>avverkningsanmälan</t>
        </is>
      </c>
      <c r="C46" t="inlineStr">
        <is>
          <t>Föryngringsavverkning</t>
        </is>
      </c>
      <c r="D46" s="1" t="n">
        <v>45890</v>
      </c>
      <c r="E46" s="1" t="n">
        <v>46223</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s="2" t="inlineStr">
        <is>
          <t>Motaggsvamp
Mindre märgborre
Tjäder</t>
        </is>
      </c>
      <c r="V46">
        <f>HYPERLINK("https://klasma.github.io/Logging_1907/artfynd/A 39694-2025 artfynd.xlsx", "A 39694-2025")</f>
        <v/>
      </c>
      <c r="W46">
        <f>HYPERLINK("https://klasma.github.io/Logging_1907/kartor/A 39694-2025 karta.png", "A 39694-2025")</f>
        <v/>
      </c>
      <c r="X46">
        <f>HYPERLINK("https://klasma.github.io/Logging_1907/kartor_geotiff/A 39694-2025 georefererad karta.tif", "A 39694-2025")</f>
        <v/>
      </c>
      <c r="Z46">
        <f>HYPERLINK("https://klasma.github.io/Logging_1907/klagomål/A 39694-2025 FSC-klagomål.docx", "A 39694-2025")</f>
        <v/>
      </c>
      <c r="AA46">
        <f>HYPERLINK("https://klasma.github.io/Logging_1907/klagomålsmail/A 39694-2025 FSC-klagomål mail.docx", "A 39694-2025")</f>
        <v/>
      </c>
      <c r="AB46">
        <f>HYPERLINK("https://klasma.github.io/Logging_1907/tillsyn/A 39694-2025 tillsynsbegäran.docx", "A 39694-2025")</f>
        <v/>
      </c>
      <c r="AC46">
        <f>HYPERLINK("https://klasma.github.io/Logging_1907/tillsynsmail/A 39694-2025 tillsynsbegäran mail.docx", "A 39694-2025")</f>
        <v/>
      </c>
      <c r="AD46">
        <f>HYPERLINK("https://klasma.github.io/Logging_1907/fåglar/A 39694-2025 prioriterade fågelarter.docx", "A 39694-2025")</f>
        <v/>
      </c>
    </row>
    <row r="47" ht="15" customHeight="1">
      <c r="A47" t="inlineStr">
        <is>
          <t>A 49718-2023</t>
        </is>
      </c>
      <c r="B47" t="inlineStr">
        <is>
          <t>avverkningsanmälan</t>
        </is>
      </c>
      <c r="C47" t="inlineStr">
        <is>
          <t>Föryngringsavverkning</t>
        </is>
      </c>
      <c r="D47" s="1" t="n">
        <v>45212</v>
      </c>
      <c r="E47" s="1" t="n">
        <v>46223</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s="2" t="inlineStr">
        <is>
          <t>Motaggsvamp
Talltita
Zontaggsvamp</t>
        </is>
      </c>
      <c r="V47">
        <f>HYPERLINK("https://klasma.github.io/Logging_1907/artfynd/A 49718-2023 artfynd.xlsx", "A 49718-2023")</f>
        <v/>
      </c>
      <c r="W47">
        <f>HYPERLINK("https://klasma.github.io/Logging_1907/kartor/A 49718-2023 karta.png", "A 49718-2023")</f>
        <v/>
      </c>
      <c r="X47">
        <f>HYPERLINK("https://klasma.github.io/Logging_1907/kartor_geotiff/A 49718-2023 georefererad karta.tif", "A 49718-2023")</f>
        <v/>
      </c>
      <c r="Z47">
        <f>HYPERLINK("https://klasma.github.io/Logging_1907/klagomål/A 49718-2023 FSC-klagomål.docx", "A 49718-2023")</f>
        <v/>
      </c>
      <c r="AA47">
        <f>HYPERLINK("https://klasma.github.io/Logging_1907/klagomålsmail/A 49718-2023 FSC-klagomål mail.docx", "A 49718-2023")</f>
        <v/>
      </c>
      <c r="AB47">
        <f>HYPERLINK("https://klasma.github.io/Logging_1907/tillsyn/A 49718-2023 tillsynsbegäran.docx", "A 49718-2023")</f>
        <v/>
      </c>
      <c r="AC47">
        <f>HYPERLINK("https://klasma.github.io/Logging_1907/tillsynsmail/A 49718-2023 tillsynsbegäran mail.docx", "A 49718-2023")</f>
        <v/>
      </c>
      <c r="AD47">
        <f>HYPERLINK("https://klasma.github.io/Logging_1907/fåglar/A 49718-2023 prioriterade fågelarter.docx", "A 49718-2023")</f>
        <v/>
      </c>
    </row>
    <row r="48" ht="15" customHeight="1">
      <c r="A48" t="inlineStr">
        <is>
          <t>A 63146-2025</t>
        </is>
      </c>
      <c r="B48" t="inlineStr">
        <is>
          <t>avverkningsanmälan</t>
        </is>
      </c>
      <c r="C48" t="inlineStr">
        <is>
          <t>Föryngringsavverkning</t>
        </is>
      </c>
      <c r="D48" s="1" t="n">
        <v>46009</v>
      </c>
      <c r="E48" s="1" t="n">
        <v>46223</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s="2" t="inlineStr">
        <is>
          <t>Stor aspticka
Svart trolldruva
Blåsippa</t>
        </is>
      </c>
      <c r="V48">
        <f>HYPERLINK("https://klasma.github.io/Logging_1907/artfynd/A 63146-2025 artfynd.xlsx", "A 63146-2025")</f>
        <v/>
      </c>
      <c r="W48">
        <f>HYPERLINK("https://klasma.github.io/Logging_1907/kartor/A 63146-2025 karta.png", "A 63146-2025")</f>
        <v/>
      </c>
      <c r="X48">
        <f>HYPERLINK("https://klasma.github.io/Logging_1907/kartor_geotiff/A 63146-2025 georefererad karta.tif", "A 63146-2025")</f>
        <v/>
      </c>
      <c r="Z48">
        <f>HYPERLINK("https://klasma.github.io/Logging_1907/klagomål/A 63146-2025 FSC-klagomål.docx", "A 63146-2025")</f>
        <v/>
      </c>
      <c r="AA48">
        <f>HYPERLINK("https://klasma.github.io/Logging_1907/klagomålsmail/A 63146-2025 FSC-klagomål mail.docx", "A 63146-2025")</f>
        <v/>
      </c>
      <c r="AB48">
        <f>HYPERLINK("https://klasma.github.io/Logging_1907/tillsyn/A 63146-2025 tillsynsbegäran.docx", "A 63146-2025")</f>
        <v/>
      </c>
      <c r="AC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46223</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s="2" t="inlineStr">
        <is>
          <t>Krusfrö
Barkticka
Blåsippa</t>
        </is>
      </c>
      <c r="V49">
        <f>HYPERLINK("https://klasma.github.io/Logging_1907/artfynd/A 42765-2022 artfynd.xlsx", "A 42765-2022")</f>
        <v/>
      </c>
      <c r="W49">
        <f>HYPERLINK("https://klasma.github.io/Logging_1907/kartor/A 42765-2022 karta.png", "A 42765-2022")</f>
        <v/>
      </c>
      <c r="X49">
        <f>HYPERLINK("https://klasma.github.io/Logging_1907/kartor_geotiff/A 42765-2022 georefererad karta.tif", "A 42765-2022")</f>
        <v/>
      </c>
      <c r="Z49">
        <f>HYPERLINK("https://klasma.github.io/Logging_1907/klagomål/A 42765-2022 FSC-klagomål.docx", "A 42765-2022")</f>
        <v/>
      </c>
      <c r="AA49">
        <f>HYPERLINK("https://klasma.github.io/Logging_1907/klagomålsmail/A 42765-2022 FSC-klagomål mail.docx", "A 42765-2022")</f>
        <v/>
      </c>
      <c r="AB49">
        <f>HYPERLINK("https://klasma.github.io/Logging_1907/tillsyn/A 42765-2022 tillsynsbegäran.docx", "A 42765-2022")</f>
        <v/>
      </c>
      <c r="AC49">
        <f>HYPERLINK("https://klasma.github.io/Logging_1907/tillsynsmail/A 42765-2022 tillsynsbegäran mail.docx", "A 42765-2022")</f>
        <v/>
      </c>
    </row>
    <row r="50" ht="15" customHeight="1">
      <c r="A50" t="inlineStr">
        <is>
          <t>A 4082-2025</t>
        </is>
      </c>
      <c r="B50" t="inlineStr">
        <is>
          <t>avverkningsanmälan</t>
        </is>
      </c>
      <c r="C50" t="inlineStr">
        <is>
          <t>Föryngringsavverkning</t>
        </is>
      </c>
      <c r="D50" s="1" t="n">
        <v>45684</v>
      </c>
      <c r="E50" s="1" t="n">
        <v>46223</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s="2" t="inlineStr">
        <is>
          <t>Grönpyrola
Plattlummer
Lopplummer (aggregat)</t>
        </is>
      </c>
      <c r="V50">
        <f>HYPERLINK("https://klasma.github.io/Logging_1907/artfynd/A 4082-2025 artfynd.xlsx", "A 4082-2025")</f>
        <v/>
      </c>
      <c r="W50">
        <f>HYPERLINK("https://klasma.github.io/Logging_1907/kartor/A 4082-2025 karta.png", "A 4082-2025")</f>
        <v/>
      </c>
      <c r="X50">
        <f>HYPERLINK("https://klasma.github.io/Logging_1907/kartor_geotiff/A 4082-2025 georefererad karta.tif", "A 4082-2025")</f>
        <v/>
      </c>
      <c r="Z50">
        <f>HYPERLINK("https://klasma.github.io/Logging_1907/klagomål/A 4082-2025 FSC-klagomål.docx", "A 4082-2025")</f>
        <v/>
      </c>
      <c r="AA50">
        <f>HYPERLINK("https://klasma.github.io/Logging_1907/klagomålsmail/A 4082-2025 FSC-klagomål mail.docx", "A 4082-2025")</f>
        <v/>
      </c>
      <c r="AB50">
        <f>HYPERLINK("https://klasma.github.io/Logging_1907/tillsyn/A 4082-2025 tillsynsbegäran.docx", "A 4082-2025")</f>
        <v/>
      </c>
      <c r="AC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46223</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s="2" t="inlineStr">
        <is>
          <t>Jungfrulin
Svinrot
Vedticka</t>
        </is>
      </c>
      <c r="V51">
        <f>HYPERLINK("https://klasma.github.io/Logging_1907/artfynd/A 48128-2023 artfynd.xlsx", "A 48128-2023")</f>
        <v/>
      </c>
      <c r="W51">
        <f>HYPERLINK("https://klasma.github.io/Logging_1907/kartor/A 48128-2023 karta.png", "A 48128-2023")</f>
        <v/>
      </c>
      <c r="X51">
        <f>HYPERLINK("https://klasma.github.io/Logging_1907/kartor_geotiff/A 48128-2023 georefererad karta.tif", "A 48128-2023")</f>
        <v/>
      </c>
      <c r="Z51">
        <f>HYPERLINK("https://klasma.github.io/Logging_1907/klagomål/A 48128-2023 FSC-klagomål.docx", "A 48128-2023")</f>
        <v/>
      </c>
      <c r="AA51">
        <f>HYPERLINK("https://klasma.github.io/Logging_1907/klagomålsmail/A 48128-2023 FSC-klagomål mail.docx", "A 48128-2023")</f>
        <v/>
      </c>
      <c r="AB51">
        <f>HYPERLINK("https://klasma.github.io/Logging_1907/tillsyn/A 48128-2023 tillsynsbegäran.docx", "A 48128-2023")</f>
        <v/>
      </c>
      <c r="AC51">
        <f>HYPERLINK("https://klasma.github.io/Logging_1907/tillsynsmail/A 48128-2023 tillsynsbegäran mail.docx", "A 48128-2023")</f>
        <v/>
      </c>
    </row>
    <row r="52" ht="15" customHeight="1">
      <c r="A52" t="inlineStr">
        <is>
          <t>S 1450-2022</t>
        </is>
      </c>
      <c r="B52" t="inlineStr">
        <is>
          <t>samrådsanmälan</t>
        </is>
      </c>
      <c r="C52" t="inlineStr">
        <is>
          <t>Skogsgödsling</t>
        </is>
      </c>
      <c r="D52" s="1" t="n">
        <v>44635</v>
      </c>
      <c r="E52" s="1" t="n">
        <v>46223</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s="2" t="inlineStr">
        <is>
          <t>Talltita
Nattskärra
Kungsfågel</t>
        </is>
      </c>
      <c r="V52">
        <f>HYPERLINK("https://klasma.github.io/Logging_1907/artfynd/S 1450-2022 artfynd.xlsx", "S 1450-2022")</f>
        <v/>
      </c>
      <c r="W52">
        <f>HYPERLINK("https://klasma.github.io/Logging_1907/kartor/S 1450-2022 karta.png", "S 1450-2022")</f>
        <v/>
      </c>
      <c r="X52">
        <f>HYPERLINK("https://klasma.github.io/Logging_1907/kartor_geotiff/S 1450-2022 georefererad karta.tif", "S 1450-2022")</f>
        <v/>
      </c>
      <c r="Z52">
        <f>HYPERLINK("https://klasma.github.io/Logging_1907/klagomål/S 1450-2022 FSC-klagomål.docx", "S 1450-2022")</f>
        <v/>
      </c>
      <c r="AA52">
        <f>HYPERLINK("https://klasma.github.io/Logging_1907/klagomålsmail/S 1450-2022 FSC-klagomål mail.docx", "S 1450-2022")</f>
        <v/>
      </c>
      <c r="AB52">
        <f>HYPERLINK("https://klasma.github.io/Logging_1907/tillsyn/S 1450-2022 tillsynsbegäran.docx", "S 1450-2022")</f>
        <v/>
      </c>
      <c r="AC52">
        <f>HYPERLINK("https://klasma.github.io/Logging_1907/tillsynsmail/S 1450-2022 tillsynsbegäran mail.docx", "S 1450-2022")</f>
        <v/>
      </c>
      <c r="AD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46223</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s="2" t="inlineStr">
        <is>
          <t>Knärot
Motaggsvamp
Tjäder</t>
        </is>
      </c>
      <c r="V53">
        <f>HYPERLINK("https://klasma.github.io/Logging_1907/artfynd/S 549-2025 artfynd.xlsx", "S 549-2025")</f>
        <v/>
      </c>
      <c r="W53">
        <f>HYPERLINK("https://klasma.github.io/Logging_1907/kartor/S 549-2025 karta.png", "S 549-2025")</f>
        <v/>
      </c>
      <c r="X53">
        <f>HYPERLINK("https://klasma.github.io/Logging_1907/kartor_geotiff/S 549-2025 georefererad karta.tif", "S 549-2025")</f>
        <v/>
      </c>
      <c r="Y53">
        <f>HYPERLINK("https://klasma.github.io/Logging_1907/knärot/S 549-2025 karta knärot.png", "S 549-2025")</f>
        <v/>
      </c>
      <c r="Z53">
        <f>HYPERLINK("https://klasma.github.io/Logging_1907/klagomål/S 549-2025 FSC-klagomål.docx", "S 549-2025")</f>
        <v/>
      </c>
      <c r="AA53">
        <f>HYPERLINK("https://klasma.github.io/Logging_1907/klagomålsmail/S 549-2025 FSC-klagomål mail.docx", "S 549-2025")</f>
        <v/>
      </c>
      <c r="AB53">
        <f>HYPERLINK("https://klasma.github.io/Logging_1907/tillsyn/S 549-2025 tillsynsbegäran.docx", "S 549-2025")</f>
        <v/>
      </c>
      <c r="AC53">
        <f>HYPERLINK("https://klasma.github.io/Logging_1907/tillsynsmail/S 549-2025 tillsynsbegäran mail.docx", "S 549-2025")</f>
        <v/>
      </c>
      <c r="AD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46223</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s="2" t="inlineStr">
        <is>
          <t>Talltita
Kungsfågel
Revlummer</t>
        </is>
      </c>
      <c r="V54">
        <f>HYPERLINK("https://klasma.github.io/Logging_1907/artfynd/S 551-2025 artfynd.xlsx", "S 551-2025")</f>
        <v/>
      </c>
      <c r="W54">
        <f>HYPERLINK("https://klasma.github.io/Logging_1907/kartor/S 551-2025 karta.png", "S 551-2025")</f>
        <v/>
      </c>
      <c r="X54">
        <f>HYPERLINK("https://klasma.github.io/Logging_1907/kartor_geotiff/S 551-2025 georefererad karta.tif", "S 551-2025")</f>
        <v/>
      </c>
      <c r="Z54">
        <f>HYPERLINK("https://klasma.github.io/Logging_1907/klagomål/S 551-2025 FSC-klagomål.docx", "S 551-2025")</f>
        <v/>
      </c>
      <c r="AA54">
        <f>HYPERLINK("https://klasma.github.io/Logging_1907/klagomålsmail/S 551-2025 FSC-klagomål mail.docx", "S 551-2025")</f>
        <v/>
      </c>
      <c r="AB54">
        <f>HYPERLINK("https://klasma.github.io/Logging_1907/tillsyn/S 551-2025 tillsynsbegäran.docx", "S 551-2025")</f>
        <v/>
      </c>
      <c r="AC54">
        <f>HYPERLINK("https://klasma.github.io/Logging_1907/tillsynsmail/S 551-2025 tillsynsbegäran mail.docx", "S 551-2025")</f>
        <v/>
      </c>
      <c r="AD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46223</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s="2" t="inlineStr">
        <is>
          <t>Motaggsvamp
Revlummer</t>
        </is>
      </c>
      <c r="V55">
        <f>HYPERLINK("https://klasma.github.io/Logging_1907/artfynd/A 38170-2021 artfynd.xlsx", "A 38170-2021")</f>
        <v/>
      </c>
      <c r="W55">
        <f>HYPERLINK("https://klasma.github.io/Logging_1907/kartor/A 38170-2021 karta.png", "A 38170-2021")</f>
        <v/>
      </c>
      <c r="X55">
        <f>HYPERLINK("https://klasma.github.io/Logging_1907/kartor_geotiff/A 38170-2021 georefererad karta.tif", "A 38170-2021")</f>
        <v/>
      </c>
      <c r="Z55">
        <f>HYPERLINK("https://klasma.github.io/Logging_1907/klagomål/A 38170-2021 FSC-klagomål.docx", "A 38170-2021")</f>
        <v/>
      </c>
      <c r="AA55">
        <f>HYPERLINK("https://klasma.github.io/Logging_1907/klagomålsmail/A 38170-2021 FSC-klagomål mail.docx", "A 38170-2021")</f>
        <v/>
      </c>
      <c r="AB55">
        <f>HYPERLINK("https://klasma.github.io/Logging_1907/tillsyn/A 38170-2021 tillsynsbegäran.docx", "A 38170-2021")</f>
        <v/>
      </c>
      <c r="AC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46223</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s="2" t="inlineStr">
        <is>
          <t>Ullticka
Vaddporing</t>
        </is>
      </c>
      <c r="V56">
        <f>HYPERLINK("https://klasma.github.io/Logging_1907/artfynd/A 38178-2021 artfynd.xlsx", "A 38178-2021")</f>
        <v/>
      </c>
      <c r="W56">
        <f>HYPERLINK("https://klasma.github.io/Logging_1907/kartor/A 38178-2021 karta.png", "A 38178-2021")</f>
        <v/>
      </c>
      <c r="X56">
        <f>HYPERLINK("https://klasma.github.io/Logging_1907/kartor_geotiff/A 38178-2021 georefererad karta.tif", "A 38178-2021")</f>
        <v/>
      </c>
      <c r="Z56">
        <f>HYPERLINK("https://klasma.github.io/Logging_1907/klagomål/A 38178-2021 FSC-klagomål.docx", "A 38178-2021")</f>
        <v/>
      </c>
      <c r="AA56">
        <f>HYPERLINK("https://klasma.github.io/Logging_1907/klagomålsmail/A 38178-2021 FSC-klagomål mail.docx", "A 38178-2021")</f>
        <v/>
      </c>
      <c r="AB56">
        <f>HYPERLINK("https://klasma.github.io/Logging_1907/tillsyn/A 38178-2021 tillsynsbegäran.docx", "A 38178-2021")</f>
        <v/>
      </c>
      <c r="AC56">
        <f>HYPERLINK("https://klasma.github.io/Logging_1907/tillsynsmail/A 38178-2021 tillsynsbegäran mail.docx", "A 38178-2021")</f>
        <v/>
      </c>
    </row>
    <row r="57" ht="15" customHeight="1">
      <c r="A57" t="inlineStr">
        <is>
          <t>A 56362-2023</t>
        </is>
      </c>
      <c r="B57" t="inlineStr">
        <is>
          <t>avverkningsanmälan</t>
        </is>
      </c>
      <c r="C57" t="inlineStr">
        <is>
          <t>Föryngringsavverkning</t>
        </is>
      </c>
      <c r="D57" s="1" t="n">
        <v>45236</v>
      </c>
      <c r="E57" s="1" t="n">
        <v>46223</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s="2" t="inlineStr">
        <is>
          <t>Väddnätfjäril
Grönpyrola</t>
        </is>
      </c>
      <c r="V57">
        <f>HYPERLINK("https://klasma.github.io/Logging_1907/artfynd/A 56362-2023 artfynd.xlsx", "A 56362-2023")</f>
        <v/>
      </c>
      <c r="W57">
        <f>HYPERLINK("https://klasma.github.io/Logging_1907/kartor/A 56362-2023 karta.png", "A 56362-2023")</f>
        <v/>
      </c>
      <c r="X57">
        <f>HYPERLINK("https://klasma.github.io/Logging_1907/kartor_geotiff/A 56362-2023 georefererad karta.tif", "A 56362-2023")</f>
        <v/>
      </c>
      <c r="Z57">
        <f>HYPERLINK("https://klasma.github.io/Logging_1907/klagomål/A 56362-2023 FSC-klagomål.docx", "A 56362-2023")</f>
        <v/>
      </c>
      <c r="AA57">
        <f>HYPERLINK("https://klasma.github.io/Logging_1907/klagomålsmail/A 56362-2023 FSC-klagomål mail.docx", "A 56362-2023")</f>
        <v/>
      </c>
      <c r="AB57">
        <f>HYPERLINK("https://klasma.github.io/Logging_1907/tillsyn/A 56362-2023 tillsynsbegäran.docx", "A 56362-2023")</f>
        <v/>
      </c>
      <c r="AC57">
        <f>HYPERLINK("https://klasma.github.io/Logging_1907/tillsynsmail/A 56362-2023 tillsynsbegäran mail.docx", "A 56362-2023")</f>
        <v/>
      </c>
    </row>
    <row r="58" ht="15" customHeight="1">
      <c r="A58" t="inlineStr">
        <is>
          <t>A 14001-2023</t>
        </is>
      </c>
      <c r="B58" t="inlineStr">
        <is>
          <t>avverkningsanmälan</t>
        </is>
      </c>
      <c r="C58" t="inlineStr">
        <is>
          <t>Föryngringsavverkning</t>
        </is>
      </c>
      <c r="D58" s="1" t="n">
        <v>45007</v>
      </c>
      <c r="E58" s="1" t="n">
        <v>46223</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s="2" t="inlineStr">
        <is>
          <t>Garnlav
Motaggsvamp</t>
        </is>
      </c>
      <c r="V58">
        <f>HYPERLINK("https://klasma.github.io/Logging_1907/artfynd/A 14001-2023 artfynd.xlsx", "A 14001-2023")</f>
        <v/>
      </c>
      <c r="W58">
        <f>HYPERLINK("https://klasma.github.io/Logging_1907/kartor/A 14001-2023 karta.png", "A 14001-2023")</f>
        <v/>
      </c>
      <c r="X58">
        <f>HYPERLINK("https://klasma.github.io/Logging_1907/kartor_geotiff/A 14001-2023 georefererad karta.tif", "A 14001-2023")</f>
        <v/>
      </c>
      <c r="Z58">
        <f>HYPERLINK("https://klasma.github.io/Logging_1907/klagomål/A 14001-2023 FSC-klagomål.docx", "A 14001-2023")</f>
        <v/>
      </c>
      <c r="AA58">
        <f>HYPERLINK("https://klasma.github.io/Logging_1907/klagomålsmail/A 14001-2023 FSC-klagomål mail.docx", "A 14001-2023")</f>
        <v/>
      </c>
      <c r="AB58">
        <f>HYPERLINK("https://klasma.github.io/Logging_1907/tillsyn/A 14001-2023 tillsynsbegäran.docx", "A 14001-2023")</f>
        <v/>
      </c>
      <c r="AC58">
        <f>HYPERLINK("https://klasma.github.io/Logging_1907/tillsynsmail/A 14001-2023 tillsynsbegäran mail.docx", "A 14001-2023")</f>
        <v/>
      </c>
    </row>
    <row r="59" ht="15" customHeight="1">
      <c r="A59" t="inlineStr">
        <is>
          <t>A 40403-2025</t>
        </is>
      </c>
      <c r="B59" t="inlineStr">
        <is>
          <t>avverkningsanmälan</t>
        </is>
      </c>
      <c r="C59" t="inlineStr">
        <is>
          <t>Föryngringsavverkning</t>
        </is>
      </c>
      <c r="D59" s="1" t="n">
        <v>45895</v>
      </c>
      <c r="E59" s="1" t="n">
        <v>46223</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s="2" t="inlineStr">
        <is>
          <t>Igelkott
Gröngöling</t>
        </is>
      </c>
      <c r="V59">
        <f>HYPERLINK("https://klasma.github.io/Logging_1907/artfynd/A 40403-2025 artfynd.xlsx", "A 40403-2025")</f>
        <v/>
      </c>
      <c r="W59">
        <f>HYPERLINK("https://klasma.github.io/Logging_1907/kartor/A 40403-2025 karta.png", "A 40403-2025")</f>
        <v/>
      </c>
      <c r="X59">
        <f>HYPERLINK("https://klasma.github.io/Logging_1907/kartor_geotiff/A 40403-2025 georefererad karta.tif", "A 40403-2025")</f>
        <v/>
      </c>
      <c r="Z59">
        <f>HYPERLINK("https://klasma.github.io/Logging_1907/klagomål/A 40403-2025 FSC-klagomål.docx", "A 40403-2025")</f>
        <v/>
      </c>
      <c r="AA59">
        <f>HYPERLINK("https://klasma.github.io/Logging_1907/klagomålsmail/A 40403-2025 FSC-klagomål mail.docx", "A 40403-2025")</f>
        <v/>
      </c>
      <c r="AB59">
        <f>HYPERLINK("https://klasma.github.io/Logging_1907/tillsyn/A 40403-2025 tillsynsbegäran.docx", "A 40403-2025")</f>
        <v/>
      </c>
      <c r="AC59">
        <f>HYPERLINK("https://klasma.github.io/Logging_1907/tillsynsmail/A 40403-2025 tillsynsbegäran mail.docx", "A 40403-2025")</f>
        <v/>
      </c>
    </row>
    <row r="60" ht="15" customHeight="1">
      <c r="A60" t="inlineStr">
        <is>
          <t>A 47453-2024</t>
        </is>
      </c>
      <c r="B60" t="inlineStr">
        <is>
          <t>avverkningsanmälan</t>
        </is>
      </c>
      <c r="C60" t="inlineStr">
        <is>
          <t>Föryngringsavverkning</t>
        </is>
      </c>
      <c r="D60" s="1" t="n">
        <v>45587</v>
      </c>
      <c r="E60" s="1" t="n">
        <v>46223</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s="2" t="inlineStr">
        <is>
          <t>Göktyta
Gröngöling</t>
        </is>
      </c>
      <c r="V60">
        <f>HYPERLINK("https://klasma.github.io/Logging_1907/artfynd/A 47453-2024 artfynd.xlsx", "A 47453-2024")</f>
        <v/>
      </c>
      <c r="W60">
        <f>HYPERLINK("https://klasma.github.io/Logging_1907/kartor/A 47453-2024 karta.png", "A 47453-2024")</f>
        <v/>
      </c>
      <c r="X60">
        <f>HYPERLINK("https://klasma.github.io/Logging_1907/kartor_geotiff/A 47453-2024 georefererad karta.tif", "A 47453-2024")</f>
        <v/>
      </c>
      <c r="Z60">
        <f>HYPERLINK("https://klasma.github.io/Logging_1907/klagomål/A 47453-2024 FSC-klagomål.docx", "A 47453-2024")</f>
        <v/>
      </c>
      <c r="AA60">
        <f>HYPERLINK("https://klasma.github.io/Logging_1907/klagomålsmail/A 47453-2024 FSC-klagomål mail.docx", "A 47453-2024")</f>
        <v/>
      </c>
      <c r="AB60">
        <f>HYPERLINK("https://klasma.github.io/Logging_1907/tillsyn/A 47453-2024 tillsynsbegäran.docx", "A 47453-2024")</f>
        <v/>
      </c>
      <c r="AC60">
        <f>HYPERLINK("https://klasma.github.io/Logging_1907/tillsynsmail/A 47453-2024 tillsynsbegäran mail.docx", "A 47453-2024")</f>
        <v/>
      </c>
      <c r="AD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46223</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s="2" t="inlineStr">
        <is>
          <t>Svart trolldruva
Nattviol</t>
        </is>
      </c>
      <c r="V61">
        <f>HYPERLINK("https://klasma.github.io/Logging_1907/artfynd/A 11501-2023 artfynd.xlsx", "A 11501-2023")</f>
        <v/>
      </c>
      <c r="W61">
        <f>HYPERLINK("https://klasma.github.io/Logging_1907/kartor/A 11501-2023 karta.png", "A 11501-2023")</f>
        <v/>
      </c>
      <c r="X61">
        <f>HYPERLINK("https://klasma.github.io/Logging_1907/kartor_geotiff/A 11501-2023 georefererad karta.tif", "A 11501-2023")</f>
        <v/>
      </c>
      <c r="Z61">
        <f>HYPERLINK("https://klasma.github.io/Logging_1907/klagomål/A 11501-2023 FSC-klagomål.docx", "A 11501-2023")</f>
        <v/>
      </c>
      <c r="AA61">
        <f>HYPERLINK("https://klasma.github.io/Logging_1907/klagomålsmail/A 11501-2023 FSC-klagomål mail.docx", "A 11501-2023")</f>
        <v/>
      </c>
      <c r="AB61">
        <f>HYPERLINK("https://klasma.github.io/Logging_1907/tillsyn/A 11501-2023 tillsynsbegäran.docx", "A 11501-2023")</f>
        <v/>
      </c>
      <c r="AC61">
        <f>HYPERLINK("https://klasma.github.io/Logging_1907/tillsynsmail/A 11501-2023 tillsynsbegäran mail.docx", "A 11501-2023")</f>
        <v/>
      </c>
    </row>
    <row r="62" ht="15" customHeight="1">
      <c r="A62" t="inlineStr">
        <is>
          <t>A 37013-2025</t>
        </is>
      </c>
      <c r="B62" t="inlineStr">
        <is>
          <t>avverkningsanmälan</t>
        </is>
      </c>
      <c r="C62" t="inlineStr">
        <is>
          <t>Föryngringsavverkning</t>
        </is>
      </c>
      <c r="D62" s="1" t="n">
        <v>45874</v>
      </c>
      <c r="E62" s="1" t="n">
        <v>46223</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s="2" t="inlineStr">
        <is>
          <t>Brunfläckig pärlemorfjäril
Fältgentiana</t>
        </is>
      </c>
      <c r="V62">
        <f>HYPERLINK("https://klasma.github.io/Logging_1907/artfynd/A 37013-2025 artfynd.xlsx", "A 37013-2025")</f>
        <v/>
      </c>
      <c r="W62">
        <f>HYPERLINK("https://klasma.github.io/Logging_1907/kartor/A 37013-2025 karta.png", "A 37013-2025")</f>
        <v/>
      </c>
      <c r="X62">
        <f>HYPERLINK("https://klasma.github.io/Logging_1907/kartor_geotiff/A 37013-2025 georefererad karta.tif", "A 37013-2025")</f>
        <v/>
      </c>
      <c r="Z62">
        <f>HYPERLINK("https://klasma.github.io/Logging_1907/klagomål/A 37013-2025 FSC-klagomål.docx", "A 37013-2025")</f>
        <v/>
      </c>
      <c r="AA62">
        <f>HYPERLINK("https://klasma.github.io/Logging_1907/klagomålsmail/A 37013-2025 FSC-klagomål mail.docx", "A 37013-2025")</f>
        <v/>
      </c>
      <c r="AB62">
        <f>HYPERLINK("https://klasma.github.io/Logging_1907/tillsyn/A 37013-2025 tillsynsbegäran.docx", "A 37013-2025")</f>
        <v/>
      </c>
      <c r="AC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46223</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s="2" t="inlineStr">
        <is>
          <t>Knärot
Vedtrappmossa</t>
        </is>
      </c>
      <c r="V63">
        <f>HYPERLINK("https://klasma.github.io/Logging_1907/artfynd/A 41204-2023 artfynd.xlsx", "A 41204-2023")</f>
        <v/>
      </c>
      <c r="W63">
        <f>HYPERLINK("https://klasma.github.io/Logging_1907/kartor/A 41204-2023 karta.png", "A 41204-2023")</f>
        <v/>
      </c>
      <c r="X63">
        <f>HYPERLINK("https://klasma.github.io/Logging_1907/kartor_geotiff/A 41204-2023 georefererad karta.tif", "A 41204-2023")</f>
        <v/>
      </c>
      <c r="Y63">
        <f>HYPERLINK("https://klasma.github.io/Logging_1907/knärot/A 41204-2023 karta knärot.png", "A 41204-2023")</f>
        <v/>
      </c>
      <c r="Z63">
        <f>HYPERLINK("https://klasma.github.io/Logging_1907/klagomål/A 41204-2023 FSC-klagomål.docx", "A 41204-2023")</f>
        <v/>
      </c>
      <c r="AA63">
        <f>HYPERLINK("https://klasma.github.io/Logging_1907/klagomålsmail/A 41204-2023 FSC-klagomål mail.docx", "A 41204-2023")</f>
        <v/>
      </c>
      <c r="AB63">
        <f>HYPERLINK("https://klasma.github.io/Logging_1907/tillsyn/A 41204-2023 tillsynsbegäran.docx", "A 41204-2023")</f>
        <v/>
      </c>
      <c r="AC63">
        <f>HYPERLINK("https://klasma.github.io/Logging_1907/tillsynsmail/A 41204-2023 tillsynsbegäran mail.docx", "A 41204-2023")</f>
        <v/>
      </c>
    </row>
    <row r="64" ht="15" customHeight="1">
      <c r="A64" t="inlineStr">
        <is>
          <t>A 30074-2023</t>
        </is>
      </c>
      <c r="B64" t="inlineStr">
        <is>
          <t>avverkningsanmälan</t>
        </is>
      </c>
      <c r="C64" t="inlineStr">
        <is>
          <t>Föryngringsavverkning</t>
        </is>
      </c>
      <c r="D64" s="1" t="n">
        <v>45110</v>
      </c>
      <c r="E64" s="1" t="n">
        <v>46223</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s="2" t="inlineStr">
        <is>
          <t>Grönpyrola
Revlummer</t>
        </is>
      </c>
      <c r="V64">
        <f>HYPERLINK("https://klasma.github.io/Logging_1907/artfynd/A 30074-2023 artfynd.xlsx", "A 30074-2023")</f>
        <v/>
      </c>
      <c r="W64">
        <f>HYPERLINK("https://klasma.github.io/Logging_1907/kartor/A 30074-2023 karta.png", "A 30074-2023")</f>
        <v/>
      </c>
      <c r="X64">
        <f>HYPERLINK("https://klasma.github.io/Logging_1907/kartor_geotiff/A 30074-2023 georefererad karta.tif", "A 30074-2023")</f>
        <v/>
      </c>
      <c r="Z64">
        <f>HYPERLINK("https://klasma.github.io/Logging_1907/klagomål/A 30074-2023 FSC-klagomål.docx", "A 30074-2023")</f>
        <v/>
      </c>
      <c r="AA64">
        <f>HYPERLINK("https://klasma.github.io/Logging_1907/klagomålsmail/A 30074-2023 FSC-klagomål mail.docx", "A 30074-2023")</f>
        <v/>
      </c>
      <c r="AB64">
        <f>HYPERLINK("https://klasma.github.io/Logging_1907/tillsyn/A 30074-2023 tillsynsbegäran.docx", "A 30074-2023")</f>
        <v/>
      </c>
      <c r="AC64">
        <f>HYPERLINK("https://klasma.github.io/Logging_1907/tillsynsmail/A 30074-2023 tillsynsbegäran mail.docx", "A 30074-2023")</f>
        <v/>
      </c>
    </row>
    <row r="65" ht="15" customHeight="1">
      <c r="A65" t="inlineStr">
        <is>
          <t>A 63138-2025</t>
        </is>
      </c>
      <c r="B65" t="inlineStr">
        <is>
          <t>avverkningsanmälan</t>
        </is>
      </c>
      <c r="C65" t="inlineStr">
        <is>
          <t>Föryngringsavverkning</t>
        </is>
      </c>
      <c r="D65" s="1" t="n">
        <v>46009</v>
      </c>
      <c r="E65" s="1" t="n">
        <v>46223</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s="2" t="inlineStr">
        <is>
          <t>Mindre märgborre
Tjäder</t>
        </is>
      </c>
      <c r="V65">
        <f>HYPERLINK("https://klasma.github.io/Logging_1907/artfynd/A 63138-2025 artfynd.xlsx", "A 63138-2025")</f>
        <v/>
      </c>
      <c r="W65">
        <f>HYPERLINK("https://klasma.github.io/Logging_1907/kartor/A 63138-2025 karta.png", "A 63138-2025")</f>
        <v/>
      </c>
      <c r="X65">
        <f>HYPERLINK("https://klasma.github.io/Logging_1907/kartor_geotiff/A 63138-2025 georefererad karta.tif", "A 63138-2025")</f>
        <v/>
      </c>
      <c r="Z65">
        <f>HYPERLINK("https://klasma.github.io/Logging_1907/klagomål/A 63138-2025 FSC-klagomål.docx", "A 63138-2025")</f>
        <v/>
      </c>
      <c r="AA65">
        <f>HYPERLINK("https://klasma.github.io/Logging_1907/klagomålsmail/A 63138-2025 FSC-klagomål mail.docx", "A 63138-2025")</f>
        <v/>
      </c>
      <c r="AB65">
        <f>HYPERLINK("https://klasma.github.io/Logging_1907/tillsyn/A 63138-2025 tillsynsbegäran.docx", "A 63138-2025")</f>
        <v/>
      </c>
      <c r="AC65">
        <f>HYPERLINK("https://klasma.github.io/Logging_1907/tillsynsmail/A 63138-2025 tillsynsbegäran mail.docx", "A 63138-2025")</f>
        <v/>
      </c>
      <c r="AD65">
        <f>HYPERLINK("https://klasma.github.io/Logging_1907/fåglar/A 63138-2025 prioriterade fågelarter.docx", "A 63138-2025")</f>
        <v/>
      </c>
    </row>
    <row r="66" ht="15" customHeight="1">
      <c r="A66" t="inlineStr">
        <is>
          <t>A 13971-2023</t>
        </is>
      </c>
      <c r="B66" t="inlineStr">
        <is>
          <t>avverkningsanmälan</t>
        </is>
      </c>
      <c r="C66" t="inlineStr">
        <is>
          <t>Föryngringsavverkning</t>
        </is>
      </c>
      <c r="D66" s="1" t="n">
        <v>45007</v>
      </c>
      <c r="E66" s="1" t="n">
        <v>46223</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s="2" t="inlineStr">
        <is>
          <t>Dubbelnycklar
Fläcknycklar</t>
        </is>
      </c>
      <c r="V66">
        <f>HYPERLINK("https://klasma.github.io/Logging_1907/artfynd/A 13971-2023 artfynd.xlsx", "A 13971-2023")</f>
        <v/>
      </c>
      <c r="W66">
        <f>HYPERLINK("https://klasma.github.io/Logging_1907/kartor/A 13971-2023 karta.png", "A 13971-2023")</f>
        <v/>
      </c>
      <c r="X66">
        <f>HYPERLINK("https://klasma.github.io/Logging_1907/kartor_geotiff/A 13971-2023 georefererad karta.tif", "A 13971-2023")</f>
        <v/>
      </c>
      <c r="Z66">
        <f>HYPERLINK("https://klasma.github.io/Logging_1907/klagomål/A 13971-2023 FSC-klagomål.docx", "A 13971-2023")</f>
        <v/>
      </c>
      <c r="AA66">
        <f>HYPERLINK("https://klasma.github.io/Logging_1907/klagomålsmail/A 13971-2023 FSC-klagomål mail.docx", "A 13971-2023")</f>
        <v/>
      </c>
      <c r="AB66">
        <f>HYPERLINK("https://klasma.github.io/Logging_1907/tillsyn/A 13971-2023 tillsynsbegäran.docx", "A 13971-2023")</f>
        <v/>
      </c>
      <c r="AC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46223</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s="2" t="inlineStr">
        <is>
          <t>Sparvuggla
Nattskärra</t>
        </is>
      </c>
      <c r="V67">
        <f>HYPERLINK("https://klasma.github.io/Logging_1907/artfynd/A 13788-2025 artfynd.xlsx", "A 13788-2025")</f>
        <v/>
      </c>
      <c r="W67">
        <f>HYPERLINK("https://klasma.github.io/Logging_1907/kartor/A 13788-2025 karta.png", "A 13788-2025")</f>
        <v/>
      </c>
      <c r="X67">
        <f>HYPERLINK("https://klasma.github.io/Logging_1907/kartor_geotiff/A 13788-2025 georefererad karta.tif", "A 13788-2025")</f>
        <v/>
      </c>
      <c r="Z67">
        <f>HYPERLINK("https://klasma.github.io/Logging_1907/klagomål/A 13788-2025 FSC-klagomål.docx", "A 13788-2025")</f>
        <v/>
      </c>
      <c r="AA67">
        <f>HYPERLINK("https://klasma.github.io/Logging_1907/klagomålsmail/A 13788-2025 FSC-klagomål mail.docx", "A 13788-2025")</f>
        <v/>
      </c>
      <c r="AB67">
        <f>HYPERLINK("https://klasma.github.io/Logging_1907/tillsyn/A 13788-2025 tillsynsbegäran.docx", "A 13788-2025")</f>
        <v/>
      </c>
      <c r="AC67">
        <f>HYPERLINK("https://klasma.github.io/Logging_1907/tillsynsmail/A 13788-2025 tillsynsbegäran mail.docx", "A 13788-2025")</f>
        <v/>
      </c>
      <c r="AD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46223</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s="2" t="inlineStr">
        <is>
          <t>Vedticka
Revlummer</t>
        </is>
      </c>
      <c r="V68">
        <f>HYPERLINK("https://klasma.github.io/Logging_1907/artfynd/S 703-2025 artfynd.xlsx", "S 703-2025")</f>
        <v/>
      </c>
      <c r="W68">
        <f>HYPERLINK("https://klasma.github.io/Logging_1907/kartor/S 703-2025 karta.png", "S 703-2025")</f>
        <v/>
      </c>
      <c r="X68">
        <f>HYPERLINK("https://klasma.github.io/Logging_1907/kartor_geotiff/S 703-2025 georefererad karta.tif", "S 703-2025")</f>
        <v/>
      </c>
      <c r="Z68">
        <f>HYPERLINK("https://klasma.github.io/Logging_1907/klagomål/S 703-2025 FSC-klagomål.docx", "S 703-2025")</f>
        <v/>
      </c>
      <c r="AA68">
        <f>HYPERLINK("https://klasma.github.io/Logging_1907/klagomålsmail/S 703-2025 FSC-klagomål mail.docx", "S 703-2025")</f>
        <v/>
      </c>
      <c r="AB68">
        <f>HYPERLINK("https://klasma.github.io/Logging_1907/tillsyn/S 703-2025 tillsynsbegäran.docx", "S 703-2025")</f>
        <v/>
      </c>
      <c r="AC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46223</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s="2" t="inlineStr">
        <is>
          <t>Revlummer</t>
        </is>
      </c>
      <c r="V69">
        <f>HYPERLINK("https://klasma.github.io/Logging_1907/artfynd/A 19844-2022 artfynd.xlsx", "A 19844-2022")</f>
        <v/>
      </c>
      <c r="W69">
        <f>HYPERLINK("https://klasma.github.io/Logging_1907/kartor/A 19844-2022 karta.png", "A 19844-2022")</f>
        <v/>
      </c>
      <c r="X69">
        <f>HYPERLINK("https://klasma.github.io/Logging_1907/kartor_geotiff/A 19844-2022 georefererad karta.tif", "A 19844-2022")</f>
        <v/>
      </c>
      <c r="Z69">
        <f>HYPERLINK("https://klasma.github.io/Logging_1907/klagomål/A 19844-2022 FSC-klagomål.docx", "A 19844-2022")</f>
        <v/>
      </c>
      <c r="AA69">
        <f>HYPERLINK("https://klasma.github.io/Logging_1907/klagomålsmail/A 19844-2022 FSC-klagomål mail.docx", "A 19844-2022")</f>
        <v/>
      </c>
      <c r="AB69">
        <f>HYPERLINK("https://klasma.github.io/Logging_1907/tillsyn/A 19844-2022 tillsynsbegäran.docx", "A 19844-2022")</f>
        <v/>
      </c>
      <c r="AC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46223</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s="2" t="inlineStr">
        <is>
          <t>Fläcknycklar</t>
        </is>
      </c>
      <c r="V70">
        <f>HYPERLINK("https://klasma.github.io/Logging_1907/artfynd/A 26700-2022 artfynd.xlsx", "A 26700-2022")</f>
        <v/>
      </c>
      <c r="W70">
        <f>HYPERLINK("https://klasma.github.io/Logging_1907/kartor/A 26700-2022 karta.png", "A 26700-2022")</f>
        <v/>
      </c>
      <c r="X70">
        <f>HYPERLINK("https://klasma.github.io/Logging_1907/kartor_geotiff/A 26700-2022 georefererad karta.tif", "A 26700-2022")</f>
        <v/>
      </c>
      <c r="Z70">
        <f>HYPERLINK("https://klasma.github.io/Logging_1907/klagomål/A 26700-2022 FSC-klagomål.docx", "A 26700-2022")</f>
        <v/>
      </c>
      <c r="AA70">
        <f>HYPERLINK("https://klasma.github.io/Logging_1907/klagomålsmail/A 26700-2022 FSC-klagomål mail.docx", "A 26700-2022")</f>
        <v/>
      </c>
      <c r="AB70">
        <f>HYPERLINK("https://klasma.github.io/Logging_1907/tillsyn/A 26700-2022 tillsynsbegäran.docx", "A 26700-2022")</f>
        <v/>
      </c>
      <c r="AC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46223</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s="2" t="inlineStr">
        <is>
          <t>Brödmärgsticka</t>
        </is>
      </c>
      <c r="V71">
        <f>HYPERLINK("https://klasma.github.io/Logging_1907/artfynd/A 67611-2021 artfynd.xlsx", "A 67611-2021")</f>
        <v/>
      </c>
      <c r="W71">
        <f>HYPERLINK("https://klasma.github.io/Logging_1907/kartor/A 67611-2021 karta.png", "A 67611-2021")</f>
        <v/>
      </c>
      <c r="X71">
        <f>HYPERLINK("https://klasma.github.io/Logging_1907/kartor_geotiff/A 67611-2021 georefererad karta.tif", "A 67611-2021")</f>
        <v/>
      </c>
      <c r="Z71">
        <f>HYPERLINK("https://klasma.github.io/Logging_1907/klagomål/A 67611-2021 FSC-klagomål.docx", "A 67611-2021")</f>
        <v/>
      </c>
      <c r="AA71">
        <f>HYPERLINK("https://klasma.github.io/Logging_1907/klagomålsmail/A 67611-2021 FSC-klagomål mail.docx", "A 67611-2021")</f>
        <v/>
      </c>
      <c r="AB71">
        <f>HYPERLINK("https://klasma.github.io/Logging_1907/tillsyn/A 67611-2021 tillsynsbegäran.docx", "A 67611-2021")</f>
        <v/>
      </c>
      <c r="AC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46223</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s="2" t="inlineStr">
        <is>
          <t>Bronshjon</t>
        </is>
      </c>
      <c r="V72">
        <f>HYPERLINK("https://klasma.github.io/Logging_1907/artfynd/A 19846-2022 artfynd.xlsx", "A 19846-2022")</f>
        <v/>
      </c>
      <c r="W72">
        <f>HYPERLINK("https://klasma.github.io/Logging_1907/kartor/A 19846-2022 karta.png", "A 19846-2022")</f>
        <v/>
      </c>
      <c r="X72">
        <f>HYPERLINK("https://klasma.github.io/Logging_1907/kartor_geotiff/A 19846-2022 georefererad karta.tif", "A 19846-2022")</f>
        <v/>
      </c>
      <c r="Z72">
        <f>HYPERLINK("https://klasma.github.io/Logging_1907/klagomål/A 19846-2022 FSC-klagomål.docx", "A 19846-2022")</f>
        <v/>
      </c>
      <c r="AA72">
        <f>HYPERLINK("https://klasma.github.io/Logging_1907/klagomålsmail/A 19846-2022 FSC-klagomål mail.docx", "A 19846-2022")</f>
        <v/>
      </c>
      <c r="AB72">
        <f>HYPERLINK("https://klasma.github.io/Logging_1907/tillsyn/A 19846-2022 tillsynsbegäran.docx", "A 19846-2022")</f>
        <v/>
      </c>
      <c r="AC72">
        <f>HYPERLINK("https://klasma.github.io/Logging_1907/tillsynsmail/A 19846-2022 tillsynsbegäran mail.docx", "A 19846-2022")</f>
        <v/>
      </c>
    </row>
    <row r="73" ht="15" customHeight="1">
      <c r="A73" t="inlineStr">
        <is>
          <t>A 8553-2023</t>
        </is>
      </c>
      <c r="B73" t="inlineStr">
        <is>
          <t>avverkningsanmälan</t>
        </is>
      </c>
      <c r="C73" t="inlineStr">
        <is>
          <t>Avverkning för att bevara och utveckla /försöksver</t>
        </is>
      </c>
      <c r="D73" s="1" t="n">
        <v>44977</v>
      </c>
      <c r="E73" s="1" t="n">
        <v>46223</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s="2" t="inlineStr">
        <is>
          <t>Väddnätfjäril</t>
        </is>
      </c>
      <c r="V73">
        <f>HYPERLINK("https://klasma.github.io/Logging_1907/artfynd/A 8553-2023 artfynd.xlsx", "A 8553-2023")</f>
        <v/>
      </c>
      <c r="W73">
        <f>HYPERLINK("https://klasma.github.io/Logging_1907/kartor/A 8553-2023 karta.png", "A 8553-2023")</f>
        <v/>
      </c>
      <c r="X73">
        <f>HYPERLINK("https://klasma.github.io/Logging_1907/kartor_geotiff/A 8553-2023 georefererad karta.tif", "A 8553-2023")</f>
        <v/>
      </c>
      <c r="Z73">
        <f>HYPERLINK("https://klasma.github.io/Logging_1907/klagomål/A 8553-2023 FSC-klagomål.docx", "A 8553-2023")</f>
        <v/>
      </c>
      <c r="AA73">
        <f>HYPERLINK("https://klasma.github.io/Logging_1907/klagomålsmail/A 8553-2023 FSC-klagomål mail.docx", "A 8553-2023")</f>
        <v/>
      </c>
      <c r="AB73">
        <f>HYPERLINK("https://klasma.github.io/Logging_1907/tillsyn/A 8553-2023 tillsynsbegäran.docx", "A 8553-2023")</f>
        <v/>
      </c>
      <c r="AC73">
        <f>HYPERLINK("https://klasma.github.io/Logging_1907/tillsynsmail/A 8553-2023 tillsynsbegäran mail.docx", "A 8553-2023")</f>
        <v/>
      </c>
    </row>
    <row r="74" ht="15" customHeight="1">
      <c r="A74" t="inlineStr">
        <is>
          <t>A 34584-2025</t>
        </is>
      </c>
      <c r="B74" t="inlineStr">
        <is>
          <t>avverkningsanmälan</t>
        </is>
      </c>
      <c r="C74" t="inlineStr">
        <is>
          <t>Föryngringsavverkning</t>
        </is>
      </c>
      <c r="D74" s="1" t="n">
        <v>45846</v>
      </c>
      <c r="E74" s="1" t="n">
        <v>46223</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s="2" t="inlineStr">
        <is>
          <t>Tjäder</t>
        </is>
      </c>
      <c r="V74">
        <f>HYPERLINK("https://klasma.github.io/Logging_1907/artfynd/A 34584-2025 artfynd.xlsx", "A 34584-2025")</f>
        <v/>
      </c>
      <c r="W74">
        <f>HYPERLINK("https://klasma.github.io/Logging_1907/kartor/A 34584-2025 karta.png", "A 34584-2025")</f>
        <v/>
      </c>
      <c r="X74">
        <f>HYPERLINK("https://klasma.github.io/Logging_1907/kartor_geotiff/A 34584-2025 georefererad karta.tif", "A 34584-2025")</f>
        <v/>
      </c>
      <c r="Z74">
        <f>HYPERLINK("https://klasma.github.io/Logging_1907/klagomål/A 34584-2025 FSC-klagomål.docx", "A 34584-2025")</f>
        <v/>
      </c>
      <c r="AA74">
        <f>HYPERLINK("https://klasma.github.io/Logging_1907/klagomålsmail/A 34584-2025 FSC-klagomål mail.docx", "A 34584-2025")</f>
        <v/>
      </c>
      <c r="AB74">
        <f>HYPERLINK("https://klasma.github.io/Logging_1907/tillsyn/A 34584-2025 tillsynsbegäran.docx", "A 34584-2025")</f>
        <v/>
      </c>
      <c r="AC74">
        <f>HYPERLINK("https://klasma.github.io/Logging_1907/tillsynsmail/A 34584-2025 tillsynsbegäran mail.docx", "A 34584-2025")</f>
        <v/>
      </c>
      <c r="AD74">
        <f>HYPERLINK("https://klasma.github.io/Logging_1907/fåglar/A 34584-2025 prioriterade fågelarter.docx", "A 34584-2025")</f>
        <v/>
      </c>
    </row>
    <row r="75" ht="15" customHeight="1">
      <c r="A75" t="inlineStr">
        <is>
          <t>A 16013-2023</t>
        </is>
      </c>
      <c r="B75" t="inlineStr">
        <is>
          <t>avverkningsanmälan</t>
        </is>
      </c>
      <c r="C75" t="inlineStr">
        <is>
          <t>Föryngringsavverkning</t>
        </is>
      </c>
      <c r="D75" s="1" t="n">
        <v>45026</v>
      </c>
      <c r="E75" s="1" t="n">
        <v>46223</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s="2" t="inlineStr">
        <is>
          <t>Garnlav</t>
        </is>
      </c>
      <c r="V75">
        <f>HYPERLINK("https://klasma.github.io/Logging_1907/artfynd/A 16013-2023 artfynd.xlsx", "A 16013-2023")</f>
        <v/>
      </c>
      <c r="W75">
        <f>HYPERLINK("https://klasma.github.io/Logging_1907/kartor/A 16013-2023 karta.png", "A 16013-2023")</f>
        <v/>
      </c>
      <c r="X75">
        <f>HYPERLINK("https://klasma.github.io/Logging_1907/kartor_geotiff/A 16013-2023 georefererad karta.tif", "A 16013-2023")</f>
        <v/>
      </c>
      <c r="Z75">
        <f>HYPERLINK("https://klasma.github.io/Logging_1907/klagomål/A 16013-2023 FSC-klagomål.docx", "A 16013-2023")</f>
        <v/>
      </c>
      <c r="AA75">
        <f>HYPERLINK("https://klasma.github.io/Logging_1907/klagomålsmail/A 16013-2023 FSC-klagomål mail.docx", "A 16013-2023")</f>
        <v/>
      </c>
      <c r="AB75">
        <f>HYPERLINK("https://klasma.github.io/Logging_1907/tillsyn/A 16013-2023 tillsynsbegäran.docx", "A 16013-2023")</f>
        <v/>
      </c>
      <c r="AC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46223</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s="2" t="inlineStr">
        <is>
          <t>Svinrot</t>
        </is>
      </c>
      <c r="V76">
        <f>HYPERLINK("https://klasma.github.io/Logging_1907/artfynd/A 34955-2022 artfynd.xlsx", "A 34955-2022")</f>
        <v/>
      </c>
      <c r="W76">
        <f>HYPERLINK("https://klasma.github.io/Logging_1907/kartor/A 34955-2022 karta.png", "A 34955-2022")</f>
        <v/>
      </c>
      <c r="X76">
        <f>HYPERLINK("https://klasma.github.io/Logging_1907/kartor_geotiff/A 34955-2022 georefererad karta.tif", "A 34955-2022")</f>
        <v/>
      </c>
      <c r="Z76">
        <f>HYPERLINK("https://klasma.github.io/Logging_1907/klagomål/A 34955-2022 FSC-klagomål.docx", "A 34955-2022")</f>
        <v/>
      </c>
      <c r="AA76">
        <f>HYPERLINK("https://klasma.github.io/Logging_1907/klagomålsmail/A 34955-2022 FSC-klagomål mail.docx", "A 34955-2022")</f>
        <v/>
      </c>
      <c r="AB76">
        <f>HYPERLINK("https://klasma.github.io/Logging_1907/tillsyn/A 34955-2022 tillsynsbegäran.docx", "A 34955-2022")</f>
        <v/>
      </c>
      <c r="AC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46223</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HYPERLINK("https://klasma.github.io/Logging_1907/artfynd/A 33231-2024 artfynd.xlsx", "A 33231-2024")</f>
        <v/>
      </c>
      <c r="W77">
        <f>HYPERLINK("https://klasma.github.io/Logging_1907/kartor/A 33231-2024 karta.png", "A 33231-2024")</f>
        <v/>
      </c>
      <c r="X77">
        <f>HYPERLINK("https://klasma.github.io/Logging_1907/kartor_geotiff/A 33231-2024 georefererad karta.tif", "A 33231-2024")</f>
        <v/>
      </c>
      <c r="Z77">
        <f>HYPERLINK("https://klasma.github.io/Logging_1907/klagomål/A 33231-2024 FSC-klagomål.docx", "A 33231-2024")</f>
        <v/>
      </c>
      <c r="AA77">
        <f>HYPERLINK("https://klasma.github.io/Logging_1907/klagomålsmail/A 33231-2024 FSC-klagomål mail.docx", "A 33231-2024")</f>
        <v/>
      </c>
      <c r="AB77">
        <f>HYPERLINK("https://klasma.github.io/Logging_1907/tillsyn/A 33231-2024 tillsynsbegäran.docx", "A 33231-2024")</f>
        <v/>
      </c>
      <c r="AC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46223</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s="2" t="inlineStr">
        <is>
          <t>Revlummer</t>
        </is>
      </c>
      <c r="V78">
        <f>HYPERLINK("https://klasma.github.io/Logging_1907/artfynd/A 30076-2023 artfynd.xlsx", "A 30076-2023")</f>
        <v/>
      </c>
      <c r="W78">
        <f>HYPERLINK("https://klasma.github.io/Logging_1907/kartor/A 30076-2023 karta.png", "A 30076-2023")</f>
        <v/>
      </c>
      <c r="X78">
        <f>HYPERLINK("https://klasma.github.io/Logging_1907/kartor_geotiff/A 30076-2023 georefererad karta.tif", "A 30076-2023")</f>
        <v/>
      </c>
      <c r="Z78">
        <f>HYPERLINK("https://klasma.github.io/Logging_1907/klagomål/A 30076-2023 FSC-klagomål.docx", "A 30076-2023")</f>
        <v/>
      </c>
      <c r="AA78">
        <f>HYPERLINK("https://klasma.github.io/Logging_1907/klagomålsmail/A 30076-2023 FSC-klagomål mail.docx", "A 30076-2023")</f>
        <v/>
      </c>
      <c r="AB78">
        <f>HYPERLINK("https://klasma.github.io/Logging_1907/tillsyn/A 30076-2023 tillsynsbegäran.docx", "A 30076-2023")</f>
        <v/>
      </c>
      <c r="AC78">
        <f>HYPERLINK("https://klasma.github.io/Logging_1907/tillsynsmail/A 30076-2023 tillsynsbegäran mail.docx", "A 30076-2023")</f>
        <v/>
      </c>
    </row>
    <row r="79" ht="15" customHeight="1">
      <c r="A79" t="inlineStr">
        <is>
          <t>A 47785-2021</t>
        </is>
      </c>
      <c r="B79" t="inlineStr">
        <is>
          <t>avverkningsanmälan</t>
        </is>
      </c>
      <c r="C79" t="inlineStr">
        <is>
          <t>Föryngringsavverkning</t>
        </is>
      </c>
      <c r="D79" s="1" t="n">
        <v>44448</v>
      </c>
      <c r="E79" s="1" t="n">
        <v>46223</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s="2" t="inlineStr">
        <is>
          <t>Motaggsvamp</t>
        </is>
      </c>
      <c r="V79">
        <f>HYPERLINK("https://klasma.github.io/Logging_1907/artfynd/A 47785-2021 artfynd.xlsx", "A 47785-2021")</f>
        <v/>
      </c>
      <c r="W79">
        <f>HYPERLINK("https://klasma.github.io/Logging_1907/kartor/A 47785-2021 karta.png", "A 47785-2021")</f>
        <v/>
      </c>
      <c r="X79">
        <f>HYPERLINK("https://klasma.github.io/Logging_1907/kartor_geotiff/A 47785-2021 georefererad karta.tif", "A 47785-2021")</f>
        <v/>
      </c>
      <c r="Z79">
        <f>HYPERLINK("https://klasma.github.io/Logging_1907/klagomål/A 47785-2021 FSC-klagomål.docx", "A 47785-2021")</f>
        <v/>
      </c>
      <c r="AA79">
        <f>HYPERLINK("https://klasma.github.io/Logging_1907/klagomålsmail/A 47785-2021 FSC-klagomål mail.docx", "A 47785-2021")</f>
        <v/>
      </c>
      <c r="AB79">
        <f>HYPERLINK("https://klasma.github.io/Logging_1907/tillsyn/A 47785-2021 tillsynsbegäran.docx", "A 47785-2021")</f>
        <v/>
      </c>
      <c r="AC79">
        <f>HYPERLINK("https://klasma.github.io/Logging_1907/tillsynsmail/A 47785-2021 tillsynsbegäran mail.docx", "A 47785-2021")</f>
        <v/>
      </c>
    </row>
    <row r="80" ht="15" customHeight="1">
      <c r="A80" t="inlineStr">
        <is>
          <t>A 10883-2023</t>
        </is>
      </c>
      <c r="B80" t="inlineStr">
        <is>
          <t>avverkningsanmälan</t>
        </is>
      </c>
      <c r="C80" t="inlineStr">
        <is>
          <t>Föryngringsavverkning</t>
        </is>
      </c>
      <c r="D80" s="1" t="n">
        <v>44991</v>
      </c>
      <c r="E80" s="1" t="n">
        <v>46223</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s="2" t="inlineStr">
        <is>
          <t>Talltita</t>
        </is>
      </c>
      <c r="V80">
        <f>HYPERLINK("https://klasma.github.io/Logging_1907/artfynd/A 10883-2023 artfynd.xlsx", "A 10883-2023")</f>
        <v/>
      </c>
      <c r="W80">
        <f>HYPERLINK("https://klasma.github.io/Logging_1907/kartor/A 10883-2023 karta.png", "A 10883-2023")</f>
        <v/>
      </c>
      <c r="X80">
        <f>HYPERLINK("https://klasma.github.io/Logging_1907/kartor_geotiff/A 10883-2023 georefererad karta.tif", "A 10883-2023")</f>
        <v/>
      </c>
      <c r="Z80">
        <f>HYPERLINK("https://klasma.github.io/Logging_1907/klagomål/A 10883-2023 FSC-klagomål.docx", "A 10883-2023")</f>
        <v/>
      </c>
      <c r="AA80">
        <f>HYPERLINK("https://klasma.github.io/Logging_1907/klagomålsmail/A 10883-2023 FSC-klagomål mail.docx", "A 10883-2023")</f>
        <v/>
      </c>
      <c r="AB80">
        <f>HYPERLINK("https://klasma.github.io/Logging_1907/tillsyn/A 10883-2023 tillsynsbegäran.docx", "A 10883-2023")</f>
        <v/>
      </c>
      <c r="AC80">
        <f>HYPERLINK("https://klasma.github.io/Logging_1907/tillsynsmail/A 10883-2023 tillsynsbegäran mail.docx", "A 10883-2023")</f>
        <v/>
      </c>
      <c r="AD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46223</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s="2" t="inlineStr">
        <is>
          <t>Fläcknycklar</t>
        </is>
      </c>
      <c r="V81">
        <f>HYPERLINK("https://klasma.github.io/Logging_1907/artfynd/A 24167-2024 artfynd.xlsx", "A 24167-2024")</f>
        <v/>
      </c>
      <c r="W81">
        <f>HYPERLINK("https://klasma.github.io/Logging_1907/kartor/A 24167-2024 karta.png", "A 24167-2024")</f>
        <v/>
      </c>
      <c r="X81">
        <f>HYPERLINK("https://klasma.github.io/Logging_1907/kartor_geotiff/A 24167-2024 georefererad karta.tif", "A 24167-2024")</f>
        <v/>
      </c>
      <c r="Z81">
        <f>HYPERLINK("https://klasma.github.io/Logging_1907/klagomål/A 24167-2024 FSC-klagomål.docx", "A 24167-2024")</f>
        <v/>
      </c>
      <c r="AA81">
        <f>HYPERLINK("https://klasma.github.io/Logging_1907/klagomålsmail/A 24167-2024 FSC-klagomål mail.docx", "A 24167-2024")</f>
        <v/>
      </c>
      <c r="AB81">
        <f>HYPERLINK("https://klasma.github.io/Logging_1907/tillsyn/A 24167-2024 tillsynsbegäran.docx", "A 24167-2024")</f>
        <v/>
      </c>
      <c r="AC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46223</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s="2" t="inlineStr">
        <is>
          <t>Mindre tåtelsmygare</t>
        </is>
      </c>
      <c r="V82">
        <f>HYPERLINK("https://klasma.github.io/Logging_1907/artfynd/A 37287-2023 artfynd.xlsx", "A 37287-2023")</f>
        <v/>
      </c>
      <c r="W82">
        <f>HYPERLINK("https://klasma.github.io/Logging_1907/kartor/A 37287-2023 karta.png", "A 37287-2023")</f>
        <v/>
      </c>
      <c r="X82">
        <f>HYPERLINK("https://klasma.github.io/Logging_1907/kartor_geotiff/A 37287-2023 georefererad karta.tif", "A 37287-2023")</f>
        <v/>
      </c>
      <c r="Z82">
        <f>HYPERLINK("https://klasma.github.io/Logging_1907/klagomål/A 37287-2023 FSC-klagomål.docx", "A 37287-2023")</f>
        <v/>
      </c>
      <c r="AA82">
        <f>HYPERLINK("https://klasma.github.io/Logging_1907/klagomålsmail/A 37287-2023 FSC-klagomål mail.docx", "A 37287-2023")</f>
        <v/>
      </c>
      <c r="AB82">
        <f>HYPERLINK("https://klasma.github.io/Logging_1907/tillsyn/A 37287-2023 tillsynsbegäran.docx", "A 37287-2023")</f>
        <v/>
      </c>
      <c r="AC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46223</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s="2" t="inlineStr">
        <is>
          <t>Revlummer</t>
        </is>
      </c>
      <c r="V83">
        <f>HYPERLINK("https://klasma.github.io/Logging_1907/artfynd/A 44356-2024 artfynd.xlsx", "A 44356-2024")</f>
        <v/>
      </c>
      <c r="W83">
        <f>HYPERLINK("https://klasma.github.io/Logging_1907/kartor/A 44356-2024 karta.png", "A 44356-2024")</f>
        <v/>
      </c>
      <c r="X83">
        <f>HYPERLINK("https://klasma.github.io/Logging_1907/kartor_geotiff/A 44356-2024 georefererad karta.tif", "A 44356-2024")</f>
        <v/>
      </c>
      <c r="Z83">
        <f>HYPERLINK("https://klasma.github.io/Logging_1907/klagomål/A 44356-2024 FSC-klagomål.docx", "A 44356-2024")</f>
        <v/>
      </c>
      <c r="AA83">
        <f>HYPERLINK("https://klasma.github.io/Logging_1907/klagomålsmail/A 44356-2024 FSC-klagomål mail.docx", "A 44356-2024")</f>
        <v/>
      </c>
      <c r="AB83">
        <f>HYPERLINK("https://klasma.github.io/Logging_1907/tillsyn/A 44356-2024 tillsynsbegäran.docx", "A 44356-2024")</f>
        <v/>
      </c>
      <c r="AC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46223</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s="2" t="inlineStr">
        <is>
          <t>Blodticka</t>
        </is>
      </c>
      <c r="V84">
        <f>HYPERLINK("https://klasma.github.io/Logging_1907/artfynd/A 17632-2022 artfynd.xlsx", "A 17632-2022")</f>
        <v/>
      </c>
      <c r="W84">
        <f>HYPERLINK("https://klasma.github.io/Logging_1907/kartor/A 17632-2022 karta.png", "A 17632-2022")</f>
        <v/>
      </c>
      <c r="X84">
        <f>HYPERLINK("https://klasma.github.io/Logging_1907/kartor_geotiff/A 17632-2022 georefererad karta.tif", "A 17632-2022")</f>
        <v/>
      </c>
      <c r="Z84">
        <f>HYPERLINK("https://klasma.github.io/Logging_1907/klagomål/A 17632-2022 FSC-klagomål.docx", "A 17632-2022")</f>
        <v/>
      </c>
      <c r="AA84">
        <f>HYPERLINK("https://klasma.github.io/Logging_1907/klagomålsmail/A 17632-2022 FSC-klagomål mail.docx", "A 17632-2022")</f>
        <v/>
      </c>
      <c r="AB84">
        <f>HYPERLINK("https://klasma.github.io/Logging_1907/tillsyn/A 17632-2022 tillsynsbegäran.docx", "A 17632-2022")</f>
        <v/>
      </c>
      <c r="AC84">
        <f>HYPERLINK("https://klasma.github.io/Logging_1907/tillsynsmail/A 17632-2022 tillsynsbegäran mail.docx", "A 17632-2022")</f>
        <v/>
      </c>
    </row>
    <row r="85" ht="15" customHeight="1">
      <c r="A85" t="inlineStr">
        <is>
          <t>A 64073-2021</t>
        </is>
      </c>
      <c r="B85" t="inlineStr">
        <is>
          <t>avverkningsanmälan</t>
        </is>
      </c>
      <c r="C85" t="inlineStr">
        <is>
          <t>Avverkning för annat ändamål</t>
        </is>
      </c>
      <c r="D85" s="1" t="n">
        <v>44509</v>
      </c>
      <c r="E85" s="1" t="n">
        <v>46223</v>
      </c>
      <c r="F85" t="inlineStr">
        <is>
          <t>VÄSTMANLANDS LÄN</t>
        </is>
      </c>
      <c r="G85" t="inlineStr">
        <is>
          <t>SURAHAMMAR</t>
        </is>
      </c>
      <c r="I85" t="n">
        <v>0.4</v>
      </c>
      <c r="J85" t="n">
        <v>0</v>
      </c>
      <c r="K85" t="n">
        <v>0</v>
      </c>
      <c r="L85" t="n">
        <v>0</v>
      </c>
      <c r="M85" t="n">
        <v>0</v>
      </c>
      <c r="N85" t="n">
        <v>0</v>
      </c>
      <c r="O85" t="n">
        <v>0</v>
      </c>
      <c r="P85" t="n">
        <v>0</v>
      </c>
      <c r="Q85" t="n">
        <v>0</v>
      </c>
      <c r="R85" t="n">
        <v>0</v>
      </c>
      <c r="S85" t="n">
        <v>0</v>
      </c>
      <c r="T85" t="n">
        <v>0</v>
      </c>
      <c r="U85" s="2" t="inlineStr"/>
    </row>
    <row r="86" ht="15" customHeight="1">
      <c r="A86" t="inlineStr">
        <is>
          <t>A 19845-2022</t>
        </is>
      </c>
      <c r="B86" t="inlineStr">
        <is>
          <t>avverkningsanmälan</t>
        </is>
      </c>
      <c r="C86" t="inlineStr">
        <is>
          <t>Föryngringsavverkning</t>
        </is>
      </c>
      <c r="D86" s="1" t="n">
        <v>44696</v>
      </c>
      <c r="E86" s="1" t="n">
        <v>46223</v>
      </c>
      <c r="F86" t="inlineStr">
        <is>
          <t>VÄSTMANLANDS LÄN</t>
        </is>
      </c>
      <c r="G86" t="inlineStr">
        <is>
          <t>SURAHAMMAR</t>
        </is>
      </c>
      <c r="H86" t="inlineStr">
        <is>
          <t>Kommuner</t>
        </is>
      </c>
      <c r="I86" t="n">
        <v>3.3</v>
      </c>
      <c r="J86" t="n">
        <v>0</v>
      </c>
      <c r="K86" t="n">
        <v>0</v>
      </c>
      <c r="L86" t="n">
        <v>0</v>
      </c>
      <c r="M86" t="n">
        <v>0</v>
      </c>
      <c r="N86" t="n">
        <v>0</v>
      </c>
      <c r="O86" t="n">
        <v>0</v>
      </c>
      <c r="P86" t="n">
        <v>0</v>
      </c>
      <c r="Q86" t="n">
        <v>0</v>
      </c>
      <c r="R86" t="n">
        <v>0</v>
      </c>
      <c r="S86" t="n">
        <v>0</v>
      </c>
      <c r="T86" t="n">
        <v>0</v>
      </c>
      <c r="U86" s="2" t="inlineStr"/>
    </row>
    <row r="87" ht="15" customHeight="1">
      <c r="A87" t="inlineStr">
        <is>
          <t>A 32491-2022</t>
        </is>
      </c>
      <c r="B87" t="inlineStr">
        <is>
          <t>avverkningsanmälan</t>
        </is>
      </c>
      <c r="C87" t="inlineStr">
        <is>
          <t>Föryngringsavverkning</t>
        </is>
      </c>
      <c r="D87" s="1" t="n">
        <v>44782</v>
      </c>
      <c r="E87" s="1" t="n">
        <v>46223</v>
      </c>
      <c r="F87" t="inlineStr">
        <is>
          <t>VÄSTMANLANDS LÄN</t>
        </is>
      </c>
      <c r="G87" t="inlineStr">
        <is>
          <t>SURAHAMMAR</t>
        </is>
      </c>
      <c r="H87" t="inlineStr">
        <is>
          <t>Bergvik skog väst AB</t>
        </is>
      </c>
      <c r="I87" t="n">
        <v>1.5</v>
      </c>
      <c r="J87" t="n">
        <v>0</v>
      </c>
      <c r="K87" t="n">
        <v>0</v>
      </c>
      <c r="L87" t="n">
        <v>0</v>
      </c>
      <c r="M87" t="n">
        <v>0</v>
      </c>
      <c r="N87" t="n">
        <v>0</v>
      </c>
      <c r="O87" t="n">
        <v>0</v>
      </c>
      <c r="P87" t="n">
        <v>0</v>
      </c>
      <c r="Q87" t="n">
        <v>0</v>
      </c>
      <c r="R87" t="n">
        <v>0</v>
      </c>
      <c r="S87" t="n">
        <v>0</v>
      </c>
      <c r="T87" t="n">
        <v>0</v>
      </c>
      <c r="U87" s="2" t="inlineStr"/>
    </row>
    <row r="88" ht="15" customHeight="1">
      <c r="A88" t="inlineStr">
        <is>
          <t>A 37799-2021</t>
        </is>
      </c>
      <c r="B88" t="inlineStr">
        <is>
          <t>avverkningsanmälan</t>
        </is>
      </c>
      <c r="C88" t="inlineStr">
        <is>
          <t>Föryngringsavverkning</t>
        </is>
      </c>
      <c r="D88" s="1" t="n">
        <v>44402</v>
      </c>
      <c r="E88" s="1" t="n">
        <v>46223</v>
      </c>
      <c r="F88" t="inlineStr">
        <is>
          <t>VÄSTMANLANDS LÄN</t>
        </is>
      </c>
      <c r="G88" t="inlineStr">
        <is>
          <t>SURAHAMMAR</t>
        </is>
      </c>
      <c r="H88" t="inlineStr">
        <is>
          <t>Kommuner</t>
        </is>
      </c>
      <c r="I88" t="n">
        <v>2.1</v>
      </c>
      <c r="J88" t="n">
        <v>0</v>
      </c>
      <c r="K88" t="n">
        <v>0</v>
      </c>
      <c r="L88" t="n">
        <v>0</v>
      </c>
      <c r="M88" t="n">
        <v>0</v>
      </c>
      <c r="N88" t="n">
        <v>0</v>
      </c>
      <c r="O88" t="n">
        <v>0</v>
      </c>
      <c r="P88" t="n">
        <v>0</v>
      </c>
      <c r="Q88" t="n">
        <v>0</v>
      </c>
      <c r="R88" t="n">
        <v>0</v>
      </c>
      <c r="S88" t="n">
        <v>0</v>
      </c>
      <c r="T88" t="n">
        <v>0</v>
      </c>
      <c r="U88" s="2" t="inlineStr"/>
    </row>
    <row r="89" ht="15" customHeight="1">
      <c r="A89" t="inlineStr">
        <is>
          <t>A 73156-2021</t>
        </is>
      </c>
      <c r="B89" t="inlineStr">
        <is>
          <t>avverkningsanmälan</t>
        </is>
      </c>
      <c r="C89" t="inlineStr">
        <is>
          <t>Föryngringsavverkning</t>
        </is>
      </c>
      <c r="D89" s="1" t="n">
        <v>44550</v>
      </c>
      <c r="E89" s="1" t="n">
        <v>46223</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s="2" t="inlineStr"/>
    </row>
    <row r="90" ht="15" customHeight="1">
      <c r="A90" t="inlineStr">
        <is>
          <t>A 3595-2022</t>
        </is>
      </c>
      <c r="B90" t="inlineStr">
        <is>
          <t>avverkningsanmälan</t>
        </is>
      </c>
      <c r="C90" t="inlineStr">
        <is>
          <t>Avverkning för att bevara och utveckla /försöksver</t>
        </is>
      </c>
      <c r="D90" s="1" t="n">
        <v>44586</v>
      </c>
      <c r="E90" s="1" t="n">
        <v>46223</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s="2" t="inlineStr"/>
    </row>
    <row r="91" ht="15" customHeight="1">
      <c r="A91" t="inlineStr">
        <is>
          <t>A 3155-2022</t>
        </is>
      </c>
      <c r="B91" t="inlineStr">
        <is>
          <t>avverkningsanmälan</t>
        </is>
      </c>
      <c r="C91" t="inlineStr">
        <is>
          <t>Föryngringsavverkning</t>
        </is>
      </c>
      <c r="D91" s="1" t="n">
        <v>44582</v>
      </c>
      <c r="E91" s="1" t="n">
        <v>46223</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s="2" t="inlineStr"/>
    </row>
    <row r="92" ht="15" customHeight="1">
      <c r="A92" t="inlineStr">
        <is>
          <t>A 19637-2022</t>
        </is>
      </c>
      <c r="B92" t="inlineStr">
        <is>
          <t>avverkningsanmälan</t>
        </is>
      </c>
      <c r="C92" t="inlineStr">
        <is>
          <t>Avverkning för annat ändamål</t>
        </is>
      </c>
      <c r="D92" s="1" t="n">
        <v>44694</v>
      </c>
      <c r="E92" s="1" t="n">
        <v>46223</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s="2" t="inlineStr"/>
    </row>
    <row r="93" ht="15" customHeight="1">
      <c r="A93" t="inlineStr">
        <is>
          <t>A 66342-2021</t>
        </is>
      </c>
      <c r="B93" t="inlineStr">
        <is>
          <t>avverkningsanmälan</t>
        </is>
      </c>
      <c r="C93" t="inlineStr">
        <is>
          <t>Föryngringsavverkning</t>
        </is>
      </c>
      <c r="D93" s="1" t="n">
        <v>44518</v>
      </c>
      <c r="E93" s="1" t="n">
        <v>46223</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34957-2022</t>
        </is>
      </c>
      <c r="B94" t="inlineStr">
        <is>
          <t>avverkningsanmälan</t>
        </is>
      </c>
      <c r="C94" t="inlineStr">
        <is>
          <t>Föryngringsavverkning</t>
        </is>
      </c>
      <c r="D94" s="1" t="n">
        <v>44796</v>
      </c>
      <c r="E94" s="1" t="n">
        <v>46223</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21509-2024</t>
        </is>
      </c>
      <c r="B95" t="inlineStr">
        <is>
          <t>avverkningsanmälan</t>
        </is>
      </c>
      <c r="C95" t="inlineStr">
        <is>
          <t>Föryngringsavverkning</t>
        </is>
      </c>
      <c r="D95" s="1" t="n">
        <v>45441</v>
      </c>
      <c r="E95" s="1" t="n">
        <v>46223</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s="2" t="inlineStr"/>
    </row>
    <row r="96" ht="15" customHeight="1">
      <c r="A96" t="inlineStr">
        <is>
          <t>A 42832-2022</t>
        </is>
      </c>
      <c r="B96" t="inlineStr">
        <is>
          <t>avverkningsanmälan</t>
        </is>
      </c>
      <c r="C96" t="inlineStr">
        <is>
          <t>Avverkning för annat ändamål</t>
        </is>
      </c>
      <c r="D96" s="1" t="n">
        <v>44832</v>
      </c>
      <c r="E96" s="1" t="n">
        <v>46223</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s="2" t="inlineStr"/>
    </row>
    <row r="97" ht="15" customHeight="1">
      <c r="A97" t="inlineStr">
        <is>
          <t>A 42841-2022</t>
        </is>
      </c>
      <c r="B97" t="inlineStr">
        <is>
          <t>avverkningsanmälan</t>
        </is>
      </c>
      <c r="C97" t="inlineStr">
        <is>
          <t>Avverkning för annat ändamål</t>
        </is>
      </c>
      <c r="D97" s="1" t="n">
        <v>44832</v>
      </c>
      <c r="E97" s="1" t="n">
        <v>46223</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s="2" t="inlineStr"/>
    </row>
    <row r="98" ht="15" customHeight="1">
      <c r="A98" t="inlineStr">
        <is>
          <t>A 24158-2023</t>
        </is>
      </c>
      <c r="B98" t="inlineStr">
        <is>
          <t>avverkningsanmälan</t>
        </is>
      </c>
      <c r="C98" t="inlineStr">
        <is>
          <t>Föryngringsavverkning</t>
        </is>
      </c>
      <c r="D98" s="1" t="n">
        <v>45079</v>
      </c>
      <c r="E98" s="1" t="n">
        <v>46223</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39099-2022</t>
        </is>
      </c>
      <c r="B99" t="inlineStr">
        <is>
          <t>avverkningsanmälan</t>
        </is>
      </c>
      <c r="C99" t="inlineStr">
        <is>
          <t>Föryngringsavverkning</t>
        </is>
      </c>
      <c r="D99" s="1" t="n">
        <v>44817</v>
      </c>
      <c r="E99" s="1" t="n">
        <v>46223</v>
      </c>
      <c r="F99" t="inlineStr">
        <is>
          <t>VÄSTMANLANDS LÄN</t>
        </is>
      </c>
      <c r="G99" t="inlineStr">
        <is>
          <t>SURAHAMMAR</t>
        </is>
      </c>
      <c r="H99" t="inlineStr">
        <is>
          <t>Bergvik skog väst AB</t>
        </is>
      </c>
      <c r="I99" t="n">
        <v>7.4</v>
      </c>
      <c r="J99" t="n">
        <v>0</v>
      </c>
      <c r="K99" t="n">
        <v>0</v>
      </c>
      <c r="L99" t="n">
        <v>0</v>
      </c>
      <c r="M99" t="n">
        <v>0</v>
      </c>
      <c r="N99" t="n">
        <v>0</v>
      </c>
      <c r="O99" t="n">
        <v>0</v>
      </c>
      <c r="P99" t="n">
        <v>0</v>
      </c>
      <c r="Q99" t="n">
        <v>0</v>
      </c>
      <c r="R99" t="n">
        <v>0</v>
      </c>
      <c r="S99" t="n">
        <v>0</v>
      </c>
      <c r="T99" t="n">
        <v>0</v>
      </c>
      <c r="U99" s="2" t="inlineStr"/>
    </row>
    <row r="100" ht="15" customHeight="1">
      <c r="A100" t="inlineStr">
        <is>
          <t>A 3818-2022</t>
        </is>
      </c>
      <c r="B100" t="inlineStr">
        <is>
          <t>avverkningsanmälan</t>
        </is>
      </c>
      <c r="C100" t="inlineStr">
        <is>
          <t>Föryngringsavverkning</t>
        </is>
      </c>
      <c r="D100" s="1" t="n">
        <v>44587</v>
      </c>
      <c r="E100" s="1" t="n">
        <v>46223</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s="2" t="inlineStr"/>
    </row>
    <row r="101" ht="15" customHeight="1">
      <c r="A101" t="inlineStr">
        <is>
          <t>A 4724-2026</t>
        </is>
      </c>
      <c r="B101" t="inlineStr">
        <is>
          <t>avverkningsanmälan</t>
        </is>
      </c>
      <c r="C101" t="inlineStr">
        <is>
          <t>Föryngringsavverkning</t>
        </is>
      </c>
      <c r="D101" s="1" t="n">
        <v>46048</v>
      </c>
      <c r="E101" s="1" t="n">
        <v>46223</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4734-2026</t>
        </is>
      </c>
      <c r="B102" t="inlineStr">
        <is>
          <t>avverkningsanmälan</t>
        </is>
      </c>
      <c r="C102" t="inlineStr">
        <is>
          <t>Föryngringsavverkning</t>
        </is>
      </c>
      <c r="D102" s="1" t="n">
        <v>46048</v>
      </c>
      <c r="E102" s="1" t="n">
        <v>46223</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19782-2023</t>
        </is>
      </c>
      <c r="B103" t="inlineStr">
        <is>
          <t>avverkningsanmälan</t>
        </is>
      </c>
      <c r="C103" t="inlineStr">
        <is>
          <t>Föryngringsavverkning</t>
        </is>
      </c>
      <c r="D103" s="1" t="n">
        <v>45050</v>
      </c>
      <c r="E103" s="1" t="n">
        <v>46223</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s="2" t="inlineStr"/>
    </row>
    <row r="104" ht="15" customHeight="1">
      <c r="A104" t="inlineStr">
        <is>
          <t>A 14626-2023</t>
        </is>
      </c>
      <c r="B104" t="inlineStr">
        <is>
          <t>avverkningsanmälan</t>
        </is>
      </c>
      <c r="C104" t="inlineStr">
        <is>
          <t>Föryngringsavverkning</t>
        </is>
      </c>
      <c r="D104" s="1" t="n">
        <v>45012</v>
      </c>
      <c r="E104" s="1" t="n">
        <v>46223</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s="2" t="inlineStr"/>
    </row>
    <row r="105" ht="15" customHeight="1">
      <c r="A105" t="inlineStr">
        <is>
          <t>A 56378-2023</t>
        </is>
      </c>
      <c r="B105" t="inlineStr">
        <is>
          <t>avverkningsanmälan</t>
        </is>
      </c>
      <c r="C105" t="inlineStr">
        <is>
          <t>Föryngringsavverkning</t>
        </is>
      </c>
      <c r="D105" s="1" t="n">
        <v>45236</v>
      </c>
      <c r="E105" s="1" t="n">
        <v>46223</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s="2" t="inlineStr"/>
    </row>
    <row r="106" ht="15" customHeight="1">
      <c r="A106" t="inlineStr">
        <is>
          <t>A 11728-2023</t>
        </is>
      </c>
      <c r="B106" t="inlineStr">
        <is>
          <t>avverkningsanmälan</t>
        </is>
      </c>
      <c r="C106" t="inlineStr">
        <is>
          <t>Avverkning för att bevara och utveckla /försöksver</t>
        </is>
      </c>
      <c r="D106" s="1" t="n">
        <v>44993</v>
      </c>
      <c r="E106" s="1" t="n">
        <v>46223</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20904-2023</t>
        </is>
      </c>
      <c r="B107" t="inlineStr">
        <is>
          <t>avverkningsanmälan</t>
        </is>
      </c>
      <c r="C107" t="inlineStr">
        <is>
          <t>Avverkning för att bevara och utveckla /försöksver</t>
        </is>
      </c>
      <c r="D107" s="1" t="n">
        <v>45060</v>
      </c>
      <c r="E107" s="1" t="n">
        <v>46223</v>
      </c>
      <c r="F107" t="inlineStr">
        <is>
          <t>VÄSTMANLANDS LÄN</t>
        </is>
      </c>
      <c r="G107" t="inlineStr">
        <is>
          <t>SURAHAMMAR</t>
        </is>
      </c>
      <c r="H107" t="inlineStr">
        <is>
          <t>Sveaskog</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42829-2022</t>
        </is>
      </c>
      <c r="B108" t="inlineStr">
        <is>
          <t>avverkningsanmälan</t>
        </is>
      </c>
      <c r="C108" t="inlineStr">
        <is>
          <t>Avverkning för annat ändamål</t>
        </is>
      </c>
      <c r="D108" s="1" t="n">
        <v>44832</v>
      </c>
      <c r="E108" s="1" t="n">
        <v>46223</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37954-2025</t>
        </is>
      </c>
      <c r="B109" t="inlineStr">
        <is>
          <t>avverkningsanmälan</t>
        </is>
      </c>
      <c r="C109" t="inlineStr">
        <is>
          <t>Föryngringsavverkning</t>
        </is>
      </c>
      <c r="D109" s="1" t="n">
        <v>45881</v>
      </c>
      <c r="E109" s="1" t="n">
        <v>46223</v>
      </c>
      <c r="F109" t="inlineStr">
        <is>
          <t>VÄSTMANLANDS LÄN</t>
        </is>
      </c>
      <c r="G109" t="inlineStr">
        <is>
          <t>SURAHAMMAR</t>
        </is>
      </c>
      <c r="I109" t="n">
        <v>9.5</v>
      </c>
      <c r="J109" t="n">
        <v>0</v>
      </c>
      <c r="K109" t="n">
        <v>0</v>
      </c>
      <c r="L109" t="n">
        <v>0</v>
      </c>
      <c r="M109" t="n">
        <v>0</v>
      </c>
      <c r="N109" t="n">
        <v>0</v>
      </c>
      <c r="O109" t="n">
        <v>0</v>
      </c>
      <c r="P109" t="n">
        <v>0</v>
      </c>
      <c r="Q109" t="n">
        <v>0</v>
      </c>
      <c r="R109" t="n">
        <v>0</v>
      </c>
      <c r="S109" t="n">
        <v>0</v>
      </c>
      <c r="T109" t="n">
        <v>0</v>
      </c>
      <c r="U109" s="2" t="inlineStr"/>
    </row>
    <row r="110" ht="15" customHeight="1">
      <c r="A110" t="inlineStr">
        <is>
          <t>A 37798-2021</t>
        </is>
      </c>
      <c r="B110" t="inlineStr">
        <is>
          <t>avverkningsanmälan</t>
        </is>
      </c>
      <c r="C110" t="inlineStr">
        <is>
          <t>Föryngringsavverkning</t>
        </is>
      </c>
      <c r="D110" s="1" t="n">
        <v>44402</v>
      </c>
      <c r="E110" s="1" t="n">
        <v>46223</v>
      </c>
      <c r="F110" t="inlineStr">
        <is>
          <t>VÄSTMANLANDS LÄN</t>
        </is>
      </c>
      <c r="G110" t="inlineStr">
        <is>
          <t>SURAHAMMAR</t>
        </is>
      </c>
      <c r="H110" t="inlineStr">
        <is>
          <t>Kommuner</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10244-2026</t>
        </is>
      </c>
      <c r="B111" t="inlineStr">
        <is>
          <t>avverkningsanmälan</t>
        </is>
      </c>
      <c r="C111" t="inlineStr">
        <is>
          <t>Föryngringsavverkning</t>
        </is>
      </c>
      <c r="D111" s="1" t="n">
        <v>46076</v>
      </c>
      <c r="E111" s="1" t="n">
        <v>46223</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10249-2026</t>
        </is>
      </c>
      <c r="B112" t="inlineStr">
        <is>
          <t>avverkningsanmälan</t>
        </is>
      </c>
      <c r="C112" t="inlineStr">
        <is>
          <t>Föryngringsavverkning</t>
        </is>
      </c>
      <c r="D112" s="1" t="n">
        <v>46076</v>
      </c>
      <c r="E112" s="1" t="n">
        <v>46223</v>
      </c>
      <c r="F112" t="inlineStr">
        <is>
          <t>VÄSTMANLANDS LÄN</t>
        </is>
      </c>
      <c r="G112" t="inlineStr">
        <is>
          <t>SURAHAMMAR</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s="2" t="inlineStr"/>
    </row>
    <row r="113" ht="15" customHeight="1">
      <c r="A113" t="inlineStr">
        <is>
          <t>A 10562-2026</t>
        </is>
      </c>
      <c r="B113" t="inlineStr">
        <is>
          <t>avverkningsanmälan</t>
        </is>
      </c>
      <c r="C113" t="inlineStr">
        <is>
          <t>Föryngringsavverkning</t>
        </is>
      </c>
      <c r="D113" s="1" t="n">
        <v>46077</v>
      </c>
      <c r="E113" s="1" t="n">
        <v>46223</v>
      </c>
      <c r="F113" t="inlineStr">
        <is>
          <t>VÄSTMANLANDS LÄN</t>
        </is>
      </c>
      <c r="G113" t="inlineStr">
        <is>
          <t>SURAHAMMAR</t>
        </is>
      </c>
      <c r="H113" t="inlineStr">
        <is>
          <t>Övriga Aktiebolag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48205-2023</t>
        </is>
      </c>
      <c r="B114" t="inlineStr">
        <is>
          <t>avverkningsanmälan</t>
        </is>
      </c>
      <c r="C114" t="inlineStr">
        <is>
          <t>Föryngringsavverkning</t>
        </is>
      </c>
      <c r="D114" s="1" t="n">
        <v>45205</v>
      </c>
      <c r="E114" s="1" t="n">
        <v>46223</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s="2" t="inlineStr"/>
    </row>
    <row r="115" ht="15" customHeight="1">
      <c r="A115" t="inlineStr">
        <is>
          <t>A 55873-2025</t>
        </is>
      </c>
      <c r="B115" t="inlineStr">
        <is>
          <t>avverkningsanmälan</t>
        </is>
      </c>
      <c r="C115" t="inlineStr">
        <is>
          <t>Föryngringsavverkning</t>
        </is>
      </c>
      <c r="D115" s="1" t="n">
        <v>45973</v>
      </c>
      <c r="E115" s="1" t="n">
        <v>46223</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33931-2022</t>
        </is>
      </c>
      <c r="B116" t="inlineStr">
        <is>
          <t>avverkningsanmälan</t>
        </is>
      </c>
      <c r="C116" t="inlineStr">
        <is>
          <t>Föryngringsavverkning</t>
        </is>
      </c>
      <c r="D116" s="1" t="n">
        <v>44790</v>
      </c>
      <c r="E116" s="1" t="n">
        <v>46223</v>
      </c>
      <c r="F116" t="inlineStr">
        <is>
          <t>VÄSTMANLANDS LÄN</t>
        </is>
      </c>
      <c r="G116" t="inlineStr">
        <is>
          <t>SURAHAMMAR</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10347-2026</t>
        </is>
      </c>
      <c r="B117" t="inlineStr">
        <is>
          <t>avverkningsanmälan</t>
        </is>
      </c>
      <c r="C117" t="inlineStr">
        <is>
          <t>Föryngringsavverkning</t>
        </is>
      </c>
      <c r="D117" s="1" t="n">
        <v>46076</v>
      </c>
      <c r="E117" s="1" t="n">
        <v>46223</v>
      </c>
      <c r="F117" t="inlineStr">
        <is>
          <t>VÄSTMANLANDS LÄN</t>
        </is>
      </c>
      <c r="G117" t="inlineStr">
        <is>
          <t>SURAHAMMAR</t>
        </is>
      </c>
      <c r="H117" t="inlineStr">
        <is>
          <t>Allmännings- och besparingsskogar</t>
        </is>
      </c>
      <c r="I117" t="n">
        <v>3</v>
      </c>
      <c r="J117" t="n">
        <v>0</v>
      </c>
      <c r="K117" t="n">
        <v>0</v>
      </c>
      <c r="L117" t="n">
        <v>0</v>
      </c>
      <c r="M117" t="n">
        <v>0</v>
      </c>
      <c r="N117" t="n">
        <v>0</v>
      </c>
      <c r="O117" t="n">
        <v>0</v>
      </c>
      <c r="P117" t="n">
        <v>0</v>
      </c>
      <c r="Q117" t="n">
        <v>0</v>
      </c>
      <c r="R117" t="n">
        <v>0</v>
      </c>
      <c r="S117" t="n">
        <v>0</v>
      </c>
      <c r="T117" t="n">
        <v>0</v>
      </c>
      <c r="U117" s="2" t="inlineStr"/>
    </row>
    <row r="118" ht="15" customHeight="1">
      <c r="A118" t="inlineStr">
        <is>
          <t>A 22662-2023</t>
        </is>
      </c>
      <c r="B118" t="inlineStr">
        <is>
          <t>avverkningsanmälan</t>
        </is>
      </c>
      <c r="C118" t="inlineStr">
        <is>
          <t>Avverkning för att bevara och utveckla /försöksver</t>
        </is>
      </c>
      <c r="D118" s="1" t="n">
        <v>45071</v>
      </c>
      <c r="E118" s="1" t="n">
        <v>46223</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12841-2026</t>
        </is>
      </c>
      <c r="B119" t="inlineStr">
        <is>
          <t>avverkningsanmälan</t>
        </is>
      </c>
      <c r="C119" t="inlineStr">
        <is>
          <t>Föryngringsavverkning</t>
        </is>
      </c>
      <c r="D119" s="1" t="n">
        <v>46091</v>
      </c>
      <c r="E119" s="1" t="n">
        <v>46223</v>
      </c>
      <c r="F119" t="inlineStr">
        <is>
          <t>VÄSTMANLANDS LÄN</t>
        </is>
      </c>
      <c r="G119" t="inlineStr">
        <is>
          <t>SURAHAMMAR</t>
        </is>
      </c>
      <c r="H119" t="inlineStr">
        <is>
          <t>Bergvik skog väst AB</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25450-2024</t>
        </is>
      </c>
      <c r="B120" t="inlineStr">
        <is>
          <t>avverkningsanmälan</t>
        </is>
      </c>
      <c r="C120" t="inlineStr">
        <is>
          <t>Föryngringsavverkning</t>
        </is>
      </c>
      <c r="D120" s="1" t="n">
        <v>45463</v>
      </c>
      <c r="E120" s="1" t="n">
        <v>46223</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s="2" t="inlineStr"/>
    </row>
    <row r="121" ht="15" customHeight="1">
      <c r="A121" t="inlineStr">
        <is>
          <t>A 24665-2023</t>
        </is>
      </c>
      <c r="B121" t="inlineStr">
        <is>
          <t>avverkningsanmälan</t>
        </is>
      </c>
      <c r="C121" t="inlineStr">
        <is>
          <t>Föryngringsavverkning</t>
        </is>
      </c>
      <c r="D121" s="1" t="n">
        <v>45084</v>
      </c>
      <c r="E121" s="1" t="n">
        <v>46223</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19246-2026</t>
        </is>
      </c>
      <c r="B122" t="inlineStr">
        <is>
          <t>avverkningsanmälan</t>
        </is>
      </c>
      <c r="C122" t="inlineStr">
        <is>
          <t>Avverkning för annat ändamål</t>
        </is>
      </c>
      <c r="D122" s="1" t="n">
        <v>46132</v>
      </c>
      <c r="E122" s="1" t="n">
        <v>46223</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72367-2021</t>
        </is>
      </c>
      <c r="B123" t="inlineStr">
        <is>
          <t>avverkningsanmälan</t>
        </is>
      </c>
      <c r="C123" t="inlineStr">
        <is>
          <t>Föryngringsavverkning</t>
        </is>
      </c>
      <c r="D123" s="1" t="n">
        <v>44545</v>
      </c>
      <c r="E123" s="1" t="n">
        <v>46223</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42714-2022</t>
        </is>
      </c>
      <c r="B124" t="inlineStr">
        <is>
          <t>avverkningsanmälan</t>
        </is>
      </c>
      <c r="C124" t="inlineStr">
        <is>
          <t>Föryngringsavverkning</t>
        </is>
      </c>
      <c r="D124" s="1" t="n">
        <v>44832</v>
      </c>
      <c r="E124" s="1" t="n">
        <v>46223</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19099-2022</t>
        </is>
      </c>
      <c r="B125" t="inlineStr">
        <is>
          <t>avverkningsanmälan</t>
        </is>
      </c>
      <c r="C125" t="inlineStr">
        <is>
          <t>Föryngringsavverkning</t>
        </is>
      </c>
      <c r="D125" s="1" t="n">
        <v>44691</v>
      </c>
      <c r="E125" s="1" t="n">
        <v>46223</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s="2" t="inlineStr"/>
    </row>
    <row r="126" ht="15" customHeight="1">
      <c r="A126" t="inlineStr">
        <is>
          <t>A 25780-2023</t>
        </is>
      </c>
      <c r="B126" t="inlineStr">
        <is>
          <t>avverkningsanmälan</t>
        </is>
      </c>
      <c r="C126" t="inlineStr">
        <is>
          <t>Föryngringsavverkning</t>
        </is>
      </c>
      <c r="D126" s="1" t="n">
        <v>45090</v>
      </c>
      <c r="E126" s="1" t="n">
        <v>46223</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s="2" t="inlineStr"/>
    </row>
    <row r="127" ht="15" customHeight="1">
      <c r="A127" t="inlineStr">
        <is>
          <t>A 32808-2024</t>
        </is>
      </c>
      <c r="B127" t="inlineStr">
        <is>
          <t>avverkningsanmälan</t>
        </is>
      </c>
      <c r="C127" t="inlineStr">
        <is>
          <t>Föryngringsavverkning</t>
        </is>
      </c>
      <c r="D127" s="1" t="n">
        <v>45516</v>
      </c>
      <c r="E127" s="1" t="n">
        <v>46223</v>
      </c>
      <c r="F127" t="inlineStr">
        <is>
          <t>VÄSTMANLANDS LÄN</t>
        </is>
      </c>
      <c r="G127" t="inlineStr">
        <is>
          <t>SURAHAMMAR</t>
        </is>
      </c>
      <c r="H127" t="inlineStr">
        <is>
          <t>Övriga Aktiebolag</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20535-2026</t>
        </is>
      </c>
      <c r="B128" t="inlineStr">
        <is>
          <t>avverkningsanmälan</t>
        </is>
      </c>
      <c r="C128" t="inlineStr">
        <is>
          <t>Avverkning för annat ändamål</t>
        </is>
      </c>
      <c r="D128" s="1" t="n">
        <v>46140</v>
      </c>
      <c r="E128" s="1" t="n">
        <v>46223</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35682-2022</t>
        </is>
      </c>
      <c r="B129" t="inlineStr">
        <is>
          <t>avverkningsanmälan</t>
        </is>
      </c>
      <c r="C129" t="inlineStr">
        <is>
          <t>Föryngringsavverkning</t>
        </is>
      </c>
      <c r="D129" s="1" t="n">
        <v>44799</v>
      </c>
      <c r="E129" s="1" t="n">
        <v>46223</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49058-2024</t>
        </is>
      </c>
      <c r="B130" t="inlineStr">
        <is>
          <t>avverkningsanmälan</t>
        </is>
      </c>
      <c r="C130" t="inlineStr">
        <is>
          <t>Föryngringsavverkning</t>
        </is>
      </c>
      <c r="D130" s="1" t="n">
        <v>45594</v>
      </c>
      <c r="E130" s="1" t="n">
        <v>46223</v>
      </c>
      <c r="F130" t="inlineStr">
        <is>
          <t>VÄSTMANLANDS LÄN</t>
        </is>
      </c>
      <c r="G130" t="inlineStr">
        <is>
          <t>SURAHAMMAR</t>
        </is>
      </c>
      <c r="H130" t="inlineStr">
        <is>
          <t>Sveaskog</t>
        </is>
      </c>
      <c r="I130" t="n">
        <v>11.4</v>
      </c>
      <c r="J130" t="n">
        <v>0</v>
      </c>
      <c r="K130" t="n">
        <v>0</v>
      </c>
      <c r="L130" t="n">
        <v>0</v>
      </c>
      <c r="M130" t="n">
        <v>0</v>
      </c>
      <c r="N130" t="n">
        <v>0</v>
      </c>
      <c r="O130" t="n">
        <v>0</v>
      </c>
      <c r="P130" t="n">
        <v>0</v>
      </c>
      <c r="Q130" t="n">
        <v>0</v>
      </c>
      <c r="R130" t="n">
        <v>0</v>
      </c>
      <c r="S130" t="n">
        <v>0</v>
      </c>
      <c r="T130" t="n">
        <v>0</v>
      </c>
      <c r="U130" s="2" t="inlineStr"/>
    </row>
    <row r="131" ht="15" customHeight="1">
      <c r="A131" t="inlineStr">
        <is>
          <t>A 2867-2024</t>
        </is>
      </c>
      <c r="B131" t="inlineStr">
        <is>
          <t>avverkningsanmälan</t>
        </is>
      </c>
      <c r="C131" t="inlineStr">
        <is>
          <t>Föryngringsavverkning</t>
        </is>
      </c>
      <c r="D131" s="1" t="n">
        <v>45315</v>
      </c>
      <c r="E131" s="1" t="n">
        <v>46223</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2660-2024</t>
        </is>
      </c>
      <c r="B132" t="inlineStr">
        <is>
          <t>avverkningsanmälan</t>
        </is>
      </c>
      <c r="C132" t="inlineStr">
        <is>
          <t>Föryngringsavverkning</t>
        </is>
      </c>
      <c r="D132" s="1" t="n">
        <v>45310</v>
      </c>
      <c r="E132" s="1" t="n">
        <v>46223</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5567-2022</t>
        </is>
      </c>
      <c r="B133" t="inlineStr">
        <is>
          <t>avverkningsanmälan</t>
        </is>
      </c>
      <c r="C133" t="inlineStr">
        <is>
          <t>Föryngringsavverkning</t>
        </is>
      </c>
      <c r="D133" s="1" t="n">
        <v>44595</v>
      </c>
      <c r="E133" s="1" t="n">
        <v>46223</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22628-2026</t>
        </is>
      </c>
      <c r="B134" t="inlineStr">
        <is>
          <t>avverkningsanmälan</t>
        </is>
      </c>
      <c r="C134" t="inlineStr">
        <is>
          <t>Föryngringsavverkning</t>
        </is>
      </c>
      <c r="D134" s="1" t="n">
        <v>46155</v>
      </c>
      <c r="E134" s="1" t="n">
        <v>46223</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22630-2026</t>
        </is>
      </c>
      <c r="B135" t="inlineStr">
        <is>
          <t>avverkningsanmälan</t>
        </is>
      </c>
      <c r="C135" t="inlineStr">
        <is>
          <t>Föryngringsavverkning</t>
        </is>
      </c>
      <c r="D135" s="1" t="n">
        <v>46155</v>
      </c>
      <c r="E135" s="1" t="n">
        <v>46223</v>
      </c>
      <c r="F135" t="inlineStr">
        <is>
          <t>VÄSTMANLANDS LÄN</t>
        </is>
      </c>
      <c r="G135" t="inlineStr">
        <is>
          <t>SURAHAMMAR</t>
        </is>
      </c>
      <c r="H135" t="inlineStr">
        <is>
          <t>Sveaskog</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22626-2026</t>
        </is>
      </c>
      <c r="B136" t="inlineStr">
        <is>
          <t>avverkningsanmälan</t>
        </is>
      </c>
      <c r="C136" t="inlineStr">
        <is>
          <t>Föryngringsavverkning</t>
        </is>
      </c>
      <c r="D136" s="1" t="n">
        <v>46155</v>
      </c>
      <c r="E136" s="1" t="n">
        <v>46223</v>
      </c>
      <c r="F136" t="inlineStr">
        <is>
          <t>VÄSTMANLANDS LÄN</t>
        </is>
      </c>
      <c r="G136" t="inlineStr">
        <is>
          <t>SURAHAMMAR</t>
        </is>
      </c>
      <c r="H136" t="inlineStr">
        <is>
          <t>Sveaskog</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3085-2023</t>
        </is>
      </c>
      <c r="B137" t="inlineStr">
        <is>
          <t>avverkningsanmälan</t>
        </is>
      </c>
      <c r="C137" t="inlineStr">
        <is>
          <t>Föryngringsavverkning</t>
        </is>
      </c>
      <c r="D137" s="1" t="n">
        <v>44946</v>
      </c>
      <c r="E137" s="1" t="n">
        <v>46223</v>
      </c>
      <c r="F137" t="inlineStr">
        <is>
          <t>VÄSTMANLANDS LÄN</t>
        </is>
      </c>
      <c r="G137" t="inlineStr">
        <is>
          <t>SURAHAMMAR</t>
        </is>
      </c>
      <c r="H137" t="inlineStr">
        <is>
          <t>Kyrkan</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7848-2022</t>
        </is>
      </c>
      <c r="B138" t="inlineStr">
        <is>
          <t>avverkningsanmälan</t>
        </is>
      </c>
      <c r="C138" t="inlineStr">
        <is>
          <t>Föryngringsavverkning</t>
        </is>
      </c>
      <c r="D138" s="1" t="n">
        <v>44608</v>
      </c>
      <c r="E138" s="1" t="n">
        <v>46223</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15743-2023</t>
        </is>
      </c>
      <c r="B139" t="inlineStr">
        <is>
          <t>avverkningsanmälan</t>
        </is>
      </c>
      <c r="C139" t="inlineStr">
        <is>
          <t>Föryngringsavverkning</t>
        </is>
      </c>
      <c r="D139" s="1" t="n">
        <v>45021</v>
      </c>
      <c r="E139" s="1" t="n">
        <v>46223</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24201-2026</t>
        </is>
      </c>
      <c r="B140" t="inlineStr">
        <is>
          <t>avverkningsanmälan</t>
        </is>
      </c>
      <c r="C140" t="inlineStr">
        <is>
          <t>Föryngringsavverkning</t>
        </is>
      </c>
      <c r="D140" s="1" t="n">
        <v>46168</v>
      </c>
      <c r="E140" s="1" t="n">
        <v>46223</v>
      </c>
      <c r="F140" t="inlineStr">
        <is>
          <t>VÄSTMANLANDS LÄN</t>
        </is>
      </c>
      <c r="G140" t="inlineStr">
        <is>
          <t>SURAHAMMAR</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31061-2026</t>
        </is>
      </c>
      <c r="B141" t="inlineStr">
        <is>
          <t>avverkningsanmälan</t>
        </is>
      </c>
      <c r="C141" t="inlineStr">
        <is>
          <t>Föryngringsavverkning</t>
        </is>
      </c>
      <c r="D141" s="1" t="n">
        <v>46215</v>
      </c>
      <c r="E141" s="1" t="n">
        <v>46223</v>
      </c>
      <c r="F141" t="inlineStr">
        <is>
          <t>VÄSTMANLANDS LÄN</t>
        </is>
      </c>
      <c r="G141" t="inlineStr">
        <is>
          <t>SURAHAMMAR</t>
        </is>
      </c>
      <c r="H141" t="inlineStr">
        <is>
          <t>Sveaskog</t>
        </is>
      </c>
      <c r="I141" t="n">
        <v>4.4</v>
      </c>
      <c r="J141" t="n">
        <v>0</v>
      </c>
      <c r="K141" t="n">
        <v>0</v>
      </c>
      <c r="L141" t="n">
        <v>0</v>
      </c>
      <c r="M141" t="n">
        <v>0</v>
      </c>
      <c r="N141" t="n">
        <v>0</v>
      </c>
      <c r="O141" t="n">
        <v>0</v>
      </c>
      <c r="P141" t="n">
        <v>0</v>
      </c>
      <c r="Q141" t="n">
        <v>0</v>
      </c>
      <c r="R141" t="n">
        <v>0</v>
      </c>
      <c r="S141" t="n">
        <v>0</v>
      </c>
      <c r="T141" t="n">
        <v>0</v>
      </c>
      <c r="U141" s="2" t="inlineStr"/>
    </row>
    <row r="142" ht="15" customHeight="1">
      <c r="A142" t="inlineStr">
        <is>
          <t>A 15637-2022</t>
        </is>
      </c>
      <c r="B142" t="inlineStr">
        <is>
          <t>avverkningsanmälan</t>
        </is>
      </c>
      <c r="C142" t="inlineStr">
        <is>
          <t>Föryngringsavverkning</t>
        </is>
      </c>
      <c r="D142" s="1" t="n">
        <v>44662</v>
      </c>
      <c r="E142" s="1" t="n">
        <v>46223</v>
      </c>
      <c r="F142" t="inlineStr">
        <is>
          <t>VÄSTMANLANDS LÄN</t>
        </is>
      </c>
      <c r="G142" t="inlineStr">
        <is>
          <t>SURAHAMMAR</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19786-2023</t>
        </is>
      </c>
      <c r="B143" t="inlineStr">
        <is>
          <t>avverkningsanmälan</t>
        </is>
      </c>
      <c r="C143" t="inlineStr">
        <is>
          <t>Föryngringsavverkning</t>
        </is>
      </c>
      <c r="D143" s="1" t="n">
        <v>45050</v>
      </c>
      <c r="E143" s="1" t="n">
        <v>46223</v>
      </c>
      <c r="F143" t="inlineStr">
        <is>
          <t>VÄSTMANLANDS LÄN</t>
        </is>
      </c>
      <c r="G143" t="inlineStr">
        <is>
          <t>SURAHAMMAR</t>
        </is>
      </c>
      <c r="H143" t="inlineStr">
        <is>
          <t>Bergvik skog väst AB</t>
        </is>
      </c>
      <c r="I143" t="n">
        <v>8.1</v>
      </c>
      <c r="J143" t="n">
        <v>0</v>
      </c>
      <c r="K143" t="n">
        <v>0</v>
      </c>
      <c r="L143" t="n">
        <v>0</v>
      </c>
      <c r="M143" t="n">
        <v>0</v>
      </c>
      <c r="N143" t="n">
        <v>0</v>
      </c>
      <c r="O143" t="n">
        <v>0</v>
      </c>
      <c r="P143" t="n">
        <v>0</v>
      </c>
      <c r="Q143" t="n">
        <v>0</v>
      </c>
      <c r="R143" t="n">
        <v>0</v>
      </c>
      <c r="S143" t="n">
        <v>0</v>
      </c>
      <c r="T143" t="n">
        <v>0</v>
      </c>
      <c r="U143" s="2" t="inlineStr"/>
    </row>
    <row r="144" ht="15" customHeight="1">
      <c r="A144" t="inlineStr">
        <is>
          <t>A 7787-2024</t>
        </is>
      </c>
      <c r="B144" t="inlineStr">
        <is>
          <t>avverkningsanmälan</t>
        </is>
      </c>
      <c r="C144" t="inlineStr">
        <is>
          <t>Föryngringsavverkning</t>
        </is>
      </c>
      <c r="D144" s="1" t="n">
        <v>45348</v>
      </c>
      <c r="E144" s="1" t="n">
        <v>46223</v>
      </c>
      <c r="F144" t="inlineStr">
        <is>
          <t>VÄSTMANLANDS LÄN</t>
        </is>
      </c>
      <c r="G144" t="inlineStr">
        <is>
          <t>SURAHAMMAR</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15739-2023</t>
        </is>
      </c>
      <c r="B145" t="inlineStr">
        <is>
          <t>avverkningsanmälan</t>
        </is>
      </c>
      <c r="C145" t="inlineStr">
        <is>
          <t>Föryngringsavverkning</t>
        </is>
      </c>
      <c r="D145" s="1" t="n">
        <v>45021</v>
      </c>
      <c r="E145" s="1" t="n">
        <v>46223</v>
      </c>
      <c r="F145" t="inlineStr">
        <is>
          <t>VÄSTMANLANDS LÄN</t>
        </is>
      </c>
      <c r="G145" t="inlineStr">
        <is>
          <t>SURAHAMMAR</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38154-2021</t>
        </is>
      </c>
      <c r="B146" t="inlineStr">
        <is>
          <t>avverkningsanmälan</t>
        </is>
      </c>
      <c r="C146" t="inlineStr">
        <is>
          <t>Föryngringsavverkning</t>
        </is>
      </c>
      <c r="D146" s="1" t="n">
        <v>44405</v>
      </c>
      <c r="E146" s="1" t="n">
        <v>46223</v>
      </c>
      <c r="F146" t="inlineStr">
        <is>
          <t>VÄSTMANLANDS LÄN</t>
        </is>
      </c>
      <c r="G146" t="inlineStr">
        <is>
          <t>SURAHAMMAR</t>
        </is>
      </c>
      <c r="H146" t="inlineStr">
        <is>
          <t>Sveaskog</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S 3543-2022</t>
        </is>
      </c>
      <c r="B147" t="inlineStr">
        <is>
          <t>samrådsanmälan</t>
        </is>
      </c>
      <c r="C147" t="inlineStr">
        <is>
          <t>Skogsbilväg</t>
        </is>
      </c>
      <c r="D147" s="1" t="n">
        <v>44734</v>
      </c>
      <c r="E147" s="1" t="n">
        <v>46223</v>
      </c>
      <c r="F147" t="inlineStr">
        <is>
          <t>VÄSTMANLANDS LÄN</t>
        </is>
      </c>
      <c r="G147" t="inlineStr">
        <is>
          <t>SURAHAMMAR</t>
        </is>
      </c>
      <c r="H147" t="inlineStr">
        <is>
          <t>Bergvik skog väst AB</t>
        </is>
      </c>
      <c r="I147" t="n">
        <v>1.1</v>
      </c>
      <c r="J147" t="n">
        <v>0</v>
      </c>
      <c r="K147" t="n">
        <v>0</v>
      </c>
      <c r="L147" t="n">
        <v>0</v>
      </c>
      <c r="M147" t="n">
        <v>0</v>
      </c>
      <c r="N147" t="n">
        <v>0</v>
      </c>
      <c r="O147" t="n">
        <v>0</v>
      </c>
      <c r="P147" t="n">
        <v>0</v>
      </c>
      <c r="Q147" t="n">
        <v>0</v>
      </c>
      <c r="R147" t="n">
        <v>0</v>
      </c>
      <c r="S147" t="n">
        <v>0</v>
      </c>
      <c r="T147" t="n">
        <v>0</v>
      </c>
      <c r="U147" s="2" t="inlineStr"/>
    </row>
    <row r="148">
      <c r="A148" t="inlineStr">
        <is>
          <t>S 3542-2022</t>
        </is>
      </c>
      <c r="B148" t="inlineStr">
        <is>
          <t>samrådsanmälan</t>
        </is>
      </c>
      <c r="C148" t="inlineStr">
        <is>
          <t>Skogsbilväg</t>
        </is>
      </c>
      <c r="D148" s="1" t="n">
        <v>44734</v>
      </c>
      <c r="E148" s="1" t="n">
        <v>46223</v>
      </c>
      <c r="F148" t="inlineStr">
        <is>
          <t>VÄSTMANLANDS LÄN</t>
        </is>
      </c>
      <c r="G148" t="inlineStr">
        <is>
          <t>SURAHAMMAR</t>
        </is>
      </c>
      <c r="H148" t="inlineStr">
        <is>
          <t>Bergvik skog väst AB</t>
        </is>
      </c>
      <c r="I148" t="n">
        <v>1</v>
      </c>
      <c r="J148" t="n">
        <v>0</v>
      </c>
      <c r="K148" t="n">
        <v>0</v>
      </c>
      <c r="L148" t="n">
        <v>0</v>
      </c>
      <c r="M148" t="n">
        <v>0</v>
      </c>
      <c r="N148" t="n">
        <v>0</v>
      </c>
      <c r="O148" t="n">
        <v>0</v>
      </c>
      <c r="P148" t="n">
        <v>0</v>
      </c>
      <c r="Q148" t="n">
        <v>0</v>
      </c>
      <c r="R148" t="n">
        <v>0</v>
      </c>
      <c r="S148" t="n">
        <v>0</v>
      </c>
      <c r="T148" t="n">
        <v>0</v>
      </c>
      <c r="U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2026-07-20T01:44:20Z</dcterms:created>
  <dcterms:modified xmlns:dcterms="http://purl.org/dc/terms/" xmlns:xsi="http://www.w3.org/2001/XMLSchema-instance" xsi:type="dcterms:W3CDTF">2026-07-20T01:44:20Z</dcterms:modified>
</cp:coreProperties>
</file>