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46084</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46084</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46084</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46084</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46084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46084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46084</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46084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46084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7791-2024</t>
        </is>
      </c>
      <c r="B18" s="1" t="n">
        <v>45348</v>
      </c>
      <c r="C18" s="1" t="n">
        <v>46084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46084</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38172-2024</t>
        </is>
      </c>
      <c r="B20" s="1" t="n">
        <v>45545</v>
      </c>
      <c r="C20" s="1" t="n">
        <v>46084</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46084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46084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46084</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46084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46084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46084</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4105-2025</t>
        </is>
      </c>
      <c r="B27" s="1" t="n">
        <v>45684</v>
      </c>
      <c r="C27" s="1" t="n">
        <v>46084</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46084</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20391-2024</t>
        </is>
      </c>
      <c r="B29" s="1" t="n">
        <v>45435</v>
      </c>
      <c r="C29" s="1" t="n">
        <v>46084</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48128-2023</t>
        </is>
      </c>
      <c r="B30" s="1" t="n">
        <v>45205</v>
      </c>
      <c r="C30" s="1" t="n">
        <v>46084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46084</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42853-2022</t>
        </is>
      </c>
      <c r="B32" s="1" t="n">
        <v>44832</v>
      </c>
      <c r="C32" s="1" t="n">
        <v>46084</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4082-2025</t>
        </is>
      </c>
      <c r="B33" s="1" t="n">
        <v>45684</v>
      </c>
      <c r="C33" s="1" t="n">
        <v>46084</v>
      </c>
      <c r="D33" t="inlineStr">
        <is>
          <t>VÄSTMANLANDS LÄN</t>
        </is>
      </c>
      <c r="E33" t="inlineStr">
        <is>
          <t>SURAHAMMAR</t>
        </is>
      </c>
      <c r="F33" t="inlineStr">
        <is>
          <t>Bergvik skog väst AB</t>
        </is>
      </c>
      <c r="G33" t="n">
        <v>11.6</v>
      </c>
      <c r="H33" t="n">
        <v>2</v>
      </c>
      <c r="I33" t="n">
        <v>2</v>
      </c>
      <c r="J33" t="n">
        <v>0</v>
      </c>
      <c r="K33" t="n">
        <v>0</v>
      </c>
      <c r="L33" t="n">
        <v>0</v>
      </c>
      <c r="M33" t="n">
        <v>0</v>
      </c>
      <c r="N33" t="n">
        <v>0</v>
      </c>
      <c r="O33" t="n">
        <v>0</v>
      </c>
      <c r="P33" t="n">
        <v>0</v>
      </c>
      <c r="Q33" t="n">
        <v>3</v>
      </c>
      <c r="R33" s="2" t="inlineStr">
        <is>
          <t>Grönpyrola
Plattlummer
Lopplummer (aggregat)</t>
        </is>
      </c>
      <c r="S33">
        <f>HYPERLINK("https://klasma.github.io/Logging_1907/artfynd/A 4082-2025 artfynd.xlsx", "A 4082-2025")</f>
        <v/>
      </c>
      <c r="T33">
        <f>HYPERLINK("https://klasma.github.io/Logging_1907/kartor/A 4082-2025 karta.png", "A 4082-2025")</f>
        <v/>
      </c>
      <c r="V33">
        <f>HYPERLINK("https://klasma.github.io/Logging_1907/klagomål/A 4082-2025 FSC-klagomål.docx", "A 4082-2025")</f>
        <v/>
      </c>
      <c r="W33">
        <f>HYPERLINK("https://klasma.github.io/Logging_1907/klagomålsmail/A 4082-2025 FSC-klagomål mail.docx", "A 4082-2025")</f>
        <v/>
      </c>
      <c r="X33">
        <f>HYPERLINK("https://klasma.github.io/Logging_1907/tillsyn/A 4082-2025 tillsynsbegäran.docx", "A 4082-2025")</f>
        <v/>
      </c>
      <c r="Y33">
        <f>HYPERLINK("https://klasma.github.io/Logging_1907/tillsynsmail/A 4082-2025 tillsynsbegäran mail.docx", "A 4082-2025")</f>
        <v/>
      </c>
    </row>
    <row r="34" ht="15" customHeight="1">
      <c r="A34" t="inlineStr">
        <is>
          <t>A 42860-2022</t>
        </is>
      </c>
      <c r="B34" s="1" t="n">
        <v>44832</v>
      </c>
      <c r="C34" s="1" t="n">
        <v>46084</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29707-2025</t>
        </is>
      </c>
      <c r="B35" s="1" t="n">
        <v>45825.56100694444</v>
      </c>
      <c r="C35" s="1" t="n">
        <v>46084</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38200-2021</t>
        </is>
      </c>
      <c r="B36" s="1" t="n">
        <v>44405</v>
      </c>
      <c r="C36" s="1" t="n">
        <v>46084</v>
      </c>
      <c r="D36" t="inlineStr">
        <is>
          <t>VÄSTMANLANDS LÄN</t>
        </is>
      </c>
      <c r="E36" t="inlineStr">
        <is>
          <t>SURAHAMMAR</t>
        </is>
      </c>
      <c r="F36" t="inlineStr">
        <is>
          <t>Sveaskog</t>
        </is>
      </c>
      <c r="G36" t="n">
        <v>1.5</v>
      </c>
      <c r="H36" t="n">
        <v>1</v>
      </c>
      <c r="I36" t="n">
        <v>0</v>
      </c>
      <c r="J36" t="n">
        <v>1</v>
      </c>
      <c r="K36" t="n">
        <v>1</v>
      </c>
      <c r="L36" t="n">
        <v>0</v>
      </c>
      <c r="M36" t="n">
        <v>0</v>
      </c>
      <c r="N36" t="n">
        <v>0</v>
      </c>
      <c r="O36" t="n">
        <v>2</v>
      </c>
      <c r="P36" t="n">
        <v>1</v>
      </c>
      <c r="Q36" t="n">
        <v>3</v>
      </c>
      <c r="R36" s="2" t="inlineStr">
        <is>
          <t>Vågticka
Svinrot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8552-2022</t>
        </is>
      </c>
      <c r="B37" s="1" t="n">
        <v>44613</v>
      </c>
      <c r="C37" s="1" t="n">
        <v>46084</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42708-2022</t>
        </is>
      </c>
      <c r="B38" s="1" t="n">
        <v>44832</v>
      </c>
      <c r="C38" s="1" t="n">
        <v>46084</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49718-2023</t>
        </is>
      </c>
      <c r="B39" s="1" t="n">
        <v>45212</v>
      </c>
      <c r="C39" s="1" t="n">
        <v>46084</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37801-2021</t>
        </is>
      </c>
      <c r="B40" s="1" t="n">
        <v>44402</v>
      </c>
      <c r="C40" s="1" t="n">
        <v>46084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46084</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21618-2025</t>
        </is>
      </c>
      <c r="B42" s="1" t="n">
        <v>45783</v>
      </c>
      <c r="C42" s="1" t="n">
        <v>46084</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40403-2025</t>
        </is>
      </c>
      <c r="B43" s="1" t="n">
        <v>45895</v>
      </c>
      <c r="C43" s="1" t="n">
        <v>46084</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37800-2021</t>
        </is>
      </c>
      <c r="B44" s="1" t="n">
        <v>44402</v>
      </c>
      <c r="C44" s="1" t="n">
        <v>46084</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41204-2023</t>
        </is>
      </c>
      <c r="B45" s="1" t="n">
        <v>45174</v>
      </c>
      <c r="C45" s="1" t="n">
        <v>46084</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63146-2025</t>
        </is>
      </c>
      <c r="B46" s="1" t="n">
        <v>46009</v>
      </c>
      <c r="C46" s="1" t="n">
        <v>46084</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41576-2022</t>
        </is>
      </c>
      <c r="B47" s="1" t="n">
        <v>44826</v>
      </c>
      <c r="C47" s="1" t="n">
        <v>46084</v>
      </c>
      <c r="D47" t="inlineStr">
        <is>
          <t>VÄSTMANLANDS LÄN</t>
        </is>
      </c>
      <c r="E47" t="inlineStr">
        <is>
          <t>SURAHAMMAR</t>
        </is>
      </c>
      <c r="F47" t="inlineStr">
        <is>
          <t>Bergvik skog väst AB</t>
        </is>
      </c>
      <c r="G47" t="n">
        <v>6.4</v>
      </c>
      <c r="H47" t="n">
        <v>2</v>
      </c>
      <c r="I47" t="n">
        <v>0</v>
      </c>
      <c r="J47" t="n">
        <v>1</v>
      </c>
      <c r="K47" t="n">
        <v>0</v>
      </c>
      <c r="L47" t="n">
        <v>0</v>
      </c>
      <c r="M47" t="n">
        <v>0</v>
      </c>
      <c r="N47" t="n">
        <v>0</v>
      </c>
      <c r="O47" t="n">
        <v>1</v>
      </c>
      <c r="P47" t="n">
        <v>0</v>
      </c>
      <c r="Q47" t="n">
        <v>2</v>
      </c>
      <c r="R47" s="2" t="inlineStr">
        <is>
          <t>Talltita
Kungsfågel</t>
        </is>
      </c>
      <c r="S47">
        <f>HYPERLINK("https://klasma.github.io/Logging_1907/artfynd/A 41576-2022 artfynd.xlsx", "A 41576-2022")</f>
        <v/>
      </c>
      <c r="T47">
        <f>HYPERLINK("https://klasma.github.io/Logging_1907/kartor/A 41576-2022 karta.png", "A 41576-2022")</f>
        <v/>
      </c>
      <c r="V47">
        <f>HYPERLINK("https://klasma.github.io/Logging_1907/klagomål/A 41576-2022 FSC-klagomål.docx", "A 41576-2022")</f>
        <v/>
      </c>
      <c r="W47">
        <f>HYPERLINK("https://klasma.github.io/Logging_1907/klagomålsmail/A 41576-2022 FSC-klagomål mail.docx", "A 41576-2022")</f>
        <v/>
      </c>
      <c r="X47">
        <f>HYPERLINK("https://klasma.github.io/Logging_1907/tillsyn/A 41576-2022 tillsynsbegäran.docx", "A 41576-2022")</f>
        <v/>
      </c>
      <c r="Y47">
        <f>HYPERLINK("https://klasma.github.io/Logging_1907/tillsynsmail/A 41576-2022 tillsynsbegäran mail.docx", "A 41576-2022")</f>
        <v/>
      </c>
      <c r="Z47">
        <f>HYPERLINK("https://klasma.github.io/Logging_1907/fåglar/A 41576-2022 prioriterade fågelarter.docx", "A 41576-2022")</f>
        <v/>
      </c>
    </row>
    <row r="48" ht="15" customHeight="1">
      <c r="A48" t="inlineStr">
        <is>
          <t>A 62097-2024</t>
        </is>
      </c>
      <c r="B48" s="1" t="n">
        <v>45646</v>
      </c>
      <c r="C48" s="1" t="n">
        <v>46084</v>
      </c>
      <c r="D48" t="inlineStr">
        <is>
          <t>VÄSTMANLANDS LÄN</t>
        </is>
      </c>
      <c r="E48" t="inlineStr">
        <is>
          <t>SURAHAMMAR</t>
        </is>
      </c>
      <c r="F48" t="inlineStr">
        <is>
          <t>Bergvik skog väst AB</t>
        </is>
      </c>
      <c r="G48" t="n">
        <v>21.7</v>
      </c>
      <c r="H48" t="n">
        <v>2</v>
      </c>
      <c r="I48" t="n">
        <v>0</v>
      </c>
      <c r="J48" t="n">
        <v>0</v>
      </c>
      <c r="K48" t="n">
        <v>0</v>
      </c>
      <c r="L48" t="n">
        <v>0</v>
      </c>
      <c r="M48" t="n">
        <v>0</v>
      </c>
      <c r="N48" t="n">
        <v>0</v>
      </c>
      <c r="O48" t="n">
        <v>0</v>
      </c>
      <c r="P48" t="n">
        <v>0</v>
      </c>
      <c r="Q48" t="n">
        <v>2</v>
      </c>
      <c r="R48" s="2" t="inlineStr">
        <is>
          <t>Mattlummer
Revlummer</t>
        </is>
      </c>
      <c r="S48">
        <f>HYPERLINK("https://klasma.github.io/Logging_1907/artfynd/A 62097-2024 artfynd.xlsx", "A 62097-2024")</f>
        <v/>
      </c>
      <c r="T48">
        <f>HYPERLINK("https://klasma.github.io/Logging_1907/kartor/A 62097-2024 karta.png", "A 62097-2024")</f>
        <v/>
      </c>
      <c r="V48">
        <f>HYPERLINK("https://klasma.github.io/Logging_1907/klagomål/A 62097-2024 FSC-klagomål.docx", "A 62097-2024")</f>
        <v/>
      </c>
      <c r="W48">
        <f>HYPERLINK("https://klasma.github.io/Logging_1907/klagomålsmail/A 62097-2024 FSC-klagomål mail.docx", "A 62097-2024")</f>
        <v/>
      </c>
      <c r="X48">
        <f>HYPERLINK("https://klasma.github.io/Logging_1907/tillsyn/A 62097-2024 tillsynsbegäran.docx", "A 62097-2024")</f>
        <v/>
      </c>
      <c r="Y48">
        <f>HYPERLINK("https://klasma.github.io/Logging_1907/tillsynsmail/A 62097-2024 tillsynsbegäran mail.docx", "A 62097-2024")</f>
        <v/>
      </c>
    </row>
    <row r="49" ht="15" customHeight="1">
      <c r="A49" t="inlineStr">
        <is>
          <t>A 38170-2021</t>
        </is>
      </c>
      <c r="B49" s="1" t="n">
        <v>44405.43472222222</v>
      </c>
      <c r="C49" s="1" t="n">
        <v>46084</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46084</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46084</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46084</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44356-2024</t>
        </is>
      </c>
      <c r="B53" s="1" t="n">
        <v>45573</v>
      </c>
      <c r="C53" s="1" t="n">
        <v>46084</v>
      </c>
      <c r="D53" t="inlineStr">
        <is>
          <t>VÄSTMANLANDS LÄN</t>
        </is>
      </c>
      <c r="E53" t="inlineStr">
        <is>
          <t>SURAHAMMAR</t>
        </is>
      </c>
      <c r="F53" t="inlineStr">
        <is>
          <t>Sveaskog</t>
        </is>
      </c>
      <c r="G53" t="n">
        <v>0.7</v>
      </c>
      <c r="H53" t="n">
        <v>1</v>
      </c>
      <c r="I53" t="n">
        <v>0</v>
      </c>
      <c r="J53" t="n">
        <v>0</v>
      </c>
      <c r="K53" t="n">
        <v>0</v>
      </c>
      <c r="L53" t="n">
        <v>0</v>
      </c>
      <c r="M53" t="n">
        <v>0</v>
      </c>
      <c r="N53" t="n">
        <v>0</v>
      </c>
      <c r="O53" t="n">
        <v>0</v>
      </c>
      <c r="P53" t="n">
        <v>0</v>
      </c>
      <c r="Q53" t="n">
        <v>1</v>
      </c>
      <c r="R53" s="2" t="inlineStr">
        <is>
          <t>Revlummer</t>
        </is>
      </c>
      <c r="S53">
        <f>HYPERLINK("https://klasma.github.io/Logging_1907/artfynd/A 44356-2024 artfynd.xlsx", "A 44356-2024")</f>
        <v/>
      </c>
      <c r="T53">
        <f>HYPERLINK("https://klasma.github.io/Logging_1907/kartor/A 44356-2024 karta.png", "A 44356-2024")</f>
        <v/>
      </c>
      <c r="V53">
        <f>HYPERLINK("https://klasma.github.io/Logging_1907/klagomål/A 44356-2024 FSC-klagomål.docx", "A 44356-2024")</f>
        <v/>
      </c>
      <c r="W53">
        <f>HYPERLINK("https://klasma.github.io/Logging_1907/klagomålsmail/A 44356-2024 FSC-klagomål mail.docx", "A 44356-2024")</f>
        <v/>
      </c>
      <c r="X53">
        <f>HYPERLINK("https://klasma.github.io/Logging_1907/tillsyn/A 44356-2024 tillsynsbegäran.docx", "A 44356-2024")</f>
        <v/>
      </c>
      <c r="Y53">
        <f>HYPERLINK("https://klasma.github.io/Logging_1907/tillsynsmail/A 44356-2024 tillsynsbegäran mail.docx", "A 44356-2024")</f>
        <v/>
      </c>
    </row>
    <row r="54" ht="15" customHeight="1">
      <c r="A54" t="inlineStr">
        <is>
          <t>A 34582-2025</t>
        </is>
      </c>
      <c r="B54" s="1" t="n">
        <v>45846</v>
      </c>
      <c r="C54" s="1" t="n">
        <v>46084</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13788-2025</t>
        </is>
      </c>
      <c r="B55" s="1" t="n">
        <v>45737.45327546296</v>
      </c>
      <c r="C55" s="1" t="n">
        <v>46084</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42089-2025</t>
        </is>
      </c>
      <c r="B56" s="1" t="n">
        <v>45902</v>
      </c>
      <c r="C56" s="1" t="n">
        <v>46084</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22840-2023</t>
        </is>
      </c>
      <c r="B57" s="1" t="n">
        <v>45072</v>
      </c>
      <c r="C57" s="1" t="n">
        <v>46084</v>
      </c>
      <c r="D57" t="inlineStr">
        <is>
          <t>VÄSTMANLANDS LÄN</t>
        </is>
      </c>
      <c r="E57" t="inlineStr">
        <is>
          <t>SURAHAMMAR</t>
        </is>
      </c>
      <c r="G57" t="n">
        <v>4.3</v>
      </c>
      <c r="H57" t="n">
        <v>1</v>
      </c>
      <c r="I57" t="n">
        <v>0</v>
      </c>
      <c r="J57" t="n">
        <v>0</v>
      </c>
      <c r="K57" t="n">
        <v>0</v>
      </c>
      <c r="L57" t="n">
        <v>0</v>
      </c>
      <c r="M57" t="n">
        <v>0</v>
      </c>
      <c r="N57" t="n">
        <v>0</v>
      </c>
      <c r="O57" t="n">
        <v>0</v>
      </c>
      <c r="P57" t="n">
        <v>0</v>
      </c>
      <c r="Q57" t="n">
        <v>1</v>
      </c>
      <c r="R57" s="2" t="inlineStr">
        <is>
          <t>Fläcknycklar</t>
        </is>
      </c>
      <c r="S57">
        <f>HYPERLINK("https://klasma.github.io/Logging_1907/artfynd/A 22840-2023 artfynd.xlsx", "A 22840-2023")</f>
        <v/>
      </c>
      <c r="T57">
        <f>HYPERLINK("https://klasma.github.io/Logging_1907/kartor/A 22840-2023 karta.png", "A 22840-2023")</f>
        <v/>
      </c>
      <c r="V57">
        <f>HYPERLINK("https://klasma.github.io/Logging_1907/klagomål/A 22840-2023 FSC-klagomål.docx", "A 22840-2023")</f>
        <v/>
      </c>
      <c r="W57">
        <f>HYPERLINK("https://klasma.github.io/Logging_1907/klagomålsmail/A 22840-2023 FSC-klagomål mail.docx", "A 22840-2023")</f>
        <v/>
      </c>
      <c r="X57">
        <f>HYPERLINK("https://klasma.github.io/Logging_1907/tillsyn/A 22840-2023 tillsynsbegäran.docx", "A 22840-2023")</f>
        <v/>
      </c>
      <c r="Y57">
        <f>HYPERLINK("https://klasma.github.io/Logging_1907/tillsynsmail/A 22840-2023 tillsynsbegäran mail.docx", "A 22840-2023")</f>
        <v/>
      </c>
    </row>
    <row r="58" ht="15" customHeight="1">
      <c r="A58" t="inlineStr">
        <is>
          <t>A 33231-2024</t>
        </is>
      </c>
      <c r="B58" s="1" t="n">
        <v>45518</v>
      </c>
      <c r="C58" s="1" t="n">
        <v>46084</v>
      </c>
      <c r="D58" t="inlineStr">
        <is>
          <t>VÄSTMANLANDS LÄN</t>
        </is>
      </c>
      <c r="E58" t="inlineStr">
        <is>
          <t>SURAHAMMAR</t>
        </is>
      </c>
      <c r="F58" t="inlineStr">
        <is>
          <t>Bergvik skog väst AB</t>
        </is>
      </c>
      <c r="G58" t="n">
        <v>1.5</v>
      </c>
      <c r="H58" t="n">
        <v>1</v>
      </c>
      <c r="I58" t="n">
        <v>0</v>
      </c>
      <c r="J58" t="n">
        <v>0</v>
      </c>
      <c r="K58" t="n">
        <v>0</v>
      </c>
      <c r="L58" t="n">
        <v>0</v>
      </c>
      <c r="M58" t="n">
        <v>0</v>
      </c>
      <c r="N58" t="n">
        <v>0</v>
      </c>
      <c r="O58" t="n">
        <v>0</v>
      </c>
      <c r="P58" t="n">
        <v>0</v>
      </c>
      <c r="Q58" t="n">
        <v>1</v>
      </c>
      <c r="R58" s="2" t="inlineStr">
        <is>
          <t>Mindre vattensalamander</t>
        </is>
      </c>
      <c r="S58">
        <f>HYPERLINK("https://klasma.github.io/Logging_1907/artfynd/A 33231-2024 artfynd.xlsx", "A 33231-2024")</f>
        <v/>
      </c>
      <c r="T58">
        <f>HYPERLINK("https://klasma.github.io/Logging_1907/kartor/A 33231-2024 karta.png", "A 33231-2024")</f>
        <v/>
      </c>
      <c r="V58">
        <f>HYPERLINK("https://klasma.github.io/Logging_1907/klagomål/A 33231-2024 FSC-klagomål.docx", "A 33231-2024")</f>
        <v/>
      </c>
      <c r="W58">
        <f>HYPERLINK("https://klasma.github.io/Logging_1907/klagomålsmail/A 33231-2024 FSC-klagomål mail.docx", "A 33231-2024")</f>
        <v/>
      </c>
      <c r="X58">
        <f>HYPERLINK("https://klasma.github.io/Logging_1907/tillsyn/A 33231-2024 tillsynsbegäran.docx", "A 33231-2024")</f>
        <v/>
      </c>
      <c r="Y58">
        <f>HYPERLINK("https://klasma.github.io/Logging_1907/tillsynsmail/A 33231-2024 tillsynsbegäran mail.docx", "A 33231-2024")</f>
        <v/>
      </c>
    </row>
    <row r="59" ht="15" customHeight="1">
      <c r="A59" t="inlineStr">
        <is>
          <t>A 40411-2021</t>
        </is>
      </c>
      <c r="B59" s="1" t="n">
        <v>44419</v>
      </c>
      <c r="C59" s="1" t="n">
        <v>46084</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14001-2023</t>
        </is>
      </c>
      <c r="B60" s="1" t="n">
        <v>45007</v>
      </c>
      <c r="C60" s="1" t="n">
        <v>46084</v>
      </c>
      <c r="D60" t="inlineStr">
        <is>
          <t>VÄSTMANLANDS LÄN</t>
        </is>
      </c>
      <c r="E60" t="inlineStr">
        <is>
          <t>SURAHAMMAR</t>
        </is>
      </c>
      <c r="F60" t="inlineStr">
        <is>
          <t>Bergvik skog väst AB</t>
        </is>
      </c>
      <c r="G60" t="n">
        <v>1</v>
      </c>
      <c r="H60" t="n">
        <v>0</v>
      </c>
      <c r="I60" t="n">
        <v>0</v>
      </c>
      <c r="J60" t="n">
        <v>1</v>
      </c>
      <c r="K60" t="n">
        <v>0</v>
      </c>
      <c r="L60" t="n">
        <v>0</v>
      </c>
      <c r="M60" t="n">
        <v>0</v>
      </c>
      <c r="N60" t="n">
        <v>0</v>
      </c>
      <c r="O60" t="n">
        <v>1</v>
      </c>
      <c r="P60" t="n">
        <v>0</v>
      </c>
      <c r="Q60" t="n">
        <v>1</v>
      </c>
      <c r="R60" s="2" t="inlineStr">
        <is>
          <t>Motaggsvamp</t>
        </is>
      </c>
      <c r="S60">
        <f>HYPERLINK("https://klasma.github.io/Logging_1907/artfynd/A 14001-2023 artfynd.xlsx", "A 14001-2023")</f>
        <v/>
      </c>
      <c r="T60">
        <f>HYPERLINK("https://klasma.github.io/Logging_1907/kartor/A 14001-2023 karta.png", "A 14001-2023")</f>
        <v/>
      </c>
      <c r="V60">
        <f>HYPERLINK("https://klasma.github.io/Logging_1907/klagomål/A 14001-2023 FSC-klagomål.docx", "A 14001-2023")</f>
        <v/>
      </c>
      <c r="W60">
        <f>HYPERLINK("https://klasma.github.io/Logging_1907/klagomålsmail/A 14001-2023 FSC-klagomål mail.docx", "A 14001-2023")</f>
        <v/>
      </c>
      <c r="X60">
        <f>HYPERLINK("https://klasma.github.io/Logging_1907/tillsyn/A 14001-2023 tillsynsbegäran.docx", "A 14001-2023")</f>
        <v/>
      </c>
      <c r="Y60">
        <f>HYPERLINK("https://klasma.github.io/Logging_1907/tillsynsmail/A 14001-2023 tillsynsbegäran mail.docx", "A 14001-2023")</f>
        <v/>
      </c>
    </row>
    <row r="61" ht="15" customHeight="1">
      <c r="A61" t="inlineStr">
        <is>
          <t>A 55042-2025</t>
        </is>
      </c>
      <c r="B61" s="1" t="n">
        <v>45967.65858796296</v>
      </c>
      <c r="C61" s="1" t="n">
        <v>46084</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55871-2025</t>
        </is>
      </c>
      <c r="B62" s="1" t="n">
        <v>45973.35452546296</v>
      </c>
      <c r="C62" s="1" t="n">
        <v>46084</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56768-2025</t>
        </is>
      </c>
      <c r="B63" s="1" t="n">
        <v>45978</v>
      </c>
      <c r="C63" s="1" t="n">
        <v>46084</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13971-2023</t>
        </is>
      </c>
      <c r="B64" s="1" t="n">
        <v>45007</v>
      </c>
      <c r="C64" s="1" t="n">
        <v>46084</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56362-2023</t>
        </is>
      </c>
      <c r="B65" s="1" t="n">
        <v>45236</v>
      </c>
      <c r="C65" s="1" t="n">
        <v>46084</v>
      </c>
      <c r="D65" t="inlineStr">
        <is>
          <t>VÄSTMANLANDS LÄN</t>
        </is>
      </c>
      <c r="E65" t="inlineStr">
        <is>
          <t>SURAHAMMAR</t>
        </is>
      </c>
      <c r="F65" t="inlineStr">
        <is>
          <t>Bergvik skog väst AB</t>
        </is>
      </c>
      <c r="G65" t="n">
        <v>15.2</v>
      </c>
      <c r="H65" t="n">
        <v>0</v>
      </c>
      <c r="I65" t="n">
        <v>1</v>
      </c>
      <c r="J65" t="n">
        <v>0</v>
      </c>
      <c r="K65" t="n">
        <v>0</v>
      </c>
      <c r="L65" t="n">
        <v>0</v>
      </c>
      <c r="M65" t="n">
        <v>0</v>
      </c>
      <c r="N65" t="n">
        <v>0</v>
      </c>
      <c r="O65" t="n">
        <v>0</v>
      </c>
      <c r="P65" t="n">
        <v>0</v>
      </c>
      <c r="Q65" t="n">
        <v>1</v>
      </c>
      <c r="R65" s="2" t="inlineStr">
        <is>
          <t>Grönpyrola</t>
        </is>
      </c>
      <c r="S65">
        <f>HYPERLINK("https://klasma.github.io/Logging_1907/artfynd/A 56362-2023 artfynd.xlsx", "A 56362-2023")</f>
        <v/>
      </c>
      <c r="T65">
        <f>HYPERLINK("https://klasma.github.io/Logging_1907/kartor/A 56362-2023 karta.png", "A 56362-2023")</f>
        <v/>
      </c>
      <c r="V65">
        <f>HYPERLINK("https://klasma.github.io/Logging_1907/klagomål/A 56362-2023 FSC-klagomål.docx", "A 56362-2023")</f>
        <v/>
      </c>
      <c r="W65">
        <f>HYPERLINK("https://klasma.github.io/Logging_1907/klagomålsmail/A 56362-2023 FSC-klagomål mail.docx", "A 56362-2023")</f>
        <v/>
      </c>
      <c r="X65">
        <f>HYPERLINK("https://klasma.github.io/Logging_1907/tillsyn/A 56362-2023 tillsynsbegäran.docx", "A 56362-2023")</f>
        <v/>
      </c>
      <c r="Y65">
        <f>HYPERLINK("https://klasma.github.io/Logging_1907/tillsynsmail/A 56362-2023 tillsynsbegäran mail.docx", "A 56362-2023")</f>
        <v/>
      </c>
    </row>
    <row r="66" ht="15" customHeight="1">
      <c r="A66" t="inlineStr">
        <is>
          <t>A 47453-2024</t>
        </is>
      </c>
      <c r="B66" s="1" t="n">
        <v>45587.55017361111</v>
      </c>
      <c r="C66" s="1" t="n">
        <v>46084</v>
      </c>
      <c r="D66" t="inlineStr">
        <is>
          <t>VÄSTMANLANDS LÄN</t>
        </is>
      </c>
      <c r="E66" t="inlineStr">
        <is>
          <t>SURAHAMMAR</t>
        </is>
      </c>
      <c r="G66" t="n">
        <v>5.1</v>
      </c>
      <c r="H66" t="n">
        <v>1</v>
      </c>
      <c r="I66" t="n">
        <v>0</v>
      </c>
      <c r="J66" t="n">
        <v>0</v>
      </c>
      <c r="K66" t="n">
        <v>0</v>
      </c>
      <c r="L66" t="n">
        <v>0</v>
      </c>
      <c r="M66" t="n">
        <v>0</v>
      </c>
      <c r="N66" t="n">
        <v>0</v>
      </c>
      <c r="O66" t="n">
        <v>0</v>
      </c>
      <c r="P66" t="n">
        <v>0</v>
      </c>
      <c r="Q66" t="n">
        <v>1</v>
      </c>
      <c r="R66" s="2" t="inlineStr">
        <is>
          <t>Göktyta</t>
        </is>
      </c>
      <c r="S66">
        <f>HYPERLINK("https://klasma.github.io/Logging_1907/artfynd/A 47453-2024 artfynd.xlsx", "A 47453-2024")</f>
        <v/>
      </c>
      <c r="T66">
        <f>HYPERLINK("https://klasma.github.io/Logging_1907/kartor/A 47453-2024 karta.png", "A 47453-2024")</f>
        <v/>
      </c>
      <c r="V66">
        <f>HYPERLINK("https://klasma.github.io/Logging_1907/klagomål/A 47453-2024 FSC-klagomål.docx", "A 47453-2024")</f>
        <v/>
      </c>
      <c r="W66">
        <f>HYPERLINK("https://klasma.github.io/Logging_1907/klagomålsmail/A 47453-2024 FSC-klagomål mail.docx", "A 47453-2024")</f>
        <v/>
      </c>
      <c r="X66">
        <f>HYPERLINK("https://klasma.github.io/Logging_1907/tillsyn/A 47453-2024 tillsynsbegäran.docx", "A 47453-2024")</f>
        <v/>
      </c>
      <c r="Y66">
        <f>HYPERLINK("https://klasma.github.io/Logging_1907/tillsynsmail/A 47453-2024 tillsynsbegäran mail.docx", "A 47453-2024")</f>
        <v/>
      </c>
      <c r="Z66">
        <f>HYPERLINK("https://klasma.github.io/Logging_1907/fåglar/A 47453-2024 prioriterade fågelarter.docx", "A 47453-2024")</f>
        <v/>
      </c>
    </row>
    <row r="67" ht="15" customHeight="1">
      <c r="A67" t="inlineStr">
        <is>
          <t>A 31176-2024</t>
        </is>
      </c>
      <c r="B67" s="1" t="n">
        <v>45503</v>
      </c>
      <c r="C67" s="1" t="n">
        <v>46084</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63145-2025</t>
        </is>
      </c>
      <c r="B68" s="1" t="n">
        <v>46009</v>
      </c>
      <c r="C68" s="1" t="n">
        <v>46084</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43451-2024</t>
        </is>
      </c>
      <c r="B69" s="1" t="n">
        <v>45568</v>
      </c>
      <c r="C69" s="1" t="n">
        <v>46084</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25583-2024</t>
        </is>
      </c>
      <c r="B70" s="1" t="n">
        <v>45463</v>
      </c>
      <c r="C70" s="1" t="n">
        <v>46084</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39099-2022</t>
        </is>
      </c>
      <c r="B71" s="1" t="n">
        <v>44817</v>
      </c>
      <c r="C71" s="1" t="n">
        <v>46084</v>
      </c>
      <c r="D71" t="inlineStr">
        <is>
          <t>VÄSTMANLANDS LÄN</t>
        </is>
      </c>
      <c r="E71" t="inlineStr">
        <is>
          <t>SURAHAMMAR</t>
        </is>
      </c>
      <c r="F71" t="inlineStr">
        <is>
          <t>Bergvik skog väst AB</t>
        </is>
      </c>
      <c r="G71" t="n">
        <v>7.4</v>
      </c>
      <c r="H71" t="n">
        <v>0</v>
      </c>
      <c r="I71" t="n">
        <v>1</v>
      </c>
      <c r="J71" t="n">
        <v>0</v>
      </c>
      <c r="K71" t="n">
        <v>0</v>
      </c>
      <c r="L71" t="n">
        <v>0</v>
      </c>
      <c r="M71" t="n">
        <v>0</v>
      </c>
      <c r="N71" t="n">
        <v>0</v>
      </c>
      <c r="O71" t="n">
        <v>0</v>
      </c>
      <c r="P71" t="n">
        <v>0</v>
      </c>
      <c r="Q71" t="n">
        <v>1</v>
      </c>
      <c r="R71" s="2" t="inlineStr">
        <is>
          <t>Stekelbock</t>
        </is>
      </c>
      <c r="S71">
        <f>HYPERLINK("https://klasma.github.io/Logging_1907/artfynd/A 39099-2022 artfynd.xlsx", "A 39099-2022")</f>
        <v/>
      </c>
      <c r="T71">
        <f>HYPERLINK("https://klasma.github.io/Logging_1907/kartor/A 39099-2022 karta.png", "A 39099-2022")</f>
        <v/>
      </c>
      <c r="V71">
        <f>HYPERLINK("https://klasma.github.io/Logging_1907/klagomål/A 39099-2022 FSC-klagomål.docx", "A 39099-2022")</f>
        <v/>
      </c>
      <c r="W71">
        <f>HYPERLINK("https://klasma.github.io/Logging_1907/klagomålsmail/A 39099-2022 FSC-klagomål mail.docx", "A 39099-2022")</f>
        <v/>
      </c>
      <c r="X71">
        <f>HYPERLINK("https://klasma.github.io/Logging_1907/tillsyn/A 39099-2022 tillsynsbegäran.docx", "A 39099-2022")</f>
        <v/>
      </c>
      <c r="Y71">
        <f>HYPERLINK("https://klasma.github.io/Logging_1907/tillsynsmail/A 39099-2022 tillsynsbegäran mail.docx", "A 39099-2022")</f>
        <v/>
      </c>
    </row>
    <row r="72" ht="15" customHeight="1">
      <c r="A72" t="inlineStr">
        <is>
          <t>A 42765-2022</t>
        </is>
      </c>
      <c r="B72" s="1" t="n">
        <v>44832</v>
      </c>
      <c r="C72" s="1" t="n">
        <v>46084</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10819-2024</t>
        </is>
      </c>
      <c r="B73" s="1" t="n">
        <v>45369.66049768519</v>
      </c>
      <c r="C73" s="1" t="n">
        <v>46084</v>
      </c>
      <c r="D73" t="inlineStr">
        <is>
          <t>VÄSTMANLANDS LÄN</t>
        </is>
      </c>
      <c r="E73" t="inlineStr">
        <is>
          <t>SURAHAMMAR</t>
        </is>
      </c>
      <c r="G73" t="n">
        <v>2</v>
      </c>
      <c r="H73" t="n">
        <v>0</v>
      </c>
      <c r="I73" t="n">
        <v>1</v>
      </c>
      <c r="J73" t="n">
        <v>0</v>
      </c>
      <c r="K73" t="n">
        <v>0</v>
      </c>
      <c r="L73" t="n">
        <v>0</v>
      </c>
      <c r="M73" t="n">
        <v>0</v>
      </c>
      <c r="N73" t="n">
        <v>0</v>
      </c>
      <c r="O73" t="n">
        <v>0</v>
      </c>
      <c r="P73" t="n">
        <v>0</v>
      </c>
      <c r="Q73" t="n">
        <v>1</v>
      </c>
      <c r="R73" s="2" t="inlineStr">
        <is>
          <t>Tibast</t>
        </is>
      </c>
      <c r="S73">
        <f>HYPERLINK("https://klasma.github.io/Logging_1907/artfynd/A 10819-2024 artfynd.xlsx", "A 10819-2024")</f>
        <v/>
      </c>
      <c r="T73">
        <f>HYPERLINK("https://klasma.github.io/Logging_1907/kartor/A 10819-2024 karta.png", "A 10819-2024")</f>
        <v/>
      </c>
      <c r="V73">
        <f>HYPERLINK("https://klasma.github.io/Logging_1907/klagomål/A 10819-2024 FSC-klagomål.docx", "A 10819-2024")</f>
        <v/>
      </c>
      <c r="W73">
        <f>HYPERLINK("https://klasma.github.io/Logging_1907/klagomålsmail/A 10819-2024 FSC-klagomål mail.docx", "A 10819-2024")</f>
        <v/>
      </c>
      <c r="X73">
        <f>HYPERLINK("https://klasma.github.io/Logging_1907/tillsyn/A 10819-2024 tillsynsbegäran.docx", "A 10819-2024")</f>
        <v/>
      </c>
      <c r="Y73">
        <f>HYPERLINK("https://klasma.github.io/Logging_1907/tillsynsmail/A 10819-2024 tillsynsbegäran mail.docx", "A 10819-2024")</f>
        <v/>
      </c>
    </row>
    <row r="74" ht="15" customHeight="1">
      <c r="A74" t="inlineStr">
        <is>
          <t>A 69777-2021</t>
        </is>
      </c>
      <c r="B74" s="1" t="n">
        <v>44532</v>
      </c>
      <c r="C74" s="1" t="n">
        <v>46084</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17632-2022</t>
        </is>
      </c>
      <c r="B75" s="1" t="n">
        <v>44680</v>
      </c>
      <c r="C75" s="1" t="n">
        <v>46084</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64073-2021</t>
        </is>
      </c>
      <c r="B76" s="1" t="n">
        <v>44509</v>
      </c>
      <c r="C76" s="1" t="n">
        <v>46084</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46084</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46084</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46084</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46084</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46084</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46084</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46084</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46084</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46084</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46084</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46084</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46084</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46084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19846-2022</t>
        </is>
      </c>
      <c r="B91" s="1" t="n">
        <v>44696.89327546296</v>
      </c>
      <c r="C91" s="1" t="n">
        <v>46084</v>
      </c>
      <c r="D91" t="inlineStr">
        <is>
          <t>VÄSTMANLANDS LÄN</t>
        </is>
      </c>
      <c r="E91" t="inlineStr">
        <is>
          <t>SURAHAMMAR</t>
        </is>
      </c>
      <c r="F91" t="inlineStr">
        <is>
          <t>Kommuner</t>
        </is>
      </c>
      <c r="G91" t="n">
        <v>3.4</v>
      </c>
      <c r="H91" t="n">
        <v>0</v>
      </c>
      <c r="I91" t="n">
        <v>0</v>
      </c>
      <c r="J91" t="n">
        <v>0</v>
      </c>
      <c r="K91" t="n">
        <v>0</v>
      </c>
      <c r="L91" t="n">
        <v>0</v>
      </c>
      <c r="M91" t="n">
        <v>0</v>
      </c>
      <c r="N91" t="n">
        <v>0</v>
      </c>
      <c r="O91" t="n">
        <v>0</v>
      </c>
      <c r="P91" t="n">
        <v>0</v>
      </c>
      <c r="Q91" t="n">
        <v>0</v>
      </c>
      <c r="R91" s="2" t="inlineStr"/>
    </row>
    <row r="92" ht="15" customHeight="1">
      <c r="A92" t="inlineStr">
        <is>
          <t>A 19637-2022</t>
        </is>
      </c>
      <c r="B92" s="1" t="n">
        <v>44694</v>
      </c>
      <c r="C92" s="1" t="n">
        <v>46084</v>
      </c>
      <c r="D92" t="inlineStr">
        <is>
          <t>VÄSTMANLANDS LÄN</t>
        </is>
      </c>
      <c r="E92" t="inlineStr">
        <is>
          <t>SURAHAMMAR</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46084</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47785-2021</t>
        </is>
      </c>
      <c r="B94" s="1" t="n">
        <v>44448</v>
      </c>
      <c r="C94" s="1" t="n">
        <v>46084</v>
      </c>
      <c r="D94" t="inlineStr">
        <is>
          <t>VÄSTMANLANDS LÄN</t>
        </is>
      </c>
      <c r="E94" t="inlineStr">
        <is>
          <t>SURAHAMMAR</t>
        </is>
      </c>
      <c r="F94" t="inlineStr">
        <is>
          <t>Kommuner</t>
        </is>
      </c>
      <c r="G94" t="n">
        <v>3.3</v>
      </c>
      <c r="H94" t="n">
        <v>0</v>
      </c>
      <c r="I94" t="n">
        <v>0</v>
      </c>
      <c r="J94" t="n">
        <v>0</v>
      </c>
      <c r="K94" t="n">
        <v>0</v>
      </c>
      <c r="L94" t="n">
        <v>0</v>
      </c>
      <c r="M94" t="n">
        <v>0</v>
      </c>
      <c r="N94" t="n">
        <v>0</v>
      </c>
      <c r="O94" t="n">
        <v>0</v>
      </c>
      <c r="P94" t="n">
        <v>0</v>
      </c>
      <c r="Q94" t="n">
        <v>0</v>
      </c>
      <c r="R94" s="2" t="inlineStr"/>
    </row>
    <row r="95" ht="15" customHeight="1">
      <c r="A95" t="inlineStr">
        <is>
          <t>A 20904-2023</t>
        </is>
      </c>
      <c r="B95" s="1" t="n">
        <v>45060</v>
      </c>
      <c r="C95" s="1" t="n">
        <v>46084</v>
      </c>
      <c r="D95" t="inlineStr">
        <is>
          <t>VÄSTMANLANDS LÄN</t>
        </is>
      </c>
      <c r="E95" t="inlineStr">
        <is>
          <t>SURAHAMMAR</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10883-2023</t>
        </is>
      </c>
      <c r="B96" s="1" t="n">
        <v>44991</v>
      </c>
      <c r="C96" s="1" t="n">
        <v>46084</v>
      </c>
      <c r="D96" t="inlineStr">
        <is>
          <t>VÄSTMANLANDS LÄN</t>
        </is>
      </c>
      <c r="E96" t="inlineStr">
        <is>
          <t>SURAHAMMAR</t>
        </is>
      </c>
      <c r="F96" t="inlineStr">
        <is>
          <t>Övriga Aktiebolag</t>
        </is>
      </c>
      <c r="G96" t="n">
        <v>12.5</v>
      </c>
      <c r="H96" t="n">
        <v>0</v>
      </c>
      <c r="I96" t="n">
        <v>0</v>
      </c>
      <c r="J96" t="n">
        <v>0</v>
      </c>
      <c r="K96" t="n">
        <v>0</v>
      </c>
      <c r="L96" t="n">
        <v>0</v>
      </c>
      <c r="M96" t="n">
        <v>0</v>
      </c>
      <c r="N96" t="n">
        <v>0</v>
      </c>
      <c r="O96" t="n">
        <v>0</v>
      </c>
      <c r="P96" t="n">
        <v>0</v>
      </c>
      <c r="Q96" t="n">
        <v>0</v>
      </c>
      <c r="R96" s="2" t="inlineStr"/>
    </row>
    <row r="97" ht="15" customHeight="1">
      <c r="A97" t="inlineStr">
        <is>
          <t>A 2660-2024</t>
        </is>
      </c>
      <c r="B97" s="1" t="n">
        <v>45310</v>
      </c>
      <c r="C97" s="1" t="n">
        <v>46084</v>
      </c>
      <c r="D97" t="inlineStr">
        <is>
          <t>VÄSTMANLANDS LÄN</t>
        </is>
      </c>
      <c r="E97" t="inlineStr">
        <is>
          <t>SURAHAMMAR</t>
        </is>
      </c>
      <c r="G97" t="n">
        <v>2.1</v>
      </c>
      <c r="H97" t="n">
        <v>0</v>
      </c>
      <c r="I97" t="n">
        <v>0</v>
      </c>
      <c r="J97" t="n">
        <v>0</v>
      </c>
      <c r="K97" t="n">
        <v>0</v>
      </c>
      <c r="L97" t="n">
        <v>0</v>
      </c>
      <c r="M97" t="n">
        <v>0</v>
      </c>
      <c r="N97" t="n">
        <v>0</v>
      </c>
      <c r="O97" t="n">
        <v>0</v>
      </c>
      <c r="P97" t="n">
        <v>0</v>
      </c>
      <c r="Q97" t="n">
        <v>0</v>
      </c>
      <c r="R97" s="2" t="inlineStr"/>
    </row>
    <row r="98" ht="15" customHeight="1">
      <c r="A98" t="inlineStr">
        <is>
          <t>A 48205-2023</t>
        </is>
      </c>
      <c r="B98" s="1" t="n">
        <v>45205</v>
      </c>
      <c r="C98" s="1" t="n">
        <v>46084</v>
      </c>
      <c r="D98" t="inlineStr">
        <is>
          <t>VÄSTMANLANDS LÄN</t>
        </is>
      </c>
      <c r="E98" t="inlineStr">
        <is>
          <t>SURAHAMMAR</t>
        </is>
      </c>
      <c r="F98" t="inlineStr">
        <is>
          <t>Allmännings- och besparingsskogar</t>
        </is>
      </c>
      <c r="G98" t="n">
        <v>7.6</v>
      </c>
      <c r="H98" t="n">
        <v>0</v>
      </c>
      <c r="I98" t="n">
        <v>0</v>
      </c>
      <c r="J98" t="n">
        <v>0</v>
      </c>
      <c r="K98" t="n">
        <v>0</v>
      </c>
      <c r="L98" t="n">
        <v>0</v>
      </c>
      <c r="M98" t="n">
        <v>0</v>
      </c>
      <c r="N98" t="n">
        <v>0</v>
      </c>
      <c r="O98" t="n">
        <v>0</v>
      </c>
      <c r="P98" t="n">
        <v>0</v>
      </c>
      <c r="Q98" t="n">
        <v>0</v>
      </c>
      <c r="R98" s="2" t="inlineStr"/>
    </row>
    <row r="99" ht="15" customHeight="1">
      <c r="A99" t="inlineStr">
        <is>
          <t>A 15743-2023</t>
        </is>
      </c>
      <c r="B99" s="1" t="n">
        <v>45021</v>
      </c>
      <c r="C99" s="1" t="n">
        <v>46084</v>
      </c>
      <c r="D99" t="inlineStr">
        <is>
          <t>VÄSTMANLANDS LÄN</t>
        </is>
      </c>
      <c r="E99" t="inlineStr">
        <is>
          <t>SURAHAMMAR</t>
        </is>
      </c>
      <c r="G99" t="n">
        <v>0.5</v>
      </c>
      <c r="H99" t="n">
        <v>0</v>
      </c>
      <c r="I99" t="n">
        <v>0</v>
      </c>
      <c r="J99" t="n">
        <v>0</v>
      </c>
      <c r="K99" t="n">
        <v>0</v>
      </c>
      <c r="L99" t="n">
        <v>0</v>
      </c>
      <c r="M99" t="n">
        <v>0</v>
      </c>
      <c r="N99" t="n">
        <v>0</v>
      </c>
      <c r="O99" t="n">
        <v>0</v>
      </c>
      <c r="P99" t="n">
        <v>0</v>
      </c>
      <c r="Q99" t="n">
        <v>0</v>
      </c>
      <c r="R99" s="2" t="inlineStr"/>
    </row>
    <row r="100" ht="15" customHeight="1">
      <c r="A100" t="inlineStr">
        <is>
          <t>A 30076-2023</t>
        </is>
      </c>
      <c r="B100" s="1" t="n">
        <v>45110</v>
      </c>
      <c r="C100" s="1" t="n">
        <v>46084</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46084</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38154-2021</t>
        </is>
      </c>
      <c r="B102" s="1" t="n">
        <v>44405.42373842592</v>
      </c>
      <c r="C102" s="1" t="n">
        <v>46084</v>
      </c>
      <c r="D102" t="inlineStr">
        <is>
          <t>VÄSTMANLANDS LÄN</t>
        </is>
      </c>
      <c r="E102" t="inlineStr">
        <is>
          <t>SURAHAMMAR</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16608-2022</t>
        </is>
      </c>
      <c r="B103" s="1" t="n">
        <v>44672</v>
      </c>
      <c r="C103" s="1" t="n">
        <v>46084</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46084</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15637-2022</t>
        </is>
      </c>
      <c r="B105" s="1" t="n">
        <v>44662.89638888889</v>
      </c>
      <c r="C105" s="1" t="n">
        <v>46084</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42088-2025</t>
        </is>
      </c>
      <c r="B106" s="1" t="n">
        <v>45902</v>
      </c>
      <c r="C106" s="1" t="n">
        <v>46084</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37798-2021</t>
        </is>
      </c>
      <c r="B107" s="1" t="n">
        <v>44402</v>
      </c>
      <c r="C107" s="1" t="n">
        <v>46084</v>
      </c>
      <c r="D107" t="inlineStr">
        <is>
          <t>VÄSTMANLANDS LÄN</t>
        </is>
      </c>
      <c r="E107" t="inlineStr">
        <is>
          <t>SURAHAMMAR</t>
        </is>
      </c>
      <c r="F107" t="inlineStr">
        <is>
          <t>Kommuner</t>
        </is>
      </c>
      <c r="G107" t="n">
        <v>1.2</v>
      </c>
      <c r="H107" t="n">
        <v>0</v>
      </c>
      <c r="I107" t="n">
        <v>0</v>
      </c>
      <c r="J107" t="n">
        <v>0</v>
      </c>
      <c r="K107" t="n">
        <v>0</v>
      </c>
      <c r="L107" t="n">
        <v>0</v>
      </c>
      <c r="M107" t="n">
        <v>0</v>
      </c>
      <c r="N107" t="n">
        <v>0</v>
      </c>
      <c r="O107" t="n">
        <v>0</v>
      </c>
      <c r="P107" t="n">
        <v>0</v>
      </c>
      <c r="Q107" t="n">
        <v>0</v>
      </c>
      <c r="R107" s="2" t="inlineStr"/>
    </row>
    <row r="108" ht="15" customHeight="1">
      <c r="A108" t="inlineStr">
        <is>
          <t>A 31107-2025</t>
        </is>
      </c>
      <c r="B108" s="1" t="n">
        <v>45831</v>
      </c>
      <c r="C108" s="1" t="n">
        <v>46084</v>
      </c>
      <c r="D108" t="inlineStr">
        <is>
          <t>VÄSTMANLANDS LÄN</t>
        </is>
      </c>
      <c r="E108" t="inlineStr">
        <is>
          <t>SURAHAMMAR</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43249-2025</t>
        </is>
      </c>
      <c r="B109" s="1" t="n">
        <v>45910.55059027778</v>
      </c>
      <c r="C109" s="1" t="n">
        <v>46084</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43255-2025</t>
        </is>
      </c>
      <c r="B110" s="1" t="n">
        <v>45910.55325231481</v>
      </c>
      <c r="C110" s="1" t="n">
        <v>46084</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13119-2022</t>
        </is>
      </c>
      <c r="B111" s="1" t="n">
        <v>44643</v>
      </c>
      <c r="C111" s="1" t="n">
        <v>46084</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8553-2023</t>
        </is>
      </c>
      <c r="B112" s="1" t="n">
        <v>44977</v>
      </c>
      <c r="C112" s="1" t="n">
        <v>46084</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25450-2024</t>
        </is>
      </c>
      <c r="B113" s="1" t="n">
        <v>45463</v>
      </c>
      <c r="C113" s="1" t="n">
        <v>46084</v>
      </c>
      <c r="D113" t="inlineStr">
        <is>
          <t>VÄSTMANLANDS LÄN</t>
        </is>
      </c>
      <c r="E113" t="inlineStr">
        <is>
          <t>SURAHAMMAR</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19786-2023</t>
        </is>
      </c>
      <c r="B114" s="1" t="n">
        <v>45050</v>
      </c>
      <c r="C114" s="1" t="n">
        <v>46084</v>
      </c>
      <c r="D114" t="inlineStr">
        <is>
          <t>VÄSTMANLANDS LÄN</t>
        </is>
      </c>
      <c r="E114" t="inlineStr">
        <is>
          <t>SURAHAMMAR</t>
        </is>
      </c>
      <c r="F114" t="inlineStr">
        <is>
          <t>Bergvik skog väst AB</t>
        </is>
      </c>
      <c r="G114" t="n">
        <v>8.1</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46084</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7848-2022</t>
        </is>
      </c>
      <c r="B116" s="1" t="n">
        <v>44608.58400462963</v>
      </c>
      <c r="C116" s="1" t="n">
        <v>46084</v>
      </c>
      <c r="D116" t="inlineStr">
        <is>
          <t>VÄSTMANLANDS LÄN</t>
        </is>
      </c>
      <c r="E116" t="inlineStr">
        <is>
          <t>SURAHAMMAR</t>
        </is>
      </c>
      <c r="G116" t="n">
        <v>2.1</v>
      </c>
      <c r="H116" t="n">
        <v>0</v>
      </c>
      <c r="I116" t="n">
        <v>0</v>
      </c>
      <c r="J116" t="n">
        <v>0</v>
      </c>
      <c r="K116" t="n">
        <v>0</v>
      </c>
      <c r="L116" t="n">
        <v>0</v>
      </c>
      <c r="M116" t="n">
        <v>0</v>
      </c>
      <c r="N116" t="n">
        <v>0</v>
      </c>
      <c r="O116" t="n">
        <v>0</v>
      </c>
      <c r="P116" t="n">
        <v>0</v>
      </c>
      <c r="Q116" t="n">
        <v>0</v>
      </c>
      <c r="R116" s="2" t="inlineStr"/>
    </row>
    <row r="117" ht="15" customHeight="1">
      <c r="A117" t="inlineStr">
        <is>
          <t>A 24167-2024</t>
        </is>
      </c>
      <c r="B117" s="1" t="n">
        <v>45456</v>
      </c>
      <c r="C117" s="1" t="n">
        <v>46084</v>
      </c>
      <c r="D117" t="inlineStr">
        <is>
          <t>VÄSTMANLANDS LÄN</t>
        </is>
      </c>
      <c r="E117" t="inlineStr">
        <is>
          <t>SURAHAMMAR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34584-2025</t>
        </is>
      </c>
      <c r="B118" s="1" t="n">
        <v>45846</v>
      </c>
      <c r="C118" s="1" t="n">
        <v>46084</v>
      </c>
      <c r="D118" t="inlineStr">
        <is>
          <t>VÄSTMANLANDS LÄN</t>
        </is>
      </c>
      <c r="E118" t="inlineStr">
        <is>
          <t>SURAHAMMAR</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56378-2023</t>
        </is>
      </c>
      <c r="B119" s="1" t="n">
        <v>45236</v>
      </c>
      <c r="C119" s="1" t="n">
        <v>46084</v>
      </c>
      <c r="D119" t="inlineStr">
        <is>
          <t>VÄSTMANLANDS LÄN</t>
        </is>
      </c>
      <c r="E119" t="inlineStr">
        <is>
          <t>SURAHAMMAR</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19099-2022</t>
        </is>
      </c>
      <c r="B120" s="1" t="n">
        <v>44691</v>
      </c>
      <c r="C120" s="1" t="n">
        <v>46084</v>
      </c>
      <c r="D120" t="inlineStr">
        <is>
          <t>VÄSTMANLANDS LÄN</t>
        </is>
      </c>
      <c r="E120" t="inlineStr">
        <is>
          <t>SURAHAMMAR</t>
        </is>
      </c>
      <c r="F120" t="inlineStr">
        <is>
          <t>Övriga Aktiebolag</t>
        </is>
      </c>
      <c r="G120" t="n">
        <v>3.4</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46084</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32910-2025</t>
        </is>
      </c>
      <c r="B122" s="1" t="n">
        <v>45839</v>
      </c>
      <c r="C122" s="1" t="n">
        <v>46084</v>
      </c>
      <c r="D122" t="inlineStr">
        <is>
          <t>VÄSTMANLANDS LÄN</t>
        </is>
      </c>
      <c r="E122" t="inlineStr">
        <is>
          <t>SURAHAMMAR</t>
        </is>
      </c>
      <c r="F122" t="inlineStr">
        <is>
          <t>Kommuner</t>
        </is>
      </c>
      <c r="G122" t="n">
        <v>1.1</v>
      </c>
      <c r="H122" t="n">
        <v>0</v>
      </c>
      <c r="I122" t="n">
        <v>0</v>
      </c>
      <c r="J122" t="n">
        <v>0</v>
      </c>
      <c r="K122" t="n">
        <v>0</v>
      </c>
      <c r="L122" t="n">
        <v>0</v>
      </c>
      <c r="M122" t="n">
        <v>0</v>
      </c>
      <c r="N122" t="n">
        <v>0</v>
      </c>
      <c r="O122" t="n">
        <v>0</v>
      </c>
      <c r="P122" t="n">
        <v>0</v>
      </c>
      <c r="Q122" t="n">
        <v>0</v>
      </c>
      <c r="R122" s="2" t="inlineStr"/>
    </row>
    <row r="123" ht="15" customHeight="1">
      <c r="A123" t="inlineStr">
        <is>
          <t>A 11501-2023</t>
        </is>
      </c>
      <c r="B123" s="1" t="n">
        <v>44991</v>
      </c>
      <c r="C123" s="1" t="n">
        <v>46084</v>
      </c>
      <c r="D123" t="inlineStr">
        <is>
          <t>VÄSTMANLANDS LÄN</t>
        </is>
      </c>
      <c r="E123" t="inlineStr">
        <is>
          <t>SURAHAMMAR</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7787-2024</t>
        </is>
      </c>
      <c r="B124" s="1" t="n">
        <v>45348</v>
      </c>
      <c r="C124" s="1" t="n">
        <v>46084</v>
      </c>
      <c r="D124" t="inlineStr">
        <is>
          <t>VÄSTMANLANDS LÄN</t>
        </is>
      </c>
      <c r="E124" t="inlineStr">
        <is>
          <t>SURAHAMMAR</t>
        </is>
      </c>
      <c r="G124" t="n">
        <v>1</v>
      </c>
      <c r="H124" t="n">
        <v>0</v>
      </c>
      <c r="I124" t="n">
        <v>0</v>
      </c>
      <c r="J124" t="n">
        <v>0</v>
      </c>
      <c r="K124" t="n">
        <v>0</v>
      </c>
      <c r="L124" t="n">
        <v>0</v>
      </c>
      <c r="M124" t="n">
        <v>0</v>
      </c>
      <c r="N124" t="n">
        <v>0</v>
      </c>
      <c r="O124" t="n">
        <v>0</v>
      </c>
      <c r="P124" t="n">
        <v>0</v>
      </c>
      <c r="Q124" t="n">
        <v>0</v>
      </c>
      <c r="R124" s="2" t="inlineStr"/>
    </row>
    <row r="125" ht="15" customHeight="1">
      <c r="A125" t="inlineStr">
        <is>
          <t>A 3818-2022</t>
        </is>
      </c>
      <c r="B125" s="1" t="n">
        <v>44587</v>
      </c>
      <c r="C125" s="1" t="n">
        <v>46084</v>
      </c>
      <c r="D125" t="inlineStr">
        <is>
          <t>VÄSTMANLANDS LÄN</t>
        </is>
      </c>
      <c r="E125" t="inlineStr">
        <is>
          <t>SURAHAMMAR</t>
        </is>
      </c>
      <c r="G125" t="n">
        <v>2.6</v>
      </c>
      <c r="H125" t="n">
        <v>0</v>
      </c>
      <c r="I125" t="n">
        <v>0</v>
      </c>
      <c r="J125" t="n">
        <v>0</v>
      </c>
      <c r="K125" t="n">
        <v>0</v>
      </c>
      <c r="L125" t="n">
        <v>0</v>
      </c>
      <c r="M125" t="n">
        <v>0</v>
      </c>
      <c r="N125" t="n">
        <v>0</v>
      </c>
      <c r="O125" t="n">
        <v>0</v>
      </c>
      <c r="P125" t="n">
        <v>0</v>
      </c>
      <c r="Q125" t="n">
        <v>0</v>
      </c>
      <c r="R125" s="2" t="inlineStr"/>
    </row>
    <row r="126" ht="15" customHeight="1">
      <c r="A126" t="inlineStr">
        <is>
          <t>A 37013-2025</t>
        </is>
      </c>
      <c r="B126" s="1" t="n">
        <v>45874</v>
      </c>
      <c r="C126" s="1" t="n">
        <v>46084</v>
      </c>
      <c r="D126" t="inlineStr">
        <is>
          <t>VÄSTMANLANDS LÄN</t>
        </is>
      </c>
      <c r="E126" t="inlineStr">
        <is>
          <t>SURAHAMMAR</t>
        </is>
      </c>
      <c r="F126" t="inlineStr">
        <is>
          <t>Bergvik skog väst AB</t>
        </is>
      </c>
      <c r="G126" t="n">
        <v>10.7</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46084</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55868-2025</t>
        </is>
      </c>
      <c r="B128" s="1" t="n">
        <v>45973.35263888889</v>
      </c>
      <c r="C128" s="1" t="n">
        <v>46084</v>
      </c>
      <c r="D128" t="inlineStr">
        <is>
          <t>VÄSTMANLANDS LÄN</t>
        </is>
      </c>
      <c r="E128" t="inlineStr">
        <is>
          <t>SURAHAMMAR</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46084</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46084</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56543-2025</t>
        </is>
      </c>
      <c r="B131" s="1" t="n">
        <v>45975</v>
      </c>
      <c r="C131" s="1" t="n">
        <v>46084</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4734-2026</t>
        </is>
      </c>
      <c r="B132" s="1" t="n">
        <v>46048</v>
      </c>
      <c r="C132" s="1" t="n">
        <v>46084</v>
      </c>
      <c r="D132" t="inlineStr">
        <is>
          <t>VÄSTMANLANDS LÄN</t>
        </is>
      </c>
      <c r="E132" t="inlineStr">
        <is>
          <t>SURAHAMMAR</t>
        </is>
      </c>
      <c r="G132" t="n">
        <v>0.7</v>
      </c>
      <c r="H132" t="n">
        <v>0</v>
      </c>
      <c r="I132" t="n">
        <v>0</v>
      </c>
      <c r="J132" t="n">
        <v>0</v>
      </c>
      <c r="K132" t="n">
        <v>0</v>
      </c>
      <c r="L132" t="n">
        <v>0</v>
      </c>
      <c r="M132" t="n">
        <v>0</v>
      </c>
      <c r="N132" t="n">
        <v>0</v>
      </c>
      <c r="O132" t="n">
        <v>0</v>
      </c>
      <c r="P132" t="n">
        <v>0</v>
      </c>
      <c r="Q132" t="n">
        <v>0</v>
      </c>
      <c r="R132" s="2" t="inlineStr"/>
    </row>
    <row r="133" ht="15" customHeight="1">
      <c r="A133" t="inlineStr">
        <is>
          <t>A 4724-2026</t>
        </is>
      </c>
      <c r="B133" s="1" t="n">
        <v>46048</v>
      </c>
      <c r="C133" s="1" t="n">
        <v>46084</v>
      </c>
      <c r="D133" t="inlineStr">
        <is>
          <t>VÄSTMANLANDS LÄN</t>
        </is>
      </c>
      <c r="E133" t="inlineStr">
        <is>
          <t>SURAHAMMAR</t>
        </is>
      </c>
      <c r="G133" t="n">
        <v>1.7</v>
      </c>
      <c r="H133" t="n">
        <v>0</v>
      </c>
      <c r="I133" t="n">
        <v>0</v>
      </c>
      <c r="J133" t="n">
        <v>0</v>
      </c>
      <c r="K133" t="n">
        <v>0</v>
      </c>
      <c r="L133" t="n">
        <v>0</v>
      </c>
      <c r="M133" t="n">
        <v>0</v>
      </c>
      <c r="N133" t="n">
        <v>0</v>
      </c>
      <c r="O133" t="n">
        <v>0</v>
      </c>
      <c r="P133" t="n">
        <v>0</v>
      </c>
      <c r="Q133" t="n">
        <v>0</v>
      </c>
      <c r="R133" s="2" t="inlineStr"/>
    </row>
    <row r="134" ht="15" customHeight="1">
      <c r="A134" t="inlineStr">
        <is>
          <t>A 10244-2026</t>
        </is>
      </c>
      <c r="B134" s="1" t="n">
        <v>46076.55032407407</v>
      </c>
      <c r="C134" s="1" t="n">
        <v>46084</v>
      </c>
      <c r="D134" t="inlineStr">
        <is>
          <t>VÄSTMANLANDS LÄN</t>
        </is>
      </c>
      <c r="E134" t="inlineStr">
        <is>
          <t>SURAHAMMAR</t>
        </is>
      </c>
      <c r="F134" t="inlineStr">
        <is>
          <t>Allmännings- och besparingsskogar</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10249-2026</t>
        </is>
      </c>
      <c r="B135" s="1" t="n">
        <v>46076.55456018518</v>
      </c>
      <c r="C135" s="1" t="n">
        <v>46084</v>
      </c>
      <c r="D135" t="inlineStr">
        <is>
          <t>VÄSTMANLANDS LÄN</t>
        </is>
      </c>
      <c r="E135" t="inlineStr">
        <is>
          <t>SURAHAMMAR</t>
        </is>
      </c>
      <c r="F135" t="inlineStr">
        <is>
          <t>Allmännings- och besparingsskogar</t>
        </is>
      </c>
      <c r="G135" t="n">
        <v>4.8</v>
      </c>
      <c r="H135" t="n">
        <v>0</v>
      </c>
      <c r="I135" t="n">
        <v>0</v>
      </c>
      <c r="J135" t="n">
        <v>0</v>
      </c>
      <c r="K135" t="n">
        <v>0</v>
      </c>
      <c r="L135" t="n">
        <v>0</v>
      </c>
      <c r="M135" t="n">
        <v>0</v>
      </c>
      <c r="N135" t="n">
        <v>0</v>
      </c>
      <c r="O135" t="n">
        <v>0</v>
      </c>
      <c r="P135" t="n">
        <v>0</v>
      </c>
      <c r="Q135" t="n">
        <v>0</v>
      </c>
      <c r="R135" s="2" t="inlineStr"/>
    </row>
    <row r="136" ht="15" customHeight="1">
      <c r="A136" t="inlineStr">
        <is>
          <t>A 10562-2026</t>
        </is>
      </c>
      <c r="B136" s="1" t="n">
        <v>46077.64043981482</v>
      </c>
      <c r="C136" s="1" t="n">
        <v>46084</v>
      </c>
      <c r="D136" t="inlineStr">
        <is>
          <t>VÄSTMANLANDS LÄN</t>
        </is>
      </c>
      <c r="E136" t="inlineStr">
        <is>
          <t>SURAHAMMAR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46084</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46084</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10512-2026</t>
        </is>
      </c>
      <c r="B139" s="1" t="n">
        <v>46077.56861111111</v>
      </c>
      <c r="C139" s="1" t="n">
        <v>46084</v>
      </c>
      <c r="D139" t="inlineStr">
        <is>
          <t>VÄSTMANLANDS LÄN</t>
        </is>
      </c>
      <c r="E139" t="inlineStr">
        <is>
          <t>SURAHAMMAR</t>
        </is>
      </c>
      <c r="F139" t="inlineStr">
        <is>
          <t>Övriga Aktiebolag</t>
        </is>
      </c>
      <c r="G139" t="n">
        <v>4.3</v>
      </c>
      <c r="H139" t="n">
        <v>0</v>
      </c>
      <c r="I139" t="n">
        <v>0</v>
      </c>
      <c r="J139" t="n">
        <v>0</v>
      </c>
      <c r="K139" t="n">
        <v>0</v>
      </c>
      <c r="L139" t="n">
        <v>0</v>
      </c>
      <c r="M139" t="n">
        <v>0</v>
      </c>
      <c r="N139" t="n">
        <v>0</v>
      </c>
      <c r="O139" t="n">
        <v>0</v>
      </c>
      <c r="P139" t="n">
        <v>0</v>
      </c>
      <c r="Q139" t="n">
        <v>0</v>
      </c>
      <c r="R139" s="2" t="inlineStr"/>
    </row>
    <row r="140" ht="15" customHeight="1">
      <c r="A140" t="inlineStr">
        <is>
          <t>A 10347-2026</t>
        </is>
      </c>
      <c r="B140" s="1" t="n">
        <v>46076.69101851852</v>
      </c>
      <c r="C140" s="1" t="n">
        <v>46084</v>
      </c>
      <c r="D140" t="inlineStr">
        <is>
          <t>VÄSTMANLANDS LÄN</t>
        </is>
      </c>
      <c r="E140" t="inlineStr">
        <is>
          <t>SURAHAMMAR</t>
        </is>
      </c>
      <c r="F140" t="inlineStr">
        <is>
          <t>Allmännings- och besparingsskogar</t>
        </is>
      </c>
      <c r="G140" t="n">
        <v>3</v>
      </c>
      <c r="H140" t="n">
        <v>0</v>
      </c>
      <c r="I140" t="n">
        <v>0</v>
      </c>
      <c r="J140" t="n">
        <v>0</v>
      </c>
      <c r="K140" t="n">
        <v>0</v>
      </c>
      <c r="L140" t="n">
        <v>0</v>
      </c>
      <c r="M140" t="n">
        <v>0</v>
      </c>
      <c r="N140" t="n">
        <v>0</v>
      </c>
      <c r="O140" t="n">
        <v>0</v>
      </c>
      <c r="P140" t="n">
        <v>0</v>
      </c>
      <c r="Q140" t="n">
        <v>0</v>
      </c>
      <c r="R140" s="2" t="inlineStr"/>
    </row>
    <row r="141" ht="15" customHeight="1">
      <c r="A141" t="inlineStr">
        <is>
          <t>A 21509-2024</t>
        </is>
      </c>
      <c r="B141" s="1" t="n">
        <v>45441</v>
      </c>
      <c r="C141" s="1" t="n">
        <v>46084</v>
      </c>
      <c r="D141" t="inlineStr">
        <is>
          <t>VÄSTMANLANDS LÄN</t>
        </is>
      </c>
      <c r="E141" t="inlineStr">
        <is>
          <t>SURAHAMMAR</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46084</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16013-2023</t>
        </is>
      </c>
      <c r="B143" s="1" t="n">
        <v>45026</v>
      </c>
      <c r="C143" s="1" t="n">
        <v>46084</v>
      </c>
      <c r="D143" t="inlineStr">
        <is>
          <t>VÄSTMANLANDS LÄN</t>
        </is>
      </c>
      <c r="E143" t="inlineStr">
        <is>
          <t>SURAHAMMAR</t>
        </is>
      </c>
      <c r="G143" t="n">
        <v>3.9</v>
      </c>
      <c r="H143" t="n">
        <v>0</v>
      </c>
      <c r="I143" t="n">
        <v>0</v>
      </c>
      <c r="J143" t="n">
        <v>0</v>
      </c>
      <c r="K143" t="n">
        <v>0</v>
      </c>
      <c r="L143" t="n">
        <v>0</v>
      </c>
      <c r="M143" t="n">
        <v>0</v>
      </c>
      <c r="N143" t="n">
        <v>0</v>
      </c>
      <c r="O143" t="n">
        <v>0</v>
      </c>
      <c r="P143" t="n">
        <v>0</v>
      </c>
      <c r="Q143" t="n">
        <v>0</v>
      </c>
      <c r="R143" s="2" t="inlineStr"/>
    </row>
    <row r="144" ht="15" customHeight="1">
      <c r="A144" t="inlineStr">
        <is>
          <t>A 41555-2022</t>
        </is>
      </c>
      <c r="B144" s="1" t="n">
        <v>44826</v>
      </c>
      <c r="C144" s="1" t="n">
        <v>46084</v>
      </c>
      <c r="D144" t="inlineStr">
        <is>
          <t>VÄSTMANLANDS LÄN</t>
        </is>
      </c>
      <c r="E144" t="inlineStr">
        <is>
          <t>SURAHAMMAR</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37287-2023</t>
        </is>
      </c>
      <c r="B145" s="1" t="n">
        <v>45156</v>
      </c>
      <c r="C145" s="1" t="n">
        <v>46084</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5697-2026</t>
        </is>
      </c>
      <c r="B146" s="1" t="n">
        <v>46051.50020833333</v>
      </c>
      <c r="C146" s="1" t="n">
        <v>46084</v>
      </c>
      <c r="D146" t="inlineStr">
        <is>
          <t>VÄSTMANLANDS LÄN</t>
        </is>
      </c>
      <c r="E146" t="inlineStr">
        <is>
          <t>SURAHAMMAR</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5698-2026</t>
        </is>
      </c>
      <c r="B147" s="1" t="n">
        <v>46051.50196759259</v>
      </c>
      <c r="C147" s="1" t="n">
        <v>46084</v>
      </c>
      <c r="D147" t="inlineStr">
        <is>
          <t>VÄSTMANLANDS LÄN</t>
        </is>
      </c>
      <c r="E147" t="inlineStr">
        <is>
          <t>SURAHAMMAR</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5696-2026</t>
        </is>
      </c>
      <c r="B148" s="1" t="n">
        <v>46051.4975</v>
      </c>
      <c r="C148" s="1" t="n">
        <v>46084</v>
      </c>
      <c r="D148" t="inlineStr">
        <is>
          <t>VÄSTMANLANDS LÄN</t>
        </is>
      </c>
      <c r="E148" t="inlineStr">
        <is>
          <t>SURAHAMMAR</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63138-2025</t>
        </is>
      </c>
      <c r="B149" s="1" t="n">
        <v>46009</v>
      </c>
      <c r="C149" s="1" t="n">
        <v>46084</v>
      </c>
      <c r="D149" t="inlineStr">
        <is>
          <t>VÄSTMANLANDS LÄN</t>
        </is>
      </c>
      <c r="E149" t="inlineStr">
        <is>
          <t>SURAHAMMAR</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25780-2023</t>
        </is>
      </c>
      <c r="B150" s="1" t="n">
        <v>45090.47523148148</v>
      </c>
      <c r="C150" s="1" t="n">
        <v>46084</v>
      </c>
      <c r="D150" t="inlineStr">
        <is>
          <t>VÄSTMANLANDS LÄN</t>
        </is>
      </c>
      <c r="E150" t="inlineStr">
        <is>
          <t>SURAHAMMAR</t>
        </is>
      </c>
      <c r="G150" t="n">
        <v>2.8</v>
      </c>
      <c r="H150" t="n">
        <v>0</v>
      </c>
      <c r="I150" t="n">
        <v>0</v>
      </c>
      <c r="J150" t="n">
        <v>0</v>
      </c>
      <c r="K150" t="n">
        <v>0</v>
      </c>
      <c r="L150" t="n">
        <v>0</v>
      </c>
      <c r="M150" t="n">
        <v>0</v>
      </c>
      <c r="N150" t="n">
        <v>0</v>
      </c>
      <c r="O150" t="n">
        <v>0</v>
      </c>
      <c r="P150" t="n">
        <v>0</v>
      </c>
      <c r="Q150" t="n">
        <v>0</v>
      </c>
      <c r="R150" s="2" t="inlineStr"/>
    </row>
    <row r="151" ht="15" customHeight="1">
      <c r="A151" t="inlineStr">
        <is>
          <t>A 13386-2025</t>
        </is>
      </c>
      <c r="B151" s="1" t="n">
        <v>45735</v>
      </c>
      <c r="C151" s="1" t="n">
        <v>46084</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46084</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33931-2022</t>
        </is>
      </c>
      <c r="B153" s="1" t="n">
        <v>44790.65153935185</v>
      </c>
      <c r="C153" s="1" t="n">
        <v>46084</v>
      </c>
      <c r="D153" t="inlineStr">
        <is>
          <t>VÄSTMANLANDS LÄN</t>
        </is>
      </c>
      <c r="E153" t="inlineStr">
        <is>
          <t>SURAHAMMAR</t>
        </is>
      </c>
      <c r="G153" t="n">
        <v>2.2</v>
      </c>
      <c r="H153" t="n">
        <v>0</v>
      </c>
      <c r="I153" t="n">
        <v>0</v>
      </c>
      <c r="J153" t="n">
        <v>0</v>
      </c>
      <c r="K153" t="n">
        <v>0</v>
      </c>
      <c r="L153" t="n">
        <v>0</v>
      </c>
      <c r="M153" t="n">
        <v>0</v>
      </c>
      <c r="N153" t="n">
        <v>0</v>
      </c>
      <c r="O153" t="n">
        <v>0</v>
      </c>
      <c r="P153" t="n">
        <v>0</v>
      </c>
      <c r="Q153" t="n">
        <v>0</v>
      </c>
      <c r="R153" s="2" t="inlineStr"/>
    </row>
    <row r="154" ht="15" customHeight="1">
      <c r="A154" t="inlineStr">
        <is>
          <t>A 24158-2023</t>
        </is>
      </c>
      <c r="B154" s="1" t="n">
        <v>45079</v>
      </c>
      <c r="C154" s="1" t="n">
        <v>46084</v>
      </c>
      <c r="D154" t="inlineStr">
        <is>
          <t>VÄSTMANLANDS LÄN</t>
        </is>
      </c>
      <c r="E154" t="inlineStr">
        <is>
          <t>SURAHAMMAR</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42714-2022</t>
        </is>
      </c>
      <c r="B155" s="1" t="n">
        <v>44832</v>
      </c>
      <c r="C155" s="1" t="n">
        <v>46084</v>
      </c>
      <c r="D155" t="inlineStr">
        <is>
          <t>VÄSTMANLANDS LÄN</t>
        </is>
      </c>
      <c r="E155" t="inlineStr">
        <is>
          <t>SURAHAMMAR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35682-2022</t>
        </is>
      </c>
      <c r="B156" s="1" t="n">
        <v>44799.60422453703</v>
      </c>
      <c r="C156" s="1" t="n">
        <v>46084</v>
      </c>
      <c r="D156" t="inlineStr">
        <is>
          <t>VÄSTMANLANDS LÄN</t>
        </is>
      </c>
      <c r="E156" t="inlineStr">
        <is>
          <t>SURAHAMMAR</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11728-2023</t>
        </is>
      </c>
      <c r="B157" s="1" t="n">
        <v>44993</v>
      </c>
      <c r="C157" s="1" t="n">
        <v>46084</v>
      </c>
      <c r="D157" t="inlineStr">
        <is>
          <t>VÄSTMANLANDS LÄN</t>
        </is>
      </c>
      <c r="E157" t="inlineStr">
        <is>
          <t>SURAHAMMAR</t>
        </is>
      </c>
      <c r="F157" t="inlineStr">
        <is>
          <t>Bergvik skog väst AB</t>
        </is>
      </c>
      <c r="G157" t="n">
        <v>0.4</v>
      </c>
      <c r="H157" t="n">
        <v>0</v>
      </c>
      <c r="I157" t="n">
        <v>0</v>
      </c>
      <c r="J157" t="n">
        <v>0</v>
      </c>
      <c r="K157" t="n">
        <v>0</v>
      </c>
      <c r="L157" t="n">
        <v>0</v>
      </c>
      <c r="M157" t="n">
        <v>0</v>
      </c>
      <c r="N157" t="n">
        <v>0</v>
      </c>
      <c r="O157" t="n">
        <v>0</v>
      </c>
      <c r="P157" t="n">
        <v>0</v>
      </c>
      <c r="Q157" t="n">
        <v>0</v>
      </c>
      <c r="R157" s="2" t="inlineStr"/>
    </row>
    <row r="158" ht="15" customHeight="1">
      <c r="A158" t="inlineStr">
        <is>
          <t>A 5567-2022</t>
        </is>
      </c>
      <c r="B158" s="1" t="n">
        <v>44595</v>
      </c>
      <c r="C158" s="1" t="n">
        <v>46084</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42832-2022</t>
        </is>
      </c>
      <c r="B159" s="1" t="n">
        <v>44832</v>
      </c>
      <c r="C159" s="1" t="n">
        <v>46084</v>
      </c>
      <c r="D159" t="inlineStr">
        <is>
          <t>VÄSTMANLANDS LÄN</t>
        </is>
      </c>
      <c r="E159" t="inlineStr">
        <is>
          <t>SURAHAMMAR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24665-2023</t>
        </is>
      </c>
      <c r="B160" s="1" t="n">
        <v>45084.48592592592</v>
      </c>
      <c r="C160" s="1" t="n">
        <v>46084</v>
      </c>
      <c r="D160" t="inlineStr">
        <is>
          <t>VÄSTMANLANDS LÄN</t>
        </is>
      </c>
      <c r="E160" t="inlineStr">
        <is>
          <t>SURAHAMMAR</t>
        </is>
      </c>
      <c r="G160" t="n">
        <v>0.9</v>
      </c>
      <c r="H160" t="n">
        <v>0</v>
      </c>
      <c r="I160" t="n">
        <v>0</v>
      </c>
      <c r="J160" t="n">
        <v>0</v>
      </c>
      <c r="K160" t="n">
        <v>0</v>
      </c>
      <c r="L160" t="n">
        <v>0</v>
      </c>
      <c r="M160" t="n">
        <v>0</v>
      </c>
      <c r="N160" t="n">
        <v>0</v>
      </c>
      <c r="O160" t="n">
        <v>0</v>
      </c>
      <c r="P160" t="n">
        <v>0</v>
      </c>
      <c r="Q160" t="n">
        <v>0</v>
      </c>
      <c r="R160" s="2" t="inlineStr"/>
    </row>
    <row r="161" ht="15" customHeight="1">
      <c r="A161" t="inlineStr">
        <is>
          <t>A 32808-2024</t>
        </is>
      </c>
      <c r="B161" s="1" t="n">
        <v>45516</v>
      </c>
      <c r="C161" s="1" t="n">
        <v>46084</v>
      </c>
      <c r="D161" t="inlineStr">
        <is>
          <t>VÄSTMANLANDS LÄN</t>
        </is>
      </c>
      <c r="E161" t="inlineStr">
        <is>
          <t>SURAHAMMAR</t>
        </is>
      </c>
      <c r="F161" t="inlineStr">
        <is>
          <t>Övriga Aktiebolag</t>
        </is>
      </c>
      <c r="G161" t="n">
        <v>1.9</v>
      </c>
      <c r="H161" t="n">
        <v>0</v>
      </c>
      <c r="I161" t="n">
        <v>0</v>
      </c>
      <c r="J161" t="n">
        <v>0</v>
      </c>
      <c r="K161" t="n">
        <v>0</v>
      </c>
      <c r="L161" t="n">
        <v>0</v>
      </c>
      <c r="M161" t="n">
        <v>0</v>
      </c>
      <c r="N161" t="n">
        <v>0</v>
      </c>
      <c r="O161" t="n">
        <v>0</v>
      </c>
      <c r="P161" t="n">
        <v>0</v>
      </c>
      <c r="Q161" t="n">
        <v>0</v>
      </c>
      <c r="R161" s="2" t="inlineStr"/>
    </row>
    <row r="162" ht="15" customHeight="1">
      <c r="A162" t="inlineStr">
        <is>
          <t>A 42841-2022</t>
        </is>
      </c>
      <c r="B162" s="1" t="n">
        <v>44832</v>
      </c>
      <c r="C162" s="1" t="n">
        <v>46084</v>
      </c>
      <c r="D162" t="inlineStr">
        <is>
          <t>VÄSTMANLANDS LÄN</t>
        </is>
      </c>
      <c r="E162" t="inlineStr">
        <is>
          <t>SURAHAMMAR</t>
        </is>
      </c>
      <c r="G162" t="n">
        <v>1.8</v>
      </c>
      <c r="H162" t="n">
        <v>0</v>
      </c>
      <c r="I162" t="n">
        <v>0</v>
      </c>
      <c r="J162" t="n">
        <v>0</v>
      </c>
      <c r="K162" t="n">
        <v>0</v>
      </c>
      <c r="L162" t="n">
        <v>0</v>
      </c>
      <c r="M162" t="n">
        <v>0</v>
      </c>
      <c r="N162" t="n">
        <v>0</v>
      </c>
      <c r="O162" t="n">
        <v>0</v>
      </c>
      <c r="P162" t="n">
        <v>0</v>
      </c>
      <c r="Q162" t="n">
        <v>0</v>
      </c>
      <c r="R162" s="2" t="inlineStr"/>
    </row>
    <row r="163" ht="15" customHeight="1">
      <c r="A163" t="inlineStr">
        <is>
          <t>A 42829-2022</t>
        </is>
      </c>
      <c r="B163" s="1" t="n">
        <v>44832</v>
      </c>
      <c r="C163" s="1" t="n">
        <v>46084</v>
      </c>
      <c r="D163" t="inlineStr">
        <is>
          <t>VÄSTMANLANDS LÄN</t>
        </is>
      </c>
      <c r="E163" t="inlineStr">
        <is>
          <t>SURAHAMMAR</t>
        </is>
      </c>
      <c r="G163" t="n">
        <v>1.6</v>
      </c>
      <c r="H163" t="n">
        <v>0</v>
      </c>
      <c r="I163" t="n">
        <v>0</v>
      </c>
      <c r="J163" t="n">
        <v>0</v>
      </c>
      <c r="K163" t="n">
        <v>0</v>
      </c>
      <c r="L163" t="n">
        <v>0</v>
      </c>
      <c r="M163" t="n">
        <v>0</v>
      </c>
      <c r="N163" t="n">
        <v>0</v>
      </c>
      <c r="O163" t="n">
        <v>0</v>
      </c>
      <c r="P163" t="n">
        <v>0</v>
      </c>
      <c r="Q163" t="n">
        <v>0</v>
      </c>
      <c r="R163" s="2" t="inlineStr"/>
    </row>
    <row r="164" ht="15" customHeight="1">
      <c r="A164" t="inlineStr">
        <is>
          <t>A 2867-2024</t>
        </is>
      </c>
      <c r="B164" s="1" t="n">
        <v>45315</v>
      </c>
      <c r="C164" s="1" t="n">
        <v>46084</v>
      </c>
      <c r="D164" t="inlineStr">
        <is>
          <t>VÄSTMANLANDS LÄN</t>
        </is>
      </c>
      <c r="E164" t="inlineStr">
        <is>
          <t>SURAHAMMAR</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3085-2023</t>
        </is>
      </c>
      <c r="B165" s="1" t="n">
        <v>44946</v>
      </c>
      <c r="C165" s="1" t="n">
        <v>46084</v>
      </c>
      <c r="D165" t="inlineStr">
        <is>
          <t>VÄSTMANLANDS LÄN</t>
        </is>
      </c>
      <c r="E165" t="inlineStr">
        <is>
          <t>SURAHAMMAR</t>
        </is>
      </c>
      <c r="F165" t="inlineStr">
        <is>
          <t>Kyrkan</t>
        </is>
      </c>
      <c r="G165" t="n">
        <v>13</v>
      </c>
      <c r="H165" t="n">
        <v>0</v>
      </c>
      <c r="I165" t="n">
        <v>0</v>
      </c>
      <c r="J165" t="n">
        <v>0</v>
      </c>
      <c r="K165" t="n">
        <v>0</v>
      </c>
      <c r="L165" t="n">
        <v>0</v>
      </c>
      <c r="M165" t="n">
        <v>0</v>
      </c>
      <c r="N165" t="n">
        <v>0</v>
      </c>
      <c r="O165" t="n">
        <v>0</v>
      </c>
      <c r="P165" t="n">
        <v>0</v>
      </c>
      <c r="Q165" t="n">
        <v>0</v>
      </c>
      <c r="R165" s="2" t="inlineStr"/>
    </row>
    <row r="166" ht="15" customHeight="1">
      <c r="A166" t="inlineStr">
        <is>
          <t>A 49058-2024</t>
        </is>
      </c>
      <c r="B166" s="1" t="n">
        <v>45594</v>
      </c>
      <c r="C166" s="1" t="n">
        <v>46084</v>
      </c>
      <c r="D166" t="inlineStr">
        <is>
          <t>VÄSTMANLANDS LÄN</t>
        </is>
      </c>
      <c r="E166" t="inlineStr">
        <is>
          <t>SURAHAMMAR</t>
        </is>
      </c>
      <c r="F166" t="inlineStr">
        <is>
          <t>Sveaskog</t>
        </is>
      </c>
      <c r="G166" t="n">
        <v>11.4</v>
      </c>
      <c r="H166" t="n">
        <v>0</v>
      </c>
      <c r="I166" t="n">
        <v>0</v>
      </c>
      <c r="J166" t="n">
        <v>0</v>
      </c>
      <c r="K166" t="n">
        <v>0</v>
      </c>
      <c r="L166" t="n">
        <v>0</v>
      </c>
      <c r="M166" t="n">
        <v>0</v>
      </c>
      <c r="N166" t="n">
        <v>0</v>
      </c>
      <c r="O166" t="n">
        <v>0</v>
      </c>
      <c r="P166" t="n">
        <v>0</v>
      </c>
      <c r="Q166" t="n">
        <v>0</v>
      </c>
      <c r="R166" s="2" t="inlineStr"/>
    </row>
    <row r="167" ht="15" customHeight="1">
      <c r="A167" t="inlineStr">
        <is>
          <t>A 49060-2024</t>
        </is>
      </c>
      <c r="B167" s="1" t="n">
        <v>45594</v>
      </c>
      <c r="C167" s="1" t="n">
        <v>46084</v>
      </c>
      <c r="D167" t="inlineStr">
        <is>
          <t>VÄSTMANLANDS LÄN</t>
        </is>
      </c>
      <c r="E167" t="inlineStr">
        <is>
          <t>SURAHAMMAR</t>
        </is>
      </c>
      <c r="F167" t="inlineStr">
        <is>
          <t>Sveaskog</t>
        </is>
      </c>
      <c r="G167" t="n">
        <v>4.4</v>
      </c>
      <c r="H167" t="n">
        <v>0</v>
      </c>
      <c r="I167" t="n">
        <v>0</v>
      </c>
      <c r="J167" t="n">
        <v>0</v>
      </c>
      <c r="K167" t="n">
        <v>0</v>
      </c>
      <c r="L167" t="n">
        <v>0</v>
      </c>
      <c r="M167" t="n">
        <v>0</v>
      </c>
      <c r="N167" t="n">
        <v>0</v>
      </c>
      <c r="O167" t="n">
        <v>0</v>
      </c>
      <c r="P167" t="n">
        <v>0</v>
      </c>
      <c r="Q167" t="n">
        <v>0</v>
      </c>
      <c r="R167" s="2" t="inlineStr"/>
    </row>
    <row r="168">
      <c r="A168" t="inlineStr">
        <is>
          <t>A 34955-2022</t>
        </is>
      </c>
      <c r="B168" s="1" t="n">
        <v>44796</v>
      </c>
      <c r="C168" s="1" t="n">
        <v>46084</v>
      </c>
      <c r="D168" t="inlineStr">
        <is>
          <t>VÄSTMANLANDS LÄN</t>
        </is>
      </c>
      <c r="E168" t="inlineStr">
        <is>
          <t>SURAHAMMAR</t>
        </is>
      </c>
      <c r="F168" t="inlineStr">
        <is>
          <t>Sveaskog</t>
        </is>
      </c>
      <c r="G168" t="n">
        <v>4.6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2026-03-03T11:13:32Z</dcterms:created>
  <dcterms:modified xmlns:dcterms="http://purl.org/dc/terms/" xmlns:xsi="http://www.w3.org/2001/XMLSchema-instance" xsi:type="dcterms:W3CDTF">2026-03-03T11:13:32Z</dcterms:modified>
</cp:coreProperties>
</file>