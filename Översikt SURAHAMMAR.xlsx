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46228</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218</v>
      </c>
      <c r="U5" t="n">
        <v>82</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46228</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46228</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46228</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46228</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46228</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46228</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46228</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46228</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46228</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46228</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46228</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46228</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46228</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46228</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46228</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46228</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46228</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46228</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46228</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46228</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46228</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46228</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46228</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46228</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46228</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46228</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46228</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t="n">
        <v>0</v>
      </c>
      <c r="V37" s="2" t="inlineStr">
        <is>
          <t>Svinrot
Veckticka
Grönvit nattviol
Nattviol</t>
        </is>
      </c>
      <c r="W37">
        <f>HYPERLINK("https://klasma.github.io/Logging_1907/artfynd/A 37801-2021 artfynd.xlsx", "A 37801-2021")</f>
        <v/>
      </c>
      <c r="X37">
        <f>HYPERLINK("https://klasma.github.io/Logging_1907/kartor/A 37801-2021 karta.png", "A 37801-2021")</f>
        <v/>
      </c>
      <c r="Y37">
        <f>HYPERLINK("https://klasma.github.io/Logging_1907/kartor_geotiff/A 37801-2021 georefererad karta.tif", "A 37801-2021")</f>
        <v/>
      </c>
      <c r="AA37">
        <f>HYPERLINK("https://klasma.github.io/Logging_1907/klagomål/A 37801-2021 FSC-klagomål.docx", "A 37801-2021")</f>
        <v/>
      </c>
      <c r="AB37">
        <f>HYPERLINK("https://klasma.github.io/Logging_1907/klagomålsmail/A 37801-2021 FSC-klagomål mail.docx", "A 37801-2021")</f>
        <v/>
      </c>
      <c r="AC37">
        <f>HYPERLINK("https://klasma.github.io/Logging_1907/tillsyn/A 37801-2021 tillsynsbegäran.docx", "A 37801-2021")</f>
        <v/>
      </c>
      <c r="AD37">
        <f>HYPERLINK("https://klasma.github.io/Logging_1907/tillsynsmail/A 37801-2021 tillsynsbegäran mail.docx", "A 37801-2021")</f>
        <v/>
      </c>
    </row>
    <row r="38" ht="15" customHeight="1">
      <c r="A38" t="inlineStr">
        <is>
          <t>A 40411-2021</t>
        </is>
      </c>
      <c r="B38" t="inlineStr">
        <is>
          <t>avverkningsanmälan</t>
        </is>
      </c>
      <c r="C38" t="inlineStr">
        <is>
          <t>Föryngringsavverkning</t>
        </is>
      </c>
      <c r="D38" s="1" t="n">
        <v>44419</v>
      </c>
      <c r="E38" s="1" t="n">
        <v>46228</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46228</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37800-2021</t>
        </is>
      </c>
      <c r="B40" t="inlineStr">
        <is>
          <t>avverkningsanmälan</t>
        </is>
      </c>
      <c r="C40" t="inlineStr">
        <is>
          <t>Föryngringsavverkning</t>
        </is>
      </c>
      <c r="D40" s="1" t="n">
        <v>44402</v>
      </c>
      <c r="E40" s="1" t="n">
        <v>46228</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t="n">
        <v>0</v>
      </c>
      <c r="V40" s="2" t="inlineStr">
        <is>
          <t>Svinrot
Veckticka
Grönvit nattviol
Nattviol</t>
        </is>
      </c>
      <c r="W40">
        <f>HYPERLINK("https://klasma.github.io/Logging_1907/artfynd/A 37800-2021 artfynd.xlsx", "A 37800-2021")</f>
        <v/>
      </c>
      <c r="X40">
        <f>HYPERLINK("https://klasma.github.io/Logging_1907/kartor/A 37800-2021 karta.png", "A 37800-2021")</f>
        <v/>
      </c>
      <c r="Y40">
        <f>HYPERLINK("https://klasma.github.io/Logging_1907/kartor_geotiff/A 37800-2021 georefererad karta.tif", "A 37800-2021")</f>
        <v/>
      </c>
      <c r="AA40">
        <f>HYPERLINK("https://klasma.github.io/Logging_1907/klagomål/A 37800-2021 FSC-klagomål.docx", "A 37800-2021")</f>
        <v/>
      </c>
      <c r="AB40">
        <f>HYPERLINK("https://klasma.github.io/Logging_1907/klagomålsmail/A 37800-2021 FSC-klagomål mail.docx", "A 37800-2021")</f>
        <v/>
      </c>
      <c r="AC40">
        <f>HYPERLINK("https://klasma.github.io/Logging_1907/tillsyn/A 37800-2021 tillsynsbegäran.docx", "A 37800-2021")</f>
        <v/>
      </c>
      <c r="AD40">
        <f>HYPERLINK("https://klasma.github.io/Logging_1907/tillsynsmail/A 37800-2021 tillsynsbegäran mail.docx", "A 37800-2021")</f>
        <v/>
      </c>
    </row>
    <row r="41" ht="15" customHeight="1">
      <c r="A41" t="inlineStr">
        <is>
          <t>A 31176-2024</t>
        </is>
      </c>
      <c r="B41" t="inlineStr">
        <is>
          <t>avverkningsanmälan</t>
        </is>
      </c>
      <c r="C41" t="inlineStr">
        <is>
          <t>Föryngringsavverkning</t>
        </is>
      </c>
      <c r="D41" s="1" t="n">
        <v>45503</v>
      </c>
      <c r="E41" s="1" t="n">
        <v>46228</v>
      </c>
      <c r="F41" t="inlineStr">
        <is>
          <t>VÄSTMANLANDS LÄN</t>
        </is>
      </c>
      <c r="G41" t="inlineStr">
        <is>
          <t>SURAHAMMAR</t>
        </is>
      </c>
      <c r="H41" t="inlineStr">
        <is>
          <t>Allmännings- och besparingsskogar</t>
        </is>
      </c>
      <c r="I41" t="n">
        <v>10.7</v>
      </c>
      <c r="J41" t="n">
        <v>2</v>
      </c>
      <c r="K41" t="n">
        <v>0</v>
      </c>
      <c r="L41" t="n">
        <v>2</v>
      </c>
      <c r="M41" t="n">
        <v>0</v>
      </c>
      <c r="N41" t="n">
        <v>0</v>
      </c>
      <c r="O41" t="n">
        <v>0</v>
      </c>
      <c r="P41" t="n">
        <v>0</v>
      </c>
      <c r="Q41" t="n">
        <v>2</v>
      </c>
      <c r="R41" t="n">
        <v>0</v>
      </c>
      <c r="S41" t="n">
        <v>4</v>
      </c>
      <c r="T41" t="n">
        <v>4</v>
      </c>
      <c r="U41" t="n">
        <v>4</v>
      </c>
      <c r="V41" s="2" t="inlineStr">
        <is>
          <t>Doftskinn
Ullticka
Tjäder
Fläcknycklar</t>
        </is>
      </c>
      <c r="W41">
        <f>HYPERLINK("https://klasma.github.io/Logging_1907/artfynd/A 31176-2024 artfynd.xlsx", "A 31176-2024")</f>
        <v/>
      </c>
      <c r="X41">
        <f>HYPERLINK("https://klasma.github.io/Logging_1907/kartor/A 31176-2024 karta.png", "A 31176-2024")</f>
        <v/>
      </c>
      <c r="Y41">
        <f>HYPERLINK("https://klasma.github.io/Logging_1907/kartor_geotiff/A 31176-2024 georefererad karta.tif", "A 31176-2024")</f>
        <v/>
      </c>
      <c r="AA41">
        <f>HYPERLINK("https://klasma.github.io/Logging_1907/klagomål/A 31176-2024 FSC-klagomål.docx", "A 31176-2024")</f>
        <v/>
      </c>
      <c r="AB41">
        <f>HYPERLINK("https://klasma.github.io/Logging_1907/klagomålsmail/A 31176-2024 FSC-klagomål mail.docx", "A 31176-2024")</f>
        <v/>
      </c>
      <c r="AC41">
        <f>HYPERLINK("https://klasma.github.io/Logging_1907/tillsyn/A 31176-2024 tillsynsbegäran.docx", "A 31176-2024")</f>
        <v/>
      </c>
      <c r="AD41">
        <f>HYPERLINK("https://klasma.github.io/Logging_1907/tillsynsmail/A 31176-2024 tillsynsbegäran mail.docx", "A 31176-2024")</f>
        <v/>
      </c>
      <c r="AE41">
        <f>HYPERLINK("https://klasma.github.io/Logging_1907/fåglar/A 31176-2024 prioriterade fågelarter.docx", "A 31176-2024")</f>
        <v/>
      </c>
    </row>
    <row r="42" ht="15" customHeight="1">
      <c r="A42" t="inlineStr">
        <is>
          <t>A 25548-2024</t>
        </is>
      </c>
      <c r="B42" t="inlineStr">
        <is>
          <t>avverkningsanmälan</t>
        </is>
      </c>
      <c r="C42" t="inlineStr">
        <is>
          <t>Föryngringsavverkning</t>
        </is>
      </c>
      <c r="D42" s="1" t="n">
        <v>45463</v>
      </c>
      <c r="E42" s="1" t="n">
        <v>46228</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t="n">
        <v>6</v>
      </c>
      <c r="V42" s="2" t="inlineStr">
        <is>
          <t>Knärot
Vedticka
Fläcknycklar
Nattviol</t>
        </is>
      </c>
      <c r="W42">
        <f>HYPERLINK("https://klasma.github.io/Logging_1907/artfynd/A 25548-2024 artfynd.xlsx", "A 25548-2024")</f>
        <v/>
      </c>
      <c r="X42">
        <f>HYPERLINK("https://klasma.github.io/Logging_1907/kartor/A 25548-2024 karta.png", "A 25548-2024")</f>
        <v/>
      </c>
      <c r="Y42">
        <f>HYPERLINK("https://klasma.github.io/Logging_1907/kartor_geotiff/A 25548-2024 georefererad karta.tif", "A 25548-2024")</f>
        <v/>
      </c>
      <c r="Z42">
        <f>HYPERLINK("https://klasma.github.io/Logging_1907/knärot/A 25548-2024 karta knärot.png", "A 25548-2024")</f>
        <v/>
      </c>
      <c r="AA42">
        <f>HYPERLINK("https://klasma.github.io/Logging_1907/klagomål/A 25548-2024 FSC-klagomål.docx", "A 25548-2024")</f>
        <v/>
      </c>
      <c r="AB42">
        <f>HYPERLINK("https://klasma.github.io/Logging_1907/klagomålsmail/A 25548-2024 FSC-klagomål mail.docx", "A 25548-2024")</f>
        <v/>
      </c>
      <c r="AC42">
        <f>HYPERLINK("https://klasma.github.io/Logging_1907/tillsyn/A 25548-2024 tillsynsbegäran.docx", "A 25548-2024")</f>
        <v/>
      </c>
      <c r="AD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46228</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t="n">
        <v>3</v>
      </c>
      <c r="V43" s="2" t="inlineStr">
        <is>
          <t>Järnsparv
Kråka
Skogsduva</t>
        </is>
      </c>
      <c r="W43">
        <f>HYPERLINK("https://klasma.github.io/Logging_1907/artfynd/A 66350-2021 artfynd.xlsx", "A 66350-2021")</f>
        <v/>
      </c>
      <c r="X43">
        <f>HYPERLINK("https://klasma.github.io/Logging_1907/kartor/A 66350-2021 karta.png", "A 66350-2021")</f>
        <v/>
      </c>
      <c r="Y43">
        <f>HYPERLINK("https://klasma.github.io/Logging_1907/kartor_geotiff/A 66350-2021 georefererad karta.tif", "A 66350-2021")</f>
        <v/>
      </c>
      <c r="AA43">
        <f>HYPERLINK("https://klasma.github.io/Logging_1907/klagomål/A 66350-2021 FSC-klagomål.docx", "A 66350-2021")</f>
        <v/>
      </c>
      <c r="AB43">
        <f>HYPERLINK("https://klasma.github.io/Logging_1907/klagomålsmail/A 66350-2021 FSC-klagomål mail.docx", "A 66350-2021")</f>
        <v/>
      </c>
      <c r="AC43">
        <f>HYPERLINK("https://klasma.github.io/Logging_1907/tillsyn/A 66350-2021 tillsynsbegäran.docx", "A 66350-2021")</f>
        <v/>
      </c>
      <c r="AD43">
        <f>HYPERLINK("https://klasma.github.io/Logging_1907/tillsynsmail/A 66350-2021 tillsynsbegäran mail.docx", "A 66350-2021")</f>
        <v/>
      </c>
      <c r="AE43">
        <f>HYPERLINK("https://klasma.github.io/Logging_1907/fåglar/A 66350-2021 prioriterade fågelarter.docx", "A 66350-2021")</f>
        <v/>
      </c>
    </row>
    <row r="44" ht="15" customHeight="1">
      <c r="A44" t="inlineStr">
        <is>
          <t>A 49718-2023</t>
        </is>
      </c>
      <c r="B44" t="inlineStr">
        <is>
          <t>avverkningsanmälan</t>
        </is>
      </c>
      <c r="C44" t="inlineStr">
        <is>
          <t>Föryngringsavverkning</t>
        </is>
      </c>
      <c r="D44" s="1" t="n">
        <v>45212</v>
      </c>
      <c r="E44" s="1" t="n">
        <v>46228</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46228</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39694-2025</t>
        </is>
      </c>
      <c r="B46" t="inlineStr">
        <is>
          <t>avverkningsanmälan</t>
        </is>
      </c>
      <c r="C46" t="inlineStr">
        <is>
          <t>Föryngringsavverkning</t>
        </is>
      </c>
      <c r="D46" s="1" t="n">
        <v>45890</v>
      </c>
      <c r="E46" s="1" t="n">
        <v>46228</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t="n">
        <v>2</v>
      </c>
      <c r="V46" s="2" t="inlineStr">
        <is>
          <t>Motaggsvamp
Mindre märgborre
Tjäder</t>
        </is>
      </c>
      <c r="W46">
        <f>HYPERLINK("https://klasma.github.io/Logging_1907/artfynd/A 39694-2025 artfynd.xlsx", "A 39694-2025")</f>
        <v/>
      </c>
      <c r="X46">
        <f>HYPERLINK("https://klasma.github.io/Logging_1907/kartor/A 39694-2025 karta.png", "A 39694-2025")</f>
        <v/>
      </c>
      <c r="Y46">
        <f>HYPERLINK("https://klasma.github.io/Logging_1907/kartor_geotiff/A 39694-2025 georefererad karta.tif", "A 39694-2025")</f>
        <v/>
      </c>
      <c r="AA46">
        <f>HYPERLINK("https://klasma.github.io/Logging_1907/klagomål/A 39694-2025 FSC-klagomål.docx", "A 39694-2025")</f>
        <v/>
      </c>
      <c r="AB46">
        <f>HYPERLINK("https://klasma.github.io/Logging_1907/klagomålsmail/A 39694-2025 FSC-klagomål mail.docx", "A 39694-2025")</f>
        <v/>
      </c>
      <c r="AC46">
        <f>HYPERLINK("https://klasma.github.io/Logging_1907/tillsyn/A 39694-2025 tillsynsbegäran.docx", "A 39694-2025")</f>
        <v/>
      </c>
      <c r="AD46">
        <f>HYPERLINK("https://klasma.github.io/Logging_1907/tillsynsmail/A 39694-2025 tillsynsbegäran mail.docx", "A 39694-2025")</f>
        <v/>
      </c>
      <c r="AE46">
        <f>HYPERLINK("https://klasma.github.io/Logging_1907/fåglar/A 39694-2025 prioriterade fågelarter.docx", "A 39694-2025")</f>
        <v/>
      </c>
    </row>
    <row r="47" ht="15" customHeight="1">
      <c r="A47" t="inlineStr">
        <is>
          <t>A 69777-2021</t>
        </is>
      </c>
      <c r="B47" t="inlineStr">
        <is>
          <t>avverkningsanmälan</t>
        </is>
      </c>
      <c r="C47" t="inlineStr">
        <is>
          <t>Föryngringsavverkning</t>
        </is>
      </c>
      <c r="D47" s="1" t="n">
        <v>44532</v>
      </c>
      <c r="E47" s="1" t="n">
        <v>46228</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46228</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46228</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63146-2025</t>
        </is>
      </c>
      <c r="B50" t="inlineStr">
        <is>
          <t>avverkningsanmälan</t>
        </is>
      </c>
      <c r="C50" t="inlineStr">
        <is>
          <t>Föryngringsavverkning</t>
        </is>
      </c>
      <c r="D50" s="1" t="n">
        <v>46009</v>
      </c>
      <c r="E50" s="1" t="n">
        <v>46228</v>
      </c>
      <c r="F50" t="inlineStr">
        <is>
          <t>VÄSTMANLANDS LÄN</t>
        </is>
      </c>
      <c r="G50" t="inlineStr">
        <is>
          <t>SURAHAMMAR</t>
        </is>
      </c>
      <c r="H50" t="inlineStr">
        <is>
          <t>Bergvik skog väst AB</t>
        </is>
      </c>
      <c r="I50" t="n">
        <v>10.2</v>
      </c>
      <c r="J50" t="n">
        <v>1</v>
      </c>
      <c r="K50" t="n">
        <v>2</v>
      </c>
      <c r="L50" t="n">
        <v>0</v>
      </c>
      <c r="M50" t="n">
        <v>0</v>
      </c>
      <c r="N50" t="n">
        <v>0</v>
      </c>
      <c r="O50" t="n">
        <v>0</v>
      </c>
      <c r="P50" t="n">
        <v>0</v>
      </c>
      <c r="Q50" t="n">
        <v>0</v>
      </c>
      <c r="R50" t="n">
        <v>0</v>
      </c>
      <c r="S50" t="n">
        <v>3</v>
      </c>
      <c r="T50" t="n">
        <v>12</v>
      </c>
      <c r="U50" t="n">
        <v>0</v>
      </c>
      <c r="V50" s="2" t="inlineStr">
        <is>
          <t>Stor aspticka
Svart trolldruva
Blåsippa</t>
        </is>
      </c>
      <c r="W50">
        <f>HYPERLINK("https://klasma.github.io/Logging_1907/artfynd/A 63146-2025 artfynd.xlsx", "A 63146-2025")</f>
        <v/>
      </c>
      <c r="X50">
        <f>HYPERLINK("https://klasma.github.io/Logging_1907/kartor/A 63146-2025 karta.png", "A 63146-2025")</f>
        <v/>
      </c>
      <c r="Y50">
        <f>HYPERLINK("https://klasma.github.io/Logging_1907/kartor_geotiff/A 63146-2025 georefererad karta.tif", "A 63146-2025")</f>
        <v/>
      </c>
      <c r="AA50">
        <f>HYPERLINK("https://klasma.github.io/Logging_1907/klagomål/A 63146-2025 FSC-klagomål.docx", "A 63146-2025")</f>
        <v/>
      </c>
      <c r="AB50">
        <f>HYPERLINK("https://klasma.github.io/Logging_1907/klagomålsmail/A 63146-2025 FSC-klagomål mail.docx", "A 63146-2025")</f>
        <v/>
      </c>
      <c r="AC50">
        <f>HYPERLINK("https://klasma.github.io/Logging_1907/tillsyn/A 63146-2025 tillsynsbegäran.docx", "A 63146-2025")</f>
        <v/>
      </c>
      <c r="AD50">
        <f>HYPERLINK("https://klasma.github.io/Logging_1907/tillsynsmail/A 63146-2025 tillsynsbegäran mail.docx", "A 63146-2025")</f>
        <v/>
      </c>
    </row>
    <row r="51" ht="15" customHeight="1">
      <c r="A51" t="inlineStr">
        <is>
          <t>A 38200-2021</t>
        </is>
      </c>
      <c r="B51" t="inlineStr">
        <is>
          <t>avverkningsanmälan</t>
        </is>
      </c>
      <c r="C51" t="inlineStr">
        <is>
          <t>Föryngringsavverkning</t>
        </is>
      </c>
      <c r="D51" s="1" t="n">
        <v>44405</v>
      </c>
      <c r="E51" s="1" t="n">
        <v>46228</v>
      </c>
      <c r="F51" t="inlineStr">
        <is>
          <t>VÄSTMANLANDS LÄN</t>
        </is>
      </c>
      <c r="G51" t="inlineStr">
        <is>
          <t>SURAHAMMAR</t>
        </is>
      </c>
      <c r="H51" t="inlineStr">
        <is>
          <t>Sveaskog</t>
        </is>
      </c>
      <c r="I51" t="n">
        <v>1.5</v>
      </c>
      <c r="J51" t="n">
        <v>1</v>
      </c>
      <c r="K51" t="n">
        <v>0</v>
      </c>
      <c r="L51" t="n">
        <v>2</v>
      </c>
      <c r="M51" t="n">
        <v>0</v>
      </c>
      <c r="N51" t="n">
        <v>0</v>
      </c>
      <c r="O51" t="n">
        <v>0</v>
      </c>
      <c r="P51" t="n">
        <v>0</v>
      </c>
      <c r="Q51" t="n">
        <v>2</v>
      </c>
      <c r="R51" t="n">
        <v>0</v>
      </c>
      <c r="S51" t="n">
        <v>3</v>
      </c>
      <c r="T51" t="n">
        <v>3</v>
      </c>
      <c r="U51" t="n">
        <v>2</v>
      </c>
      <c r="V51" s="2" t="inlineStr">
        <is>
          <t>Svinrot
Vågticka
Kopparödla</t>
        </is>
      </c>
      <c r="W51">
        <f>HYPERLINK("https://klasma.github.io/Logging_1907/artfynd/A 38200-2021 artfynd.xlsx", "A 38200-2021")</f>
        <v/>
      </c>
      <c r="X51">
        <f>HYPERLINK("https://klasma.github.io/Logging_1907/kartor/A 38200-2021 karta.png", "A 38200-2021")</f>
        <v/>
      </c>
      <c r="Y51">
        <f>HYPERLINK("https://klasma.github.io/Logging_1907/kartor_geotiff/A 38200-2021 georefererad karta.tif", "A 38200-2021")</f>
        <v/>
      </c>
      <c r="AA51">
        <f>HYPERLINK("https://klasma.github.io/Logging_1907/klagomål/A 38200-2021 FSC-klagomål.docx", "A 38200-2021")</f>
        <v/>
      </c>
      <c r="AB51">
        <f>HYPERLINK("https://klasma.github.io/Logging_1907/klagomålsmail/A 38200-2021 FSC-klagomål mail.docx", "A 38200-2021")</f>
        <v/>
      </c>
      <c r="AC51">
        <f>HYPERLINK("https://klasma.github.io/Logging_1907/tillsyn/A 38200-2021 tillsynsbegäran.docx", "A 38200-2021")</f>
        <v/>
      </c>
      <c r="AD51">
        <f>HYPERLINK("https://klasma.github.io/Logging_1907/tillsynsmail/A 38200-2021 tillsynsbegäran mail.docx", "A 38200-2021")</f>
        <v/>
      </c>
    </row>
    <row r="52" ht="15" customHeight="1">
      <c r="A52" t="inlineStr">
        <is>
          <t>S 1450-2022</t>
        </is>
      </c>
      <c r="B52" t="inlineStr">
        <is>
          <t>samrådsanmälan</t>
        </is>
      </c>
      <c r="C52" t="inlineStr">
        <is>
          <t>Skogsgödsling</t>
        </is>
      </c>
      <c r="D52" s="1" t="n">
        <v>44635</v>
      </c>
      <c r="E52" s="1" t="n">
        <v>46228</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46228</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46228</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46228</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t="n">
        <v>2</v>
      </c>
      <c r="V55" s="2" t="inlineStr">
        <is>
          <t>Motaggsvamp
Revlummer</t>
        </is>
      </c>
      <c r="W55">
        <f>HYPERLINK("https://klasma.github.io/Logging_1907/artfynd/A 38170-2021 artfynd.xlsx", "A 38170-2021")</f>
        <v/>
      </c>
      <c r="X55">
        <f>HYPERLINK("https://klasma.github.io/Logging_1907/kartor/A 38170-2021 karta.png", "A 38170-2021")</f>
        <v/>
      </c>
      <c r="Y55">
        <f>HYPERLINK("https://klasma.github.io/Logging_1907/kartor_geotiff/A 38170-2021 georefererad karta.tif", "A 38170-2021")</f>
        <v/>
      </c>
      <c r="AA55">
        <f>HYPERLINK("https://klasma.github.io/Logging_1907/klagomål/A 38170-2021 FSC-klagomål.docx", "A 38170-2021")</f>
        <v/>
      </c>
      <c r="AB55">
        <f>HYPERLINK("https://klasma.github.io/Logging_1907/klagomålsmail/A 38170-2021 FSC-klagomål mail.docx", "A 38170-2021")</f>
        <v/>
      </c>
      <c r="AC55">
        <f>HYPERLINK("https://klasma.github.io/Logging_1907/tillsyn/A 38170-2021 tillsynsbegäran.docx", "A 38170-2021")</f>
        <v/>
      </c>
      <c r="AD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46228</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t="n">
        <v>1</v>
      </c>
      <c r="V56" s="2" t="inlineStr">
        <is>
          <t>Ullticka
Vaddporing</t>
        </is>
      </c>
      <c r="W56">
        <f>HYPERLINK("https://klasma.github.io/Logging_1907/artfynd/A 38178-2021 artfynd.xlsx", "A 38178-2021")</f>
        <v/>
      </c>
      <c r="X56">
        <f>HYPERLINK("https://klasma.github.io/Logging_1907/kartor/A 38178-2021 karta.png", "A 38178-2021")</f>
        <v/>
      </c>
      <c r="Y56">
        <f>HYPERLINK("https://klasma.github.io/Logging_1907/kartor_geotiff/A 38178-2021 georefererad karta.tif", "A 38178-2021")</f>
        <v/>
      </c>
      <c r="AA56">
        <f>HYPERLINK("https://klasma.github.io/Logging_1907/klagomål/A 38178-2021 FSC-klagomål.docx", "A 38178-2021")</f>
        <v/>
      </c>
      <c r="AB56">
        <f>HYPERLINK("https://klasma.github.io/Logging_1907/klagomålsmail/A 38178-2021 FSC-klagomål mail.docx", "A 38178-2021")</f>
        <v/>
      </c>
      <c r="AC56">
        <f>HYPERLINK("https://klasma.github.io/Logging_1907/tillsyn/A 38178-2021 tillsynsbegäran.docx", "A 38178-2021")</f>
        <v/>
      </c>
      <c r="AD56">
        <f>HYPERLINK("https://klasma.github.io/Logging_1907/tillsynsmail/A 38178-2021 tillsynsbegäran mail.docx", "A 38178-2021")</f>
        <v/>
      </c>
    </row>
    <row r="57" ht="15" customHeight="1">
      <c r="A57" t="inlineStr">
        <is>
          <t>A 30074-2023</t>
        </is>
      </c>
      <c r="B57" t="inlineStr">
        <is>
          <t>avverkningsanmälan</t>
        </is>
      </c>
      <c r="C57" t="inlineStr">
        <is>
          <t>Föryngringsavverkning</t>
        </is>
      </c>
      <c r="D57" s="1" t="n">
        <v>45110</v>
      </c>
      <c r="E57" s="1" t="n">
        <v>46228</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56362-2023</t>
        </is>
      </c>
      <c r="B58" t="inlineStr">
        <is>
          <t>avverkningsanmälan</t>
        </is>
      </c>
      <c r="C58" t="inlineStr">
        <is>
          <t>Föryngringsavverkning</t>
        </is>
      </c>
      <c r="D58" s="1" t="n">
        <v>45236</v>
      </c>
      <c r="E58" s="1" t="n">
        <v>46228</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46228</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37013-2025</t>
        </is>
      </c>
      <c r="B60" t="inlineStr">
        <is>
          <t>avverkningsanmälan</t>
        </is>
      </c>
      <c r="C60" t="inlineStr">
        <is>
          <t>Föryngringsavverkning</t>
        </is>
      </c>
      <c r="D60" s="1" t="n">
        <v>45874</v>
      </c>
      <c r="E60" s="1" t="n">
        <v>46228</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40403-2025</t>
        </is>
      </c>
      <c r="B61" t="inlineStr">
        <is>
          <t>avverkningsanmälan</t>
        </is>
      </c>
      <c r="C61" t="inlineStr">
        <is>
          <t>Föryngringsavverkning</t>
        </is>
      </c>
      <c r="D61" s="1" t="n">
        <v>45895</v>
      </c>
      <c r="E61" s="1" t="n">
        <v>46228</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t="n">
        <v>1</v>
      </c>
      <c r="V61" s="2" t="inlineStr">
        <is>
          <t>Igelkott
Gröngöling</t>
        </is>
      </c>
      <c r="W61">
        <f>HYPERLINK("https://klasma.github.io/Logging_1907/artfynd/A 40403-2025 artfynd.xlsx", "A 40403-2025")</f>
        <v/>
      </c>
      <c r="X61">
        <f>HYPERLINK("https://klasma.github.io/Logging_1907/kartor/A 40403-2025 karta.png", "A 40403-2025")</f>
        <v/>
      </c>
      <c r="Y61">
        <f>HYPERLINK("https://klasma.github.io/Logging_1907/kartor_geotiff/A 40403-2025 georefererad karta.tif", "A 40403-2025")</f>
        <v/>
      </c>
      <c r="AA61">
        <f>HYPERLINK("https://klasma.github.io/Logging_1907/klagomål/A 40403-2025 FSC-klagomål.docx", "A 40403-2025")</f>
        <v/>
      </c>
      <c r="AB61">
        <f>HYPERLINK("https://klasma.github.io/Logging_1907/klagomålsmail/A 40403-2025 FSC-klagomål mail.docx", "A 40403-2025")</f>
        <v/>
      </c>
      <c r="AC61">
        <f>HYPERLINK("https://klasma.github.io/Logging_1907/tillsyn/A 40403-2025 tillsynsbegäran.docx", "A 40403-2025")</f>
        <v/>
      </c>
      <c r="AD61">
        <f>HYPERLINK("https://klasma.github.io/Logging_1907/tillsynsmail/A 40403-2025 tillsynsbegäran mail.docx", "A 40403-2025")</f>
        <v/>
      </c>
    </row>
    <row r="62" ht="15" customHeight="1">
      <c r="A62" t="inlineStr">
        <is>
          <t>A 63138-2025</t>
        </is>
      </c>
      <c r="B62" t="inlineStr">
        <is>
          <t>avverkningsanmälan</t>
        </is>
      </c>
      <c r="C62" t="inlineStr">
        <is>
          <t>Föryngringsavverkning</t>
        </is>
      </c>
      <c r="D62" s="1" t="n">
        <v>46009</v>
      </c>
      <c r="E62" s="1" t="n">
        <v>46228</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46228</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46228</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46228</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46228</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46228</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46228</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46228</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46228</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46228</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46228</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46228</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46228</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46228</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17632-2022</t>
        </is>
      </c>
      <c r="B76" t="inlineStr">
        <is>
          <t>avverkningsanmälan</t>
        </is>
      </c>
      <c r="C76" t="inlineStr">
        <is>
          <t>Föryngringsavverkning</t>
        </is>
      </c>
      <c r="D76" s="1" t="n">
        <v>44680</v>
      </c>
      <c r="E76" s="1" t="n">
        <v>46228</v>
      </c>
      <c r="F76" t="inlineStr">
        <is>
          <t>VÄSTMANLANDS LÄN</t>
        </is>
      </c>
      <c r="G76" t="inlineStr">
        <is>
          <t>SURAHAMMAR</t>
        </is>
      </c>
      <c r="I76" t="n">
        <v>5.2</v>
      </c>
      <c r="J76" t="n">
        <v>0</v>
      </c>
      <c r="K76" t="n">
        <v>1</v>
      </c>
      <c r="L76" t="n">
        <v>0</v>
      </c>
      <c r="M76" t="n">
        <v>0</v>
      </c>
      <c r="N76" t="n">
        <v>0</v>
      </c>
      <c r="O76" t="n">
        <v>0</v>
      </c>
      <c r="P76" t="n">
        <v>0</v>
      </c>
      <c r="Q76" t="n">
        <v>0</v>
      </c>
      <c r="R76" t="n">
        <v>0</v>
      </c>
      <c r="S76" t="n">
        <v>1</v>
      </c>
      <c r="T76" t="n">
        <v>1</v>
      </c>
      <c r="U76" t="n">
        <v>0</v>
      </c>
      <c r="V76" s="2" t="inlineStr">
        <is>
          <t>Blodticka</t>
        </is>
      </c>
      <c r="W76">
        <f>HYPERLINK("https://klasma.github.io/Logging_1907/artfynd/A 17632-2022 artfynd.xlsx", "A 17632-2022")</f>
        <v/>
      </c>
      <c r="X76">
        <f>HYPERLINK("https://klasma.github.io/Logging_1907/kartor/A 17632-2022 karta.png", "A 17632-2022")</f>
        <v/>
      </c>
      <c r="Y76">
        <f>HYPERLINK("https://klasma.github.io/Logging_1907/kartor_geotiff/A 17632-2022 georefererad karta.tif", "A 17632-2022")</f>
        <v/>
      </c>
      <c r="AA76">
        <f>HYPERLINK("https://klasma.github.io/Logging_1907/klagomål/A 17632-2022 FSC-klagomål.docx", "A 17632-2022")</f>
        <v/>
      </c>
      <c r="AB76">
        <f>HYPERLINK("https://klasma.github.io/Logging_1907/klagomålsmail/A 17632-2022 FSC-klagomål mail.docx", "A 17632-2022")</f>
        <v/>
      </c>
      <c r="AC76">
        <f>HYPERLINK("https://klasma.github.io/Logging_1907/tillsyn/A 17632-2022 tillsynsbegäran.docx", "A 17632-2022")</f>
        <v/>
      </c>
      <c r="AD76">
        <f>HYPERLINK("https://klasma.github.io/Logging_1907/tillsynsmail/A 17632-2022 tillsynsbegäran mail.docx", "A 17632-2022")</f>
        <v/>
      </c>
    </row>
    <row r="77" ht="15" customHeight="1">
      <c r="A77" t="inlineStr">
        <is>
          <t>A 34955-2022</t>
        </is>
      </c>
      <c r="B77" t="inlineStr">
        <is>
          <t>avverkningsanmälan</t>
        </is>
      </c>
      <c r="C77" t="inlineStr">
        <is>
          <t>Föryngringsavverkning</t>
        </is>
      </c>
      <c r="D77" s="1" t="n">
        <v>44796</v>
      </c>
      <c r="E77" s="1" t="n">
        <v>46228</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10883-2023</t>
        </is>
      </c>
      <c r="B78" t="inlineStr">
        <is>
          <t>avverkningsanmälan</t>
        </is>
      </c>
      <c r="C78" t="inlineStr">
        <is>
          <t>Föryngringsavverkning</t>
        </is>
      </c>
      <c r="D78" s="1" t="n">
        <v>44991</v>
      </c>
      <c r="E78" s="1" t="n">
        <v>46228</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HYPERLINK("https://klasma.github.io/Logging_1907/artfynd/A 10883-2023 artfynd.xlsx", "A 10883-2023")</f>
        <v/>
      </c>
      <c r="X78">
        <f>HYPERLINK("https://klasma.github.io/Logging_1907/kartor/A 10883-2023 karta.png", "A 10883-2023")</f>
        <v/>
      </c>
      <c r="Y78">
        <f>HYPERLINK("https://klasma.github.io/Logging_1907/kartor_geotiff/A 10883-2023 georefererad karta.tif", "A 10883-2023")</f>
        <v/>
      </c>
      <c r="AA78">
        <f>HYPERLINK("https://klasma.github.io/Logging_1907/klagomål/A 10883-2023 FSC-klagomål.docx", "A 10883-2023")</f>
        <v/>
      </c>
      <c r="AB78">
        <f>HYPERLINK("https://klasma.github.io/Logging_1907/klagomålsmail/A 10883-2023 FSC-klagomål mail.docx", "A 10883-2023")</f>
        <v/>
      </c>
      <c r="AC78">
        <f>HYPERLINK("https://klasma.github.io/Logging_1907/tillsyn/A 10883-2023 tillsynsbegäran.docx", "A 10883-2023")</f>
        <v/>
      </c>
      <c r="AD78">
        <f>HYPERLINK("https://klasma.github.io/Logging_1907/tillsynsmail/A 10883-2023 tillsynsbegäran mail.docx", "A 10883-2023")</f>
        <v/>
      </c>
      <c r="AE78">
        <f>HYPERLINK("https://klasma.github.io/Logging_1907/fåglar/A 10883-2023 prioriterade fågelarter.docx", "A 10883-2023")</f>
        <v/>
      </c>
    </row>
    <row r="79" ht="15" customHeight="1">
      <c r="A79" t="inlineStr">
        <is>
          <t>A 44356-2024</t>
        </is>
      </c>
      <c r="B79" t="inlineStr">
        <is>
          <t>avverkningsanmälan</t>
        </is>
      </c>
      <c r="C79" t="inlineStr">
        <is>
          <t>Föryngringsavverkning</t>
        </is>
      </c>
      <c r="D79" s="1" t="n">
        <v>45573</v>
      </c>
      <c r="E79" s="1" t="n">
        <v>46228</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33231-2024</t>
        </is>
      </c>
      <c r="B80" t="inlineStr">
        <is>
          <t>avverkningsanmälan</t>
        </is>
      </c>
      <c r="C80" t="inlineStr">
        <is>
          <t>Föryngringsavverkning</t>
        </is>
      </c>
      <c r="D80" s="1" t="n">
        <v>45518</v>
      </c>
      <c r="E80" s="1" t="n">
        <v>46228</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HYPERLINK("https://klasma.github.io/Logging_1907/artfynd/A 33231-2024 artfynd.xlsx", "A 33231-2024")</f>
        <v/>
      </c>
      <c r="X80">
        <f>HYPERLINK("https://klasma.github.io/Logging_1907/kartor/A 33231-2024 karta.png", "A 33231-2024")</f>
        <v/>
      </c>
      <c r="Y80">
        <f>HYPERLINK("https://klasma.github.io/Logging_1907/kartor_geotiff/A 33231-2024 georefererad karta.tif", "A 33231-2024")</f>
        <v/>
      </c>
      <c r="AA80">
        <f>HYPERLINK("https://klasma.github.io/Logging_1907/klagomål/A 33231-2024 FSC-klagomål.docx", "A 33231-2024")</f>
        <v/>
      </c>
      <c r="AB80">
        <f>HYPERLINK("https://klasma.github.io/Logging_1907/klagomålsmail/A 33231-2024 FSC-klagomål mail.docx", "A 33231-2024")</f>
        <v/>
      </c>
      <c r="AC80">
        <f>HYPERLINK("https://klasma.github.io/Logging_1907/tillsyn/A 33231-2024 tillsynsbegäran.docx", "A 33231-2024")</f>
        <v/>
      </c>
      <c r="AD80">
        <f>HYPERLINK("https://klasma.github.io/Logging_1907/tillsynsmail/A 33231-2024 tillsynsbegäran mail.docx", "A 33231-2024")</f>
        <v/>
      </c>
    </row>
    <row r="81" ht="15" customHeight="1">
      <c r="A81" t="inlineStr">
        <is>
          <t>A 24167-2024</t>
        </is>
      </c>
      <c r="B81" t="inlineStr">
        <is>
          <t>avverkningsanmälan</t>
        </is>
      </c>
      <c r="C81" t="inlineStr">
        <is>
          <t>Avverkning för annat ändamål</t>
        </is>
      </c>
      <c r="D81" s="1" t="n">
        <v>45456</v>
      </c>
      <c r="E81" s="1" t="n">
        <v>46228</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31589-2026</t>
        </is>
      </c>
      <c r="B82" t="inlineStr">
        <is>
          <t>avverkningsanmälan</t>
        </is>
      </c>
      <c r="C82" t="inlineStr">
        <is>
          <t>Föryngringsavverkning</t>
        </is>
      </c>
      <c r="D82" s="1" t="n">
        <v>46224</v>
      </c>
      <c r="E82" s="1" t="n">
        <v>46228</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16013-2023</t>
        </is>
      </c>
      <c r="B83" t="inlineStr">
        <is>
          <t>avverkningsanmälan</t>
        </is>
      </c>
      <c r="C83" t="inlineStr">
        <is>
          <t>Föryngringsavverkning</t>
        </is>
      </c>
      <c r="D83" s="1" t="n">
        <v>45026</v>
      </c>
      <c r="E83" s="1" t="n">
        <v>46228</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47785-2021</t>
        </is>
      </c>
      <c r="B84" t="inlineStr">
        <is>
          <t>avverkningsanmälan</t>
        </is>
      </c>
      <c r="C84" t="inlineStr">
        <is>
          <t>Föryngringsavverkning</t>
        </is>
      </c>
      <c r="D84" s="1" t="n">
        <v>44448</v>
      </c>
      <c r="E84" s="1" t="n">
        <v>46228</v>
      </c>
      <c r="F84" t="inlineStr">
        <is>
          <t>VÄSTMANLANDS LÄN</t>
        </is>
      </c>
      <c r="G84" t="inlineStr">
        <is>
          <t>SURAHAMMAR</t>
        </is>
      </c>
      <c r="H84" t="inlineStr">
        <is>
          <t>Kommuner</t>
        </is>
      </c>
      <c r="I84" t="n">
        <v>3.3</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HYPERLINK("https://klasma.github.io/Logging_1907/artfynd/A 47785-2021 artfynd.xlsx", "A 47785-2021")</f>
        <v/>
      </c>
      <c r="X84">
        <f>HYPERLINK("https://klasma.github.io/Logging_1907/kartor/A 47785-2021 karta.png", "A 47785-2021")</f>
        <v/>
      </c>
      <c r="Y84">
        <f>HYPERLINK("https://klasma.github.io/Logging_1907/kartor_geotiff/A 47785-2021 georefererad karta.tif", "A 47785-2021")</f>
        <v/>
      </c>
      <c r="AA84">
        <f>HYPERLINK("https://klasma.github.io/Logging_1907/klagomål/A 47785-2021 FSC-klagomål.docx", "A 47785-2021")</f>
        <v/>
      </c>
      <c r="AB84">
        <f>HYPERLINK("https://klasma.github.io/Logging_1907/klagomålsmail/A 47785-2021 FSC-klagomål mail.docx", "A 47785-2021")</f>
        <v/>
      </c>
      <c r="AC84">
        <f>HYPERLINK("https://klasma.github.io/Logging_1907/tillsyn/A 47785-2021 tillsynsbegäran.docx", "A 47785-2021")</f>
        <v/>
      </c>
      <c r="AD84">
        <f>HYPERLINK("https://klasma.github.io/Logging_1907/tillsynsmail/A 47785-2021 tillsynsbegäran mail.docx", "A 47785-2021")</f>
        <v/>
      </c>
    </row>
    <row r="85" ht="15" customHeight="1">
      <c r="A85" t="inlineStr">
        <is>
          <t>A 34584-2025</t>
        </is>
      </c>
      <c r="B85" t="inlineStr">
        <is>
          <t>avverkningsanmälan</t>
        </is>
      </c>
      <c r="C85" t="inlineStr">
        <is>
          <t>Föryngringsavverkning</t>
        </is>
      </c>
      <c r="D85" s="1" t="n">
        <v>45846</v>
      </c>
      <c r="E85" s="1" t="n">
        <v>46228</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46228</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46228</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46228</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37799-2021</t>
        </is>
      </c>
      <c r="B89" t="inlineStr">
        <is>
          <t>avverkningsanmälan</t>
        </is>
      </c>
      <c r="C89" t="inlineStr">
        <is>
          <t>Föryngringsavverkning</t>
        </is>
      </c>
      <c r="D89" s="1" t="n">
        <v>44402</v>
      </c>
      <c r="E89" s="1" t="n">
        <v>46228</v>
      </c>
      <c r="F89" t="inlineStr">
        <is>
          <t>VÄSTMANLANDS LÄN</t>
        </is>
      </c>
      <c r="G89" t="inlineStr">
        <is>
          <t>SURAHAMMAR</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46228</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46228</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46228</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46228</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46228</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46228</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46228</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46228</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46228</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46228</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46228</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46228</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46228</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39099-2022</t>
        </is>
      </c>
      <c r="B103" t="inlineStr">
        <is>
          <t>avverkningsanmälan</t>
        </is>
      </c>
      <c r="C103" t="inlineStr">
        <is>
          <t>Föryngringsavverkning</t>
        </is>
      </c>
      <c r="D103" s="1" t="n">
        <v>44817</v>
      </c>
      <c r="E103" s="1" t="n">
        <v>46228</v>
      </c>
      <c r="F103" t="inlineStr">
        <is>
          <t>VÄSTMANLANDS LÄN</t>
        </is>
      </c>
      <c r="G103" t="inlineStr">
        <is>
          <t>SURAHAMMAR</t>
        </is>
      </c>
      <c r="H103" t="inlineStr">
        <is>
          <t>Bergvik skog väst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24158-2023</t>
        </is>
      </c>
      <c r="B104" t="inlineStr">
        <is>
          <t>avverkningsanmälan</t>
        </is>
      </c>
      <c r="C104" t="inlineStr">
        <is>
          <t>Föryngringsavverkning</t>
        </is>
      </c>
      <c r="D104" s="1" t="n">
        <v>45079</v>
      </c>
      <c r="E104" s="1" t="n">
        <v>46228</v>
      </c>
      <c r="F104" t="inlineStr">
        <is>
          <t>VÄSTMANLANDS LÄN</t>
        </is>
      </c>
      <c r="G104" t="inlineStr">
        <is>
          <t>SURAHAMMAR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46228</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32808-2024</t>
        </is>
      </c>
      <c r="B106" t="inlineStr">
        <is>
          <t>avverkningsanmälan</t>
        </is>
      </c>
      <c r="C106" t="inlineStr">
        <is>
          <t>Föryngringsavverkning</t>
        </is>
      </c>
      <c r="D106" s="1" t="n">
        <v>45516</v>
      </c>
      <c r="E106" s="1" t="n">
        <v>46228</v>
      </c>
      <c r="F106" t="inlineStr">
        <is>
          <t>VÄSTMANLANDS LÄN</t>
        </is>
      </c>
      <c r="G106" t="inlineStr">
        <is>
          <t>SURAHAMMAR</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46228</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46228</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46228</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46228</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46228</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46228</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42841-2022</t>
        </is>
      </c>
      <c r="B113" t="inlineStr">
        <is>
          <t>avverkningsanmälan</t>
        </is>
      </c>
      <c r="C113" t="inlineStr">
        <is>
          <t>Avverkning för annat ändamål</t>
        </is>
      </c>
      <c r="D113" s="1" t="n">
        <v>44832</v>
      </c>
      <c r="E113" s="1" t="n">
        <v>46228</v>
      </c>
      <c r="F113" t="inlineStr">
        <is>
          <t>VÄSTMANLANDS LÄN</t>
        </is>
      </c>
      <c r="G113" t="inlineStr">
        <is>
          <t>SURAHAMMAR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46228</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49058-2024</t>
        </is>
      </c>
      <c r="B115" t="inlineStr">
        <is>
          <t>avverkningsanmälan</t>
        </is>
      </c>
      <c r="C115" t="inlineStr">
        <is>
          <t>Föryngringsavverkning</t>
        </is>
      </c>
      <c r="D115" s="1" t="n">
        <v>45594</v>
      </c>
      <c r="E115" s="1" t="n">
        <v>46228</v>
      </c>
      <c r="F115" t="inlineStr">
        <is>
          <t>VÄSTMANLANDS LÄN</t>
        </is>
      </c>
      <c r="G115" t="inlineStr">
        <is>
          <t>SURAHAMMAR</t>
        </is>
      </c>
      <c r="H115" t="inlineStr">
        <is>
          <t>Sveaskog</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46228</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46228</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3085-2023</t>
        </is>
      </c>
      <c r="B118" t="inlineStr">
        <is>
          <t>avverkningsanmälan</t>
        </is>
      </c>
      <c r="C118" t="inlineStr">
        <is>
          <t>Föryngringsavverkning</t>
        </is>
      </c>
      <c r="D118" s="1" t="n">
        <v>44946</v>
      </c>
      <c r="E118" s="1" t="n">
        <v>46228</v>
      </c>
      <c r="F118" t="inlineStr">
        <is>
          <t>VÄSTMANLANDS LÄN</t>
        </is>
      </c>
      <c r="G118" t="inlineStr">
        <is>
          <t>SURAHAMMAR</t>
        </is>
      </c>
      <c r="H118" t="inlineStr">
        <is>
          <t>Kyrkan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55873-2025</t>
        </is>
      </c>
      <c r="B119" t="inlineStr">
        <is>
          <t>avverkningsanmälan</t>
        </is>
      </c>
      <c r="C119" t="inlineStr">
        <is>
          <t>Föryngringsavverkning</t>
        </is>
      </c>
      <c r="D119" s="1" t="n">
        <v>45973</v>
      </c>
      <c r="E119" s="1" t="n">
        <v>46228</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20904-2023</t>
        </is>
      </c>
      <c r="B120" t="inlineStr">
        <is>
          <t>avverkningsanmälan</t>
        </is>
      </c>
      <c r="C120" t="inlineStr">
        <is>
          <t>Avverkning för att bevara och utveckla /försöksver</t>
        </is>
      </c>
      <c r="D120" s="1" t="n">
        <v>45060</v>
      </c>
      <c r="E120" s="1" t="n">
        <v>46228</v>
      </c>
      <c r="F120" t="inlineStr">
        <is>
          <t>VÄSTMANLANDS LÄN</t>
        </is>
      </c>
      <c r="G120" t="inlineStr">
        <is>
          <t>SURAHAMMAR</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2660-2024</t>
        </is>
      </c>
      <c r="B121" t="inlineStr">
        <is>
          <t>avverkningsanmälan</t>
        </is>
      </c>
      <c r="C121" t="inlineStr">
        <is>
          <t>Föryngringsavverkning</t>
        </is>
      </c>
      <c r="D121" s="1" t="n">
        <v>45310</v>
      </c>
      <c r="E121" s="1" t="n">
        <v>46228</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22626-2026</t>
        </is>
      </c>
      <c r="B122" t="inlineStr">
        <is>
          <t>avverkningsanmälan</t>
        </is>
      </c>
      <c r="C122" t="inlineStr">
        <is>
          <t>Föryngringsavverkning</t>
        </is>
      </c>
      <c r="D122" s="1" t="n">
        <v>46155</v>
      </c>
      <c r="E122" s="1" t="n">
        <v>46228</v>
      </c>
      <c r="F122" t="inlineStr">
        <is>
          <t>VÄSTMANLANDS LÄN</t>
        </is>
      </c>
      <c r="G122" t="inlineStr">
        <is>
          <t>SURAHAMMAR</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22630-2026</t>
        </is>
      </c>
      <c r="B123" t="inlineStr">
        <is>
          <t>avverkningsanmälan</t>
        </is>
      </c>
      <c r="C123" t="inlineStr">
        <is>
          <t>Föryngringsavverkning</t>
        </is>
      </c>
      <c r="D123" s="1" t="n">
        <v>46155</v>
      </c>
      <c r="E123" s="1" t="n">
        <v>46228</v>
      </c>
      <c r="F123" t="inlineStr">
        <is>
          <t>VÄSTMANLANDS LÄN</t>
        </is>
      </c>
      <c r="G123" t="inlineStr">
        <is>
          <t>SURAHAMMAR</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46228</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14626-2023</t>
        </is>
      </c>
      <c r="B125" t="inlineStr">
        <is>
          <t>avverkningsanmälan</t>
        </is>
      </c>
      <c r="C125" t="inlineStr">
        <is>
          <t>Föryngringsavverkning</t>
        </is>
      </c>
      <c r="D125" s="1" t="n">
        <v>45012</v>
      </c>
      <c r="E125" s="1" t="n">
        <v>46228</v>
      </c>
      <c r="F125" t="inlineStr">
        <is>
          <t>VÄSTMANLANDS LÄN</t>
        </is>
      </c>
      <c r="G125" t="inlineStr">
        <is>
          <t>SURAHAMMAR</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37798-2021</t>
        </is>
      </c>
      <c r="B126" t="inlineStr">
        <is>
          <t>avverkningsanmälan</t>
        </is>
      </c>
      <c r="C126" t="inlineStr">
        <is>
          <t>Föryngringsavverkning</t>
        </is>
      </c>
      <c r="D126" s="1" t="n">
        <v>44402</v>
      </c>
      <c r="E126" s="1" t="n">
        <v>46228</v>
      </c>
      <c r="F126" t="inlineStr">
        <is>
          <t>VÄSTMANLANDS LÄN</t>
        </is>
      </c>
      <c r="G126" t="inlineStr">
        <is>
          <t>SURAHAMMAR</t>
        </is>
      </c>
      <c r="H126" t="inlineStr">
        <is>
          <t>Kommuner</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4724-2026</t>
        </is>
      </c>
      <c r="B127" t="inlineStr">
        <is>
          <t>avverkningsanmälan</t>
        </is>
      </c>
      <c r="C127" t="inlineStr">
        <is>
          <t>Föryngringsavverkning</t>
        </is>
      </c>
      <c r="D127" s="1" t="n">
        <v>46048</v>
      </c>
      <c r="E127" s="1" t="n">
        <v>46228</v>
      </c>
      <c r="F127" t="inlineStr">
        <is>
          <t>VÄSTMANLANDS LÄN</t>
        </is>
      </c>
      <c r="G127" t="inlineStr">
        <is>
          <t>SURAHAMMAR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4734-2026</t>
        </is>
      </c>
      <c r="B128" t="inlineStr">
        <is>
          <t>avverkningsanmälan</t>
        </is>
      </c>
      <c r="C128" t="inlineStr">
        <is>
          <t>Föryngringsavverkning</t>
        </is>
      </c>
      <c r="D128" s="1" t="n">
        <v>46048</v>
      </c>
      <c r="E128" s="1" t="n">
        <v>46228</v>
      </c>
      <c r="F128" t="inlineStr">
        <is>
          <t>VÄSTMANLANDS LÄN</t>
        </is>
      </c>
      <c r="G128" t="inlineStr">
        <is>
          <t>SURAHAMMAR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46228</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10249-2026</t>
        </is>
      </c>
      <c r="B130" t="inlineStr">
        <is>
          <t>avverkningsanmälan</t>
        </is>
      </c>
      <c r="C130" t="inlineStr">
        <is>
          <t>Föryngringsavverkning</t>
        </is>
      </c>
      <c r="D130" s="1" t="n">
        <v>46076</v>
      </c>
      <c r="E130" s="1" t="n">
        <v>46228</v>
      </c>
      <c r="F130" t="inlineStr">
        <is>
          <t>VÄSTMANLANDS LÄN</t>
        </is>
      </c>
      <c r="G130" t="inlineStr">
        <is>
          <t>SURAHAMMAR</t>
        </is>
      </c>
      <c r="H130" t="inlineStr">
        <is>
          <t>Allmännings- och besparingsskogar</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24201-2026</t>
        </is>
      </c>
      <c r="B131" t="inlineStr">
        <is>
          <t>avverkningsanmälan</t>
        </is>
      </c>
      <c r="C131" t="inlineStr">
        <is>
          <t>Föryngringsavverkning</t>
        </is>
      </c>
      <c r="D131" s="1" t="n">
        <v>46168</v>
      </c>
      <c r="E131" s="1" t="n">
        <v>46228</v>
      </c>
      <c r="F131" t="inlineStr">
        <is>
          <t>VÄSTMANLANDS LÄN</t>
        </is>
      </c>
      <c r="G131" t="inlineStr">
        <is>
          <t>SURAHAMMAR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10244-2026</t>
        </is>
      </c>
      <c r="B132" t="inlineStr">
        <is>
          <t>avverkningsanmälan</t>
        </is>
      </c>
      <c r="C132" t="inlineStr">
        <is>
          <t>Föryngringsavverkning</t>
        </is>
      </c>
      <c r="D132" s="1" t="n">
        <v>46076</v>
      </c>
      <c r="E132" s="1" t="n">
        <v>46228</v>
      </c>
      <c r="F132" t="inlineStr">
        <is>
          <t>VÄSTMANLANDS LÄN</t>
        </is>
      </c>
      <c r="G132" t="inlineStr">
        <is>
          <t>SURAHAMMAR</t>
        </is>
      </c>
      <c r="H132" t="inlineStr">
        <is>
          <t>Allmännings- och besparingsskogar</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10562-2026</t>
        </is>
      </c>
      <c r="B133" t="inlineStr">
        <is>
          <t>avverkningsanmälan</t>
        </is>
      </c>
      <c r="C133" t="inlineStr">
        <is>
          <t>Föryngringsavverkning</t>
        </is>
      </c>
      <c r="D133" s="1" t="n">
        <v>46077</v>
      </c>
      <c r="E133" s="1" t="n">
        <v>46228</v>
      </c>
      <c r="F133" t="inlineStr">
        <is>
          <t>VÄSTMANLANDS LÄN</t>
        </is>
      </c>
      <c r="G133" t="inlineStr">
        <is>
          <t>SURAHAMMAR</t>
        </is>
      </c>
      <c r="H133" t="inlineStr">
        <is>
          <t>Övriga Aktiebolag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19782-2023</t>
        </is>
      </c>
      <c r="B134" t="inlineStr">
        <is>
          <t>avverkningsanmälan</t>
        </is>
      </c>
      <c r="C134" t="inlineStr">
        <is>
          <t>Föryngringsavverkning</t>
        </is>
      </c>
      <c r="D134" s="1" t="n">
        <v>45050</v>
      </c>
      <c r="E134" s="1" t="n">
        <v>46228</v>
      </c>
      <c r="F134" t="inlineStr">
        <is>
          <t>VÄSTMANLANDS LÄN</t>
        </is>
      </c>
      <c r="G134" t="inlineStr">
        <is>
          <t>SURAHAMMAR</t>
        </is>
      </c>
      <c r="H134" t="inlineStr">
        <is>
          <t>Bergvik skog väst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10347-2026</t>
        </is>
      </c>
      <c r="B135" t="inlineStr">
        <is>
          <t>avverkningsanmälan</t>
        </is>
      </c>
      <c r="C135" t="inlineStr">
        <is>
          <t>Föryngringsavverkning</t>
        </is>
      </c>
      <c r="D135" s="1" t="n">
        <v>46076</v>
      </c>
      <c r="E135" s="1" t="n">
        <v>46228</v>
      </c>
      <c r="F135" t="inlineStr">
        <is>
          <t>VÄSTMANLANDS LÄN</t>
        </is>
      </c>
      <c r="G135" t="inlineStr">
        <is>
          <t>SURAHAMMAR</t>
        </is>
      </c>
      <c r="H135" t="inlineStr">
        <is>
          <t>Allmännings- och besparingsskogar</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12841-2026</t>
        </is>
      </c>
      <c r="B136" t="inlineStr">
        <is>
          <t>avverkningsanmälan</t>
        </is>
      </c>
      <c r="C136" t="inlineStr">
        <is>
          <t>Föryngringsavverkning</t>
        </is>
      </c>
      <c r="D136" s="1" t="n">
        <v>46091</v>
      </c>
      <c r="E136" s="1" t="n">
        <v>46228</v>
      </c>
      <c r="F136" t="inlineStr">
        <is>
          <t>VÄSTMANLANDS LÄN</t>
        </is>
      </c>
      <c r="G136" t="inlineStr">
        <is>
          <t>SURAHAMMAR</t>
        </is>
      </c>
      <c r="H136" t="inlineStr">
        <is>
          <t>Bergvik skog väst AB</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46228</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46228</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56378-2023</t>
        </is>
      </c>
      <c r="B139" t="inlineStr">
        <is>
          <t>avverkningsanmälan</t>
        </is>
      </c>
      <c r="C139" t="inlineStr">
        <is>
          <t>Föryngringsavverkning</t>
        </is>
      </c>
      <c r="D139" s="1" t="n">
        <v>45236</v>
      </c>
      <c r="E139" s="1" t="n">
        <v>46228</v>
      </c>
      <c r="F139" t="inlineStr">
        <is>
          <t>VÄSTMANLANDS LÄN</t>
        </is>
      </c>
      <c r="G139" t="inlineStr">
        <is>
          <t>SURAHAMMAR</t>
        </is>
      </c>
      <c r="H139" t="inlineStr">
        <is>
          <t>Bergvik skog väst AB</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19099-2022</t>
        </is>
      </c>
      <c r="B140" t="inlineStr">
        <is>
          <t>avverkningsanmälan</t>
        </is>
      </c>
      <c r="C140" t="inlineStr">
        <is>
          <t>Föryngringsavverkning</t>
        </is>
      </c>
      <c r="D140" s="1" t="n">
        <v>44691</v>
      </c>
      <c r="E140" s="1" t="n">
        <v>46228</v>
      </c>
      <c r="F140" t="inlineStr">
        <is>
          <t>VÄSTMANLANDS LÄN</t>
        </is>
      </c>
      <c r="G140" t="inlineStr">
        <is>
          <t>SURAHAMMAR</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19246-2026</t>
        </is>
      </c>
      <c r="B141" t="inlineStr">
        <is>
          <t>avverkningsanmälan</t>
        </is>
      </c>
      <c r="C141" t="inlineStr">
        <is>
          <t>Avverkning för annat ändamål</t>
        </is>
      </c>
      <c r="D141" s="1" t="n">
        <v>46132</v>
      </c>
      <c r="E141" s="1" t="n">
        <v>46228</v>
      </c>
      <c r="F141" t="inlineStr">
        <is>
          <t>VÄSTMANLANDS LÄN</t>
        </is>
      </c>
      <c r="G141" t="inlineStr">
        <is>
          <t>SURAHAMMAR</t>
        </is>
      </c>
      <c r="H141" t="inlineStr">
        <is>
          <t>Sveaskog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3818-2022</t>
        </is>
      </c>
      <c r="B142" t="inlineStr">
        <is>
          <t>avverkningsanmälan</t>
        </is>
      </c>
      <c r="C142" t="inlineStr">
        <is>
          <t>Föryngringsavverkning</t>
        </is>
      </c>
      <c r="D142" s="1" t="n">
        <v>44587</v>
      </c>
      <c r="E142" s="1" t="n">
        <v>46228</v>
      </c>
      <c r="F142" t="inlineStr">
        <is>
          <t>VÄSTMANLANDS LÄN</t>
        </is>
      </c>
      <c r="G142" t="inlineStr">
        <is>
          <t>SURAHAMMAR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21509-2024</t>
        </is>
      </c>
      <c r="B143" t="inlineStr">
        <is>
          <t>avverkningsanmälan</t>
        </is>
      </c>
      <c r="C143" t="inlineStr">
        <is>
          <t>Föryngringsavverkning</t>
        </is>
      </c>
      <c r="D143" s="1" t="n">
        <v>45441</v>
      </c>
      <c r="E143" s="1" t="n">
        <v>46228</v>
      </c>
      <c r="F143" t="inlineStr">
        <is>
          <t>VÄSTMANLANDS LÄN</t>
        </is>
      </c>
      <c r="G143" t="inlineStr">
        <is>
          <t>SURAHAMMAR</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22662-2023</t>
        </is>
      </c>
      <c r="B144" t="inlineStr">
        <is>
          <t>avverkningsanmälan</t>
        </is>
      </c>
      <c r="C144" t="inlineStr">
        <is>
          <t>Avverkning för att bevara och utveckla /försöksver</t>
        </is>
      </c>
      <c r="D144" s="1" t="n">
        <v>45071</v>
      </c>
      <c r="E144" s="1" t="n">
        <v>46228</v>
      </c>
      <c r="F144" t="inlineStr">
        <is>
          <t>VÄSTMANLANDS LÄN</t>
        </is>
      </c>
      <c r="G144" t="inlineStr">
        <is>
          <t>SURAHAMMAR</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25780-2023</t>
        </is>
      </c>
      <c r="B145" t="inlineStr">
        <is>
          <t>avverkningsanmälan</t>
        </is>
      </c>
      <c r="C145" t="inlineStr">
        <is>
          <t>Föryngringsavverkning</t>
        </is>
      </c>
      <c r="D145" s="1" t="n">
        <v>45090</v>
      </c>
      <c r="E145" s="1" t="n">
        <v>46228</v>
      </c>
      <c r="F145" t="inlineStr">
        <is>
          <t>VÄSTMANLANDS LÄN</t>
        </is>
      </c>
      <c r="G145" t="inlineStr">
        <is>
          <t>SURAHAMMAR</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15739-2023</t>
        </is>
      </c>
      <c r="B146" t="inlineStr">
        <is>
          <t>avverkningsanmälan</t>
        </is>
      </c>
      <c r="C146" t="inlineStr">
        <is>
          <t>Föryngringsavverkning</t>
        </is>
      </c>
      <c r="D146" s="1" t="n">
        <v>45021</v>
      </c>
      <c r="E146" s="1" t="n">
        <v>46228</v>
      </c>
      <c r="F146" t="inlineStr">
        <is>
          <t>VÄSTMANLANDS LÄN</t>
        </is>
      </c>
      <c r="G146" t="inlineStr">
        <is>
          <t>SURAHAMMAR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38154-2021</t>
        </is>
      </c>
      <c r="B147" t="inlineStr">
        <is>
          <t>avverkningsanmälan</t>
        </is>
      </c>
      <c r="C147" t="inlineStr">
        <is>
          <t>Föryngringsavverkning</t>
        </is>
      </c>
      <c r="D147" s="1" t="n">
        <v>44405</v>
      </c>
      <c r="E147" s="1" t="n">
        <v>46228</v>
      </c>
      <c r="F147" t="inlineStr">
        <is>
          <t>VÄSTMANLANDS LÄN</t>
        </is>
      </c>
      <c r="G147" t="inlineStr">
        <is>
          <t>SURAHAMMAR</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46228</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c r="A149" t="inlineStr">
        <is>
          <t>S 3542-2022</t>
        </is>
      </c>
      <c r="B149" t="inlineStr">
        <is>
          <t>samrådsanmälan</t>
        </is>
      </c>
      <c r="C149" t="inlineStr">
        <is>
          <t>Skogsbilväg</t>
        </is>
      </c>
      <c r="D149" s="1" t="n">
        <v>44734</v>
      </c>
      <c r="E149" s="1" t="n">
        <v>46228</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2026-07-25T01:52:13Z</dcterms:created>
  <dcterms:modified xmlns:dcterms="http://purl.org/dc/terms/" xmlns:xsi="http://www.w3.org/2001/XMLSchema-instance" xsi:type="dcterms:W3CDTF">2026-07-25T01:52:13Z</dcterms:modified>
</cp:coreProperties>
</file>