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46094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46094</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46094</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46094</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46094</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46094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46094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46094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46094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46094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46094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46094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46094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46094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46094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46094</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7791-2024</t>
        </is>
      </c>
      <c r="B18" s="1" t="n">
        <v>45348</v>
      </c>
      <c r="C18" s="1" t="n">
        <v>46094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46094</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38172-2024</t>
        </is>
      </c>
      <c r="B20" s="1" t="n">
        <v>45545</v>
      </c>
      <c r="C20" s="1" t="n">
        <v>46094</v>
      </c>
      <c r="D20" t="inlineStr">
        <is>
          <t>VÄSTMANLANDS LÄN</t>
        </is>
      </c>
      <c r="E20" t="inlineStr">
        <is>
          <t>SURAHAMMAR</t>
        </is>
      </c>
      <c r="F20" t="inlineStr">
        <is>
          <t>Sveaskog</t>
        </is>
      </c>
      <c r="G20" t="n">
        <v>5.2</v>
      </c>
      <c r="H20" t="n">
        <v>3</v>
      </c>
      <c r="I20" t="n">
        <v>0</v>
      </c>
      <c r="J20" t="n">
        <v>2</v>
      </c>
      <c r="K20" t="n">
        <v>1</v>
      </c>
      <c r="L20" t="n">
        <v>0</v>
      </c>
      <c r="M20" t="n">
        <v>0</v>
      </c>
      <c r="N20" t="n">
        <v>0</v>
      </c>
      <c r="O20" t="n">
        <v>3</v>
      </c>
      <c r="P20" t="n">
        <v>1</v>
      </c>
      <c r="Q20" t="n">
        <v>5</v>
      </c>
      <c r="R20" s="2" t="inlineStr">
        <is>
          <t>Knärot
Gropticka
Vedtrappmossa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39594-2025</t>
        </is>
      </c>
      <c r="B21" s="1" t="n">
        <v>45890</v>
      </c>
      <c r="C21" s="1" t="n">
        <v>46094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46094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46094</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46094</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46094</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46094</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46094</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10236-2026</t>
        </is>
      </c>
      <c r="B28" s="1" t="n">
        <v>46076.54277777778</v>
      </c>
      <c r="C28" s="1" t="n">
        <v>46094</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20391-2024</t>
        </is>
      </c>
      <c r="B29" s="1" t="n">
        <v>45435</v>
      </c>
      <c r="C29" s="1" t="n">
        <v>46094</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48128-2023</t>
        </is>
      </c>
      <c r="B30" s="1" t="n">
        <v>45205</v>
      </c>
      <c r="C30" s="1" t="n">
        <v>46094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46094</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42853-2022</t>
        </is>
      </c>
      <c r="B32" s="1" t="n">
        <v>44832</v>
      </c>
      <c r="C32" s="1" t="n">
        <v>46094</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42708-2022</t>
        </is>
      </c>
      <c r="B33" s="1" t="n">
        <v>44832</v>
      </c>
      <c r="C33" s="1" t="n">
        <v>46094</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4082-2025</t>
        </is>
      </c>
      <c r="B34" s="1" t="n">
        <v>45684</v>
      </c>
      <c r="C34" s="1" t="n">
        <v>46094</v>
      </c>
      <c r="D34" t="inlineStr">
        <is>
          <t>VÄSTMANLANDS LÄN</t>
        </is>
      </c>
      <c r="E34" t="inlineStr">
        <is>
          <t>SURAHAMMAR</t>
        </is>
      </c>
      <c r="F34" t="inlineStr">
        <is>
          <t>Bergvik skog väst AB</t>
        </is>
      </c>
      <c r="G34" t="n">
        <v>11.6</v>
      </c>
      <c r="H34" t="n">
        <v>2</v>
      </c>
      <c r="I34" t="n">
        <v>2</v>
      </c>
      <c r="J34" t="n">
        <v>0</v>
      </c>
      <c r="K34" t="n">
        <v>0</v>
      </c>
      <c r="L34" t="n">
        <v>0</v>
      </c>
      <c r="M34" t="n">
        <v>0</v>
      </c>
      <c r="N34" t="n">
        <v>0</v>
      </c>
      <c r="O34" t="n">
        <v>0</v>
      </c>
      <c r="P34" t="n">
        <v>0</v>
      </c>
      <c r="Q34" t="n">
        <v>3</v>
      </c>
      <c r="R34" s="2" t="inlineStr">
        <is>
          <t>Grönpyrola
Plattlummer
Lopplummer (aggregat)</t>
        </is>
      </c>
      <c r="S34">
        <f>HYPERLINK("https://klasma.github.io/Logging_1907/artfynd/A 4082-2025 artfynd.xlsx", "A 4082-2025")</f>
        <v/>
      </c>
      <c r="T34">
        <f>HYPERLINK("https://klasma.github.io/Logging_1907/kartor/A 4082-2025 karta.png", "A 4082-2025")</f>
        <v/>
      </c>
      <c r="V34">
        <f>HYPERLINK("https://klasma.github.io/Logging_1907/klagomål/A 4082-2025 FSC-klagomål.docx", "A 4082-2025")</f>
        <v/>
      </c>
      <c r="W34">
        <f>HYPERLINK("https://klasma.github.io/Logging_1907/klagomålsmail/A 4082-2025 FSC-klagomål mail.docx", "A 4082-2025")</f>
        <v/>
      </c>
      <c r="X34">
        <f>HYPERLINK("https://klasma.github.io/Logging_1907/tillsyn/A 4082-2025 tillsynsbegäran.docx", "A 4082-2025")</f>
        <v/>
      </c>
      <c r="Y34">
        <f>HYPERLINK("https://klasma.github.io/Logging_1907/tillsynsmail/A 4082-2025 tillsynsbegäran mail.docx", "A 4082-2025")</f>
        <v/>
      </c>
    </row>
    <row r="35" ht="15" customHeight="1">
      <c r="A35" t="inlineStr">
        <is>
          <t>A 38200-2021</t>
        </is>
      </c>
      <c r="B35" s="1" t="n">
        <v>44405</v>
      </c>
      <c r="C35" s="1" t="n">
        <v>46094</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29707-2025</t>
        </is>
      </c>
      <c r="B36" s="1" t="n">
        <v>45825.56100694444</v>
      </c>
      <c r="C36" s="1" t="n">
        <v>46094</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39694-2025</t>
        </is>
      </c>
      <c r="B37" s="1" t="n">
        <v>45890</v>
      </c>
      <c r="C37" s="1" t="n">
        <v>46094</v>
      </c>
      <c r="D37" t="inlineStr">
        <is>
          <t>VÄSTMANLANDS LÄN</t>
        </is>
      </c>
      <c r="E37" t="inlineStr">
        <is>
          <t>SURAHAMMAR</t>
        </is>
      </c>
      <c r="F37" t="inlineStr">
        <is>
          <t>Bergvik skog väst AB</t>
        </is>
      </c>
      <c r="G37" t="n">
        <v>2.9</v>
      </c>
      <c r="H37" t="n">
        <v>1</v>
      </c>
      <c r="I37" t="n">
        <v>1</v>
      </c>
      <c r="J37" t="n">
        <v>1</v>
      </c>
      <c r="K37" t="n">
        <v>0</v>
      </c>
      <c r="L37" t="n">
        <v>0</v>
      </c>
      <c r="M37" t="n">
        <v>0</v>
      </c>
      <c r="N37" t="n">
        <v>0</v>
      </c>
      <c r="O37" t="n">
        <v>1</v>
      </c>
      <c r="P37" t="n">
        <v>0</v>
      </c>
      <c r="Q37" t="n">
        <v>3</v>
      </c>
      <c r="R37" s="2" t="inlineStr">
        <is>
          <t>Motaggsvamp
Mindre märgborre
Tjäder</t>
        </is>
      </c>
      <c r="S37">
        <f>HYPERLINK("https://klasma.github.io/Logging_1907/artfynd/A 39694-2025 artfynd.xlsx", "A 39694-2025")</f>
        <v/>
      </c>
      <c r="T37">
        <f>HYPERLINK("https://klasma.github.io/Logging_1907/kartor/A 39694-2025 karta.png", "A 39694-2025")</f>
        <v/>
      </c>
      <c r="V37">
        <f>HYPERLINK("https://klasma.github.io/Logging_1907/klagomål/A 39694-2025 FSC-klagomål.docx", "A 39694-2025")</f>
        <v/>
      </c>
      <c r="W37">
        <f>HYPERLINK("https://klasma.github.io/Logging_1907/klagomålsmail/A 39694-2025 FSC-klagomål mail.docx", "A 39694-2025")</f>
        <v/>
      </c>
      <c r="X37">
        <f>HYPERLINK("https://klasma.github.io/Logging_1907/tillsyn/A 39694-2025 tillsynsbegäran.docx", "A 39694-2025")</f>
        <v/>
      </c>
      <c r="Y37">
        <f>HYPERLINK("https://klasma.github.io/Logging_1907/tillsynsmail/A 39694-2025 tillsynsbegäran mail.docx", "A 39694-2025")</f>
        <v/>
      </c>
      <c r="Z37">
        <f>HYPERLINK("https://klasma.github.io/Logging_1907/fåglar/A 39694-2025 prioriterade fågelarter.docx", "A 39694-2025")</f>
        <v/>
      </c>
    </row>
    <row r="38" ht="15" customHeight="1">
      <c r="A38" t="inlineStr">
        <is>
          <t>A 49718-2023</t>
        </is>
      </c>
      <c r="B38" s="1" t="n">
        <v>45212</v>
      </c>
      <c r="C38" s="1" t="n">
        <v>46094</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8552-2022</t>
        </is>
      </c>
      <c r="B39" s="1" t="n">
        <v>44613</v>
      </c>
      <c r="C39" s="1" t="n">
        <v>46094</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37801-2021</t>
        </is>
      </c>
      <c r="B40" s="1" t="n">
        <v>44402</v>
      </c>
      <c r="C40" s="1" t="n">
        <v>46094</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46094</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21618-2025</t>
        </is>
      </c>
      <c r="B42" s="1" t="n">
        <v>45783</v>
      </c>
      <c r="C42" s="1" t="n">
        <v>46094</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37800-2021</t>
        </is>
      </c>
      <c r="B43" s="1" t="n">
        <v>44402</v>
      </c>
      <c r="C43" s="1" t="n">
        <v>46094</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41204-2023</t>
        </is>
      </c>
      <c r="B44" s="1" t="n">
        <v>45174</v>
      </c>
      <c r="C44" s="1" t="n">
        <v>46094</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41576-2022</t>
        </is>
      </c>
      <c r="B45" s="1" t="n">
        <v>44826</v>
      </c>
      <c r="C45" s="1" t="n">
        <v>46094</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62097-2024</t>
        </is>
      </c>
      <c r="B46" s="1" t="n">
        <v>45646</v>
      </c>
      <c r="C46" s="1" t="n">
        <v>46094</v>
      </c>
      <c r="D46" t="inlineStr">
        <is>
          <t>VÄSTMANLANDS LÄN</t>
        </is>
      </c>
      <c r="E46" t="inlineStr">
        <is>
          <t>SURAHAMMAR</t>
        </is>
      </c>
      <c r="F46" t="inlineStr">
        <is>
          <t>Bergvik skog väst AB</t>
        </is>
      </c>
      <c r="G46" t="n">
        <v>21.7</v>
      </c>
      <c r="H46" t="n">
        <v>2</v>
      </c>
      <c r="I46" t="n">
        <v>0</v>
      </c>
      <c r="J46" t="n">
        <v>0</v>
      </c>
      <c r="K46" t="n">
        <v>0</v>
      </c>
      <c r="L46" t="n">
        <v>0</v>
      </c>
      <c r="M46" t="n">
        <v>0</v>
      </c>
      <c r="N46" t="n">
        <v>0</v>
      </c>
      <c r="O46" t="n">
        <v>0</v>
      </c>
      <c r="P46" t="n">
        <v>0</v>
      </c>
      <c r="Q46" t="n">
        <v>2</v>
      </c>
      <c r="R46" s="2" t="inlineStr">
        <is>
          <t>Mattlummer
Revlummer</t>
        </is>
      </c>
      <c r="S46">
        <f>HYPERLINK("https://klasma.github.io/Logging_1907/artfynd/A 62097-2024 artfynd.xlsx", "A 62097-2024")</f>
        <v/>
      </c>
      <c r="T46">
        <f>HYPERLINK("https://klasma.github.io/Logging_1907/kartor/A 62097-2024 karta.png", "A 62097-2024")</f>
        <v/>
      </c>
      <c r="V46">
        <f>HYPERLINK("https://klasma.github.io/Logging_1907/klagomål/A 62097-2024 FSC-klagomål.docx", "A 62097-2024")</f>
        <v/>
      </c>
      <c r="W46">
        <f>HYPERLINK("https://klasma.github.io/Logging_1907/klagomålsmail/A 62097-2024 FSC-klagomål mail.docx", "A 62097-2024")</f>
        <v/>
      </c>
      <c r="X46">
        <f>HYPERLINK("https://klasma.github.io/Logging_1907/tillsyn/A 62097-2024 tillsynsbegäran.docx", "A 62097-2024")</f>
        <v/>
      </c>
      <c r="Y46">
        <f>HYPERLINK("https://klasma.github.io/Logging_1907/tillsynsmail/A 62097-2024 tillsynsbegäran mail.docx", "A 62097-2024")</f>
        <v/>
      </c>
    </row>
    <row r="47" ht="15" customHeight="1">
      <c r="A47" t="inlineStr">
        <is>
          <t>A 40403-2025</t>
        </is>
      </c>
      <c r="B47" s="1" t="n">
        <v>45895</v>
      </c>
      <c r="C47" s="1" t="n">
        <v>46094</v>
      </c>
      <c r="D47" t="inlineStr">
        <is>
          <t>VÄSTMANLANDS LÄN</t>
        </is>
      </c>
      <c r="E47" t="inlineStr">
        <is>
          <t>SURAHAMMAR</t>
        </is>
      </c>
      <c r="F47" t="inlineStr">
        <is>
          <t>Kommuner</t>
        </is>
      </c>
      <c r="G47" t="n">
        <v>3.9</v>
      </c>
      <c r="H47" t="n">
        <v>1</v>
      </c>
      <c r="I47" t="n">
        <v>0</v>
      </c>
      <c r="J47" t="n">
        <v>1</v>
      </c>
      <c r="K47" t="n">
        <v>0</v>
      </c>
      <c r="L47" t="n">
        <v>0</v>
      </c>
      <c r="M47" t="n">
        <v>0</v>
      </c>
      <c r="N47" t="n">
        <v>0</v>
      </c>
      <c r="O47" t="n">
        <v>1</v>
      </c>
      <c r="P47" t="n">
        <v>0</v>
      </c>
      <c r="Q47" t="n">
        <v>2</v>
      </c>
      <c r="R47" s="2" t="inlineStr">
        <is>
          <t>Igelkott
Gröngöling</t>
        </is>
      </c>
      <c r="S47">
        <f>HYPERLINK("https://klasma.github.io/Logging_1907/artfynd/A 40403-2025 artfynd.xlsx", "A 40403-2025")</f>
        <v/>
      </c>
      <c r="T47">
        <f>HYPERLINK("https://klasma.github.io/Logging_1907/kartor/A 40403-2025 karta.png", "A 40403-2025")</f>
        <v/>
      </c>
      <c r="V47">
        <f>HYPERLINK("https://klasma.github.io/Logging_1907/klagomål/A 40403-2025 FSC-klagomål.docx", "A 40403-2025")</f>
        <v/>
      </c>
      <c r="W47">
        <f>HYPERLINK("https://klasma.github.io/Logging_1907/klagomålsmail/A 40403-2025 FSC-klagomål mail.docx", "A 40403-2025")</f>
        <v/>
      </c>
      <c r="X47">
        <f>HYPERLINK("https://klasma.github.io/Logging_1907/tillsyn/A 40403-2025 tillsynsbegäran.docx", "A 40403-2025")</f>
        <v/>
      </c>
      <c r="Y47">
        <f>HYPERLINK("https://klasma.github.io/Logging_1907/tillsynsmail/A 40403-2025 tillsynsbegäran mail.docx", "A 40403-2025")</f>
        <v/>
      </c>
      <c r="Z47">
        <f>HYPERLINK("https://klasma.github.io/Logging_1907/fåglar/A 40403-2025 prioriterade fågelarter.docx", "A 40403-2025")</f>
        <v/>
      </c>
    </row>
    <row r="48" ht="15" customHeight="1">
      <c r="A48" t="inlineStr">
        <is>
          <t>A 63146-2025</t>
        </is>
      </c>
      <c r="B48" s="1" t="n">
        <v>46009</v>
      </c>
      <c r="C48" s="1" t="n">
        <v>46094</v>
      </c>
      <c r="D48" t="inlineStr">
        <is>
          <t>VÄSTMANLANDS LÄN</t>
        </is>
      </c>
      <c r="E48" t="inlineStr">
        <is>
          <t>SURAHAMMAR</t>
        </is>
      </c>
      <c r="F48" t="inlineStr">
        <is>
          <t>Bergvik skog väst AB</t>
        </is>
      </c>
      <c r="G48" t="n">
        <v>10.2</v>
      </c>
      <c r="H48" t="n">
        <v>1</v>
      </c>
      <c r="I48" t="n">
        <v>1</v>
      </c>
      <c r="J48" t="n">
        <v>0</v>
      </c>
      <c r="K48" t="n">
        <v>0</v>
      </c>
      <c r="L48" t="n">
        <v>0</v>
      </c>
      <c r="M48" t="n">
        <v>0</v>
      </c>
      <c r="N48" t="n">
        <v>0</v>
      </c>
      <c r="O48" t="n">
        <v>0</v>
      </c>
      <c r="P48" t="n">
        <v>0</v>
      </c>
      <c r="Q48" t="n">
        <v>2</v>
      </c>
      <c r="R48" s="2" t="inlineStr">
        <is>
          <t>Svart trolldruva
Blåsippa</t>
        </is>
      </c>
      <c r="S48">
        <f>HYPERLINK("https://klasma.github.io/Logging_1907/artfynd/A 63146-2025 artfynd.xlsx", "A 63146-2025")</f>
        <v/>
      </c>
      <c r="T48">
        <f>HYPERLINK("https://klasma.github.io/Logging_1907/kartor/A 63146-2025 karta.png", "A 63146-2025")</f>
        <v/>
      </c>
      <c r="V48">
        <f>HYPERLINK("https://klasma.github.io/Logging_1907/klagomål/A 63146-2025 FSC-klagomål.docx", "A 63146-2025")</f>
        <v/>
      </c>
      <c r="W48">
        <f>HYPERLINK("https://klasma.github.io/Logging_1907/klagomålsmail/A 63146-2025 FSC-klagomål mail.docx", "A 63146-2025")</f>
        <v/>
      </c>
      <c r="X48">
        <f>HYPERLINK("https://klasma.github.io/Logging_1907/tillsyn/A 63146-2025 tillsynsbegäran.docx", "A 63146-2025")</f>
        <v/>
      </c>
      <c r="Y48">
        <f>HYPERLINK("https://klasma.github.io/Logging_1907/tillsynsmail/A 63146-2025 tillsynsbegäran mail.docx", "A 63146-2025")</f>
        <v/>
      </c>
    </row>
    <row r="49" ht="15" customHeight="1">
      <c r="A49" t="inlineStr">
        <is>
          <t>A 38170-2021</t>
        </is>
      </c>
      <c r="B49" s="1" t="n">
        <v>44405.43472222222</v>
      </c>
      <c r="C49" s="1" t="n">
        <v>46094</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46094</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30074-2023</t>
        </is>
      </c>
      <c r="B51" s="1" t="n">
        <v>45110</v>
      </c>
      <c r="C51" s="1" t="n">
        <v>46094</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44356-2024</t>
        </is>
      </c>
      <c r="B52" s="1" t="n">
        <v>45573</v>
      </c>
      <c r="C52" s="1" t="n">
        <v>46094</v>
      </c>
      <c r="D52" t="inlineStr">
        <is>
          <t>VÄSTMANLANDS LÄN</t>
        </is>
      </c>
      <c r="E52" t="inlineStr">
        <is>
          <t>SURAHAMMAR</t>
        </is>
      </c>
      <c r="F52" t="inlineStr">
        <is>
          <t>Sveaskog</t>
        </is>
      </c>
      <c r="G52" t="n">
        <v>0.7</v>
      </c>
      <c r="H52" t="n">
        <v>1</v>
      </c>
      <c r="I52" t="n">
        <v>0</v>
      </c>
      <c r="J52" t="n">
        <v>0</v>
      </c>
      <c r="K52" t="n">
        <v>0</v>
      </c>
      <c r="L52" t="n">
        <v>0</v>
      </c>
      <c r="M52" t="n">
        <v>0</v>
      </c>
      <c r="N52" t="n">
        <v>0</v>
      </c>
      <c r="O52" t="n">
        <v>0</v>
      </c>
      <c r="P52" t="n">
        <v>0</v>
      </c>
      <c r="Q52" t="n">
        <v>1</v>
      </c>
      <c r="R52" s="2" t="inlineStr">
        <is>
          <t>Revlummer</t>
        </is>
      </c>
      <c r="S52">
        <f>HYPERLINK("https://klasma.github.io/Logging_1907/artfynd/A 44356-2024 artfynd.xlsx", "A 44356-2024")</f>
        <v/>
      </c>
      <c r="T52">
        <f>HYPERLINK("https://klasma.github.io/Logging_1907/kartor/A 44356-2024 karta.png", "A 44356-2024")</f>
        <v/>
      </c>
      <c r="V52">
        <f>HYPERLINK("https://klasma.github.io/Logging_1907/klagomål/A 44356-2024 FSC-klagomål.docx", "A 44356-2024")</f>
        <v/>
      </c>
      <c r="W52">
        <f>HYPERLINK("https://klasma.github.io/Logging_1907/klagomålsmail/A 44356-2024 FSC-klagomål mail.docx", "A 44356-2024")</f>
        <v/>
      </c>
      <c r="X52">
        <f>HYPERLINK("https://klasma.github.io/Logging_1907/tillsyn/A 44356-2024 tillsynsbegäran.docx", "A 44356-2024")</f>
        <v/>
      </c>
      <c r="Y52">
        <f>HYPERLINK("https://klasma.github.io/Logging_1907/tillsynsmail/A 44356-2024 tillsynsbegäran mail.docx", "A 44356-2024")</f>
        <v/>
      </c>
    </row>
    <row r="53" ht="15" customHeight="1">
      <c r="A53" t="inlineStr">
        <is>
          <t>A 40411-2021</t>
        </is>
      </c>
      <c r="B53" s="1" t="n">
        <v>44419</v>
      </c>
      <c r="C53" s="1" t="n">
        <v>46094</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22840-2023</t>
        </is>
      </c>
      <c r="B54" s="1" t="n">
        <v>45072</v>
      </c>
      <c r="C54" s="1" t="n">
        <v>46094</v>
      </c>
      <c r="D54" t="inlineStr">
        <is>
          <t>VÄSTMANLANDS LÄN</t>
        </is>
      </c>
      <c r="E54" t="inlineStr">
        <is>
          <t>SURAHAMMAR</t>
        </is>
      </c>
      <c r="G54" t="n">
        <v>4.3</v>
      </c>
      <c r="H54" t="n">
        <v>1</v>
      </c>
      <c r="I54" t="n">
        <v>0</v>
      </c>
      <c r="J54" t="n">
        <v>0</v>
      </c>
      <c r="K54" t="n">
        <v>0</v>
      </c>
      <c r="L54" t="n">
        <v>0</v>
      </c>
      <c r="M54" t="n">
        <v>0</v>
      </c>
      <c r="N54" t="n">
        <v>0</v>
      </c>
      <c r="O54" t="n">
        <v>0</v>
      </c>
      <c r="P54" t="n">
        <v>0</v>
      </c>
      <c r="Q54" t="n">
        <v>1</v>
      </c>
      <c r="R54" s="2" t="inlineStr">
        <is>
          <t>Fläcknycklar</t>
        </is>
      </c>
      <c r="S54">
        <f>HYPERLINK("https://klasma.github.io/Logging_1907/artfynd/A 22840-2023 artfynd.xlsx", "A 22840-2023")</f>
        <v/>
      </c>
      <c r="T54">
        <f>HYPERLINK("https://klasma.github.io/Logging_1907/kartor/A 22840-2023 karta.png", "A 22840-2023")</f>
        <v/>
      </c>
      <c r="V54">
        <f>HYPERLINK("https://klasma.github.io/Logging_1907/klagomål/A 22840-2023 FSC-klagomål.docx", "A 22840-2023")</f>
        <v/>
      </c>
      <c r="W54">
        <f>HYPERLINK("https://klasma.github.io/Logging_1907/klagomålsmail/A 22840-2023 FSC-klagomål mail.docx", "A 22840-2023")</f>
        <v/>
      </c>
      <c r="X54">
        <f>HYPERLINK("https://klasma.github.io/Logging_1907/tillsyn/A 22840-2023 tillsynsbegäran.docx", "A 22840-2023")</f>
        <v/>
      </c>
      <c r="Y54">
        <f>HYPERLINK("https://klasma.github.io/Logging_1907/tillsynsmail/A 22840-2023 tillsynsbegäran mail.docx", "A 22840-2023")</f>
        <v/>
      </c>
    </row>
    <row r="55" ht="15" customHeight="1">
      <c r="A55" t="inlineStr">
        <is>
          <t>A 33231-2024</t>
        </is>
      </c>
      <c r="B55" s="1" t="n">
        <v>45518</v>
      </c>
      <c r="C55" s="1" t="n">
        <v>46094</v>
      </c>
      <c r="D55" t="inlineStr">
        <is>
          <t>VÄSTMANLANDS LÄN</t>
        </is>
      </c>
      <c r="E55" t="inlineStr">
        <is>
          <t>SURAHAMMAR</t>
        </is>
      </c>
      <c r="F55" t="inlineStr">
        <is>
          <t>Bergvik skog väst AB</t>
        </is>
      </c>
      <c r="G55" t="n">
        <v>1.5</v>
      </c>
      <c r="H55" t="n">
        <v>1</v>
      </c>
      <c r="I55" t="n">
        <v>0</v>
      </c>
      <c r="J55" t="n">
        <v>0</v>
      </c>
      <c r="K55" t="n">
        <v>0</v>
      </c>
      <c r="L55" t="n">
        <v>0</v>
      </c>
      <c r="M55" t="n">
        <v>0</v>
      </c>
      <c r="N55" t="n">
        <v>0</v>
      </c>
      <c r="O55" t="n">
        <v>0</v>
      </c>
      <c r="P55" t="n">
        <v>0</v>
      </c>
      <c r="Q55" t="n">
        <v>1</v>
      </c>
      <c r="R55" s="2" t="inlineStr">
        <is>
          <t>Mindre vattensalamander</t>
        </is>
      </c>
      <c r="S55">
        <f>HYPERLINK("https://klasma.github.io/Logging_1907/artfynd/A 33231-2024 artfynd.xlsx", "A 33231-2024")</f>
        <v/>
      </c>
      <c r="T55">
        <f>HYPERLINK("https://klasma.github.io/Logging_1907/kartor/A 33231-2024 karta.png", "A 33231-2024")</f>
        <v/>
      </c>
      <c r="V55">
        <f>HYPERLINK("https://klasma.github.io/Logging_1907/klagomål/A 33231-2024 FSC-klagomål.docx", "A 33231-2024")</f>
        <v/>
      </c>
      <c r="W55">
        <f>HYPERLINK("https://klasma.github.io/Logging_1907/klagomålsmail/A 33231-2024 FSC-klagomål mail.docx", "A 33231-2024")</f>
        <v/>
      </c>
      <c r="X55">
        <f>HYPERLINK("https://klasma.github.io/Logging_1907/tillsyn/A 33231-2024 tillsynsbegäran.docx", "A 33231-2024")</f>
        <v/>
      </c>
      <c r="Y55">
        <f>HYPERLINK("https://klasma.github.io/Logging_1907/tillsynsmail/A 33231-2024 tillsynsbegäran mail.docx", "A 33231-2024")</f>
        <v/>
      </c>
    </row>
    <row r="56" ht="15" customHeight="1">
      <c r="A56" t="inlineStr">
        <is>
          <t>A 67611-2021</t>
        </is>
      </c>
      <c r="B56" s="1" t="n">
        <v>44524</v>
      </c>
      <c r="C56" s="1" t="n">
        <v>46094</v>
      </c>
      <c r="D56" t="inlineStr">
        <is>
          <t>VÄSTMANLANDS LÄN</t>
        </is>
      </c>
      <c r="E56" t="inlineStr">
        <is>
          <t>SURAHAMMAR</t>
        </is>
      </c>
      <c r="F56" t="inlineStr">
        <is>
          <t>Kommuner</t>
        </is>
      </c>
      <c r="G56" t="n">
        <v>3.8</v>
      </c>
      <c r="H56" t="n">
        <v>0</v>
      </c>
      <c r="I56" t="n">
        <v>0</v>
      </c>
      <c r="J56" t="n">
        <v>1</v>
      </c>
      <c r="K56" t="n">
        <v>0</v>
      </c>
      <c r="L56" t="n">
        <v>0</v>
      </c>
      <c r="M56" t="n">
        <v>0</v>
      </c>
      <c r="N56" t="n">
        <v>0</v>
      </c>
      <c r="O56" t="n">
        <v>1</v>
      </c>
      <c r="P56" t="n">
        <v>0</v>
      </c>
      <c r="Q56" t="n">
        <v>1</v>
      </c>
      <c r="R56" s="2" t="inlineStr">
        <is>
          <t>Brödmärgsticka</t>
        </is>
      </c>
      <c r="S56">
        <f>HYPERLINK("https://klasma.github.io/Logging_1907/artfynd/A 67611-2021 artfynd.xlsx", "A 67611-2021")</f>
        <v/>
      </c>
      <c r="T56">
        <f>HYPERLINK("https://klasma.github.io/Logging_1907/kartor/A 67611-2021 karta.png", "A 67611-2021")</f>
        <v/>
      </c>
      <c r="V56">
        <f>HYPERLINK("https://klasma.github.io/Logging_1907/klagomål/A 67611-2021 FSC-klagomål.docx", "A 67611-2021")</f>
        <v/>
      </c>
      <c r="W56">
        <f>HYPERLINK("https://klasma.github.io/Logging_1907/klagomålsmail/A 67611-2021 FSC-klagomål mail.docx", "A 67611-2021")</f>
        <v/>
      </c>
      <c r="X56">
        <f>HYPERLINK("https://klasma.github.io/Logging_1907/tillsyn/A 67611-2021 tillsynsbegäran.docx", "A 67611-2021")</f>
        <v/>
      </c>
      <c r="Y56">
        <f>HYPERLINK("https://klasma.github.io/Logging_1907/tillsynsmail/A 67611-2021 tillsynsbegäran mail.docx", "A 67611-2021")</f>
        <v/>
      </c>
    </row>
    <row r="57" ht="15" customHeight="1">
      <c r="A57" t="inlineStr">
        <is>
          <t>A 56362-2023</t>
        </is>
      </c>
      <c r="B57" s="1" t="n">
        <v>45236</v>
      </c>
      <c r="C57" s="1" t="n">
        <v>46094</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46094</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13788-2025</t>
        </is>
      </c>
      <c r="B59" s="1" t="n">
        <v>45737.45327546296</v>
      </c>
      <c r="C59" s="1" t="n">
        <v>46094</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25583-2024</t>
        </is>
      </c>
      <c r="B60" s="1" t="n">
        <v>45463</v>
      </c>
      <c r="C60" s="1" t="n">
        <v>46094</v>
      </c>
      <c r="D60" t="inlineStr">
        <is>
          <t>VÄSTMANLANDS LÄN</t>
        </is>
      </c>
      <c r="E60" t="inlineStr">
        <is>
          <t>SURAHAMMAR</t>
        </is>
      </c>
      <c r="F60" t="inlineStr">
        <is>
          <t>Bergvik skog väst AB</t>
        </is>
      </c>
      <c r="G60" t="n">
        <v>7.8</v>
      </c>
      <c r="H60" t="n">
        <v>1</v>
      </c>
      <c r="I60" t="n">
        <v>0</v>
      </c>
      <c r="J60" t="n">
        <v>0</v>
      </c>
      <c r="K60" t="n">
        <v>0</v>
      </c>
      <c r="L60" t="n">
        <v>0</v>
      </c>
      <c r="M60" t="n">
        <v>0</v>
      </c>
      <c r="N60" t="n">
        <v>0</v>
      </c>
      <c r="O60" t="n">
        <v>0</v>
      </c>
      <c r="P60" t="n">
        <v>0</v>
      </c>
      <c r="Q60" t="n">
        <v>1</v>
      </c>
      <c r="R60" s="2" t="inlineStr">
        <is>
          <t>Blåsippa</t>
        </is>
      </c>
      <c r="S60">
        <f>HYPERLINK("https://klasma.github.io/Logging_1907/artfynd/A 25583-2024 artfynd.xlsx", "A 25583-2024")</f>
        <v/>
      </c>
      <c r="T60">
        <f>HYPERLINK("https://klasma.github.io/Logging_1907/kartor/A 25583-2024 karta.png", "A 25583-2024")</f>
        <v/>
      </c>
      <c r="V60">
        <f>HYPERLINK("https://klasma.github.io/Logging_1907/klagomål/A 25583-2024 FSC-klagomål.docx", "A 25583-2024")</f>
        <v/>
      </c>
      <c r="W60">
        <f>HYPERLINK("https://klasma.github.io/Logging_1907/klagomålsmail/A 25583-2024 FSC-klagomål mail.docx", "A 25583-2024")</f>
        <v/>
      </c>
      <c r="X60">
        <f>HYPERLINK("https://klasma.github.io/Logging_1907/tillsyn/A 25583-2024 tillsynsbegäran.docx", "A 25583-2024")</f>
        <v/>
      </c>
      <c r="Y60">
        <f>HYPERLINK("https://klasma.github.io/Logging_1907/tillsynsmail/A 25583-2024 tillsynsbegäran mail.docx", "A 25583-2024")</f>
        <v/>
      </c>
    </row>
    <row r="61" ht="15" customHeight="1">
      <c r="A61" t="inlineStr">
        <is>
          <t>A 14001-2023</t>
        </is>
      </c>
      <c r="B61" s="1" t="n">
        <v>45007</v>
      </c>
      <c r="C61" s="1" t="n">
        <v>46094</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39099-2022</t>
        </is>
      </c>
      <c r="B62" s="1" t="n">
        <v>44817</v>
      </c>
      <c r="C62" s="1" t="n">
        <v>46094</v>
      </c>
      <c r="D62" t="inlineStr">
        <is>
          <t>VÄSTMANLANDS LÄN</t>
        </is>
      </c>
      <c r="E62" t="inlineStr">
        <is>
          <t>SURAHAMMAR</t>
        </is>
      </c>
      <c r="F62" t="inlineStr">
        <is>
          <t>Bergvik skog väst AB</t>
        </is>
      </c>
      <c r="G62" t="n">
        <v>7.4</v>
      </c>
      <c r="H62" t="n">
        <v>0</v>
      </c>
      <c r="I62" t="n">
        <v>1</v>
      </c>
      <c r="J62" t="n">
        <v>0</v>
      </c>
      <c r="K62" t="n">
        <v>0</v>
      </c>
      <c r="L62" t="n">
        <v>0</v>
      </c>
      <c r="M62" t="n">
        <v>0</v>
      </c>
      <c r="N62" t="n">
        <v>0</v>
      </c>
      <c r="O62" t="n">
        <v>0</v>
      </c>
      <c r="P62" t="n">
        <v>0</v>
      </c>
      <c r="Q62" t="n">
        <v>1</v>
      </c>
      <c r="R62" s="2" t="inlineStr">
        <is>
          <t>Stekelbock</t>
        </is>
      </c>
      <c r="S62">
        <f>HYPERLINK("https://klasma.github.io/Logging_1907/artfynd/A 39099-2022 artfynd.xlsx", "A 39099-2022")</f>
        <v/>
      </c>
      <c r="T62">
        <f>HYPERLINK("https://klasma.github.io/Logging_1907/kartor/A 39099-2022 karta.png", "A 39099-2022")</f>
        <v/>
      </c>
      <c r="V62">
        <f>HYPERLINK("https://klasma.github.io/Logging_1907/klagomål/A 39099-2022 FSC-klagomål.docx", "A 39099-2022")</f>
        <v/>
      </c>
      <c r="W62">
        <f>HYPERLINK("https://klasma.github.io/Logging_1907/klagomålsmail/A 39099-2022 FSC-klagomål mail.docx", "A 39099-2022")</f>
        <v/>
      </c>
      <c r="X62">
        <f>HYPERLINK("https://klasma.github.io/Logging_1907/tillsyn/A 39099-2022 tillsynsbegäran.docx", "A 39099-2022")</f>
        <v/>
      </c>
      <c r="Y62">
        <f>HYPERLINK("https://klasma.github.io/Logging_1907/tillsynsmail/A 39099-2022 tillsynsbegäran mail.docx", "A 39099-2022")</f>
        <v/>
      </c>
    </row>
    <row r="63" ht="15" customHeight="1">
      <c r="A63" t="inlineStr">
        <is>
          <t>A 34582-2025</t>
        </is>
      </c>
      <c r="B63" s="1" t="n">
        <v>45846</v>
      </c>
      <c r="C63" s="1" t="n">
        <v>46094</v>
      </c>
      <c r="D63" t="inlineStr">
        <is>
          <t>VÄSTMANLANDS LÄN</t>
        </is>
      </c>
      <c r="E63" t="inlineStr">
        <is>
          <t>SURAHAMMAR</t>
        </is>
      </c>
      <c r="F63" t="inlineStr">
        <is>
          <t>Bergvik skog väst AB</t>
        </is>
      </c>
      <c r="G63" t="n">
        <v>2.6</v>
      </c>
      <c r="H63" t="n">
        <v>1</v>
      </c>
      <c r="I63" t="n">
        <v>0</v>
      </c>
      <c r="J63" t="n">
        <v>1</v>
      </c>
      <c r="K63" t="n">
        <v>0</v>
      </c>
      <c r="L63" t="n">
        <v>0</v>
      </c>
      <c r="M63" t="n">
        <v>0</v>
      </c>
      <c r="N63" t="n">
        <v>0</v>
      </c>
      <c r="O63" t="n">
        <v>1</v>
      </c>
      <c r="P63" t="n">
        <v>0</v>
      </c>
      <c r="Q63" t="n">
        <v>1</v>
      </c>
      <c r="R63" s="2" t="inlineStr">
        <is>
          <t>Järpe</t>
        </is>
      </c>
      <c r="S63">
        <f>HYPERLINK("https://klasma.github.io/Logging_1907/artfynd/A 34582-2025 artfynd.xlsx", "A 34582-2025")</f>
        <v/>
      </c>
      <c r="T63">
        <f>HYPERLINK("https://klasma.github.io/Logging_1907/kartor/A 34582-2025 karta.png", "A 34582-2025")</f>
        <v/>
      </c>
      <c r="V63">
        <f>HYPERLINK("https://klasma.github.io/Logging_1907/klagomål/A 34582-2025 FSC-klagomål.docx", "A 34582-2025")</f>
        <v/>
      </c>
      <c r="W63">
        <f>HYPERLINK("https://klasma.github.io/Logging_1907/klagomålsmail/A 34582-2025 FSC-klagomål mail.docx", "A 34582-2025")</f>
        <v/>
      </c>
      <c r="X63">
        <f>HYPERLINK("https://klasma.github.io/Logging_1907/tillsyn/A 34582-2025 tillsynsbegäran.docx", "A 34582-2025")</f>
        <v/>
      </c>
      <c r="Y63">
        <f>HYPERLINK("https://klasma.github.io/Logging_1907/tillsynsmail/A 34582-2025 tillsynsbegäran mail.docx", "A 34582-2025")</f>
        <v/>
      </c>
      <c r="Z63">
        <f>HYPERLINK("https://klasma.github.io/Logging_1907/fåglar/A 34582-2025 prioriterade fågelarter.docx", "A 34582-2025")</f>
        <v/>
      </c>
    </row>
    <row r="64" ht="15" customHeight="1">
      <c r="A64" t="inlineStr">
        <is>
          <t>A 42765-2022</t>
        </is>
      </c>
      <c r="B64" s="1" t="n">
        <v>44832</v>
      </c>
      <c r="C64" s="1" t="n">
        <v>46094</v>
      </c>
      <c r="D64" t="inlineStr">
        <is>
          <t>VÄSTMANLANDS LÄN</t>
        </is>
      </c>
      <c r="E64" t="inlineStr">
        <is>
          <t>SURAHAMMAR</t>
        </is>
      </c>
      <c r="G64" t="n">
        <v>1.8</v>
      </c>
      <c r="H64" t="n">
        <v>1</v>
      </c>
      <c r="I64" t="n">
        <v>0</v>
      </c>
      <c r="J64" t="n">
        <v>0</v>
      </c>
      <c r="K64" t="n">
        <v>0</v>
      </c>
      <c r="L64" t="n">
        <v>0</v>
      </c>
      <c r="M64" t="n">
        <v>0</v>
      </c>
      <c r="N64" t="n">
        <v>0</v>
      </c>
      <c r="O64" t="n">
        <v>0</v>
      </c>
      <c r="P64" t="n">
        <v>0</v>
      </c>
      <c r="Q64" t="n">
        <v>1</v>
      </c>
      <c r="R64" s="2" t="inlineStr">
        <is>
          <t>Blåsippa</t>
        </is>
      </c>
      <c r="S64">
        <f>HYPERLINK("https://klasma.github.io/Logging_1907/artfynd/A 42765-2022 artfynd.xlsx", "A 42765-2022")</f>
        <v/>
      </c>
      <c r="T64">
        <f>HYPERLINK("https://klasma.github.io/Logging_1907/kartor/A 42765-2022 karta.png", "A 42765-2022")</f>
        <v/>
      </c>
      <c r="V64">
        <f>HYPERLINK("https://klasma.github.io/Logging_1907/klagomål/A 42765-2022 FSC-klagomål.docx", "A 42765-2022")</f>
        <v/>
      </c>
      <c r="W64">
        <f>HYPERLINK("https://klasma.github.io/Logging_1907/klagomålsmail/A 42765-2022 FSC-klagomål mail.docx", "A 42765-2022")</f>
        <v/>
      </c>
      <c r="X64">
        <f>HYPERLINK("https://klasma.github.io/Logging_1907/tillsyn/A 42765-2022 tillsynsbegäran.docx", "A 42765-2022")</f>
        <v/>
      </c>
      <c r="Y64">
        <f>HYPERLINK("https://klasma.github.io/Logging_1907/tillsynsmail/A 42765-2022 tillsynsbegäran mail.docx", "A 42765-2022")</f>
        <v/>
      </c>
    </row>
    <row r="65" ht="15" customHeight="1">
      <c r="A65" t="inlineStr">
        <is>
          <t>A 10819-2024</t>
        </is>
      </c>
      <c r="B65" s="1" t="n">
        <v>45369.66049768519</v>
      </c>
      <c r="C65" s="1" t="n">
        <v>46094</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13971-2023</t>
        </is>
      </c>
      <c r="B66" s="1" t="n">
        <v>45007</v>
      </c>
      <c r="C66" s="1" t="n">
        <v>46094</v>
      </c>
      <c r="D66" t="inlineStr">
        <is>
          <t>VÄSTMANLANDS LÄN</t>
        </is>
      </c>
      <c r="E66" t="inlineStr">
        <is>
          <t>SURAHAMMAR</t>
        </is>
      </c>
      <c r="F66" t="inlineStr">
        <is>
          <t>Bergvik skog väst AB</t>
        </is>
      </c>
      <c r="G66" t="n">
        <v>2.9</v>
      </c>
      <c r="H66" t="n">
        <v>1</v>
      </c>
      <c r="I66" t="n">
        <v>0</v>
      </c>
      <c r="J66" t="n">
        <v>0</v>
      </c>
      <c r="K66" t="n">
        <v>0</v>
      </c>
      <c r="L66" t="n">
        <v>0</v>
      </c>
      <c r="M66" t="n">
        <v>0</v>
      </c>
      <c r="N66" t="n">
        <v>0</v>
      </c>
      <c r="O66" t="n">
        <v>0</v>
      </c>
      <c r="P66" t="n">
        <v>0</v>
      </c>
      <c r="Q66" t="n">
        <v>1</v>
      </c>
      <c r="R66" s="2" t="inlineStr">
        <is>
          <t>Fläcknycklar</t>
        </is>
      </c>
      <c r="S66">
        <f>HYPERLINK("https://klasma.github.io/Logging_1907/artfynd/A 13971-2023 artfynd.xlsx", "A 13971-2023")</f>
        <v/>
      </c>
      <c r="T66">
        <f>HYPERLINK("https://klasma.github.io/Logging_1907/kartor/A 13971-2023 karta.png", "A 13971-2023")</f>
        <v/>
      </c>
      <c r="V66">
        <f>HYPERLINK("https://klasma.github.io/Logging_1907/klagomål/A 13971-2023 FSC-klagomål.docx", "A 13971-2023")</f>
        <v/>
      </c>
      <c r="W66">
        <f>HYPERLINK("https://klasma.github.io/Logging_1907/klagomålsmail/A 13971-2023 FSC-klagomål mail.docx", "A 13971-2023")</f>
        <v/>
      </c>
      <c r="X66">
        <f>HYPERLINK("https://klasma.github.io/Logging_1907/tillsyn/A 13971-2023 tillsynsbegäran.docx", "A 13971-2023")</f>
        <v/>
      </c>
      <c r="Y66">
        <f>HYPERLINK("https://klasma.github.io/Logging_1907/tillsynsmail/A 13971-2023 tillsynsbegäran mail.docx", "A 13971-2023")</f>
        <v/>
      </c>
    </row>
    <row r="67" ht="15" customHeight="1">
      <c r="A67" t="inlineStr">
        <is>
          <t>A 31176-2024</t>
        </is>
      </c>
      <c r="B67" s="1" t="n">
        <v>45503</v>
      </c>
      <c r="C67" s="1" t="n">
        <v>46094</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69777-2021</t>
        </is>
      </c>
      <c r="B68" s="1" t="n">
        <v>44532</v>
      </c>
      <c r="C68" s="1" t="n">
        <v>46094</v>
      </c>
      <c r="D68" t="inlineStr">
        <is>
          <t>VÄSTMANLANDS LÄN</t>
        </is>
      </c>
      <c r="E68" t="inlineStr">
        <is>
          <t>SURAHAMMAR</t>
        </is>
      </c>
      <c r="G68" t="n">
        <v>2.3</v>
      </c>
      <c r="H68" t="n">
        <v>1</v>
      </c>
      <c r="I68" t="n">
        <v>0</v>
      </c>
      <c r="J68" t="n">
        <v>0</v>
      </c>
      <c r="K68" t="n">
        <v>1</v>
      </c>
      <c r="L68" t="n">
        <v>0</v>
      </c>
      <c r="M68" t="n">
        <v>0</v>
      </c>
      <c r="N68" t="n">
        <v>0</v>
      </c>
      <c r="O68" t="n">
        <v>1</v>
      </c>
      <c r="P68" t="n">
        <v>1</v>
      </c>
      <c r="Q68" t="n">
        <v>1</v>
      </c>
      <c r="R68" s="2" t="inlineStr">
        <is>
          <t>Bombmurkla</t>
        </is>
      </c>
      <c r="S68">
        <f>HYPERLINK("https://klasma.github.io/Logging_1907/artfynd/A 69777-2021 artfynd.xlsx", "A 69777-2021")</f>
        <v/>
      </c>
      <c r="T68">
        <f>HYPERLINK("https://klasma.github.io/Logging_1907/kartor/A 69777-2021 karta.png", "A 69777-2021")</f>
        <v/>
      </c>
      <c r="V68">
        <f>HYPERLINK("https://klasma.github.io/Logging_1907/klagomål/A 69777-2021 FSC-klagomål.docx", "A 69777-2021")</f>
        <v/>
      </c>
      <c r="W68">
        <f>HYPERLINK("https://klasma.github.io/Logging_1907/klagomålsmail/A 69777-2021 FSC-klagomål mail.docx", "A 69777-2021")</f>
        <v/>
      </c>
      <c r="X68">
        <f>HYPERLINK("https://klasma.github.io/Logging_1907/tillsyn/A 69777-2021 tillsynsbegäran.docx", "A 69777-2021")</f>
        <v/>
      </c>
      <c r="Y68">
        <f>HYPERLINK("https://klasma.github.io/Logging_1907/tillsynsmail/A 69777-2021 tillsynsbegäran mail.docx", "A 69777-2021")</f>
        <v/>
      </c>
    </row>
    <row r="69" ht="15" customHeight="1">
      <c r="A69" t="inlineStr">
        <is>
          <t>A 17632-2022</t>
        </is>
      </c>
      <c r="B69" s="1" t="n">
        <v>44680</v>
      </c>
      <c r="C69" s="1" t="n">
        <v>46094</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42089-2025</t>
        </is>
      </c>
      <c r="B70" s="1" t="n">
        <v>45902</v>
      </c>
      <c r="C70" s="1" t="n">
        <v>46094</v>
      </c>
      <c r="D70" t="inlineStr">
        <is>
          <t>VÄSTMANLANDS LÄN</t>
        </is>
      </c>
      <c r="E70" t="inlineStr">
        <is>
          <t>SURAHAMMAR</t>
        </is>
      </c>
      <c r="G70" t="n">
        <v>2.2</v>
      </c>
      <c r="H70" t="n">
        <v>0</v>
      </c>
      <c r="I70" t="n">
        <v>0</v>
      </c>
      <c r="J70" t="n">
        <v>1</v>
      </c>
      <c r="K70" t="n">
        <v>0</v>
      </c>
      <c r="L70" t="n">
        <v>0</v>
      </c>
      <c r="M70" t="n">
        <v>0</v>
      </c>
      <c r="N70" t="n">
        <v>0</v>
      </c>
      <c r="O70" t="n">
        <v>1</v>
      </c>
      <c r="P70" t="n">
        <v>0</v>
      </c>
      <c r="Q70" t="n">
        <v>1</v>
      </c>
      <c r="R70" s="2" t="inlineStr">
        <is>
          <t>Motaggsvamp</t>
        </is>
      </c>
      <c r="S70">
        <f>HYPERLINK("https://klasma.github.io/Logging_1907/artfynd/A 42089-2025 artfynd.xlsx", "A 42089-2025")</f>
        <v/>
      </c>
      <c r="T70">
        <f>HYPERLINK("https://klasma.github.io/Logging_1907/kartor/A 42089-2025 karta.png", "A 42089-2025")</f>
        <v/>
      </c>
      <c r="V70">
        <f>HYPERLINK("https://klasma.github.io/Logging_1907/klagomål/A 42089-2025 FSC-klagomål.docx", "A 42089-2025")</f>
        <v/>
      </c>
      <c r="W70">
        <f>HYPERLINK("https://klasma.github.io/Logging_1907/klagomålsmail/A 42089-2025 FSC-klagomål mail.docx", "A 42089-2025")</f>
        <v/>
      </c>
      <c r="X70">
        <f>HYPERLINK("https://klasma.github.io/Logging_1907/tillsyn/A 42089-2025 tillsynsbegäran.docx", "A 42089-2025")</f>
        <v/>
      </c>
      <c r="Y70">
        <f>HYPERLINK("https://klasma.github.io/Logging_1907/tillsynsmail/A 42089-2025 tillsynsbegäran mail.docx", "A 42089-2025")</f>
        <v/>
      </c>
    </row>
    <row r="71" ht="15" customHeight="1">
      <c r="A71" t="inlineStr">
        <is>
          <t>A 43451-2024</t>
        </is>
      </c>
      <c r="B71" s="1" t="n">
        <v>45568</v>
      </c>
      <c r="C71" s="1" t="n">
        <v>46094</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55042-2025</t>
        </is>
      </c>
      <c r="B72" s="1" t="n">
        <v>45967.65858796296</v>
      </c>
      <c r="C72" s="1" t="n">
        <v>46094</v>
      </c>
      <c r="D72" t="inlineStr">
        <is>
          <t>VÄSTMANLANDS LÄN</t>
        </is>
      </c>
      <c r="E72" t="inlineStr">
        <is>
          <t>SURAHAMMAR</t>
        </is>
      </c>
      <c r="F72" t="inlineStr">
        <is>
          <t>Sveaskog</t>
        </is>
      </c>
      <c r="G72" t="n">
        <v>7.2</v>
      </c>
      <c r="H72" t="n">
        <v>0</v>
      </c>
      <c r="I72" t="n">
        <v>0</v>
      </c>
      <c r="J72" t="n">
        <v>1</v>
      </c>
      <c r="K72" t="n">
        <v>0</v>
      </c>
      <c r="L72" t="n">
        <v>0</v>
      </c>
      <c r="M72" t="n">
        <v>0</v>
      </c>
      <c r="N72" t="n">
        <v>0</v>
      </c>
      <c r="O72" t="n">
        <v>1</v>
      </c>
      <c r="P72" t="n">
        <v>0</v>
      </c>
      <c r="Q72" t="n">
        <v>1</v>
      </c>
      <c r="R72" s="2" t="inlineStr">
        <is>
          <t>Motaggsvamp</t>
        </is>
      </c>
      <c r="S72">
        <f>HYPERLINK("https://klasma.github.io/Logging_1907/artfynd/A 55042-2025 artfynd.xlsx", "A 55042-2025")</f>
        <v/>
      </c>
      <c r="T72">
        <f>HYPERLINK("https://klasma.github.io/Logging_1907/kartor/A 55042-2025 karta.png", "A 55042-2025")</f>
        <v/>
      </c>
      <c r="V72">
        <f>HYPERLINK("https://klasma.github.io/Logging_1907/klagomål/A 55042-2025 FSC-klagomål.docx", "A 55042-2025")</f>
        <v/>
      </c>
      <c r="W72">
        <f>HYPERLINK("https://klasma.github.io/Logging_1907/klagomålsmail/A 55042-2025 FSC-klagomål mail.docx", "A 55042-2025")</f>
        <v/>
      </c>
      <c r="X72">
        <f>HYPERLINK("https://klasma.github.io/Logging_1907/tillsyn/A 55042-2025 tillsynsbegäran.docx", "A 55042-2025")</f>
        <v/>
      </c>
      <c r="Y72">
        <f>HYPERLINK("https://klasma.github.io/Logging_1907/tillsynsmail/A 55042-2025 tillsynsbegäran mail.docx", "A 55042-2025")</f>
        <v/>
      </c>
    </row>
    <row r="73" ht="15" customHeight="1">
      <c r="A73" t="inlineStr">
        <is>
          <t>A 55871-2025</t>
        </is>
      </c>
      <c r="B73" s="1" t="n">
        <v>45973.35452546296</v>
      </c>
      <c r="C73" s="1" t="n">
        <v>46094</v>
      </c>
      <c r="D73" t="inlineStr">
        <is>
          <t>VÄSTMANLANDS LÄN</t>
        </is>
      </c>
      <c r="E73" t="inlineStr">
        <is>
          <t>SURAHAMMAR</t>
        </is>
      </c>
      <c r="F73" t="inlineStr">
        <is>
          <t>Sveaskog</t>
        </is>
      </c>
      <c r="G73" t="n">
        <v>1.4</v>
      </c>
      <c r="H73" t="n">
        <v>1</v>
      </c>
      <c r="I73" t="n">
        <v>0</v>
      </c>
      <c r="J73" t="n">
        <v>0</v>
      </c>
      <c r="K73" t="n">
        <v>0</v>
      </c>
      <c r="L73" t="n">
        <v>0</v>
      </c>
      <c r="M73" t="n">
        <v>0</v>
      </c>
      <c r="N73" t="n">
        <v>0</v>
      </c>
      <c r="O73" t="n">
        <v>0</v>
      </c>
      <c r="P73" t="n">
        <v>0</v>
      </c>
      <c r="Q73" t="n">
        <v>1</v>
      </c>
      <c r="R73" s="2" t="inlineStr">
        <is>
          <t>Lopplummer (aggregat)</t>
        </is>
      </c>
      <c r="S73">
        <f>HYPERLINK("https://klasma.github.io/Logging_1907/artfynd/A 55871-2025 artfynd.xlsx", "A 55871-2025")</f>
        <v/>
      </c>
      <c r="T73">
        <f>HYPERLINK("https://klasma.github.io/Logging_1907/kartor/A 55871-2025 karta.png", "A 55871-2025")</f>
        <v/>
      </c>
      <c r="V73">
        <f>HYPERLINK("https://klasma.github.io/Logging_1907/klagomål/A 55871-2025 FSC-klagomål.docx", "A 55871-2025")</f>
        <v/>
      </c>
      <c r="W73">
        <f>HYPERLINK("https://klasma.github.io/Logging_1907/klagomålsmail/A 55871-2025 FSC-klagomål mail.docx", "A 55871-2025")</f>
        <v/>
      </c>
      <c r="X73">
        <f>HYPERLINK("https://klasma.github.io/Logging_1907/tillsyn/A 55871-2025 tillsynsbegäran.docx", "A 55871-2025")</f>
        <v/>
      </c>
      <c r="Y73">
        <f>HYPERLINK("https://klasma.github.io/Logging_1907/tillsynsmail/A 55871-2025 tillsynsbegäran mail.docx", "A 55871-2025")</f>
        <v/>
      </c>
    </row>
    <row r="74" ht="15" customHeight="1">
      <c r="A74" t="inlineStr">
        <is>
          <t>A 56768-2025</t>
        </is>
      </c>
      <c r="B74" s="1" t="n">
        <v>45978</v>
      </c>
      <c r="C74" s="1" t="n">
        <v>46094</v>
      </c>
      <c r="D74" t="inlineStr">
        <is>
          <t>VÄSTMANLANDS LÄN</t>
        </is>
      </c>
      <c r="E74" t="inlineStr">
        <is>
          <t>SURAHAMMAR</t>
        </is>
      </c>
      <c r="F74" t="inlineStr">
        <is>
          <t>Sveaskog</t>
        </is>
      </c>
      <c r="G74" t="n">
        <v>3.8</v>
      </c>
      <c r="H74" t="n">
        <v>0</v>
      </c>
      <c r="I74" t="n">
        <v>0</v>
      </c>
      <c r="J74" t="n">
        <v>1</v>
      </c>
      <c r="K74" t="n">
        <v>0</v>
      </c>
      <c r="L74" t="n">
        <v>0</v>
      </c>
      <c r="M74" t="n">
        <v>0</v>
      </c>
      <c r="N74" t="n">
        <v>0</v>
      </c>
      <c r="O74" t="n">
        <v>1</v>
      </c>
      <c r="P74" t="n">
        <v>0</v>
      </c>
      <c r="Q74" t="n">
        <v>1</v>
      </c>
      <c r="R74" s="2" t="inlineStr">
        <is>
          <t>Motaggsvamp</t>
        </is>
      </c>
      <c r="S74">
        <f>HYPERLINK("https://klasma.github.io/Logging_1907/artfynd/A 56768-2025 artfynd.xlsx", "A 56768-2025")</f>
        <v/>
      </c>
      <c r="T74">
        <f>HYPERLINK("https://klasma.github.io/Logging_1907/kartor/A 56768-2025 karta.png", "A 56768-2025")</f>
        <v/>
      </c>
      <c r="V74">
        <f>HYPERLINK("https://klasma.github.io/Logging_1907/klagomål/A 56768-2025 FSC-klagomål.docx", "A 56768-2025")</f>
        <v/>
      </c>
      <c r="W74">
        <f>HYPERLINK("https://klasma.github.io/Logging_1907/klagomålsmail/A 56768-2025 FSC-klagomål mail.docx", "A 56768-2025")</f>
        <v/>
      </c>
      <c r="X74">
        <f>HYPERLINK("https://klasma.github.io/Logging_1907/tillsyn/A 56768-2025 tillsynsbegäran.docx", "A 56768-2025")</f>
        <v/>
      </c>
      <c r="Y74">
        <f>HYPERLINK("https://klasma.github.io/Logging_1907/tillsynsmail/A 56768-2025 tillsynsbegäran mail.docx", "A 56768-2025")</f>
        <v/>
      </c>
    </row>
    <row r="75" ht="15" customHeight="1">
      <c r="A75" t="inlineStr">
        <is>
          <t>A 63145-2025</t>
        </is>
      </c>
      <c r="B75" s="1" t="n">
        <v>46009</v>
      </c>
      <c r="C75" s="1" t="n">
        <v>46094</v>
      </c>
      <c r="D75" t="inlineStr">
        <is>
          <t>VÄSTMANLANDS LÄN</t>
        </is>
      </c>
      <c r="E75" t="inlineStr">
        <is>
          <t>SURAHAMMAR</t>
        </is>
      </c>
      <c r="F75" t="inlineStr">
        <is>
          <t>Bergvik skog väst AB</t>
        </is>
      </c>
      <c r="G75" t="n">
        <v>40.5</v>
      </c>
      <c r="H75" t="n">
        <v>0</v>
      </c>
      <c r="I75" t="n">
        <v>1</v>
      </c>
      <c r="J75" t="n">
        <v>0</v>
      </c>
      <c r="K75" t="n">
        <v>0</v>
      </c>
      <c r="L75" t="n">
        <v>0</v>
      </c>
      <c r="M75" t="n">
        <v>0</v>
      </c>
      <c r="N75" t="n">
        <v>0</v>
      </c>
      <c r="O75" t="n">
        <v>0</v>
      </c>
      <c r="P75" t="n">
        <v>0</v>
      </c>
      <c r="Q75" t="n">
        <v>1</v>
      </c>
      <c r="R75" s="2" t="inlineStr">
        <is>
          <t>Svart trolldruva</t>
        </is>
      </c>
      <c r="S75">
        <f>HYPERLINK("https://klasma.github.io/Logging_1907/artfynd/A 63145-2025 artfynd.xlsx", "A 63145-2025")</f>
        <v/>
      </c>
      <c r="T75">
        <f>HYPERLINK("https://klasma.github.io/Logging_1907/kartor/A 63145-2025 karta.png", "A 63145-2025")</f>
        <v/>
      </c>
      <c r="V75">
        <f>HYPERLINK("https://klasma.github.io/Logging_1907/klagomål/A 63145-2025 FSC-klagomål.docx", "A 63145-2025")</f>
        <v/>
      </c>
      <c r="W75">
        <f>HYPERLINK("https://klasma.github.io/Logging_1907/klagomålsmail/A 63145-2025 FSC-klagomål mail.docx", "A 63145-2025")</f>
        <v/>
      </c>
      <c r="X75">
        <f>HYPERLINK("https://klasma.github.io/Logging_1907/tillsyn/A 63145-2025 tillsynsbegäran.docx", "A 63145-2025")</f>
        <v/>
      </c>
      <c r="Y75">
        <f>HYPERLINK("https://klasma.github.io/Logging_1907/tillsynsmail/A 63145-2025 tillsynsbegäran mail.docx", "A 63145-2025")</f>
        <v/>
      </c>
    </row>
    <row r="76" ht="15" customHeight="1">
      <c r="A76" t="inlineStr">
        <is>
          <t>A 64073-2021</t>
        </is>
      </c>
      <c r="B76" s="1" t="n">
        <v>44509</v>
      </c>
      <c r="C76" s="1" t="n">
        <v>46094</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46094</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46094</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46094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46094</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46094</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46094</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46094</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46094</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66342-2021</t>
        </is>
      </c>
      <c r="B85" s="1" t="n">
        <v>44518</v>
      </c>
      <c r="C85" s="1" t="n">
        <v>46094</v>
      </c>
      <c r="D85" t="inlineStr">
        <is>
          <t>VÄSTMANLANDS LÄN</t>
        </is>
      </c>
      <c r="E85" t="inlineStr">
        <is>
          <t>SURAHAMMAR</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46094</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46094</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21839-2021</t>
        </is>
      </c>
      <c r="B88" s="1" t="n">
        <v>44322</v>
      </c>
      <c r="C88" s="1" t="n">
        <v>46094</v>
      </c>
      <c r="D88" t="inlineStr">
        <is>
          <t>VÄSTMANLANDS LÄN</t>
        </is>
      </c>
      <c r="E88" t="inlineStr">
        <is>
          <t>SURAHAMMAR</t>
        </is>
      </c>
      <c r="G88" t="n">
        <v>1.6</v>
      </c>
      <c r="H88" t="n">
        <v>0</v>
      </c>
      <c r="I88" t="n">
        <v>0</v>
      </c>
      <c r="J88" t="n">
        <v>0</v>
      </c>
      <c r="K88" t="n">
        <v>0</v>
      </c>
      <c r="L88" t="n">
        <v>0</v>
      </c>
      <c r="M88" t="n">
        <v>0</v>
      </c>
      <c r="N88" t="n">
        <v>0</v>
      </c>
      <c r="O88" t="n">
        <v>0</v>
      </c>
      <c r="P88" t="n">
        <v>0</v>
      </c>
      <c r="Q88" t="n">
        <v>0</v>
      </c>
      <c r="R88" s="2" t="inlineStr"/>
    </row>
    <row r="89" ht="15" customHeight="1">
      <c r="A89" t="inlineStr">
        <is>
          <t>A 31468-2021</t>
        </is>
      </c>
      <c r="B89" s="1" t="n">
        <v>44369</v>
      </c>
      <c r="C89" s="1" t="n">
        <v>46094</v>
      </c>
      <c r="D89" t="inlineStr">
        <is>
          <t>VÄSTMANLANDS LÄN</t>
        </is>
      </c>
      <c r="E89" t="inlineStr">
        <is>
          <t>SURAHAMMAR</t>
        </is>
      </c>
      <c r="G89" t="n">
        <v>1.1</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46094</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3595-2022</t>
        </is>
      </c>
      <c r="B91" s="1" t="n">
        <v>44586</v>
      </c>
      <c r="C91" s="1" t="n">
        <v>46094</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46094</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46094</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46094</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46094</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15637-2022</t>
        </is>
      </c>
      <c r="B96" s="1" t="n">
        <v>44662.89638888889</v>
      </c>
      <c r="C96" s="1" t="n">
        <v>46094</v>
      </c>
      <c r="D96" t="inlineStr">
        <is>
          <t>VÄSTMANLANDS LÄN</t>
        </is>
      </c>
      <c r="E96" t="inlineStr">
        <is>
          <t>SURAHAMMAR</t>
        </is>
      </c>
      <c r="G96" t="n">
        <v>2.2</v>
      </c>
      <c r="H96" t="n">
        <v>0</v>
      </c>
      <c r="I96" t="n">
        <v>0</v>
      </c>
      <c r="J96" t="n">
        <v>0</v>
      </c>
      <c r="K96" t="n">
        <v>0</v>
      </c>
      <c r="L96" t="n">
        <v>0</v>
      </c>
      <c r="M96" t="n">
        <v>0</v>
      </c>
      <c r="N96" t="n">
        <v>0</v>
      </c>
      <c r="O96" t="n">
        <v>0</v>
      </c>
      <c r="P96" t="n">
        <v>0</v>
      </c>
      <c r="Q96" t="n">
        <v>0</v>
      </c>
      <c r="R96" s="2" t="inlineStr"/>
    </row>
    <row r="97" ht="15" customHeight="1">
      <c r="A97" t="inlineStr">
        <is>
          <t>A 47785-2021</t>
        </is>
      </c>
      <c r="B97" s="1" t="n">
        <v>44448</v>
      </c>
      <c r="C97" s="1" t="n">
        <v>46094</v>
      </c>
      <c r="D97" t="inlineStr">
        <is>
          <t>VÄSTMANLANDS LÄN</t>
        </is>
      </c>
      <c r="E97" t="inlineStr">
        <is>
          <t>SURAHAMMAR</t>
        </is>
      </c>
      <c r="F97" t="inlineStr">
        <is>
          <t>Kommuner</t>
        </is>
      </c>
      <c r="G97" t="n">
        <v>3.3</v>
      </c>
      <c r="H97" t="n">
        <v>0</v>
      </c>
      <c r="I97" t="n">
        <v>0</v>
      </c>
      <c r="J97" t="n">
        <v>0</v>
      </c>
      <c r="K97" t="n">
        <v>0</v>
      </c>
      <c r="L97" t="n">
        <v>0</v>
      </c>
      <c r="M97" t="n">
        <v>0</v>
      </c>
      <c r="N97" t="n">
        <v>0</v>
      </c>
      <c r="O97" t="n">
        <v>0</v>
      </c>
      <c r="P97" t="n">
        <v>0</v>
      </c>
      <c r="Q97" t="n">
        <v>0</v>
      </c>
      <c r="R97" s="2" t="inlineStr"/>
    </row>
    <row r="98" ht="15" customHeight="1">
      <c r="A98" t="inlineStr">
        <is>
          <t>A 3155-2022</t>
        </is>
      </c>
      <c r="B98" s="1" t="n">
        <v>44582</v>
      </c>
      <c r="C98" s="1" t="n">
        <v>46094</v>
      </c>
      <c r="D98" t="inlineStr">
        <is>
          <t>VÄSTMANLANDS LÄN</t>
        </is>
      </c>
      <c r="E98" t="inlineStr">
        <is>
          <t>SURAHAMMAR</t>
        </is>
      </c>
      <c r="G98" t="n">
        <v>5.5</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46094</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46094</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46094</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14626-2023</t>
        </is>
      </c>
      <c r="B102" s="1" t="n">
        <v>45012</v>
      </c>
      <c r="C102" s="1" t="n">
        <v>46094</v>
      </c>
      <c r="D102" t="inlineStr">
        <is>
          <t>VÄSTMANLANDS LÄN</t>
        </is>
      </c>
      <c r="E102" t="inlineStr">
        <is>
          <t>SURAHAMMAR</t>
        </is>
      </c>
      <c r="F102" t="inlineStr">
        <is>
          <t>Bergvik skog väst AB</t>
        </is>
      </c>
      <c r="G102" t="n">
        <v>5</v>
      </c>
      <c r="H102" t="n">
        <v>0</v>
      </c>
      <c r="I102" t="n">
        <v>0</v>
      </c>
      <c r="J102" t="n">
        <v>0</v>
      </c>
      <c r="K102" t="n">
        <v>0</v>
      </c>
      <c r="L102" t="n">
        <v>0</v>
      </c>
      <c r="M102" t="n">
        <v>0</v>
      </c>
      <c r="N102" t="n">
        <v>0</v>
      </c>
      <c r="O102" t="n">
        <v>0</v>
      </c>
      <c r="P102" t="n">
        <v>0</v>
      </c>
      <c r="Q102" t="n">
        <v>0</v>
      </c>
      <c r="R102" s="2" t="inlineStr"/>
    </row>
    <row r="103" ht="15" customHeight="1">
      <c r="A103" t="inlineStr">
        <is>
          <t>A 66350-2021</t>
        </is>
      </c>
      <c r="B103" s="1" t="n">
        <v>44518</v>
      </c>
      <c r="C103" s="1" t="n">
        <v>46094</v>
      </c>
      <c r="D103" t="inlineStr">
        <is>
          <t>VÄSTMANLANDS LÄN</t>
        </is>
      </c>
      <c r="E103" t="inlineStr">
        <is>
          <t>SURAHAMMAR</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37798-2021</t>
        </is>
      </c>
      <c r="B104" s="1" t="n">
        <v>44402</v>
      </c>
      <c r="C104" s="1" t="n">
        <v>46094</v>
      </c>
      <c r="D104" t="inlineStr">
        <is>
          <t>VÄSTMANLANDS LÄN</t>
        </is>
      </c>
      <c r="E104" t="inlineStr">
        <is>
          <t>SURAHAMMAR</t>
        </is>
      </c>
      <c r="F104" t="inlineStr">
        <is>
          <t>Kommuner</t>
        </is>
      </c>
      <c r="G104" t="n">
        <v>1.2</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46094</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15739-2023</t>
        </is>
      </c>
      <c r="B106" s="1" t="n">
        <v>45021</v>
      </c>
      <c r="C106" s="1" t="n">
        <v>46094</v>
      </c>
      <c r="D106" t="inlineStr">
        <is>
          <t>VÄSTMANLANDS LÄN</t>
        </is>
      </c>
      <c r="E106" t="inlineStr">
        <is>
          <t>SURAHAMMAR</t>
        </is>
      </c>
      <c r="G106" t="n">
        <v>1.3</v>
      </c>
      <c r="H106" t="n">
        <v>0</v>
      </c>
      <c r="I106" t="n">
        <v>0</v>
      </c>
      <c r="J106" t="n">
        <v>0</v>
      </c>
      <c r="K106" t="n">
        <v>0</v>
      </c>
      <c r="L106" t="n">
        <v>0</v>
      </c>
      <c r="M106" t="n">
        <v>0</v>
      </c>
      <c r="N106" t="n">
        <v>0</v>
      </c>
      <c r="O106" t="n">
        <v>0</v>
      </c>
      <c r="P106" t="n">
        <v>0</v>
      </c>
      <c r="Q106" t="n">
        <v>0</v>
      </c>
      <c r="R106" s="2" t="inlineStr"/>
    </row>
    <row r="107" ht="15" customHeight="1">
      <c r="A107" t="inlineStr">
        <is>
          <t>A 38154-2021</t>
        </is>
      </c>
      <c r="B107" s="1" t="n">
        <v>44405.42373842592</v>
      </c>
      <c r="C107" s="1" t="n">
        <v>46094</v>
      </c>
      <c r="D107" t="inlineStr">
        <is>
          <t>VÄSTMANLANDS LÄN</t>
        </is>
      </c>
      <c r="E107" t="inlineStr">
        <is>
          <t>SURAHAMMAR</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25450-2024</t>
        </is>
      </c>
      <c r="B108" s="1" t="n">
        <v>45463</v>
      </c>
      <c r="C108" s="1" t="n">
        <v>46094</v>
      </c>
      <c r="D108" t="inlineStr">
        <is>
          <t>VÄSTMANLANDS LÄN</t>
        </is>
      </c>
      <c r="E108" t="inlineStr">
        <is>
          <t>SURAHAMMAR</t>
        </is>
      </c>
      <c r="F108" t="inlineStr">
        <is>
          <t>Bergvik skog väst AB</t>
        </is>
      </c>
      <c r="G108" t="n">
        <v>2.4</v>
      </c>
      <c r="H108" t="n">
        <v>0</v>
      </c>
      <c r="I108" t="n">
        <v>0</v>
      </c>
      <c r="J108" t="n">
        <v>0</v>
      </c>
      <c r="K108" t="n">
        <v>0</v>
      </c>
      <c r="L108" t="n">
        <v>0</v>
      </c>
      <c r="M108" t="n">
        <v>0</v>
      </c>
      <c r="N108" t="n">
        <v>0</v>
      </c>
      <c r="O108" t="n">
        <v>0</v>
      </c>
      <c r="P108" t="n">
        <v>0</v>
      </c>
      <c r="Q108" t="n">
        <v>0</v>
      </c>
      <c r="R108" s="2" t="inlineStr"/>
    </row>
    <row r="109" ht="15" customHeight="1">
      <c r="A109" t="inlineStr">
        <is>
          <t>A 19782-2023</t>
        </is>
      </c>
      <c r="B109" s="1" t="n">
        <v>45050</v>
      </c>
      <c r="C109" s="1" t="n">
        <v>46094</v>
      </c>
      <c r="D109" t="inlineStr">
        <is>
          <t>VÄSTMANLANDS LÄN</t>
        </is>
      </c>
      <c r="E109" t="inlineStr">
        <is>
          <t>SURAHAMMAR</t>
        </is>
      </c>
      <c r="F109" t="inlineStr">
        <is>
          <t>Bergvik skog väst AB</t>
        </is>
      </c>
      <c r="G109" t="n">
        <v>5.2</v>
      </c>
      <c r="H109" t="n">
        <v>0</v>
      </c>
      <c r="I109" t="n">
        <v>0</v>
      </c>
      <c r="J109" t="n">
        <v>0</v>
      </c>
      <c r="K109" t="n">
        <v>0</v>
      </c>
      <c r="L109" t="n">
        <v>0</v>
      </c>
      <c r="M109" t="n">
        <v>0</v>
      </c>
      <c r="N109" t="n">
        <v>0</v>
      </c>
      <c r="O109" t="n">
        <v>0</v>
      </c>
      <c r="P109" t="n">
        <v>0</v>
      </c>
      <c r="Q109" t="n">
        <v>0</v>
      </c>
      <c r="R109" s="2" t="inlineStr"/>
    </row>
    <row r="110" ht="15" customHeight="1">
      <c r="A110" t="inlineStr">
        <is>
          <t>A 37287-2023</t>
        </is>
      </c>
      <c r="B110" s="1" t="n">
        <v>45156</v>
      </c>
      <c r="C110" s="1" t="n">
        <v>46094</v>
      </c>
      <c r="D110" t="inlineStr">
        <is>
          <t>VÄSTMANLANDS LÄN</t>
        </is>
      </c>
      <c r="E110" t="inlineStr">
        <is>
          <t>SURAHAMMAR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7848-2022</t>
        </is>
      </c>
      <c r="B111" s="1" t="n">
        <v>44608.58400462963</v>
      </c>
      <c r="C111" s="1" t="n">
        <v>46094</v>
      </c>
      <c r="D111" t="inlineStr">
        <is>
          <t>VÄSTMANLANDS LÄN</t>
        </is>
      </c>
      <c r="E111" t="inlineStr">
        <is>
          <t>SURAHAMMAR</t>
        </is>
      </c>
      <c r="G111" t="n">
        <v>2.1</v>
      </c>
      <c r="H111" t="n">
        <v>0</v>
      </c>
      <c r="I111" t="n">
        <v>0</v>
      </c>
      <c r="J111" t="n">
        <v>0</v>
      </c>
      <c r="K111" t="n">
        <v>0</v>
      </c>
      <c r="L111" t="n">
        <v>0</v>
      </c>
      <c r="M111" t="n">
        <v>0</v>
      </c>
      <c r="N111" t="n">
        <v>0</v>
      </c>
      <c r="O111" t="n">
        <v>0</v>
      </c>
      <c r="P111" t="n">
        <v>0</v>
      </c>
      <c r="Q111" t="n">
        <v>0</v>
      </c>
      <c r="R111" s="2" t="inlineStr"/>
    </row>
    <row r="112" ht="15" customHeight="1">
      <c r="A112" t="inlineStr">
        <is>
          <t>A 24167-2024</t>
        </is>
      </c>
      <c r="B112" s="1" t="n">
        <v>45456</v>
      </c>
      <c r="C112" s="1" t="n">
        <v>46094</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56378-2023</t>
        </is>
      </c>
      <c r="B113" s="1" t="n">
        <v>45236</v>
      </c>
      <c r="C113" s="1" t="n">
        <v>46094</v>
      </c>
      <c r="D113" t="inlineStr">
        <is>
          <t>VÄSTMANLANDS LÄN</t>
        </is>
      </c>
      <c r="E113" t="inlineStr">
        <is>
          <t>SURAHAMMAR</t>
        </is>
      </c>
      <c r="F113" t="inlineStr">
        <is>
          <t>Bergvik skog väst AB</t>
        </is>
      </c>
      <c r="G113" t="n">
        <v>4.6</v>
      </c>
      <c r="H113" t="n">
        <v>0</v>
      </c>
      <c r="I113" t="n">
        <v>0</v>
      </c>
      <c r="J113" t="n">
        <v>0</v>
      </c>
      <c r="K113" t="n">
        <v>0</v>
      </c>
      <c r="L113" t="n">
        <v>0</v>
      </c>
      <c r="M113" t="n">
        <v>0</v>
      </c>
      <c r="N113" t="n">
        <v>0</v>
      </c>
      <c r="O113" t="n">
        <v>0</v>
      </c>
      <c r="P113" t="n">
        <v>0</v>
      </c>
      <c r="Q113" t="n">
        <v>0</v>
      </c>
      <c r="R113" s="2" t="inlineStr"/>
    </row>
    <row r="114" ht="15" customHeight="1">
      <c r="A114" t="inlineStr">
        <is>
          <t>A 19099-2022</t>
        </is>
      </c>
      <c r="B114" s="1" t="n">
        <v>44691</v>
      </c>
      <c r="C114" s="1" t="n">
        <v>46094</v>
      </c>
      <c r="D114" t="inlineStr">
        <is>
          <t>VÄSTMANLANDS LÄN</t>
        </is>
      </c>
      <c r="E114" t="inlineStr">
        <is>
          <t>SURAHAMMAR</t>
        </is>
      </c>
      <c r="F114" t="inlineStr">
        <is>
          <t>Övriga Aktiebolag</t>
        </is>
      </c>
      <c r="G114" t="n">
        <v>3.4</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46094</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72367-2021</t>
        </is>
      </c>
      <c r="B116" s="1" t="n">
        <v>44545</v>
      </c>
      <c r="C116" s="1" t="n">
        <v>46094</v>
      </c>
      <c r="D116" t="inlineStr">
        <is>
          <t>VÄSTMANLANDS LÄN</t>
        </is>
      </c>
      <c r="E116" t="inlineStr">
        <is>
          <t>SURAHAMMAR</t>
        </is>
      </c>
      <c r="G116" t="n">
        <v>2.5</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46094</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3818-2022</t>
        </is>
      </c>
      <c r="B118" s="1" t="n">
        <v>44587</v>
      </c>
      <c r="C118" s="1" t="n">
        <v>46094</v>
      </c>
      <c r="D118" t="inlineStr">
        <is>
          <t>VÄSTMANLANDS LÄN</t>
        </is>
      </c>
      <c r="E118" t="inlineStr">
        <is>
          <t>SURAHAMMAR</t>
        </is>
      </c>
      <c r="G118" t="n">
        <v>2.6</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46094</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34584-2025</t>
        </is>
      </c>
      <c r="B120" s="1" t="n">
        <v>45846</v>
      </c>
      <c r="C120" s="1" t="n">
        <v>46094</v>
      </c>
      <c r="D120" t="inlineStr">
        <is>
          <t>VÄSTMANLANDS LÄN</t>
        </is>
      </c>
      <c r="E120" t="inlineStr">
        <is>
          <t>SURAHAMMAR</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46094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32916-2025</t>
        </is>
      </c>
      <c r="B122" s="1" t="n">
        <v>45839</v>
      </c>
      <c r="C122" s="1" t="n">
        <v>46094</v>
      </c>
      <c r="D122" t="inlineStr">
        <is>
          <t>VÄSTMANLANDS LÄN</t>
        </is>
      </c>
      <c r="E122" t="inlineStr">
        <is>
          <t>SURAHAMMAR</t>
        </is>
      </c>
      <c r="F122" t="inlineStr">
        <is>
          <t>Kommuner</t>
        </is>
      </c>
      <c r="G122" t="n">
        <v>4.9</v>
      </c>
      <c r="H122" t="n">
        <v>0</v>
      </c>
      <c r="I122" t="n">
        <v>0</v>
      </c>
      <c r="J122" t="n">
        <v>0</v>
      </c>
      <c r="K122" t="n">
        <v>0</v>
      </c>
      <c r="L122" t="n">
        <v>0</v>
      </c>
      <c r="M122" t="n">
        <v>0</v>
      </c>
      <c r="N122" t="n">
        <v>0</v>
      </c>
      <c r="O122" t="n">
        <v>0</v>
      </c>
      <c r="P122" t="n">
        <v>0</v>
      </c>
      <c r="Q122" t="n">
        <v>0</v>
      </c>
      <c r="R122" s="2" t="inlineStr"/>
    </row>
    <row r="123" ht="15" customHeight="1">
      <c r="A123" t="inlineStr">
        <is>
          <t>A 32910-2025</t>
        </is>
      </c>
      <c r="B123" s="1" t="n">
        <v>45839</v>
      </c>
      <c r="C123" s="1" t="n">
        <v>46094</v>
      </c>
      <c r="D123" t="inlineStr">
        <is>
          <t>VÄSTMANLANDS LÄN</t>
        </is>
      </c>
      <c r="E123" t="inlineStr">
        <is>
          <t>SURAHAMMAR</t>
        </is>
      </c>
      <c r="F123" t="inlineStr">
        <is>
          <t>Kommuner</t>
        </is>
      </c>
      <c r="G123" t="n">
        <v>1.1</v>
      </c>
      <c r="H123" t="n">
        <v>0</v>
      </c>
      <c r="I123" t="n">
        <v>0</v>
      </c>
      <c r="J123" t="n">
        <v>0</v>
      </c>
      <c r="K123" t="n">
        <v>0</v>
      </c>
      <c r="L123" t="n">
        <v>0</v>
      </c>
      <c r="M123" t="n">
        <v>0</v>
      </c>
      <c r="N123" t="n">
        <v>0</v>
      </c>
      <c r="O123" t="n">
        <v>0</v>
      </c>
      <c r="P123" t="n">
        <v>0</v>
      </c>
      <c r="Q123" t="n">
        <v>0</v>
      </c>
      <c r="R123" s="2" t="inlineStr"/>
    </row>
    <row r="124" ht="15" customHeight="1">
      <c r="A124" t="inlineStr">
        <is>
          <t>A 35682-2022</t>
        </is>
      </c>
      <c r="B124" s="1" t="n">
        <v>44799.60422453703</v>
      </c>
      <c r="C124" s="1" t="n">
        <v>46094</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11728-2023</t>
        </is>
      </c>
      <c r="B125" s="1" t="n">
        <v>44993</v>
      </c>
      <c r="C125" s="1" t="n">
        <v>46094</v>
      </c>
      <c r="D125" t="inlineStr">
        <is>
          <t>VÄSTMANLANDS LÄN</t>
        </is>
      </c>
      <c r="E125" t="inlineStr">
        <is>
          <t>SURAHAMMAR</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46094</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42832-2022</t>
        </is>
      </c>
      <c r="B127" s="1" t="n">
        <v>44832</v>
      </c>
      <c r="C127" s="1" t="n">
        <v>46094</v>
      </c>
      <c r="D127" t="inlineStr">
        <is>
          <t>VÄSTMANLANDS LÄN</t>
        </is>
      </c>
      <c r="E127" t="inlineStr">
        <is>
          <t>SURAHAMMAR</t>
        </is>
      </c>
      <c r="G127" t="n">
        <v>1.1</v>
      </c>
      <c r="H127" t="n">
        <v>0</v>
      </c>
      <c r="I127" t="n">
        <v>0</v>
      </c>
      <c r="J127" t="n">
        <v>0</v>
      </c>
      <c r="K127" t="n">
        <v>0</v>
      </c>
      <c r="L127" t="n">
        <v>0</v>
      </c>
      <c r="M127" t="n">
        <v>0</v>
      </c>
      <c r="N127" t="n">
        <v>0</v>
      </c>
      <c r="O127" t="n">
        <v>0</v>
      </c>
      <c r="P127" t="n">
        <v>0</v>
      </c>
      <c r="Q127" t="n">
        <v>0</v>
      </c>
      <c r="R127" s="2" t="inlineStr"/>
    </row>
    <row r="128" ht="15" customHeight="1">
      <c r="A128" t="inlineStr">
        <is>
          <t>A 24665-2023</t>
        </is>
      </c>
      <c r="B128" s="1" t="n">
        <v>45084.48592592592</v>
      </c>
      <c r="C128" s="1" t="n">
        <v>46094</v>
      </c>
      <c r="D128" t="inlineStr">
        <is>
          <t>VÄSTMANLANDS LÄN</t>
        </is>
      </c>
      <c r="E128" t="inlineStr">
        <is>
          <t>SURAHAMMAR</t>
        </is>
      </c>
      <c r="G128" t="n">
        <v>0.9</v>
      </c>
      <c r="H128" t="n">
        <v>0</v>
      </c>
      <c r="I128" t="n">
        <v>0</v>
      </c>
      <c r="J128" t="n">
        <v>0</v>
      </c>
      <c r="K128" t="n">
        <v>0</v>
      </c>
      <c r="L128" t="n">
        <v>0</v>
      </c>
      <c r="M128" t="n">
        <v>0</v>
      </c>
      <c r="N128" t="n">
        <v>0</v>
      </c>
      <c r="O128" t="n">
        <v>0</v>
      </c>
      <c r="P128" t="n">
        <v>0</v>
      </c>
      <c r="Q128" t="n">
        <v>0</v>
      </c>
      <c r="R128" s="2" t="inlineStr"/>
    </row>
    <row r="129" ht="15" customHeight="1">
      <c r="A129" t="inlineStr">
        <is>
          <t>A 32808-2024</t>
        </is>
      </c>
      <c r="B129" s="1" t="n">
        <v>45516</v>
      </c>
      <c r="C129" s="1" t="n">
        <v>46094</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37013-2025</t>
        </is>
      </c>
      <c r="B130" s="1" t="n">
        <v>45874</v>
      </c>
      <c r="C130" s="1" t="n">
        <v>46094</v>
      </c>
      <c r="D130" t="inlineStr">
        <is>
          <t>VÄSTMANLANDS LÄN</t>
        </is>
      </c>
      <c r="E130" t="inlineStr">
        <is>
          <t>SURAHAMMAR</t>
        </is>
      </c>
      <c r="F130" t="inlineStr">
        <is>
          <t>Bergvik skog väst AB</t>
        </is>
      </c>
      <c r="G130" t="n">
        <v>10.7</v>
      </c>
      <c r="H130" t="n">
        <v>0</v>
      </c>
      <c r="I130" t="n">
        <v>0</v>
      </c>
      <c r="J130" t="n">
        <v>0</v>
      </c>
      <c r="K130" t="n">
        <v>0</v>
      </c>
      <c r="L130" t="n">
        <v>0</v>
      </c>
      <c r="M130" t="n">
        <v>0</v>
      </c>
      <c r="N130" t="n">
        <v>0</v>
      </c>
      <c r="O130" t="n">
        <v>0</v>
      </c>
      <c r="P130" t="n">
        <v>0</v>
      </c>
      <c r="Q130" t="n">
        <v>0</v>
      </c>
      <c r="R130" s="2" t="inlineStr"/>
    </row>
    <row r="131" ht="15" customHeight="1">
      <c r="A131" t="inlineStr">
        <is>
          <t>A 42841-2022</t>
        </is>
      </c>
      <c r="B131" s="1" t="n">
        <v>44832</v>
      </c>
      <c r="C131" s="1" t="n">
        <v>46094</v>
      </c>
      <c r="D131" t="inlineStr">
        <is>
          <t>VÄSTMANLANDS LÄN</t>
        </is>
      </c>
      <c r="E131" t="inlineStr">
        <is>
          <t>SURAHAMMAR</t>
        </is>
      </c>
      <c r="G131" t="n">
        <v>1.8</v>
      </c>
      <c r="H131" t="n">
        <v>0</v>
      </c>
      <c r="I131" t="n">
        <v>0</v>
      </c>
      <c r="J131" t="n">
        <v>0</v>
      </c>
      <c r="K131" t="n">
        <v>0</v>
      </c>
      <c r="L131" t="n">
        <v>0</v>
      </c>
      <c r="M131" t="n">
        <v>0</v>
      </c>
      <c r="N131" t="n">
        <v>0</v>
      </c>
      <c r="O131" t="n">
        <v>0</v>
      </c>
      <c r="P131" t="n">
        <v>0</v>
      </c>
      <c r="Q131" t="n">
        <v>0</v>
      </c>
      <c r="R131" s="2" t="inlineStr"/>
    </row>
    <row r="132" ht="15" customHeight="1">
      <c r="A132" t="inlineStr">
        <is>
          <t>A 37954-2025</t>
        </is>
      </c>
      <c r="B132" s="1" t="n">
        <v>45881</v>
      </c>
      <c r="C132" s="1" t="n">
        <v>46094</v>
      </c>
      <c r="D132" t="inlineStr">
        <is>
          <t>VÄSTMANLANDS LÄN</t>
        </is>
      </c>
      <c r="E132" t="inlineStr">
        <is>
          <t>SURAHAMMAR</t>
        </is>
      </c>
      <c r="G132" t="n">
        <v>9.5</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46094</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21509-2024</t>
        </is>
      </c>
      <c r="B134" s="1" t="n">
        <v>45441</v>
      </c>
      <c r="C134" s="1" t="n">
        <v>46094</v>
      </c>
      <c r="D134" t="inlineStr">
        <is>
          <t>VÄSTMANLANDS LÄN</t>
        </is>
      </c>
      <c r="E134" t="inlineStr">
        <is>
          <t>SURAHAMMAR</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22662-2023</t>
        </is>
      </c>
      <c r="B135" s="1" t="n">
        <v>45071</v>
      </c>
      <c r="C135" s="1" t="n">
        <v>46094</v>
      </c>
      <c r="D135" t="inlineStr">
        <is>
          <t>VÄSTMANLANDS LÄN</t>
        </is>
      </c>
      <c r="E135" t="inlineStr">
        <is>
          <t>SURAHAMMAR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16013-2023</t>
        </is>
      </c>
      <c r="B136" s="1" t="n">
        <v>45026</v>
      </c>
      <c r="C136" s="1" t="n">
        <v>46094</v>
      </c>
      <c r="D136" t="inlineStr">
        <is>
          <t>VÄSTMANLANDS LÄN</t>
        </is>
      </c>
      <c r="E136" t="inlineStr">
        <is>
          <t>SURAHAMMAR</t>
        </is>
      </c>
      <c r="G136" t="n">
        <v>3.9</v>
      </c>
      <c r="H136" t="n">
        <v>0</v>
      </c>
      <c r="I136" t="n">
        <v>0</v>
      </c>
      <c r="J136" t="n">
        <v>0</v>
      </c>
      <c r="K136" t="n">
        <v>0</v>
      </c>
      <c r="L136" t="n">
        <v>0</v>
      </c>
      <c r="M136" t="n">
        <v>0</v>
      </c>
      <c r="N136" t="n">
        <v>0</v>
      </c>
      <c r="O136" t="n">
        <v>0</v>
      </c>
      <c r="P136" t="n">
        <v>0</v>
      </c>
      <c r="Q136" t="n">
        <v>0</v>
      </c>
      <c r="R136" s="2" t="inlineStr"/>
    </row>
    <row r="137" ht="15" customHeight="1">
      <c r="A137" t="inlineStr">
        <is>
          <t>A 2867-2024</t>
        </is>
      </c>
      <c r="B137" s="1" t="n">
        <v>45315</v>
      </c>
      <c r="C137" s="1" t="n">
        <v>46094</v>
      </c>
      <c r="D137" t="inlineStr">
        <is>
          <t>VÄSTMANLANDS LÄN</t>
        </is>
      </c>
      <c r="E137" t="inlineStr">
        <is>
          <t>SURAHAMMAR</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41555-2022</t>
        </is>
      </c>
      <c r="B138" s="1" t="n">
        <v>44826</v>
      </c>
      <c r="C138" s="1" t="n">
        <v>46094</v>
      </c>
      <c r="D138" t="inlineStr">
        <is>
          <t>VÄSTMANLANDS LÄN</t>
        </is>
      </c>
      <c r="E138" t="inlineStr">
        <is>
          <t>SURAHAMMAR</t>
        </is>
      </c>
      <c r="F138" t="inlineStr">
        <is>
          <t>Bergvik skog väst AB</t>
        </is>
      </c>
      <c r="G138" t="n">
        <v>1.7</v>
      </c>
      <c r="H138" t="n">
        <v>0</v>
      </c>
      <c r="I138" t="n">
        <v>0</v>
      </c>
      <c r="J138" t="n">
        <v>0</v>
      </c>
      <c r="K138" t="n">
        <v>0</v>
      </c>
      <c r="L138" t="n">
        <v>0</v>
      </c>
      <c r="M138" t="n">
        <v>0</v>
      </c>
      <c r="N138" t="n">
        <v>0</v>
      </c>
      <c r="O138" t="n">
        <v>0</v>
      </c>
      <c r="P138" t="n">
        <v>0</v>
      </c>
      <c r="Q138" t="n">
        <v>0</v>
      </c>
      <c r="R138" s="2" t="inlineStr"/>
    </row>
    <row r="139" ht="15" customHeight="1">
      <c r="A139" t="inlineStr">
        <is>
          <t>A 3085-2023</t>
        </is>
      </c>
      <c r="B139" s="1" t="n">
        <v>44946</v>
      </c>
      <c r="C139" s="1" t="n">
        <v>46094</v>
      </c>
      <c r="D139" t="inlineStr">
        <is>
          <t>VÄSTMANLANDS LÄN</t>
        </is>
      </c>
      <c r="E139" t="inlineStr">
        <is>
          <t>SURAHAMMAR</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25780-2023</t>
        </is>
      </c>
      <c r="B140" s="1" t="n">
        <v>45090.47523148148</v>
      </c>
      <c r="C140" s="1" t="n">
        <v>46094</v>
      </c>
      <c r="D140" t="inlineStr">
        <is>
          <t>VÄSTMANLANDS LÄN</t>
        </is>
      </c>
      <c r="E140" t="inlineStr">
        <is>
          <t>SURAHAMMAR</t>
        </is>
      </c>
      <c r="G140" t="n">
        <v>2.8</v>
      </c>
      <c r="H140" t="n">
        <v>0</v>
      </c>
      <c r="I140" t="n">
        <v>0</v>
      </c>
      <c r="J140" t="n">
        <v>0</v>
      </c>
      <c r="K140" t="n">
        <v>0</v>
      </c>
      <c r="L140" t="n">
        <v>0</v>
      </c>
      <c r="M140" t="n">
        <v>0</v>
      </c>
      <c r="N140" t="n">
        <v>0</v>
      </c>
      <c r="O140" t="n">
        <v>0</v>
      </c>
      <c r="P140" t="n">
        <v>0</v>
      </c>
      <c r="Q140" t="n">
        <v>0</v>
      </c>
      <c r="R140" s="2" t="inlineStr"/>
    </row>
    <row r="141" ht="15" customHeight="1">
      <c r="A141" t="inlineStr">
        <is>
          <t>A 42088-2025</t>
        </is>
      </c>
      <c r="B141" s="1" t="n">
        <v>45902</v>
      </c>
      <c r="C141" s="1" t="n">
        <v>46094</v>
      </c>
      <c r="D141" t="inlineStr">
        <is>
          <t>VÄSTMANLANDS LÄN</t>
        </is>
      </c>
      <c r="E141" t="inlineStr">
        <is>
          <t>SURAHAMMAR</t>
        </is>
      </c>
      <c r="G141" t="n">
        <v>1</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46094</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49058-2024</t>
        </is>
      </c>
      <c r="B143" s="1" t="n">
        <v>45594</v>
      </c>
      <c r="C143" s="1" t="n">
        <v>46094</v>
      </c>
      <c r="D143" t="inlineStr">
        <is>
          <t>VÄSTMANLANDS LÄN</t>
        </is>
      </c>
      <c r="E143" t="inlineStr">
        <is>
          <t>SURAHAMMAR</t>
        </is>
      </c>
      <c r="F143" t="inlineStr">
        <is>
          <t>Sveaskog</t>
        </is>
      </c>
      <c r="G143" t="n">
        <v>11.4</v>
      </c>
      <c r="H143" t="n">
        <v>0</v>
      </c>
      <c r="I143" t="n">
        <v>0</v>
      </c>
      <c r="J143" t="n">
        <v>0</v>
      </c>
      <c r="K143" t="n">
        <v>0</v>
      </c>
      <c r="L143" t="n">
        <v>0</v>
      </c>
      <c r="M143" t="n">
        <v>0</v>
      </c>
      <c r="N143" t="n">
        <v>0</v>
      </c>
      <c r="O143" t="n">
        <v>0</v>
      </c>
      <c r="P143" t="n">
        <v>0</v>
      </c>
      <c r="Q143" t="n">
        <v>0</v>
      </c>
      <c r="R143" s="2" t="inlineStr"/>
    </row>
    <row r="144" ht="15" customHeight="1">
      <c r="A144" t="inlineStr">
        <is>
          <t>A 49060-2024</t>
        </is>
      </c>
      <c r="B144" s="1" t="n">
        <v>45594</v>
      </c>
      <c r="C144" s="1" t="n">
        <v>46094</v>
      </c>
      <c r="D144" t="inlineStr">
        <is>
          <t>VÄSTMANLANDS LÄN</t>
        </is>
      </c>
      <c r="E144" t="inlineStr">
        <is>
          <t>SURAHAMMAR</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31107-2025</t>
        </is>
      </c>
      <c r="B145" s="1" t="n">
        <v>45831</v>
      </c>
      <c r="C145" s="1" t="n">
        <v>46094</v>
      </c>
      <c r="D145" t="inlineStr">
        <is>
          <t>VÄSTMANLANDS LÄN</t>
        </is>
      </c>
      <c r="E145" t="inlineStr">
        <is>
          <t>SURAHAMMAR</t>
        </is>
      </c>
      <c r="F145" t="inlineStr">
        <is>
          <t>Kommuner</t>
        </is>
      </c>
      <c r="G145" t="n">
        <v>1.7</v>
      </c>
      <c r="H145" t="n">
        <v>0</v>
      </c>
      <c r="I145" t="n">
        <v>0</v>
      </c>
      <c r="J145" t="n">
        <v>0</v>
      </c>
      <c r="K145" t="n">
        <v>0</v>
      </c>
      <c r="L145" t="n">
        <v>0</v>
      </c>
      <c r="M145" t="n">
        <v>0</v>
      </c>
      <c r="N145" t="n">
        <v>0</v>
      </c>
      <c r="O145" t="n">
        <v>0</v>
      </c>
      <c r="P145" t="n">
        <v>0</v>
      </c>
      <c r="Q145" t="n">
        <v>0</v>
      </c>
      <c r="R145" s="2" t="inlineStr"/>
    </row>
    <row r="146" ht="15" customHeight="1">
      <c r="A146" t="inlineStr">
        <is>
          <t>A 43249-2025</t>
        </is>
      </c>
      <c r="B146" s="1" t="n">
        <v>45910.55059027778</v>
      </c>
      <c r="C146" s="1" t="n">
        <v>46094</v>
      </c>
      <c r="D146" t="inlineStr">
        <is>
          <t>VÄSTMANLANDS LÄN</t>
        </is>
      </c>
      <c r="E146" t="inlineStr">
        <is>
          <t>SURAHAMMAR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43255-2025</t>
        </is>
      </c>
      <c r="B147" s="1" t="n">
        <v>45910.55325231481</v>
      </c>
      <c r="C147" s="1" t="n">
        <v>46094</v>
      </c>
      <c r="D147" t="inlineStr">
        <is>
          <t>VÄSTMANLANDS LÄN</t>
        </is>
      </c>
      <c r="E147" t="inlineStr">
        <is>
          <t>SURAHAMMAR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34955-2022</t>
        </is>
      </c>
      <c r="B148" s="1" t="n">
        <v>44796</v>
      </c>
      <c r="C148" s="1" t="n">
        <v>46094</v>
      </c>
      <c r="D148" t="inlineStr">
        <is>
          <t>VÄSTMANLANDS LÄN</t>
        </is>
      </c>
      <c r="E148" t="inlineStr">
        <is>
          <t>SURAHAMMAR</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20904-2023</t>
        </is>
      </c>
      <c r="B149" s="1" t="n">
        <v>45060</v>
      </c>
      <c r="C149" s="1" t="n">
        <v>46094</v>
      </c>
      <c r="D149" t="inlineStr">
        <is>
          <t>VÄSTMANLANDS LÄN</t>
        </is>
      </c>
      <c r="E149" t="inlineStr">
        <is>
          <t>SURAHAMMAR</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10883-2023</t>
        </is>
      </c>
      <c r="B150" s="1" t="n">
        <v>44991</v>
      </c>
      <c r="C150" s="1" t="n">
        <v>46094</v>
      </c>
      <c r="D150" t="inlineStr">
        <is>
          <t>VÄSTMANLANDS LÄN</t>
        </is>
      </c>
      <c r="E150" t="inlineStr">
        <is>
          <t>SURAHAMMAR</t>
        </is>
      </c>
      <c r="F150" t="inlineStr">
        <is>
          <t>Övriga Aktiebolag</t>
        </is>
      </c>
      <c r="G150" t="n">
        <v>12.5</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46094</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55868-2025</t>
        </is>
      </c>
      <c r="B152" s="1" t="n">
        <v>45973.35263888889</v>
      </c>
      <c r="C152" s="1" t="n">
        <v>46094</v>
      </c>
      <c r="D152" t="inlineStr">
        <is>
          <t>VÄSTMANLANDS LÄN</t>
        </is>
      </c>
      <c r="E152" t="inlineStr">
        <is>
          <t>SURAHAMMAR</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55874-2025</t>
        </is>
      </c>
      <c r="B153" s="1" t="n">
        <v>45973.3569212963</v>
      </c>
      <c r="C153" s="1" t="n">
        <v>46094</v>
      </c>
      <c r="D153" t="inlineStr">
        <is>
          <t>VÄSTMANLANDS LÄN</t>
        </is>
      </c>
      <c r="E153" t="inlineStr">
        <is>
          <t>SURAHAMMAR</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55873-2025</t>
        </is>
      </c>
      <c r="B154" s="1" t="n">
        <v>45973.35608796297</v>
      </c>
      <c r="C154" s="1" t="n">
        <v>46094</v>
      </c>
      <c r="D154" t="inlineStr">
        <is>
          <t>VÄSTMANLANDS LÄN</t>
        </is>
      </c>
      <c r="E154" t="inlineStr">
        <is>
          <t>SURAHAMMAR</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56543-2025</t>
        </is>
      </c>
      <c r="B155" s="1" t="n">
        <v>45975</v>
      </c>
      <c r="C155" s="1" t="n">
        <v>46094</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59399-2025</t>
        </is>
      </c>
      <c r="B156" s="1" t="n">
        <v>45989</v>
      </c>
      <c r="C156" s="1" t="n">
        <v>46094</v>
      </c>
      <c r="D156" t="inlineStr">
        <is>
          <t>VÄSTMANLANDS LÄN</t>
        </is>
      </c>
      <c r="E156" t="inlineStr">
        <is>
          <t>SURAHAMMAR</t>
        </is>
      </c>
      <c r="F156" t="inlineStr">
        <is>
          <t>Kommuner</t>
        </is>
      </c>
      <c r="G156" t="n">
        <v>2.1</v>
      </c>
      <c r="H156" t="n">
        <v>0</v>
      </c>
      <c r="I156" t="n">
        <v>0</v>
      </c>
      <c r="J156" t="n">
        <v>0</v>
      </c>
      <c r="K156" t="n">
        <v>0</v>
      </c>
      <c r="L156" t="n">
        <v>0</v>
      </c>
      <c r="M156" t="n">
        <v>0</v>
      </c>
      <c r="N156" t="n">
        <v>0</v>
      </c>
      <c r="O156" t="n">
        <v>0</v>
      </c>
      <c r="P156" t="n">
        <v>0</v>
      </c>
      <c r="Q156" t="n">
        <v>0</v>
      </c>
      <c r="R156" s="2" t="inlineStr"/>
    </row>
    <row r="157" ht="15" customHeight="1">
      <c r="A157" t="inlineStr">
        <is>
          <t>A 56541-2025</t>
        </is>
      </c>
      <c r="B157" s="1" t="n">
        <v>45975</v>
      </c>
      <c r="C157" s="1" t="n">
        <v>46094</v>
      </c>
      <c r="D157" t="inlineStr">
        <is>
          <t>VÄSTMANLANDS LÄN</t>
        </is>
      </c>
      <c r="E157" t="inlineStr">
        <is>
          <t>SURAHAMMAR</t>
        </is>
      </c>
      <c r="F157" t="inlineStr">
        <is>
          <t>Sveaskog</t>
        </is>
      </c>
      <c r="G157" t="n">
        <v>7.6</v>
      </c>
      <c r="H157" t="n">
        <v>0</v>
      </c>
      <c r="I157" t="n">
        <v>0</v>
      </c>
      <c r="J157" t="n">
        <v>0</v>
      </c>
      <c r="K157" t="n">
        <v>0</v>
      </c>
      <c r="L157" t="n">
        <v>0</v>
      </c>
      <c r="M157" t="n">
        <v>0</v>
      </c>
      <c r="N157" t="n">
        <v>0</v>
      </c>
      <c r="O157" t="n">
        <v>0</v>
      </c>
      <c r="P157" t="n">
        <v>0</v>
      </c>
      <c r="Q157" t="n">
        <v>0</v>
      </c>
      <c r="R157" s="2" t="inlineStr"/>
    </row>
    <row r="158" ht="15" customHeight="1">
      <c r="A158" t="inlineStr">
        <is>
          <t>A 63138-2025</t>
        </is>
      </c>
      <c r="B158" s="1" t="n">
        <v>46009</v>
      </c>
      <c r="C158" s="1" t="n">
        <v>46094</v>
      </c>
      <c r="D158" t="inlineStr">
        <is>
          <t>VÄSTMANLANDS LÄN</t>
        </is>
      </c>
      <c r="E158" t="inlineStr">
        <is>
          <t>SURAHAMMAR</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10244-2026</t>
        </is>
      </c>
      <c r="B159" s="1" t="n">
        <v>46076.55032407407</v>
      </c>
      <c r="C159" s="1" t="n">
        <v>46094</v>
      </c>
      <c r="D159" t="inlineStr">
        <is>
          <t>VÄSTMANLANDS LÄN</t>
        </is>
      </c>
      <c r="E159" t="inlineStr">
        <is>
          <t>SURAHAMMAR</t>
        </is>
      </c>
      <c r="F159" t="inlineStr">
        <is>
          <t>Allmännings- och besparingsskogar</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10249-2026</t>
        </is>
      </c>
      <c r="B160" s="1" t="n">
        <v>46076.55456018518</v>
      </c>
      <c r="C160" s="1" t="n">
        <v>46094</v>
      </c>
      <c r="D160" t="inlineStr">
        <is>
          <t>VÄSTMANLANDS LÄN</t>
        </is>
      </c>
      <c r="E160" t="inlineStr">
        <is>
          <t>SURAHAMMAR</t>
        </is>
      </c>
      <c r="F160" t="inlineStr">
        <is>
          <t>Allmännings- och besparingsskogar</t>
        </is>
      </c>
      <c r="G160" t="n">
        <v>4.8</v>
      </c>
      <c r="H160" t="n">
        <v>0</v>
      </c>
      <c r="I160" t="n">
        <v>0</v>
      </c>
      <c r="J160" t="n">
        <v>0</v>
      </c>
      <c r="K160" t="n">
        <v>0</v>
      </c>
      <c r="L160" t="n">
        <v>0</v>
      </c>
      <c r="M160" t="n">
        <v>0</v>
      </c>
      <c r="N160" t="n">
        <v>0</v>
      </c>
      <c r="O160" t="n">
        <v>0</v>
      </c>
      <c r="P160" t="n">
        <v>0</v>
      </c>
      <c r="Q160" t="n">
        <v>0</v>
      </c>
      <c r="R160" s="2" t="inlineStr"/>
    </row>
    <row r="161" ht="15" customHeight="1">
      <c r="A161" t="inlineStr">
        <is>
          <t>A 10562-2026</t>
        </is>
      </c>
      <c r="B161" s="1" t="n">
        <v>46077.64043981482</v>
      </c>
      <c r="C161" s="1" t="n">
        <v>46094</v>
      </c>
      <c r="D161" t="inlineStr">
        <is>
          <t>VÄSTMANLANDS LÄN</t>
        </is>
      </c>
      <c r="E161" t="inlineStr">
        <is>
          <t>SURAHAMMAR</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10512-2026</t>
        </is>
      </c>
      <c r="B162" s="1" t="n">
        <v>46077.56861111111</v>
      </c>
      <c r="C162" s="1" t="n">
        <v>46094</v>
      </c>
      <c r="D162" t="inlineStr">
        <is>
          <t>VÄSTMANLANDS LÄN</t>
        </is>
      </c>
      <c r="E162" t="inlineStr">
        <is>
          <t>SURAHAMMAR</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10347-2026</t>
        </is>
      </c>
      <c r="B163" s="1" t="n">
        <v>46076.69101851852</v>
      </c>
      <c r="C163" s="1" t="n">
        <v>46094</v>
      </c>
      <c r="D163" t="inlineStr">
        <is>
          <t>VÄSTMANLANDS LÄN</t>
        </is>
      </c>
      <c r="E163" t="inlineStr">
        <is>
          <t>SURAHAMMAR</t>
        </is>
      </c>
      <c r="F163" t="inlineStr">
        <is>
          <t>Allmännings- och besparingsskogar</t>
        </is>
      </c>
      <c r="G163" t="n">
        <v>3</v>
      </c>
      <c r="H163" t="n">
        <v>0</v>
      </c>
      <c r="I163" t="n">
        <v>0</v>
      </c>
      <c r="J163" t="n">
        <v>0</v>
      </c>
      <c r="K163" t="n">
        <v>0</v>
      </c>
      <c r="L163" t="n">
        <v>0</v>
      </c>
      <c r="M163" t="n">
        <v>0</v>
      </c>
      <c r="N163" t="n">
        <v>0</v>
      </c>
      <c r="O163" t="n">
        <v>0</v>
      </c>
      <c r="P163" t="n">
        <v>0</v>
      </c>
      <c r="Q163" t="n">
        <v>0</v>
      </c>
      <c r="R163" s="2" t="inlineStr"/>
    </row>
    <row r="164" ht="15" customHeight="1">
      <c r="A164" t="inlineStr">
        <is>
          <t>A 4724-2026</t>
        </is>
      </c>
      <c r="B164" s="1" t="n">
        <v>46048</v>
      </c>
      <c r="C164" s="1" t="n">
        <v>46094</v>
      </c>
      <c r="D164" t="inlineStr">
        <is>
          <t>VÄSTMANLANDS LÄN</t>
        </is>
      </c>
      <c r="E164" t="inlineStr">
        <is>
          <t>SURAHAMMAR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4734-2026</t>
        </is>
      </c>
      <c r="B165" s="1" t="n">
        <v>46048</v>
      </c>
      <c r="C165" s="1" t="n">
        <v>46094</v>
      </c>
      <c r="D165" t="inlineStr">
        <is>
          <t>VÄSTMANLANDS LÄN</t>
        </is>
      </c>
      <c r="E165" t="inlineStr">
        <is>
          <t>SURAHAMMAR</t>
        </is>
      </c>
      <c r="G165" t="n">
        <v>0.7</v>
      </c>
      <c r="H165" t="n">
        <v>0</v>
      </c>
      <c r="I165" t="n">
        <v>0</v>
      </c>
      <c r="J165" t="n">
        <v>0</v>
      </c>
      <c r="K165" t="n">
        <v>0</v>
      </c>
      <c r="L165" t="n">
        <v>0</v>
      </c>
      <c r="M165" t="n">
        <v>0</v>
      </c>
      <c r="N165" t="n">
        <v>0</v>
      </c>
      <c r="O165" t="n">
        <v>0</v>
      </c>
      <c r="P165" t="n">
        <v>0</v>
      </c>
      <c r="Q165" t="n">
        <v>0</v>
      </c>
      <c r="R165" s="2" t="inlineStr"/>
    </row>
    <row r="166" ht="15" customHeight="1">
      <c r="A166" t="inlineStr">
        <is>
          <t>A 5696-2026</t>
        </is>
      </c>
      <c r="B166" s="1" t="n">
        <v>46051.4975</v>
      </c>
      <c r="C166" s="1" t="n">
        <v>46094</v>
      </c>
      <c r="D166" t="inlineStr">
        <is>
          <t>VÄSTMANLANDS LÄN</t>
        </is>
      </c>
      <c r="E166" t="inlineStr">
        <is>
          <t>SURAHAMMAR</t>
        </is>
      </c>
      <c r="F166" t="inlineStr">
        <is>
          <t>Sveaskog</t>
        </is>
      </c>
      <c r="G166" t="n">
        <v>10.4</v>
      </c>
      <c r="H166" t="n">
        <v>0</v>
      </c>
      <c r="I166" t="n">
        <v>0</v>
      </c>
      <c r="J166" t="n">
        <v>0</v>
      </c>
      <c r="K166" t="n">
        <v>0</v>
      </c>
      <c r="L166" t="n">
        <v>0</v>
      </c>
      <c r="M166" t="n">
        <v>0</v>
      </c>
      <c r="N166" t="n">
        <v>0</v>
      </c>
      <c r="O166" t="n">
        <v>0</v>
      </c>
      <c r="P166" t="n">
        <v>0</v>
      </c>
      <c r="Q166" t="n">
        <v>0</v>
      </c>
      <c r="R166" s="2" t="inlineStr"/>
    </row>
    <row r="167" ht="15" customHeight="1">
      <c r="A167" t="inlineStr">
        <is>
          <t>A 5697-2026</t>
        </is>
      </c>
      <c r="B167" s="1" t="n">
        <v>46051.50020833333</v>
      </c>
      <c r="C167" s="1" t="n">
        <v>46094</v>
      </c>
      <c r="D167" t="inlineStr">
        <is>
          <t>VÄSTMANLANDS LÄN</t>
        </is>
      </c>
      <c r="E167" t="inlineStr">
        <is>
          <t>SURAHAMMAR</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12841-2026</t>
        </is>
      </c>
      <c r="B168" s="1" t="n">
        <v>46091</v>
      </c>
      <c r="C168" s="1" t="n">
        <v>46094</v>
      </c>
      <c r="D168" t="inlineStr">
        <is>
          <t>VÄSTMANLANDS LÄN</t>
        </is>
      </c>
      <c r="E168" t="inlineStr">
        <is>
          <t>SURAHAMMAR</t>
        </is>
      </c>
      <c r="F168" t="inlineStr">
        <is>
          <t>Bergvik skog väst AB</t>
        </is>
      </c>
      <c r="G168" t="n">
        <v>4.3</v>
      </c>
      <c r="H168" t="n">
        <v>0</v>
      </c>
      <c r="I168" t="n">
        <v>0</v>
      </c>
      <c r="J168" t="n">
        <v>0</v>
      </c>
      <c r="K168" t="n">
        <v>0</v>
      </c>
      <c r="L168" t="n">
        <v>0</v>
      </c>
      <c r="M168" t="n">
        <v>0</v>
      </c>
      <c r="N168" t="n">
        <v>0</v>
      </c>
      <c r="O168" t="n">
        <v>0</v>
      </c>
      <c r="P168" t="n">
        <v>0</v>
      </c>
      <c r="Q168" t="n">
        <v>0</v>
      </c>
      <c r="R168" s="2" t="inlineStr"/>
    </row>
    <row r="169">
      <c r="A169" t="inlineStr">
        <is>
          <t>A 5698-2026</t>
        </is>
      </c>
      <c r="B169" s="1" t="n">
        <v>46051.50196759259</v>
      </c>
      <c r="C169" s="1" t="n">
        <v>46094</v>
      </c>
      <c r="D169" t="inlineStr">
        <is>
          <t>VÄSTMANLANDS LÄN</t>
        </is>
      </c>
      <c r="E169" t="inlineStr">
        <is>
          <t>SURAHAMMAR</t>
        </is>
      </c>
      <c r="F169" t="inlineStr">
        <is>
          <t>Sveaskog</t>
        </is>
      </c>
      <c r="G169" t="n">
        <v>1.9</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2026-03-13T11:15:58Z</dcterms:created>
  <dcterms:modified xmlns:dcterms="http://purl.org/dc/terms/" xmlns:xsi="http://www.w3.org/2001/XMLSchema-instance" xsi:type="dcterms:W3CDTF">2026-03-13T11:15:59Z</dcterms:modified>
</cp:coreProperties>
</file>