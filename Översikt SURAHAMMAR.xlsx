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45926</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45926</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45926</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45926</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34759-2023</t>
        </is>
      </c>
      <c r="B7" s="1" t="n">
        <v>45139</v>
      </c>
      <c r="C7" s="1" t="n">
        <v>45926</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45926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45926</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45926</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45926</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45926</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45926</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45926</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45926</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45926</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45926</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45926</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45926</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45926</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21716-2025</t>
        </is>
      </c>
      <c r="B21" s="1" t="n">
        <v>45783.54804398148</v>
      </c>
      <c r="C21" s="1" t="n">
        <v>45926</v>
      </c>
      <c r="D21" t="inlineStr">
        <is>
          <t>VÄSTMANLANDS LÄN</t>
        </is>
      </c>
      <c r="E21" t="inlineStr">
        <is>
          <t>SURAHAMMAR</t>
        </is>
      </c>
      <c r="F21" t="inlineStr">
        <is>
          <t>Allmännings- och besparingsskogar</t>
        </is>
      </c>
      <c r="G21" t="n">
        <v>21.1</v>
      </c>
      <c r="H21" t="n">
        <v>3</v>
      </c>
      <c r="I21" t="n">
        <v>1</v>
      </c>
      <c r="J21" t="n">
        <v>2</v>
      </c>
      <c r="K21" t="n">
        <v>1</v>
      </c>
      <c r="L21" t="n">
        <v>0</v>
      </c>
      <c r="M21" t="n">
        <v>0</v>
      </c>
      <c r="N21" t="n">
        <v>0</v>
      </c>
      <c r="O21" t="n">
        <v>3</v>
      </c>
      <c r="P21" t="n">
        <v>1</v>
      </c>
      <c r="Q21" t="n">
        <v>4</v>
      </c>
      <c r="R21" s="2" t="inlineStr">
        <is>
          <t>Knärot
Spillkråka
Talltita
Vedticka</t>
        </is>
      </c>
      <c r="S21">
        <f>HYPERLINK("https://klasma.github.io/Logging_1907/artfynd/A 21716-2025 artfynd.xlsx", "A 21716-2025")</f>
        <v/>
      </c>
      <c r="T21">
        <f>HYPERLINK("https://klasma.github.io/Logging_1907/kartor/A 21716-2025 karta.png", "A 21716-2025")</f>
        <v/>
      </c>
      <c r="U21">
        <f>HYPERLINK("https://klasma.github.io/Logging_1907/knärot/A 21716-2025 karta knärot.png", "A 21716-2025")</f>
        <v/>
      </c>
      <c r="V21">
        <f>HYPERLINK("https://klasma.github.io/Logging_1907/klagomål/A 21716-2025 FSC-klagomål.docx", "A 21716-2025")</f>
        <v/>
      </c>
      <c r="W21">
        <f>HYPERLINK("https://klasma.github.io/Logging_1907/klagomålsmail/A 21716-2025 FSC-klagomål mail.docx", "A 21716-2025")</f>
        <v/>
      </c>
      <c r="X21">
        <f>HYPERLINK("https://klasma.github.io/Logging_1907/tillsyn/A 21716-2025 tillsynsbegäran.docx", "A 21716-2025")</f>
        <v/>
      </c>
      <c r="Y21">
        <f>HYPERLINK("https://klasma.github.io/Logging_1907/tillsynsmail/A 21716-2025 tillsynsbegäran mail.docx", "A 21716-2025")</f>
        <v/>
      </c>
      <c r="Z21">
        <f>HYPERLINK("https://klasma.github.io/Logging_1907/fåglar/A 21716-2025 prioriterade fågelarter.docx", "A 21716-2025")</f>
        <v/>
      </c>
    </row>
    <row r="22" ht="15" customHeight="1">
      <c r="A22" t="inlineStr">
        <is>
          <t>A 25548-2024</t>
        </is>
      </c>
      <c r="B22" s="1" t="n">
        <v>45463</v>
      </c>
      <c r="C22" s="1" t="n">
        <v>45926</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4105-2025</t>
        </is>
      </c>
      <c r="B23" s="1" t="n">
        <v>45684</v>
      </c>
      <c r="C23" s="1" t="n">
        <v>45926</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38172-2024</t>
        </is>
      </c>
      <c r="B24" s="1" t="n">
        <v>45545</v>
      </c>
      <c r="C24" s="1" t="n">
        <v>45926</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65024-2023</t>
        </is>
      </c>
      <c r="B25" s="1" t="n">
        <v>45282</v>
      </c>
      <c r="C25" s="1" t="n">
        <v>45926</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45926</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59550-2020</t>
        </is>
      </c>
      <c r="B27" s="1" t="n">
        <v>44148</v>
      </c>
      <c r="C27" s="1" t="n">
        <v>45926</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48128-2023</t>
        </is>
      </c>
      <c r="B28" s="1" t="n">
        <v>45205</v>
      </c>
      <c r="C28" s="1" t="n">
        <v>45926</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20391-2024</t>
        </is>
      </c>
      <c r="B29" s="1" t="n">
        <v>45435</v>
      </c>
      <c r="C29" s="1" t="n">
        <v>45926</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42860-2022</t>
        </is>
      </c>
      <c r="B30" s="1" t="n">
        <v>44832</v>
      </c>
      <c r="C30" s="1" t="n">
        <v>45926</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42853-2022</t>
        </is>
      </c>
      <c r="B31" s="1" t="n">
        <v>44832</v>
      </c>
      <c r="C31" s="1" t="n">
        <v>45926</v>
      </c>
      <c r="D31" t="inlineStr">
        <is>
          <t>VÄSTMANLANDS LÄN</t>
        </is>
      </c>
      <c r="E31" t="inlineStr">
        <is>
          <t>SURAHAMMAR</t>
        </is>
      </c>
      <c r="G31" t="n">
        <v>7.4</v>
      </c>
      <c r="H31" t="n">
        <v>1</v>
      </c>
      <c r="I31" t="n">
        <v>1</v>
      </c>
      <c r="J31" t="n">
        <v>1</v>
      </c>
      <c r="K31" t="n">
        <v>0</v>
      </c>
      <c r="L31" t="n">
        <v>1</v>
      </c>
      <c r="M31" t="n">
        <v>0</v>
      </c>
      <c r="N31" t="n">
        <v>0</v>
      </c>
      <c r="O31" t="n">
        <v>2</v>
      </c>
      <c r="P31" t="n">
        <v>1</v>
      </c>
      <c r="Q31" t="n">
        <v>3</v>
      </c>
      <c r="R31" s="2" t="inlineStr">
        <is>
          <t>Ask
Kandelabersvamp
Tvåblad</t>
        </is>
      </c>
      <c r="S31">
        <f>HYPERLINK("https://klasma.github.io/Logging_1907/artfynd/A 42853-2022 artfynd.xlsx", "A 42853-2022")</f>
        <v/>
      </c>
      <c r="T31">
        <f>HYPERLINK("https://klasma.github.io/Logging_1907/kartor/A 42853-2022 karta.png", "A 42853-2022")</f>
        <v/>
      </c>
      <c r="V31">
        <f>HYPERLINK("https://klasma.github.io/Logging_1907/klagomål/A 42853-2022 FSC-klagomål.docx", "A 42853-2022")</f>
        <v/>
      </c>
      <c r="W31">
        <f>HYPERLINK("https://klasma.github.io/Logging_1907/klagomålsmail/A 42853-2022 FSC-klagomål mail.docx", "A 42853-2022")</f>
        <v/>
      </c>
      <c r="X31">
        <f>HYPERLINK("https://klasma.github.io/Logging_1907/tillsyn/A 42853-2022 tillsynsbegäran.docx", "A 42853-2022")</f>
        <v/>
      </c>
      <c r="Y31">
        <f>HYPERLINK("https://klasma.github.io/Logging_1907/tillsynsmail/A 42853-2022 tillsynsbegäran mail.docx", "A 42853-2022")</f>
        <v/>
      </c>
    </row>
    <row r="32" ht="15" customHeight="1">
      <c r="A32" t="inlineStr">
        <is>
          <t>A 42708-2022</t>
        </is>
      </c>
      <c r="B32" s="1" t="n">
        <v>44832</v>
      </c>
      <c r="C32" s="1" t="n">
        <v>45926</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38200-2021</t>
        </is>
      </c>
      <c r="B33" s="1" t="n">
        <v>44405</v>
      </c>
      <c r="C33" s="1" t="n">
        <v>45926</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29707-2025</t>
        </is>
      </c>
      <c r="B34" s="1" t="n">
        <v>45825.56100694444</v>
      </c>
      <c r="C34" s="1" t="n">
        <v>45926</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49718-2023</t>
        </is>
      </c>
      <c r="B35" s="1" t="n">
        <v>45212</v>
      </c>
      <c r="C35" s="1" t="n">
        <v>45926</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8552-2022</t>
        </is>
      </c>
      <c r="B36" s="1" t="n">
        <v>44613</v>
      </c>
      <c r="C36" s="1" t="n">
        <v>45926</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39594-2025</t>
        </is>
      </c>
      <c r="B37" s="1" t="n">
        <v>45890</v>
      </c>
      <c r="C37" s="1" t="n">
        <v>45926</v>
      </c>
      <c r="D37" t="inlineStr">
        <is>
          <t>VÄSTMANLANDS LÄN</t>
        </is>
      </c>
      <c r="E37" t="inlineStr">
        <is>
          <t>SURAHAMMAR</t>
        </is>
      </c>
      <c r="F37" t="inlineStr">
        <is>
          <t>Bergvik skog väst AB</t>
        </is>
      </c>
      <c r="G37" t="n">
        <v>7</v>
      </c>
      <c r="H37" t="n">
        <v>0</v>
      </c>
      <c r="I37" t="n">
        <v>2</v>
      </c>
      <c r="J37" t="n">
        <v>1</v>
      </c>
      <c r="K37" t="n">
        <v>0</v>
      </c>
      <c r="L37" t="n">
        <v>0</v>
      </c>
      <c r="M37" t="n">
        <v>0</v>
      </c>
      <c r="N37" t="n">
        <v>0</v>
      </c>
      <c r="O37" t="n">
        <v>1</v>
      </c>
      <c r="P37" t="n">
        <v>0</v>
      </c>
      <c r="Q37" t="n">
        <v>3</v>
      </c>
      <c r="R37" s="2" t="inlineStr">
        <is>
          <t>Gropticka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row>
    <row r="38" ht="15" customHeight="1">
      <c r="A38" t="inlineStr">
        <is>
          <t>A 37801-2021</t>
        </is>
      </c>
      <c r="B38" s="1" t="n">
        <v>44402</v>
      </c>
      <c r="C38" s="1" t="n">
        <v>45926</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45926</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21618-2025</t>
        </is>
      </c>
      <c r="B40" s="1" t="n">
        <v>45783</v>
      </c>
      <c r="C40" s="1" t="n">
        <v>45926</v>
      </c>
      <c r="D40" t="inlineStr">
        <is>
          <t>VÄSTMANLANDS LÄN</t>
        </is>
      </c>
      <c r="E40" t="inlineStr">
        <is>
          <t>SURAHAMMAR</t>
        </is>
      </c>
      <c r="F40" t="inlineStr">
        <is>
          <t>Bergvik skog väst AB</t>
        </is>
      </c>
      <c r="G40" t="n">
        <v>1.1</v>
      </c>
      <c r="H40" t="n">
        <v>2</v>
      </c>
      <c r="I40" t="n">
        <v>1</v>
      </c>
      <c r="J40" t="n">
        <v>0</v>
      </c>
      <c r="K40" t="n">
        <v>0</v>
      </c>
      <c r="L40" t="n">
        <v>0</v>
      </c>
      <c r="M40" t="n">
        <v>0</v>
      </c>
      <c r="N40" t="n">
        <v>0</v>
      </c>
      <c r="O40" t="n">
        <v>0</v>
      </c>
      <c r="P40" t="n">
        <v>0</v>
      </c>
      <c r="Q40" t="n">
        <v>2</v>
      </c>
      <c r="R40" s="2" t="inlineStr">
        <is>
          <t>Plattlummer
Mattlummer</t>
        </is>
      </c>
      <c r="S40">
        <f>HYPERLINK("https://klasma.github.io/Logging_1907/artfynd/A 21618-2025 artfynd.xlsx", "A 21618-2025")</f>
        <v/>
      </c>
      <c r="T40">
        <f>HYPERLINK("https://klasma.github.io/Logging_1907/kartor/A 21618-2025 karta.png", "A 21618-2025")</f>
        <v/>
      </c>
      <c r="V40">
        <f>HYPERLINK("https://klasma.github.io/Logging_1907/klagomål/A 21618-2025 FSC-klagomål.docx", "A 21618-2025")</f>
        <v/>
      </c>
      <c r="W40">
        <f>HYPERLINK("https://klasma.github.io/Logging_1907/klagomålsmail/A 21618-2025 FSC-klagomål mail.docx", "A 21618-2025")</f>
        <v/>
      </c>
      <c r="X40">
        <f>HYPERLINK("https://klasma.github.io/Logging_1907/tillsyn/A 21618-2025 tillsynsbegäran.docx", "A 21618-2025")</f>
        <v/>
      </c>
      <c r="Y40">
        <f>HYPERLINK("https://klasma.github.io/Logging_1907/tillsynsmail/A 21618-2025 tillsynsbegäran mail.docx", "A 21618-2025")</f>
        <v/>
      </c>
    </row>
    <row r="41" ht="15" customHeight="1">
      <c r="A41" t="inlineStr">
        <is>
          <t>A 37800-2021</t>
        </is>
      </c>
      <c r="B41" s="1" t="n">
        <v>44402</v>
      </c>
      <c r="C41" s="1" t="n">
        <v>45926</v>
      </c>
      <c r="D41" t="inlineStr">
        <is>
          <t>VÄSTMANLANDS LÄN</t>
        </is>
      </c>
      <c r="E41" t="inlineStr">
        <is>
          <t>SURAHAMMAR</t>
        </is>
      </c>
      <c r="F41" t="inlineStr">
        <is>
          <t>Kommuner</t>
        </is>
      </c>
      <c r="G41" t="n">
        <v>1.3</v>
      </c>
      <c r="H41" t="n">
        <v>1</v>
      </c>
      <c r="I41" t="n">
        <v>0</v>
      </c>
      <c r="J41" t="n">
        <v>1</v>
      </c>
      <c r="K41" t="n">
        <v>0</v>
      </c>
      <c r="L41" t="n">
        <v>0</v>
      </c>
      <c r="M41" t="n">
        <v>0</v>
      </c>
      <c r="N41" t="n">
        <v>0</v>
      </c>
      <c r="O41" t="n">
        <v>1</v>
      </c>
      <c r="P41" t="n">
        <v>0</v>
      </c>
      <c r="Q41" t="n">
        <v>2</v>
      </c>
      <c r="R41" s="2" t="inlineStr">
        <is>
          <t>Svinrot
Grönvit nattviol</t>
        </is>
      </c>
      <c r="S41">
        <f>HYPERLINK("https://klasma.github.io/Logging_1907/artfynd/A 37800-2021 artfynd.xlsx", "A 37800-2021")</f>
        <v/>
      </c>
      <c r="T41">
        <f>HYPERLINK("https://klasma.github.io/Logging_1907/kartor/A 37800-2021 karta.png", "A 37800-2021")</f>
        <v/>
      </c>
      <c r="V41">
        <f>HYPERLINK("https://klasma.github.io/Logging_1907/klagomål/A 37800-2021 FSC-klagomål.docx", "A 37800-2021")</f>
        <v/>
      </c>
      <c r="W41">
        <f>HYPERLINK("https://klasma.github.io/Logging_1907/klagomålsmail/A 37800-2021 FSC-klagomål mail.docx", "A 37800-2021")</f>
        <v/>
      </c>
      <c r="X41">
        <f>HYPERLINK("https://klasma.github.io/Logging_1907/tillsyn/A 37800-2021 tillsynsbegäran.docx", "A 37800-2021")</f>
        <v/>
      </c>
      <c r="Y41">
        <f>HYPERLINK("https://klasma.github.io/Logging_1907/tillsynsmail/A 37800-2021 tillsynsbegäran mail.docx", "A 37800-2021")</f>
        <v/>
      </c>
    </row>
    <row r="42" ht="15" customHeight="1">
      <c r="A42" t="inlineStr">
        <is>
          <t>A 4082-2025</t>
        </is>
      </c>
      <c r="B42" s="1" t="n">
        <v>45684</v>
      </c>
      <c r="C42" s="1" t="n">
        <v>45926</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41204-2023</t>
        </is>
      </c>
      <c r="B43" s="1" t="n">
        <v>45174</v>
      </c>
      <c r="C43" s="1" t="n">
        <v>45926</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38170-2021</t>
        </is>
      </c>
      <c r="B44" s="1" t="n">
        <v>44405.43472222222</v>
      </c>
      <c r="C44" s="1" t="n">
        <v>45926</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45926</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45926</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30074-2023</t>
        </is>
      </c>
      <c r="B47" s="1" t="n">
        <v>45110</v>
      </c>
      <c r="C47" s="1" t="n">
        <v>45926</v>
      </c>
      <c r="D47" t="inlineStr">
        <is>
          <t>VÄSTMANLANDS LÄN</t>
        </is>
      </c>
      <c r="E47" t="inlineStr">
        <is>
          <t>SURAHAMMAR</t>
        </is>
      </c>
      <c r="F47" t="inlineStr">
        <is>
          <t>Sveaskog</t>
        </is>
      </c>
      <c r="G47" t="n">
        <v>1.1</v>
      </c>
      <c r="H47" t="n">
        <v>1</v>
      </c>
      <c r="I47" t="n">
        <v>0</v>
      </c>
      <c r="J47" t="n">
        <v>0</v>
      </c>
      <c r="K47" t="n">
        <v>0</v>
      </c>
      <c r="L47" t="n">
        <v>0</v>
      </c>
      <c r="M47" t="n">
        <v>0</v>
      </c>
      <c r="N47" t="n">
        <v>0</v>
      </c>
      <c r="O47" t="n">
        <v>0</v>
      </c>
      <c r="P47" t="n">
        <v>0</v>
      </c>
      <c r="Q47" t="n">
        <v>1</v>
      </c>
      <c r="R47" s="2" t="inlineStr">
        <is>
          <t>Revlummer</t>
        </is>
      </c>
      <c r="S47">
        <f>HYPERLINK("https://klasma.github.io/Logging_1907/artfynd/A 30074-2023 artfynd.xlsx", "A 30074-2023")</f>
        <v/>
      </c>
      <c r="T47">
        <f>HYPERLINK("https://klasma.github.io/Logging_1907/kartor/A 30074-2023 karta.png", "A 30074-2023")</f>
        <v/>
      </c>
      <c r="V47">
        <f>HYPERLINK("https://klasma.github.io/Logging_1907/klagomål/A 30074-2023 FSC-klagomål.docx", "A 30074-2023")</f>
        <v/>
      </c>
      <c r="W47">
        <f>HYPERLINK("https://klasma.github.io/Logging_1907/klagomålsmail/A 30074-2023 FSC-klagomål mail.docx", "A 30074-2023")</f>
        <v/>
      </c>
      <c r="X47">
        <f>HYPERLINK("https://klasma.github.io/Logging_1907/tillsyn/A 30074-2023 tillsynsbegäran.docx", "A 30074-2023")</f>
        <v/>
      </c>
      <c r="Y47">
        <f>HYPERLINK("https://klasma.github.io/Logging_1907/tillsynsmail/A 30074-2023 tillsynsbegäran mail.docx", "A 30074-2023")</f>
        <v/>
      </c>
    </row>
    <row r="48" ht="15" customHeight="1">
      <c r="A48" t="inlineStr">
        <is>
          <t>A 40411-2021</t>
        </is>
      </c>
      <c r="B48" s="1" t="n">
        <v>44419</v>
      </c>
      <c r="C48" s="1" t="n">
        <v>45926</v>
      </c>
      <c r="D48" t="inlineStr">
        <is>
          <t>VÄSTMANLANDS LÄN</t>
        </is>
      </c>
      <c r="E48" t="inlineStr">
        <is>
          <t>SURAHAMMAR</t>
        </is>
      </c>
      <c r="F48" t="inlineStr">
        <is>
          <t>Sveaskog</t>
        </is>
      </c>
      <c r="G48" t="n">
        <v>2.4</v>
      </c>
      <c r="H48" t="n">
        <v>1</v>
      </c>
      <c r="I48" t="n">
        <v>0</v>
      </c>
      <c r="J48" t="n">
        <v>0</v>
      </c>
      <c r="K48" t="n">
        <v>0</v>
      </c>
      <c r="L48" t="n">
        <v>0</v>
      </c>
      <c r="M48" t="n">
        <v>0</v>
      </c>
      <c r="N48" t="n">
        <v>0</v>
      </c>
      <c r="O48" t="n">
        <v>0</v>
      </c>
      <c r="P48" t="n">
        <v>0</v>
      </c>
      <c r="Q48" t="n">
        <v>1</v>
      </c>
      <c r="R48" s="2" t="inlineStr">
        <is>
          <t>Kopparödla</t>
        </is>
      </c>
      <c r="S48">
        <f>HYPERLINK("https://klasma.github.io/Logging_1907/artfynd/A 40411-2021 artfynd.xlsx", "A 40411-2021")</f>
        <v/>
      </c>
      <c r="T48">
        <f>HYPERLINK("https://klasma.github.io/Logging_1907/kartor/A 40411-2021 karta.png", "A 40411-2021")</f>
        <v/>
      </c>
      <c r="V48">
        <f>HYPERLINK("https://klasma.github.io/Logging_1907/klagomål/A 40411-2021 FSC-klagomål.docx", "A 40411-2021")</f>
        <v/>
      </c>
      <c r="W48">
        <f>HYPERLINK("https://klasma.github.io/Logging_1907/klagomålsmail/A 40411-2021 FSC-klagomål mail.docx", "A 40411-2021")</f>
        <v/>
      </c>
      <c r="X48">
        <f>HYPERLINK("https://klasma.github.io/Logging_1907/tillsyn/A 40411-2021 tillsynsbegäran.docx", "A 40411-2021")</f>
        <v/>
      </c>
      <c r="Y48">
        <f>HYPERLINK("https://klasma.github.io/Logging_1907/tillsynsmail/A 40411-2021 tillsynsbegäran mail.docx", "A 40411-2021")</f>
        <v/>
      </c>
    </row>
    <row r="49" ht="15" customHeight="1">
      <c r="A49" t="inlineStr">
        <is>
          <t>A 44356-2024</t>
        </is>
      </c>
      <c r="B49" s="1" t="n">
        <v>45573</v>
      </c>
      <c r="C49" s="1" t="n">
        <v>45926</v>
      </c>
      <c r="D49" t="inlineStr">
        <is>
          <t>VÄSTMANLANDS LÄN</t>
        </is>
      </c>
      <c r="E49" t="inlineStr">
        <is>
          <t>SURAHAMMAR</t>
        </is>
      </c>
      <c r="F49" t="inlineStr">
        <is>
          <t>Sveaskog</t>
        </is>
      </c>
      <c r="G49" t="n">
        <v>0.7</v>
      </c>
      <c r="H49" t="n">
        <v>1</v>
      </c>
      <c r="I49" t="n">
        <v>0</v>
      </c>
      <c r="J49" t="n">
        <v>0</v>
      </c>
      <c r="K49" t="n">
        <v>0</v>
      </c>
      <c r="L49" t="n">
        <v>0</v>
      </c>
      <c r="M49" t="n">
        <v>0</v>
      </c>
      <c r="N49" t="n">
        <v>0</v>
      </c>
      <c r="O49" t="n">
        <v>0</v>
      </c>
      <c r="P49" t="n">
        <v>0</v>
      </c>
      <c r="Q49" t="n">
        <v>1</v>
      </c>
      <c r="R49" s="2" t="inlineStr">
        <is>
          <t>Revlummer</t>
        </is>
      </c>
      <c r="S49">
        <f>HYPERLINK("https://klasma.github.io/Logging_1907/artfynd/A 44356-2024 artfynd.xlsx", "A 44356-2024")</f>
        <v/>
      </c>
      <c r="T49">
        <f>HYPERLINK("https://klasma.github.io/Logging_1907/kartor/A 44356-2024 karta.png", "A 44356-2024")</f>
        <v/>
      </c>
      <c r="V49">
        <f>HYPERLINK("https://klasma.github.io/Logging_1907/klagomål/A 44356-2024 FSC-klagomål.docx", "A 44356-2024")</f>
        <v/>
      </c>
      <c r="W49">
        <f>HYPERLINK("https://klasma.github.io/Logging_1907/klagomålsmail/A 44356-2024 FSC-klagomål mail.docx", "A 44356-2024")</f>
        <v/>
      </c>
      <c r="X49">
        <f>HYPERLINK("https://klasma.github.io/Logging_1907/tillsyn/A 44356-2024 tillsynsbegäran.docx", "A 44356-2024")</f>
        <v/>
      </c>
      <c r="Y49">
        <f>HYPERLINK("https://klasma.github.io/Logging_1907/tillsynsmail/A 44356-2024 tillsynsbegäran mail.docx", "A 44356-2024")</f>
        <v/>
      </c>
    </row>
    <row r="50" ht="15" customHeight="1">
      <c r="A50" t="inlineStr">
        <is>
          <t>A 22840-2023</t>
        </is>
      </c>
      <c r="B50" s="1" t="n">
        <v>45072</v>
      </c>
      <c r="C50" s="1" t="n">
        <v>45926</v>
      </c>
      <c r="D50" t="inlineStr">
        <is>
          <t>VÄSTMANLANDS LÄN</t>
        </is>
      </c>
      <c r="E50" t="inlineStr">
        <is>
          <t>SURAHAMMAR</t>
        </is>
      </c>
      <c r="G50" t="n">
        <v>4.3</v>
      </c>
      <c r="H50" t="n">
        <v>1</v>
      </c>
      <c r="I50" t="n">
        <v>0</v>
      </c>
      <c r="J50" t="n">
        <v>0</v>
      </c>
      <c r="K50" t="n">
        <v>0</v>
      </c>
      <c r="L50" t="n">
        <v>0</v>
      </c>
      <c r="M50" t="n">
        <v>0</v>
      </c>
      <c r="N50" t="n">
        <v>0</v>
      </c>
      <c r="O50" t="n">
        <v>0</v>
      </c>
      <c r="P50" t="n">
        <v>0</v>
      </c>
      <c r="Q50" t="n">
        <v>1</v>
      </c>
      <c r="R50" s="2" t="inlineStr">
        <is>
          <t>Fläcknycklar</t>
        </is>
      </c>
      <c r="S50">
        <f>HYPERLINK("https://klasma.github.io/Logging_1907/artfynd/A 22840-2023 artfynd.xlsx", "A 22840-2023")</f>
        <v/>
      </c>
      <c r="T50">
        <f>HYPERLINK("https://klasma.github.io/Logging_1907/kartor/A 22840-2023 karta.png", "A 22840-2023")</f>
        <v/>
      </c>
      <c r="V50">
        <f>HYPERLINK("https://klasma.github.io/Logging_1907/klagomål/A 22840-2023 FSC-klagomål.docx", "A 22840-2023")</f>
        <v/>
      </c>
      <c r="W50">
        <f>HYPERLINK("https://klasma.github.io/Logging_1907/klagomålsmail/A 22840-2023 FSC-klagomål mail.docx", "A 22840-2023")</f>
        <v/>
      </c>
      <c r="X50">
        <f>HYPERLINK("https://klasma.github.io/Logging_1907/tillsyn/A 22840-2023 tillsynsbegäran.docx", "A 22840-2023")</f>
        <v/>
      </c>
      <c r="Y50">
        <f>HYPERLINK("https://klasma.github.io/Logging_1907/tillsynsmail/A 22840-2023 tillsynsbegäran mail.docx", "A 22840-2023")</f>
        <v/>
      </c>
    </row>
    <row r="51" ht="15" customHeight="1">
      <c r="A51" t="inlineStr">
        <is>
          <t>A 33231-2024</t>
        </is>
      </c>
      <c r="B51" s="1" t="n">
        <v>45518</v>
      </c>
      <c r="C51" s="1" t="n">
        <v>45926</v>
      </c>
      <c r="D51" t="inlineStr">
        <is>
          <t>VÄSTMANLANDS LÄN</t>
        </is>
      </c>
      <c r="E51" t="inlineStr">
        <is>
          <t>SURAHAMMAR</t>
        </is>
      </c>
      <c r="F51" t="inlineStr">
        <is>
          <t>Bergvik skog väst AB</t>
        </is>
      </c>
      <c r="G51" t="n">
        <v>1.5</v>
      </c>
      <c r="H51" t="n">
        <v>1</v>
      </c>
      <c r="I51" t="n">
        <v>0</v>
      </c>
      <c r="J51" t="n">
        <v>0</v>
      </c>
      <c r="K51" t="n">
        <v>0</v>
      </c>
      <c r="L51" t="n">
        <v>0</v>
      </c>
      <c r="M51" t="n">
        <v>0</v>
      </c>
      <c r="N51" t="n">
        <v>0</v>
      </c>
      <c r="O51" t="n">
        <v>0</v>
      </c>
      <c r="P51" t="n">
        <v>0</v>
      </c>
      <c r="Q51" t="n">
        <v>1</v>
      </c>
      <c r="R51" s="2" t="inlineStr">
        <is>
          <t>Mindre vattensalamander</t>
        </is>
      </c>
      <c r="S51">
        <f>HYPERLINK("https://klasma.github.io/Logging_1907/artfynd/A 33231-2024 artfynd.xlsx", "A 33231-2024")</f>
        <v/>
      </c>
      <c r="T51">
        <f>HYPERLINK("https://klasma.github.io/Logging_1907/kartor/A 33231-2024 karta.png", "A 33231-2024")</f>
        <v/>
      </c>
      <c r="V51">
        <f>HYPERLINK("https://klasma.github.io/Logging_1907/klagomål/A 33231-2024 FSC-klagomål.docx", "A 33231-2024")</f>
        <v/>
      </c>
      <c r="W51">
        <f>HYPERLINK("https://klasma.github.io/Logging_1907/klagomålsmail/A 33231-2024 FSC-klagomål mail.docx", "A 33231-2024")</f>
        <v/>
      </c>
      <c r="X51">
        <f>HYPERLINK("https://klasma.github.io/Logging_1907/tillsyn/A 33231-2024 tillsynsbegäran.docx", "A 33231-2024")</f>
        <v/>
      </c>
      <c r="Y51">
        <f>HYPERLINK("https://klasma.github.io/Logging_1907/tillsynsmail/A 33231-2024 tillsynsbegäran mail.docx", "A 33231-2024")</f>
        <v/>
      </c>
    </row>
    <row r="52" ht="15" customHeight="1">
      <c r="A52" t="inlineStr">
        <is>
          <t>A 13788-2025</t>
        </is>
      </c>
      <c r="B52" s="1" t="n">
        <v>45737.45327546296</v>
      </c>
      <c r="C52" s="1" t="n">
        <v>45926</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56362-2023</t>
        </is>
      </c>
      <c r="B53" s="1" t="n">
        <v>45236</v>
      </c>
      <c r="C53" s="1" t="n">
        <v>45926</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45926</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25583-2024</t>
        </is>
      </c>
      <c r="B55" s="1" t="n">
        <v>45463</v>
      </c>
      <c r="C55" s="1" t="n">
        <v>45926</v>
      </c>
      <c r="D55" t="inlineStr">
        <is>
          <t>VÄSTMANLANDS LÄN</t>
        </is>
      </c>
      <c r="E55" t="inlineStr">
        <is>
          <t>SURAHAMMAR</t>
        </is>
      </c>
      <c r="F55" t="inlineStr">
        <is>
          <t>Bergvik skog väst AB</t>
        </is>
      </c>
      <c r="G55" t="n">
        <v>7.8</v>
      </c>
      <c r="H55" t="n">
        <v>1</v>
      </c>
      <c r="I55" t="n">
        <v>0</v>
      </c>
      <c r="J55" t="n">
        <v>0</v>
      </c>
      <c r="K55" t="n">
        <v>0</v>
      </c>
      <c r="L55" t="n">
        <v>0</v>
      </c>
      <c r="M55" t="n">
        <v>0</v>
      </c>
      <c r="N55" t="n">
        <v>0</v>
      </c>
      <c r="O55" t="n">
        <v>0</v>
      </c>
      <c r="P55" t="n">
        <v>0</v>
      </c>
      <c r="Q55" t="n">
        <v>1</v>
      </c>
      <c r="R55" s="2" t="inlineStr">
        <is>
          <t>Blåsippa</t>
        </is>
      </c>
      <c r="S55">
        <f>HYPERLINK("https://klasma.github.io/Logging_1907/artfynd/A 25583-2024 artfynd.xlsx", "A 25583-2024")</f>
        <v/>
      </c>
      <c r="T55">
        <f>HYPERLINK("https://klasma.github.io/Logging_1907/kartor/A 25583-2024 karta.png", "A 25583-2024")</f>
        <v/>
      </c>
      <c r="V55">
        <f>HYPERLINK("https://klasma.github.io/Logging_1907/klagomål/A 25583-2024 FSC-klagomål.docx", "A 25583-2024")</f>
        <v/>
      </c>
      <c r="W55">
        <f>HYPERLINK("https://klasma.github.io/Logging_1907/klagomålsmail/A 25583-2024 FSC-klagomål mail.docx", "A 25583-2024")</f>
        <v/>
      </c>
      <c r="X55">
        <f>HYPERLINK("https://klasma.github.io/Logging_1907/tillsyn/A 25583-2024 tillsynsbegäran.docx", "A 25583-2024")</f>
        <v/>
      </c>
      <c r="Y55">
        <f>HYPERLINK("https://klasma.github.io/Logging_1907/tillsynsmail/A 25583-2024 tillsynsbegäran mail.docx", "A 25583-2024")</f>
        <v/>
      </c>
    </row>
    <row r="56" ht="15" customHeight="1">
      <c r="A56" t="inlineStr">
        <is>
          <t>A 62097-2024</t>
        </is>
      </c>
      <c r="B56" s="1" t="n">
        <v>45646</v>
      </c>
      <c r="C56" s="1" t="n">
        <v>45926</v>
      </c>
      <c r="D56" t="inlineStr">
        <is>
          <t>VÄSTMANLANDS LÄN</t>
        </is>
      </c>
      <c r="E56" t="inlineStr">
        <is>
          <t>SURAHAMMAR</t>
        </is>
      </c>
      <c r="F56" t="inlineStr">
        <is>
          <t>Bergvik skog väst AB</t>
        </is>
      </c>
      <c r="G56" t="n">
        <v>21.7</v>
      </c>
      <c r="H56" t="n">
        <v>1</v>
      </c>
      <c r="I56" t="n">
        <v>0</v>
      </c>
      <c r="J56" t="n">
        <v>0</v>
      </c>
      <c r="K56" t="n">
        <v>0</v>
      </c>
      <c r="L56" t="n">
        <v>0</v>
      </c>
      <c r="M56" t="n">
        <v>0</v>
      </c>
      <c r="N56" t="n">
        <v>0</v>
      </c>
      <c r="O56" t="n">
        <v>0</v>
      </c>
      <c r="P56" t="n">
        <v>0</v>
      </c>
      <c r="Q56" t="n">
        <v>1</v>
      </c>
      <c r="R56" s="2" t="inlineStr">
        <is>
          <t>Revlummer</t>
        </is>
      </c>
      <c r="S56">
        <f>HYPERLINK("https://klasma.github.io/Logging_1907/artfynd/A 62097-2024 artfynd.xlsx", "A 62097-2024")</f>
        <v/>
      </c>
      <c r="T56">
        <f>HYPERLINK("https://klasma.github.io/Logging_1907/kartor/A 62097-2024 karta.png", "A 62097-2024")</f>
        <v/>
      </c>
      <c r="V56">
        <f>HYPERLINK("https://klasma.github.io/Logging_1907/klagomål/A 62097-2024 FSC-klagomål.docx", "A 62097-2024")</f>
        <v/>
      </c>
      <c r="W56">
        <f>HYPERLINK("https://klasma.github.io/Logging_1907/klagomålsmail/A 62097-2024 FSC-klagomål mail.docx", "A 62097-2024")</f>
        <v/>
      </c>
      <c r="X56">
        <f>HYPERLINK("https://klasma.github.io/Logging_1907/tillsyn/A 62097-2024 tillsynsbegäran.docx", "A 62097-2024")</f>
        <v/>
      </c>
      <c r="Y56">
        <f>HYPERLINK("https://klasma.github.io/Logging_1907/tillsynsmail/A 62097-2024 tillsynsbegäran mail.docx", "A 62097-2024")</f>
        <v/>
      </c>
    </row>
    <row r="57" ht="15" customHeight="1">
      <c r="A57" t="inlineStr">
        <is>
          <t>A 14001-2023</t>
        </is>
      </c>
      <c r="B57" s="1" t="n">
        <v>45007</v>
      </c>
      <c r="C57" s="1" t="n">
        <v>45926</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39099-2022</t>
        </is>
      </c>
      <c r="B58" s="1" t="n">
        <v>44817</v>
      </c>
      <c r="C58" s="1" t="n">
        <v>45926</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45926</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45926</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13971-2023</t>
        </is>
      </c>
      <c r="B61" s="1" t="n">
        <v>45007</v>
      </c>
      <c r="C61" s="1" t="n">
        <v>45926</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69777-2021</t>
        </is>
      </c>
      <c r="B62" s="1" t="n">
        <v>44532</v>
      </c>
      <c r="C62" s="1" t="n">
        <v>45926</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40403-2025</t>
        </is>
      </c>
      <c r="B63" s="1" t="n">
        <v>45895</v>
      </c>
      <c r="C63" s="1" t="n">
        <v>45926</v>
      </c>
      <c r="D63" t="inlineStr">
        <is>
          <t>VÄSTMANLANDS LÄN</t>
        </is>
      </c>
      <c r="E63" t="inlineStr">
        <is>
          <t>SURAHAMMAR</t>
        </is>
      </c>
      <c r="F63" t="inlineStr">
        <is>
          <t>Kommuner</t>
        </is>
      </c>
      <c r="G63" t="n">
        <v>3.9</v>
      </c>
      <c r="H63" t="n">
        <v>0</v>
      </c>
      <c r="I63" t="n">
        <v>0</v>
      </c>
      <c r="J63" t="n">
        <v>1</v>
      </c>
      <c r="K63" t="n">
        <v>0</v>
      </c>
      <c r="L63" t="n">
        <v>0</v>
      </c>
      <c r="M63" t="n">
        <v>0</v>
      </c>
      <c r="N63" t="n">
        <v>0</v>
      </c>
      <c r="O63" t="n">
        <v>1</v>
      </c>
      <c r="P63" t="n">
        <v>0</v>
      </c>
      <c r="Q63" t="n">
        <v>1</v>
      </c>
      <c r="R63" s="2" t="inlineStr">
        <is>
          <t>Igelkott</t>
        </is>
      </c>
      <c r="S63">
        <f>HYPERLINK("https://klasma.github.io/Logging_1907/artfynd/A 40403-2025 artfynd.xlsx", "A 40403-2025")</f>
        <v/>
      </c>
      <c r="T63">
        <f>HYPERLINK("https://klasma.github.io/Logging_1907/kartor/A 40403-2025 karta.png", "A 40403-2025")</f>
        <v/>
      </c>
      <c r="V63">
        <f>HYPERLINK("https://klasma.github.io/Logging_1907/klagomål/A 40403-2025 FSC-klagomål.docx", "A 40403-2025")</f>
        <v/>
      </c>
      <c r="W63">
        <f>HYPERLINK("https://klasma.github.io/Logging_1907/klagomålsmail/A 40403-2025 FSC-klagomål mail.docx", "A 40403-2025")</f>
        <v/>
      </c>
      <c r="X63">
        <f>HYPERLINK("https://klasma.github.io/Logging_1907/tillsyn/A 40403-2025 tillsynsbegäran.docx", "A 40403-2025")</f>
        <v/>
      </c>
      <c r="Y63">
        <f>HYPERLINK("https://klasma.github.io/Logging_1907/tillsynsmail/A 40403-2025 tillsynsbegäran mail.docx", "A 40403-2025")</f>
        <v/>
      </c>
    </row>
    <row r="64" ht="15" customHeight="1">
      <c r="A64" t="inlineStr">
        <is>
          <t>A 17632-2022</t>
        </is>
      </c>
      <c r="B64" s="1" t="n">
        <v>44680</v>
      </c>
      <c r="C64" s="1" t="n">
        <v>45926</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31176-2024</t>
        </is>
      </c>
      <c r="B65" s="1" t="n">
        <v>45503</v>
      </c>
      <c r="C65" s="1" t="n">
        <v>45926</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42089-2025</t>
        </is>
      </c>
      <c r="B66" s="1" t="n">
        <v>45902</v>
      </c>
      <c r="C66" s="1" t="n">
        <v>45926</v>
      </c>
      <c r="D66" t="inlineStr">
        <is>
          <t>VÄSTMANLANDS LÄN</t>
        </is>
      </c>
      <c r="E66" t="inlineStr">
        <is>
          <t>SURAHAMMAR</t>
        </is>
      </c>
      <c r="G66" t="n">
        <v>2.2</v>
      </c>
      <c r="H66" t="n">
        <v>0</v>
      </c>
      <c r="I66" t="n">
        <v>0</v>
      </c>
      <c r="J66" t="n">
        <v>1</v>
      </c>
      <c r="K66" t="n">
        <v>0</v>
      </c>
      <c r="L66" t="n">
        <v>0</v>
      </c>
      <c r="M66" t="n">
        <v>0</v>
      </c>
      <c r="N66" t="n">
        <v>0</v>
      </c>
      <c r="O66" t="n">
        <v>1</v>
      </c>
      <c r="P66" t="n">
        <v>0</v>
      </c>
      <c r="Q66" t="n">
        <v>1</v>
      </c>
      <c r="R66" s="2" t="inlineStr">
        <is>
          <t>Motaggsvamp</t>
        </is>
      </c>
      <c r="S66">
        <f>HYPERLINK("https://klasma.github.io/Logging_1907/artfynd/A 42089-2025 artfynd.xlsx", "A 42089-2025")</f>
        <v/>
      </c>
      <c r="T66">
        <f>HYPERLINK("https://klasma.github.io/Logging_1907/kartor/A 42089-2025 karta.png", "A 42089-2025")</f>
        <v/>
      </c>
      <c r="V66">
        <f>HYPERLINK("https://klasma.github.io/Logging_1907/klagomål/A 42089-2025 FSC-klagomål.docx", "A 42089-2025")</f>
        <v/>
      </c>
      <c r="W66">
        <f>HYPERLINK("https://klasma.github.io/Logging_1907/klagomålsmail/A 42089-2025 FSC-klagomål mail.docx", "A 42089-2025")</f>
        <v/>
      </c>
      <c r="X66">
        <f>HYPERLINK("https://klasma.github.io/Logging_1907/tillsyn/A 42089-2025 tillsynsbegäran.docx", "A 42089-2025")</f>
        <v/>
      </c>
      <c r="Y66">
        <f>HYPERLINK("https://klasma.github.io/Logging_1907/tillsynsmail/A 42089-2025 tillsynsbegäran mail.docx", "A 42089-2025")</f>
        <v/>
      </c>
    </row>
    <row r="67" ht="15" customHeight="1">
      <c r="A67" t="inlineStr">
        <is>
          <t>A 39694-2025</t>
        </is>
      </c>
      <c r="B67" s="1" t="n">
        <v>45890</v>
      </c>
      <c r="C67" s="1" t="n">
        <v>45926</v>
      </c>
      <c r="D67" t="inlineStr">
        <is>
          <t>VÄSTMANLANDS LÄN</t>
        </is>
      </c>
      <c r="E67" t="inlineStr">
        <is>
          <t>SURAHAMMAR</t>
        </is>
      </c>
      <c r="F67" t="inlineStr">
        <is>
          <t>Bergvik skog väst AB</t>
        </is>
      </c>
      <c r="G67" t="n">
        <v>2.9</v>
      </c>
      <c r="H67" t="n">
        <v>0</v>
      </c>
      <c r="I67" t="n">
        <v>1</v>
      </c>
      <c r="J67" t="n">
        <v>0</v>
      </c>
      <c r="K67" t="n">
        <v>0</v>
      </c>
      <c r="L67" t="n">
        <v>0</v>
      </c>
      <c r="M67" t="n">
        <v>0</v>
      </c>
      <c r="N67" t="n">
        <v>0</v>
      </c>
      <c r="O67" t="n">
        <v>0</v>
      </c>
      <c r="P67" t="n">
        <v>0</v>
      </c>
      <c r="Q67" t="n">
        <v>1</v>
      </c>
      <c r="R67" s="2" t="inlineStr">
        <is>
          <t>Mindre märgborre</t>
        </is>
      </c>
      <c r="S67">
        <f>HYPERLINK("https://klasma.github.io/Logging_1907/artfynd/A 39694-2025 artfynd.xlsx", "A 39694-2025")</f>
        <v/>
      </c>
      <c r="T67">
        <f>HYPERLINK("https://klasma.github.io/Logging_1907/kartor/A 39694-2025 karta.png", "A 39694-2025")</f>
        <v/>
      </c>
      <c r="V67">
        <f>HYPERLINK("https://klasma.github.io/Logging_1907/klagomål/A 39694-2025 FSC-klagomål.docx", "A 39694-2025")</f>
        <v/>
      </c>
      <c r="W67">
        <f>HYPERLINK("https://klasma.github.io/Logging_1907/klagomålsmail/A 39694-2025 FSC-klagomål mail.docx", "A 39694-2025")</f>
        <v/>
      </c>
      <c r="X67">
        <f>HYPERLINK("https://klasma.github.io/Logging_1907/tillsyn/A 39694-2025 tillsynsbegäran.docx", "A 39694-2025")</f>
        <v/>
      </c>
      <c r="Y67">
        <f>HYPERLINK("https://klasma.github.io/Logging_1907/tillsynsmail/A 39694-2025 tillsynsbegäran mail.docx", "A 39694-2025")</f>
        <v/>
      </c>
    </row>
    <row r="68" ht="15" customHeight="1">
      <c r="A68" t="inlineStr">
        <is>
          <t>A 43451-2024</t>
        </is>
      </c>
      <c r="B68" s="1" t="n">
        <v>45568</v>
      </c>
      <c r="C68" s="1" t="n">
        <v>45926</v>
      </c>
      <c r="D68" t="inlineStr">
        <is>
          <t>VÄSTMANLANDS LÄN</t>
        </is>
      </c>
      <c r="E68" t="inlineStr">
        <is>
          <t>SURAHAMMAR</t>
        </is>
      </c>
      <c r="F68" t="inlineStr">
        <is>
          <t>Bergvik skog väst AB</t>
        </is>
      </c>
      <c r="G68" t="n">
        <v>2.9</v>
      </c>
      <c r="H68" t="n">
        <v>0</v>
      </c>
      <c r="I68" t="n">
        <v>0</v>
      </c>
      <c r="J68" t="n">
        <v>1</v>
      </c>
      <c r="K68" t="n">
        <v>0</v>
      </c>
      <c r="L68" t="n">
        <v>0</v>
      </c>
      <c r="M68" t="n">
        <v>0</v>
      </c>
      <c r="N68" t="n">
        <v>0</v>
      </c>
      <c r="O68" t="n">
        <v>1</v>
      </c>
      <c r="P68" t="n">
        <v>0</v>
      </c>
      <c r="Q68" t="n">
        <v>1</v>
      </c>
      <c r="R68" s="2" t="inlineStr">
        <is>
          <t>Ullticka</t>
        </is>
      </c>
      <c r="S68">
        <f>HYPERLINK("https://klasma.github.io/Logging_1907/artfynd/A 43451-2024 artfynd.xlsx", "A 43451-2024")</f>
        <v/>
      </c>
      <c r="T68">
        <f>HYPERLINK("https://klasma.github.io/Logging_1907/kartor/A 43451-2024 karta.png", "A 43451-2024")</f>
        <v/>
      </c>
      <c r="V68">
        <f>HYPERLINK("https://klasma.github.io/Logging_1907/klagomål/A 43451-2024 FSC-klagomål.docx", "A 43451-2024")</f>
        <v/>
      </c>
      <c r="W68">
        <f>HYPERLINK("https://klasma.github.io/Logging_1907/klagomålsmail/A 43451-2024 FSC-klagomål mail.docx", "A 43451-2024")</f>
        <v/>
      </c>
      <c r="X68">
        <f>HYPERLINK("https://klasma.github.io/Logging_1907/tillsyn/A 43451-2024 tillsynsbegäran.docx", "A 43451-2024")</f>
        <v/>
      </c>
      <c r="Y68">
        <f>HYPERLINK("https://klasma.github.io/Logging_1907/tillsynsmail/A 43451-2024 tillsynsbegäran mail.docx", "A 43451-2024")</f>
        <v/>
      </c>
    </row>
    <row r="69" ht="15" customHeight="1">
      <c r="A69" t="inlineStr">
        <is>
          <t>A 1492-2021</t>
        </is>
      </c>
      <c r="B69" s="1" t="n">
        <v>44209</v>
      </c>
      <c r="C69" s="1" t="n">
        <v>45926</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45926</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45926</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45926</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45926</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45926</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45926</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45926</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45926</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45926</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19846-2022</t>
        </is>
      </c>
      <c r="B79" s="1" t="n">
        <v>44696.89327546296</v>
      </c>
      <c r="C79" s="1" t="n">
        <v>45926</v>
      </c>
      <c r="D79" t="inlineStr">
        <is>
          <t>VÄSTMANLANDS LÄN</t>
        </is>
      </c>
      <c r="E79" t="inlineStr">
        <is>
          <t>SURAHAMMAR</t>
        </is>
      </c>
      <c r="F79" t="inlineStr">
        <is>
          <t>Kommuner</t>
        </is>
      </c>
      <c r="G79" t="n">
        <v>3.4</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45926</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45926</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19637-2022</t>
        </is>
      </c>
      <c r="B82" s="1" t="n">
        <v>44694</v>
      </c>
      <c r="C82" s="1" t="n">
        <v>45926</v>
      </c>
      <c r="D82" t="inlineStr">
        <is>
          <t>VÄSTMANLANDS LÄN</t>
        </is>
      </c>
      <c r="E82" t="inlineStr">
        <is>
          <t>SURAHAMMAR</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66342-2021</t>
        </is>
      </c>
      <c r="B83" s="1" t="n">
        <v>44518</v>
      </c>
      <c r="C83" s="1" t="n">
        <v>45926</v>
      </c>
      <c r="D83" t="inlineStr">
        <is>
          <t>VÄSTMANLANDS LÄN</t>
        </is>
      </c>
      <c r="E83" t="inlineStr">
        <is>
          <t>SURAHAMMAR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45926</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45926</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45926</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45926</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45926</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67611-2021</t>
        </is>
      </c>
      <c r="B89" s="1" t="n">
        <v>44524</v>
      </c>
      <c r="C89" s="1" t="n">
        <v>45926</v>
      </c>
      <c r="D89" t="inlineStr">
        <is>
          <t>VÄSTMANLANDS LÄN</t>
        </is>
      </c>
      <c r="E89" t="inlineStr">
        <is>
          <t>SURAHAMMAR</t>
        </is>
      </c>
      <c r="F89" t="inlineStr">
        <is>
          <t>Kommuner</t>
        </is>
      </c>
      <c r="G89" t="n">
        <v>3.8</v>
      </c>
      <c r="H89" t="n">
        <v>0</v>
      </c>
      <c r="I89" t="n">
        <v>0</v>
      </c>
      <c r="J89" t="n">
        <v>0</v>
      </c>
      <c r="K89" t="n">
        <v>0</v>
      </c>
      <c r="L89" t="n">
        <v>0</v>
      </c>
      <c r="M89" t="n">
        <v>0</v>
      </c>
      <c r="N89" t="n">
        <v>0</v>
      </c>
      <c r="O89" t="n">
        <v>0</v>
      </c>
      <c r="P89" t="n">
        <v>0</v>
      </c>
      <c r="Q89" t="n">
        <v>0</v>
      </c>
      <c r="R89" s="2" t="inlineStr"/>
    </row>
    <row r="90" ht="15" customHeight="1">
      <c r="A90" t="inlineStr">
        <is>
          <t>A 47785-2021</t>
        </is>
      </c>
      <c r="B90" s="1" t="n">
        <v>44448</v>
      </c>
      <c r="C90" s="1" t="n">
        <v>45926</v>
      </c>
      <c r="D90" t="inlineStr">
        <is>
          <t>VÄSTMANLANDS LÄN</t>
        </is>
      </c>
      <c r="E90" t="inlineStr">
        <is>
          <t>SURAHAMMAR</t>
        </is>
      </c>
      <c r="F90" t="inlineStr">
        <is>
          <t>Kommuner</t>
        </is>
      </c>
      <c r="G90" t="n">
        <v>3.3</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45926</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45926</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30076-2023</t>
        </is>
      </c>
      <c r="B93" s="1" t="n">
        <v>45110</v>
      </c>
      <c r="C93" s="1" t="n">
        <v>45926</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16608-2022</t>
        </is>
      </c>
      <c r="B94" s="1" t="n">
        <v>44672</v>
      </c>
      <c r="C94" s="1" t="n">
        <v>45926</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34957-2022</t>
        </is>
      </c>
      <c r="B95" s="1" t="n">
        <v>44796.64672453704</v>
      </c>
      <c r="C95" s="1" t="n">
        <v>45926</v>
      </c>
      <c r="D95" t="inlineStr">
        <is>
          <t>VÄSTMANLANDS LÄN</t>
        </is>
      </c>
      <c r="E95" t="inlineStr">
        <is>
          <t>SURAHAMMAR</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15637-2022</t>
        </is>
      </c>
      <c r="B96" s="1" t="n">
        <v>44662.89638888889</v>
      </c>
      <c r="C96" s="1" t="n">
        <v>45926</v>
      </c>
      <c r="D96" t="inlineStr">
        <is>
          <t>VÄSTMANLANDS LÄN</t>
        </is>
      </c>
      <c r="E96" t="inlineStr">
        <is>
          <t>SURAHAMMAR</t>
        </is>
      </c>
      <c r="G96" t="n">
        <v>2.2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45926</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45926</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45926</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14626-2023</t>
        </is>
      </c>
      <c r="B100" s="1" t="n">
        <v>45012</v>
      </c>
      <c r="C100" s="1" t="n">
        <v>45926</v>
      </c>
      <c r="D100" t="inlineStr">
        <is>
          <t>VÄSTMANLANDS LÄN</t>
        </is>
      </c>
      <c r="E100" t="inlineStr">
        <is>
          <t>SURAHAMMAR</t>
        </is>
      </c>
      <c r="F100" t="inlineStr">
        <is>
          <t>Bergvik skog väst AB</t>
        </is>
      </c>
      <c r="G100" t="n">
        <v>5</v>
      </c>
      <c r="H100" t="n">
        <v>0</v>
      </c>
      <c r="I100" t="n">
        <v>0</v>
      </c>
      <c r="J100" t="n">
        <v>0</v>
      </c>
      <c r="K100" t="n">
        <v>0</v>
      </c>
      <c r="L100" t="n">
        <v>0</v>
      </c>
      <c r="M100" t="n">
        <v>0</v>
      </c>
      <c r="N100" t="n">
        <v>0</v>
      </c>
      <c r="O100" t="n">
        <v>0</v>
      </c>
      <c r="P100" t="n">
        <v>0</v>
      </c>
      <c r="Q100" t="n">
        <v>0</v>
      </c>
      <c r="R100" s="2" t="inlineStr"/>
    </row>
    <row r="101" ht="15" customHeight="1">
      <c r="A101" t="inlineStr">
        <is>
          <t>A 15739-2023</t>
        </is>
      </c>
      <c r="B101" s="1" t="n">
        <v>45021</v>
      </c>
      <c r="C101" s="1" t="n">
        <v>45926</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37798-2021</t>
        </is>
      </c>
      <c r="B102" s="1" t="n">
        <v>44402</v>
      </c>
      <c r="C102" s="1" t="n">
        <v>45926</v>
      </c>
      <c r="D102" t="inlineStr">
        <is>
          <t>VÄSTMANLANDS LÄN</t>
        </is>
      </c>
      <c r="E102" t="inlineStr">
        <is>
          <t>SURAHAMMAR</t>
        </is>
      </c>
      <c r="F102" t="inlineStr">
        <is>
          <t>Kommuner</t>
        </is>
      </c>
      <c r="G102" t="n">
        <v>1.2</v>
      </c>
      <c r="H102" t="n">
        <v>0</v>
      </c>
      <c r="I102" t="n">
        <v>0</v>
      </c>
      <c r="J102" t="n">
        <v>0</v>
      </c>
      <c r="K102" t="n">
        <v>0</v>
      </c>
      <c r="L102" t="n">
        <v>0</v>
      </c>
      <c r="M102" t="n">
        <v>0</v>
      </c>
      <c r="N102" t="n">
        <v>0</v>
      </c>
      <c r="O102" t="n">
        <v>0</v>
      </c>
      <c r="P102" t="n">
        <v>0</v>
      </c>
      <c r="Q102" t="n">
        <v>0</v>
      </c>
      <c r="R102" s="2" t="inlineStr"/>
    </row>
    <row r="103" ht="15" customHeight="1">
      <c r="A103" t="inlineStr">
        <is>
          <t>A 18723-2021</t>
        </is>
      </c>
      <c r="B103" s="1" t="n">
        <v>44306</v>
      </c>
      <c r="C103" s="1" t="n">
        <v>45926</v>
      </c>
      <c r="D103" t="inlineStr">
        <is>
          <t>VÄSTMANLANDS LÄN</t>
        </is>
      </c>
      <c r="E103" t="inlineStr">
        <is>
          <t>SURAHAMMAR</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38154-2021</t>
        </is>
      </c>
      <c r="B104" s="1" t="n">
        <v>44405.42373842592</v>
      </c>
      <c r="C104" s="1" t="n">
        <v>45926</v>
      </c>
      <c r="D104" t="inlineStr">
        <is>
          <t>VÄSTMANLANDS LÄN</t>
        </is>
      </c>
      <c r="E104" t="inlineStr">
        <is>
          <t>SURAHAMMAR</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7787-2024</t>
        </is>
      </c>
      <c r="B105" s="1" t="n">
        <v>45348</v>
      </c>
      <c r="C105" s="1" t="n">
        <v>45926</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25450-2024</t>
        </is>
      </c>
      <c r="B106" s="1" t="n">
        <v>45463</v>
      </c>
      <c r="C106" s="1" t="n">
        <v>45926</v>
      </c>
      <c r="D106" t="inlineStr">
        <is>
          <t>VÄSTMANLANDS LÄN</t>
        </is>
      </c>
      <c r="E106" t="inlineStr">
        <is>
          <t>SURAHAMMAR</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19782-2023</t>
        </is>
      </c>
      <c r="B107" s="1" t="n">
        <v>45050</v>
      </c>
      <c r="C107" s="1" t="n">
        <v>45926</v>
      </c>
      <c r="D107" t="inlineStr">
        <is>
          <t>VÄSTMANLANDS LÄN</t>
        </is>
      </c>
      <c r="E107" t="inlineStr">
        <is>
          <t>SURAHAMMAR</t>
        </is>
      </c>
      <c r="F107" t="inlineStr">
        <is>
          <t>Bergvik skog väst AB</t>
        </is>
      </c>
      <c r="G107" t="n">
        <v>5.2</v>
      </c>
      <c r="H107" t="n">
        <v>0</v>
      </c>
      <c r="I107" t="n">
        <v>0</v>
      </c>
      <c r="J107" t="n">
        <v>0</v>
      </c>
      <c r="K107" t="n">
        <v>0</v>
      </c>
      <c r="L107" t="n">
        <v>0</v>
      </c>
      <c r="M107" t="n">
        <v>0</v>
      </c>
      <c r="N107" t="n">
        <v>0</v>
      </c>
      <c r="O107" t="n">
        <v>0</v>
      </c>
      <c r="P107" t="n">
        <v>0</v>
      </c>
      <c r="Q107" t="n">
        <v>0</v>
      </c>
      <c r="R107" s="2" t="inlineStr"/>
    </row>
    <row r="108" ht="15" customHeight="1">
      <c r="A108" t="inlineStr">
        <is>
          <t>A 37287-2023</t>
        </is>
      </c>
      <c r="B108" s="1" t="n">
        <v>45156</v>
      </c>
      <c r="C108" s="1" t="n">
        <v>45926</v>
      </c>
      <c r="D108" t="inlineStr">
        <is>
          <t>VÄSTMANLANDS LÄN</t>
        </is>
      </c>
      <c r="E108" t="inlineStr">
        <is>
          <t>SURAHAMMAR</t>
        </is>
      </c>
      <c r="G108" t="n">
        <v>0.6</v>
      </c>
      <c r="H108" t="n">
        <v>0</v>
      </c>
      <c r="I108" t="n">
        <v>0</v>
      </c>
      <c r="J108" t="n">
        <v>0</v>
      </c>
      <c r="K108" t="n">
        <v>0</v>
      </c>
      <c r="L108" t="n">
        <v>0</v>
      </c>
      <c r="M108" t="n">
        <v>0</v>
      </c>
      <c r="N108" t="n">
        <v>0</v>
      </c>
      <c r="O108" t="n">
        <v>0</v>
      </c>
      <c r="P108" t="n">
        <v>0</v>
      </c>
      <c r="Q108" t="n">
        <v>0</v>
      </c>
      <c r="R108" s="2" t="inlineStr"/>
    </row>
    <row r="109" ht="15" customHeight="1">
      <c r="A109" t="inlineStr">
        <is>
          <t>A 41576-2022</t>
        </is>
      </c>
      <c r="B109" s="1" t="n">
        <v>44826</v>
      </c>
      <c r="C109" s="1" t="n">
        <v>45926</v>
      </c>
      <c r="D109" t="inlineStr">
        <is>
          <t>VÄSTMANLANDS LÄN</t>
        </is>
      </c>
      <c r="E109" t="inlineStr">
        <is>
          <t>SURAHAMMAR</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7848-2022</t>
        </is>
      </c>
      <c r="B110" s="1" t="n">
        <v>44608.58400462963</v>
      </c>
      <c r="C110" s="1" t="n">
        <v>45926</v>
      </c>
      <c r="D110" t="inlineStr">
        <is>
          <t>VÄSTMANLANDS LÄN</t>
        </is>
      </c>
      <c r="E110" t="inlineStr">
        <is>
          <t>SURAHAMMAR</t>
        </is>
      </c>
      <c r="G110" t="n">
        <v>2.1</v>
      </c>
      <c r="H110" t="n">
        <v>0</v>
      </c>
      <c r="I110" t="n">
        <v>0</v>
      </c>
      <c r="J110" t="n">
        <v>0</v>
      </c>
      <c r="K110" t="n">
        <v>0</v>
      </c>
      <c r="L110" t="n">
        <v>0</v>
      </c>
      <c r="M110" t="n">
        <v>0</v>
      </c>
      <c r="N110" t="n">
        <v>0</v>
      </c>
      <c r="O110" t="n">
        <v>0</v>
      </c>
      <c r="P110" t="n">
        <v>0</v>
      </c>
      <c r="Q110" t="n">
        <v>0</v>
      </c>
      <c r="R110" s="2" t="inlineStr"/>
    </row>
    <row r="111" ht="15" customHeight="1">
      <c r="A111" t="inlineStr">
        <is>
          <t>A 24167-2024</t>
        </is>
      </c>
      <c r="B111" s="1" t="n">
        <v>45456</v>
      </c>
      <c r="C111" s="1" t="n">
        <v>45926</v>
      </c>
      <c r="D111" t="inlineStr">
        <is>
          <t>VÄSTMANLANDS LÄN</t>
        </is>
      </c>
      <c r="E111" t="inlineStr">
        <is>
          <t>SURAHAMMAR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56378-2023</t>
        </is>
      </c>
      <c r="B112" s="1" t="n">
        <v>45236</v>
      </c>
      <c r="C112" s="1" t="n">
        <v>45926</v>
      </c>
      <c r="D112" t="inlineStr">
        <is>
          <t>VÄSTMANLANDS LÄN</t>
        </is>
      </c>
      <c r="E112" t="inlineStr">
        <is>
          <t>SURAHAMMAR</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52074-2020</t>
        </is>
      </c>
      <c r="B113" s="1" t="n">
        <v>44117</v>
      </c>
      <c r="C113" s="1" t="n">
        <v>45926</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19099-2022</t>
        </is>
      </c>
      <c r="B114" s="1" t="n">
        <v>44691</v>
      </c>
      <c r="C114" s="1" t="n">
        <v>45926</v>
      </c>
      <c r="D114" t="inlineStr">
        <is>
          <t>VÄSTMANLANDS LÄN</t>
        </is>
      </c>
      <c r="E114" t="inlineStr">
        <is>
          <t>SURAHAMMAR</t>
        </is>
      </c>
      <c r="F114" t="inlineStr">
        <is>
          <t>Övriga Aktiebolag</t>
        </is>
      </c>
      <c r="G114" t="n">
        <v>3.4</v>
      </c>
      <c r="H114" t="n">
        <v>0</v>
      </c>
      <c r="I114" t="n">
        <v>0</v>
      </c>
      <c r="J114" t="n">
        <v>0</v>
      </c>
      <c r="K114" t="n">
        <v>0</v>
      </c>
      <c r="L114" t="n">
        <v>0</v>
      </c>
      <c r="M114" t="n">
        <v>0</v>
      </c>
      <c r="N114" t="n">
        <v>0</v>
      </c>
      <c r="O114" t="n">
        <v>0</v>
      </c>
      <c r="P114" t="n">
        <v>0</v>
      </c>
      <c r="Q114" t="n">
        <v>0</v>
      </c>
      <c r="R114" s="2" t="inlineStr"/>
    </row>
    <row r="115" ht="15" customHeight="1">
      <c r="A115" t="inlineStr">
        <is>
          <t>A 11501-2023</t>
        </is>
      </c>
      <c r="B115" s="1" t="n">
        <v>44991</v>
      </c>
      <c r="C115" s="1" t="n">
        <v>45926</v>
      </c>
      <c r="D115" t="inlineStr">
        <is>
          <t>VÄSTMANLANDS LÄN</t>
        </is>
      </c>
      <c r="E115" t="inlineStr">
        <is>
          <t>SURAHAMMAR</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72367-2021</t>
        </is>
      </c>
      <c r="B116" s="1" t="n">
        <v>44545</v>
      </c>
      <c r="C116" s="1" t="n">
        <v>45926</v>
      </c>
      <c r="D116" t="inlineStr">
        <is>
          <t>VÄSTMANLANDS LÄN</t>
        </is>
      </c>
      <c r="E116" t="inlineStr">
        <is>
          <t>SURAHAMMAR</t>
        </is>
      </c>
      <c r="G116" t="n">
        <v>2.5</v>
      </c>
      <c r="H116" t="n">
        <v>0</v>
      </c>
      <c r="I116" t="n">
        <v>0</v>
      </c>
      <c r="J116" t="n">
        <v>0</v>
      </c>
      <c r="K116" t="n">
        <v>0</v>
      </c>
      <c r="L116" t="n">
        <v>0</v>
      </c>
      <c r="M116" t="n">
        <v>0</v>
      </c>
      <c r="N116" t="n">
        <v>0</v>
      </c>
      <c r="O116" t="n">
        <v>0</v>
      </c>
      <c r="P116" t="n">
        <v>0</v>
      </c>
      <c r="Q116" t="n">
        <v>0</v>
      </c>
      <c r="R116" s="2" t="inlineStr"/>
    </row>
    <row r="117" ht="15" customHeight="1">
      <c r="A117" t="inlineStr">
        <is>
          <t>A 33931-2022</t>
        </is>
      </c>
      <c r="B117" s="1" t="n">
        <v>44790.65153935185</v>
      </c>
      <c r="C117" s="1" t="n">
        <v>45926</v>
      </c>
      <c r="D117" t="inlineStr">
        <is>
          <t>VÄSTMANLANDS LÄN</t>
        </is>
      </c>
      <c r="E117" t="inlineStr">
        <is>
          <t>SURAHAMMAR</t>
        </is>
      </c>
      <c r="G117" t="n">
        <v>2.2</v>
      </c>
      <c r="H117" t="n">
        <v>0</v>
      </c>
      <c r="I117" t="n">
        <v>0</v>
      </c>
      <c r="J117" t="n">
        <v>0</v>
      </c>
      <c r="K117" t="n">
        <v>0</v>
      </c>
      <c r="L117" t="n">
        <v>0</v>
      </c>
      <c r="M117" t="n">
        <v>0</v>
      </c>
      <c r="N117" t="n">
        <v>0</v>
      </c>
      <c r="O117" t="n">
        <v>0</v>
      </c>
      <c r="P117" t="n">
        <v>0</v>
      </c>
      <c r="Q117" t="n">
        <v>0</v>
      </c>
      <c r="R117" s="2" t="inlineStr"/>
    </row>
    <row r="118" ht="15" customHeight="1">
      <c r="A118" t="inlineStr">
        <is>
          <t>A 10396-2025</t>
        </is>
      </c>
      <c r="B118" s="1" t="n">
        <v>45720.60721064815</v>
      </c>
      <c r="C118" s="1" t="n">
        <v>45926</v>
      </c>
      <c r="D118" t="inlineStr">
        <is>
          <t>VÄSTMANLANDS LÄN</t>
        </is>
      </c>
      <c r="E118" t="inlineStr">
        <is>
          <t>SURAHAMMAR</t>
        </is>
      </c>
      <c r="F118" t="inlineStr">
        <is>
          <t>Allmännings- och besparingsskogar</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24158-2023</t>
        </is>
      </c>
      <c r="B119" s="1" t="n">
        <v>45079</v>
      </c>
      <c r="C119" s="1" t="n">
        <v>45926</v>
      </c>
      <c r="D119" t="inlineStr">
        <is>
          <t>VÄSTMANLANDS LÄN</t>
        </is>
      </c>
      <c r="E119" t="inlineStr">
        <is>
          <t>SURAHAMMAR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3818-2022</t>
        </is>
      </c>
      <c r="B120" s="1" t="n">
        <v>44587</v>
      </c>
      <c r="C120" s="1" t="n">
        <v>45926</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42714-2022</t>
        </is>
      </c>
      <c r="B121" s="1" t="n">
        <v>44832</v>
      </c>
      <c r="C121" s="1" t="n">
        <v>45926</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35682-2022</t>
        </is>
      </c>
      <c r="B122" s="1" t="n">
        <v>44799.60422453703</v>
      </c>
      <c r="C122" s="1" t="n">
        <v>45926</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11728-2023</t>
        </is>
      </c>
      <c r="B123" s="1" t="n">
        <v>44993</v>
      </c>
      <c r="C123" s="1" t="n">
        <v>45926</v>
      </c>
      <c r="D123" t="inlineStr">
        <is>
          <t>VÄSTMANLANDS LÄN</t>
        </is>
      </c>
      <c r="E123" t="inlineStr">
        <is>
          <t>SURAHAMMAR</t>
        </is>
      </c>
      <c r="F123" t="inlineStr">
        <is>
          <t>Bergvik skog väst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25417-2024</t>
        </is>
      </c>
      <c r="B124" s="1" t="n">
        <v>45463</v>
      </c>
      <c r="C124" s="1" t="n">
        <v>45926</v>
      </c>
      <c r="D124" t="inlineStr">
        <is>
          <t>VÄSTMANLANDS LÄN</t>
        </is>
      </c>
      <c r="E124" t="inlineStr">
        <is>
          <t>SURAHAMMAR</t>
        </is>
      </c>
      <c r="F124" t="inlineStr">
        <is>
          <t>Sveaskog</t>
        </is>
      </c>
      <c r="G124" t="n">
        <v>3.4</v>
      </c>
      <c r="H124" t="n">
        <v>0</v>
      </c>
      <c r="I124" t="n">
        <v>0</v>
      </c>
      <c r="J124" t="n">
        <v>0</v>
      </c>
      <c r="K124" t="n">
        <v>0</v>
      </c>
      <c r="L124" t="n">
        <v>0</v>
      </c>
      <c r="M124" t="n">
        <v>0</v>
      </c>
      <c r="N124" t="n">
        <v>0</v>
      </c>
      <c r="O124" t="n">
        <v>0</v>
      </c>
      <c r="P124" t="n">
        <v>0</v>
      </c>
      <c r="Q124" t="n">
        <v>0</v>
      </c>
      <c r="R124" s="2" t="inlineStr"/>
    </row>
    <row r="125" ht="15" customHeight="1">
      <c r="A125" t="inlineStr">
        <is>
          <t>A 5567-2022</t>
        </is>
      </c>
      <c r="B125" s="1" t="n">
        <v>44595</v>
      </c>
      <c r="C125" s="1" t="n">
        <v>45926</v>
      </c>
      <c r="D125" t="inlineStr">
        <is>
          <t>VÄSTMANLANDS LÄN</t>
        </is>
      </c>
      <c r="E125" t="inlineStr">
        <is>
          <t>SURAHAMMAR</t>
        </is>
      </c>
      <c r="G125" t="n">
        <v>1.3</v>
      </c>
      <c r="H125" t="n">
        <v>0</v>
      </c>
      <c r="I125" t="n">
        <v>0</v>
      </c>
      <c r="J125" t="n">
        <v>0</v>
      </c>
      <c r="K125" t="n">
        <v>0</v>
      </c>
      <c r="L125" t="n">
        <v>0</v>
      </c>
      <c r="M125" t="n">
        <v>0</v>
      </c>
      <c r="N125" t="n">
        <v>0</v>
      </c>
      <c r="O125" t="n">
        <v>0</v>
      </c>
      <c r="P125" t="n">
        <v>0</v>
      </c>
      <c r="Q125" t="n">
        <v>0</v>
      </c>
      <c r="R125" s="2" t="inlineStr"/>
    </row>
    <row r="126" ht="15" customHeight="1">
      <c r="A126" t="inlineStr">
        <is>
          <t>A 42832-2022</t>
        </is>
      </c>
      <c r="B126" s="1" t="n">
        <v>44832</v>
      </c>
      <c r="C126" s="1" t="n">
        <v>45926</v>
      </c>
      <c r="D126" t="inlineStr">
        <is>
          <t>VÄSTMANLANDS LÄN</t>
        </is>
      </c>
      <c r="E126" t="inlineStr">
        <is>
          <t>SURAHAMMAR</t>
        </is>
      </c>
      <c r="G126" t="n">
        <v>1.1</v>
      </c>
      <c r="H126" t="n">
        <v>0</v>
      </c>
      <c r="I126" t="n">
        <v>0</v>
      </c>
      <c r="J126" t="n">
        <v>0</v>
      </c>
      <c r="K126" t="n">
        <v>0</v>
      </c>
      <c r="L126" t="n">
        <v>0</v>
      </c>
      <c r="M126" t="n">
        <v>0</v>
      </c>
      <c r="N126" t="n">
        <v>0</v>
      </c>
      <c r="O126" t="n">
        <v>0</v>
      </c>
      <c r="P126" t="n">
        <v>0</v>
      </c>
      <c r="Q126" t="n">
        <v>0</v>
      </c>
      <c r="R126" s="2" t="inlineStr"/>
    </row>
    <row r="127" ht="15" customHeight="1">
      <c r="A127" t="inlineStr">
        <is>
          <t>A 24665-2023</t>
        </is>
      </c>
      <c r="B127" s="1" t="n">
        <v>45084.48592592592</v>
      </c>
      <c r="C127" s="1" t="n">
        <v>45926</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32808-2024</t>
        </is>
      </c>
      <c r="B128" s="1" t="n">
        <v>45516</v>
      </c>
      <c r="C128" s="1" t="n">
        <v>45926</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42841-2022</t>
        </is>
      </c>
      <c r="B129" s="1" t="n">
        <v>44832</v>
      </c>
      <c r="C129" s="1" t="n">
        <v>45926</v>
      </c>
      <c r="D129" t="inlineStr">
        <is>
          <t>VÄSTMANLANDS LÄN</t>
        </is>
      </c>
      <c r="E129" t="inlineStr">
        <is>
          <t>SURAHAMMAR</t>
        </is>
      </c>
      <c r="G129" t="n">
        <v>1.8</v>
      </c>
      <c r="H129" t="n">
        <v>0</v>
      </c>
      <c r="I129" t="n">
        <v>0</v>
      </c>
      <c r="J129" t="n">
        <v>0</v>
      </c>
      <c r="K129" t="n">
        <v>0</v>
      </c>
      <c r="L129" t="n">
        <v>0</v>
      </c>
      <c r="M129" t="n">
        <v>0</v>
      </c>
      <c r="N129" t="n">
        <v>0</v>
      </c>
      <c r="O129" t="n">
        <v>0</v>
      </c>
      <c r="P129" t="n">
        <v>0</v>
      </c>
      <c r="Q129" t="n">
        <v>0</v>
      </c>
      <c r="R129" s="2" t="inlineStr"/>
    </row>
    <row r="130" ht="15" customHeight="1">
      <c r="A130" t="inlineStr">
        <is>
          <t>A 42829-2022</t>
        </is>
      </c>
      <c r="B130" s="1" t="n">
        <v>44832</v>
      </c>
      <c r="C130" s="1" t="n">
        <v>45926</v>
      </c>
      <c r="D130" t="inlineStr">
        <is>
          <t>VÄSTMANLANDS LÄN</t>
        </is>
      </c>
      <c r="E130" t="inlineStr">
        <is>
          <t>SURAHAMMAR</t>
        </is>
      </c>
      <c r="G130" t="n">
        <v>1.6</v>
      </c>
      <c r="H130" t="n">
        <v>0</v>
      </c>
      <c r="I130" t="n">
        <v>0</v>
      </c>
      <c r="J130" t="n">
        <v>0</v>
      </c>
      <c r="K130" t="n">
        <v>0</v>
      </c>
      <c r="L130" t="n">
        <v>0</v>
      </c>
      <c r="M130" t="n">
        <v>0</v>
      </c>
      <c r="N130" t="n">
        <v>0</v>
      </c>
      <c r="O130" t="n">
        <v>0</v>
      </c>
      <c r="P130" t="n">
        <v>0</v>
      </c>
      <c r="Q130" t="n">
        <v>0</v>
      </c>
      <c r="R130" s="2" t="inlineStr"/>
    </row>
    <row r="131" ht="15" customHeight="1">
      <c r="A131" t="inlineStr">
        <is>
          <t>A 34582-2025</t>
        </is>
      </c>
      <c r="B131" s="1" t="n">
        <v>45846</v>
      </c>
      <c r="C131" s="1" t="n">
        <v>45926</v>
      </c>
      <c r="D131" t="inlineStr">
        <is>
          <t>VÄSTMANLANDS LÄN</t>
        </is>
      </c>
      <c r="E131" t="inlineStr">
        <is>
          <t>SURAHAMMAR</t>
        </is>
      </c>
      <c r="F131" t="inlineStr">
        <is>
          <t>Bergvik skog väst AB</t>
        </is>
      </c>
      <c r="G131" t="n">
        <v>2.6</v>
      </c>
      <c r="H131" t="n">
        <v>0</v>
      </c>
      <c r="I131" t="n">
        <v>0</v>
      </c>
      <c r="J131" t="n">
        <v>0</v>
      </c>
      <c r="K131" t="n">
        <v>0</v>
      </c>
      <c r="L131" t="n">
        <v>0</v>
      </c>
      <c r="M131" t="n">
        <v>0</v>
      </c>
      <c r="N131" t="n">
        <v>0</v>
      </c>
      <c r="O131" t="n">
        <v>0</v>
      </c>
      <c r="P131" t="n">
        <v>0</v>
      </c>
      <c r="Q131" t="n">
        <v>0</v>
      </c>
      <c r="R131" s="2" t="inlineStr"/>
    </row>
    <row r="132" ht="15" customHeight="1">
      <c r="A132" t="inlineStr">
        <is>
          <t>A 34584-2025</t>
        </is>
      </c>
      <c r="B132" s="1" t="n">
        <v>45846</v>
      </c>
      <c r="C132" s="1" t="n">
        <v>45926</v>
      </c>
      <c r="D132" t="inlineStr">
        <is>
          <t>VÄSTMANLANDS LÄN</t>
        </is>
      </c>
      <c r="E132" t="inlineStr">
        <is>
          <t>SURAHAMMAR</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2867-2024</t>
        </is>
      </c>
      <c r="B133" s="1" t="n">
        <v>45315</v>
      </c>
      <c r="C133" s="1" t="n">
        <v>45926</v>
      </c>
      <c r="D133" t="inlineStr">
        <is>
          <t>VÄSTMANLANDS LÄN</t>
        </is>
      </c>
      <c r="E133" t="inlineStr">
        <is>
          <t>SURAHAMMAR</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32916-2025</t>
        </is>
      </c>
      <c r="B134" s="1" t="n">
        <v>45839</v>
      </c>
      <c r="C134" s="1" t="n">
        <v>45926</v>
      </c>
      <c r="D134" t="inlineStr">
        <is>
          <t>VÄSTMANLANDS LÄN</t>
        </is>
      </c>
      <c r="E134" t="inlineStr">
        <is>
          <t>SURAHAMMAR</t>
        </is>
      </c>
      <c r="F134" t="inlineStr">
        <is>
          <t>Kommuner</t>
        </is>
      </c>
      <c r="G134" t="n">
        <v>4.9</v>
      </c>
      <c r="H134" t="n">
        <v>0</v>
      </c>
      <c r="I134" t="n">
        <v>0</v>
      </c>
      <c r="J134" t="n">
        <v>0</v>
      </c>
      <c r="K134" t="n">
        <v>0</v>
      </c>
      <c r="L134" t="n">
        <v>0</v>
      </c>
      <c r="M134" t="n">
        <v>0</v>
      </c>
      <c r="N134" t="n">
        <v>0</v>
      </c>
      <c r="O134" t="n">
        <v>0</v>
      </c>
      <c r="P134" t="n">
        <v>0</v>
      </c>
      <c r="Q134" t="n">
        <v>0</v>
      </c>
      <c r="R134" s="2" t="inlineStr"/>
    </row>
    <row r="135" ht="15" customHeight="1">
      <c r="A135" t="inlineStr">
        <is>
          <t>A 3085-2023</t>
        </is>
      </c>
      <c r="B135" s="1" t="n">
        <v>44946</v>
      </c>
      <c r="C135" s="1" t="n">
        <v>45926</v>
      </c>
      <c r="D135" t="inlineStr">
        <is>
          <t>VÄSTMANLANDS LÄN</t>
        </is>
      </c>
      <c r="E135" t="inlineStr">
        <is>
          <t>SURAHAMMAR</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32910-2025</t>
        </is>
      </c>
      <c r="B136" s="1" t="n">
        <v>45839</v>
      </c>
      <c r="C136" s="1" t="n">
        <v>45926</v>
      </c>
      <c r="D136" t="inlineStr">
        <is>
          <t>VÄSTMANLANDS LÄN</t>
        </is>
      </c>
      <c r="E136" t="inlineStr">
        <is>
          <t>SURAHAMMAR</t>
        </is>
      </c>
      <c r="F136" t="inlineStr">
        <is>
          <t>Kommuner</t>
        </is>
      </c>
      <c r="G136" t="n">
        <v>1.1</v>
      </c>
      <c r="H136" t="n">
        <v>0</v>
      </c>
      <c r="I136" t="n">
        <v>0</v>
      </c>
      <c r="J136" t="n">
        <v>0</v>
      </c>
      <c r="K136" t="n">
        <v>0</v>
      </c>
      <c r="L136" t="n">
        <v>0</v>
      </c>
      <c r="M136" t="n">
        <v>0</v>
      </c>
      <c r="N136" t="n">
        <v>0</v>
      </c>
      <c r="O136" t="n">
        <v>0</v>
      </c>
      <c r="P136" t="n">
        <v>0</v>
      </c>
      <c r="Q136" t="n">
        <v>0</v>
      </c>
      <c r="R136" s="2" t="inlineStr"/>
    </row>
    <row r="137" ht="15" customHeight="1">
      <c r="A137" t="inlineStr">
        <is>
          <t>A 21509-2024</t>
        </is>
      </c>
      <c r="B137" s="1" t="n">
        <v>45441</v>
      </c>
      <c r="C137" s="1" t="n">
        <v>45926</v>
      </c>
      <c r="D137" t="inlineStr">
        <is>
          <t>VÄSTMANLANDS LÄN</t>
        </is>
      </c>
      <c r="E137" t="inlineStr">
        <is>
          <t>SURAHAMMAR</t>
        </is>
      </c>
      <c r="F137" t="inlineStr">
        <is>
          <t>Bergvik skog väst AB</t>
        </is>
      </c>
      <c r="G137" t="n">
        <v>3.9</v>
      </c>
      <c r="H137" t="n">
        <v>0</v>
      </c>
      <c r="I137" t="n">
        <v>0</v>
      </c>
      <c r="J137" t="n">
        <v>0</v>
      </c>
      <c r="K137" t="n">
        <v>0</v>
      </c>
      <c r="L137" t="n">
        <v>0</v>
      </c>
      <c r="M137" t="n">
        <v>0</v>
      </c>
      <c r="N137" t="n">
        <v>0</v>
      </c>
      <c r="O137" t="n">
        <v>0</v>
      </c>
      <c r="P137" t="n">
        <v>0</v>
      </c>
      <c r="Q137" t="n">
        <v>0</v>
      </c>
      <c r="R137" s="2" t="inlineStr"/>
    </row>
    <row r="138" ht="15" customHeight="1">
      <c r="A138" t="inlineStr">
        <is>
          <t>A 42088-2025</t>
        </is>
      </c>
      <c r="B138" s="1" t="n">
        <v>45902</v>
      </c>
      <c r="C138" s="1" t="n">
        <v>45926</v>
      </c>
      <c r="D138" t="inlineStr">
        <is>
          <t>VÄSTMANLANDS LÄN</t>
        </is>
      </c>
      <c r="E138" t="inlineStr">
        <is>
          <t>SURAHAMMAR</t>
        </is>
      </c>
      <c r="G138" t="n">
        <v>1</v>
      </c>
      <c r="H138" t="n">
        <v>0</v>
      </c>
      <c r="I138" t="n">
        <v>0</v>
      </c>
      <c r="J138" t="n">
        <v>0</v>
      </c>
      <c r="K138" t="n">
        <v>0</v>
      </c>
      <c r="L138" t="n">
        <v>0</v>
      </c>
      <c r="M138" t="n">
        <v>0</v>
      </c>
      <c r="N138" t="n">
        <v>0</v>
      </c>
      <c r="O138" t="n">
        <v>0</v>
      </c>
      <c r="P138" t="n">
        <v>0</v>
      </c>
      <c r="Q138" t="n">
        <v>0</v>
      </c>
      <c r="R138" s="2" t="inlineStr"/>
    </row>
    <row r="139" ht="15" customHeight="1">
      <c r="A139" t="inlineStr">
        <is>
          <t>A 22662-2023</t>
        </is>
      </c>
      <c r="B139" s="1" t="n">
        <v>45071</v>
      </c>
      <c r="C139" s="1" t="n">
        <v>45926</v>
      </c>
      <c r="D139" t="inlineStr">
        <is>
          <t>VÄSTMANLANDS LÄN</t>
        </is>
      </c>
      <c r="E139" t="inlineStr">
        <is>
          <t>SURAHAMMAR</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16013-2023</t>
        </is>
      </c>
      <c r="B140" s="1" t="n">
        <v>45026</v>
      </c>
      <c r="C140" s="1" t="n">
        <v>45926</v>
      </c>
      <c r="D140" t="inlineStr">
        <is>
          <t>VÄSTMANLANDS LÄN</t>
        </is>
      </c>
      <c r="E140" t="inlineStr">
        <is>
          <t>SURAHAMMAR</t>
        </is>
      </c>
      <c r="G140" t="n">
        <v>3.9</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45926</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45926</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41555-2022</t>
        </is>
      </c>
      <c r="B143" s="1" t="n">
        <v>44826</v>
      </c>
      <c r="C143" s="1" t="n">
        <v>45926</v>
      </c>
      <c r="D143" t="inlineStr">
        <is>
          <t>VÄSTMANLANDS LÄN</t>
        </is>
      </c>
      <c r="E143" t="inlineStr">
        <is>
          <t>SURAHAMMAR</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43255-2025</t>
        </is>
      </c>
      <c r="B144" s="1" t="n">
        <v>45910.55325231481</v>
      </c>
      <c r="C144" s="1" t="n">
        <v>45926</v>
      </c>
      <c r="D144" t="inlineStr">
        <is>
          <t>VÄSTMANLANDS LÄN</t>
        </is>
      </c>
      <c r="E144" t="inlineStr">
        <is>
          <t>SURAHAMMAR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43249-2025</t>
        </is>
      </c>
      <c r="B145" s="1" t="n">
        <v>45910.55059027778</v>
      </c>
      <c r="C145" s="1" t="n">
        <v>45926</v>
      </c>
      <c r="D145" t="inlineStr">
        <is>
          <t>VÄSTMANLANDS LÄN</t>
        </is>
      </c>
      <c r="E145" t="inlineStr">
        <is>
          <t>SURAHAMMAR</t>
        </is>
      </c>
      <c r="G145" t="n">
        <v>1.9</v>
      </c>
      <c r="H145" t="n">
        <v>0</v>
      </c>
      <c r="I145" t="n">
        <v>0</v>
      </c>
      <c r="J145" t="n">
        <v>0</v>
      </c>
      <c r="K145" t="n">
        <v>0</v>
      </c>
      <c r="L145" t="n">
        <v>0</v>
      </c>
      <c r="M145" t="n">
        <v>0</v>
      </c>
      <c r="N145" t="n">
        <v>0</v>
      </c>
      <c r="O145" t="n">
        <v>0</v>
      </c>
      <c r="P145" t="n">
        <v>0</v>
      </c>
      <c r="Q145" t="n">
        <v>0</v>
      </c>
      <c r="R145" s="2" t="inlineStr"/>
    </row>
    <row r="146" ht="15" customHeight="1">
      <c r="A146" t="inlineStr">
        <is>
          <t>A 34955-2022</t>
        </is>
      </c>
      <c r="B146" s="1" t="n">
        <v>44796</v>
      </c>
      <c r="C146" s="1" t="n">
        <v>45926</v>
      </c>
      <c r="D146" t="inlineStr">
        <is>
          <t>VÄSTMANLANDS LÄN</t>
        </is>
      </c>
      <c r="E146" t="inlineStr">
        <is>
          <t>SURAHAMMAR</t>
        </is>
      </c>
      <c r="F146" t="inlineStr">
        <is>
          <t>Sveaskog</t>
        </is>
      </c>
      <c r="G146" t="n">
        <v>4.6</v>
      </c>
      <c r="H146" t="n">
        <v>0</v>
      </c>
      <c r="I146" t="n">
        <v>0</v>
      </c>
      <c r="J146" t="n">
        <v>0</v>
      </c>
      <c r="K146" t="n">
        <v>0</v>
      </c>
      <c r="L146" t="n">
        <v>0</v>
      </c>
      <c r="M146" t="n">
        <v>0</v>
      </c>
      <c r="N146" t="n">
        <v>0</v>
      </c>
      <c r="O146" t="n">
        <v>0</v>
      </c>
      <c r="P146" t="n">
        <v>0</v>
      </c>
      <c r="Q146" t="n">
        <v>0</v>
      </c>
      <c r="R146" s="2" t="inlineStr"/>
    </row>
    <row r="147" ht="15" customHeight="1">
      <c r="A147" t="inlineStr">
        <is>
          <t>A 25780-2023</t>
        </is>
      </c>
      <c r="B147" s="1" t="n">
        <v>45090.47523148148</v>
      </c>
      <c r="C147" s="1" t="n">
        <v>45926</v>
      </c>
      <c r="D147" t="inlineStr">
        <is>
          <t>VÄSTMANLANDS LÄN</t>
        </is>
      </c>
      <c r="E147" t="inlineStr">
        <is>
          <t>SURAHAMMAR</t>
        </is>
      </c>
      <c r="G147" t="n">
        <v>2.8</v>
      </c>
      <c r="H147" t="n">
        <v>0</v>
      </c>
      <c r="I147" t="n">
        <v>0</v>
      </c>
      <c r="J147" t="n">
        <v>0</v>
      </c>
      <c r="K147" t="n">
        <v>0</v>
      </c>
      <c r="L147" t="n">
        <v>0</v>
      </c>
      <c r="M147" t="n">
        <v>0</v>
      </c>
      <c r="N147" t="n">
        <v>0</v>
      </c>
      <c r="O147" t="n">
        <v>0</v>
      </c>
      <c r="P147" t="n">
        <v>0</v>
      </c>
      <c r="Q147" t="n">
        <v>0</v>
      </c>
      <c r="R147" s="2" t="inlineStr"/>
    </row>
    <row r="148" ht="15" customHeight="1">
      <c r="A148" t="inlineStr">
        <is>
          <t>A 20904-2023</t>
        </is>
      </c>
      <c r="B148" s="1" t="n">
        <v>45060</v>
      </c>
      <c r="C148" s="1" t="n">
        <v>45926</v>
      </c>
      <c r="D148" t="inlineStr">
        <is>
          <t>VÄSTMANLANDS LÄN</t>
        </is>
      </c>
      <c r="E148" t="inlineStr">
        <is>
          <t>SURAHAMMAR</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37013-2025</t>
        </is>
      </c>
      <c r="B149" s="1" t="n">
        <v>45874</v>
      </c>
      <c r="C149" s="1" t="n">
        <v>45926</v>
      </c>
      <c r="D149" t="inlineStr">
        <is>
          <t>VÄSTMANLANDS LÄN</t>
        </is>
      </c>
      <c r="E149" t="inlineStr">
        <is>
          <t>SURAHAMMAR</t>
        </is>
      </c>
      <c r="F149" t="inlineStr">
        <is>
          <t>Bergvik skog väst AB</t>
        </is>
      </c>
      <c r="G149" t="n">
        <v>10.7</v>
      </c>
      <c r="H149" t="n">
        <v>0</v>
      </c>
      <c r="I149" t="n">
        <v>0</v>
      </c>
      <c r="J149" t="n">
        <v>0</v>
      </c>
      <c r="K149" t="n">
        <v>0</v>
      </c>
      <c r="L149" t="n">
        <v>0</v>
      </c>
      <c r="M149" t="n">
        <v>0</v>
      </c>
      <c r="N149" t="n">
        <v>0</v>
      </c>
      <c r="O149" t="n">
        <v>0</v>
      </c>
      <c r="P149" t="n">
        <v>0</v>
      </c>
      <c r="Q149" t="n">
        <v>0</v>
      </c>
      <c r="R149" s="2" t="inlineStr"/>
    </row>
    <row r="150" ht="15" customHeight="1">
      <c r="A150" t="inlineStr">
        <is>
          <t>A 10883-2023</t>
        </is>
      </c>
      <c r="B150" s="1" t="n">
        <v>44991</v>
      </c>
      <c r="C150" s="1" t="n">
        <v>45926</v>
      </c>
      <c r="D150" t="inlineStr">
        <is>
          <t>VÄSTMANLANDS LÄN</t>
        </is>
      </c>
      <c r="E150" t="inlineStr">
        <is>
          <t>SURAHAMMAR</t>
        </is>
      </c>
      <c r="F150" t="inlineStr">
        <is>
          <t>Övriga Aktiebolag</t>
        </is>
      </c>
      <c r="G150" t="n">
        <v>12.5</v>
      </c>
      <c r="H150" t="n">
        <v>0</v>
      </c>
      <c r="I150" t="n">
        <v>0</v>
      </c>
      <c r="J150" t="n">
        <v>0</v>
      </c>
      <c r="K150" t="n">
        <v>0</v>
      </c>
      <c r="L150" t="n">
        <v>0</v>
      </c>
      <c r="M150" t="n">
        <v>0</v>
      </c>
      <c r="N150" t="n">
        <v>0</v>
      </c>
      <c r="O150" t="n">
        <v>0</v>
      </c>
      <c r="P150" t="n">
        <v>0</v>
      </c>
      <c r="Q150" t="n">
        <v>0</v>
      </c>
      <c r="R150" s="2" t="inlineStr"/>
    </row>
    <row r="151" ht="15" customHeight="1">
      <c r="A151" t="inlineStr">
        <is>
          <t>A 2660-2024</t>
        </is>
      </c>
      <c r="B151" s="1" t="n">
        <v>45310</v>
      </c>
      <c r="C151" s="1" t="n">
        <v>45926</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13386-2025</t>
        </is>
      </c>
      <c r="B152" s="1" t="n">
        <v>45735</v>
      </c>
      <c r="C152" s="1" t="n">
        <v>45926</v>
      </c>
      <c r="D152" t="inlineStr">
        <is>
          <t>VÄSTMANLANDS LÄN</t>
        </is>
      </c>
      <c r="E152" t="inlineStr">
        <is>
          <t>SURAHAMMAR</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c r="A153" t="inlineStr">
        <is>
          <t>A 37954-2025</t>
        </is>
      </c>
      <c r="B153" s="1" t="n">
        <v>45881</v>
      </c>
      <c r="C153" s="1" t="n">
        <v>45926</v>
      </c>
      <c r="D153" t="inlineStr">
        <is>
          <t>VÄSTMANLANDS LÄN</t>
        </is>
      </c>
      <c r="E153" t="inlineStr">
        <is>
          <t>SURAHAMMAR</t>
        </is>
      </c>
      <c r="G153" t="n">
        <v>9.5</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2025-09-26T11:59:56Z</dcterms:created>
  <dcterms:modified xmlns:dcterms="http://purl.org/dc/terms/" xmlns:xsi="http://www.w3.org/2001/XMLSchema-instance" xsi:type="dcterms:W3CDTF">2025-09-26T11:59:56Z</dcterms:modified>
</cp:coreProperties>
</file>