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45565</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45565</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45565</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45565</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45565</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45565</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45565</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45565</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45565</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45565</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45565</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45565</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45565</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45565</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45565</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45565</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45565</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45565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45565</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45565</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31280-2024</t>
        </is>
      </c>
      <c r="B23" s="1" t="n">
        <v>45504</v>
      </c>
      <c r="C23" s="1" t="n">
        <v>45565</v>
      </c>
      <c r="D23" t="inlineStr">
        <is>
          <t>VÄSTMANLANDS LÄN</t>
        </is>
      </c>
      <c r="E23" t="inlineStr">
        <is>
          <t>SURAHAMMAR</t>
        </is>
      </c>
      <c r="F23" t="inlineStr">
        <is>
          <t>Allmännings- och besparingsskogar</t>
        </is>
      </c>
      <c r="G23" t="n">
        <v>6.9</v>
      </c>
      <c r="H23" t="n">
        <v>2</v>
      </c>
      <c r="I23" t="n">
        <v>3</v>
      </c>
      <c r="J23" t="n">
        <v>0</v>
      </c>
      <c r="K23" t="n">
        <v>1</v>
      </c>
      <c r="L23" t="n">
        <v>0</v>
      </c>
      <c r="M23" t="n">
        <v>0</v>
      </c>
      <c r="N23" t="n">
        <v>0</v>
      </c>
      <c r="O23" t="n">
        <v>1</v>
      </c>
      <c r="P23" t="n">
        <v>1</v>
      </c>
      <c r="Q23" t="n">
        <v>5</v>
      </c>
      <c r="R23" s="2" t="inlineStr">
        <is>
          <t>Knärot
Grönpyrola
Mindre märgborre
Vedticka
Fläcknycklar</t>
        </is>
      </c>
      <c r="S23">
        <f>HYPERLINK("https://klasma.github.io/Logging_1907/artfynd/A 31280-2024 artfynd.xlsx", "A 31280-2024")</f>
        <v/>
      </c>
      <c r="T23">
        <f>HYPERLINK("https://klasma.github.io/Logging_1907/kartor/A 31280-2024 karta.png", "A 31280-2024")</f>
        <v/>
      </c>
      <c r="U23">
        <f>HYPERLINK("https://klasma.github.io/Logging_1907/knärot/A 31280-2024 karta knärot.png", "A 31280-2024")</f>
        <v/>
      </c>
      <c r="V23">
        <f>HYPERLINK("https://klasma.github.io/Logging_1907/klagomål/A 31280-2024 FSC-klagomål.docx", "A 31280-2024")</f>
        <v/>
      </c>
      <c r="W23">
        <f>HYPERLINK("https://klasma.github.io/Logging_1907/klagomålsmail/A 31280-2024 FSC-klagomål mail.docx", "A 31280-2024")</f>
        <v/>
      </c>
      <c r="X23">
        <f>HYPERLINK("https://klasma.github.io/Logging_1907/tillsyn/A 31280-2024 tillsynsbegäran.docx", "A 31280-2024")</f>
        <v/>
      </c>
      <c r="Y23">
        <f>HYPERLINK("https://klasma.github.io/Logging_1907/tillsynsmail/A 31280-2024 tillsynsbegäran mail.docx", "A 31280-2024")</f>
        <v/>
      </c>
    </row>
    <row r="24" ht="15" customHeight="1">
      <c r="A24" t="inlineStr">
        <is>
          <t>A 38172-2024</t>
        </is>
      </c>
      <c r="B24" s="1" t="n">
        <v>45545</v>
      </c>
      <c r="C24" s="1" t="n">
        <v>45565</v>
      </c>
      <c r="D24" t="inlineStr">
        <is>
          <t>VÄSTMANLANDS LÄN</t>
        </is>
      </c>
      <c r="E24" t="inlineStr">
        <is>
          <t>SURAHAMMAR</t>
        </is>
      </c>
      <c r="F24" t="inlineStr">
        <is>
          <t>Sveaskog</t>
        </is>
      </c>
      <c r="G24" t="n">
        <v>5.2</v>
      </c>
      <c r="H24" t="n">
        <v>3</v>
      </c>
      <c r="I24" t="n">
        <v>0</v>
      </c>
      <c r="J24" t="n">
        <v>2</v>
      </c>
      <c r="K24" t="n">
        <v>1</v>
      </c>
      <c r="L24" t="n">
        <v>0</v>
      </c>
      <c r="M24" t="n">
        <v>0</v>
      </c>
      <c r="N24" t="n">
        <v>0</v>
      </c>
      <c r="O24" t="n">
        <v>3</v>
      </c>
      <c r="P24" t="n">
        <v>1</v>
      </c>
      <c r="Q24" t="n">
        <v>5</v>
      </c>
      <c r="R24" s="2" t="inlineStr">
        <is>
          <t>Knärot
Gropticka
Vedtrappmossa
Lopplummer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22033-2020</t>
        </is>
      </c>
      <c r="B25" s="1" t="n">
        <v>43959</v>
      </c>
      <c r="C25" s="1" t="n">
        <v>45565</v>
      </c>
      <c r="D25" t="inlineStr">
        <is>
          <t>VÄSTMANLANDS LÄN</t>
        </is>
      </c>
      <c r="E25" t="inlineStr">
        <is>
          <t>SURAHAMMAR</t>
        </is>
      </c>
      <c r="G25" t="n">
        <v>0.5</v>
      </c>
      <c r="H25" t="n">
        <v>2</v>
      </c>
      <c r="I25" t="n">
        <v>1</v>
      </c>
      <c r="J25" t="n">
        <v>0</v>
      </c>
      <c r="K25" t="n">
        <v>3</v>
      </c>
      <c r="L25" t="n">
        <v>0</v>
      </c>
      <c r="M25" t="n">
        <v>0</v>
      </c>
      <c r="N25" t="n">
        <v>0</v>
      </c>
      <c r="O25" t="n">
        <v>3</v>
      </c>
      <c r="P25" t="n">
        <v>3</v>
      </c>
      <c r="Q25" t="n">
        <v>4</v>
      </c>
      <c r="R25" s="2" t="inlineStr">
        <is>
          <t>Bombmurkla
Knärot
Vågticka
Vedticka</t>
        </is>
      </c>
      <c r="S25">
        <f>HYPERLINK("https://klasma.github.io/Logging_1907/artfynd/A 22033-2020 artfynd.xlsx", "A 22033-2020")</f>
        <v/>
      </c>
      <c r="T25">
        <f>HYPERLINK("https://klasma.github.io/Logging_1907/kartor/A 22033-2020 karta.png", "A 22033-2020")</f>
        <v/>
      </c>
      <c r="U25">
        <f>HYPERLINK("https://klasma.github.io/Logging_1907/knärot/A 22033-2020 karta knärot.png", "A 22033-2020")</f>
        <v/>
      </c>
      <c r="V25">
        <f>HYPERLINK("https://klasma.github.io/Logging_1907/klagomål/A 22033-2020 FSC-klagomål.docx", "A 22033-2020")</f>
        <v/>
      </c>
      <c r="W25">
        <f>HYPERLINK("https://klasma.github.io/Logging_1907/klagomålsmail/A 22033-2020 FSC-klagomål mail.docx", "A 22033-2020")</f>
        <v/>
      </c>
      <c r="X25">
        <f>HYPERLINK("https://klasma.github.io/Logging_1907/tillsyn/A 22033-2020 tillsynsbegäran.docx", "A 22033-2020")</f>
        <v/>
      </c>
      <c r="Y25">
        <f>HYPERLINK("https://klasma.github.io/Logging_1907/tillsynsmail/A 22033-2020 tillsynsbegäran mail.docx", "A 22033-2020")</f>
        <v/>
      </c>
    </row>
    <row r="26" ht="15" customHeight="1">
      <c r="A26" t="inlineStr">
        <is>
          <t>A 48891-2023</t>
        </is>
      </c>
      <c r="B26" s="1" t="n">
        <v>45203</v>
      </c>
      <c r="C26" s="1" t="n">
        <v>45565</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20707-2024</t>
        </is>
      </c>
      <c r="B27" s="1" t="n">
        <v>45436</v>
      </c>
      <c r="C27" s="1" t="n">
        <v>45565</v>
      </c>
      <c r="D27" t="inlineStr">
        <is>
          <t>VÄSTMANLANDS LÄN</t>
        </is>
      </c>
      <c r="E27" t="inlineStr">
        <is>
          <t>SURAHAMMAR</t>
        </is>
      </c>
      <c r="F27" t="inlineStr">
        <is>
          <t>Bergvik skog väst AB</t>
        </is>
      </c>
      <c r="G27" t="n">
        <v>4.3</v>
      </c>
      <c r="H27" t="n">
        <v>2</v>
      </c>
      <c r="I27" t="n">
        <v>0</v>
      </c>
      <c r="J27" t="n">
        <v>2</v>
      </c>
      <c r="K27" t="n">
        <v>0</v>
      </c>
      <c r="L27" t="n">
        <v>0</v>
      </c>
      <c r="M27" t="n">
        <v>0</v>
      </c>
      <c r="N27" t="n">
        <v>0</v>
      </c>
      <c r="O27" t="n">
        <v>2</v>
      </c>
      <c r="P27" t="n">
        <v>0</v>
      </c>
      <c r="Q27" t="n">
        <v>4</v>
      </c>
      <c r="R27" s="2" t="inlineStr">
        <is>
          <t>Dofttaggsvamp
Orange taggsvamp
Fläcknycklar
Mattlummer</t>
        </is>
      </c>
      <c r="S27">
        <f>HYPERLINK("https://klasma.github.io/Logging_1907/artfynd/A 20707-2024 artfynd.xlsx", "A 20707-2024")</f>
        <v/>
      </c>
      <c r="T27">
        <f>HYPERLINK("https://klasma.github.io/Logging_1907/kartor/A 20707-2024 karta.png", "A 20707-2024")</f>
        <v/>
      </c>
      <c r="V27">
        <f>HYPERLINK("https://klasma.github.io/Logging_1907/klagomål/A 20707-2024 FSC-klagomål.docx", "A 20707-2024")</f>
        <v/>
      </c>
      <c r="W27">
        <f>HYPERLINK("https://klasma.github.io/Logging_1907/klagomålsmail/A 20707-2024 FSC-klagomål mail.docx", "A 20707-2024")</f>
        <v/>
      </c>
      <c r="X27">
        <f>HYPERLINK("https://klasma.github.io/Logging_1907/tillsyn/A 20707-2024 tillsynsbegäran.docx", "A 20707-2024")</f>
        <v/>
      </c>
      <c r="Y27">
        <f>HYPERLINK("https://klasma.github.io/Logging_1907/tillsynsmail/A 20707-2024 tillsynsbegäran mail.docx", "A 20707-2024")</f>
        <v/>
      </c>
    </row>
    <row r="28" ht="15" customHeight="1">
      <c r="A28" t="inlineStr">
        <is>
          <t>A 59550-2020</t>
        </is>
      </c>
      <c r="B28" s="1" t="n">
        <v>44148</v>
      </c>
      <c r="C28" s="1" t="n">
        <v>45565</v>
      </c>
      <c r="D28" t="inlineStr">
        <is>
          <t>VÄSTMANLANDS LÄN</t>
        </is>
      </c>
      <c r="E28" t="inlineStr">
        <is>
          <t>SURAHAMMAR</t>
        </is>
      </c>
      <c r="G28" t="n">
        <v>0.8</v>
      </c>
      <c r="H28" t="n">
        <v>1</v>
      </c>
      <c r="I28" t="n">
        <v>1</v>
      </c>
      <c r="J28" t="n">
        <v>1</v>
      </c>
      <c r="K28" t="n">
        <v>0</v>
      </c>
      <c r="L28" t="n">
        <v>0</v>
      </c>
      <c r="M28" t="n">
        <v>0</v>
      </c>
      <c r="N28" t="n">
        <v>0</v>
      </c>
      <c r="O28" t="n">
        <v>1</v>
      </c>
      <c r="P28" t="n">
        <v>0</v>
      </c>
      <c r="Q28" t="n">
        <v>3</v>
      </c>
      <c r="R28" s="2" t="inlineStr">
        <is>
          <t>Ljusskivig lerskivling
Hasselticka
Blåsippa</t>
        </is>
      </c>
      <c r="S28">
        <f>HYPERLINK("https://klasma.github.io/Logging_1907/artfynd/A 59550-2020 artfynd.xlsx", "A 59550-2020")</f>
        <v/>
      </c>
      <c r="T28">
        <f>HYPERLINK("https://klasma.github.io/Logging_1907/kartor/A 59550-2020 karta.png", "A 59550-2020")</f>
        <v/>
      </c>
      <c r="V28">
        <f>HYPERLINK("https://klasma.github.io/Logging_1907/klagomål/A 59550-2020 FSC-klagomål.docx", "A 59550-2020")</f>
        <v/>
      </c>
      <c r="W28">
        <f>HYPERLINK("https://klasma.github.io/Logging_1907/klagomålsmail/A 59550-2020 FSC-klagomål mail.docx", "A 59550-2020")</f>
        <v/>
      </c>
      <c r="X28">
        <f>HYPERLINK("https://klasma.github.io/Logging_1907/tillsyn/A 59550-2020 tillsynsbegäran.docx", "A 59550-2020")</f>
        <v/>
      </c>
      <c r="Y28">
        <f>HYPERLINK("https://klasma.github.io/Logging_1907/tillsynsmail/A 59550-2020 tillsynsbegäran mail.docx", "A 59550-2020")</f>
        <v/>
      </c>
    </row>
    <row r="29" ht="15" customHeight="1">
      <c r="A29" t="inlineStr">
        <is>
          <t>A 38200-2021</t>
        </is>
      </c>
      <c r="B29" s="1" t="n">
        <v>44405</v>
      </c>
      <c r="C29" s="1" t="n">
        <v>45565</v>
      </c>
      <c r="D29" t="inlineStr">
        <is>
          <t>VÄSTMANLANDS LÄN</t>
        </is>
      </c>
      <c r="E29" t="inlineStr">
        <is>
          <t>SURAHAMMAR</t>
        </is>
      </c>
      <c r="F29" t="inlineStr">
        <is>
          <t>Sveaskog</t>
        </is>
      </c>
      <c r="G29" t="n">
        <v>1.5</v>
      </c>
      <c r="H29" t="n">
        <v>1</v>
      </c>
      <c r="I29" t="n">
        <v>0</v>
      </c>
      <c r="J29" t="n">
        <v>1</v>
      </c>
      <c r="K29" t="n">
        <v>1</v>
      </c>
      <c r="L29" t="n">
        <v>0</v>
      </c>
      <c r="M29" t="n">
        <v>0</v>
      </c>
      <c r="N29" t="n">
        <v>0</v>
      </c>
      <c r="O29" t="n">
        <v>2</v>
      </c>
      <c r="P29" t="n">
        <v>1</v>
      </c>
      <c r="Q29" t="n">
        <v>3</v>
      </c>
      <c r="R29" s="2" t="inlineStr">
        <is>
          <t>Vågticka
Svinrot
Kopparödla</t>
        </is>
      </c>
      <c r="S29">
        <f>HYPERLINK("https://klasma.github.io/Logging_1907/artfynd/A 38200-2021 artfynd.xlsx", "A 38200-2021")</f>
        <v/>
      </c>
      <c r="T29">
        <f>HYPERLINK("https://klasma.github.io/Logging_1907/kartor/A 38200-2021 karta.png", "A 38200-2021")</f>
        <v/>
      </c>
      <c r="V29">
        <f>HYPERLINK("https://klasma.github.io/Logging_1907/klagomål/A 38200-2021 FSC-klagomål.docx", "A 38200-2021")</f>
        <v/>
      </c>
      <c r="W29">
        <f>HYPERLINK("https://klasma.github.io/Logging_1907/klagomålsmail/A 38200-2021 FSC-klagomål mail.docx", "A 38200-2021")</f>
        <v/>
      </c>
      <c r="X29">
        <f>HYPERLINK("https://klasma.github.io/Logging_1907/tillsyn/A 38200-2021 tillsynsbegäran.docx", "A 38200-2021")</f>
        <v/>
      </c>
      <c r="Y29">
        <f>HYPERLINK("https://klasma.github.io/Logging_1907/tillsynsmail/A 38200-2021 tillsynsbegäran mail.docx", "A 38200-2021")</f>
        <v/>
      </c>
    </row>
    <row r="30" ht="15" customHeight="1">
      <c r="A30" t="inlineStr">
        <is>
          <t>A 8552-2022</t>
        </is>
      </c>
      <c r="B30" s="1" t="n">
        <v>44613</v>
      </c>
      <c r="C30" s="1" t="n">
        <v>45565</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42708-2022</t>
        </is>
      </c>
      <c r="B31" s="1" t="n">
        <v>44832</v>
      </c>
      <c r="C31" s="1" t="n">
        <v>45565</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42853-2022</t>
        </is>
      </c>
      <c r="B32" s="1" t="n">
        <v>44832</v>
      </c>
      <c r="C32" s="1" t="n">
        <v>45565</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42860-2022</t>
        </is>
      </c>
      <c r="B33" s="1" t="n">
        <v>44832</v>
      </c>
      <c r="C33" s="1" t="n">
        <v>45565</v>
      </c>
      <c r="D33" t="inlineStr">
        <is>
          <t>VÄSTMANLANDS LÄN</t>
        </is>
      </c>
      <c r="E33" t="inlineStr">
        <is>
          <t>SURAHAMMAR</t>
        </is>
      </c>
      <c r="G33" t="n">
        <v>0.9</v>
      </c>
      <c r="H33" t="n">
        <v>0</v>
      </c>
      <c r="I33" t="n">
        <v>1</v>
      </c>
      <c r="J33" t="n">
        <v>0</v>
      </c>
      <c r="K33" t="n">
        <v>0</v>
      </c>
      <c r="L33" t="n">
        <v>1</v>
      </c>
      <c r="M33" t="n">
        <v>1</v>
      </c>
      <c r="N33" t="n">
        <v>0</v>
      </c>
      <c r="O33" t="n">
        <v>2</v>
      </c>
      <c r="P33" t="n">
        <v>2</v>
      </c>
      <c r="Q33" t="n">
        <v>3</v>
      </c>
      <c r="R33" s="2" t="inlineStr">
        <is>
          <t>Skogsalm
Ask
Scharlakansvårskål agg.</t>
        </is>
      </c>
      <c r="S33">
        <f>HYPERLINK("https://klasma.github.io/Logging_1907/artfynd/A 42860-2022 artfynd.xlsx", "A 42860-2022")</f>
        <v/>
      </c>
      <c r="T33">
        <f>HYPERLINK("https://klasma.github.io/Logging_1907/kartor/A 42860-2022 karta.png", "A 42860-2022")</f>
        <v/>
      </c>
      <c r="V33">
        <f>HYPERLINK("https://klasma.github.io/Logging_1907/klagomål/A 42860-2022 FSC-klagomål.docx", "A 42860-2022")</f>
        <v/>
      </c>
      <c r="W33">
        <f>HYPERLINK("https://klasma.github.io/Logging_1907/klagomålsmail/A 42860-2022 FSC-klagomål mail.docx", "A 42860-2022")</f>
        <v/>
      </c>
      <c r="X33">
        <f>HYPERLINK("https://klasma.github.io/Logging_1907/tillsyn/A 42860-2022 tillsynsbegäran.docx", "A 42860-2022")</f>
        <v/>
      </c>
      <c r="Y33">
        <f>HYPERLINK("https://klasma.github.io/Logging_1907/tillsynsmail/A 42860-2022 tillsynsbegäran mail.docx", "A 42860-2022")</f>
        <v/>
      </c>
    </row>
    <row r="34" ht="15" customHeight="1">
      <c r="A34" t="inlineStr">
        <is>
          <t>A 3012-2023</t>
        </is>
      </c>
      <c r="B34" s="1" t="n">
        <v>44945</v>
      </c>
      <c r="C34" s="1" t="n">
        <v>45565</v>
      </c>
      <c r="D34" t="inlineStr">
        <is>
          <t>VÄSTMANLANDS LÄN</t>
        </is>
      </c>
      <c r="E34" t="inlineStr">
        <is>
          <t>SURAHAMMAR</t>
        </is>
      </c>
      <c r="F34" t="inlineStr">
        <is>
          <t>Sveaskog</t>
        </is>
      </c>
      <c r="G34" t="n">
        <v>5.7</v>
      </c>
      <c r="H34" t="n">
        <v>0</v>
      </c>
      <c r="I34" t="n">
        <v>1</v>
      </c>
      <c r="J34" t="n">
        <v>0</v>
      </c>
      <c r="K34" t="n">
        <v>0</v>
      </c>
      <c r="L34" t="n">
        <v>1</v>
      </c>
      <c r="M34" t="n">
        <v>1</v>
      </c>
      <c r="N34" t="n">
        <v>0</v>
      </c>
      <c r="O34" t="n">
        <v>2</v>
      </c>
      <c r="P34" t="n">
        <v>2</v>
      </c>
      <c r="Q34" t="n">
        <v>3</v>
      </c>
      <c r="R34" s="2" t="inlineStr">
        <is>
          <t>Skogsalm
Ask
Svart trolldruva</t>
        </is>
      </c>
      <c r="S34">
        <f>HYPERLINK("https://klasma.github.io/Logging_1907/artfynd/A 3012-2023 artfynd.xlsx", "A 3012-2023")</f>
        <v/>
      </c>
      <c r="T34">
        <f>HYPERLINK("https://klasma.github.io/Logging_1907/kartor/A 3012-2023 karta.png", "A 3012-2023")</f>
        <v/>
      </c>
      <c r="V34">
        <f>HYPERLINK("https://klasma.github.io/Logging_1907/klagomål/A 3012-2023 FSC-klagomål.docx", "A 3012-2023")</f>
        <v/>
      </c>
      <c r="W34">
        <f>HYPERLINK("https://klasma.github.io/Logging_1907/klagomålsmail/A 3012-2023 FSC-klagomål mail.docx", "A 3012-2023")</f>
        <v/>
      </c>
      <c r="X34">
        <f>HYPERLINK("https://klasma.github.io/Logging_1907/tillsyn/A 3012-2023 tillsynsbegäran.docx", "A 3012-2023")</f>
        <v/>
      </c>
      <c r="Y34">
        <f>HYPERLINK("https://klasma.github.io/Logging_1907/tillsynsmail/A 3012-2023 tillsynsbegäran mail.docx", "A 3012-2023")</f>
        <v/>
      </c>
    </row>
    <row r="35" ht="15" customHeight="1">
      <c r="A35" t="inlineStr">
        <is>
          <t>A 14587-2023</t>
        </is>
      </c>
      <c r="B35" s="1" t="n">
        <v>45013</v>
      </c>
      <c r="C35" s="1" t="n">
        <v>45565</v>
      </c>
      <c r="D35" t="inlineStr">
        <is>
          <t>VÄSTMANLANDS LÄN</t>
        </is>
      </c>
      <c r="E35" t="inlineStr">
        <is>
          <t>SURAHAMMAR</t>
        </is>
      </c>
      <c r="G35" t="n">
        <v>14.8</v>
      </c>
      <c r="H35" t="n">
        <v>1</v>
      </c>
      <c r="I35" t="n">
        <v>1</v>
      </c>
      <c r="J35" t="n">
        <v>1</v>
      </c>
      <c r="K35" t="n">
        <v>0</v>
      </c>
      <c r="L35" t="n">
        <v>0</v>
      </c>
      <c r="M35" t="n">
        <v>0</v>
      </c>
      <c r="N35" t="n">
        <v>0</v>
      </c>
      <c r="O35" t="n">
        <v>1</v>
      </c>
      <c r="P35" t="n">
        <v>0</v>
      </c>
      <c r="Q35" t="n">
        <v>3</v>
      </c>
      <c r="R35" s="2" t="inlineStr">
        <is>
          <t>Skogshare
Vedticka
Mattlummer</t>
        </is>
      </c>
      <c r="S35">
        <f>HYPERLINK("https://klasma.github.io/Logging_1907/artfynd/A 14587-2023 artfynd.xlsx", "A 14587-2023")</f>
        <v/>
      </c>
      <c r="T35">
        <f>HYPERLINK("https://klasma.github.io/Logging_1907/kartor/A 14587-2023 karta.png", "A 14587-2023")</f>
        <v/>
      </c>
      <c r="V35">
        <f>HYPERLINK("https://klasma.github.io/Logging_1907/klagomål/A 14587-2023 FSC-klagomål.docx", "A 14587-2023")</f>
        <v/>
      </c>
      <c r="W35">
        <f>HYPERLINK("https://klasma.github.io/Logging_1907/klagomålsmail/A 14587-2023 FSC-klagomål mail.docx", "A 14587-2023")</f>
        <v/>
      </c>
      <c r="X35">
        <f>HYPERLINK("https://klasma.github.io/Logging_1907/tillsyn/A 14587-2023 tillsynsbegäran.docx", "A 14587-2023")</f>
        <v/>
      </c>
      <c r="Y35">
        <f>HYPERLINK("https://klasma.github.io/Logging_1907/tillsynsmail/A 14587-2023 tillsynsbegäran mail.docx", "A 14587-2023")</f>
        <v/>
      </c>
    </row>
    <row r="36" ht="15" customHeight="1">
      <c r="A36" t="inlineStr">
        <is>
          <t>A 24222-2023</t>
        </is>
      </c>
      <c r="B36" s="1" t="n">
        <v>45079</v>
      </c>
      <c r="C36" s="1" t="n">
        <v>45565</v>
      </c>
      <c r="D36" t="inlineStr">
        <is>
          <t>VÄSTMANLANDS LÄN</t>
        </is>
      </c>
      <c r="E36" t="inlineStr">
        <is>
          <t>SURAHAMMAR</t>
        </is>
      </c>
      <c r="F36" t="inlineStr">
        <is>
          <t>Sveaskog</t>
        </is>
      </c>
      <c r="G36" t="n">
        <v>9.699999999999999</v>
      </c>
      <c r="H36" t="n">
        <v>1</v>
      </c>
      <c r="I36" t="n">
        <v>1</v>
      </c>
      <c r="J36" t="n">
        <v>1</v>
      </c>
      <c r="K36" t="n">
        <v>0</v>
      </c>
      <c r="L36" t="n">
        <v>0</v>
      </c>
      <c r="M36" t="n">
        <v>0</v>
      </c>
      <c r="N36" t="n">
        <v>0</v>
      </c>
      <c r="O36" t="n">
        <v>1</v>
      </c>
      <c r="P36" t="n">
        <v>0</v>
      </c>
      <c r="Q36" t="n">
        <v>3</v>
      </c>
      <c r="R36" s="2" t="inlineStr">
        <is>
          <t>Svinrot
Blodticka
Revlummer</t>
        </is>
      </c>
      <c r="S36">
        <f>HYPERLINK("https://klasma.github.io/Logging_1907/artfynd/A 24222-2023 artfynd.xlsx", "A 24222-2023")</f>
        <v/>
      </c>
      <c r="T36">
        <f>HYPERLINK("https://klasma.github.io/Logging_1907/kartor/A 24222-2023 karta.png", "A 24222-2023")</f>
        <v/>
      </c>
      <c r="V36">
        <f>HYPERLINK("https://klasma.github.io/Logging_1907/klagomål/A 24222-2023 FSC-klagomål.docx", "A 24222-2023")</f>
        <v/>
      </c>
      <c r="W36">
        <f>HYPERLINK("https://klasma.github.io/Logging_1907/klagomålsmail/A 24222-2023 FSC-klagomål mail.docx", "A 24222-2023")</f>
        <v/>
      </c>
      <c r="X36">
        <f>HYPERLINK("https://klasma.github.io/Logging_1907/tillsyn/A 24222-2023 tillsynsbegäran.docx", "A 24222-2023")</f>
        <v/>
      </c>
      <c r="Y36">
        <f>HYPERLINK("https://klasma.github.io/Logging_1907/tillsynsmail/A 24222-2023 tillsynsbegäran mail.docx", "A 24222-2023")</f>
        <v/>
      </c>
    </row>
    <row r="37" ht="15" customHeight="1">
      <c r="A37" t="inlineStr">
        <is>
          <t>A 48128-2023</t>
        </is>
      </c>
      <c r="B37" s="1" t="n">
        <v>45205</v>
      </c>
      <c r="C37" s="1" t="n">
        <v>45565</v>
      </c>
      <c r="D37" t="inlineStr">
        <is>
          <t>VÄSTMANLANDS LÄN</t>
        </is>
      </c>
      <c r="E37" t="inlineStr">
        <is>
          <t>SURAHAMMAR</t>
        </is>
      </c>
      <c r="F37" t="inlineStr">
        <is>
          <t>Allmännings- och besparingsskogar</t>
        </is>
      </c>
      <c r="G37" t="n">
        <v>11.8</v>
      </c>
      <c r="H37" t="n">
        <v>0</v>
      </c>
      <c r="I37" t="n">
        <v>2</v>
      </c>
      <c r="J37" t="n">
        <v>1</v>
      </c>
      <c r="K37" t="n">
        <v>0</v>
      </c>
      <c r="L37" t="n">
        <v>0</v>
      </c>
      <c r="M37" t="n">
        <v>0</v>
      </c>
      <c r="N37" t="n">
        <v>0</v>
      </c>
      <c r="O37" t="n">
        <v>1</v>
      </c>
      <c r="P37" t="n">
        <v>0</v>
      </c>
      <c r="Q37" t="n">
        <v>3</v>
      </c>
      <c r="R37" s="2" t="inlineStr">
        <is>
          <t>Svinrot
Blodticka
Vedticka</t>
        </is>
      </c>
      <c r="S37">
        <f>HYPERLINK("https://klasma.github.io/Logging_1907/artfynd/A 48128-2023 artfynd.xlsx", "A 48128-2023")</f>
        <v/>
      </c>
      <c r="T37">
        <f>HYPERLINK("https://klasma.github.io/Logging_1907/kartor/A 48128-2023 karta.png", "A 48128-2023")</f>
        <v/>
      </c>
      <c r="V37">
        <f>HYPERLINK("https://klasma.github.io/Logging_1907/klagomål/A 48128-2023 FSC-klagomål.docx", "A 48128-2023")</f>
        <v/>
      </c>
      <c r="W37">
        <f>HYPERLINK("https://klasma.github.io/Logging_1907/klagomålsmail/A 48128-2023 FSC-klagomål mail.docx", "A 48128-2023")</f>
        <v/>
      </c>
      <c r="X37">
        <f>HYPERLINK("https://klasma.github.io/Logging_1907/tillsyn/A 48128-2023 tillsynsbegäran.docx", "A 48128-2023")</f>
        <v/>
      </c>
      <c r="Y37">
        <f>HYPERLINK("https://klasma.github.io/Logging_1907/tillsynsmail/A 48128-2023 tillsynsbegäran mail.docx", "A 48128-2023")</f>
        <v/>
      </c>
    </row>
    <row r="38" ht="15" customHeight="1">
      <c r="A38" t="inlineStr">
        <is>
          <t>A 49718-2023</t>
        </is>
      </c>
      <c r="B38" s="1" t="n">
        <v>45212</v>
      </c>
      <c r="C38" s="1" t="n">
        <v>45565</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65024-2023</t>
        </is>
      </c>
      <c r="B39" s="1" t="n">
        <v>45282</v>
      </c>
      <c r="C39" s="1" t="n">
        <v>45565</v>
      </c>
      <c r="D39" t="inlineStr">
        <is>
          <t>VÄSTMANLANDS LÄN</t>
        </is>
      </c>
      <c r="E39" t="inlineStr">
        <is>
          <t>SURAHAMMAR</t>
        </is>
      </c>
      <c r="F39" t="inlineStr">
        <is>
          <t>Bergvik skog väst AB</t>
        </is>
      </c>
      <c r="G39" t="n">
        <v>14.9</v>
      </c>
      <c r="H39" t="n">
        <v>1</v>
      </c>
      <c r="I39" t="n">
        <v>1</v>
      </c>
      <c r="J39" t="n">
        <v>2</v>
      </c>
      <c r="K39" t="n">
        <v>0</v>
      </c>
      <c r="L39" t="n">
        <v>0</v>
      </c>
      <c r="M39" t="n">
        <v>0</v>
      </c>
      <c r="N39" t="n">
        <v>0</v>
      </c>
      <c r="O39" t="n">
        <v>2</v>
      </c>
      <c r="P39" t="n">
        <v>0</v>
      </c>
      <c r="Q39" t="n">
        <v>3</v>
      </c>
      <c r="R39" s="2" t="inlineStr">
        <is>
          <t>Gropticka
Talltita
Blodticka</t>
        </is>
      </c>
      <c r="S39">
        <f>HYPERLINK("https://klasma.github.io/Logging_1907/artfynd/A 65024-2023 artfynd.xlsx", "A 65024-2023")</f>
        <v/>
      </c>
      <c r="T39">
        <f>HYPERLINK("https://klasma.github.io/Logging_1907/kartor/A 65024-2023 karta.png", "A 65024-2023")</f>
        <v/>
      </c>
      <c r="V39">
        <f>HYPERLINK("https://klasma.github.io/Logging_1907/klagomål/A 65024-2023 FSC-klagomål.docx", "A 65024-2023")</f>
        <v/>
      </c>
      <c r="W39">
        <f>HYPERLINK("https://klasma.github.io/Logging_1907/klagomålsmail/A 65024-2023 FSC-klagomål mail.docx", "A 65024-2023")</f>
        <v/>
      </c>
      <c r="X39">
        <f>HYPERLINK("https://klasma.github.io/Logging_1907/tillsyn/A 65024-2023 tillsynsbegäran.docx", "A 65024-2023")</f>
        <v/>
      </c>
      <c r="Y39">
        <f>HYPERLINK("https://klasma.github.io/Logging_1907/tillsynsmail/A 65024-2023 tillsynsbegäran mail.docx", "A 65024-2023")</f>
        <v/>
      </c>
      <c r="Z39">
        <f>HYPERLINK("https://klasma.github.io/Logging_1907/fåglar/A 65024-2023 prioriterade fågelarter.docx", "A 65024-2023")</f>
        <v/>
      </c>
    </row>
    <row r="40" ht="15" customHeight="1">
      <c r="A40" t="inlineStr">
        <is>
          <t>A 20391-2024</t>
        </is>
      </c>
      <c r="B40" s="1" t="n">
        <v>45435</v>
      </c>
      <c r="C40" s="1" t="n">
        <v>45565</v>
      </c>
      <c r="D40" t="inlineStr">
        <is>
          <t>VÄSTMANLANDS LÄN</t>
        </is>
      </c>
      <c r="E40" t="inlineStr">
        <is>
          <t>SURAHAMMAR</t>
        </is>
      </c>
      <c r="G40" t="n">
        <v>1.5</v>
      </c>
      <c r="H40" t="n">
        <v>0</v>
      </c>
      <c r="I40" t="n">
        <v>2</v>
      </c>
      <c r="J40" t="n">
        <v>1</v>
      </c>
      <c r="K40" t="n">
        <v>0</v>
      </c>
      <c r="L40" t="n">
        <v>0</v>
      </c>
      <c r="M40" t="n">
        <v>0</v>
      </c>
      <c r="N40" t="n">
        <v>0</v>
      </c>
      <c r="O40" t="n">
        <v>1</v>
      </c>
      <c r="P40" t="n">
        <v>0</v>
      </c>
      <c r="Q40" t="n">
        <v>3</v>
      </c>
      <c r="R40" s="2" t="inlineStr">
        <is>
          <t>Vedtrappmossa
Kattfotslav
Stubbspretmossa</t>
        </is>
      </c>
      <c r="S40">
        <f>HYPERLINK("https://klasma.github.io/Logging_1907/artfynd/A 20391-2024 artfynd.xlsx", "A 20391-2024")</f>
        <v/>
      </c>
      <c r="T40">
        <f>HYPERLINK("https://klasma.github.io/Logging_1907/kartor/A 20391-2024 karta.png", "A 20391-2024")</f>
        <v/>
      </c>
      <c r="V40">
        <f>HYPERLINK("https://klasma.github.io/Logging_1907/klagomål/A 20391-2024 FSC-klagomål.docx", "A 20391-2024")</f>
        <v/>
      </c>
      <c r="W40">
        <f>HYPERLINK("https://klasma.github.io/Logging_1907/klagomålsmail/A 20391-2024 FSC-klagomål mail.docx", "A 20391-2024")</f>
        <v/>
      </c>
      <c r="X40">
        <f>HYPERLINK("https://klasma.github.io/Logging_1907/tillsyn/A 20391-2024 tillsynsbegäran.docx", "A 20391-2024")</f>
        <v/>
      </c>
      <c r="Y40">
        <f>HYPERLINK("https://klasma.github.io/Logging_1907/tillsynsmail/A 20391-2024 tillsynsbegäran mail.docx", "A 20391-2024")</f>
        <v/>
      </c>
    </row>
    <row r="41" ht="15" customHeight="1">
      <c r="A41" t="inlineStr">
        <is>
          <t>A 24561-2024</t>
        </is>
      </c>
      <c r="B41" s="1" t="n">
        <v>45460</v>
      </c>
      <c r="C41" s="1" t="n">
        <v>45565</v>
      </c>
      <c r="D41" t="inlineStr">
        <is>
          <t>VÄSTMANLANDS LÄN</t>
        </is>
      </c>
      <c r="E41" t="inlineStr">
        <is>
          <t>SURAHAMMAR</t>
        </is>
      </c>
      <c r="G41" t="n">
        <v>2.6</v>
      </c>
      <c r="H41" t="n">
        <v>2</v>
      </c>
      <c r="I41" t="n">
        <v>1</v>
      </c>
      <c r="J41" t="n">
        <v>0</v>
      </c>
      <c r="K41" t="n">
        <v>1</v>
      </c>
      <c r="L41" t="n">
        <v>0</v>
      </c>
      <c r="M41" t="n">
        <v>0</v>
      </c>
      <c r="N41" t="n">
        <v>0</v>
      </c>
      <c r="O41" t="n">
        <v>1</v>
      </c>
      <c r="P41" t="n">
        <v>1</v>
      </c>
      <c r="Q41" t="n">
        <v>3</v>
      </c>
      <c r="R41" s="2" t="inlineStr">
        <is>
          <t>Knärot
Grönpyrola
Revlummer</t>
        </is>
      </c>
      <c r="S41">
        <f>HYPERLINK("https://klasma.github.io/Logging_1907/artfynd/A 24561-2024 artfynd.xlsx", "A 24561-2024")</f>
        <v/>
      </c>
      <c r="T41">
        <f>HYPERLINK("https://klasma.github.io/Logging_1907/kartor/A 24561-2024 karta.png", "A 24561-2024")</f>
        <v/>
      </c>
      <c r="U41">
        <f>HYPERLINK("https://klasma.github.io/Logging_1907/knärot/A 24561-2024 karta knärot.png", "A 24561-2024")</f>
        <v/>
      </c>
      <c r="V41">
        <f>HYPERLINK("https://klasma.github.io/Logging_1907/klagomål/A 24561-2024 FSC-klagomål.docx", "A 24561-2024")</f>
        <v/>
      </c>
      <c r="W41">
        <f>HYPERLINK("https://klasma.github.io/Logging_1907/klagomålsmail/A 24561-2024 FSC-klagomål mail.docx", "A 24561-2024")</f>
        <v/>
      </c>
      <c r="X41">
        <f>HYPERLINK("https://klasma.github.io/Logging_1907/tillsyn/A 24561-2024 tillsynsbegäran.docx", "A 24561-2024")</f>
        <v/>
      </c>
      <c r="Y41">
        <f>HYPERLINK("https://klasma.github.io/Logging_1907/tillsynsmail/A 24561-2024 tillsynsbegäran mail.docx", "A 24561-2024")</f>
        <v/>
      </c>
    </row>
    <row r="42" ht="15" customHeight="1">
      <c r="A42" t="inlineStr">
        <is>
          <t>A 25548-2024</t>
        </is>
      </c>
      <c r="B42" s="1" t="n">
        <v>45463</v>
      </c>
      <c r="C42" s="1" t="n">
        <v>45565</v>
      </c>
      <c r="D42" t="inlineStr">
        <is>
          <t>VÄSTMANLANDS LÄN</t>
        </is>
      </c>
      <c r="E42" t="inlineStr">
        <is>
          <t>SURAHAMMAR</t>
        </is>
      </c>
      <c r="F42" t="inlineStr">
        <is>
          <t>Bergvik skog väst AB</t>
        </is>
      </c>
      <c r="G42" t="n">
        <v>5.1</v>
      </c>
      <c r="H42" t="n">
        <v>2</v>
      </c>
      <c r="I42" t="n">
        <v>1</v>
      </c>
      <c r="J42" t="n">
        <v>0</v>
      </c>
      <c r="K42" t="n">
        <v>1</v>
      </c>
      <c r="L42" t="n">
        <v>0</v>
      </c>
      <c r="M42" t="n">
        <v>0</v>
      </c>
      <c r="N42" t="n">
        <v>0</v>
      </c>
      <c r="O42" t="n">
        <v>1</v>
      </c>
      <c r="P42" t="n">
        <v>1</v>
      </c>
      <c r="Q42" t="n">
        <v>3</v>
      </c>
      <c r="R42" s="2" t="inlineStr">
        <is>
          <t>Knärot
Vedticka
Fläcknycklar</t>
        </is>
      </c>
      <c r="S42">
        <f>HYPERLINK("https://klasma.github.io/Logging_1907/artfynd/A 25548-2024 artfynd.xlsx", "A 25548-2024")</f>
        <v/>
      </c>
      <c r="T42">
        <f>HYPERLINK("https://klasma.github.io/Logging_1907/kartor/A 25548-2024 karta.png", "A 25548-2024")</f>
        <v/>
      </c>
      <c r="U42">
        <f>HYPERLINK("https://klasma.github.io/Logging_1907/knärot/A 25548-2024 karta knärot.png", "A 25548-2024")</f>
        <v/>
      </c>
      <c r="V42">
        <f>HYPERLINK("https://klasma.github.io/Logging_1907/klagomål/A 25548-2024 FSC-klagomål.docx", "A 25548-2024")</f>
        <v/>
      </c>
      <c r="W42">
        <f>HYPERLINK("https://klasma.github.io/Logging_1907/klagomålsmail/A 25548-2024 FSC-klagomål mail.docx", "A 25548-2024")</f>
        <v/>
      </c>
      <c r="X42">
        <f>HYPERLINK("https://klasma.github.io/Logging_1907/tillsyn/A 25548-2024 tillsynsbegäran.docx", "A 25548-2024")</f>
        <v/>
      </c>
      <c r="Y42">
        <f>HYPERLINK("https://klasma.github.io/Logging_1907/tillsynsmail/A 25548-2024 tillsynsbegäran mail.docx", "A 25548-2024")</f>
        <v/>
      </c>
    </row>
    <row r="43" ht="15" customHeight="1">
      <c r="A43" t="inlineStr">
        <is>
          <t>A 33094-2024</t>
        </is>
      </c>
      <c r="B43" s="1" t="n">
        <v>45517</v>
      </c>
      <c r="C43" s="1" t="n">
        <v>45565</v>
      </c>
      <c r="D43" t="inlineStr">
        <is>
          <t>VÄSTMANLANDS LÄN</t>
        </is>
      </c>
      <c r="E43" t="inlineStr">
        <is>
          <t>SURAHAMMAR</t>
        </is>
      </c>
      <c r="G43" t="n">
        <v>6.3</v>
      </c>
      <c r="H43" t="n">
        <v>1</v>
      </c>
      <c r="I43" t="n">
        <v>0</v>
      </c>
      <c r="J43" t="n">
        <v>2</v>
      </c>
      <c r="K43" t="n">
        <v>0</v>
      </c>
      <c r="L43" t="n">
        <v>0</v>
      </c>
      <c r="M43" t="n">
        <v>0</v>
      </c>
      <c r="N43" t="n">
        <v>0</v>
      </c>
      <c r="O43" t="n">
        <v>2</v>
      </c>
      <c r="P43" t="n">
        <v>0</v>
      </c>
      <c r="Q43" t="n">
        <v>3</v>
      </c>
      <c r="R43" s="2" t="inlineStr">
        <is>
          <t>Svinrot
Vippärt
Revlummer</t>
        </is>
      </c>
      <c r="S43">
        <f>HYPERLINK("https://klasma.github.io/Logging_1907/artfynd/A 33094-2024 artfynd.xlsx", "A 33094-2024")</f>
        <v/>
      </c>
      <c r="T43">
        <f>HYPERLINK("https://klasma.github.io/Logging_1907/kartor/A 33094-2024 karta.png", "A 33094-2024")</f>
        <v/>
      </c>
      <c r="V43">
        <f>HYPERLINK("https://klasma.github.io/Logging_1907/klagomål/A 33094-2024 FSC-klagomål.docx", "A 33094-2024")</f>
        <v/>
      </c>
      <c r="W43">
        <f>HYPERLINK("https://klasma.github.io/Logging_1907/klagomålsmail/A 33094-2024 FSC-klagomål mail.docx", "A 33094-2024")</f>
        <v/>
      </c>
      <c r="X43">
        <f>HYPERLINK("https://klasma.github.io/Logging_1907/tillsyn/A 33094-2024 tillsynsbegäran.docx", "A 33094-2024")</f>
        <v/>
      </c>
      <c r="Y43">
        <f>HYPERLINK("https://klasma.github.io/Logging_1907/tillsynsmail/A 33094-2024 tillsynsbegäran mail.docx", "A 33094-2024")</f>
        <v/>
      </c>
    </row>
    <row r="44" ht="15" customHeight="1">
      <c r="A44" t="inlineStr">
        <is>
          <t>A 34040-2024</t>
        </is>
      </c>
      <c r="B44" s="1" t="n">
        <v>45523</v>
      </c>
      <c r="C44" s="1" t="n">
        <v>45565</v>
      </c>
      <c r="D44" t="inlineStr">
        <is>
          <t>VÄSTMANLANDS LÄN</t>
        </is>
      </c>
      <c r="E44" t="inlineStr">
        <is>
          <t>SURAHAMMAR</t>
        </is>
      </c>
      <c r="F44" t="inlineStr">
        <is>
          <t>Övriga Aktiebolag</t>
        </is>
      </c>
      <c r="G44" t="n">
        <v>6.4</v>
      </c>
      <c r="H44" t="n">
        <v>1</v>
      </c>
      <c r="I44" t="n">
        <v>1</v>
      </c>
      <c r="J44" t="n">
        <v>1</v>
      </c>
      <c r="K44" t="n">
        <v>1</v>
      </c>
      <c r="L44" t="n">
        <v>0</v>
      </c>
      <c r="M44" t="n">
        <v>0</v>
      </c>
      <c r="N44" t="n">
        <v>0</v>
      </c>
      <c r="O44" t="n">
        <v>2</v>
      </c>
      <c r="P44" t="n">
        <v>1</v>
      </c>
      <c r="Q44" t="n">
        <v>3</v>
      </c>
      <c r="R44" s="2" t="inlineStr">
        <is>
          <t>Knärot
Ullticka
Bronshjon</t>
        </is>
      </c>
      <c r="S44">
        <f>HYPERLINK("https://klasma.github.io/Logging_1907/artfynd/A 34040-2024 artfynd.xlsx", "A 34040-2024")</f>
        <v/>
      </c>
      <c r="T44">
        <f>HYPERLINK("https://klasma.github.io/Logging_1907/kartor/A 34040-2024 karta.png", "A 34040-2024")</f>
        <v/>
      </c>
      <c r="U44">
        <f>HYPERLINK("https://klasma.github.io/Logging_1907/knärot/A 34040-2024 karta knärot.png", "A 34040-2024")</f>
        <v/>
      </c>
      <c r="V44">
        <f>HYPERLINK("https://klasma.github.io/Logging_1907/klagomål/A 34040-2024 FSC-klagomål.docx", "A 34040-2024")</f>
        <v/>
      </c>
      <c r="W44">
        <f>HYPERLINK("https://klasma.github.io/Logging_1907/klagomålsmail/A 34040-2024 FSC-klagomål mail.docx", "A 34040-2024")</f>
        <v/>
      </c>
      <c r="X44">
        <f>HYPERLINK("https://klasma.github.io/Logging_1907/tillsyn/A 34040-2024 tillsynsbegäran.docx", "A 34040-2024")</f>
        <v/>
      </c>
      <c r="Y44">
        <f>HYPERLINK("https://klasma.github.io/Logging_1907/tillsynsmail/A 34040-2024 tillsynsbegäran mail.docx", "A 34040-2024")</f>
        <v/>
      </c>
    </row>
    <row r="45" ht="15" customHeight="1">
      <c r="A45" t="inlineStr">
        <is>
          <t>A 43169-2020</t>
        </is>
      </c>
      <c r="B45" s="1" t="n">
        <v>44081</v>
      </c>
      <c r="C45" s="1" t="n">
        <v>45565</v>
      </c>
      <c r="D45" t="inlineStr">
        <is>
          <t>VÄSTMANLANDS LÄN</t>
        </is>
      </c>
      <c r="E45" t="inlineStr">
        <is>
          <t>SURAHAMMAR</t>
        </is>
      </c>
      <c r="F45" t="inlineStr">
        <is>
          <t>Sveaskog</t>
        </is>
      </c>
      <c r="G45" t="n">
        <v>6.4</v>
      </c>
      <c r="H45" t="n">
        <v>0</v>
      </c>
      <c r="I45" t="n">
        <v>0</v>
      </c>
      <c r="J45" t="n">
        <v>1</v>
      </c>
      <c r="K45" t="n">
        <v>1</v>
      </c>
      <c r="L45" t="n">
        <v>0</v>
      </c>
      <c r="M45" t="n">
        <v>0</v>
      </c>
      <c r="N45" t="n">
        <v>0</v>
      </c>
      <c r="O45" t="n">
        <v>2</v>
      </c>
      <c r="P45" t="n">
        <v>1</v>
      </c>
      <c r="Q45" t="n">
        <v>2</v>
      </c>
      <c r="R45" s="2" t="inlineStr">
        <is>
          <t>Hängticka
Kandelabersvamp</t>
        </is>
      </c>
      <c r="S45">
        <f>HYPERLINK("https://klasma.github.io/Logging_1907/artfynd/A 43169-2020 artfynd.xlsx", "A 43169-2020")</f>
        <v/>
      </c>
      <c r="T45">
        <f>HYPERLINK("https://klasma.github.io/Logging_1907/kartor/A 43169-2020 karta.png", "A 43169-2020")</f>
        <v/>
      </c>
      <c r="V45">
        <f>HYPERLINK("https://klasma.github.io/Logging_1907/klagomål/A 43169-2020 FSC-klagomål.docx", "A 43169-2020")</f>
        <v/>
      </c>
      <c r="W45">
        <f>HYPERLINK("https://klasma.github.io/Logging_1907/klagomålsmail/A 43169-2020 FSC-klagomål mail.docx", "A 43169-2020")</f>
        <v/>
      </c>
      <c r="X45">
        <f>HYPERLINK("https://klasma.github.io/Logging_1907/tillsyn/A 43169-2020 tillsynsbegäran.docx", "A 43169-2020")</f>
        <v/>
      </c>
      <c r="Y45">
        <f>HYPERLINK("https://klasma.github.io/Logging_1907/tillsynsmail/A 43169-2020 tillsynsbegäran mail.docx", "A 43169-2020")</f>
        <v/>
      </c>
    </row>
    <row r="46" ht="15" customHeight="1">
      <c r="A46" t="inlineStr">
        <is>
          <t>A 18717-2021</t>
        </is>
      </c>
      <c r="B46" s="1" t="n">
        <v>44306</v>
      </c>
      <c r="C46" s="1" t="n">
        <v>45565</v>
      </c>
      <c r="D46" t="inlineStr">
        <is>
          <t>VÄSTMANLANDS LÄN</t>
        </is>
      </c>
      <c r="E46" t="inlineStr">
        <is>
          <t>SURAHAMMAR</t>
        </is>
      </c>
      <c r="F46" t="inlineStr">
        <is>
          <t>Bergvik skog väst AB</t>
        </is>
      </c>
      <c r="G46" t="n">
        <v>18</v>
      </c>
      <c r="H46" t="n">
        <v>2</v>
      </c>
      <c r="I46" t="n">
        <v>0</v>
      </c>
      <c r="J46" t="n">
        <v>0</v>
      </c>
      <c r="K46" t="n">
        <v>0</v>
      </c>
      <c r="L46" t="n">
        <v>0</v>
      </c>
      <c r="M46" t="n">
        <v>0</v>
      </c>
      <c r="N46" t="n">
        <v>0</v>
      </c>
      <c r="O46" t="n">
        <v>0</v>
      </c>
      <c r="P46" t="n">
        <v>0</v>
      </c>
      <c r="Q46" t="n">
        <v>2</v>
      </c>
      <c r="R46" s="2" t="inlineStr">
        <is>
          <t>Lopplummer
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21825-2021</t>
        </is>
      </c>
      <c r="B47" s="1" t="n">
        <v>44322</v>
      </c>
      <c r="C47" s="1" t="n">
        <v>45565</v>
      </c>
      <c r="D47" t="inlineStr">
        <is>
          <t>VÄSTMANLANDS LÄN</t>
        </is>
      </c>
      <c r="E47" t="inlineStr">
        <is>
          <t>SURAHAMMAR</t>
        </is>
      </c>
      <c r="G47" t="n">
        <v>4.7</v>
      </c>
      <c r="H47" t="n">
        <v>1</v>
      </c>
      <c r="I47" t="n">
        <v>0</v>
      </c>
      <c r="J47" t="n">
        <v>1</v>
      </c>
      <c r="K47" t="n">
        <v>0</v>
      </c>
      <c r="L47" t="n">
        <v>0</v>
      </c>
      <c r="M47" t="n">
        <v>0</v>
      </c>
      <c r="N47" t="n">
        <v>0</v>
      </c>
      <c r="O47" t="n">
        <v>1</v>
      </c>
      <c r="P47" t="n">
        <v>0</v>
      </c>
      <c r="Q47" t="n">
        <v>2</v>
      </c>
      <c r="R47" s="2" t="inlineStr">
        <is>
          <t>Svinrot
Blåsippa</t>
        </is>
      </c>
      <c r="S47">
        <f>HYPERLINK("https://klasma.github.io/Logging_1907/artfynd/A 21825-2021 artfynd.xlsx", "A 21825-2021")</f>
        <v/>
      </c>
      <c r="T47">
        <f>HYPERLINK("https://klasma.github.io/Logging_1907/kartor/A 21825-2021 karta.png", "A 21825-2021")</f>
        <v/>
      </c>
      <c r="V47">
        <f>HYPERLINK("https://klasma.github.io/Logging_1907/klagomål/A 21825-2021 FSC-klagomål.docx", "A 21825-2021")</f>
        <v/>
      </c>
      <c r="W47">
        <f>HYPERLINK("https://klasma.github.io/Logging_1907/klagomålsmail/A 21825-2021 FSC-klagomål mail.docx", "A 21825-2021")</f>
        <v/>
      </c>
      <c r="X47">
        <f>HYPERLINK("https://klasma.github.io/Logging_1907/tillsyn/A 21825-2021 tillsynsbegäran.docx", "A 21825-2021")</f>
        <v/>
      </c>
      <c r="Y47">
        <f>HYPERLINK("https://klasma.github.io/Logging_1907/tillsynsmail/A 21825-2021 tillsynsbegäran mail.docx", "A 21825-2021")</f>
        <v/>
      </c>
    </row>
    <row r="48" ht="15" customHeight="1">
      <c r="A48" t="inlineStr">
        <is>
          <t>A 37801-2021</t>
        </is>
      </c>
      <c r="B48" s="1" t="n">
        <v>44402</v>
      </c>
      <c r="C48" s="1" t="n">
        <v>45565</v>
      </c>
      <c r="D48" t="inlineStr">
        <is>
          <t>VÄSTMANLANDS LÄN</t>
        </is>
      </c>
      <c r="E48" t="inlineStr">
        <is>
          <t>SURAHAMMAR</t>
        </is>
      </c>
      <c r="F48" t="inlineStr">
        <is>
          <t>Kommuner</t>
        </is>
      </c>
      <c r="G48" t="n">
        <v>2.3</v>
      </c>
      <c r="H48" t="n">
        <v>1</v>
      </c>
      <c r="I48" t="n">
        <v>0</v>
      </c>
      <c r="J48" t="n">
        <v>1</v>
      </c>
      <c r="K48" t="n">
        <v>0</v>
      </c>
      <c r="L48" t="n">
        <v>0</v>
      </c>
      <c r="M48" t="n">
        <v>0</v>
      </c>
      <c r="N48" t="n">
        <v>0</v>
      </c>
      <c r="O48" t="n">
        <v>1</v>
      </c>
      <c r="P48" t="n">
        <v>0</v>
      </c>
      <c r="Q48" t="n">
        <v>2</v>
      </c>
      <c r="R48" s="2" t="inlineStr">
        <is>
          <t>Veckticka
Nattviol</t>
        </is>
      </c>
      <c r="S48">
        <f>HYPERLINK("https://klasma.github.io/Logging_1907/artfynd/A 37801-2021 artfynd.xlsx", "A 37801-2021")</f>
        <v/>
      </c>
      <c r="T48">
        <f>HYPERLINK("https://klasma.github.io/Logging_1907/kartor/A 37801-2021 karta.png", "A 37801-2021")</f>
        <v/>
      </c>
      <c r="V48">
        <f>HYPERLINK("https://klasma.github.io/Logging_1907/klagomål/A 37801-2021 FSC-klagomål.docx", "A 37801-2021")</f>
        <v/>
      </c>
      <c r="W48">
        <f>HYPERLINK("https://klasma.github.io/Logging_1907/klagomålsmail/A 37801-2021 FSC-klagomål mail.docx", "A 37801-2021")</f>
        <v/>
      </c>
      <c r="X48">
        <f>HYPERLINK("https://klasma.github.io/Logging_1907/tillsyn/A 37801-2021 tillsynsbegäran.docx", "A 37801-2021")</f>
        <v/>
      </c>
      <c r="Y48">
        <f>HYPERLINK("https://klasma.github.io/Logging_1907/tillsynsmail/A 37801-2021 tillsynsbegäran mail.docx", "A 37801-2021")</f>
        <v/>
      </c>
    </row>
    <row r="49" ht="15" customHeight="1">
      <c r="A49" t="inlineStr">
        <is>
          <t>A 37800-2021</t>
        </is>
      </c>
      <c r="B49" s="1" t="n">
        <v>44402</v>
      </c>
      <c r="C49" s="1" t="n">
        <v>45565</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57168-2021</t>
        </is>
      </c>
      <c r="B50" s="1" t="n">
        <v>44482</v>
      </c>
      <c r="C50" s="1" t="n">
        <v>45565</v>
      </c>
      <c r="D50" t="inlineStr">
        <is>
          <t>VÄSTMANLANDS LÄN</t>
        </is>
      </c>
      <c r="E50" t="inlineStr">
        <is>
          <t>SURAHAMMAR</t>
        </is>
      </c>
      <c r="G50" t="n">
        <v>1.7</v>
      </c>
      <c r="H50" t="n">
        <v>0</v>
      </c>
      <c r="I50" t="n">
        <v>0</v>
      </c>
      <c r="J50" t="n">
        <v>1</v>
      </c>
      <c r="K50" t="n">
        <v>0</v>
      </c>
      <c r="L50" t="n">
        <v>1</v>
      </c>
      <c r="M50" t="n">
        <v>0</v>
      </c>
      <c r="N50" t="n">
        <v>0</v>
      </c>
      <c r="O50" t="n">
        <v>2</v>
      </c>
      <c r="P50" t="n">
        <v>1</v>
      </c>
      <c r="Q50" t="n">
        <v>2</v>
      </c>
      <c r="R50" s="2" t="inlineStr">
        <is>
          <t>Ask
Svartöra</t>
        </is>
      </c>
      <c r="S50">
        <f>HYPERLINK("https://klasma.github.io/Logging_1907/artfynd/A 57168-2021 artfynd.xlsx", "A 57168-2021")</f>
        <v/>
      </c>
      <c r="T50">
        <f>HYPERLINK("https://klasma.github.io/Logging_1907/kartor/A 57168-2021 karta.png", "A 57168-2021")</f>
        <v/>
      </c>
      <c r="V50">
        <f>HYPERLINK("https://klasma.github.io/Logging_1907/klagomål/A 57168-2021 FSC-klagomål.docx", "A 57168-2021")</f>
        <v/>
      </c>
      <c r="W50">
        <f>HYPERLINK("https://klasma.github.io/Logging_1907/klagomålsmail/A 57168-2021 FSC-klagomål mail.docx", "A 57168-2021")</f>
        <v/>
      </c>
      <c r="X50">
        <f>HYPERLINK("https://klasma.github.io/Logging_1907/tillsyn/A 57168-2021 tillsynsbegäran.docx", "A 57168-2021")</f>
        <v/>
      </c>
      <c r="Y50">
        <f>HYPERLINK("https://klasma.github.io/Logging_1907/tillsynsmail/A 57168-2021 tillsynsbegäran mail.docx", "A 57168-2021")</f>
        <v/>
      </c>
    </row>
    <row r="51" ht="15" customHeight="1">
      <c r="A51" t="inlineStr">
        <is>
          <t>A 66343-2021</t>
        </is>
      </c>
      <c r="B51" s="1" t="n">
        <v>44518</v>
      </c>
      <c r="C51" s="1" t="n">
        <v>45565</v>
      </c>
      <c r="D51" t="inlineStr">
        <is>
          <t>VÄSTMANLANDS LÄN</t>
        </is>
      </c>
      <c r="E51" t="inlineStr">
        <is>
          <t>SURAHAMMAR</t>
        </is>
      </c>
      <c r="F51" t="inlineStr">
        <is>
          <t>Sveaskog</t>
        </is>
      </c>
      <c r="G51" t="n">
        <v>2.5</v>
      </c>
      <c r="H51" t="n">
        <v>0</v>
      </c>
      <c r="I51" t="n">
        <v>1</v>
      </c>
      <c r="J51" t="n">
        <v>0</v>
      </c>
      <c r="K51" t="n">
        <v>1</v>
      </c>
      <c r="L51" t="n">
        <v>0</v>
      </c>
      <c r="M51" t="n">
        <v>0</v>
      </c>
      <c r="N51" t="n">
        <v>0</v>
      </c>
      <c r="O51" t="n">
        <v>1</v>
      </c>
      <c r="P51" t="n">
        <v>1</v>
      </c>
      <c r="Q51" t="n">
        <v>2</v>
      </c>
      <c r="R51" s="2" t="inlineStr">
        <is>
          <t>Torrmusseron
Blåmossa</t>
        </is>
      </c>
      <c r="S51">
        <f>HYPERLINK("https://klasma.github.io/Logging_1907/artfynd/A 66343-2021 artfynd.xlsx", "A 66343-2021")</f>
        <v/>
      </c>
      <c r="T51">
        <f>HYPERLINK("https://klasma.github.io/Logging_1907/kartor/A 66343-2021 karta.png", "A 66343-2021")</f>
        <v/>
      </c>
      <c r="V51">
        <f>HYPERLINK("https://klasma.github.io/Logging_1907/klagomål/A 66343-2021 FSC-klagomål.docx", "A 66343-2021")</f>
        <v/>
      </c>
      <c r="W51">
        <f>HYPERLINK("https://klasma.github.io/Logging_1907/klagomålsmail/A 66343-2021 FSC-klagomål mail.docx", "A 66343-2021")</f>
        <v/>
      </c>
      <c r="X51">
        <f>HYPERLINK("https://klasma.github.io/Logging_1907/tillsyn/A 66343-2021 tillsynsbegäran.docx", "A 66343-2021")</f>
        <v/>
      </c>
      <c r="Y51">
        <f>HYPERLINK("https://klasma.github.io/Logging_1907/tillsynsmail/A 66343-2021 tillsynsbegäran mail.docx", "A 66343-2021")</f>
        <v/>
      </c>
    </row>
    <row r="52" ht="15" customHeight="1">
      <c r="A52" t="inlineStr">
        <is>
          <t>A 7845-2022</t>
        </is>
      </c>
      <c r="B52" s="1" t="n">
        <v>44608</v>
      </c>
      <c r="C52" s="1" t="n">
        <v>45565</v>
      </c>
      <c r="D52" t="inlineStr">
        <is>
          <t>VÄSTMANLANDS LÄN</t>
        </is>
      </c>
      <c r="E52" t="inlineStr">
        <is>
          <t>SURAHAMMAR</t>
        </is>
      </c>
      <c r="G52" t="n">
        <v>3</v>
      </c>
      <c r="H52" t="n">
        <v>1</v>
      </c>
      <c r="I52" t="n">
        <v>1</v>
      </c>
      <c r="J52" t="n">
        <v>0</v>
      </c>
      <c r="K52" t="n">
        <v>1</v>
      </c>
      <c r="L52" t="n">
        <v>0</v>
      </c>
      <c r="M52" t="n">
        <v>0</v>
      </c>
      <c r="N52" t="n">
        <v>0</v>
      </c>
      <c r="O52" t="n">
        <v>1</v>
      </c>
      <c r="P52" t="n">
        <v>1</v>
      </c>
      <c r="Q52" t="n">
        <v>2</v>
      </c>
      <c r="R52" s="2" t="inlineStr">
        <is>
          <t>Knärot
Vedticka</t>
        </is>
      </c>
      <c r="S52">
        <f>HYPERLINK("https://klasma.github.io/Logging_1907/artfynd/A 7845-2022 artfynd.xlsx", "A 7845-2022")</f>
        <v/>
      </c>
      <c r="T52">
        <f>HYPERLINK("https://klasma.github.io/Logging_1907/kartor/A 7845-2022 karta.png", "A 7845-2022")</f>
        <v/>
      </c>
      <c r="U52">
        <f>HYPERLINK("https://klasma.github.io/Logging_1907/knärot/A 7845-2022 karta knärot.png", "A 7845-2022")</f>
        <v/>
      </c>
      <c r="V52">
        <f>HYPERLINK("https://klasma.github.io/Logging_1907/klagomål/A 7845-2022 FSC-klagomål.docx", "A 7845-2022")</f>
        <v/>
      </c>
      <c r="W52">
        <f>HYPERLINK("https://klasma.github.io/Logging_1907/klagomålsmail/A 7845-2022 FSC-klagomål mail.docx", "A 7845-2022")</f>
        <v/>
      </c>
      <c r="X52">
        <f>HYPERLINK("https://klasma.github.io/Logging_1907/tillsyn/A 7845-2022 tillsynsbegäran.docx", "A 7845-2022")</f>
        <v/>
      </c>
      <c r="Y52">
        <f>HYPERLINK("https://klasma.github.io/Logging_1907/tillsynsmail/A 7845-2022 tillsynsbegäran mail.docx", "A 7845-2022")</f>
        <v/>
      </c>
    </row>
    <row r="53" ht="15" customHeight="1">
      <c r="A53" t="inlineStr">
        <is>
          <t>A 16217-2023</t>
        </is>
      </c>
      <c r="B53" s="1" t="n">
        <v>45022</v>
      </c>
      <c r="C53" s="1" t="n">
        <v>45565</v>
      </c>
      <c r="D53" t="inlineStr">
        <is>
          <t>VÄSTMANLANDS LÄN</t>
        </is>
      </c>
      <c r="E53" t="inlineStr">
        <is>
          <t>SURAHAMMAR</t>
        </is>
      </c>
      <c r="G53" t="n">
        <v>2.6</v>
      </c>
      <c r="H53" t="n">
        <v>1</v>
      </c>
      <c r="I53" t="n">
        <v>1</v>
      </c>
      <c r="J53" t="n">
        <v>1</v>
      </c>
      <c r="K53" t="n">
        <v>0</v>
      </c>
      <c r="L53" t="n">
        <v>0</v>
      </c>
      <c r="M53" t="n">
        <v>0</v>
      </c>
      <c r="N53" t="n">
        <v>0</v>
      </c>
      <c r="O53" t="n">
        <v>1</v>
      </c>
      <c r="P53" t="n">
        <v>0</v>
      </c>
      <c r="Q53" t="n">
        <v>2</v>
      </c>
      <c r="R53" s="2" t="inlineStr">
        <is>
          <t>Tretåig hackspett
Gullgröppa</t>
        </is>
      </c>
      <c r="S53">
        <f>HYPERLINK("https://klasma.github.io/Logging_1907/artfynd/A 16217-2023 artfynd.xlsx", "A 16217-2023")</f>
        <v/>
      </c>
      <c r="T53">
        <f>HYPERLINK("https://klasma.github.io/Logging_1907/kartor/A 16217-2023 karta.png", "A 16217-2023")</f>
        <v/>
      </c>
      <c r="V53">
        <f>HYPERLINK("https://klasma.github.io/Logging_1907/klagomål/A 16217-2023 FSC-klagomål.docx", "A 16217-2023")</f>
        <v/>
      </c>
      <c r="W53">
        <f>HYPERLINK("https://klasma.github.io/Logging_1907/klagomålsmail/A 16217-2023 FSC-klagomål mail.docx", "A 16217-2023")</f>
        <v/>
      </c>
      <c r="X53">
        <f>HYPERLINK("https://klasma.github.io/Logging_1907/tillsyn/A 16217-2023 tillsynsbegäran.docx", "A 16217-2023")</f>
        <v/>
      </c>
      <c r="Y53">
        <f>HYPERLINK("https://klasma.github.io/Logging_1907/tillsynsmail/A 16217-2023 tillsynsbegäran mail.docx", "A 16217-2023")</f>
        <v/>
      </c>
      <c r="Z53">
        <f>HYPERLINK("https://klasma.github.io/Logging_1907/fåglar/A 16217-2023 prioriterade fågelarter.docx", "A 16217-2023")</f>
        <v/>
      </c>
    </row>
    <row r="54" ht="15" customHeight="1">
      <c r="A54" t="inlineStr">
        <is>
          <t>A 23734-2023</t>
        </is>
      </c>
      <c r="B54" s="1" t="n">
        <v>45077</v>
      </c>
      <c r="C54" s="1" t="n">
        <v>45565</v>
      </c>
      <c r="D54" t="inlineStr">
        <is>
          <t>VÄSTMANLANDS LÄN</t>
        </is>
      </c>
      <c r="E54" t="inlineStr">
        <is>
          <t>SURAHAMMAR</t>
        </is>
      </c>
      <c r="F54" t="inlineStr">
        <is>
          <t>Sveaskog</t>
        </is>
      </c>
      <c r="G54" t="n">
        <v>6.7</v>
      </c>
      <c r="H54" t="n">
        <v>0</v>
      </c>
      <c r="I54" t="n">
        <v>0</v>
      </c>
      <c r="J54" t="n">
        <v>1</v>
      </c>
      <c r="K54" t="n">
        <v>1</v>
      </c>
      <c r="L54" t="n">
        <v>0</v>
      </c>
      <c r="M54" t="n">
        <v>0</v>
      </c>
      <c r="N54" t="n">
        <v>0</v>
      </c>
      <c r="O54" t="n">
        <v>2</v>
      </c>
      <c r="P54" t="n">
        <v>1</v>
      </c>
      <c r="Q54" t="n">
        <v>2</v>
      </c>
      <c r="R54" s="2" t="inlineStr">
        <is>
          <t>Hängticka
Kandelabersvamp</t>
        </is>
      </c>
      <c r="S54">
        <f>HYPERLINK("https://klasma.github.io/Logging_1907/artfynd/A 23734-2023 artfynd.xlsx", "A 23734-2023")</f>
        <v/>
      </c>
      <c r="T54">
        <f>HYPERLINK("https://klasma.github.io/Logging_1907/kartor/A 23734-2023 karta.png", "A 23734-2023")</f>
        <v/>
      </c>
      <c r="V54">
        <f>HYPERLINK("https://klasma.github.io/Logging_1907/klagomål/A 23734-2023 FSC-klagomål.docx", "A 23734-2023")</f>
        <v/>
      </c>
      <c r="W54">
        <f>HYPERLINK("https://klasma.github.io/Logging_1907/klagomålsmail/A 23734-2023 FSC-klagomål mail.docx", "A 23734-2023")</f>
        <v/>
      </c>
      <c r="X54">
        <f>HYPERLINK("https://klasma.github.io/Logging_1907/tillsyn/A 23734-2023 tillsynsbegäran.docx", "A 23734-2023")</f>
        <v/>
      </c>
      <c r="Y54">
        <f>HYPERLINK("https://klasma.github.io/Logging_1907/tillsynsmail/A 23734-2023 tillsynsbegäran mail.docx", "A 23734-2023")</f>
        <v/>
      </c>
    </row>
    <row r="55" ht="15" customHeight="1">
      <c r="A55" t="inlineStr">
        <is>
          <t>A 28043-2023</t>
        </is>
      </c>
      <c r="B55" s="1" t="n">
        <v>45099</v>
      </c>
      <c r="C55" s="1" t="n">
        <v>45565</v>
      </c>
      <c r="D55" t="inlineStr">
        <is>
          <t>VÄSTMANLANDS LÄN</t>
        </is>
      </c>
      <c r="E55" t="inlineStr">
        <is>
          <t>SURAHAMMAR</t>
        </is>
      </c>
      <c r="F55" t="inlineStr">
        <is>
          <t>Allmännings- och besparingsskogar</t>
        </is>
      </c>
      <c r="G55" t="n">
        <v>23.9</v>
      </c>
      <c r="H55" t="n">
        <v>1</v>
      </c>
      <c r="I55" t="n">
        <v>0</v>
      </c>
      <c r="J55" t="n">
        <v>1</v>
      </c>
      <c r="K55" t="n">
        <v>0</v>
      </c>
      <c r="L55" t="n">
        <v>0</v>
      </c>
      <c r="M55" t="n">
        <v>0</v>
      </c>
      <c r="N55" t="n">
        <v>0</v>
      </c>
      <c r="O55" t="n">
        <v>1</v>
      </c>
      <c r="P55" t="n">
        <v>0</v>
      </c>
      <c r="Q55" t="n">
        <v>2</v>
      </c>
      <c r="R55" s="2" t="inlineStr">
        <is>
          <t>Gropticka
Revlummer</t>
        </is>
      </c>
      <c r="S55">
        <f>HYPERLINK("https://klasma.github.io/Logging_1907/artfynd/A 28043-2023 artfynd.xlsx", "A 28043-2023")</f>
        <v/>
      </c>
      <c r="T55">
        <f>HYPERLINK("https://klasma.github.io/Logging_1907/kartor/A 28043-2023 karta.png", "A 28043-2023")</f>
        <v/>
      </c>
      <c r="V55">
        <f>HYPERLINK("https://klasma.github.io/Logging_1907/klagomål/A 28043-2023 FSC-klagomål.docx", "A 28043-2023")</f>
        <v/>
      </c>
      <c r="W55">
        <f>HYPERLINK("https://klasma.github.io/Logging_1907/klagomålsmail/A 28043-2023 FSC-klagomål mail.docx", "A 28043-2023")</f>
        <v/>
      </c>
      <c r="X55">
        <f>HYPERLINK("https://klasma.github.io/Logging_1907/tillsyn/A 28043-2023 tillsynsbegäran.docx", "A 28043-2023")</f>
        <v/>
      </c>
      <c r="Y55">
        <f>HYPERLINK("https://klasma.github.io/Logging_1907/tillsynsmail/A 28043-2023 tillsynsbegäran mail.docx", "A 28043-2023")</f>
        <v/>
      </c>
    </row>
    <row r="56" ht="15" customHeight="1">
      <c r="A56" t="inlineStr">
        <is>
          <t>A 41204-2023</t>
        </is>
      </c>
      <c r="B56" s="1" t="n">
        <v>45174</v>
      </c>
      <c r="C56" s="1" t="n">
        <v>45565</v>
      </c>
      <c r="D56" t="inlineStr">
        <is>
          <t>VÄSTMANLANDS LÄN</t>
        </is>
      </c>
      <c r="E56" t="inlineStr">
        <is>
          <t>SURAHAMMAR</t>
        </is>
      </c>
      <c r="G56" t="n">
        <v>1</v>
      </c>
      <c r="H56" t="n">
        <v>1</v>
      </c>
      <c r="I56" t="n">
        <v>0</v>
      </c>
      <c r="J56" t="n">
        <v>1</v>
      </c>
      <c r="K56" t="n">
        <v>1</v>
      </c>
      <c r="L56" t="n">
        <v>0</v>
      </c>
      <c r="M56" t="n">
        <v>0</v>
      </c>
      <c r="N56" t="n">
        <v>0</v>
      </c>
      <c r="O56" t="n">
        <v>2</v>
      </c>
      <c r="P56" t="n">
        <v>1</v>
      </c>
      <c r="Q56" t="n">
        <v>2</v>
      </c>
      <c r="R56" s="2" t="inlineStr">
        <is>
          <t>Knärot
Vedtrappmossa</t>
        </is>
      </c>
      <c r="S56">
        <f>HYPERLINK("https://klasma.github.io/Logging_1907/artfynd/A 41204-2023 artfynd.xlsx", "A 41204-2023")</f>
        <v/>
      </c>
      <c r="T56">
        <f>HYPERLINK("https://klasma.github.io/Logging_1907/kartor/A 41204-2023 karta.png", "A 41204-2023")</f>
        <v/>
      </c>
      <c r="U56">
        <f>HYPERLINK("https://klasma.github.io/Logging_1907/knärot/A 41204-2023 karta knärot.png", "A 41204-2023")</f>
        <v/>
      </c>
      <c r="V56">
        <f>HYPERLINK("https://klasma.github.io/Logging_1907/klagomål/A 41204-2023 FSC-klagomål.docx", "A 41204-2023")</f>
        <v/>
      </c>
      <c r="W56">
        <f>HYPERLINK("https://klasma.github.io/Logging_1907/klagomålsmail/A 41204-2023 FSC-klagomål mail.docx", "A 41204-2023")</f>
        <v/>
      </c>
      <c r="X56">
        <f>HYPERLINK("https://klasma.github.io/Logging_1907/tillsyn/A 41204-2023 tillsynsbegäran.docx", "A 41204-2023")</f>
        <v/>
      </c>
      <c r="Y56">
        <f>HYPERLINK("https://klasma.github.io/Logging_1907/tillsynsmail/A 41204-2023 tillsynsbegäran mail.docx", "A 41204-2023")</f>
        <v/>
      </c>
    </row>
    <row r="57" ht="15" customHeight="1">
      <c r="A57" t="inlineStr">
        <is>
          <t>A 7796-2024</t>
        </is>
      </c>
      <c r="B57" s="1" t="n">
        <v>45348</v>
      </c>
      <c r="C57" s="1" t="n">
        <v>45565</v>
      </c>
      <c r="D57" t="inlineStr">
        <is>
          <t>VÄSTMANLANDS LÄN</t>
        </is>
      </c>
      <c r="E57" t="inlineStr">
        <is>
          <t>SURAHAMMAR</t>
        </is>
      </c>
      <c r="G57" t="n">
        <v>10.5</v>
      </c>
      <c r="H57" t="n">
        <v>1</v>
      </c>
      <c r="I57" t="n">
        <v>1</v>
      </c>
      <c r="J57" t="n">
        <v>1</v>
      </c>
      <c r="K57" t="n">
        <v>0</v>
      </c>
      <c r="L57" t="n">
        <v>0</v>
      </c>
      <c r="M57" t="n">
        <v>0</v>
      </c>
      <c r="N57" t="n">
        <v>0</v>
      </c>
      <c r="O57" t="n">
        <v>1</v>
      </c>
      <c r="P57" t="n">
        <v>0</v>
      </c>
      <c r="Q57" t="n">
        <v>2</v>
      </c>
      <c r="R57" s="2" t="inlineStr">
        <is>
          <t>Ullticka
Plattlummer</t>
        </is>
      </c>
      <c r="S57">
        <f>HYPERLINK("https://klasma.github.io/Logging_1907/artfynd/A 7796-2024 artfynd.xlsx", "A 7796-2024")</f>
        <v/>
      </c>
      <c r="T57">
        <f>HYPERLINK("https://klasma.github.io/Logging_1907/kartor/A 7796-2024 karta.png", "A 7796-2024")</f>
        <v/>
      </c>
      <c r="V57">
        <f>HYPERLINK("https://klasma.github.io/Logging_1907/klagomål/A 7796-2024 FSC-klagomål.docx", "A 7796-2024")</f>
        <v/>
      </c>
      <c r="W57">
        <f>HYPERLINK("https://klasma.github.io/Logging_1907/klagomålsmail/A 7796-2024 FSC-klagomål mail.docx", "A 7796-2024")</f>
        <v/>
      </c>
      <c r="X57">
        <f>HYPERLINK("https://klasma.github.io/Logging_1907/tillsyn/A 7796-2024 tillsynsbegäran.docx", "A 7796-2024")</f>
        <v/>
      </c>
      <c r="Y57">
        <f>HYPERLINK("https://klasma.github.io/Logging_1907/tillsynsmail/A 7796-2024 tillsynsbegäran mail.docx", "A 7796-2024")</f>
        <v/>
      </c>
    </row>
    <row r="58" ht="15" customHeight="1">
      <c r="A58" t="inlineStr">
        <is>
          <t>A 19120-2024</t>
        </is>
      </c>
      <c r="B58" s="1" t="n">
        <v>45428</v>
      </c>
      <c r="C58" s="1" t="n">
        <v>45565</v>
      </c>
      <c r="D58" t="inlineStr">
        <is>
          <t>VÄSTMANLANDS LÄN</t>
        </is>
      </c>
      <c r="E58" t="inlineStr">
        <is>
          <t>SURAHAMMAR</t>
        </is>
      </c>
      <c r="F58" t="inlineStr">
        <is>
          <t>Allmännings- och besparingsskogar</t>
        </is>
      </c>
      <c r="G58" t="n">
        <v>17.5</v>
      </c>
      <c r="H58" t="n">
        <v>0</v>
      </c>
      <c r="I58" t="n">
        <v>1</v>
      </c>
      <c r="J58" t="n">
        <v>1</v>
      </c>
      <c r="K58" t="n">
        <v>0</v>
      </c>
      <c r="L58" t="n">
        <v>0</v>
      </c>
      <c r="M58" t="n">
        <v>0</v>
      </c>
      <c r="N58" t="n">
        <v>0</v>
      </c>
      <c r="O58" t="n">
        <v>1</v>
      </c>
      <c r="P58" t="n">
        <v>0</v>
      </c>
      <c r="Q58" t="n">
        <v>2</v>
      </c>
      <c r="R58" s="2" t="inlineStr">
        <is>
          <t>Tallticka
Vedticka</t>
        </is>
      </c>
      <c r="S58">
        <f>HYPERLINK("https://klasma.github.io/Logging_1907/artfynd/A 19120-2024 artfynd.xlsx", "A 19120-2024")</f>
        <v/>
      </c>
      <c r="T58">
        <f>HYPERLINK("https://klasma.github.io/Logging_1907/kartor/A 19120-2024 karta.png", "A 19120-2024")</f>
        <v/>
      </c>
      <c r="V58">
        <f>HYPERLINK("https://klasma.github.io/Logging_1907/klagomål/A 19120-2024 FSC-klagomål.docx", "A 19120-2024")</f>
        <v/>
      </c>
      <c r="W58">
        <f>HYPERLINK("https://klasma.github.io/Logging_1907/klagomålsmail/A 19120-2024 FSC-klagomål mail.docx", "A 19120-2024")</f>
        <v/>
      </c>
      <c r="X58">
        <f>HYPERLINK("https://klasma.github.io/Logging_1907/tillsyn/A 19120-2024 tillsynsbegäran.docx", "A 19120-2024")</f>
        <v/>
      </c>
      <c r="Y58">
        <f>HYPERLINK("https://klasma.github.io/Logging_1907/tillsynsmail/A 19120-2024 tillsynsbegäran mail.docx", "A 19120-2024")</f>
        <v/>
      </c>
    </row>
    <row r="59" ht="15" customHeight="1">
      <c r="A59" t="inlineStr">
        <is>
          <t>A 24538-2024</t>
        </is>
      </c>
      <c r="B59" s="1" t="n">
        <v>45460</v>
      </c>
      <c r="C59" s="1" t="n">
        <v>45565</v>
      </c>
      <c r="D59" t="inlineStr">
        <is>
          <t>VÄSTMANLANDS LÄN</t>
        </is>
      </c>
      <c r="E59" t="inlineStr">
        <is>
          <t>SURAHAMMAR</t>
        </is>
      </c>
      <c r="G59" t="n">
        <v>2.5</v>
      </c>
      <c r="H59" t="n">
        <v>1</v>
      </c>
      <c r="I59" t="n">
        <v>1</v>
      </c>
      <c r="J59" t="n">
        <v>0</v>
      </c>
      <c r="K59" t="n">
        <v>1</v>
      </c>
      <c r="L59" t="n">
        <v>0</v>
      </c>
      <c r="M59" t="n">
        <v>0</v>
      </c>
      <c r="N59" t="n">
        <v>0</v>
      </c>
      <c r="O59" t="n">
        <v>1</v>
      </c>
      <c r="P59" t="n">
        <v>1</v>
      </c>
      <c r="Q59" t="n">
        <v>2</v>
      </c>
      <c r="R59" s="2" t="inlineStr">
        <is>
          <t>Knärot
Vedticka</t>
        </is>
      </c>
      <c r="S59">
        <f>HYPERLINK("https://klasma.github.io/Logging_1907/artfynd/A 24538-2024 artfynd.xlsx", "A 24538-2024")</f>
        <v/>
      </c>
      <c r="T59">
        <f>HYPERLINK("https://klasma.github.io/Logging_1907/kartor/A 24538-2024 karta.png", "A 24538-2024")</f>
        <v/>
      </c>
      <c r="U59">
        <f>HYPERLINK("https://klasma.github.io/Logging_1907/knärot/A 24538-2024 karta knärot.png", "A 24538-2024")</f>
        <v/>
      </c>
      <c r="V59">
        <f>HYPERLINK("https://klasma.github.io/Logging_1907/klagomål/A 24538-2024 FSC-klagomål.docx", "A 24538-2024")</f>
        <v/>
      </c>
      <c r="W59">
        <f>HYPERLINK("https://klasma.github.io/Logging_1907/klagomålsmail/A 24538-2024 FSC-klagomål mail.docx", "A 24538-2024")</f>
        <v/>
      </c>
      <c r="X59">
        <f>HYPERLINK("https://klasma.github.io/Logging_1907/tillsyn/A 24538-2024 tillsynsbegäran.docx", "A 24538-2024")</f>
        <v/>
      </c>
      <c r="Y59">
        <f>HYPERLINK("https://klasma.github.io/Logging_1907/tillsynsmail/A 24538-2024 tillsynsbegäran mail.docx", "A 24538-2024")</f>
        <v/>
      </c>
    </row>
    <row r="60" ht="15" customHeight="1">
      <c r="A60" t="inlineStr">
        <is>
          <t>A 34028-2024</t>
        </is>
      </c>
      <c r="B60" s="1" t="n">
        <v>45523</v>
      </c>
      <c r="C60" s="1" t="n">
        <v>45565</v>
      </c>
      <c r="D60" t="inlineStr">
        <is>
          <t>VÄSTMANLANDS LÄN</t>
        </is>
      </c>
      <c r="E60" t="inlineStr">
        <is>
          <t>SURAHAMMAR</t>
        </is>
      </c>
      <c r="F60" t="inlineStr">
        <is>
          <t>Övriga Aktiebolag</t>
        </is>
      </c>
      <c r="G60" t="n">
        <v>16.4</v>
      </c>
      <c r="H60" t="n">
        <v>1</v>
      </c>
      <c r="I60" t="n">
        <v>1</v>
      </c>
      <c r="J60" t="n">
        <v>0</v>
      </c>
      <c r="K60" t="n">
        <v>0</v>
      </c>
      <c r="L60" t="n">
        <v>0</v>
      </c>
      <c r="M60" t="n">
        <v>0</v>
      </c>
      <c r="N60" t="n">
        <v>0</v>
      </c>
      <c r="O60" t="n">
        <v>0</v>
      </c>
      <c r="P60" t="n">
        <v>0</v>
      </c>
      <c r="Q60" t="n">
        <v>2</v>
      </c>
      <c r="R60" s="2" t="inlineStr">
        <is>
          <t>Mindre märgborre
Tjäder</t>
        </is>
      </c>
      <c r="S60">
        <f>HYPERLINK("https://klasma.github.io/Logging_1907/artfynd/A 34028-2024 artfynd.xlsx", "A 34028-2024")</f>
        <v/>
      </c>
      <c r="T60">
        <f>HYPERLINK("https://klasma.github.io/Logging_1907/kartor/A 34028-2024 karta.png", "A 34028-2024")</f>
        <v/>
      </c>
      <c r="V60">
        <f>HYPERLINK("https://klasma.github.io/Logging_1907/klagomål/A 34028-2024 FSC-klagomål.docx", "A 34028-2024")</f>
        <v/>
      </c>
      <c r="W60">
        <f>HYPERLINK("https://klasma.github.io/Logging_1907/klagomålsmail/A 34028-2024 FSC-klagomål mail.docx", "A 34028-2024")</f>
        <v/>
      </c>
      <c r="X60">
        <f>HYPERLINK("https://klasma.github.io/Logging_1907/tillsyn/A 34028-2024 tillsynsbegäran.docx", "A 34028-2024")</f>
        <v/>
      </c>
      <c r="Y60">
        <f>HYPERLINK("https://klasma.github.io/Logging_1907/tillsynsmail/A 34028-2024 tillsynsbegäran mail.docx", "A 34028-2024")</f>
        <v/>
      </c>
      <c r="Z60">
        <f>HYPERLINK("https://klasma.github.io/Logging_1907/fåglar/A 34028-2024 prioriterade fågelarter.docx", "A 34028-2024")</f>
        <v/>
      </c>
    </row>
    <row r="61" ht="15" customHeight="1">
      <c r="A61" t="inlineStr">
        <is>
          <t>A 18948-2019</t>
        </is>
      </c>
      <c r="B61" s="1" t="n">
        <v>43563</v>
      </c>
      <c r="C61" s="1" t="n">
        <v>45565</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45565</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45565</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45565</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45565</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45565</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45565</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45565</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45565</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45565</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45565</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45565</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45565</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45565</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45565</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45565</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45565</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45565</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45565</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45565</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45565</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45565</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45565</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45565</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45565</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45565</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45565</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45565</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45565</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45565</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45565</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45565</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45565</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45565</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45565</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17946-2019</t>
        </is>
      </c>
      <c r="B96" s="1" t="n">
        <v>43557</v>
      </c>
      <c r="C96" s="1" t="n">
        <v>45565</v>
      </c>
      <c r="D96" t="inlineStr">
        <is>
          <t>VÄSTMANLANDS LÄN</t>
        </is>
      </c>
      <c r="E96" t="inlineStr">
        <is>
          <t>SURAHAMMAR</t>
        </is>
      </c>
      <c r="G96" t="n">
        <v>9.9</v>
      </c>
      <c r="H96" t="n">
        <v>0</v>
      </c>
      <c r="I96" t="n">
        <v>0</v>
      </c>
      <c r="J96" t="n">
        <v>0</v>
      </c>
      <c r="K96" t="n">
        <v>0</v>
      </c>
      <c r="L96" t="n">
        <v>0</v>
      </c>
      <c r="M96" t="n">
        <v>0</v>
      </c>
      <c r="N96" t="n">
        <v>0</v>
      </c>
      <c r="O96" t="n">
        <v>0</v>
      </c>
      <c r="P96" t="n">
        <v>0</v>
      </c>
      <c r="Q96" t="n">
        <v>0</v>
      </c>
      <c r="R96" s="2" t="inlineStr"/>
    </row>
    <row r="97" ht="15" customHeight="1">
      <c r="A97" t="inlineStr">
        <is>
          <t>A 18953-2019</t>
        </is>
      </c>
      <c r="B97" s="1" t="n">
        <v>43563</v>
      </c>
      <c r="C97" s="1" t="n">
        <v>45565</v>
      </c>
      <c r="D97" t="inlineStr">
        <is>
          <t>VÄSTMANLANDS LÄN</t>
        </is>
      </c>
      <c r="E97" t="inlineStr">
        <is>
          <t>SURAHAMMAR</t>
        </is>
      </c>
      <c r="F97" t="inlineStr">
        <is>
          <t>Övriga Aktiebolag</t>
        </is>
      </c>
      <c r="G97" t="n">
        <v>2.2</v>
      </c>
      <c r="H97" t="n">
        <v>0</v>
      </c>
      <c r="I97" t="n">
        <v>0</v>
      </c>
      <c r="J97" t="n">
        <v>0</v>
      </c>
      <c r="K97" t="n">
        <v>0</v>
      </c>
      <c r="L97" t="n">
        <v>0</v>
      </c>
      <c r="M97" t="n">
        <v>0</v>
      </c>
      <c r="N97" t="n">
        <v>0</v>
      </c>
      <c r="O97" t="n">
        <v>0</v>
      </c>
      <c r="P97" t="n">
        <v>0</v>
      </c>
      <c r="Q97" t="n">
        <v>0</v>
      </c>
      <c r="R97" s="2" t="inlineStr"/>
    </row>
    <row r="98" ht="15" customHeight="1">
      <c r="A98" t="inlineStr">
        <is>
          <t>A 18960-2019</t>
        </is>
      </c>
      <c r="B98" s="1" t="n">
        <v>43563</v>
      </c>
      <c r="C98" s="1" t="n">
        <v>45565</v>
      </c>
      <c r="D98" t="inlineStr">
        <is>
          <t>VÄSTMANLANDS LÄN</t>
        </is>
      </c>
      <c r="E98" t="inlineStr">
        <is>
          <t>SURAHAMMAR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19659-2019</t>
        </is>
      </c>
      <c r="B99" s="1" t="n">
        <v>43566</v>
      </c>
      <c r="C99" s="1" t="n">
        <v>45565</v>
      </c>
      <c r="D99" t="inlineStr">
        <is>
          <t>VÄSTMANLANDS LÄN</t>
        </is>
      </c>
      <c r="E99" t="inlineStr">
        <is>
          <t>SURAHAMMAR</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20127-2019</t>
        </is>
      </c>
      <c r="B100" s="1" t="n">
        <v>43570</v>
      </c>
      <c r="C100" s="1" t="n">
        <v>45565</v>
      </c>
      <c r="D100" t="inlineStr">
        <is>
          <t>VÄSTMANLANDS LÄN</t>
        </is>
      </c>
      <c r="E100" t="inlineStr">
        <is>
          <t>SURAHAMMAR</t>
        </is>
      </c>
      <c r="G100" t="n">
        <v>2.6</v>
      </c>
      <c r="H100" t="n">
        <v>0</v>
      </c>
      <c r="I100" t="n">
        <v>0</v>
      </c>
      <c r="J100" t="n">
        <v>0</v>
      </c>
      <c r="K100" t="n">
        <v>0</v>
      </c>
      <c r="L100" t="n">
        <v>0</v>
      </c>
      <c r="M100" t="n">
        <v>0</v>
      </c>
      <c r="N100" t="n">
        <v>0</v>
      </c>
      <c r="O100" t="n">
        <v>0</v>
      </c>
      <c r="P100" t="n">
        <v>0</v>
      </c>
      <c r="Q100" t="n">
        <v>0</v>
      </c>
      <c r="R100" s="2" t="inlineStr"/>
    </row>
    <row r="101" ht="15" customHeight="1">
      <c r="A101" t="inlineStr">
        <is>
          <t>A 20904-2019</t>
        </is>
      </c>
      <c r="B101" s="1" t="n">
        <v>43578</v>
      </c>
      <c r="C101" s="1" t="n">
        <v>45565</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22834-2019</t>
        </is>
      </c>
      <c r="B102" s="1" t="n">
        <v>43591</v>
      </c>
      <c r="C102" s="1" t="n">
        <v>45565</v>
      </c>
      <c r="D102" t="inlineStr">
        <is>
          <t>VÄSTMANLANDS LÄN</t>
        </is>
      </c>
      <c r="E102" t="inlineStr">
        <is>
          <t>SURAHAMMAR</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28274-2019</t>
        </is>
      </c>
      <c r="B103" s="1" t="n">
        <v>43623</v>
      </c>
      <c r="C103" s="1" t="n">
        <v>45565</v>
      </c>
      <c r="D103" t="inlineStr">
        <is>
          <t>VÄSTMANLANDS LÄN</t>
        </is>
      </c>
      <c r="E103" t="inlineStr">
        <is>
          <t>SURAHAMMAR</t>
        </is>
      </c>
      <c r="F103" t="inlineStr">
        <is>
          <t>Allmännings- och besparingsskogar</t>
        </is>
      </c>
      <c r="G103" t="n">
        <v>0.7</v>
      </c>
      <c r="H103" t="n">
        <v>0</v>
      </c>
      <c r="I103" t="n">
        <v>0</v>
      </c>
      <c r="J103" t="n">
        <v>0</v>
      </c>
      <c r="K103" t="n">
        <v>0</v>
      </c>
      <c r="L103" t="n">
        <v>0</v>
      </c>
      <c r="M103" t="n">
        <v>0</v>
      </c>
      <c r="N103" t="n">
        <v>0</v>
      </c>
      <c r="O103" t="n">
        <v>0</v>
      </c>
      <c r="P103" t="n">
        <v>0</v>
      </c>
      <c r="Q103" t="n">
        <v>0</v>
      </c>
      <c r="R103" s="2" t="inlineStr"/>
    </row>
    <row r="104" ht="15" customHeight="1">
      <c r="A104" t="inlineStr">
        <is>
          <t>A 29523-2019</t>
        </is>
      </c>
      <c r="B104" s="1" t="n">
        <v>43630</v>
      </c>
      <c r="C104" s="1" t="n">
        <v>45565</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31008-2019</t>
        </is>
      </c>
      <c r="B105" s="1" t="n">
        <v>43640</v>
      </c>
      <c r="C105" s="1" t="n">
        <v>45565</v>
      </c>
      <c r="D105" t="inlineStr">
        <is>
          <t>VÄSTMANLANDS LÄN</t>
        </is>
      </c>
      <c r="E105" t="inlineStr">
        <is>
          <t>SURAHAMMAR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39552-2019</t>
        </is>
      </c>
      <c r="B106" s="1" t="n">
        <v>43691</v>
      </c>
      <c r="C106" s="1" t="n">
        <v>45565</v>
      </c>
      <c r="D106" t="inlineStr">
        <is>
          <t>VÄSTMANLANDS LÄN</t>
        </is>
      </c>
      <c r="E106" t="inlineStr">
        <is>
          <t>SURAHAMMAR</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39754-2019</t>
        </is>
      </c>
      <c r="B107" s="1" t="n">
        <v>43692</v>
      </c>
      <c r="C107" s="1" t="n">
        <v>45565</v>
      </c>
      <c r="D107" t="inlineStr">
        <is>
          <t>VÄSTMANLANDS LÄN</t>
        </is>
      </c>
      <c r="E107" t="inlineStr">
        <is>
          <t>SURAHAMMAR</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40191-2019</t>
        </is>
      </c>
      <c r="B108" s="1" t="n">
        <v>43693</v>
      </c>
      <c r="C108" s="1" t="n">
        <v>45565</v>
      </c>
      <c r="D108" t="inlineStr">
        <is>
          <t>VÄSTMANLANDS LÄN</t>
        </is>
      </c>
      <c r="E108" t="inlineStr">
        <is>
          <t>SURAHAMMAR</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60343-2019</t>
        </is>
      </c>
      <c r="B109" s="1" t="n">
        <v>43780</v>
      </c>
      <c r="C109" s="1" t="n">
        <v>45565</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64772-2019</t>
        </is>
      </c>
      <c r="B110" s="1" t="n">
        <v>43801</v>
      </c>
      <c r="C110" s="1" t="n">
        <v>45565</v>
      </c>
      <c r="D110" t="inlineStr">
        <is>
          <t>VÄSTMANLANDS LÄN</t>
        </is>
      </c>
      <c r="E110" t="inlineStr">
        <is>
          <t>SURAHAMMAR</t>
        </is>
      </c>
      <c r="F110" t="inlineStr">
        <is>
          <t>Övriga Aktiebolag</t>
        </is>
      </c>
      <c r="G110" t="n">
        <v>7</v>
      </c>
      <c r="H110" t="n">
        <v>0</v>
      </c>
      <c r="I110" t="n">
        <v>0</v>
      </c>
      <c r="J110" t="n">
        <v>0</v>
      </c>
      <c r="K110" t="n">
        <v>0</v>
      </c>
      <c r="L110" t="n">
        <v>0</v>
      </c>
      <c r="M110" t="n">
        <v>0</v>
      </c>
      <c r="N110" t="n">
        <v>0</v>
      </c>
      <c r="O110" t="n">
        <v>0</v>
      </c>
      <c r="P110" t="n">
        <v>0</v>
      </c>
      <c r="Q110" t="n">
        <v>0</v>
      </c>
      <c r="R110" s="2" t="inlineStr"/>
    </row>
    <row r="111" ht="15" customHeight="1">
      <c r="A111" t="inlineStr">
        <is>
          <t>A 66269-2019</t>
        </is>
      </c>
      <c r="B111" s="1" t="n">
        <v>43802</v>
      </c>
      <c r="C111" s="1" t="n">
        <v>45565</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65619-2019</t>
        </is>
      </c>
      <c r="B112" s="1" t="n">
        <v>43804</v>
      </c>
      <c r="C112" s="1" t="n">
        <v>45565</v>
      </c>
      <c r="D112" t="inlineStr">
        <is>
          <t>VÄSTMANLANDS LÄN</t>
        </is>
      </c>
      <c r="E112" t="inlineStr">
        <is>
          <t>SURAHAMMAR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2039-2020</t>
        </is>
      </c>
      <c r="B113" s="1" t="n">
        <v>43839</v>
      </c>
      <c r="C113" s="1" t="n">
        <v>45565</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5804-2020</t>
        </is>
      </c>
      <c r="B114" s="1" t="n">
        <v>43864</v>
      </c>
      <c r="C114" s="1" t="n">
        <v>45565</v>
      </c>
      <c r="D114" t="inlineStr">
        <is>
          <t>VÄSTMANLANDS LÄN</t>
        </is>
      </c>
      <c r="E114" t="inlineStr">
        <is>
          <t>SURAHAMMAR</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8608-2020</t>
        </is>
      </c>
      <c r="B115" s="1" t="n">
        <v>43878</v>
      </c>
      <c r="C115" s="1" t="n">
        <v>45565</v>
      </c>
      <c r="D115" t="inlineStr">
        <is>
          <t>VÄSTMANLANDS LÄN</t>
        </is>
      </c>
      <c r="E115" t="inlineStr">
        <is>
          <t>SURAHAMMAR</t>
        </is>
      </c>
      <c r="F115" t="inlineStr">
        <is>
          <t>Övriga Aktiebolag</t>
        </is>
      </c>
      <c r="G115" t="n">
        <v>20.2</v>
      </c>
      <c r="H115" t="n">
        <v>0</v>
      </c>
      <c r="I115" t="n">
        <v>0</v>
      </c>
      <c r="J115" t="n">
        <v>0</v>
      </c>
      <c r="K115" t="n">
        <v>0</v>
      </c>
      <c r="L115" t="n">
        <v>0</v>
      </c>
      <c r="M115" t="n">
        <v>0</v>
      </c>
      <c r="N115" t="n">
        <v>0</v>
      </c>
      <c r="O115" t="n">
        <v>0</v>
      </c>
      <c r="P115" t="n">
        <v>0</v>
      </c>
      <c r="Q115" t="n">
        <v>0</v>
      </c>
      <c r="R115" s="2" t="inlineStr"/>
    </row>
    <row r="116" ht="15" customHeight="1">
      <c r="A116" t="inlineStr">
        <is>
          <t>A 40660-2020</t>
        </is>
      </c>
      <c r="B116" s="1" t="n">
        <v>44069</v>
      </c>
      <c r="C116" s="1" t="n">
        <v>45565</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43171-2020</t>
        </is>
      </c>
      <c r="B117" s="1" t="n">
        <v>44081</v>
      </c>
      <c r="C117" s="1" t="n">
        <v>45565</v>
      </c>
      <c r="D117" t="inlineStr">
        <is>
          <t>VÄSTMANLANDS LÄN</t>
        </is>
      </c>
      <c r="E117" t="inlineStr">
        <is>
          <t>SURAHAMMAR</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43174-2020</t>
        </is>
      </c>
      <c r="B118" s="1" t="n">
        <v>44081</v>
      </c>
      <c r="C118" s="1" t="n">
        <v>45565</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43177-2020</t>
        </is>
      </c>
      <c r="B119" s="1" t="n">
        <v>44081</v>
      </c>
      <c r="C119" s="1" t="n">
        <v>45565</v>
      </c>
      <c r="D119" t="inlineStr">
        <is>
          <t>VÄSTMANLANDS LÄN</t>
        </is>
      </c>
      <c r="E119" t="inlineStr">
        <is>
          <t>SURAHAMMAR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43590-2020</t>
        </is>
      </c>
      <c r="B120" s="1" t="n">
        <v>44082</v>
      </c>
      <c r="C120" s="1" t="n">
        <v>45565</v>
      </c>
      <c r="D120" t="inlineStr">
        <is>
          <t>VÄSTMANLANDS LÄN</t>
        </is>
      </c>
      <c r="E120" t="inlineStr">
        <is>
          <t>SURAHAMMAR</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47997-2020</t>
        </is>
      </c>
      <c r="B121" s="1" t="n">
        <v>44099</v>
      </c>
      <c r="C121" s="1" t="n">
        <v>45565</v>
      </c>
      <c r="D121" t="inlineStr">
        <is>
          <t>VÄSTMANLANDS LÄN</t>
        </is>
      </c>
      <c r="E121" t="inlineStr">
        <is>
          <t>SURAHAMMAR</t>
        </is>
      </c>
      <c r="G121" t="n">
        <v>4.8</v>
      </c>
      <c r="H121" t="n">
        <v>0</v>
      </c>
      <c r="I121" t="n">
        <v>0</v>
      </c>
      <c r="J121" t="n">
        <v>0</v>
      </c>
      <c r="K121" t="n">
        <v>0</v>
      </c>
      <c r="L121" t="n">
        <v>0</v>
      </c>
      <c r="M121" t="n">
        <v>0</v>
      </c>
      <c r="N121" t="n">
        <v>0</v>
      </c>
      <c r="O121" t="n">
        <v>0</v>
      </c>
      <c r="P121" t="n">
        <v>0</v>
      </c>
      <c r="Q121" t="n">
        <v>0</v>
      </c>
      <c r="R121" s="2" t="inlineStr"/>
    </row>
    <row r="122" ht="15" customHeight="1">
      <c r="A122" t="inlineStr">
        <is>
          <t>A 52076-2020</t>
        </is>
      </c>
      <c r="B122" s="1" t="n">
        <v>44117</v>
      </c>
      <c r="C122" s="1" t="n">
        <v>45565</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52074-2020</t>
        </is>
      </c>
      <c r="B123" s="1" t="n">
        <v>44117</v>
      </c>
      <c r="C123" s="1" t="n">
        <v>45565</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54962-2020</t>
        </is>
      </c>
      <c r="B124" s="1" t="n">
        <v>44130</v>
      </c>
      <c r="C124" s="1" t="n">
        <v>45565</v>
      </c>
      <c r="D124" t="inlineStr">
        <is>
          <t>VÄSTMANLANDS LÄN</t>
        </is>
      </c>
      <c r="E124" t="inlineStr">
        <is>
          <t>SURAHAMMAR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55397-2020</t>
        </is>
      </c>
      <c r="B125" s="1" t="n">
        <v>44131</v>
      </c>
      <c r="C125" s="1" t="n">
        <v>45565</v>
      </c>
      <c r="D125" t="inlineStr">
        <is>
          <t>VÄSTMANLANDS LÄN</t>
        </is>
      </c>
      <c r="E125" t="inlineStr">
        <is>
          <t>SURAHAMMAR</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59543-2020</t>
        </is>
      </c>
      <c r="B126" s="1" t="n">
        <v>44148</v>
      </c>
      <c r="C126" s="1" t="n">
        <v>45565</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59740-2020</t>
        </is>
      </c>
      <c r="B127" s="1" t="n">
        <v>44151</v>
      </c>
      <c r="C127" s="1" t="n">
        <v>45565</v>
      </c>
      <c r="D127" t="inlineStr">
        <is>
          <t>VÄSTMANLANDS LÄN</t>
        </is>
      </c>
      <c r="E127" t="inlineStr">
        <is>
          <t>SURAHAMMAR</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59727-2020</t>
        </is>
      </c>
      <c r="B128" s="1" t="n">
        <v>44151</v>
      </c>
      <c r="C128" s="1" t="n">
        <v>45565</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1492-2021</t>
        </is>
      </c>
      <c r="B129" s="1" t="n">
        <v>44209</v>
      </c>
      <c r="C129" s="1" t="n">
        <v>45565</v>
      </c>
      <c r="D129" t="inlineStr">
        <is>
          <t>VÄSTMANLANDS LÄN</t>
        </is>
      </c>
      <c r="E129" t="inlineStr">
        <is>
          <t>SURAHAMMAR</t>
        </is>
      </c>
      <c r="G129" t="n">
        <v>1.2</v>
      </c>
      <c r="H129" t="n">
        <v>0</v>
      </c>
      <c r="I129" t="n">
        <v>0</v>
      </c>
      <c r="J129" t="n">
        <v>0</v>
      </c>
      <c r="K129" t="n">
        <v>0</v>
      </c>
      <c r="L129" t="n">
        <v>0</v>
      </c>
      <c r="M129" t="n">
        <v>0</v>
      </c>
      <c r="N129" t="n">
        <v>0</v>
      </c>
      <c r="O129" t="n">
        <v>0</v>
      </c>
      <c r="P129" t="n">
        <v>0</v>
      </c>
      <c r="Q129" t="n">
        <v>0</v>
      </c>
      <c r="R129" s="2" t="inlineStr"/>
    </row>
    <row r="130" ht="15" customHeight="1">
      <c r="A130" t="inlineStr">
        <is>
          <t>A 18723-2021</t>
        </is>
      </c>
      <c r="B130" s="1" t="n">
        <v>44306</v>
      </c>
      <c r="C130" s="1" t="n">
        <v>45565</v>
      </c>
      <c r="D130" t="inlineStr">
        <is>
          <t>VÄSTMANLANDS LÄN</t>
        </is>
      </c>
      <c r="E130" t="inlineStr">
        <is>
          <t>SURAHAMMAR</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20478-2021</t>
        </is>
      </c>
      <c r="B131" s="1" t="n">
        <v>44315</v>
      </c>
      <c r="C131" s="1" t="n">
        <v>45565</v>
      </c>
      <c r="D131" t="inlineStr">
        <is>
          <t>VÄSTMANLANDS LÄN</t>
        </is>
      </c>
      <c r="E131" t="inlineStr">
        <is>
          <t>SURAHAMMAR</t>
        </is>
      </c>
      <c r="F131" t="inlineStr">
        <is>
          <t>Sveaskog</t>
        </is>
      </c>
      <c r="G131" t="n">
        <v>6.2</v>
      </c>
      <c r="H131" t="n">
        <v>0</v>
      </c>
      <c r="I131" t="n">
        <v>0</v>
      </c>
      <c r="J131" t="n">
        <v>0</v>
      </c>
      <c r="K131" t="n">
        <v>0</v>
      </c>
      <c r="L131" t="n">
        <v>0</v>
      </c>
      <c r="M131" t="n">
        <v>0</v>
      </c>
      <c r="N131" t="n">
        <v>0</v>
      </c>
      <c r="O131" t="n">
        <v>0</v>
      </c>
      <c r="P131" t="n">
        <v>0</v>
      </c>
      <c r="Q131" t="n">
        <v>0</v>
      </c>
      <c r="R131" s="2" t="inlineStr"/>
    </row>
    <row r="132" ht="15" customHeight="1">
      <c r="A132" t="inlineStr">
        <is>
          <t>A 21839-2021</t>
        </is>
      </c>
      <c r="B132" s="1" t="n">
        <v>44322</v>
      </c>
      <c r="C132" s="1" t="n">
        <v>45565</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24804-2021</t>
        </is>
      </c>
      <c r="B133" s="1" t="n">
        <v>44340</v>
      </c>
      <c r="C133" s="1" t="n">
        <v>45565</v>
      </c>
      <c r="D133" t="inlineStr">
        <is>
          <t>VÄSTMANLANDS LÄN</t>
        </is>
      </c>
      <c r="E133" t="inlineStr">
        <is>
          <t>SURAHAMMAR</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31468-2021</t>
        </is>
      </c>
      <c r="B134" s="1" t="n">
        <v>44369</v>
      </c>
      <c r="C134" s="1" t="n">
        <v>45565</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33998-2021</t>
        </is>
      </c>
      <c r="B135" s="1" t="n">
        <v>44378</v>
      </c>
      <c r="C135" s="1" t="n">
        <v>45565</v>
      </c>
      <c r="D135" t="inlineStr">
        <is>
          <t>VÄSTMANLANDS LÄN</t>
        </is>
      </c>
      <c r="E135" t="inlineStr">
        <is>
          <t>SURAHAMMAR</t>
        </is>
      </c>
      <c r="F135" t="inlineStr">
        <is>
          <t>Bergvik skog väst AB</t>
        </is>
      </c>
      <c r="G135" t="n">
        <v>3.2</v>
      </c>
      <c r="H135" t="n">
        <v>0</v>
      </c>
      <c r="I135" t="n">
        <v>0</v>
      </c>
      <c r="J135" t="n">
        <v>0</v>
      </c>
      <c r="K135" t="n">
        <v>0</v>
      </c>
      <c r="L135" t="n">
        <v>0</v>
      </c>
      <c r="M135" t="n">
        <v>0</v>
      </c>
      <c r="N135" t="n">
        <v>0</v>
      </c>
      <c r="O135" t="n">
        <v>0</v>
      </c>
      <c r="P135" t="n">
        <v>0</v>
      </c>
      <c r="Q135" t="n">
        <v>0</v>
      </c>
      <c r="R135" s="2" t="inlineStr"/>
    </row>
    <row r="136" ht="15" customHeight="1">
      <c r="A136" t="inlineStr">
        <is>
          <t>A 34001-2021</t>
        </is>
      </c>
      <c r="B136" s="1" t="n">
        <v>44378</v>
      </c>
      <c r="C136" s="1" t="n">
        <v>45565</v>
      </c>
      <c r="D136" t="inlineStr">
        <is>
          <t>VÄSTMANLANDS LÄN</t>
        </is>
      </c>
      <c r="E136" t="inlineStr">
        <is>
          <t>SURAHAMMAR</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37798-2021</t>
        </is>
      </c>
      <c r="B137" s="1" t="n">
        <v>44402</v>
      </c>
      <c r="C137" s="1" t="n">
        <v>45565</v>
      </c>
      <c r="D137" t="inlineStr">
        <is>
          <t>VÄSTMANLANDS LÄN</t>
        </is>
      </c>
      <c r="E137" t="inlineStr">
        <is>
          <t>SURAHAMMAR</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37799-2021</t>
        </is>
      </c>
      <c r="B138" s="1" t="n">
        <v>44402</v>
      </c>
      <c r="C138" s="1" t="n">
        <v>45565</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38150-2021</t>
        </is>
      </c>
      <c r="B139" s="1" t="n">
        <v>44405</v>
      </c>
      <c r="C139" s="1" t="n">
        <v>45565</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38178-2021</t>
        </is>
      </c>
      <c r="B140" s="1" t="n">
        <v>44405</v>
      </c>
      <c r="C140" s="1" t="n">
        <v>45565</v>
      </c>
      <c r="D140" t="inlineStr">
        <is>
          <t>VÄSTMANLANDS LÄN</t>
        </is>
      </c>
      <c r="E140" t="inlineStr">
        <is>
          <t>SURAHAMMAR</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38149-2021</t>
        </is>
      </c>
      <c r="B141" s="1" t="n">
        <v>44405</v>
      </c>
      <c r="C141" s="1" t="n">
        <v>45565</v>
      </c>
      <c r="D141" t="inlineStr">
        <is>
          <t>VÄSTMANLANDS LÄN</t>
        </is>
      </c>
      <c r="E141" t="inlineStr">
        <is>
          <t>SURAHAMMAR</t>
        </is>
      </c>
      <c r="F141" t="inlineStr">
        <is>
          <t>Sveaskog</t>
        </is>
      </c>
      <c r="G141" t="n">
        <v>4.9</v>
      </c>
      <c r="H141" t="n">
        <v>0</v>
      </c>
      <c r="I141" t="n">
        <v>0</v>
      </c>
      <c r="J141" t="n">
        <v>0</v>
      </c>
      <c r="K141" t="n">
        <v>0</v>
      </c>
      <c r="L141" t="n">
        <v>0</v>
      </c>
      <c r="M141" t="n">
        <v>0</v>
      </c>
      <c r="N141" t="n">
        <v>0</v>
      </c>
      <c r="O141" t="n">
        <v>0</v>
      </c>
      <c r="P141" t="n">
        <v>0</v>
      </c>
      <c r="Q141" t="n">
        <v>0</v>
      </c>
      <c r="R141" s="2" t="inlineStr"/>
    </row>
    <row r="142" ht="15" customHeight="1">
      <c r="A142" t="inlineStr">
        <is>
          <t>A 38163-2021</t>
        </is>
      </c>
      <c r="B142" s="1" t="n">
        <v>44405</v>
      </c>
      <c r="C142" s="1" t="n">
        <v>45565</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38154-2021</t>
        </is>
      </c>
      <c r="B143" s="1" t="n">
        <v>44405</v>
      </c>
      <c r="C143" s="1" t="n">
        <v>45565</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47852-2021</t>
        </is>
      </c>
      <c r="B144" s="1" t="n">
        <v>44448</v>
      </c>
      <c r="C144" s="1" t="n">
        <v>45565</v>
      </c>
      <c r="D144" t="inlineStr">
        <is>
          <t>VÄSTMANLANDS LÄN</t>
        </is>
      </c>
      <c r="E144" t="inlineStr">
        <is>
          <t>SURAHAMMAR</t>
        </is>
      </c>
      <c r="G144" t="n">
        <v>4.1</v>
      </c>
      <c r="H144" t="n">
        <v>0</v>
      </c>
      <c r="I144" t="n">
        <v>0</v>
      </c>
      <c r="J144" t="n">
        <v>0</v>
      </c>
      <c r="K144" t="n">
        <v>0</v>
      </c>
      <c r="L144" t="n">
        <v>0</v>
      </c>
      <c r="M144" t="n">
        <v>0</v>
      </c>
      <c r="N144" t="n">
        <v>0</v>
      </c>
      <c r="O144" t="n">
        <v>0</v>
      </c>
      <c r="P144" t="n">
        <v>0</v>
      </c>
      <c r="Q144" t="n">
        <v>0</v>
      </c>
      <c r="R144" s="2" t="inlineStr"/>
    </row>
    <row r="145" ht="15" customHeight="1">
      <c r="A145" t="inlineStr">
        <is>
          <t>A 47785-2021</t>
        </is>
      </c>
      <c r="B145" s="1" t="n">
        <v>44448</v>
      </c>
      <c r="C145" s="1" t="n">
        <v>45565</v>
      </c>
      <c r="D145" t="inlineStr">
        <is>
          <t>VÄSTMANLANDS LÄN</t>
        </is>
      </c>
      <c r="E145" t="inlineStr">
        <is>
          <t>SURAHAMMAR</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64073-2021</t>
        </is>
      </c>
      <c r="B146" s="1" t="n">
        <v>44509</v>
      </c>
      <c r="C146" s="1" t="n">
        <v>45565</v>
      </c>
      <c r="D146" t="inlineStr">
        <is>
          <t>VÄSTMANLANDS LÄN</t>
        </is>
      </c>
      <c r="E146" t="inlineStr">
        <is>
          <t>SURAHAMMAR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66342-2021</t>
        </is>
      </c>
      <c r="B147" s="1" t="n">
        <v>44518</v>
      </c>
      <c r="C147" s="1" t="n">
        <v>45565</v>
      </c>
      <c r="D147" t="inlineStr">
        <is>
          <t>VÄSTMANLANDS LÄN</t>
        </is>
      </c>
      <c r="E147" t="inlineStr">
        <is>
          <t>SURAHAMMAR</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66350-2021</t>
        </is>
      </c>
      <c r="B148" s="1" t="n">
        <v>44518</v>
      </c>
      <c r="C148" s="1" t="n">
        <v>45565</v>
      </c>
      <c r="D148" t="inlineStr">
        <is>
          <t>VÄSTMANLANDS LÄN</t>
        </is>
      </c>
      <c r="E148" t="inlineStr">
        <is>
          <t>SURAHAMMAR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67611-2021</t>
        </is>
      </c>
      <c r="B149" s="1" t="n">
        <v>44524</v>
      </c>
      <c r="C149" s="1" t="n">
        <v>45565</v>
      </c>
      <c r="D149" t="inlineStr">
        <is>
          <t>VÄSTMANLANDS LÄN</t>
        </is>
      </c>
      <c r="E149" t="inlineStr">
        <is>
          <t>SURAHAMMAR</t>
        </is>
      </c>
      <c r="F149" t="inlineStr">
        <is>
          <t>Kommuner</t>
        </is>
      </c>
      <c r="G149" t="n">
        <v>3.8</v>
      </c>
      <c r="H149" t="n">
        <v>0</v>
      </c>
      <c r="I149" t="n">
        <v>0</v>
      </c>
      <c r="J149" t="n">
        <v>0</v>
      </c>
      <c r="K149" t="n">
        <v>0</v>
      </c>
      <c r="L149" t="n">
        <v>0</v>
      </c>
      <c r="M149" t="n">
        <v>0</v>
      </c>
      <c r="N149" t="n">
        <v>0</v>
      </c>
      <c r="O149" t="n">
        <v>0</v>
      </c>
      <c r="P149" t="n">
        <v>0</v>
      </c>
      <c r="Q149" t="n">
        <v>0</v>
      </c>
      <c r="R149" s="2" t="inlineStr"/>
    </row>
    <row r="150" ht="15" customHeight="1">
      <c r="A150" t="inlineStr">
        <is>
          <t>A 72367-2021</t>
        </is>
      </c>
      <c r="B150" s="1" t="n">
        <v>44545</v>
      </c>
      <c r="C150" s="1" t="n">
        <v>45565</v>
      </c>
      <c r="D150" t="inlineStr">
        <is>
          <t>VÄSTMANLANDS LÄN</t>
        </is>
      </c>
      <c r="E150" t="inlineStr">
        <is>
          <t>SURAHAMMAR</t>
        </is>
      </c>
      <c r="G150" t="n">
        <v>2.5</v>
      </c>
      <c r="H150" t="n">
        <v>0</v>
      </c>
      <c r="I150" t="n">
        <v>0</v>
      </c>
      <c r="J150" t="n">
        <v>0</v>
      </c>
      <c r="K150" t="n">
        <v>0</v>
      </c>
      <c r="L150" t="n">
        <v>0</v>
      </c>
      <c r="M150" t="n">
        <v>0</v>
      </c>
      <c r="N150" t="n">
        <v>0</v>
      </c>
      <c r="O150" t="n">
        <v>0</v>
      </c>
      <c r="P150" t="n">
        <v>0</v>
      </c>
      <c r="Q150" t="n">
        <v>0</v>
      </c>
      <c r="R150" s="2" t="inlineStr"/>
    </row>
    <row r="151" ht="15" customHeight="1">
      <c r="A151" t="inlineStr">
        <is>
          <t>A 73156-2021</t>
        </is>
      </c>
      <c r="B151" s="1" t="n">
        <v>44550</v>
      </c>
      <c r="C151" s="1" t="n">
        <v>45565</v>
      </c>
      <c r="D151" t="inlineStr">
        <is>
          <t>VÄSTMANLANDS LÄN</t>
        </is>
      </c>
      <c r="E151" t="inlineStr">
        <is>
          <t>SURAHAMMAR</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3155-2022</t>
        </is>
      </c>
      <c r="B152" s="1" t="n">
        <v>44582</v>
      </c>
      <c r="C152" s="1" t="n">
        <v>45565</v>
      </c>
      <c r="D152" t="inlineStr">
        <is>
          <t>VÄSTMANLANDS LÄN</t>
        </is>
      </c>
      <c r="E152" t="inlineStr">
        <is>
          <t>SURAHAMMAR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3595-2022</t>
        </is>
      </c>
      <c r="B153" s="1" t="n">
        <v>44586</v>
      </c>
      <c r="C153" s="1" t="n">
        <v>45565</v>
      </c>
      <c r="D153" t="inlineStr">
        <is>
          <t>VÄSTMANLANDS LÄN</t>
        </is>
      </c>
      <c r="E153" t="inlineStr">
        <is>
          <t>SURAHAMMAR</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45565</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5567-2022</t>
        </is>
      </c>
      <c r="B155" s="1" t="n">
        <v>44595</v>
      </c>
      <c r="C155" s="1" t="n">
        <v>45565</v>
      </c>
      <c r="D155" t="inlineStr">
        <is>
          <t>VÄSTMANLANDS LÄN</t>
        </is>
      </c>
      <c r="E155" t="inlineStr">
        <is>
          <t>SURAHAMMAR</t>
        </is>
      </c>
      <c r="G155" t="n">
        <v>1.3</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v>
      </c>
      <c r="C156" s="1" t="n">
        <v>45565</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13119-2022</t>
        </is>
      </c>
      <c r="B157" s="1" t="n">
        <v>44643</v>
      </c>
      <c r="C157" s="1" t="n">
        <v>45565</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13070-2022</t>
        </is>
      </c>
      <c r="B158" s="1" t="n">
        <v>44643</v>
      </c>
      <c r="C158" s="1" t="n">
        <v>45565</v>
      </c>
      <c r="D158" t="inlineStr">
        <is>
          <t>VÄSTMANLANDS LÄN</t>
        </is>
      </c>
      <c r="E158" t="inlineStr">
        <is>
          <t>SURAHAMMAR</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15637-2022</t>
        </is>
      </c>
      <c r="B159" s="1" t="n">
        <v>44662</v>
      </c>
      <c r="C159" s="1" t="n">
        <v>45565</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16608-2022</t>
        </is>
      </c>
      <c r="B160" s="1" t="n">
        <v>44672</v>
      </c>
      <c r="C160" s="1" t="n">
        <v>45565</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19099-2022</t>
        </is>
      </c>
      <c r="B161" s="1" t="n">
        <v>44691</v>
      </c>
      <c r="C161" s="1" t="n">
        <v>45565</v>
      </c>
      <c r="D161" t="inlineStr">
        <is>
          <t>VÄSTMANLANDS LÄN</t>
        </is>
      </c>
      <c r="E161" t="inlineStr">
        <is>
          <t>SURAHAMMAR</t>
        </is>
      </c>
      <c r="F161" t="inlineStr">
        <is>
          <t>Övriga Aktiebolag</t>
        </is>
      </c>
      <c r="G161" t="n">
        <v>3.4</v>
      </c>
      <c r="H161" t="n">
        <v>0</v>
      </c>
      <c r="I161" t="n">
        <v>0</v>
      </c>
      <c r="J161" t="n">
        <v>0</v>
      </c>
      <c r="K161" t="n">
        <v>0</v>
      </c>
      <c r="L161" t="n">
        <v>0</v>
      </c>
      <c r="M161" t="n">
        <v>0</v>
      </c>
      <c r="N161" t="n">
        <v>0</v>
      </c>
      <c r="O161" t="n">
        <v>0</v>
      </c>
      <c r="P161" t="n">
        <v>0</v>
      </c>
      <c r="Q161" t="n">
        <v>0</v>
      </c>
      <c r="R161" s="2" t="inlineStr"/>
    </row>
    <row r="162" ht="15" customHeight="1">
      <c r="A162" t="inlineStr">
        <is>
          <t>A 19637-2022</t>
        </is>
      </c>
      <c r="B162" s="1" t="n">
        <v>44694</v>
      </c>
      <c r="C162" s="1" t="n">
        <v>45565</v>
      </c>
      <c r="D162" t="inlineStr">
        <is>
          <t>VÄSTMANLANDS LÄN</t>
        </is>
      </c>
      <c r="E162" t="inlineStr">
        <is>
          <t>SURAHAMMAR</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19844-2022</t>
        </is>
      </c>
      <c r="B163" s="1" t="n">
        <v>44696</v>
      </c>
      <c r="C163" s="1" t="n">
        <v>45565</v>
      </c>
      <c r="D163" t="inlineStr">
        <is>
          <t>VÄSTMANLANDS LÄN</t>
        </is>
      </c>
      <c r="E163" t="inlineStr">
        <is>
          <t>SURAHAMMAR</t>
        </is>
      </c>
      <c r="F163" t="inlineStr">
        <is>
          <t>Kommuner</t>
        </is>
      </c>
      <c r="G163" t="n">
        <v>2.1</v>
      </c>
      <c r="H163" t="n">
        <v>0</v>
      </c>
      <c r="I163" t="n">
        <v>0</v>
      </c>
      <c r="J163" t="n">
        <v>0</v>
      </c>
      <c r="K163" t="n">
        <v>0</v>
      </c>
      <c r="L163" t="n">
        <v>0</v>
      </c>
      <c r="M163" t="n">
        <v>0</v>
      </c>
      <c r="N163" t="n">
        <v>0</v>
      </c>
      <c r="O163" t="n">
        <v>0</v>
      </c>
      <c r="P163" t="n">
        <v>0</v>
      </c>
      <c r="Q163" t="n">
        <v>0</v>
      </c>
      <c r="R163" s="2" t="inlineStr"/>
    </row>
    <row r="164" ht="15" customHeight="1">
      <c r="A164" t="inlineStr">
        <is>
          <t>A 19845-2022</t>
        </is>
      </c>
      <c r="B164" s="1" t="n">
        <v>44696</v>
      </c>
      <c r="C164" s="1" t="n">
        <v>45565</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19846-2022</t>
        </is>
      </c>
      <c r="B165" s="1" t="n">
        <v>44696</v>
      </c>
      <c r="C165" s="1" t="n">
        <v>45565</v>
      </c>
      <c r="D165" t="inlineStr">
        <is>
          <t>VÄSTMANLANDS LÄN</t>
        </is>
      </c>
      <c r="E165" t="inlineStr">
        <is>
          <t>SURAHAMMAR</t>
        </is>
      </c>
      <c r="F165" t="inlineStr">
        <is>
          <t>Kommuner</t>
        </is>
      </c>
      <c r="G165" t="n">
        <v>3.4</v>
      </c>
      <c r="H165" t="n">
        <v>0</v>
      </c>
      <c r="I165" t="n">
        <v>0</v>
      </c>
      <c r="J165" t="n">
        <v>0</v>
      </c>
      <c r="K165" t="n">
        <v>0</v>
      </c>
      <c r="L165" t="n">
        <v>0</v>
      </c>
      <c r="M165" t="n">
        <v>0</v>
      </c>
      <c r="N165" t="n">
        <v>0</v>
      </c>
      <c r="O165" t="n">
        <v>0</v>
      </c>
      <c r="P165" t="n">
        <v>0</v>
      </c>
      <c r="Q165" t="n">
        <v>0</v>
      </c>
      <c r="R165" s="2" t="inlineStr"/>
    </row>
    <row r="166" ht="15" customHeight="1">
      <c r="A166" t="inlineStr">
        <is>
          <t>A 26700-2022</t>
        </is>
      </c>
      <c r="B166" s="1" t="n">
        <v>44739</v>
      </c>
      <c r="C166" s="1" t="n">
        <v>45565</v>
      </c>
      <c r="D166" t="inlineStr">
        <is>
          <t>VÄSTMANLANDS LÄN</t>
        </is>
      </c>
      <c r="E166" t="inlineStr">
        <is>
          <t>SURAHAMMAR</t>
        </is>
      </c>
      <c r="F166" t="inlineStr">
        <is>
          <t>Kommuner</t>
        </is>
      </c>
      <c r="G166" t="n">
        <v>3.1</v>
      </c>
      <c r="H166" t="n">
        <v>0</v>
      </c>
      <c r="I166" t="n">
        <v>0</v>
      </c>
      <c r="J166" t="n">
        <v>0</v>
      </c>
      <c r="K166" t="n">
        <v>0</v>
      </c>
      <c r="L166" t="n">
        <v>0</v>
      </c>
      <c r="M166" t="n">
        <v>0</v>
      </c>
      <c r="N166" t="n">
        <v>0</v>
      </c>
      <c r="O166" t="n">
        <v>0</v>
      </c>
      <c r="P166" t="n">
        <v>0</v>
      </c>
      <c r="Q166" t="n">
        <v>0</v>
      </c>
      <c r="R166" s="2" t="inlineStr"/>
    </row>
    <row r="167" ht="15" customHeight="1">
      <c r="A167" t="inlineStr">
        <is>
          <t>A 32475-2022</t>
        </is>
      </c>
      <c r="B167" s="1" t="n">
        <v>44782</v>
      </c>
      <c r="C167" s="1" t="n">
        <v>45565</v>
      </c>
      <c r="D167" t="inlineStr">
        <is>
          <t>VÄSTMANLANDS LÄN</t>
        </is>
      </c>
      <c r="E167" t="inlineStr">
        <is>
          <t>SURAHAMMAR</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32491-2022</t>
        </is>
      </c>
      <c r="B168" s="1" t="n">
        <v>44782</v>
      </c>
      <c r="C168" s="1" t="n">
        <v>45565</v>
      </c>
      <c r="D168" t="inlineStr">
        <is>
          <t>VÄSTMANLANDS LÄN</t>
        </is>
      </c>
      <c r="E168" t="inlineStr">
        <is>
          <t>SURAHAMMAR</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32492-2022</t>
        </is>
      </c>
      <c r="B169" s="1" t="n">
        <v>44782</v>
      </c>
      <c r="C169" s="1" t="n">
        <v>45565</v>
      </c>
      <c r="D169" t="inlineStr">
        <is>
          <t>VÄSTMANLANDS LÄN</t>
        </is>
      </c>
      <c r="E169" t="inlineStr">
        <is>
          <t>SURAHAMMAR</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33931-2022</t>
        </is>
      </c>
      <c r="B170" s="1" t="n">
        <v>44790</v>
      </c>
      <c r="C170" s="1" t="n">
        <v>45565</v>
      </c>
      <c r="D170" t="inlineStr">
        <is>
          <t>VÄSTMANLANDS LÄN</t>
        </is>
      </c>
      <c r="E170" t="inlineStr">
        <is>
          <t>SURAHAMMAR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33946-2022</t>
        </is>
      </c>
      <c r="B171" s="1" t="n">
        <v>44790</v>
      </c>
      <c r="C171" s="1" t="n">
        <v>45565</v>
      </c>
      <c r="D171" t="inlineStr">
        <is>
          <t>VÄSTMANLANDS LÄN</t>
        </is>
      </c>
      <c r="E171" t="inlineStr">
        <is>
          <t>SURAHAMMAR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33953-2022</t>
        </is>
      </c>
      <c r="B172" s="1" t="n">
        <v>44790</v>
      </c>
      <c r="C172" s="1" t="n">
        <v>45565</v>
      </c>
      <c r="D172" t="inlineStr">
        <is>
          <t>VÄSTMANLANDS LÄN</t>
        </is>
      </c>
      <c r="E172" t="inlineStr">
        <is>
          <t>SURAHAMMAR</t>
        </is>
      </c>
      <c r="G172" t="n">
        <v>3</v>
      </c>
      <c r="H172" t="n">
        <v>0</v>
      </c>
      <c r="I172" t="n">
        <v>0</v>
      </c>
      <c r="J172" t="n">
        <v>0</v>
      </c>
      <c r="K172" t="n">
        <v>0</v>
      </c>
      <c r="L172" t="n">
        <v>0</v>
      </c>
      <c r="M172" t="n">
        <v>0</v>
      </c>
      <c r="N172" t="n">
        <v>0</v>
      </c>
      <c r="O172" t="n">
        <v>0</v>
      </c>
      <c r="P172" t="n">
        <v>0</v>
      </c>
      <c r="Q172" t="n">
        <v>0</v>
      </c>
      <c r="R172" s="2" t="inlineStr"/>
    </row>
    <row r="173" ht="15" customHeight="1">
      <c r="A173" t="inlineStr">
        <is>
          <t>A 34957-2022</t>
        </is>
      </c>
      <c r="B173" s="1" t="n">
        <v>44796</v>
      </c>
      <c r="C173" s="1" t="n">
        <v>45565</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34955-2022</t>
        </is>
      </c>
      <c r="B174" s="1" t="n">
        <v>44796</v>
      </c>
      <c r="C174" s="1" t="n">
        <v>45565</v>
      </c>
      <c r="D174" t="inlineStr">
        <is>
          <t>VÄSTMANLANDS LÄN</t>
        </is>
      </c>
      <c r="E174" t="inlineStr">
        <is>
          <t>SURAHAMMAR</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34956-2022</t>
        </is>
      </c>
      <c r="B175" s="1" t="n">
        <v>44796</v>
      </c>
      <c r="C175" s="1" t="n">
        <v>45565</v>
      </c>
      <c r="D175" t="inlineStr">
        <is>
          <t>VÄSTMANLANDS LÄN</t>
        </is>
      </c>
      <c r="E175" t="inlineStr">
        <is>
          <t>SURAHAMMAR</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35677-2022</t>
        </is>
      </c>
      <c r="B176" s="1" t="n">
        <v>44799</v>
      </c>
      <c r="C176" s="1" t="n">
        <v>45565</v>
      </c>
      <c r="D176" t="inlineStr">
        <is>
          <t>VÄSTMANLANDS LÄN</t>
        </is>
      </c>
      <c r="E176" t="inlineStr">
        <is>
          <t>SURAHAMMAR</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35682-2022</t>
        </is>
      </c>
      <c r="B177" s="1" t="n">
        <v>44799</v>
      </c>
      <c r="C177" s="1" t="n">
        <v>45565</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35679-2022</t>
        </is>
      </c>
      <c r="B178" s="1" t="n">
        <v>44799</v>
      </c>
      <c r="C178" s="1" t="n">
        <v>45565</v>
      </c>
      <c r="D178" t="inlineStr">
        <is>
          <t>VÄSTMANLANDS LÄN</t>
        </is>
      </c>
      <c r="E178" t="inlineStr">
        <is>
          <t>SURAHAMMAR</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41576-2022</t>
        </is>
      </c>
      <c r="B179" s="1" t="n">
        <v>44826</v>
      </c>
      <c r="C179" s="1" t="n">
        <v>45565</v>
      </c>
      <c r="D179" t="inlineStr">
        <is>
          <t>VÄSTMANLANDS LÄN</t>
        </is>
      </c>
      <c r="E179" t="inlineStr">
        <is>
          <t>SURAHAMMAR</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41555-2022</t>
        </is>
      </c>
      <c r="B180" s="1" t="n">
        <v>44826</v>
      </c>
      <c r="C180" s="1" t="n">
        <v>45565</v>
      </c>
      <c r="D180" t="inlineStr">
        <is>
          <t>VÄSTMANLANDS LÄN</t>
        </is>
      </c>
      <c r="E180" t="inlineStr">
        <is>
          <t>SURAHAMMAR</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42714-2022</t>
        </is>
      </c>
      <c r="B181" s="1" t="n">
        <v>44832</v>
      </c>
      <c r="C181" s="1" t="n">
        <v>45565</v>
      </c>
      <c r="D181" t="inlineStr">
        <is>
          <t>VÄSTMANLANDS LÄN</t>
        </is>
      </c>
      <c r="E181" t="inlineStr">
        <is>
          <t>SURAHAMMAR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42832-2022</t>
        </is>
      </c>
      <c r="B182" s="1" t="n">
        <v>44832</v>
      </c>
      <c r="C182" s="1" t="n">
        <v>45565</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42841-2022</t>
        </is>
      </c>
      <c r="B183" s="1" t="n">
        <v>44832</v>
      </c>
      <c r="C183" s="1" t="n">
        <v>45565</v>
      </c>
      <c r="D183" t="inlineStr">
        <is>
          <t>VÄSTMANLANDS LÄN</t>
        </is>
      </c>
      <c r="E183" t="inlineStr">
        <is>
          <t>SURAHAMMAR</t>
        </is>
      </c>
      <c r="G183" t="n">
        <v>1.8</v>
      </c>
      <c r="H183" t="n">
        <v>0</v>
      </c>
      <c r="I183" t="n">
        <v>0</v>
      </c>
      <c r="J183" t="n">
        <v>0</v>
      </c>
      <c r="K183" t="n">
        <v>0</v>
      </c>
      <c r="L183" t="n">
        <v>0</v>
      </c>
      <c r="M183" t="n">
        <v>0</v>
      </c>
      <c r="N183" t="n">
        <v>0</v>
      </c>
      <c r="O183" t="n">
        <v>0</v>
      </c>
      <c r="P183" t="n">
        <v>0</v>
      </c>
      <c r="Q183" t="n">
        <v>0</v>
      </c>
      <c r="R183" s="2" t="inlineStr"/>
    </row>
    <row r="184" ht="15" customHeight="1">
      <c r="A184" t="inlineStr">
        <is>
          <t>A 42829-2022</t>
        </is>
      </c>
      <c r="B184" s="1" t="n">
        <v>44832</v>
      </c>
      <c r="C184" s="1" t="n">
        <v>45565</v>
      </c>
      <c r="D184" t="inlineStr">
        <is>
          <t>VÄSTMANLANDS LÄN</t>
        </is>
      </c>
      <c r="E184" t="inlineStr">
        <is>
          <t>SURAHAMMAR</t>
        </is>
      </c>
      <c r="G184" t="n">
        <v>1.6</v>
      </c>
      <c r="H184" t="n">
        <v>0</v>
      </c>
      <c r="I184" t="n">
        <v>0</v>
      </c>
      <c r="J184" t="n">
        <v>0</v>
      </c>
      <c r="K184" t="n">
        <v>0</v>
      </c>
      <c r="L184" t="n">
        <v>0</v>
      </c>
      <c r="M184" t="n">
        <v>0</v>
      </c>
      <c r="N184" t="n">
        <v>0</v>
      </c>
      <c r="O184" t="n">
        <v>0</v>
      </c>
      <c r="P184" t="n">
        <v>0</v>
      </c>
      <c r="Q184" t="n">
        <v>0</v>
      </c>
      <c r="R184" s="2" t="inlineStr"/>
    </row>
    <row r="185" ht="15" customHeight="1">
      <c r="A185" t="inlineStr">
        <is>
          <t>A 48581-2022</t>
        </is>
      </c>
      <c r="B185" s="1" t="n">
        <v>44859</v>
      </c>
      <c r="C185" s="1" t="n">
        <v>45565</v>
      </c>
      <c r="D185" t="inlineStr">
        <is>
          <t>VÄSTMANLANDS LÄN</t>
        </is>
      </c>
      <c r="E185" t="inlineStr">
        <is>
          <t>SURAHAMMAR</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49686-2022</t>
        </is>
      </c>
      <c r="B186" s="1" t="n">
        <v>44862</v>
      </c>
      <c r="C186" s="1" t="n">
        <v>45565</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3085-2023</t>
        </is>
      </c>
      <c r="B187" s="1" t="n">
        <v>44946</v>
      </c>
      <c r="C187" s="1" t="n">
        <v>45565</v>
      </c>
      <c r="D187" t="inlineStr">
        <is>
          <t>VÄSTMANLANDS LÄN</t>
        </is>
      </c>
      <c r="E187" t="inlineStr">
        <is>
          <t>SURAHAMMAR</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8553-2023</t>
        </is>
      </c>
      <c r="B188" s="1" t="n">
        <v>44977</v>
      </c>
      <c r="C188" s="1" t="n">
        <v>45565</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10877-2023</t>
        </is>
      </c>
      <c r="B189" s="1" t="n">
        <v>44991</v>
      </c>
      <c r="C189" s="1" t="n">
        <v>45565</v>
      </c>
      <c r="D189" t="inlineStr">
        <is>
          <t>VÄSTMANLANDS LÄN</t>
        </is>
      </c>
      <c r="E189" t="inlineStr">
        <is>
          <t>SURAHAMMAR</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10883-2023</t>
        </is>
      </c>
      <c r="B190" s="1" t="n">
        <v>44991</v>
      </c>
      <c r="C190" s="1" t="n">
        <v>45565</v>
      </c>
      <c r="D190" t="inlineStr">
        <is>
          <t>VÄSTMANLANDS LÄN</t>
        </is>
      </c>
      <c r="E190" t="inlineStr">
        <is>
          <t>SURAHAMMAR</t>
        </is>
      </c>
      <c r="F190" t="inlineStr">
        <is>
          <t>Övriga Aktiebolag</t>
        </is>
      </c>
      <c r="G190" t="n">
        <v>12.5</v>
      </c>
      <c r="H190" t="n">
        <v>0</v>
      </c>
      <c r="I190" t="n">
        <v>0</v>
      </c>
      <c r="J190" t="n">
        <v>0</v>
      </c>
      <c r="K190" t="n">
        <v>0</v>
      </c>
      <c r="L190" t="n">
        <v>0</v>
      </c>
      <c r="M190" t="n">
        <v>0</v>
      </c>
      <c r="N190" t="n">
        <v>0</v>
      </c>
      <c r="O190" t="n">
        <v>0</v>
      </c>
      <c r="P190" t="n">
        <v>0</v>
      </c>
      <c r="Q190" t="n">
        <v>0</v>
      </c>
      <c r="R190" s="2" t="inlineStr"/>
    </row>
    <row r="191" ht="15" customHeight="1">
      <c r="A191" t="inlineStr">
        <is>
          <t>A 11501-2023</t>
        </is>
      </c>
      <c r="B191" s="1" t="n">
        <v>44991</v>
      </c>
      <c r="C191" s="1" t="n">
        <v>45565</v>
      </c>
      <c r="D191" t="inlineStr">
        <is>
          <t>VÄSTMANLANDS LÄN</t>
        </is>
      </c>
      <c r="E191" t="inlineStr">
        <is>
          <t>SURAHAMMAR</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11728-2023</t>
        </is>
      </c>
      <c r="B192" s="1" t="n">
        <v>44993</v>
      </c>
      <c r="C192" s="1" t="n">
        <v>45565</v>
      </c>
      <c r="D192" t="inlineStr">
        <is>
          <t>VÄSTMANLANDS LÄN</t>
        </is>
      </c>
      <c r="E192" t="inlineStr">
        <is>
          <t>SURAHAMMAR</t>
        </is>
      </c>
      <c r="F192" t="inlineStr">
        <is>
          <t>Bergvik skog väst AB</t>
        </is>
      </c>
      <c r="G192" t="n">
        <v>0.4</v>
      </c>
      <c r="H192" t="n">
        <v>0</v>
      </c>
      <c r="I192" t="n">
        <v>0</v>
      </c>
      <c r="J192" t="n">
        <v>0</v>
      </c>
      <c r="K192" t="n">
        <v>0</v>
      </c>
      <c r="L192" t="n">
        <v>0</v>
      </c>
      <c r="M192" t="n">
        <v>0</v>
      </c>
      <c r="N192" t="n">
        <v>0</v>
      </c>
      <c r="O192" t="n">
        <v>0</v>
      </c>
      <c r="P192" t="n">
        <v>0</v>
      </c>
      <c r="Q192" t="n">
        <v>0</v>
      </c>
      <c r="R192" s="2" t="inlineStr"/>
    </row>
    <row r="193" ht="15" customHeight="1">
      <c r="A193" t="inlineStr">
        <is>
          <t>A 13479-2023</t>
        </is>
      </c>
      <c r="B193" s="1" t="n">
        <v>45005</v>
      </c>
      <c r="C193" s="1" t="n">
        <v>45565</v>
      </c>
      <c r="D193" t="inlineStr">
        <is>
          <t>VÄSTMANLANDS LÄN</t>
        </is>
      </c>
      <c r="E193" t="inlineStr">
        <is>
          <t>SURAHAMMAR</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14626-2023</t>
        </is>
      </c>
      <c r="B194" s="1" t="n">
        <v>45012</v>
      </c>
      <c r="C194" s="1" t="n">
        <v>45565</v>
      </c>
      <c r="D194" t="inlineStr">
        <is>
          <t>VÄSTMANLANDS LÄN</t>
        </is>
      </c>
      <c r="E194" t="inlineStr">
        <is>
          <t>SURAHAMMAR</t>
        </is>
      </c>
      <c r="F194" t="inlineStr">
        <is>
          <t>Bergvik skog väst AB</t>
        </is>
      </c>
      <c r="G194" t="n">
        <v>5</v>
      </c>
      <c r="H194" t="n">
        <v>0</v>
      </c>
      <c r="I194" t="n">
        <v>0</v>
      </c>
      <c r="J194" t="n">
        <v>0</v>
      </c>
      <c r="K194" t="n">
        <v>0</v>
      </c>
      <c r="L194" t="n">
        <v>0</v>
      </c>
      <c r="M194" t="n">
        <v>0</v>
      </c>
      <c r="N194" t="n">
        <v>0</v>
      </c>
      <c r="O194" t="n">
        <v>0</v>
      </c>
      <c r="P194" t="n">
        <v>0</v>
      </c>
      <c r="Q194" t="n">
        <v>0</v>
      </c>
      <c r="R194" s="2" t="inlineStr"/>
    </row>
    <row r="195" ht="15" customHeight="1">
      <c r="A195" t="inlineStr">
        <is>
          <t>A 14583-2023</t>
        </is>
      </c>
      <c r="B195" s="1" t="n">
        <v>45013</v>
      </c>
      <c r="C195" s="1" t="n">
        <v>45565</v>
      </c>
      <c r="D195" t="inlineStr">
        <is>
          <t>VÄSTMANLANDS LÄN</t>
        </is>
      </c>
      <c r="E195" t="inlineStr">
        <is>
          <t>SURAHAMMAR</t>
        </is>
      </c>
      <c r="G195" t="n">
        <v>0.9</v>
      </c>
      <c r="H195" t="n">
        <v>0</v>
      </c>
      <c r="I195" t="n">
        <v>0</v>
      </c>
      <c r="J195" t="n">
        <v>0</v>
      </c>
      <c r="K195" t="n">
        <v>0</v>
      </c>
      <c r="L195" t="n">
        <v>0</v>
      </c>
      <c r="M195" t="n">
        <v>0</v>
      </c>
      <c r="N195" t="n">
        <v>0</v>
      </c>
      <c r="O195" t="n">
        <v>0</v>
      </c>
      <c r="P195" t="n">
        <v>0</v>
      </c>
      <c r="Q195" t="n">
        <v>0</v>
      </c>
      <c r="R195" s="2" t="inlineStr"/>
    </row>
    <row r="196" ht="15" customHeight="1">
      <c r="A196" t="inlineStr">
        <is>
          <t>A 15743-2023</t>
        </is>
      </c>
      <c r="B196" s="1" t="n">
        <v>45021</v>
      </c>
      <c r="C196" s="1" t="n">
        <v>45565</v>
      </c>
      <c r="D196" t="inlineStr">
        <is>
          <t>VÄSTMANLANDS LÄN</t>
        </is>
      </c>
      <c r="E196" t="inlineStr">
        <is>
          <t>SURAHAMMAR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15739-2023</t>
        </is>
      </c>
      <c r="B197" s="1" t="n">
        <v>45021</v>
      </c>
      <c r="C197" s="1" t="n">
        <v>45565</v>
      </c>
      <c r="D197" t="inlineStr">
        <is>
          <t>VÄSTMANLANDS LÄN</t>
        </is>
      </c>
      <c r="E197" t="inlineStr">
        <is>
          <t>SURAHAMMAR</t>
        </is>
      </c>
      <c r="G197" t="n">
        <v>1.3</v>
      </c>
      <c r="H197" t="n">
        <v>0</v>
      </c>
      <c r="I197" t="n">
        <v>0</v>
      </c>
      <c r="J197" t="n">
        <v>0</v>
      </c>
      <c r="K197" t="n">
        <v>0</v>
      </c>
      <c r="L197" t="n">
        <v>0</v>
      </c>
      <c r="M197" t="n">
        <v>0</v>
      </c>
      <c r="N197" t="n">
        <v>0</v>
      </c>
      <c r="O197" t="n">
        <v>0</v>
      </c>
      <c r="P197" t="n">
        <v>0</v>
      </c>
      <c r="Q197" t="n">
        <v>0</v>
      </c>
      <c r="R197" s="2" t="inlineStr"/>
    </row>
    <row r="198" ht="15" customHeight="1">
      <c r="A198" t="inlineStr">
        <is>
          <t>A 16013-2023</t>
        </is>
      </c>
      <c r="B198" s="1" t="n">
        <v>45026</v>
      </c>
      <c r="C198" s="1" t="n">
        <v>45565</v>
      </c>
      <c r="D198" t="inlineStr">
        <is>
          <t>VÄSTMANLANDS LÄN</t>
        </is>
      </c>
      <c r="E198" t="inlineStr">
        <is>
          <t>SURAHAMMAR</t>
        </is>
      </c>
      <c r="G198" t="n">
        <v>3.9</v>
      </c>
      <c r="H198" t="n">
        <v>0</v>
      </c>
      <c r="I198" t="n">
        <v>0</v>
      </c>
      <c r="J198" t="n">
        <v>0</v>
      </c>
      <c r="K198" t="n">
        <v>0</v>
      </c>
      <c r="L198" t="n">
        <v>0</v>
      </c>
      <c r="M198" t="n">
        <v>0</v>
      </c>
      <c r="N198" t="n">
        <v>0</v>
      </c>
      <c r="O198" t="n">
        <v>0</v>
      </c>
      <c r="P198" t="n">
        <v>0</v>
      </c>
      <c r="Q198" t="n">
        <v>0</v>
      </c>
      <c r="R198" s="2" t="inlineStr"/>
    </row>
    <row r="199" ht="15" customHeight="1">
      <c r="A199" t="inlineStr">
        <is>
          <t>A 18223-2023</t>
        </is>
      </c>
      <c r="B199" s="1" t="n">
        <v>45041</v>
      </c>
      <c r="C199" s="1" t="n">
        <v>45565</v>
      </c>
      <c r="D199" t="inlineStr">
        <is>
          <t>VÄSTMANLANDS LÄN</t>
        </is>
      </c>
      <c r="E199" t="inlineStr">
        <is>
          <t>SURAHAMMAR</t>
        </is>
      </c>
      <c r="F199" t="inlineStr">
        <is>
          <t>Övriga Aktiebolag</t>
        </is>
      </c>
      <c r="G199" t="n">
        <v>3.1</v>
      </c>
      <c r="H199" t="n">
        <v>0</v>
      </c>
      <c r="I199" t="n">
        <v>0</v>
      </c>
      <c r="J199" t="n">
        <v>0</v>
      </c>
      <c r="K199" t="n">
        <v>0</v>
      </c>
      <c r="L199" t="n">
        <v>0</v>
      </c>
      <c r="M199" t="n">
        <v>0</v>
      </c>
      <c r="N199" t="n">
        <v>0</v>
      </c>
      <c r="O199" t="n">
        <v>0</v>
      </c>
      <c r="P199" t="n">
        <v>0</v>
      </c>
      <c r="Q199" t="n">
        <v>0</v>
      </c>
      <c r="R199" s="2" t="inlineStr"/>
    </row>
    <row r="200" ht="15" customHeight="1">
      <c r="A200" t="inlineStr">
        <is>
          <t>A 19778-2023</t>
        </is>
      </c>
      <c r="B200" s="1" t="n">
        <v>45050</v>
      </c>
      <c r="C200" s="1" t="n">
        <v>45565</v>
      </c>
      <c r="D200" t="inlineStr">
        <is>
          <t>VÄSTMANLANDS LÄN</t>
        </is>
      </c>
      <c r="E200" t="inlineStr">
        <is>
          <t>SURAHAMMAR</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19779-2023</t>
        </is>
      </c>
      <c r="B201" s="1" t="n">
        <v>45050</v>
      </c>
      <c r="C201" s="1" t="n">
        <v>45565</v>
      </c>
      <c r="D201" t="inlineStr">
        <is>
          <t>VÄSTMANLANDS LÄN</t>
        </is>
      </c>
      <c r="E201" t="inlineStr">
        <is>
          <t>SURAHAMMAR</t>
        </is>
      </c>
      <c r="F201" t="inlineStr">
        <is>
          <t>Bergvik skog väst AB</t>
        </is>
      </c>
      <c r="G201" t="n">
        <v>11.1</v>
      </c>
      <c r="H201" t="n">
        <v>0</v>
      </c>
      <c r="I201" t="n">
        <v>0</v>
      </c>
      <c r="J201" t="n">
        <v>0</v>
      </c>
      <c r="K201" t="n">
        <v>0</v>
      </c>
      <c r="L201" t="n">
        <v>0</v>
      </c>
      <c r="M201" t="n">
        <v>0</v>
      </c>
      <c r="N201" t="n">
        <v>0</v>
      </c>
      <c r="O201" t="n">
        <v>0</v>
      </c>
      <c r="P201" t="n">
        <v>0</v>
      </c>
      <c r="Q201" t="n">
        <v>0</v>
      </c>
      <c r="R201" s="2" t="inlineStr"/>
    </row>
    <row r="202" ht="15" customHeight="1">
      <c r="A202" t="inlineStr">
        <is>
          <t>A 19786-2023</t>
        </is>
      </c>
      <c r="B202" s="1" t="n">
        <v>45050</v>
      </c>
      <c r="C202" s="1" t="n">
        <v>45565</v>
      </c>
      <c r="D202" t="inlineStr">
        <is>
          <t>VÄSTMANLANDS LÄN</t>
        </is>
      </c>
      <c r="E202" t="inlineStr">
        <is>
          <t>SURAHAMMAR</t>
        </is>
      </c>
      <c r="F202" t="inlineStr">
        <is>
          <t>Bergvik skog väst AB</t>
        </is>
      </c>
      <c r="G202" t="n">
        <v>8.1</v>
      </c>
      <c r="H202" t="n">
        <v>0</v>
      </c>
      <c r="I202" t="n">
        <v>0</v>
      </c>
      <c r="J202" t="n">
        <v>0</v>
      </c>
      <c r="K202" t="n">
        <v>0</v>
      </c>
      <c r="L202" t="n">
        <v>0</v>
      </c>
      <c r="M202" t="n">
        <v>0</v>
      </c>
      <c r="N202" t="n">
        <v>0</v>
      </c>
      <c r="O202" t="n">
        <v>0</v>
      </c>
      <c r="P202" t="n">
        <v>0</v>
      </c>
      <c r="Q202" t="n">
        <v>0</v>
      </c>
      <c r="R202" s="2" t="inlineStr"/>
    </row>
    <row r="203" ht="15" customHeight="1">
      <c r="A203" t="inlineStr">
        <is>
          <t>A 19782-2023</t>
        </is>
      </c>
      <c r="B203" s="1" t="n">
        <v>45050</v>
      </c>
      <c r="C203" s="1" t="n">
        <v>45565</v>
      </c>
      <c r="D203" t="inlineStr">
        <is>
          <t>VÄSTMANLANDS LÄN</t>
        </is>
      </c>
      <c r="E203" t="inlineStr">
        <is>
          <t>SURAHAMMAR</t>
        </is>
      </c>
      <c r="F203" t="inlineStr">
        <is>
          <t>Bergvik skog väst AB</t>
        </is>
      </c>
      <c r="G203" t="n">
        <v>5.2</v>
      </c>
      <c r="H203" t="n">
        <v>0</v>
      </c>
      <c r="I203" t="n">
        <v>0</v>
      </c>
      <c r="J203" t="n">
        <v>0</v>
      </c>
      <c r="K203" t="n">
        <v>0</v>
      </c>
      <c r="L203" t="n">
        <v>0</v>
      </c>
      <c r="M203" t="n">
        <v>0</v>
      </c>
      <c r="N203" t="n">
        <v>0</v>
      </c>
      <c r="O203" t="n">
        <v>0</v>
      </c>
      <c r="P203" t="n">
        <v>0</v>
      </c>
      <c r="Q203" t="n">
        <v>0</v>
      </c>
      <c r="R203" s="2" t="inlineStr"/>
    </row>
    <row r="204" ht="15" customHeight="1">
      <c r="A204" t="inlineStr">
        <is>
          <t>A 20020-2023</t>
        </is>
      </c>
      <c r="B204" s="1" t="n">
        <v>45054</v>
      </c>
      <c r="C204" s="1" t="n">
        <v>45565</v>
      </c>
      <c r="D204" t="inlineStr">
        <is>
          <t>VÄSTMANLANDS LÄN</t>
        </is>
      </c>
      <c r="E204" t="inlineStr">
        <is>
          <t>SURAHAMMAR</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20018-2023</t>
        </is>
      </c>
      <c r="B205" s="1" t="n">
        <v>45054</v>
      </c>
      <c r="C205" s="1" t="n">
        <v>45565</v>
      </c>
      <c r="D205" t="inlineStr">
        <is>
          <t>VÄSTMANLANDS LÄN</t>
        </is>
      </c>
      <c r="E205" t="inlineStr">
        <is>
          <t>SURAHAMMAR</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20019-2023</t>
        </is>
      </c>
      <c r="B206" s="1" t="n">
        <v>45054</v>
      </c>
      <c r="C206" s="1" t="n">
        <v>45565</v>
      </c>
      <c r="D206" t="inlineStr">
        <is>
          <t>VÄSTMANLANDS LÄN</t>
        </is>
      </c>
      <c r="E206" t="inlineStr">
        <is>
          <t>SURAHAMMAR</t>
        </is>
      </c>
      <c r="F206" t="inlineStr">
        <is>
          <t>Sveaskog</t>
        </is>
      </c>
      <c r="G206" t="n">
        <v>18.5</v>
      </c>
      <c r="H206" t="n">
        <v>0</v>
      </c>
      <c r="I206" t="n">
        <v>0</v>
      </c>
      <c r="J206" t="n">
        <v>0</v>
      </c>
      <c r="K206" t="n">
        <v>0</v>
      </c>
      <c r="L206" t="n">
        <v>0</v>
      </c>
      <c r="M206" t="n">
        <v>0</v>
      </c>
      <c r="N206" t="n">
        <v>0</v>
      </c>
      <c r="O206" t="n">
        <v>0</v>
      </c>
      <c r="P206" t="n">
        <v>0</v>
      </c>
      <c r="Q206" t="n">
        <v>0</v>
      </c>
      <c r="R206" s="2" t="inlineStr"/>
    </row>
    <row r="207" ht="15" customHeight="1">
      <c r="A207" t="inlineStr">
        <is>
          <t>A 20023-2023</t>
        </is>
      </c>
      <c r="B207" s="1" t="n">
        <v>45054</v>
      </c>
      <c r="C207" s="1" t="n">
        <v>45565</v>
      </c>
      <c r="D207" t="inlineStr">
        <is>
          <t>VÄSTMANLANDS LÄN</t>
        </is>
      </c>
      <c r="E207" t="inlineStr">
        <is>
          <t>SURAHAMMAR</t>
        </is>
      </c>
      <c r="F207" t="inlineStr">
        <is>
          <t>Sveaskog</t>
        </is>
      </c>
      <c r="G207" t="n">
        <v>7.8</v>
      </c>
      <c r="H207" t="n">
        <v>0</v>
      </c>
      <c r="I207" t="n">
        <v>0</v>
      </c>
      <c r="J207" t="n">
        <v>0</v>
      </c>
      <c r="K207" t="n">
        <v>0</v>
      </c>
      <c r="L207" t="n">
        <v>0</v>
      </c>
      <c r="M207" t="n">
        <v>0</v>
      </c>
      <c r="N207" t="n">
        <v>0</v>
      </c>
      <c r="O207" t="n">
        <v>0</v>
      </c>
      <c r="P207" t="n">
        <v>0</v>
      </c>
      <c r="Q207" t="n">
        <v>0</v>
      </c>
      <c r="R207" s="2" t="inlineStr"/>
    </row>
    <row r="208" ht="15" customHeight="1">
      <c r="A208" t="inlineStr">
        <is>
          <t>A 20429-2023</t>
        </is>
      </c>
      <c r="B208" s="1" t="n">
        <v>45056</v>
      </c>
      <c r="C208" s="1" t="n">
        <v>45565</v>
      </c>
      <c r="D208" t="inlineStr">
        <is>
          <t>VÄSTMANLANDS LÄN</t>
        </is>
      </c>
      <c r="E208" t="inlineStr">
        <is>
          <t>SURAHAMMAR</t>
        </is>
      </c>
      <c r="G208" t="n">
        <v>5</v>
      </c>
      <c r="H208" t="n">
        <v>0</v>
      </c>
      <c r="I208" t="n">
        <v>0</v>
      </c>
      <c r="J208" t="n">
        <v>0</v>
      </c>
      <c r="K208" t="n">
        <v>0</v>
      </c>
      <c r="L208" t="n">
        <v>0</v>
      </c>
      <c r="M208" t="n">
        <v>0</v>
      </c>
      <c r="N208" t="n">
        <v>0</v>
      </c>
      <c r="O208" t="n">
        <v>0</v>
      </c>
      <c r="P208" t="n">
        <v>0</v>
      </c>
      <c r="Q208" t="n">
        <v>0</v>
      </c>
      <c r="R208" s="2" t="inlineStr"/>
    </row>
    <row r="209" ht="15" customHeight="1">
      <c r="A209" t="inlineStr">
        <is>
          <t>A 20904-2023</t>
        </is>
      </c>
      <c r="B209" s="1" t="n">
        <v>45060</v>
      </c>
      <c r="C209" s="1" t="n">
        <v>45565</v>
      </c>
      <c r="D209" t="inlineStr">
        <is>
          <t>VÄSTMANLANDS LÄN</t>
        </is>
      </c>
      <c r="E209" t="inlineStr">
        <is>
          <t>SURAHAMMAR</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21906-2023</t>
        </is>
      </c>
      <c r="B210" s="1" t="n">
        <v>45068</v>
      </c>
      <c r="C210" s="1" t="n">
        <v>45565</v>
      </c>
      <c r="D210" t="inlineStr">
        <is>
          <t>VÄSTMANLANDS LÄN</t>
        </is>
      </c>
      <c r="E210" t="inlineStr">
        <is>
          <t>SURAHAMMAR</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21905-2023</t>
        </is>
      </c>
      <c r="B211" s="1" t="n">
        <v>45068</v>
      </c>
      <c r="C211" s="1" t="n">
        <v>45565</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21904-2023</t>
        </is>
      </c>
      <c r="B212" s="1" t="n">
        <v>45068</v>
      </c>
      <c r="C212" s="1" t="n">
        <v>45565</v>
      </c>
      <c r="D212" t="inlineStr">
        <is>
          <t>VÄSTMANLANDS LÄN</t>
        </is>
      </c>
      <c r="E212" t="inlineStr">
        <is>
          <t>SURAHAMMAR</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22915-2023</t>
        </is>
      </c>
      <c r="B213" s="1" t="n">
        <v>45070</v>
      </c>
      <c r="C213" s="1" t="n">
        <v>45565</v>
      </c>
      <c r="D213" t="inlineStr">
        <is>
          <t>VÄSTMANLANDS LÄN</t>
        </is>
      </c>
      <c r="E213" t="inlineStr">
        <is>
          <t>SURAHAMMAR</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22660-2023</t>
        </is>
      </c>
      <c r="B214" s="1" t="n">
        <v>45071</v>
      </c>
      <c r="C214" s="1" t="n">
        <v>45565</v>
      </c>
      <c r="D214" t="inlineStr">
        <is>
          <t>VÄSTMANLANDS LÄN</t>
        </is>
      </c>
      <c r="E214" t="inlineStr">
        <is>
          <t>SURAHAMMAR</t>
        </is>
      </c>
      <c r="F214" t="inlineStr">
        <is>
          <t>Sveaskog</t>
        </is>
      </c>
      <c r="G214" t="n">
        <v>15.3</v>
      </c>
      <c r="H214" t="n">
        <v>0</v>
      </c>
      <c r="I214" t="n">
        <v>0</v>
      </c>
      <c r="J214" t="n">
        <v>0</v>
      </c>
      <c r="K214" t="n">
        <v>0</v>
      </c>
      <c r="L214" t="n">
        <v>0</v>
      </c>
      <c r="M214" t="n">
        <v>0</v>
      </c>
      <c r="N214" t="n">
        <v>0</v>
      </c>
      <c r="O214" t="n">
        <v>0</v>
      </c>
      <c r="P214" t="n">
        <v>0</v>
      </c>
      <c r="Q214" t="n">
        <v>0</v>
      </c>
      <c r="R214" s="2" t="inlineStr"/>
    </row>
    <row r="215" ht="15" customHeight="1">
      <c r="A215" t="inlineStr">
        <is>
          <t>A 22662-2023</t>
        </is>
      </c>
      <c r="B215" s="1" t="n">
        <v>45071</v>
      </c>
      <c r="C215" s="1" t="n">
        <v>45565</v>
      </c>
      <c r="D215" t="inlineStr">
        <is>
          <t>VÄSTMANLANDS LÄN</t>
        </is>
      </c>
      <c r="E215" t="inlineStr">
        <is>
          <t>SURAHAMMAR</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22661-2023</t>
        </is>
      </c>
      <c r="B216" s="1" t="n">
        <v>45071</v>
      </c>
      <c r="C216" s="1" t="n">
        <v>45565</v>
      </c>
      <c r="D216" t="inlineStr">
        <is>
          <t>VÄSTMANLANDS LÄN</t>
        </is>
      </c>
      <c r="E216" t="inlineStr">
        <is>
          <t>SURAHAMMAR</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22659-2023</t>
        </is>
      </c>
      <c r="B217" s="1" t="n">
        <v>45071</v>
      </c>
      <c r="C217" s="1" t="n">
        <v>45565</v>
      </c>
      <c r="D217" t="inlineStr">
        <is>
          <t>VÄSTMANLANDS LÄN</t>
        </is>
      </c>
      <c r="E217" t="inlineStr">
        <is>
          <t>SURAHAMMAR</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23731-2023</t>
        </is>
      </c>
      <c r="B218" s="1" t="n">
        <v>45077</v>
      </c>
      <c r="C218" s="1" t="n">
        <v>45565</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24156-2023</t>
        </is>
      </c>
      <c r="B219" s="1" t="n">
        <v>45079</v>
      </c>
      <c r="C219" s="1" t="n">
        <v>45565</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24158-2023</t>
        </is>
      </c>
      <c r="B220" s="1" t="n">
        <v>45079</v>
      </c>
      <c r="C220" s="1" t="n">
        <v>45565</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24197-2023</t>
        </is>
      </c>
      <c r="B221" s="1" t="n">
        <v>45079</v>
      </c>
      <c r="C221" s="1" t="n">
        <v>45565</v>
      </c>
      <c r="D221" t="inlineStr">
        <is>
          <t>VÄSTMANLANDS LÄN</t>
        </is>
      </c>
      <c r="E221" t="inlineStr">
        <is>
          <t>SURAHAMMAR</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24180-2023</t>
        </is>
      </c>
      <c r="B222" s="1" t="n">
        <v>45079</v>
      </c>
      <c r="C222" s="1" t="n">
        <v>45565</v>
      </c>
      <c r="D222" t="inlineStr">
        <is>
          <t>VÄSTMANLANDS LÄN</t>
        </is>
      </c>
      <c r="E222" t="inlineStr">
        <is>
          <t>SURAHAMMAR</t>
        </is>
      </c>
      <c r="F222" t="inlineStr">
        <is>
          <t>Sveaskog</t>
        </is>
      </c>
      <c r="G222" t="n">
        <v>5.9</v>
      </c>
      <c r="H222" t="n">
        <v>0</v>
      </c>
      <c r="I222" t="n">
        <v>0</v>
      </c>
      <c r="J222" t="n">
        <v>0</v>
      </c>
      <c r="K222" t="n">
        <v>0</v>
      </c>
      <c r="L222" t="n">
        <v>0</v>
      </c>
      <c r="M222" t="n">
        <v>0</v>
      </c>
      <c r="N222" t="n">
        <v>0</v>
      </c>
      <c r="O222" t="n">
        <v>0</v>
      </c>
      <c r="P222" t="n">
        <v>0</v>
      </c>
      <c r="Q222" t="n">
        <v>0</v>
      </c>
      <c r="R222" s="2" t="inlineStr"/>
    </row>
    <row r="223" ht="15" customHeight="1">
      <c r="A223" t="inlineStr">
        <is>
          <t>A 24665-2023</t>
        </is>
      </c>
      <c r="B223" s="1" t="n">
        <v>45084</v>
      </c>
      <c r="C223" s="1" t="n">
        <v>45565</v>
      </c>
      <c r="D223" t="inlineStr">
        <is>
          <t>VÄSTMANLANDS LÄN</t>
        </is>
      </c>
      <c r="E223" t="inlineStr">
        <is>
          <t>SURAHAMMAR</t>
        </is>
      </c>
      <c r="G223" t="n">
        <v>0.9</v>
      </c>
      <c r="H223" t="n">
        <v>0</v>
      </c>
      <c r="I223" t="n">
        <v>0</v>
      </c>
      <c r="J223" t="n">
        <v>0</v>
      </c>
      <c r="K223" t="n">
        <v>0</v>
      </c>
      <c r="L223" t="n">
        <v>0</v>
      </c>
      <c r="M223" t="n">
        <v>0</v>
      </c>
      <c r="N223" t="n">
        <v>0</v>
      </c>
      <c r="O223" t="n">
        <v>0</v>
      </c>
      <c r="P223" t="n">
        <v>0</v>
      </c>
      <c r="Q223" t="n">
        <v>0</v>
      </c>
      <c r="R223" s="2" t="inlineStr"/>
    </row>
    <row r="224" ht="15" customHeight="1">
      <c r="A224" t="inlineStr">
        <is>
          <t>A 25775-2023</t>
        </is>
      </c>
      <c r="B224" s="1" t="n">
        <v>45090</v>
      </c>
      <c r="C224" s="1" t="n">
        <v>45565</v>
      </c>
      <c r="D224" t="inlineStr">
        <is>
          <t>VÄSTMANLANDS LÄN</t>
        </is>
      </c>
      <c r="E224" t="inlineStr">
        <is>
          <t>SURAHAMMAR</t>
        </is>
      </c>
      <c r="G224" t="n">
        <v>1.6</v>
      </c>
      <c r="H224" t="n">
        <v>0</v>
      </c>
      <c r="I224" t="n">
        <v>0</v>
      </c>
      <c r="J224" t="n">
        <v>0</v>
      </c>
      <c r="K224" t="n">
        <v>0</v>
      </c>
      <c r="L224" t="n">
        <v>0</v>
      </c>
      <c r="M224" t="n">
        <v>0</v>
      </c>
      <c r="N224" t="n">
        <v>0</v>
      </c>
      <c r="O224" t="n">
        <v>0</v>
      </c>
      <c r="P224" t="n">
        <v>0</v>
      </c>
      <c r="Q224" t="n">
        <v>0</v>
      </c>
      <c r="R224" s="2" t="inlineStr"/>
    </row>
    <row r="225" ht="15" customHeight="1">
      <c r="A225" t="inlineStr">
        <is>
          <t>A 25780-2023</t>
        </is>
      </c>
      <c r="B225" s="1" t="n">
        <v>45090</v>
      </c>
      <c r="C225" s="1" t="n">
        <v>45565</v>
      </c>
      <c r="D225" t="inlineStr">
        <is>
          <t>VÄSTMANLANDS LÄN</t>
        </is>
      </c>
      <c r="E225" t="inlineStr">
        <is>
          <t>SURAHAMMAR</t>
        </is>
      </c>
      <c r="G225" t="n">
        <v>2.8</v>
      </c>
      <c r="H225" t="n">
        <v>0</v>
      </c>
      <c r="I225" t="n">
        <v>0</v>
      </c>
      <c r="J225" t="n">
        <v>0</v>
      </c>
      <c r="K225" t="n">
        <v>0</v>
      </c>
      <c r="L225" t="n">
        <v>0</v>
      </c>
      <c r="M225" t="n">
        <v>0</v>
      </c>
      <c r="N225" t="n">
        <v>0</v>
      </c>
      <c r="O225" t="n">
        <v>0</v>
      </c>
      <c r="P225" t="n">
        <v>0</v>
      </c>
      <c r="Q225" t="n">
        <v>0</v>
      </c>
      <c r="R225" s="2" t="inlineStr"/>
    </row>
    <row r="226" ht="15" customHeight="1">
      <c r="A226" t="inlineStr">
        <is>
          <t>A 27140-2023</t>
        </is>
      </c>
      <c r="B226" s="1" t="n">
        <v>45096</v>
      </c>
      <c r="C226" s="1" t="n">
        <v>45565</v>
      </c>
      <c r="D226" t="inlineStr">
        <is>
          <t>VÄSTMANLANDS LÄN</t>
        </is>
      </c>
      <c r="E226" t="inlineStr">
        <is>
          <t>SURAHAMMAR</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27156-2023</t>
        </is>
      </c>
      <c r="B227" s="1" t="n">
        <v>45096</v>
      </c>
      <c r="C227" s="1" t="n">
        <v>45565</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27142-2023</t>
        </is>
      </c>
      <c r="B228" s="1" t="n">
        <v>45096</v>
      </c>
      <c r="C228" s="1" t="n">
        <v>45565</v>
      </c>
      <c r="D228" t="inlineStr">
        <is>
          <t>VÄSTMANLANDS LÄN</t>
        </is>
      </c>
      <c r="E228" t="inlineStr">
        <is>
          <t>SURAHAMMAR</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27171-2023</t>
        </is>
      </c>
      <c r="B229" s="1" t="n">
        <v>45096</v>
      </c>
      <c r="C229" s="1" t="n">
        <v>45565</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28051-2023</t>
        </is>
      </c>
      <c r="B230" s="1" t="n">
        <v>45099</v>
      </c>
      <c r="C230" s="1" t="n">
        <v>45565</v>
      </c>
      <c r="D230" t="inlineStr">
        <is>
          <t>VÄSTMANLANDS LÄN</t>
        </is>
      </c>
      <c r="E230" t="inlineStr">
        <is>
          <t>SURAHAMMAR</t>
        </is>
      </c>
      <c r="F230" t="inlineStr">
        <is>
          <t>Allmännings- och besparingsskogar</t>
        </is>
      </c>
      <c r="G230" t="n">
        <v>23.3</v>
      </c>
      <c r="H230" t="n">
        <v>0</v>
      </c>
      <c r="I230" t="n">
        <v>0</v>
      </c>
      <c r="J230" t="n">
        <v>0</v>
      </c>
      <c r="K230" t="n">
        <v>0</v>
      </c>
      <c r="L230" t="n">
        <v>0</v>
      </c>
      <c r="M230" t="n">
        <v>0</v>
      </c>
      <c r="N230" t="n">
        <v>0</v>
      </c>
      <c r="O230" t="n">
        <v>0</v>
      </c>
      <c r="P230" t="n">
        <v>0</v>
      </c>
      <c r="Q230" t="n">
        <v>0</v>
      </c>
      <c r="R230" s="2" t="inlineStr"/>
    </row>
    <row r="231" ht="15" customHeight="1">
      <c r="A231" t="inlineStr">
        <is>
          <t>A 30076-2023</t>
        </is>
      </c>
      <c r="B231" s="1" t="n">
        <v>45110</v>
      </c>
      <c r="C231" s="1" t="n">
        <v>45565</v>
      </c>
      <c r="D231" t="inlineStr">
        <is>
          <t>VÄSTMANLANDS LÄN</t>
        </is>
      </c>
      <c r="E231" t="inlineStr">
        <is>
          <t>SURAHAMMAR</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37138-2023</t>
        </is>
      </c>
      <c r="B232" s="1" t="n">
        <v>45155</v>
      </c>
      <c r="C232" s="1" t="n">
        <v>45565</v>
      </c>
      <c r="D232" t="inlineStr">
        <is>
          <t>VÄSTMANLANDS LÄN</t>
        </is>
      </c>
      <c r="E232" t="inlineStr">
        <is>
          <t>SURAHAMMAR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37287-2023</t>
        </is>
      </c>
      <c r="B233" s="1" t="n">
        <v>45156</v>
      </c>
      <c r="C233" s="1" t="n">
        <v>45565</v>
      </c>
      <c r="D233" t="inlineStr">
        <is>
          <t>VÄSTMANLANDS LÄN</t>
        </is>
      </c>
      <c r="E233" t="inlineStr">
        <is>
          <t>SURAHAMMAR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37635-2023</t>
        </is>
      </c>
      <c r="B234" s="1" t="n">
        <v>45159</v>
      </c>
      <c r="C234" s="1" t="n">
        <v>45565</v>
      </c>
      <c r="D234" t="inlineStr">
        <is>
          <t>VÄSTMANLANDS LÄN</t>
        </is>
      </c>
      <c r="E234" t="inlineStr">
        <is>
          <t>SURAHAMMAR</t>
        </is>
      </c>
      <c r="G234" t="n">
        <v>1</v>
      </c>
      <c r="H234" t="n">
        <v>0</v>
      </c>
      <c r="I234" t="n">
        <v>0</v>
      </c>
      <c r="J234" t="n">
        <v>0</v>
      </c>
      <c r="K234" t="n">
        <v>0</v>
      </c>
      <c r="L234" t="n">
        <v>0</v>
      </c>
      <c r="M234" t="n">
        <v>0</v>
      </c>
      <c r="N234" t="n">
        <v>0</v>
      </c>
      <c r="O234" t="n">
        <v>0</v>
      </c>
      <c r="P234" t="n">
        <v>0</v>
      </c>
      <c r="Q234" t="n">
        <v>0</v>
      </c>
      <c r="R234" s="2" t="inlineStr"/>
    </row>
    <row r="235" ht="15" customHeight="1">
      <c r="A235" t="inlineStr">
        <is>
          <t>A 37639-2023</t>
        </is>
      </c>
      <c r="B235" s="1" t="n">
        <v>45159</v>
      </c>
      <c r="C235" s="1" t="n">
        <v>45565</v>
      </c>
      <c r="D235" t="inlineStr">
        <is>
          <t>VÄSTMANLANDS LÄN</t>
        </is>
      </c>
      <c r="E235" t="inlineStr">
        <is>
          <t>SURAHAMMAR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40956-2023</t>
        </is>
      </c>
      <c r="B236" s="1" t="n">
        <v>45169</v>
      </c>
      <c r="C236" s="1" t="n">
        <v>45565</v>
      </c>
      <c r="D236" t="inlineStr">
        <is>
          <t>VÄSTMANLANDS LÄN</t>
        </is>
      </c>
      <c r="E236" t="inlineStr">
        <is>
          <t>SURAHAMMAR</t>
        </is>
      </c>
      <c r="F236" t="inlineStr">
        <is>
          <t>Bergvik skog väst AB</t>
        </is>
      </c>
      <c r="G236" t="n">
        <v>7.6</v>
      </c>
      <c r="H236" t="n">
        <v>0</v>
      </c>
      <c r="I236" t="n">
        <v>0</v>
      </c>
      <c r="J236" t="n">
        <v>0</v>
      </c>
      <c r="K236" t="n">
        <v>0</v>
      </c>
      <c r="L236" t="n">
        <v>0</v>
      </c>
      <c r="M236" t="n">
        <v>0</v>
      </c>
      <c r="N236" t="n">
        <v>0</v>
      </c>
      <c r="O236" t="n">
        <v>0</v>
      </c>
      <c r="P236" t="n">
        <v>0</v>
      </c>
      <c r="Q236" t="n">
        <v>0</v>
      </c>
      <c r="R236" s="2" t="inlineStr"/>
    </row>
    <row r="237" ht="15" customHeight="1">
      <c r="A237" t="inlineStr">
        <is>
          <t>A 40445-2023</t>
        </is>
      </c>
      <c r="B237" s="1" t="n">
        <v>45170</v>
      </c>
      <c r="C237" s="1" t="n">
        <v>45565</v>
      </c>
      <c r="D237" t="inlineStr">
        <is>
          <t>VÄSTMANLANDS LÄN</t>
        </is>
      </c>
      <c r="E237" t="inlineStr">
        <is>
          <t>SURAHAMMAR</t>
        </is>
      </c>
      <c r="G237" t="n">
        <v>15.6</v>
      </c>
      <c r="H237" t="n">
        <v>0</v>
      </c>
      <c r="I237" t="n">
        <v>0</v>
      </c>
      <c r="J237" t="n">
        <v>0</v>
      </c>
      <c r="K237" t="n">
        <v>0</v>
      </c>
      <c r="L237" t="n">
        <v>0</v>
      </c>
      <c r="M237" t="n">
        <v>0</v>
      </c>
      <c r="N237" t="n">
        <v>0</v>
      </c>
      <c r="O237" t="n">
        <v>0</v>
      </c>
      <c r="P237" t="n">
        <v>0</v>
      </c>
      <c r="Q237" t="n">
        <v>0</v>
      </c>
      <c r="R237" s="2" t="inlineStr"/>
    </row>
    <row r="238" ht="15" customHeight="1">
      <c r="A238" t="inlineStr">
        <is>
          <t>A 48906-2023</t>
        </is>
      </c>
      <c r="B238" s="1" t="n">
        <v>45203</v>
      </c>
      <c r="C238" s="1" t="n">
        <v>45565</v>
      </c>
      <c r="D238" t="inlineStr">
        <is>
          <t>VÄSTMANLANDS LÄN</t>
        </is>
      </c>
      <c r="E238" t="inlineStr">
        <is>
          <t>SURAHAMMAR</t>
        </is>
      </c>
      <c r="F238" t="inlineStr">
        <is>
          <t>Bergvik skog väst AB</t>
        </is>
      </c>
      <c r="G238" t="n">
        <v>2.5</v>
      </c>
      <c r="H238" t="n">
        <v>0</v>
      </c>
      <c r="I238" t="n">
        <v>0</v>
      </c>
      <c r="J238" t="n">
        <v>0</v>
      </c>
      <c r="K238" t="n">
        <v>0</v>
      </c>
      <c r="L238" t="n">
        <v>0</v>
      </c>
      <c r="M238" t="n">
        <v>0</v>
      </c>
      <c r="N238" t="n">
        <v>0</v>
      </c>
      <c r="O238" t="n">
        <v>0</v>
      </c>
      <c r="P238" t="n">
        <v>0</v>
      </c>
      <c r="Q238" t="n">
        <v>0</v>
      </c>
      <c r="R238" s="2" t="inlineStr"/>
      <c r="U238">
        <f>HYPERLINK("https://klasma.github.io/Logging_1907/knärot/A 48906-2023 karta knärot.png", "A 48906-2023")</f>
        <v/>
      </c>
      <c r="V238">
        <f>HYPERLINK("https://klasma.github.io/Logging_1907/klagomål/A 48906-2023 FSC-klagomål.docx", "A 48906-2023")</f>
        <v/>
      </c>
      <c r="W238">
        <f>HYPERLINK("https://klasma.github.io/Logging_1907/klagomålsmail/A 48906-2023 FSC-klagomål mail.docx", "A 48906-2023")</f>
        <v/>
      </c>
      <c r="X238">
        <f>HYPERLINK("https://klasma.github.io/Logging_1907/tillsyn/A 48906-2023 tillsynsbegäran.docx", "A 48906-2023")</f>
        <v/>
      </c>
      <c r="Y238">
        <f>HYPERLINK("https://klasma.github.io/Logging_1907/tillsynsmail/A 48906-2023 tillsynsbegäran mail.docx", "A 48906-2023")</f>
        <v/>
      </c>
    </row>
    <row r="239" ht="15" customHeight="1">
      <c r="A239" t="inlineStr">
        <is>
          <t>A 48205-2023</t>
        </is>
      </c>
      <c r="B239" s="1" t="n">
        <v>45205</v>
      </c>
      <c r="C239" s="1" t="n">
        <v>45565</v>
      </c>
      <c r="D239" t="inlineStr">
        <is>
          <t>VÄSTMANLANDS LÄN</t>
        </is>
      </c>
      <c r="E239" t="inlineStr">
        <is>
          <t>SURAHAMMAR</t>
        </is>
      </c>
      <c r="F239" t="inlineStr">
        <is>
          <t>Allmännings- och besparingsskogar</t>
        </is>
      </c>
      <c r="G239" t="n">
        <v>7.6</v>
      </c>
      <c r="H239" t="n">
        <v>0</v>
      </c>
      <c r="I239" t="n">
        <v>0</v>
      </c>
      <c r="J239" t="n">
        <v>0</v>
      </c>
      <c r="K239" t="n">
        <v>0</v>
      </c>
      <c r="L239" t="n">
        <v>0</v>
      </c>
      <c r="M239" t="n">
        <v>0</v>
      </c>
      <c r="N239" t="n">
        <v>0</v>
      </c>
      <c r="O239" t="n">
        <v>0</v>
      </c>
      <c r="P239" t="n">
        <v>0</v>
      </c>
      <c r="Q239" t="n">
        <v>0</v>
      </c>
      <c r="R239" s="2" t="inlineStr"/>
    </row>
    <row r="240" ht="15" customHeight="1">
      <c r="A240" t="inlineStr">
        <is>
          <t>A 56378-2023</t>
        </is>
      </c>
      <c r="B240" s="1" t="n">
        <v>45236</v>
      </c>
      <c r="C240" s="1" t="n">
        <v>45565</v>
      </c>
      <c r="D240" t="inlineStr">
        <is>
          <t>VÄSTMANLANDS LÄN</t>
        </is>
      </c>
      <c r="E240" t="inlineStr">
        <is>
          <t>SURAHAMMAR</t>
        </is>
      </c>
      <c r="F240" t="inlineStr">
        <is>
          <t>Bergvik skog väst AB</t>
        </is>
      </c>
      <c r="G240" t="n">
        <v>3.6</v>
      </c>
      <c r="H240" t="n">
        <v>0</v>
      </c>
      <c r="I240" t="n">
        <v>0</v>
      </c>
      <c r="J240" t="n">
        <v>0</v>
      </c>
      <c r="K240" t="n">
        <v>0</v>
      </c>
      <c r="L240" t="n">
        <v>0</v>
      </c>
      <c r="M240" t="n">
        <v>0</v>
      </c>
      <c r="N240" t="n">
        <v>0</v>
      </c>
      <c r="O240" t="n">
        <v>0</v>
      </c>
      <c r="P240" t="n">
        <v>0</v>
      </c>
      <c r="Q240" t="n">
        <v>0</v>
      </c>
      <c r="R240" s="2" t="inlineStr"/>
    </row>
    <row r="241" ht="15" customHeight="1">
      <c r="A241" t="inlineStr">
        <is>
          <t>A 56183-2023</t>
        </is>
      </c>
      <c r="B241" s="1" t="n">
        <v>45240</v>
      </c>
      <c r="C241" s="1" t="n">
        <v>45565</v>
      </c>
      <c r="D241" t="inlineStr">
        <is>
          <t>VÄSTMANLANDS LÄN</t>
        </is>
      </c>
      <c r="E241" t="inlineStr">
        <is>
          <t>SURAHAMMAR</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58338-2023</t>
        </is>
      </c>
      <c r="B242" s="1" t="n">
        <v>45250</v>
      </c>
      <c r="C242" s="1" t="n">
        <v>45565</v>
      </c>
      <c r="D242" t="inlineStr">
        <is>
          <t>VÄSTMANLANDS LÄN</t>
        </is>
      </c>
      <c r="E242" t="inlineStr">
        <is>
          <t>SURAHAMMAR</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58356-2023</t>
        </is>
      </c>
      <c r="B243" s="1" t="n">
        <v>45250</v>
      </c>
      <c r="C243" s="1" t="n">
        <v>45565</v>
      </c>
      <c r="D243" t="inlineStr">
        <is>
          <t>VÄSTMANLANDS LÄN</t>
        </is>
      </c>
      <c r="E243" t="inlineStr">
        <is>
          <t>SURAHAMMAR</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59317-2023</t>
        </is>
      </c>
      <c r="B244" s="1" t="n">
        <v>45253</v>
      </c>
      <c r="C244" s="1" t="n">
        <v>45565</v>
      </c>
      <c r="D244" t="inlineStr">
        <is>
          <t>VÄSTMANLANDS LÄN</t>
        </is>
      </c>
      <c r="E244" t="inlineStr">
        <is>
          <t>SURAHAMMAR</t>
        </is>
      </c>
      <c r="G244" t="n">
        <v>7.1</v>
      </c>
      <c r="H244" t="n">
        <v>0</v>
      </c>
      <c r="I244" t="n">
        <v>0</v>
      </c>
      <c r="J244" t="n">
        <v>0</v>
      </c>
      <c r="K244" t="n">
        <v>0</v>
      </c>
      <c r="L244" t="n">
        <v>0</v>
      </c>
      <c r="M244" t="n">
        <v>0</v>
      </c>
      <c r="N244" t="n">
        <v>0</v>
      </c>
      <c r="O244" t="n">
        <v>0</v>
      </c>
      <c r="P244" t="n">
        <v>0</v>
      </c>
      <c r="Q244" t="n">
        <v>0</v>
      </c>
      <c r="R244" s="2" t="inlineStr"/>
    </row>
    <row r="245" ht="15" customHeight="1">
      <c r="A245" t="inlineStr">
        <is>
          <t>A 64343-2023</t>
        </is>
      </c>
      <c r="B245" s="1" t="n">
        <v>45280</v>
      </c>
      <c r="C245" s="1" t="n">
        <v>45565</v>
      </c>
      <c r="D245" t="inlineStr">
        <is>
          <t>VÄSTMANLANDS LÄN</t>
        </is>
      </c>
      <c r="E245" t="inlineStr">
        <is>
          <t>SURAHAMMAR</t>
        </is>
      </c>
      <c r="G245" t="n">
        <v>2.9</v>
      </c>
      <c r="H245" t="n">
        <v>0</v>
      </c>
      <c r="I245" t="n">
        <v>0</v>
      </c>
      <c r="J245" t="n">
        <v>0</v>
      </c>
      <c r="K245" t="n">
        <v>0</v>
      </c>
      <c r="L245" t="n">
        <v>0</v>
      </c>
      <c r="M245" t="n">
        <v>0</v>
      </c>
      <c r="N245" t="n">
        <v>0</v>
      </c>
      <c r="O245" t="n">
        <v>0</v>
      </c>
      <c r="P245" t="n">
        <v>0</v>
      </c>
      <c r="Q245" t="n">
        <v>0</v>
      </c>
      <c r="R245" s="2" t="inlineStr"/>
    </row>
    <row r="246" ht="15" customHeight="1">
      <c r="A246" t="inlineStr">
        <is>
          <t>A 1316-2024</t>
        </is>
      </c>
      <c r="B246" s="1" t="n">
        <v>45303</v>
      </c>
      <c r="C246" s="1" t="n">
        <v>45565</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2680-2024</t>
        </is>
      </c>
      <c r="B247" s="1" t="n">
        <v>45310</v>
      </c>
      <c r="C247" s="1" t="n">
        <v>45565</v>
      </c>
      <c r="D247" t="inlineStr">
        <is>
          <t>VÄSTMANLANDS LÄN</t>
        </is>
      </c>
      <c r="E247" t="inlineStr">
        <is>
          <t>SURAHAMMAR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2660-2024</t>
        </is>
      </c>
      <c r="B248" s="1" t="n">
        <v>45310</v>
      </c>
      <c r="C248" s="1" t="n">
        <v>45565</v>
      </c>
      <c r="D248" t="inlineStr">
        <is>
          <t>VÄSTMANLANDS LÄN</t>
        </is>
      </c>
      <c r="E248" t="inlineStr">
        <is>
          <t>SURAHAMMAR</t>
        </is>
      </c>
      <c r="G248" t="n">
        <v>2.1</v>
      </c>
      <c r="H248" t="n">
        <v>0</v>
      </c>
      <c r="I248" t="n">
        <v>0</v>
      </c>
      <c r="J248" t="n">
        <v>0</v>
      </c>
      <c r="K248" t="n">
        <v>0</v>
      </c>
      <c r="L248" t="n">
        <v>0</v>
      </c>
      <c r="M248" t="n">
        <v>0</v>
      </c>
      <c r="N248" t="n">
        <v>0</v>
      </c>
      <c r="O248" t="n">
        <v>0</v>
      </c>
      <c r="P248" t="n">
        <v>0</v>
      </c>
      <c r="Q248" t="n">
        <v>0</v>
      </c>
      <c r="R248" s="2" t="inlineStr"/>
    </row>
    <row r="249" ht="15" customHeight="1">
      <c r="A249" t="inlineStr">
        <is>
          <t>A 2866-2024</t>
        </is>
      </c>
      <c r="B249" s="1" t="n">
        <v>45315</v>
      </c>
      <c r="C249" s="1" t="n">
        <v>45565</v>
      </c>
      <c r="D249" t="inlineStr">
        <is>
          <t>VÄSTMANLANDS LÄN</t>
        </is>
      </c>
      <c r="E249" t="inlineStr">
        <is>
          <t>SURAHAMMAR</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2867-2024</t>
        </is>
      </c>
      <c r="B250" s="1" t="n">
        <v>45315</v>
      </c>
      <c r="C250" s="1" t="n">
        <v>45565</v>
      </c>
      <c r="D250" t="inlineStr">
        <is>
          <t>VÄSTMANLANDS LÄN</t>
        </is>
      </c>
      <c r="E250" t="inlineStr">
        <is>
          <t>SURAHAMMAR</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4759-2024</t>
        </is>
      </c>
      <c r="B251" s="1" t="n">
        <v>45328</v>
      </c>
      <c r="C251" s="1" t="n">
        <v>45565</v>
      </c>
      <c r="D251" t="inlineStr">
        <is>
          <t>VÄSTMANLANDS LÄN</t>
        </is>
      </c>
      <c r="E251" t="inlineStr">
        <is>
          <t>SURAHAMMAR</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5168-2024</t>
        </is>
      </c>
      <c r="B252" s="1" t="n">
        <v>45330</v>
      </c>
      <c r="C252" s="1" t="n">
        <v>45565</v>
      </c>
      <c r="D252" t="inlineStr">
        <is>
          <t>VÄSTMANLANDS LÄN</t>
        </is>
      </c>
      <c r="E252" t="inlineStr">
        <is>
          <t>SURAHAMMAR</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7787-2024</t>
        </is>
      </c>
      <c r="B253" s="1" t="n">
        <v>45348</v>
      </c>
      <c r="C253" s="1" t="n">
        <v>45565</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7782-2024</t>
        </is>
      </c>
      <c r="B254" s="1" t="n">
        <v>45349</v>
      </c>
      <c r="C254" s="1" t="n">
        <v>45565</v>
      </c>
      <c r="D254" t="inlineStr">
        <is>
          <t>VÄSTMANLANDS LÄN</t>
        </is>
      </c>
      <c r="E254" t="inlineStr">
        <is>
          <t>SURAHAMMAR</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8066-2024</t>
        </is>
      </c>
      <c r="B255" s="1" t="n">
        <v>45351</v>
      </c>
      <c r="C255" s="1" t="n">
        <v>45565</v>
      </c>
      <c r="D255" t="inlineStr">
        <is>
          <t>VÄSTMANLANDS LÄN</t>
        </is>
      </c>
      <c r="E255" t="inlineStr">
        <is>
          <t>SURAHAMMAR</t>
        </is>
      </c>
      <c r="G255" t="n">
        <v>12.7</v>
      </c>
      <c r="H255" t="n">
        <v>0</v>
      </c>
      <c r="I255" t="n">
        <v>0</v>
      </c>
      <c r="J255" t="n">
        <v>0</v>
      </c>
      <c r="K255" t="n">
        <v>0</v>
      </c>
      <c r="L255" t="n">
        <v>0</v>
      </c>
      <c r="M255" t="n">
        <v>0</v>
      </c>
      <c r="N255" t="n">
        <v>0</v>
      </c>
      <c r="O255" t="n">
        <v>0</v>
      </c>
      <c r="P255" t="n">
        <v>0</v>
      </c>
      <c r="Q255" t="n">
        <v>0</v>
      </c>
      <c r="R255" s="2" t="inlineStr"/>
    </row>
    <row r="256" ht="15" customHeight="1">
      <c r="A256" t="inlineStr">
        <is>
          <t>A 9741-2024</t>
        </is>
      </c>
      <c r="B256" s="1" t="n">
        <v>45362</v>
      </c>
      <c r="C256" s="1" t="n">
        <v>45565</v>
      </c>
      <c r="D256" t="inlineStr">
        <is>
          <t>VÄSTMANLANDS LÄN</t>
        </is>
      </c>
      <c r="E256" t="inlineStr">
        <is>
          <t>SURAHAMMAR</t>
        </is>
      </c>
      <c r="G256" t="n">
        <v>4.6</v>
      </c>
      <c r="H256" t="n">
        <v>0</v>
      </c>
      <c r="I256" t="n">
        <v>0</v>
      </c>
      <c r="J256" t="n">
        <v>0</v>
      </c>
      <c r="K256" t="n">
        <v>0</v>
      </c>
      <c r="L256" t="n">
        <v>0</v>
      </c>
      <c r="M256" t="n">
        <v>0</v>
      </c>
      <c r="N256" t="n">
        <v>0</v>
      </c>
      <c r="O256" t="n">
        <v>0</v>
      </c>
      <c r="P256" t="n">
        <v>0</v>
      </c>
      <c r="Q256" t="n">
        <v>0</v>
      </c>
      <c r="R256" s="2" t="inlineStr"/>
    </row>
    <row r="257" ht="15" customHeight="1">
      <c r="A257" t="inlineStr">
        <is>
          <t>A 20705-2024</t>
        </is>
      </c>
      <c r="B257" s="1" t="n">
        <v>45436</v>
      </c>
      <c r="C257" s="1" t="n">
        <v>45565</v>
      </c>
      <c r="D257" t="inlineStr">
        <is>
          <t>VÄSTMANLANDS LÄN</t>
        </is>
      </c>
      <c r="E257" t="inlineStr">
        <is>
          <t>SURAHAMMAR</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21509-2024</t>
        </is>
      </c>
      <c r="B258" s="1" t="n">
        <v>45441</v>
      </c>
      <c r="C258" s="1" t="n">
        <v>45565</v>
      </c>
      <c r="D258" t="inlineStr">
        <is>
          <t>VÄSTMANLANDS LÄN</t>
        </is>
      </c>
      <c r="E258" t="inlineStr">
        <is>
          <t>SURAHAMMAR</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24167-2024</t>
        </is>
      </c>
      <c r="B259" s="1" t="n">
        <v>45456</v>
      </c>
      <c r="C259" s="1" t="n">
        <v>45565</v>
      </c>
      <c r="D259" t="inlineStr">
        <is>
          <t>VÄSTMANLANDS LÄN</t>
        </is>
      </c>
      <c r="E259" t="inlineStr">
        <is>
          <t>SURAHAMMAR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24168-2024</t>
        </is>
      </c>
      <c r="B260" s="1" t="n">
        <v>45456</v>
      </c>
      <c r="C260" s="1" t="n">
        <v>45565</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24570-2024</t>
        </is>
      </c>
      <c r="B261" s="1" t="n">
        <v>45460</v>
      </c>
      <c r="C261" s="1" t="n">
        <v>45565</v>
      </c>
      <c r="D261" t="inlineStr">
        <is>
          <t>VÄSTMANLANDS LÄN</t>
        </is>
      </c>
      <c r="E261" t="inlineStr">
        <is>
          <t>SURAHAMMAR</t>
        </is>
      </c>
      <c r="G261" t="n">
        <v>0.8</v>
      </c>
      <c r="H261" t="n">
        <v>0</v>
      </c>
      <c r="I261" t="n">
        <v>0</v>
      </c>
      <c r="J261" t="n">
        <v>0</v>
      </c>
      <c r="K261" t="n">
        <v>0</v>
      </c>
      <c r="L261" t="n">
        <v>0</v>
      </c>
      <c r="M261" t="n">
        <v>0</v>
      </c>
      <c r="N261" t="n">
        <v>0</v>
      </c>
      <c r="O261" t="n">
        <v>0</v>
      </c>
      <c r="P261" t="n">
        <v>0</v>
      </c>
      <c r="Q261" t="n">
        <v>0</v>
      </c>
      <c r="R261" s="2" t="inlineStr"/>
    </row>
    <row r="262" ht="15" customHeight="1">
      <c r="A262" t="inlineStr">
        <is>
          <t>A 24530-2024</t>
        </is>
      </c>
      <c r="B262" s="1" t="n">
        <v>45460</v>
      </c>
      <c r="C262" s="1" t="n">
        <v>45565</v>
      </c>
      <c r="D262" t="inlineStr">
        <is>
          <t>VÄSTMANLANDS LÄN</t>
        </is>
      </c>
      <c r="E262" t="inlineStr">
        <is>
          <t>SURAHAMMAR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25450-2024</t>
        </is>
      </c>
      <c r="B263" s="1" t="n">
        <v>45463</v>
      </c>
      <c r="C263" s="1" t="n">
        <v>45565</v>
      </c>
      <c r="D263" t="inlineStr">
        <is>
          <t>VÄSTMANLANDS LÄN</t>
        </is>
      </c>
      <c r="E263" t="inlineStr">
        <is>
          <t>SURAHAMMAR</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25417-2024</t>
        </is>
      </c>
      <c r="B264" s="1" t="n">
        <v>45463</v>
      </c>
      <c r="C264" s="1" t="n">
        <v>45565</v>
      </c>
      <c r="D264" t="inlineStr">
        <is>
          <t>VÄSTMANLANDS LÄN</t>
        </is>
      </c>
      <c r="E264" t="inlineStr">
        <is>
          <t>SURAHAMMAR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26878-2024</t>
        </is>
      </c>
      <c r="B265" s="1" t="n">
        <v>45470</v>
      </c>
      <c r="C265" s="1" t="n">
        <v>45565</v>
      </c>
      <c r="D265" t="inlineStr">
        <is>
          <t>VÄSTMANLANDS LÄN</t>
        </is>
      </c>
      <c r="E265" t="inlineStr">
        <is>
          <t>SURAHAMMAR</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28812-2024</t>
        </is>
      </c>
      <c r="B266" s="1" t="n">
        <v>45478</v>
      </c>
      <c r="C266" s="1" t="n">
        <v>45565</v>
      </c>
      <c r="D266" t="inlineStr">
        <is>
          <t>VÄSTMANLANDS LÄN</t>
        </is>
      </c>
      <c r="E266" t="inlineStr">
        <is>
          <t>SURAHAMMAR</t>
        </is>
      </c>
      <c r="F266" t="inlineStr">
        <is>
          <t>Bergvik skog väst AB</t>
        </is>
      </c>
      <c r="G266" t="n">
        <v>17.8</v>
      </c>
      <c r="H266" t="n">
        <v>0</v>
      </c>
      <c r="I266" t="n">
        <v>0</v>
      </c>
      <c r="J266" t="n">
        <v>0</v>
      </c>
      <c r="K266" t="n">
        <v>0</v>
      </c>
      <c r="L266" t="n">
        <v>0</v>
      </c>
      <c r="M266" t="n">
        <v>0</v>
      </c>
      <c r="N266" t="n">
        <v>0</v>
      </c>
      <c r="O266" t="n">
        <v>0</v>
      </c>
      <c r="P266" t="n">
        <v>0</v>
      </c>
      <c r="Q266" t="n">
        <v>0</v>
      </c>
      <c r="R266" s="2" t="inlineStr"/>
    </row>
    <row r="267" ht="15" customHeight="1">
      <c r="A267" t="inlineStr">
        <is>
          <t>A 29158-2024</t>
        </is>
      </c>
      <c r="B267" s="1" t="n">
        <v>45482</v>
      </c>
      <c r="C267" s="1" t="n">
        <v>45565</v>
      </c>
      <c r="D267" t="inlineStr">
        <is>
          <t>VÄSTMANLANDS LÄN</t>
        </is>
      </c>
      <c r="E267" t="inlineStr">
        <is>
          <t>SURAHAMMAR</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31192-2024</t>
        </is>
      </c>
      <c r="B268" s="1" t="n">
        <v>45503</v>
      </c>
      <c r="C268" s="1" t="n">
        <v>45565</v>
      </c>
      <c r="D268" t="inlineStr">
        <is>
          <t>VÄSTMANLANDS LÄN</t>
        </is>
      </c>
      <c r="E268" t="inlineStr">
        <is>
          <t>SURAHAMMAR</t>
        </is>
      </c>
      <c r="F268" t="inlineStr">
        <is>
          <t>Allmännings- och besparingsskogar</t>
        </is>
      </c>
      <c r="G268" t="n">
        <v>17.2</v>
      </c>
      <c r="H268" t="n">
        <v>0</v>
      </c>
      <c r="I268" t="n">
        <v>0</v>
      </c>
      <c r="J268" t="n">
        <v>0</v>
      </c>
      <c r="K268" t="n">
        <v>0</v>
      </c>
      <c r="L268" t="n">
        <v>0</v>
      </c>
      <c r="M268" t="n">
        <v>0</v>
      </c>
      <c r="N268" t="n">
        <v>0</v>
      </c>
      <c r="O268" t="n">
        <v>0</v>
      </c>
      <c r="P268" t="n">
        <v>0</v>
      </c>
      <c r="Q268" t="n">
        <v>0</v>
      </c>
      <c r="R268" s="2" t="inlineStr"/>
    </row>
    <row r="269" ht="15" customHeight="1">
      <c r="A269" t="inlineStr">
        <is>
          <t>A 31176-2024</t>
        </is>
      </c>
      <c r="B269" s="1" t="n">
        <v>45503</v>
      </c>
      <c r="C269" s="1" t="n">
        <v>45565</v>
      </c>
      <c r="D269" t="inlineStr">
        <is>
          <t>VÄSTMANLANDS LÄN</t>
        </is>
      </c>
      <c r="E269" t="inlineStr">
        <is>
          <t>SURAHAMMAR</t>
        </is>
      </c>
      <c r="F269" t="inlineStr">
        <is>
          <t>Allmännings- och besparingsskogar</t>
        </is>
      </c>
      <c r="G269" t="n">
        <v>10.7</v>
      </c>
      <c r="H269" t="n">
        <v>0</v>
      </c>
      <c r="I269" t="n">
        <v>0</v>
      </c>
      <c r="J269" t="n">
        <v>0</v>
      </c>
      <c r="K269" t="n">
        <v>0</v>
      </c>
      <c r="L269" t="n">
        <v>0</v>
      </c>
      <c r="M269" t="n">
        <v>0</v>
      </c>
      <c r="N269" t="n">
        <v>0</v>
      </c>
      <c r="O269" t="n">
        <v>0</v>
      </c>
      <c r="P269" t="n">
        <v>0</v>
      </c>
      <c r="Q269" t="n">
        <v>0</v>
      </c>
      <c r="R269" s="2" t="inlineStr"/>
    </row>
    <row r="270" ht="15" customHeight="1">
      <c r="A270" t="inlineStr">
        <is>
          <t>A 32808-2024</t>
        </is>
      </c>
      <c r="B270" s="1" t="n">
        <v>45516</v>
      </c>
      <c r="C270" s="1" t="n">
        <v>45565</v>
      </c>
      <c r="D270" t="inlineStr">
        <is>
          <t>VÄSTMANLANDS LÄN</t>
        </is>
      </c>
      <c r="E270" t="inlineStr">
        <is>
          <t>SURAHAMMAR</t>
        </is>
      </c>
      <c r="F270" t="inlineStr">
        <is>
          <t>Övriga Aktiebolag</t>
        </is>
      </c>
      <c r="G270" t="n">
        <v>1.9</v>
      </c>
      <c r="H270" t="n">
        <v>0</v>
      </c>
      <c r="I270" t="n">
        <v>0</v>
      </c>
      <c r="J270" t="n">
        <v>0</v>
      </c>
      <c r="K270" t="n">
        <v>0</v>
      </c>
      <c r="L270" t="n">
        <v>0</v>
      </c>
      <c r="M270" t="n">
        <v>0</v>
      </c>
      <c r="N270" t="n">
        <v>0</v>
      </c>
      <c r="O270" t="n">
        <v>0</v>
      </c>
      <c r="P270" t="n">
        <v>0</v>
      </c>
      <c r="Q270" t="n">
        <v>0</v>
      </c>
      <c r="R270" s="2" t="inlineStr"/>
    </row>
    <row r="271" ht="15" customHeight="1">
      <c r="A271" t="inlineStr">
        <is>
          <t>A 33231-2024</t>
        </is>
      </c>
      <c r="B271" s="1" t="n">
        <v>45518</v>
      </c>
      <c r="C271" s="1" t="n">
        <v>45565</v>
      </c>
      <c r="D271" t="inlineStr">
        <is>
          <t>VÄSTMANLANDS LÄN</t>
        </is>
      </c>
      <c r="E271" t="inlineStr">
        <is>
          <t>SURAHAMMAR</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c r="A272" t="inlineStr">
        <is>
          <t>A 33160-2024</t>
        </is>
      </c>
      <c r="B272" s="1" t="n">
        <v>45518</v>
      </c>
      <c r="C272" s="1" t="n">
        <v>45565</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2024-09-30T16:50:16Z</dcterms:created>
  <dcterms:modified xmlns:dcterms="http://purl.org/dc/terms/" xmlns:xsi="http://www.w3.org/2001/XMLSchema-instance" xsi:type="dcterms:W3CDTF">2024-09-30T16:50:16Z</dcterms:modified>
</cp:coreProperties>
</file>