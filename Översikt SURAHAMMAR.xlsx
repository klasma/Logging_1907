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45891</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45891</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45891</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45891</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40942-2023</t>
        </is>
      </c>
      <c r="B8" s="1" t="n">
        <v>45169</v>
      </c>
      <c r="C8" s="1" t="n">
        <v>45891</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45891</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45891</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45891</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45891</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45891</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14815-2025</t>
        </is>
      </c>
      <c r="B17" s="1" t="n">
        <v>45743.34931712963</v>
      </c>
      <c r="C17" s="1" t="n">
        <v>45891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45891</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45891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45891</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45891</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45891</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45891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45891</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45891</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45891</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45891</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45891</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45891</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45891</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45891</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45891</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45891</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45891</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45891</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45891</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45891</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45891</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45891</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45891</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45891</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45891</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45891</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45891</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56362-2023</t>
        </is>
      </c>
      <c r="B45" s="1" t="n">
        <v>45236</v>
      </c>
      <c r="C45" s="1" t="n">
        <v>45891</v>
      </c>
      <c r="D45" t="inlineStr">
        <is>
          <t>VÄSTMANLANDS LÄN</t>
        </is>
      </c>
      <c r="E45" t="inlineStr">
        <is>
          <t>SURAHAMMAR</t>
        </is>
      </c>
      <c r="F45" t="inlineStr">
        <is>
          <t>Bergvik skog väst AB</t>
        </is>
      </c>
      <c r="G45" t="n">
        <v>15.2</v>
      </c>
      <c r="H45" t="n">
        <v>0</v>
      </c>
      <c r="I45" t="n">
        <v>1</v>
      </c>
      <c r="J45" t="n">
        <v>0</v>
      </c>
      <c r="K45" t="n">
        <v>0</v>
      </c>
      <c r="L45" t="n">
        <v>0</v>
      </c>
      <c r="M45" t="n">
        <v>0</v>
      </c>
      <c r="N45" t="n">
        <v>0</v>
      </c>
      <c r="O45" t="n">
        <v>0</v>
      </c>
      <c r="P45" t="n">
        <v>0</v>
      </c>
      <c r="Q45" t="n">
        <v>1</v>
      </c>
      <c r="R45" s="2" t="inlineStr">
        <is>
          <t>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33231-2024</t>
        </is>
      </c>
      <c r="B46" s="1" t="n">
        <v>45518</v>
      </c>
      <c r="C46" s="1" t="n">
        <v>45891</v>
      </c>
      <c r="D46" t="inlineStr">
        <is>
          <t>VÄSTMANLANDS LÄN</t>
        </is>
      </c>
      <c r="E46" t="inlineStr">
        <is>
          <t>SURAHAMMAR</t>
        </is>
      </c>
      <c r="F46" t="inlineStr">
        <is>
          <t>Bergvik skog väst AB</t>
        </is>
      </c>
      <c r="G46" t="n">
        <v>1.5</v>
      </c>
      <c r="H46" t="n">
        <v>1</v>
      </c>
      <c r="I46" t="n">
        <v>0</v>
      </c>
      <c r="J46" t="n">
        <v>0</v>
      </c>
      <c r="K46" t="n">
        <v>0</v>
      </c>
      <c r="L46" t="n">
        <v>0</v>
      </c>
      <c r="M46" t="n">
        <v>0</v>
      </c>
      <c r="N46" t="n">
        <v>0</v>
      </c>
      <c r="O46" t="n">
        <v>0</v>
      </c>
      <c r="P46" t="n">
        <v>0</v>
      </c>
      <c r="Q46" t="n">
        <v>1</v>
      </c>
      <c r="R46" s="2" t="inlineStr">
        <is>
          <t>Mindre vattensalamander</t>
        </is>
      </c>
      <c r="S46">
        <f>HYPERLINK("https://klasma.github.io/Logging_1907/artfynd/A 33231-2024 artfynd.xlsx", "A 33231-2024")</f>
        <v/>
      </c>
      <c r="T46">
        <f>HYPERLINK("https://klasma.github.io/Logging_1907/kartor/A 33231-2024 karta.png", "A 33231-2024")</f>
        <v/>
      </c>
      <c r="V46">
        <f>HYPERLINK("https://klasma.github.io/Logging_1907/klagomål/A 33231-2024 FSC-klagomål.docx", "A 33231-2024")</f>
        <v/>
      </c>
      <c r="W46">
        <f>HYPERLINK("https://klasma.github.io/Logging_1907/klagomålsmail/A 33231-2024 FSC-klagomål mail.docx", "A 33231-2024")</f>
        <v/>
      </c>
      <c r="X46">
        <f>HYPERLINK("https://klasma.github.io/Logging_1907/tillsyn/A 33231-2024 tillsynsbegäran.docx", "A 33231-2024")</f>
        <v/>
      </c>
      <c r="Y46">
        <f>HYPERLINK("https://klasma.github.io/Logging_1907/tillsynsmail/A 33231-2024 tillsynsbegäran mail.docx", "A 33231-2024")</f>
        <v/>
      </c>
    </row>
    <row r="47" ht="15" customHeight="1">
      <c r="A47" t="inlineStr">
        <is>
          <t>A 30074-2023</t>
        </is>
      </c>
      <c r="B47" s="1" t="n">
        <v>45110</v>
      </c>
      <c r="C47" s="1" t="n">
        <v>45891</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39099-2022</t>
        </is>
      </c>
      <c r="B48" s="1" t="n">
        <v>44817</v>
      </c>
      <c r="C48" s="1" t="n">
        <v>45891</v>
      </c>
      <c r="D48" t="inlineStr">
        <is>
          <t>VÄSTMANLANDS LÄN</t>
        </is>
      </c>
      <c r="E48" t="inlineStr">
        <is>
          <t>SURAHAMMAR</t>
        </is>
      </c>
      <c r="F48" t="inlineStr">
        <is>
          <t>Bergvik skog väst AB</t>
        </is>
      </c>
      <c r="G48" t="n">
        <v>7.4</v>
      </c>
      <c r="H48" t="n">
        <v>0</v>
      </c>
      <c r="I48" t="n">
        <v>1</v>
      </c>
      <c r="J48" t="n">
        <v>0</v>
      </c>
      <c r="K48" t="n">
        <v>0</v>
      </c>
      <c r="L48" t="n">
        <v>0</v>
      </c>
      <c r="M48" t="n">
        <v>0</v>
      </c>
      <c r="N48" t="n">
        <v>0</v>
      </c>
      <c r="O48" t="n">
        <v>0</v>
      </c>
      <c r="P48" t="n">
        <v>0</v>
      </c>
      <c r="Q48" t="n">
        <v>1</v>
      </c>
      <c r="R48" s="2" t="inlineStr">
        <is>
          <t>Stekelbock</t>
        </is>
      </c>
      <c r="S48">
        <f>HYPERLINK("https://klasma.github.io/Logging_1907/artfynd/A 39099-2022 artfynd.xlsx", "A 39099-2022")</f>
        <v/>
      </c>
      <c r="T48">
        <f>HYPERLINK("https://klasma.github.io/Logging_1907/kartor/A 39099-2022 karta.png", "A 39099-2022")</f>
        <v/>
      </c>
      <c r="V48">
        <f>HYPERLINK("https://klasma.github.io/Logging_1907/klagomål/A 39099-2022 FSC-klagomål.docx", "A 39099-2022")</f>
        <v/>
      </c>
      <c r="W48">
        <f>HYPERLINK("https://klasma.github.io/Logging_1907/klagomålsmail/A 39099-2022 FSC-klagomål mail.docx", "A 39099-2022")</f>
        <v/>
      </c>
      <c r="X48">
        <f>HYPERLINK("https://klasma.github.io/Logging_1907/tillsyn/A 39099-2022 tillsynsbegäran.docx", "A 39099-2022")</f>
        <v/>
      </c>
      <c r="Y48">
        <f>HYPERLINK("https://klasma.github.io/Logging_1907/tillsynsmail/A 39099-2022 tillsynsbegäran mail.docx", "A 39099-2022")</f>
        <v/>
      </c>
    </row>
    <row r="49" ht="15" customHeight="1">
      <c r="A49" t="inlineStr">
        <is>
          <t>A 31176-2024</t>
        </is>
      </c>
      <c r="B49" s="1" t="n">
        <v>45503</v>
      </c>
      <c r="C49" s="1" t="n">
        <v>45891</v>
      </c>
      <c r="D49" t="inlineStr">
        <is>
          <t>VÄSTMANLANDS LÄN</t>
        </is>
      </c>
      <c r="E49" t="inlineStr">
        <is>
          <t>SURAHAMMAR</t>
        </is>
      </c>
      <c r="F49" t="inlineStr">
        <is>
          <t>Allmännings- och besparingsskogar</t>
        </is>
      </c>
      <c r="G49" t="n">
        <v>10.7</v>
      </c>
      <c r="H49" t="n">
        <v>0</v>
      </c>
      <c r="I49" t="n">
        <v>0</v>
      </c>
      <c r="J49" t="n">
        <v>1</v>
      </c>
      <c r="K49" t="n">
        <v>0</v>
      </c>
      <c r="L49" t="n">
        <v>0</v>
      </c>
      <c r="M49" t="n">
        <v>0</v>
      </c>
      <c r="N49" t="n">
        <v>0</v>
      </c>
      <c r="O49" t="n">
        <v>1</v>
      </c>
      <c r="P49" t="n">
        <v>0</v>
      </c>
      <c r="Q49" t="n">
        <v>1</v>
      </c>
      <c r="R49" s="2" t="inlineStr">
        <is>
          <t>Doftskinn</t>
        </is>
      </c>
      <c r="S49">
        <f>HYPERLINK("https://klasma.github.io/Logging_1907/artfynd/A 31176-2024 artfynd.xlsx", "A 31176-2024")</f>
        <v/>
      </c>
      <c r="T49">
        <f>HYPERLINK("https://klasma.github.io/Logging_1907/kartor/A 31176-2024 karta.png", "A 31176-2024")</f>
        <v/>
      </c>
      <c r="V49">
        <f>HYPERLINK("https://klasma.github.io/Logging_1907/klagomål/A 31176-2024 FSC-klagomål.docx", "A 31176-2024")</f>
        <v/>
      </c>
      <c r="W49">
        <f>HYPERLINK("https://klasma.github.io/Logging_1907/klagomålsmail/A 31176-2024 FSC-klagomål mail.docx", "A 31176-2024")</f>
        <v/>
      </c>
      <c r="X49">
        <f>HYPERLINK("https://klasma.github.io/Logging_1907/tillsyn/A 31176-2024 tillsynsbegäran.docx", "A 31176-2024")</f>
        <v/>
      </c>
      <c r="Y49">
        <f>HYPERLINK("https://klasma.github.io/Logging_1907/tillsynsmail/A 31176-2024 tillsynsbegäran mail.docx", "A 31176-2024")</f>
        <v/>
      </c>
    </row>
    <row r="50" ht="15" customHeight="1">
      <c r="A50" t="inlineStr">
        <is>
          <t>A 43451-2024</t>
        </is>
      </c>
      <c r="B50" s="1" t="n">
        <v>45568</v>
      </c>
      <c r="C50" s="1" t="n">
        <v>45891</v>
      </c>
      <c r="D50" t="inlineStr">
        <is>
          <t>VÄSTMANLANDS LÄN</t>
        </is>
      </c>
      <c r="E50" t="inlineStr">
        <is>
          <t>SURAHAMMAR</t>
        </is>
      </c>
      <c r="F50" t="inlineStr">
        <is>
          <t>Bergvik skog väst AB</t>
        </is>
      </c>
      <c r="G50" t="n">
        <v>2.9</v>
      </c>
      <c r="H50" t="n">
        <v>0</v>
      </c>
      <c r="I50" t="n">
        <v>0</v>
      </c>
      <c r="J50" t="n">
        <v>1</v>
      </c>
      <c r="K50" t="n">
        <v>0</v>
      </c>
      <c r="L50" t="n">
        <v>0</v>
      </c>
      <c r="M50" t="n">
        <v>0</v>
      </c>
      <c r="N50" t="n">
        <v>0</v>
      </c>
      <c r="O50" t="n">
        <v>1</v>
      </c>
      <c r="P50" t="n">
        <v>0</v>
      </c>
      <c r="Q50" t="n">
        <v>1</v>
      </c>
      <c r="R50" s="2" t="inlineStr">
        <is>
          <t>Ullticka</t>
        </is>
      </c>
      <c r="S50">
        <f>HYPERLINK("https://klasma.github.io/Logging_1907/artfynd/A 43451-2024 artfynd.xlsx", "A 43451-2024")</f>
        <v/>
      </c>
      <c r="T50">
        <f>HYPERLINK("https://klasma.github.io/Logging_1907/kartor/A 43451-2024 karta.png", "A 43451-2024")</f>
        <v/>
      </c>
      <c r="V50">
        <f>HYPERLINK("https://klasma.github.io/Logging_1907/klagomål/A 43451-2024 FSC-klagomål.docx", "A 43451-2024")</f>
        <v/>
      </c>
      <c r="W50">
        <f>HYPERLINK("https://klasma.github.io/Logging_1907/klagomålsmail/A 43451-2024 FSC-klagomål mail.docx", "A 43451-2024")</f>
        <v/>
      </c>
      <c r="X50">
        <f>HYPERLINK("https://klasma.github.io/Logging_1907/tillsyn/A 43451-2024 tillsynsbegäran.docx", "A 43451-2024")</f>
        <v/>
      </c>
      <c r="Y50">
        <f>HYPERLINK("https://klasma.github.io/Logging_1907/tillsynsmail/A 43451-2024 tillsynsbegäran mail.docx", "A 43451-2024")</f>
        <v/>
      </c>
    </row>
    <row r="51" ht="15" customHeight="1">
      <c r="A51" t="inlineStr">
        <is>
          <t>A 25583-2024</t>
        </is>
      </c>
      <c r="B51" s="1" t="n">
        <v>45463</v>
      </c>
      <c r="C51" s="1" t="n">
        <v>45891</v>
      </c>
      <c r="D51" t="inlineStr">
        <is>
          <t>VÄSTMANLANDS LÄN</t>
        </is>
      </c>
      <c r="E51" t="inlineStr">
        <is>
          <t>SURAHAMMAR</t>
        </is>
      </c>
      <c r="F51" t="inlineStr">
        <is>
          <t>Bergvik skog väst AB</t>
        </is>
      </c>
      <c r="G51" t="n">
        <v>7.8</v>
      </c>
      <c r="H51" t="n">
        <v>1</v>
      </c>
      <c r="I51" t="n">
        <v>0</v>
      </c>
      <c r="J51" t="n">
        <v>0</v>
      </c>
      <c r="K51" t="n">
        <v>0</v>
      </c>
      <c r="L51" t="n">
        <v>0</v>
      </c>
      <c r="M51" t="n">
        <v>0</v>
      </c>
      <c r="N51" t="n">
        <v>0</v>
      </c>
      <c r="O51" t="n">
        <v>0</v>
      </c>
      <c r="P51" t="n">
        <v>0</v>
      </c>
      <c r="Q51" t="n">
        <v>1</v>
      </c>
      <c r="R51" s="2" t="inlineStr">
        <is>
          <t>Blåsippa</t>
        </is>
      </c>
      <c r="S51">
        <f>HYPERLINK("https://klasma.github.io/Logging_1907/artfynd/A 25583-2024 artfynd.xlsx", "A 25583-2024")</f>
        <v/>
      </c>
      <c r="T51">
        <f>HYPERLINK("https://klasma.github.io/Logging_1907/kartor/A 25583-2024 karta.png", "A 25583-2024")</f>
        <v/>
      </c>
      <c r="V51">
        <f>HYPERLINK("https://klasma.github.io/Logging_1907/klagomål/A 25583-2024 FSC-klagomål.docx", "A 25583-2024")</f>
        <v/>
      </c>
      <c r="W51">
        <f>HYPERLINK("https://klasma.github.io/Logging_1907/klagomålsmail/A 25583-2024 FSC-klagomål mail.docx", "A 25583-2024")</f>
        <v/>
      </c>
      <c r="X51">
        <f>HYPERLINK("https://klasma.github.io/Logging_1907/tillsyn/A 25583-2024 tillsynsbegäran.docx", "A 25583-2024")</f>
        <v/>
      </c>
      <c r="Y51">
        <f>HYPERLINK("https://klasma.github.io/Logging_1907/tillsynsmail/A 25583-2024 tillsynsbegäran mail.docx", "A 25583-2024")</f>
        <v/>
      </c>
    </row>
    <row r="52" ht="15" customHeight="1">
      <c r="A52" t="inlineStr">
        <is>
          <t>A 21716-2025</t>
        </is>
      </c>
      <c r="B52" s="1" t="n">
        <v>45783.54804398148</v>
      </c>
      <c r="C52" s="1" t="n">
        <v>45891</v>
      </c>
      <c r="D52" t="inlineStr">
        <is>
          <t>VÄSTMANLANDS LÄN</t>
        </is>
      </c>
      <c r="E52" t="inlineStr">
        <is>
          <t>SURAHAMMAR</t>
        </is>
      </c>
      <c r="F52" t="inlineStr">
        <is>
          <t>Allmännings- och besparingsskogar</t>
        </is>
      </c>
      <c r="G52" t="n">
        <v>21.1</v>
      </c>
      <c r="H52" t="n">
        <v>1</v>
      </c>
      <c r="I52" t="n">
        <v>0</v>
      </c>
      <c r="J52" t="n">
        <v>1</v>
      </c>
      <c r="K52" t="n">
        <v>0</v>
      </c>
      <c r="L52" t="n">
        <v>0</v>
      </c>
      <c r="M52" t="n">
        <v>0</v>
      </c>
      <c r="N52" t="n">
        <v>0</v>
      </c>
      <c r="O52" t="n">
        <v>1</v>
      </c>
      <c r="P52" t="n">
        <v>0</v>
      </c>
      <c r="Q52" t="n">
        <v>1</v>
      </c>
      <c r="R52" s="2" t="inlineStr">
        <is>
          <t>Spillkråka</t>
        </is>
      </c>
      <c r="S52">
        <f>HYPERLINK("https://klasma.github.io/Logging_1907/artfynd/A 21716-2025 artfynd.xlsx", "A 21716-2025")</f>
        <v/>
      </c>
      <c r="T52">
        <f>HYPERLINK("https://klasma.github.io/Logging_1907/kartor/A 21716-2025 karta.png",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69777-2021</t>
        </is>
      </c>
      <c r="B53" s="1" t="n">
        <v>44532</v>
      </c>
      <c r="C53" s="1" t="n">
        <v>45891</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13971-2023</t>
        </is>
      </c>
      <c r="B54" s="1" t="n">
        <v>45007</v>
      </c>
      <c r="C54" s="1" t="n">
        <v>45891</v>
      </c>
      <c r="D54" t="inlineStr">
        <is>
          <t>VÄSTMANLANDS LÄN</t>
        </is>
      </c>
      <c r="E54" t="inlineStr">
        <is>
          <t>SURAHAMMAR</t>
        </is>
      </c>
      <c r="F54" t="inlineStr">
        <is>
          <t>Bergvik skog väst AB</t>
        </is>
      </c>
      <c r="G54" t="n">
        <v>2.9</v>
      </c>
      <c r="H54" t="n">
        <v>1</v>
      </c>
      <c r="I54" t="n">
        <v>0</v>
      </c>
      <c r="J54" t="n">
        <v>0</v>
      </c>
      <c r="K54" t="n">
        <v>0</v>
      </c>
      <c r="L54" t="n">
        <v>0</v>
      </c>
      <c r="M54" t="n">
        <v>0</v>
      </c>
      <c r="N54" t="n">
        <v>0</v>
      </c>
      <c r="O54" t="n">
        <v>0</v>
      </c>
      <c r="P54" t="n">
        <v>0</v>
      </c>
      <c r="Q54" t="n">
        <v>1</v>
      </c>
      <c r="R54" s="2" t="inlineStr">
        <is>
          <t>Fläcknycklar</t>
        </is>
      </c>
      <c r="S54">
        <f>HYPERLINK("https://klasma.github.io/Logging_1907/artfynd/A 13971-2023 artfynd.xlsx", "A 13971-2023")</f>
        <v/>
      </c>
      <c r="T54">
        <f>HYPERLINK("https://klasma.github.io/Logging_1907/kartor/A 13971-2023 karta.png", "A 13971-2023")</f>
        <v/>
      </c>
      <c r="V54">
        <f>HYPERLINK("https://klasma.github.io/Logging_1907/klagomål/A 13971-2023 FSC-klagomål.docx", "A 13971-2023")</f>
        <v/>
      </c>
      <c r="W54">
        <f>HYPERLINK("https://klasma.github.io/Logging_1907/klagomålsmail/A 13971-2023 FSC-klagomål mail.docx", "A 13971-2023")</f>
        <v/>
      </c>
      <c r="X54">
        <f>HYPERLINK("https://klasma.github.io/Logging_1907/tillsyn/A 13971-2023 tillsynsbegäran.docx", "A 13971-2023")</f>
        <v/>
      </c>
      <c r="Y54">
        <f>HYPERLINK("https://klasma.github.io/Logging_1907/tillsynsmail/A 13971-2023 tillsynsbegäran mail.docx", "A 13971-2023")</f>
        <v/>
      </c>
    </row>
    <row r="55" ht="15" customHeight="1">
      <c r="A55" t="inlineStr">
        <is>
          <t>A 14001-2023</t>
        </is>
      </c>
      <c r="B55" s="1" t="n">
        <v>45007</v>
      </c>
      <c r="C55" s="1" t="n">
        <v>45891</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42765-2022</t>
        </is>
      </c>
      <c r="B56" s="1" t="n">
        <v>44832</v>
      </c>
      <c r="C56" s="1" t="n">
        <v>45891</v>
      </c>
      <c r="D56" t="inlineStr">
        <is>
          <t>VÄSTMANLANDS LÄN</t>
        </is>
      </c>
      <c r="E56" t="inlineStr">
        <is>
          <t>SURAHAMMAR</t>
        </is>
      </c>
      <c r="G56" t="n">
        <v>1.8</v>
      </c>
      <c r="H56" t="n">
        <v>1</v>
      </c>
      <c r="I56" t="n">
        <v>0</v>
      </c>
      <c r="J56" t="n">
        <v>0</v>
      </c>
      <c r="K56" t="n">
        <v>0</v>
      </c>
      <c r="L56" t="n">
        <v>0</v>
      </c>
      <c r="M56" t="n">
        <v>0</v>
      </c>
      <c r="N56" t="n">
        <v>0</v>
      </c>
      <c r="O56" t="n">
        <v>0</v>
      </c>
      <c r="P56" t="n">
        <v>0</v>
      </c>
      <c r="Q56" t="n">
        <v>1</v>
      </c>
      <c r="R56" s="2" t="inlineStr">
        <is>
          <t>Blåsippa</t>
        </is>
      </c>
      <c r="S56">
        <f>HYPERLINK("https://klasma.github.io/Logging_1907/artfynd/A 42765-2022 artfynd.xlsx", "A 42765-2022")</f>
        <v/>
      </c>
      <c r="T56">
        <f>HYPERLINK("https://klasma.github.io/Logging_1907/kartor/A 42765-2022 karta.png", "A 42765-2022")</f>
        <v/>
      </c>
      <c r="V56">
        <f>HYPERLINK("https://klasma.github.io/Logging_1907/klagomål/A 42765-2022 FSC-klagomål.docx", "A 42765-2022")</f>
        <v/>
      </c>
      <c r="W56">
        <f>HYPERLINK("https://klasma.github.io/Logging_1907/klagomålsmail/A 42765-2022 FSC-klagomål mail.docx", "A 42765-2022")</f>
        <v/>
      </c>
      <c r="X56">
        <f>HYPERLINK("https://klasma.github.io/Logging_1907/tillsyn/A 42765-2022 tillsynsbegäran.docx", "A 42765-2022")</f>
        <v/>
      </c>
      <c r="Y56">
        <f>HYPERLINK("https://klasma.github.io/Logging_1907/tillsynsmail/A 42765-2022 tillsynsbegäran mail.docx", "A 42765-2022")</f>
        <v/>
      </c>
    </row>
    <row r="57" ht="15" customHeight="1">
      <c r="A57" t="inlineStr">
        <is>
          <t>A 44356-2024</t>
        </is>
      </c>
      <c r="B57" s="1" t="n">
        <v>45573</v>
      </c>
      <c r="C57" s="1" t="n">
        <v>45891</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47453-2024</t>
        </is>
      </c>
      <c r="B58" s="1" t="n">
        <v>45587.55017361111</v>
      </c>
      <c r="C58" s="1" t="n">
        <v>45891</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13788-2025</t>
        </is>
      </c>
      <c r="B59" s="1" t="n">
        <v>45737.45327546296</v>
      </c>
      <c r="C59" s="1" t="n">
        <v>45891</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10819-2024</t>
        </is>
      </c>
      <c r="B60" s="1" t="n">
        <v>45369.66049768519</v>
      </c>
      <c r="C60" s="1" t="n">
        <v>45891</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62097-2024</t>
        </is>
      </c>
      <c r="B61" s="1" t="n">
        <v>45646</v>
      </c>
      <c r="C61" s="1" t="n">
        <v>45891</v>
      </c>
      <c r="D61" t="inlineStr">
        <is>
          <t>VÄSTMANLANDS LÄN</t>
        </is>
      </c>
      <c r="E61" t="inlineStr">
        <is>
          <t>SURAHAMMAR</t>
        </is>
      </c>
      <c r="F61" t="inlineStr">
        <is>
          <t>Bergvik skog väst AB</t>
        </is>
      </c>
      <c r="G61" t="n">
        <v>21.7</v>
      </c>
      <c r="H61" t="n">
        <v>1</v>
      </c>
      <c r="I61" t="n">
        <v>0</v>
      </c>
      <c r="J61" t="n">
        <v>0</v>
      </c>
      <c r="K61" t="n">
        <v>0</v>
      </c>
      <c r="L61" t="n">
        <v>0</v>
      </c>
      <c r="M61" t="n">
        <v>0</v>
      </c>
      <c r="N61" t="n">
        <v>0</v>
      </c>
      <c r="O61" t="n">
        <v>0</v>
      </c>
      <c r="P61" t="n">
        <v>0</v>
      </c>
      <c r="Q61" t="n">
        <v>1</v>
      </c>
      <c r="R61" s="2" t="inlineStr">
        <is>
          <t>Revlummer</t>
        </is>
      </c>
      <c r="S61">
        <f>HYPERLINK("https://klasma.github.io/Logging_1907/artfynd/A 62097-2024 artfynd.xlsx", "A 62097-2024")</f>
        <v/>
      </c>
      <c r="T61">
        <f>HYPERLINK("https://klasma.github.io/Logging_1907/kartor/A 62097-2024 karta.png", "A 62097-2024")</f>
        <v/>
      </c>
      <c r="V61">
        <f>HYPERLINK("https://klasma.github.io/Logging_1907/klagomål/A 62097-2024 FSC-klagomål.docx", "A 62097-2024")</f>
        <v/>
      </c>
      <c r="W61">
        <f>HYPERLINK("https://klasma.github.io/Logging_1907/klagomålsmail/A 62097-2024 FSC-klagomål mail.docx", "A 62097-2024")</f>
        <v/>
      </c>
      <c r="X61">
        <f>HYPERLINK("https://klasma.github.io/Logging_1907/tillsyn/A 62097-2024 tillsynsbegäran.docx", "A 62097-2024")</f>
        <v/>
      </c>
      <c r="Y61">
        <f>HYPERLINK("https://klasma.github.io/Logging_1907/tillsynsmail/A 62097-2024 tillsynsbegäran mail.docx", "A 62097-2024")</f>
        <v/>
      </c>
    </row>
    <row r="62" ht="15" customHeight="1">
      <c r="A62" t="inlineStr">
        <is>
          <t>A 17632-2022</t>
        </is>
      </c>
      <c r="B62" s="1" t="n">
        <v>44680</v>
      </c>
      <c r="C62" s="1" t="n">
        <v>45891</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22840-2023</t>
        </is>
      </c>
      <c r="B63" s="1" t="n">
        <v>45072</v>
      </c>
      <c r="C63" s="1" t="n">
        <v>45891</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43177-2020</t>
        </is>
      </c>
      <c r="B64" s="1" t="n">
        <v>44081</v>
      </c>
      <c r="C64" s="1" t="n">
        <v>45891</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64073-2021</t>
        </is>
      </c>
      <c r="B65" s="1" t="n">
        <v>44509</v>
      </c>
      <c r="C65" s="1" t="n">
        <v>45891</v>
      </c>
      <c r="D65" t="inlineStr">
        <is>
          <t>VÄSTMANLANDS LÄN</t>
        </is>
      </c>
      <c r="E65" t="inlineStr">
        <is>
          <t>SURAHAMMAR</t>
        </is>
      </c>
      <c r="G65" t="n">
        <v>0.4</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45891</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45891</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45891</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45891</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45891</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45891</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45891</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45891</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45891</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45891</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45891</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45891</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45891</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45891</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45891</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45891</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45891</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43590-2020</t>
        </is>
      </c>
      <c r="B84" s="1" t="n">
        <v>44082</v>
      </c>
      <c r="C84" s="1" t="n">
        <v>45891</v>
      </c>
      <c r="D84" t="inlineStr">
        <is>
          <t>VÄSTMANLANDS LÄN</t>
        </is>
      </c>
      <c r="E84" t="inlineStr">
        <is>
          <t>SURAHAMMAR</t>
        </is>
      </c>
      <c r="F84" t="inlineStr">
        <is>
          <t>Sveaskog</t>
        </is>
      </c>
      <c r="G84" t="n">
        <v>2.1</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45891</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18723-2021</t>
        </is>
      </c>
      <c r="B86" s="1" t="n">
        <v>44306</v>
      </c>
      <c r="C86" s="1" t="n">
        <v>45891</v>
      </c>
      <c r="D86" t="inlineStr">
        <is>
          <t>VÄSTMANLANDS LÄN</t>
        </is>
      </c>
      <c r="E86" t="inlineStr">
        <is>
          <t>SURAHAMMAR</t>
        </is>
      </c>
      <c r="F86" t="inlineStr">
        <is>
          <t>Bergvik skog väst AB</t>
        </is>
      </c>
      <c r="G86" t="n">
        <v>3.9</v>
      </c>
      <c r="H86" t="n">
        <v>0</v>
      </c>
      <c r="I86" t="n">
        <v>0</v>
      </c>
      <c r="J86" t="n">
        <v>0</v>
      </c>
      <c r="K86" t="n">
        <v>0</v>
      </c>
      <c r="L86" t="n">
        <v>0</v>
      </c>
      <c r="M86" t="n">
        <v>0</v>
      </c>
      <c r="N86" t="n">
        <v>0</v>
      </c>
      <c r="O86" t="n">
        <v>0</v>
      </c>
      <c r="P86" t="n">
        <v>0</v>
      </c>
      <c r="Q86" t="n">
        <v>0</v>
      </c>
      <c r="R86" s="2" t="inlineStr"/>
    </row>
    <row r="87" ht="15" customHeight="1">
      <c r="A87" t="inlineStr">
        <is>
          <t>A 52076-2020</t>
        </is>
      </c>
      <c r="B87" s="1" t="n">
        <v>44117</v>
      </c>
      <c r="C87" s="1" t="n">
        <v>45891</v>
      </c>
      <c r="D87" t="inlineStr">
        <is>
          <t>VÄSTMANLANDS LÄN</t>
        </is>
      </c>
      <c r="E87" t="inlineStr">
        <is>
          <t>SURAHAMMAR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45891</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45891</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45891</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33931-2022</t>
        </is>
      </c>
      <c r="B91" s="1" t="n">
        <v>44790.65153935185</v>
      </c>
      <c r="C91" s="1" t="n">
        <v>45891</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22662-2023</t>
        </is>
      </c>
      <c r="B92" s="1" t="n">
        <v>45071</v>
      </c>
      <c r="C92" s="1" t="n">
        <v>45891</v>
      </c>
      <c r="D92" t="inlineStr">
        <is>
          <t>VÄSTMANLANDS LÄN</t>
        </is>
      </c>
      <c r="E92" t="inlineStr">
        <is>
          <t>SURAHAMMAR</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45891</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19786-2023</t>
        </is>
      </c>
      <c r="B94" s="1" t="n">
        <v>45050</v>
      </c>
      <c r="C94" s="1" t="n">
        <v>45891</v>
      </c>
      <c r="D94" t="inlineStr">
        <is>
          <t>VÄSTMANLANDS LÄN</t>
        </is>
      </c>
      <c r="E94" t="inlineStr">
        <is>
          <t>SURAHAMMAR</t>
        </is>
      </c>
      <c r="F94" t="inlineStr">
        <is>
          <t>Bergvik skog väst AB</t>
        </is>
      </c>
      <c r="G94" t="n">
        <v>8.1</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45891</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45891</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45891</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45891</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45891</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44358-2024</t>
        </is>
      </c>
      <c r="B100" s="1" t="n">
        <v>45573</v>
      </c>
      <c r="C100" s="1" t="n">
        <v>45891</v>
      </c>
      <c r="D100" t="inlineStr">
        <is>
          <t>VÄSTMANLANDS LÄN</t>
        </is>
      </c>
      <c r="E100" t="inlineStr">
        <is>
          <t>SURAHAMMAR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44359-2024</t>
        </is>
      </c>
      <c r="B101" s="1" t="n">
        <v>45573</v>
      </c>
      <c r="C101" s="1" t="n">
        <v>45891</v>
      </c>
      <c r="D101" t="inlineStr">
        <is>
          <t>VÄSTMANLANDS LÄN</t>
        </is>
      </c>
      <c r="E101" t="inlineStr">
        <is>
          <t>SURAHAMMAR</t>
        </is>
      </c>
      <c r="F101" t="inlineStr">
        <is>
          <t>Sveaskog</t>
        </is>
      </c>
      <c r="G101" t="n">
        <v>2.7</v>
      </c>
      <c r="H101" t="n">
        <v>0</v>
      </c>
      <c r="I101" t="n">
        <v>0</v>
      </c>
      <c r="J101" t="n">
        <v>0</v>
      </c>
      <c r="K101" t="n">
        <v>0</v>
      </c>
      <c r="L101" t="n">
        <v>0</v>
      </c>
      <c r="M101" t="n">
        <v>0</v>
      </c>
      <c r="N101" t="n">
        <v>0</v>
      </c>
      <c r="O101" t="n">
        <v>0</v>
      </c>
      <c r="P101" t="n">
        <v>0</v>
      </c>
      <c r="Q101" t="n">
        <v>0</v>
      </c>
      <c r="R101" s="2" t="inlineStr"/>
    </row>
    <row r="102" ht="15" customHeight="1">
      <c r="A102" t="inlineStr">
        <is>
          <t>A 47785-2021</t>
        </is>
      </c>
      <c r="B102" s="1" t="n">
        <v>44448</v>
      </c>
      <c r="C102" s="1" t="n">
        <v>45891</v>
      </c>
      <c r="D102" t="inlineStr">
        <is>
          <t>VÄSTMANLANDS LÄN</t>
        </is>
      </c>
      <c r="E102" t="inlineStr">
        <is>
          <t>SURAHAMMAR</t>
        </is>
      </c>
      <c r="F102" t="inlineStr">
        <is>
          <t>Kommuner</t>
        </is>
      </c>
      <c r="G102" t="n">
        <v>3.3</v>
      </c>
      <c r="H102" t="n">
        <v>0</v>
      </c>
      <c r="I102" t="n">
        <v>0</v>
      </c>
      <c r="J102" t="n">
        <v>0</v>
      </c>
      <c r="K102" t="n">
        <v>0</v>
      </c>
      <c r="L102" t="n">
        <v>0</v>
      </c>
      <c r="M102" t="n">
        <v>0</v>
      </c>
      <c r="N102" t="n">
        <v>0</v>
      </c>
      <c r="O102" t="n">
        <v>0</v>
      </c>
      <c r="P102" t="n">
        <v>0</v>
      </c>
      <c r="Q102" t="n">
        <v>0</v>
      </c>
      <c r="R102" s="2" t="inlineStr"/>
    </row>
    <row r="103" ht="15" customHeight="1">
      <c r="A103" t="inlineStr">
        <is>
          <t>A 10396-2025</t>
        </is>
      </c>
      <c r="B103" s="1" t="n">
        <v>45720.60721064815</v>
      </c>
      <c r="C103" s="1" t="n">
        <v>45891</v>
      </c>
      <c r="D103" t="inlineStr">
        <is>
          <t>VÄSTMANLANDS LÄN</t>
        </is>
      </c>
      <c r="E103" t="inlineStr">
        <is>
          <t>SURAHAMMAR</t>
        </is>
      </c>
      <c r="F103" t="inlineStr">
        <is>
          <t>Allmännings- och besparingsskogar</t>
        </is>
      </c>
      <c r="G103" t="n">
        <v>9.300000000000001</v>
      </c>
      <c r="H103" t="n">
        <v>0</v>
      </c>
      <c r="I103" t="n">
        <v>0</v>
      </c>
      <c r="J103" t="n">
        <v>0</v>
      </c>
      <c r="K103" t="n">
        <v>0</v>
      </c>
      <c r="L103" t="n">
        <v>0</v>
      </c>
      <c r="M103" t="n">
        <v>0</v>
      </c>
      <c r="N103" t="n">
        <v>0</v>
      </c>
      <c r="O103" t="n">
        <v>0</v>
      </c>
      <c r="P103" t="n">
        <v>0</v>
      </c>
      <c r="Q103" t="n">
        <v>0</v>
      </c>
      <c r="R103" s="2" t="inlineStr"/>
    </row>
    <row r="104" ht="15" customHeight="1">
      <c r="A104" t="inlineStr">
        <is>
          <t>A 7787-2024</t>
        </is>
      </c>
      <c r="B104" s="1" t="n">
        <v>45348</v>
      </c>
      <c r="C104" s="1" t="n">
        <v>45891</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25417-2024</t>
        </is>
      </c>
      <c r="B105" s="1" t="n">
        <v>45463</v>
      </c>
      <c r="C105" s="1" t="n">
        <v>45891</v>
      </c>
      <c r="D105" t="inlineStr">
        <is>
          <t>VÄSTMANLANDS LÄN</t>
        </is>
      </c>
      <c r="E105" t="inlineStr">
        <is>
          <t>SURAHAMMAR</t>
        </is>
      </c>
      <c r="F105" t="inlineStr">
        <is>
          <t>Sveaskog</t>
        </is>
      </c>
      <c r="G105" t="n">
        <v>3.4</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45891</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10883-2023</t>
        </is>
      </c>
      <c r="B107" s="1" t="n">
        <v>44991</v>
      </c>
      <c r="C107" s="1" t="n">
        <v>45891</v>
      </c>
      <c r="D107" t="inlineStr">
        <is>
          <t>VÄSTMANLANDS LÄN</t>
        </is>
      </c>
      <c r="E107" t="inlineStr">
        <is>
          <t>SURAHAMMAR</t>
        </is>
      </c>
      <c r="F107" t="inlineStr">
        <is>
          <t>Övriga Aktiebolag</t>
        </is>
      </c>
      <c r="G107" t="n">
        <v>12.5</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45891</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24665-2023</t>
        </is>
      </c>
      <c r="B109" s="1" t="n">
        <v>45084.48592592592</v>
      </c>
      <c r="C109" s="1" t="n">
        <v>45891</v>
      </c>
      <c r="D109" t="inlineStr">
        <is>
          <t>VÄSTMANLANDS LÄN</t>
        </is>
      </c>
      <c r="E109" t="inlineStr">
        <is>
          <t>SURAHAMMAR</t>
        </is>
      </c>
      <c r="G109" t="n">
        <v>0.9</v>
      </c>
      <c r="H109" t="n">
        <v>0</v>
      </c>
      <c r="I109" t="n">
        <v>0</v>
      </c>
      <c r="J109" t="n">
        <v>0</v>
      </c>
      <c r="K109" t="n">
        <v>0</v>
      </c>
      <c r="L109" t="n">
        <v>0</v>
      </c>
      <c r="M109" t="n">
        <v>0</v>
      </c>
      <c r="N109" t="n">
        <v>0</v>
      </c>
      <c r="O109" t="n">
        <v>0</v>
      </c>
      <c r="P109" t="n">
        <v>0</v>
      </c>
      <c r="Q109" t="n">
        <v>0</v>
      </c>
      <c r="R109" s="2" t="inlineStr"/>
    </row>
    <row r="110" ht="15" customHeight="1">
      <c r="A110" t="inlineStr">
        <is>
          <t>A 24167-2024</t>
        </is>
      </c>
      <c r="B110" s="1" t="n">
        <v>45456</v>
      </c>
      <c r="C110" s="1" t="n">
        <v>45891</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72367-2021</t>
        </is>
      </c>
      <c r="B111" s="1" t="n">
        <v>44545</v>
      </c>
      <c r="C111" s="1" t="n">
        <v>45891</v>
      </c>
      <c r="D111" t="inlineStr">
        <is>
          <t>VÄSTMANLANDS LÄN</t>
        </is>
      </c>
      <c r="E111" t="inlineStr">
        <is>
          <t>SURAHAMMAR</t>
        </is>
      </c>
      <c r="G111" t="n">
        <v>2.5</v>
      </c>
      <c r="H111" t="n">
        <v>0</v>
      </c>
      <c r="I111" t="n">
        <v>0</v>
      </c>
      <c r="J111" t="n">
        <v>0</v>
      </c>
      <c r="K111" t="n">
        <v>0</v>
      </c>
      <c r="L111" t="n">
        <v>0</v>
      </c>
      <c r="M111" t="n">
        <v>0</v>
      </c>
      <c r="N111" t="n">
        <v>0</v>
      </c>
      <c r="O111" t="n">
        <v>0</v>
      </c>
      <c r="P111" t="n">
        <v>0</v>
      </c>
      <c r="Q111" t="n">
        <v>0</v>
      </c>
      <c r="R111" s="2" t="inlineStr"/>
    </row>
    <row r="112" ht="15" customHeight="1">
      <c r="A112" t="inlineStr">
        <is>
          <t>A 3818-2022</t>
        </is>
      </c>
      <c r="B112" s="1" t="n">
        <v>44587</v>
      </c>
      <c r="C112" s="1" t="n">
        <v>45891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44357-2024</t>
        </is>
      </c>
      <c r="B113" s="1" t="n">
        <v>45573</v>
      </c>
      <c r="C113" s="1" t="n">
        <v>45891</v>
      </c>
      <c r="D113" t="inlineStr">
        <is>
          <t>VÄSTMANLANDS LÄN</t>
        </is>
      </c>
      <c r="E113" t="inlineStr">
        <is>
          <t>SURAHAMMAR</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45891</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45891</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49058-2024</t>
        </is>
      </c>
      <c r="B116" s="1" t="n">
        <v>45594</v>
      </c>
      <c r="C116" s="1" t="n">
        <v>45891</v>
      </c>
      <c r="D116" t="inlineStr">
        <is>
          <t>VÄSTMANLANDS LÄN</t>
        </is>
      </c>
      <c r="E116" t="inlineStr">
        <is>
          <t>SURAHAMMAR</t>
        </is>
      </c>
      <c r="F116" t="inlineStr">
        <is>
          <t>Sveaskog</t>
        </is>
      </c>
      <c r="G116" t="n">
        <v>11.4</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45891</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49060-2024</t>
        </is>
      </c>
      <c r="B118" s="1" t="n">
        <v>45594</v>
      </c>
      <c r="C118" s="1" t="n">
        <v>45891</v>
      </c>
      <c r="D118" t="inlineStr">
        <is>
          <t>VÄSTMANLANDS LÄN</t>
        </is>
      </c>
      <c r="E118" t="inlineStr">
        <is>
          <t>SURAHAMMAR</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38154-2021</t>
        </is>
      </c>
      <c r="B119" s="1" t="n">
        <v>44405.42373842592</v>
      </c>
      <c r="C119" s="1" t="n">
        <v>45891</v>
      </c>
      <c r="D119" t="inlineStr">
        <is>
          <t>VÄSTMANLANDS LÄN</t>
        </is>
      </c>
      <c r="E119" t="inlineStr">
        <is>
          <t>SURAHAMMAR</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13119-2022</t>
        </is>
      </c>
      <c r="B120" s="1" t="n">
        <v>44643</v>
      </c>
      <c r="C120" s="1" t="n">
        <v>45891</v>
      </c>
      <c r="D120" t="inlineStr">
        <is>
          <t>VÄSTMANLANDS LÄN</t>
        </is>
      </c>
      <c r="E120" t="inlineStr">
        <is>
          <t>SURAHAMMAR</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19782-2023</t>
        </is>
      </c>
      <c r="B121" s="1" t="n">
        <v>45050</v>
      </c>
      <c r="C121" s="1" t="n">
        <v>45891</v>
      </c>
      <c r="D121" t="inlineStr">
        <is>
          <t>VÄSTMANLANDS LÄN</t>
        </is>
      </c>
      <c r="E121" t="inlineStr">
        <is>
          <t>SURAHAMMAR</t>
        </is>
      </c>
      <c r="F121" t="inlineStr">
        <is>
          <t>Bergvik skog väst AB</t>
        </is>
      </c>
      <c r="G121" t="n">
        <v>5.2</v>
      </c>
      <c r="H121" t="n">
        <v>0</v>
      </c>
      <c r="I121" t="n">
        <v>0</v>
      </c>
      <c r="J121" t="n">
        <v>0</v>
      </c>
      <c r="K121" t="n">
        <v>0</v>
      </c>
      <c r="L121" t="n">
        <v>0</v>
      </c>
      <c r="M121" t="n">
        <v>0</v>
      </c>
      <c r="N121" t="n">
        <v>0</v>
      </c>
      <c r="O121" t="n">
        <v>0</v>
      </c>
      <c r="P121" t="n">
        <v>0</v>
      </c>
      <c r="Q121" t="n">
        <v>0</v>
      </c>
      <c r="R121" s="2" t="inlineStr"/>
    </row>
    <row r="122" ht="15" customHeight="1">
      <c r="A122" t="inlineStr">
        <is>
          <t>A 19099-2022</t>
        </is>
      </c>
      <c r="B122" s="1" t="n">
        <v>44691</v>
      </c>
      <c r="C122" s="1" t="n">
        <v>45891</v>
      </c>
      <c r="D122" t="inlineStr">
        <is>
          <t>VÄSTMANLANDS LÄN</t>
        </is>
      </c>
      <c r="E122" t="inlineStr">
        <is>
          <t>SURAHAMMAR</t>
        </is>
      </c>
      <c r="F122" t="inlineStr">
        <is>
          <t>Övriga Aktiebolag</t>
        </is>
      </c>
      <c r="G122" t="n">
        <v>3.4</v>
      </c>
      <c r="H122" t="n">
        <v>0</v>
      </c>
      <c r="I122" t="n">
        <v>0</v>
      </c>
      <c r="J122" t="n">
        <v>0</v>
      </c>
      <c r="K122" t="n">
        <v>0</v>
      </c>
      <c r="L122" t="n">
        <v>0</v>
      </c>
      <c r="M122" t="n">
        <v>0</v>
      </c>
      <c r="N122" t="n">
        <v>0</v>
      </c>
      <c r="O122" t="n">
        <v>0</v>
      </c>
      <c r="P122" t="n">
        <v>0</v>
      </c>
      <c r="Q122" t="n">
        <v>0</v>
      </c>
      <c r="R122" s="2" t="inlineStr"/>
    </row>
    <row r="123" ht="15" customHeight="1">
      <c r="A123" t="inlineStr">
        <is>
          <t>A 14626-2023</t>
        </is>
      </c>
      <c r="B123" s="1" t="n">
        <v>45012</v>
      </c>
      <c r="C123" s="1" t="n">
        <v>45891</v>
      </c>
      <c r="D123" t="inlineStr">
        <is>
          <t>VÄSTMANLANDS LÄN</t>
        </is>
      </c>
      <c r="E123" t="inlineStr">
        <is>
          <t>SURAHAMMAR</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8553-2023</t>
        </is>
      </c>
      <c r="B124" s="1" t="n">
        <v>44977</v>
      </c>
      <c r="C124" s="1" t="n">
        <v>45891</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45891</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25780-2023</t>
        </is>
      </c>
      <c r="B126" s="1" t="n">
        <v>45090.47523148148</v>
      </c>
      <c r="C126" s="1" t="n">
        <v>45891</v>
      </c>
      <c r="D126" t="inlineStr">
        <is>
          <t>VÄSTMANLANDS LÄN</t>
        </is>
      </c>
      <c r="E126" t="inlineStr">
        <is>
          <t>SURAHAMMAR</t>
        </is>
      </c>
      <c r="G126" t="n">
        <v>2.8</v>
      </c>
      <c r="H126" t="n">
        <v>0</v>
      </c>
      <c r="I126" t="n">
        <v>0</v>
      </c>
      <c r="J126" t="n">
        <v>0</v>
      </c>
      <c r="K126" t="n">
        <v>0</v>
      </c>
      <c r="L126" t="n">
        <v>0</v>
      </c>
      <c r="M126" t="n">
        <v>0</v>
      </c>
      <c r="N126" t="n">
        <v>0</v>
      </c>
      <c r="O126" t="n">
        <v>0</v>
      </c>
      <c r="P126" t="n">
        <v>0</v>
      </c>
      <c r="Q126" t="n">
        <v>0</v>
      </c>
      <c r="R126" s="2" t="inlineStr"/>
    </row>
    <row r="127" ht="15" customHeight="1">
      <c r="A127" t="inlineStr">
        <is>
          <t>A 11728-2023</t>
        </is>
      </c>
      <c r="B127" s="1" t="n">
        <v>44993</v>
      </c>
      <c r="C127" s="1" t="n">
        <v>45891</v>
      </c>
      <c r="D127" t="inlineStr">
        <is>
          <t>VÄSTMANLANDS LÄN</t>
        </is>
      </c>
      <c r="E127" t="inlineStr">
        <is>
          <t>SURAHAMMAR</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13386-2025</t>
        </is>
      </c>
      <c r="B128" s="1" t="n">
        <v>45735</v>
      </c>
      <c r="C128" s="1" t="n">
        <v>45891</v>
      </c>
      <c r="D128" t="inlineStr">
        <is>
          <t>VÄSTMANLANDS LÄN</t>
        </is>
      </c>
      <c r="E128" t="inlineStr">
        <is>
          <t>SURAHAMMAR</t>
        </is>
      </c>
      <c r="F128" t="inlineStr">
        <is>
          <t>Bergvik skog väst AB</t>
        </is>
      </c>
      <c r="G128" t="n">
        <v>4</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45891</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11501-2023</t>
        </is>
      </c>
      <c r="B130" s="1" t="n">
        <v>44991</v>
      </c>
      <c r="C130" s="1" t="n">
        <v>45891</v>
      </c>
      <c r="D130" t="inlineStr">
        <is>
          <t>VÄSTMANLANDS LÄN</t>
        </is>
      </c>
      <c r="E130" t="inlineStr">
        <is>
          <t>SURAHAMMAR</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16013-2023</t>
        </is>
      </c>
      <c r="B131" s="1" t="n">
        <v>45026</v>
      </c>
      <c r="C131" s="1" t="n">
        <v>45891</v>
      </c>
      <c r="D131" t="inlineStr">
        <is>
          <t>VÄSTMANLANDS LÄN</t>
        </is>
      </c>
      <c r="E131" t="inlineStr">
        <is>
          <t>SURAHAMMAR</t>
        </is>
      </c>
      <c r="G131" t="n">
        <v>3.9</v>
      </c>
      <c r="H131" t="n">
        <v>0</v>
      </c>
      <c r="I131" t="n">
        <v>0</v>
      </c>
      <c r="J131" t="n">
        <v>0</v>
      </c>
      <c r="K131" t="n">
        <v>0</v>
      </c>
      <c r="L131" t="n">
        <v>0</v>
      </c>
      <c r="M131" t="n">
        <v>0</v>
      </c>
      <c r="N131" t="n">
        <v>0</v>
      </c>
      <c r="O131" t="n">
        <v>0</v>
      </c>
      <c r="P131" t="n">
        <v>0</v>
      </c>
      <c r="Q131" t="n">
        <v>0</v>
      </c>
      <c r="R131" s="2" t="inlineStr"/>
    </row>
    <row r="132" ht="15" customHeight="1">
      <c r="A132" t="inlineStr">
        <is>
          <t>A 20904-2023</t>
        </is>
      </c>
      <c r="B132" s="1" t="n">
        <v>45060</v>
      </c>
      <c r="C132" s="1" t="n">
        <v>45891</v>
      </c>
      <c r="D132" t="inlineStr">
        <is>
          <t>VÄSTMANLANDS LÄN</t>
        </is>
      </c>
      <c r="E132" t="inlineStr">
        <is>
          <t>SURAHAMMAR</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2867-2024</t>
        </is>
      </c>
      <c r="B133" s="1" t="n">
        <v>45315</v>
      </c>
      <c r="C133" s="1" t="n">
        <v>45891</v>
      </c>
      <c r="D133" t="inlineStr">
        <is>
          <t>VÄSTMANLANDS LÄN</t>
        </is>
      </c>
      <c r="E133" t="inlineStr">
        <is>
          <t>SURAHAMMAR</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42829-2022</t>
        </is>
      </c>
      <c r="B134" s="1" t="n">
        <v>44832</v>
      </c>
      <c r="C134" s="1" t="n">
        <v>45891</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45891</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45891</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41555-2022</t>
        </is>
      </c>
      <c r="B137" s="1" t="n">
        <v>44826</v>
      </c>
      <c r="C137" s="1" t="n">
        <v>45891</v>
      </c>
      <c r="D137" t="inlineStr">
        <is>
          <t>VÄSTMANLANDS LÄN</t>
        </is>
      </c>
      <c r="E137" t="inlineStr">
        <is>
          <t>SURAHAMMAR</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5567-2022</t>
        </is>
      </c>
      <c r="B138" s="1" t="n">
        <v>44595</v>
      </c>
      <c r="C138" s="1" t="n">
        <v>45891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41576-2022</t>
        </is>
      </c>
      <c r="B139" s="1" t="n">
        <v>44826</v>
      </c>
      <c r="C139" s="1" t="n">
        <v>45891</v>
      </c>
      <c r="D139" t="inlineStr">
        <is>
          <t>VÄSTMANLANDS LÄN</t>
        </is>
      </c>
      <c r="E139" t="inlineStr">
        <is>
          <t>SURAHAMMAR</t>
        </is>
      </c>
      <c r="F139" t="inlineStr">
        <is>
          <t>Bergvik skog väst AB</t>
        </is>
      </c>
      <c r="G139" t="n">
        <v>6.4</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45891</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37013-2025</t>
        </is>
      </c>
      <c r="B141" s="1" t="n">
        <v>45874</v>
      </c>
      <c r="C141" s="1" t="n">
        <v>45891</v>
      </c>
      <c r="D141" t="inlineStr">
        <is>
          <t>VÄSTMANLANDS LÄN</t>
        </is>
      </c>
      <c r="E141" t="inlineStr">
        <is>
          <t>SURAHAMMAR</t>
        </is>
      </c>
      <c r="F141" t="inlineStr">
        <is>
          <t>Bergvik skog väst AB</t>
        </is>
      </c>
      <c r="G141" t="n">
        <v>10.7</v>
      </c>
      <c r="H141" t="n">
        <v>0</v>
      </c>
      <c r="I141" t="n">
        <v>0</v>
      </c>
      <c r="J141" t="n">
        <v>0</v>
      </c>
      <c r="K141" t="n">
        <v>0</v>
      </c>
      <c r="L141" t="n">
        <v>0</v>
      </c>
      <c r="M141" t="n">
        <v>0</v>
      </c>
      <c r="N141" t="n">
        <v>0</v>
      </c>
      <c r="O141" t="n">
        <v>0</v>
      </c>
      <c r="P141" t="n">
        <v>0</v>
      </c>
      <c r="Q141" t="n">
        <v>0</v>
      </c>
      <c r="R141" s="2" t="inlineStr"/>
    </row>
    <row r="142" ht="15" customHeight="1">
      <c r="A142" t="inlineStr">
        <is>
          <t>A 48205-2023</t>
        </is>
      </c>
      <c r="B142" s="1" t="n">
        <v>45205</v>
      </c>
      <c r="C142" s="1" t="n">
        <v>45891</v>
      </c>
      <c r="D142" t="inlineStr">
        <is>
          <t>VÄSTMANLANDS LÄN</t>
        </is>
      </c>
      <c r="E142" t="inlineStr">
        <is>
          <t>SURAHAMMAR</t>
        </is>
      </c>
      <c r="F142" t="inlineStr">
        <is>
          <t>Allmännings- och besparingsskogar</t>
        </is>
      </c>
      <c r="G142" t="n">
        <v>7.6</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45891</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13796-2025</t>
        </is>
      </c>
      <c r="B144" s="1" t="n">
        <v>45737.47846064815</v>
      </c>
      <c r="C144" s="1" t="n">
        <v>45891</v>
      </c>
      <c r="D144" t="inlineStr">
        <is>
          <t>VÄSTMANLANDS LÄN</t>
        </is>
      </c>
      <c r="E144" t="inlineStr">
        <is>
          <t>SURAHAMMAR</t>
        </is>
      </c>
      <c r="G144" t="n">
        <v>3.3</v>
      </c>
      <c r="H144" t="n">
        <v>0</v>
      </c>
      <c r="I144" t="n">
        <v>0</v>
      </c>
      <c r="J144" t="n">
        <v>0</v>
      </c>
      <c r="K144" t="n">
        <v>0</v>
      </c>
      <c r="L144" t="n">
        <v>0</v>
      </c>
      <c r="M144" t="n">
        <v>0</v>
      </c>
      <c r="N144" t="n">
        <v>0</v>
      </c>
      <c r="O144" t="n">
        <v>0</v>
      </c>
      <c r="P144" t="n">
        <v>0</v>
      </c>
      <c r="Q144" t="n">
        <v>0</v>
      </c>
      <c r="R144" s="2" t="inlineStr"/>
    </row>
    <row r="145" ht="15" customHeight="1">
      <c r="A145" t="inlineStr">
        <is>
          <t>A 37954-2025</t>
        </is>
      </c>
      <c r="B145" s="1" t="n">
        <v>45881</v>
      </c>
      <c r="C145" s="1" t="n">
        <v>45891</v>
      </c>
      <c r="D145" t="inlineStr">
        <is>
          <t>VÄSTMANLANDS LÄN</t>
        </is>
      </c>
      <c r="E145" t="inlineStr">
        <is>
          <t>SURAHAMMAR</t>
        </is>
      </c>
      <c r="G145" t="n">
        <v>9.5</v>
      </c>
      <c r="H145" t="n">
        <v>0</v>
      </c>
      <c r="I145" t="n">
        <v>0</v>
      </c>
      <c r="J145" t="n">
        <v>0</v>
      </c>
      <c r="K145" t="n">
        <v>0</v>
      </c>
      <c r="L145" t="n">
        <v>0</v>
      </c>
      <c r="M145" t="n">
        <v>0</v>
      </c>
      <c r="N145" t="n">
        <v>0</v>
      </c>
      <c r="O145" t="n">
        <v>0</v>
      </c>
      <c r="P145" t="n">
        <v>0</v>
      </c>
      <c r="Q145" t="n">
        <v>0</v>
      </c>
      <c r="R145" s="2" t="inlineStr"/>
    </row>
    <row r="146" ht="15" customHeight="1">
      <c r="A146" t="inlineStr">
        <is>
          <t>A 3085-2023</t>
        </is>
      </c>
      <c r="B146" s="1" t="n">
        <v>44946</v>
      </c>
      <c r="C146" s="1" t="n">
        <v>45891</v>
      </c>
      <c r="D146" t="inlineStr">
        <is>
          <t>VÄSTMANLANDS LÄN</t>
        </is>
      </c>
      <c r="E146" t="inlineStr">
        <is>
          <t>SURAHAMMAR</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34584-2025</t>
        </is>
      </c>
      <c r="B147" s="1" t="n">
        <v>45846</v>
      </c>
      <c r="C147" s="1" t="n">
        <v>45891</v>
      </c>
      <c r="D147" t="inlineStr">
        <is>
          <t>VÄSTMANLANDS LÄN</t>
        </is>
      </c>
      <c r="E147" t="inlineStr">
        <is>
          <t>SURAHAMMAR</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32910-2025</t>
        </is>
      </c>
      <c r="B148" s="1" t="n">
        <v>45839</v>
      </c>
      <c r="C148" s="1" t="n">
        <v>45891</v>
      </c>
      <c r="D148" t="inlineStr">
        <is>
          <t>VÄSTMANLANDS LÄN</t>
        </is>
      </c>
      <c r="E148" t="inlineStr">
        <is>
          <t>SURAHAMMAR</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7848-2022</t>
        </is>
      </c>
      <c r="B149" s="1" t="n">
        <v>44608.58400462963</v>
      </c>
      <c r="C149" s="1" t="n">
        <v>45891</v>
      </c>
      <c r="D149" t="inlineStr">
        <is>
          <t>VÄSTMANLANDS LÄN</t>
        </is>
      </c>
      <c r="E149" t="inlineStr">
        <is>
          <t>SURAHAMMAR</t>
        </is>
      </c>
      <c r="G149" t="n">
        <v>2.1</v>
      </c>
      <c r="H149" t="n">
        <v>0</v>
      </c>
      <c r="I149" t="n">
        <v>0</v>
      </c>
      <c r="J149" t="n">
        <v>0</v>
      </c>
      <c r="K149" t="n">
        <v>0</v>
      </c>
      <c r="L149" t="n">
        <v>0</v>
      </c>
      <c r="M149" t="n">
        <v>0</v>
      </c>
      <c r="N149" t="n">
        <v>0</v>
      </c>
      <c r="O149" t="n">
        <v>0</v>
      </c>
      <c r="P149" t="n">
        <v>0</v>
      </c>
      <c r="Q149" t="n">
        <v>0</v>
      </c>
      <c r="R149" s="2" t="inlineStr"/>
    </row>
    <row r="150" ht="15" customHeight="1">
      <c r="A150" t="inlineStr">
        <is>
          <t>A 34582-2025</t>
        </is>
      </c>
      <c r="B150" s="1" t="n">
        <v>45846</v>
      </c>
      <c r="C150" s="1" t="n">
        <v>45891</v>
      </c>
      <c r="D150" t="inlineStr">
        <is>
          <t>VÄSTMANLANDS LÄN</t>
        </is>
      </c>
      <c r="E150" t="inlineStr">
        <is>
          <t>SURAHAMMAR</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32916-2025</t>
        </is>
      </c>
      <c r="B151" s="1" t="n">
        <v>45839</v>
      </c>
      <c r="C151" s="1" t="n">
        <v>45891</v>
      </c>
      <c r="D151" t="inlineStr">
        <is>
          <t>VÄSTMANLANDS LÄN</t>
        </is>
      </c>
      <c r="E151" t="inlineStr">
        <is>
          <t>SURAHAMMAR</t>
        </is>
      </c>
      <c r="F151" t="inlineStr">
        <is>
          <t>Kommuner</t>
        </is>
      </c>
      <c r="G151" t="n">
        <v>4.9</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45891</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45891</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2025-08-22T08:32:12Z</dcterms:created>
  <dcterms:modified xmlns:dcterms="http://purl.org/dc/terms/" xmlns:xsi="http://www.w3.org/2001/XMLSchema-instance" xsi:type="dcterms:W3CDTF">2025-08-22T08:32:12Z</dcterms:modified>
</cp:coreProperties>
</file>