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46159</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46159</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46159</v>
      </c>
      <c r="D4" t="inlineStr">
        <is>
          <t>VÄSTMANLANDS LÄN</t>
        </is>
      </c>
      <c r="E4" t="inlineStr">
        <is>
          <t>SURAHAMMAR</t>
        </is>
      </c>
      <c r="F4" t="inlineStr">
        <is>
          <t>Bergvik skog väst AB</t>
        </is>
      </c>
      <c r="G4" t="n">
        <v>25.7</v>
      </c>
      <c r="H4" t="n">
        <v>20</v>
      </c>
      <c r="I4" t="n">
        <v>7</v>
      </c>
      <c r="J4" t="n">
        <v>6</v>
      </c>
      <c r="K4" t="n">
        <v>1</v>
      </c>
      <c r="L4" t="n">
        <v>1</v>
      </c>
      <c r="M4" t="n">
        <v>0</v>
      </c>
      <c r="N4" t="n">
        <v>0</v>
      </c>
      <c r="O4" t="n">
        <v>8</v>
      </c>
      <c r="P4" t="n">
        <v>2</v>
      </c>
      <c r="Q4" t="n">
        <v>29</v>
      </c>
      <c r="R4"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46159</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46159</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46159</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46159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46159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46159</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46159</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46159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46159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46159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46159</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46159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46159</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46159</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46159</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46159</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46159</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46159</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65024-2023</t>
        </is>
      </c>
      <c r="B23" s="1" t="n">
        <v>45282</v>
      </c>
      <c r="C23" s="1" t="n">
        <v>46159</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46159</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4105-2025</t>
        </is>
      </c>
      <c r="B25" s="1" t="n">
        <v>45684</v>
      </c>
      <c r="C25" s="1" t="n">
        <v>46159</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10236-2026</t>
        </is>
      </c>
      <c r="B26" s="1" t="n">
        <v>46076.54277777778</v>
      </c>
      <c r="C26" s="1" t="n">
        <v>46159</v>
      </c>
      <c r="D26" t="inlineStr">
        <is>
          <t>VÄSTMANLANDS LÄN</t>
        </is>
      </c>
      <c r="E26" t="inlineStr">
        <is>
          <t>SURAHAMMAR</t>
        </is>
      </c>
      <c r="F26" t="inlineStr">
        <is>
          <t>Allmännings- och besparingsskogar</t>
        </is>
      </c>
      <c r="G26" t="n">
        <v>2.8</v>
      </c>
      <c r="H26" t="n">
        <v>2</v>
      </c>
      <c r="I26" t="n">
        <v>1</v>
      </c>
      <c r="J26" t="n">
        <v>0</v>
      </c>
      <c r="K26" t="n">
        <v>1</v>
      </c>
      <c r="L26" t="n">
        <v>0</v>
      </c>
      <c r="M26" t="n">
        <v>0</v>
      </c>
      <c r="N26" t="n">
        <v>0</v>
      </c>
      <c r="O26" t="n">
        <v>1</v>
      </c>
      <c r="P26" t="n">
        <v>1</v>
      </c>
      <c r="Q26" t="n">
        <v>4</v>
      </c>
      <c r="R26" s="2" t="inlineStr">
        <is>
          <t>Vågticka
Brandticka
Lopplummer (aggregat)
Revlummer</t>
        </is>
      </c>
      <c r="S26">
        <f>HYPERLINK("https://klasma.github.io/Logging_1907/artfynd/A 10236-2026 artfynd.xlsx", "A 10236-2026")</f>
        <v/>
      </c>
      <c r="T26">
        <f>HYPERLINK("https://klasma.github.io/Logging_1907/kartor/A 10236-2026 karta.png", "A 10236-2026")</f>
        <v/>
      </c>
      <c r="V26">
        <f>HYPERLINK("https://klasma.github.io/Logging_1907/klagomål/A 10236-2026 FSC-klagomål.docx", "A 10236-2026")</f>
        <v/>
      </c>
      <c r="W26">
        <f>HYPERLINK("https://klasma.github.io/Logging_1907/klagomålsmail/A 10236-2026 FSC-klagomål mail.docx", "A 10236-2026")</f>
        <v/>
      </c>
      <c r="X26">
        <f>HYPERLINK("https://klasma.github.io/Logging_1907/tillsyn/A 10236-2026 tillsynsbegäran.docx", "A 10236-2026")</f>
        <v/>
      </c>
      <c r="Y26">
        <f>HYPERLINK("https://klasma.github.io/Logging_1907/tillsynsmail/A 10236-2026 tillsynsbegäran mail.docx", "A 10236-2026")</f>
        <v/>
      </c>
    </row>
    <row r="27" ht="15" customHeight="1">
      <c r="A27" t="inlineStr">
        <is>
          <t>A 42853-2022</t>
        </is>
      </c>
      <c r="B27" s="1" t="n">
        <v>44832</v>
      </c>
      <c r="C27" s="1" t="n">
        <v>46159</v>
      </c>
      <c r="D27" t="inlineStr">
        <is>
          <t>VÄSTMANLANDS LÄN</t>
        </is>
      </c>
      <c r="E27" t="inlineStr">
        <is>
          <t>SURAHAMMAR</t>
        </is>
      </c>
      <c r="G27" t="n">
        <v>7.4</v>
      </c>
      <c r="H27" t="n">
        <v>2</v>
      </c>
      <c r="I27" t="n">
        <v>1</v>
      </c>
      <c r="J27" t="n">
        <v>2</v>
      </c>
      <c r="K27" t="n">
        <v>0</v>
      </c>
      <c r="L27" t="n">
        <v>1</v>
      </c>
      <c r="M27" t="n">
        <v>0</v>
      </c>
      <c r="N27" t="n">
        <v>0</v>
      </c>
      <c r="O27" t="n">
        <v>3</v>
      </c>
      <c r="P27" t="n">
        <v>1</v>
      </c>
      <c r="Q27" t="n">
        <v>4</v>
      </c>
      <c r="R27" s="2" t="inlineStr">
        <is>
          <t>Ask
Kandelabersvamp
Mindre hackspett
Tvåblad</t>
        </is>
      </c>
      <c r="S27">
        <f>HYPERLINK("https://klasma.github.io/Logging_1907/artfynd/A 42853-2022 artfynd.xlsx", "A 42853-2022")</f>
        <v/>
      </c>
      <c r="T27">
        <f>HYPERLINK("https://klasma.github.io/Logging_1907/kartor/A 42853-2022 karta.png", "A 42853-2022")</f>
        <v/>
      </c>
      <c r="V27">
        <f>HYPERLINK("https://klasma.github.io/Logging_1907/klagomål/A 42853-2022 FSC-klagomål.docx", "A 42853-2022")</f>
        <v/>
      </c>
      <c r="W27">
        <f>HYPERLINK("https://klasma.github.io/Logging_1907/klagomålsmail/A 42853-2022 FSC-klagomål mail.docx", "A 42853-2022")</f>
        <v/>
      </c>
      <c r="X27">
        <f>HYPERLINK("https://klasma.github.io/Logging_1907/tillsyn/A 42853-2022 tillsynsbegäran.docx", "A 42853-2022")</f>
        <v/>
      </c>
      <c r="Y27">
        <f>HYPERLINK("https://klasma.github.io/Logging_1907/tillsynsmail/A 42853-2022 tillsynsbegäran mail.docx", "A 42853-2022")</f>
        <v/>
      </c>
      <c r="Z27">
        <f>HYPERLINK("https://klasma.github.io/Logging_1907/fåglar/A 42853-2022 prioriterade fågelarter.docx", "A 42853-2022")</f>
        <v/>
      </c>
    </row>
    <row r="28" ht="15" customHeight="1">
      <c r="A28" t="inlineStr">
        <is>
          <t>A 21716-2025</t>
        </is>
      </c>
      <c r="B28" s="1" t="n">
        <v>45783.54804398148</v>
      </c>
      <c r="C28" s="1" t="n">
        <v>46159</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25548-2024</t>
        </is>
      </c>
      <c r="B29" s="1" t="n">
        <v>45463</v>
      </c>
      <c r="C29" s="1" t="n">
        <v>46159</v>
      </c>
      <c r="D29" t="inlineStr">
        <is>
          <t>VÄSTMANLANDS LÄN</t>
        </is>
      </c>
      <c r="E29" t="inlineStr">
        <is>
          <t>SURAHAMMAR</t>
        </is>
      </c>
      <c r="F29" t="inlineStr">
        <is>
          <t>Bergvik skog väst AB</t>
        </is>
      </c>
      <c r="G29" t="n">
        <v>5.1</v>
      </c>
      <c r="H29" t="n">
        <v>3</v>
      </c>
      <c r="I29" t="n">
        <v>1</v>
      </c>
      <c r="J29" t="n">
        <v>0</v>
      </c>
      <c r="K29" t="n">
        <v>1</v>
      </c>
      <c r="L29" t="n">
        <v>0</v>
      </c>
      <c r="M29" t="n">
        <v>0</v>
      </c>
      <c r="N29" t="n">
        <v>0</v>
      </c>
      <c r="O29" t="n">
        <v>1</v>
      </c>
      <c r="P29" t="n">
        <v>1</v>
      </c>
      <c r="Q29" t="n">
        <v>4</v>
      </c>
      <c r="R29" s="2" t="inlineStr">
        <is>
          <t>Knärot
Vedticka
Fläcknycklar
Nattviol</t>
        </is>
      </c>
      <c r="S29">
        <f>HYPERLINK("https://klasma.github.io/Logging_1907/artfynd/A 25548-2024 artfynd.xlsx", "A 25548-2024")</f>
        <v/>
      </c>
      <c r="T29">
        <f>HYPERLINK("https://klasma.github.io/Logging_1907/kartor/A 25548-2024 karta.png", "A 25548-2024")</f>
        <v/>
      </c>
      <c r="U29">
        <f>HYPERLINK("https://klasma.github.io/Logging_1907/knärot/A 25548-2024 karta knärot.png", "A 25548-2024")</f>
        <v/>
      </c>
      <c r="V29">
        <f>HYPERLINK("https://klasma.github.io/Logging_1907/klagomål/A 25548-2024 FSC-klagomål.docx", "A 25548-2024")</f>
        <v/>
      </c>
      <c r="W29">
        <f>HYPERLINK("https://klasma.github.io/Logging_1907/klagomålsmail/A 25548-2024 FSC-klagomål mail.docx", "A 25548-2024")</f>
        <v/>
      </c>
      <c r="X29">
        <f>HYPERLINK("https://klasma.github.io/Logging_1907/tillsyn/A 25548-2024 tillsynsbegäran.docx", "A 25548-2024")</f>
        <v/>
      </c>
      <c r="Y29">
        <f>HYPERLINK("https://klasma.github.io/Logging_1907/tillsynsmail/A 25548-2024 tillsynsbegäran mail.docx", "A 25548-2024")</f>
        <v/>
      </c>
    </row>
    <row r="30" ht="15" customHeight="1">
      <c r="A30" t="inlineStr">
        <is>
          <t>A 42860-2022</t>
        </is>
      </c>
      <c r="B30" s="1" t="n">
        <v>44832</v>
      </c>
      <c r="C30" s="1" t="n">
        <v>46159</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46159</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46159</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39694-2025</t>
        </is>
      </c>
      <c r="B33" s="1" t="n">
        <v>45890</v>
      </c>
      <c r="C33" s="1" t="n">
        <v>46159</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49718-2023</t>
        </is>
      </c>
      <c r="B34" s="1" t="n">
        <v>45212</v>
      </c>
      <c r="C34" s="1" t="n">
        <v>46159</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29707-2025</t>
        </is>
      </c>
      <c r="B35" s="1" t="n">
        <v>45825.56100694444</v>
      </c>
      <c r="C35" s="1" t="n">
        <v>46159</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48128-2023</t>
        </is>
      </c>
      <c r="B36" s="1" t="n">
        <v>45205</v>
      </c>
      <c r="C36" s="1" t="n">
        <v>46159</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46159</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4082-2025</t>
        </is>
      </c>
      <c r="B38" s="1" t="n">
        <v>45684</v>
      </c>
      <c r="C38" s="1" t="n">
        <v>46159</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46159</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46159</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46159</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46159</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62097-2024</t>
        </is>
      </c>
      <c r="B43" s="1" t="n">
        <v>45646</v>
      </c>
      <c r="C43" s="1" t="n">
        <v>46159</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46159</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46159</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46159</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46159</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46159</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46159</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46159</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46159</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46159</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46159</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13788-2025</t>
        </is>
      </c>
      <c r="B54" s="1" t="n">
        <v>45737.45327546296</v>
      </c>
      <c r="C54" s="1" t="n">
        <v>46159</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34582-2025</t>
        </is>
      </c>
      <c r="B55" s="1" t="n">
        <v>45846</v>
      </c>
      <c r="C55" s="1" t="n">
        <v>46159</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42089-2025</t>
        </is>
      </c>
      <c r="B56" s="1" t="n">
        <v>45902</v>
      </c>
      <c r="C56" s="1" t="n">
        <v>46159</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69777-2021</t>
        </is>
      </c>
      <c r="B57" s="1" t="n">
        <v>44532</v>
      </c>
      <c r="C57" s="1" t="n">
        <v>46159</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14001-2023</t>
        </is>
      </c>
      <c r="B58" s="1" t="n">
        <v>45007</v>
      </c>
      <c r="C58" s="1" t="n">
        <v>46159</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47453-2024</t>
        </is>
      </c>
      <c r="B59" s="1" t="n">
        <v>45587.55017361111</v>
      </c>
      <c r="C59" s="1" t="n">
        <v>46159</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34584-2025</t>
        </is>
      </c>
      <c r="B60" s="1" t="n">
        <v>45846</v>
      </c>
      <c r="C60" s="1" t="n">
        <v>46159</v>
      </c>
      <c r="D60" t="inlineStr">
        <is>
          <t>VÄSTMANLANDS LÄN</t>
        </is>
      </c>
      <c r="E60" t="inlineStr">
        <is>
          <t>SURAHAMMAR</t>
        </is>
      </c>
      <c r="F60" t="inlineStr">
        <is>
          <t>Bergvik skog väst AB</t>
        </is>
      </c>
      <c r="G60" t="n">
        <v>2.7</v>
      </c>
      <c r="H60" t="n">
        <v>1</v>
      </c>
      <c r="I60" t="n">
        <v>0</v>
      </c>
      <c r="J60" t="n">
        <v>0</v>
      </c>
      <c r="K60" t="n">
        <v>0</v>
      </c>
      <c r="L60" t="n">
        <v>0</v>
      </c>
      <c r="M60" t="n">
        <v>0</v>
      </c>
      <c r="N60" t="n">
        <v>0</v>
      </c>
      <c r="O60" t="n">
        <v>0</v>
      </c>
      <c r="P60" t="n">
        <v>0</v>
      </c>
      <c r="Q60" t="n">
        <v>1</v>
      </c>
      <c r="R60" s="2" t="inlineStr">
        <is>
          <t>Tjäder</t>
        </is>
      </c>
      <c r="S60">
        <f>HYPERLINK("https://klasma.github.io/Logging_1907/artfynd/A 34584-2025 artfynd.xlsx", "A 34584-2025")</f>
        <v/>
      </c>
      <c r="T60">
        <f>HYPERLINK("https://klasma.github.io/Logging_1907/kartor/A 34584-2025 karta.png", "A 34584-2025")</f>
        <v/>
      </c>
      <c r="V60">
        <f>HYPERLINK("https://klasma.github.io/Logging_1907/klagomål/A 34584-2025 FSC-klagomål.docx", "A 34584-2025")</f>
        <v/>
      </c>
      <c r="W60">
        <f>HYPERLINK("https://klasma.github.io/Logging_1907/klagomålsmail/A 34584-2025 FSC-klagomål mail.docx", "A 34584-2025")</f>
        <v/>
      </c>
      <c r="X60">
        <f>HYPERLINK("https://klasma.github.io/Logging_1907/tillsyn/A 34584-2025 tillsynsbegäran.docx", "A 34584-2025")</f>
        <v/>
      </c>
      <c r="Y60">
        <f>HYPERLINK("https://klasma.github.io/Logging_1907/tillsynsmail/A 34584-2025 tillsynsbegäran mail.docx", "A 34584-2025")</f>
        <v/>
      </c>
      <c r="Z60">
        <f>HYPERLINK("https://klasma.github.io/Logging_1907/fåglar/A 34584-2025 prioriterade fågelarter.docx", "A 34584-2025")</f>
        <v/>
      </c>
    </row>
    <row r="61" ht="15" customHeight="1">
      <c r="A61" t="inlineStr">
        <is>
          <t>A 10819-2024</t>
        </is>
      </c>
      <c r="B61" s="1" t="n">
        <v>45369.66049768519</v>
      </c>
      <c r="C61" s="1" t="n">
        <v>46159</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55042-2025</t>
        </is>
      </c>
      <c r="B62" s="1" t="n">
        <v>45967.65858796296</v>
      </c>
      <c r="C62" s="1" t="n">
        <v>46159</v>
      </c>
      <c r="D62" t="inlineStr">
        <is>
          <t>VÄSTMANLANDS LÄN</t>
        </is>
      </c>
      <c r="E62" t="inlineStr">
        <is>
          <t>SURAHAMMAR</t>
        </is>
      </c>
      <c r="F62" t="inlineStr">
        <is>
          <t>Sveaskog</t>
        </is>
      </c>
      <c r="G62" t="n">
        <v>7.2</v>
      </c>
      <c r="H62" t="n">
        <v>0</v>
      </c>
      <c r="I62" t="n">
        <v>0</v>
      </c>
      <c r="J62" t="n">
        <v>1</v>
      </c>
      <c r="K62" t="n">
        <v>0</v>
      </c>
      <c r="L62" t="n">
        <v>0</v>
      </c>
      <c r="M62" t="n">
        <v>0</v>
      </c>
      <c r="N62" t="n">
        <v>0</v>
      </c>
      <c r="O62" t="n">
        <v>1</v>
      </c>
      <c r="P62" t="n">
        <v>0</v>
      </c>
      <c r="Q62" t="n">
        <v>1</v>
      </c>
      <c r="R62" s="2" t="inlineStr">
        <is>
          <t>Motaggsvamp</t>
        </is>
      </c>
      <c r="S62">
        <f>HYPERLINK("https://klasma.github.io/Logging_1907/artfynd/A 55042-2025 artfynd.xlsx", "A 55042-2025")</f>
        <v/>
      </c>
      <c r="T62">
        <f>HYPERLINK("https://klasma.github.io/Logging_1907/kartor/A 55042-2025 karta.png", "A 55042-2025")</f>
        <v/>
      </c>
      <c r="V62">
        <f>HYPERLINK("https://klasma.github.io/Logging_1907/klagomål/A 55042-2025 FSC-klagomål.docx", "A 55042-2025")</f>
        <v/>
      </c>
      <c r="W62">
        <f>HYPERLINK("https://klasma.github.io/Logging_1907/klagomålsmail/A 55042-2025 FSC-klagomål mail.docx", "A 55042-2025")</f>
        <v/>
      </c>
      <c r="X62">
        <f>HYPERLINK("https://klasma.github.io/Logging_1907/tillsyn/A 55042-2025 tillsynsbegäran.docx", "A 55042-2025")</f>
        <v/>
      </c>
      <c r="Y62">
        <f>HYPERLINK("https://klasma.github.io/Logging_1907/tillsynsmail/A 55042-2025 tillsynsbegäran mail.docx", "A 55042-2025")</f>
        <v/>
      </c>
    </row>
    <row r="63" ht="15" customHeight="1">
      <c r="A63" t="inlineStr">
        <is>
          <t>A 55871-2025</t>
        </is>
      </c>
      <c r="B63" s="1" t="n">
        <v>45973.35452546296</v>
      </c>
      <c r="C63" s="1" t="n">
        <v>46159</v>
      </c>
      <c r="D63" t="inlineStr">
        <is>
          <t>VÄSTMANLANDS LÄN</t>
        </is>
      </c>
      <c r="E63" t="inlineStr">
        <is>
          <t>SURAHAMMAR</t>
        </is>
      </c>
      <c r="F63" t="inlineStr">
        <is>
          <t>Sveaskog</t>
        </is>
      </c>
      <c r="G63" t="n">
        <v>1.4</v>
      </c>
      <c r="H63" t="n">
        <v>1</v>
      </c>
      <c r="I63" t="n">
        <v>0</v>
      </c>
      <c r="J63" t="n">
        <v>0</v>
      </c>
      <c r="K63" t="n">
        <v>0</v>
      </c>
      <c r="L63" t="n">
        <v>0</v>
      </c>
      <c r="M63" t="n">
        <v>0</v>
      </c>
      <c r="N63" t="n">
        <v>0</v>
      </c>
      <c r="O63" t="n">
        <v>0</v>
      </c>
      <c r="P63" t="n">
        <v>0</v>
      </c>
      <c r="Q63" t="n">
        <v>1</v>
      </c>
      <c r="R63" s="2" t="inlineStr">
        <is>
          <t>Lopplummer (aggregat)</t>
        </is>
      </c>
      <c r="S63">
        <f>HYPERLINK("https://klasma.github.io/Logging_1907/artfynd/A 55871-2025 artfynd.xlsx", "A 55871-2025")</f>
        <v/>
      </c>
      <c r="T63">
        <f>HYPERLINK("https://klasma.github.io/Logging_1907/kartor/A 55871-2025 karta.png", "A 55871-2025")</f>
        <v/>
      </c>
      <c r="V63">
        <f>HYPERLINK("https://klasma.github.io/Logging_1907/klagomål/A 55871-2025 FSC-klagomål.docx", "A 55871-2025")</f>
        <v/>
      </c>
      <c r="W63">
        <f>HYPERLINK("https://klasma.github.io/Logging_1907/klagomålsmail/A 55871-2025 FSC-klagomål mail.docx", "A 55871-2025")</f>
        <v/>
      </c>
      <c r="X63">
        <f>HYPERLINK("https://klasma.github.io/Logging_1907/tillsyn/A 55871-2025 tillsynsbegäran.docx", "A 55871-2025")</f>
        <v/>
      </c>
      <c r="Y63">
        <f>HYPERLINK("https://klasma.github.io/Logging_1907/tillsynsmail/A 55871-2025 tillsynsbegäran mail.docx", "A 55871-2025")</f>
        <v/>
      </c>
    </row>
    <row r="64" ht="15" customHeight="1">
      <c r="A64" t="inlineStr">
        <is>
          <t>A 56768-2025</t>
        </is>
      </c>
      <c r="B64" s="1" t="n">
        <v>45978</v>
      </c>
      <c r="C64" s="1" t="n">
        <v>46159</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40411-2021</t>
        </is>
      </c>
      <c r="B65" s="1" t="n">
        <v>44419</v>
      </c>
      <c r="C65" s="1" t="n">
        <v>46159</v>
      </c>
      <c r="D65" t="inlineStr">
        <is>
          <t>VÄSTMANLANDS LÄN</t>
        </is>
      </c>
      <c r="E65" t="inlineStr">
        <is>
          <t>SURAHAMMAR</t>
        </is>
      </c>
      <c r="F65" t="inlineStr">
        <is>
          <t>Sveaskog</t>
        </is>
      </c>
      <c r="G65" t="n">
        <v>2.4</v>
      </c>
      <c r="H65" t="n">
        <v>1</v>
      </c>
      <c r="I65" t="n">
        <v>0</v>
      </c>
      <c r="J65" t="n">
        <v>0</v>
      </c>
      <c r="K65" t="n">
        <v>0</v>
      </c>
      <c r="L65" t="n">
        <v>0</v>
      </c>
      <c r="M65" t="n">
        <v>0</v>
      </c>
      <c r="N65" t="n">
        <v>0</v>
      </c>
      <c r="O65" t="n">
        <v>0</v>
      </c>
      <c r="P65" t="n">
        <v>0</v>
      </c>
      <c r="Q65" t="n">
        <v>1</v>
      </c>
      <c r="R65" s="2" t="inlineStr">
        <is>
          <t>Kopparödla</t>
        </is>
      </c>
      <c r="S65">
        <f>HYPERLINK("https://klasma.github.io/Logging_1907/artfynd/A 40411-2021 artfynd.xlsx", "A 40411-2021")</f>
        <v/>
      </c>
      <c r="T65">
        <f>HYPERLINK("https://klasma.github.io/Logging_1907/kartor/A 40411-2021 karta.png", "A 40411-2021")</f>
        <v/>
      </c>
      <c r="V65">
        <f>HYPERLINK("https://klasma.github.io/Logging_1907/klagomål/A 40411-2021 FSC-klagomål.docx", "A 40411-2021")</f>
        <v/>
      </c>
      <c r="W65">
        <f>HYPERLINK("https://klasma.github.io/Logging_1907/klagomålsmail/A 40411-2021 FSC-klagomål mail.docx", "A 40411-2021")</f>
        <v/>
      </c>
      <c r="X65">
        <f>HYPERLINK("https://klasma.github.io/Logging_1907/tillsyn/A 40411-2021 tillsynsbegäran.docx", "A 40411-2021")</f>
        <v/>
      </c>
      <c r="Y65">
        <f>HYPERLINK("https://klasma.github.io/Logging_1907/tillsynsmail/A 40411-2021 tillsynsbegäran mail.docx", "A 40411-2021")</f>
        <v/>
      </c>
    </row>
    <row r="66" ht="15" customHeight="1">
      <c r="A66" t="inlineStr">
        <is>
          <t>A 33231-2024</t>
        </is>
      </c>
      <c r="B66" s="1" t="n">
        <v>45518</v>
      </c>
      <c r="C66" s="1" t="n">
        <v>46159</v>
      </c>
      <c r="D66" t="inlineStr">
        <is>
          <t>VÄSTMANLANDS LÄN</t>
        </is>
      </c>
      <c r="E66" t="inlineStr">
        <is>
          <t>SURAHAMMAR</t>
        </is>
      </c>
      <c r="F66" t="inlineStr">
        <is>
          <t>Bergvik skog väst AB</t>
        </is>
      </c>
      <c r="G66" t="n">
        <v>1.5</v>
      </c>
      <c r="H66" t="n">
        <v>1</v>
      </c>
      <c r="I66" t="n">
        <v>0</v>
      </c>
      <c r="J66" t="n">
        <v>0</v>
      </c>
      <c r="K66" t="n">
        <v>0</v>
      </c>
      <c r="L66" t="n">
        <v>0</v>
      </c>
      <c r="M66" t="n">
        <v>0</v>
      </c>
      <c r="N66" t="n">
        <v>0</v>
      </c>
      <c r="O66" t="n">
        <v>0</v>
      </c>
      <c r="P66" t="n">
        <v>0</v>
      </c>
      <c r="Q66" t="n">
        <v>1</v>
      </c>
      <c r="R66" s="2" t="inlineStr">
        <is>
          <t>Mindre vattensalamander</t>
        </is>
      </c>
      <c r="S66">
        <f>HYPERLINK("https://klasma.github.io/Logging_1907/artfynd/A 33231-2024 artfynd.xlsx", "A 33231-2024")</f>
        <v/>
      </c>
      <c r="T66">
        <f>HYPERLINK("https://klasma.github.io/Logging_1907/kartor/A 33231-2024 karta.png", "A 33231-2024")</f>
        <v/>
      </c>
      <c r="V66">
        <f>HYPERLINK("https://klasma.github.io/Logging_1907/klagomål/A 33231-2024 FSC-klagomål.docx", "A 33231-2024")</f>
        <v/>
      </c>
      <c r="W66">
        <f>HYPERLINK("https://klasma.github.io/Logging_1907/klagomålsmail/A 33231-2024 FSC-klagomål mail.docx", "A 33231-2024")</f>
        <v/>
      </c>
      <c r="X66">
        <f>HYPERLINK("https://klasma.github.io/Logging_1907/tillsyn/A 33231-2024 tillsynsbegäran.docx", "A 33231-2024")</f>
        <v/>
      </c>
      <c r="Y66">
        <f>HYPERLINK("https://klasma.github.io/Logging_1907/tillsynsmail/A 33231-2024 tillsynsbegäran mail.docx", "A 33231-2024")</f>
        <v/>
      </c>
    </row>
    <row r="67" ht="15" customHeight="1">
      <c r="A67" t="inlineStr">
        <is>
          <t>A 30074-2023</t>
        </is>
      </c>
      <c r="B67" s="1" t="n">
        <v>45110</v>
      </c>
      <c r="C67" s="1" t="n">
        <v>46159</v>
      </c>
      <c r="D67" t="inlineStr">
        <is>
          <t>VÄSTMANLANDS LÄN</t>
        </is>
      </c>
      <c r="E67" t="inlineStr">
        <is>
          <t>SURAHAMMAR</t>
        </is>
      </c>
      <c r="F67" t="inlineStr">
        <is>
          <t>Sveaskog</t>
        </is>
      </c>
      <c r="G67" t="n">
        <v>1.1</v>
      </c>
      <c r="H67" t="n">
        <v>1</v>
      </c>
      <c r="I67" t="n">
        <v>0</v>
      </c>
      <c r="J67" t="n">
        <v>0</v>
      </c>
      <c r="K67" t="n">
        <v>0</v>
      </c>
      <c r="L67" t="n">
        <v>0</v>
      </c>
      <c r="M67" t="n">
        <v>0</v>
      </c>
      <c r="N67" t="n">
        <v>0</v>
      </c>
      <c r="O67" t="n">
        <v>0</v>
      </c>
      <c r="P67" t="n">
        <v>0</v>
      </c>
      <c r="Q67" t="n">
        <v>1</v>
      </c>
      <c r="R67" s="2" t="inlineStr">
        <is>
          <t>Revlummer</t>
        </is>
      </c>
      <c r="S67">
        <f>HYPERLINK("https://klasma.github.io/Logging_1907/artfynd/A 30074-2023 artfynd.xlsx", "A 30074-2023")</f>
        <v/>
      </c>
      <c r="T67">
        <f>HYPERLINK("https://klasma.github.io/Logging_1907/kartor/A 30074-2023 karta.png", "A 30074-2023")</f>
        <v/>
      </c>
      <c r="V67">
        <f>HYPERLINK("https://klasma.github.io/Logging_1907/klagomål/A 30074-2023 FSC-klagomål.docx", "A 30074-2023")</f>
        <v/>
      </c>
      <c r="W67">
        <f>HYPERLINK("https://klasma.github.io/Logging_1907/klagomålsmail/A 30074-2023 FSC-klagomål mail.docx", "A 30074-2023")</f>
        <v/>
      </c>
      <c r="X67">
        <f>HYPERLINK("https://klasma.github.io/Logging_1907/tillsyn/A 30074-2023 tillsynsbegäran.docx", "A 30074-2023")</f>
        <v/>
      </c>
      <c r="Y67">
        <f>HYPERLINK("https://klasma.github.io/Logging_1907/tillsynsmail/A 30074-2023 tillsynsbegäran mail.docx", "A 30074-2023")</f>
        <v/>
      </c>
    </row>
    <row r="68" ht="15" customHeight="1">
      <c r="A68" t="inlineStr">
        <is>
          <t>A 31176-2024</t>
        </is>
      </c>
      <c r="B68" s="1" t="n">
        <v>45503</v>
      </c>
      <c r="C68" s="1" t="n">
        <v>46159</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63145-2025</t>
        </is>
      </c>
      <c r="B69" s="1" t="n">
        <v>46009</v>
      </c>
      <c r="C69" s="1" t="n">
        <v>46159</v>
      </c>
      <c r="D69" t="inlineStr">
        <is>
          <t>VÄSTMANLANDS LÄN</t>
        </is>
      </c>
      <c r="E69" t="inlineStr">
        <is>
          <t>SURAHAMMAR</t>
        </is>
      </c>
      <c r="F69" t="inlineStr">
        <is>
          <t>Bergvik skog väst AB</t>
        </is>
      </c>
      <c r="G69" t="n">
        <v>40.5</v>
      </c>
      <c r="H69" t="n">
        <v>0</v>
      </c>
      <c r="I69" t="n">
        <v>1</v>
      </c>
      <c r="J69" t="n">
        <v>0</v>
      </c>
      <c r="K69" t="n">
        <v>0</v>
      </c>
      <c r="L69" t="n">
        <v>0</v>
      </c>
      <c r="M69" t="n">
        <v>0</v>
      </c>
      <c r="N69" t="n">
        <v>0</v>
      </c>
      <c r="O69" t="n">
        <v>0</v>
      </c>
      <c r="P69" t="n">
        <v>0</v>
      </c>
      <c r="Q69" t="n">
        <v>1</v>
      </c>
      <c r="R69" s="2" t="inlineStr">
        <is>
          <t>Svart trolldruva</t>
        </is>
      </c>
      <c r="S69">
        <f>HYPERLINK("https://klasma.github.io/Logging_1907/artfynd/A 63145-2025 artfynd.xlsx", "A 63145-2025")</f>
        <v/>
      </c>
      <c r="T69">
        <f>HYPERLINK("https://klasma.github.io/Logging_1907/kartor/A 63145-2025 karta.png", "A 63145-2025")</f>
        <v/>
      </c>
      <c r="V69">
        <f>HYPERLINK("https://klasma.github.io/Logging_1907/klagomål/A 63145-2025 FSC-klagomål.docx", "A 63145-2025")</f>
        <v/>
      </c>
      <c r="W69">
        <f>HYPERLINK("https://klasma.github.io/Logging_1907/klagomålsmail/A 63145-2025 FSC-klagomål mail.docx", "A 63145-2025")</f>
        <v/>
      </c>
      <c r="X69">
        <f>HYPERLINK("https://klasma.github.io/Logging_1907/tillsyn/A 63145-2025 tillsynsbegäran.docx", "A 63145-2025")</f>
        <v/>
      </c>
      <c r="Y69">
        <f>HYPERLINK("https://klasma.github.io/Logging_1907/tillsynsmail/A 63145-2025 tillsynsbegäran mail.docx", "A 63145-2025")</f>
        <v/>
      </c>
    </row>
    <row r="70" ht="15" customHeight="1">
      <c r="A70" t="inlineStr">
        <is>
          <t>A 25583-2024</t>
        </is>
      </c>
      <c r="B70" s="1" t="n">
        <v>45463</v>
      </c>
      <c r="C70" s="1" t="n">
        <v>46159</v>
      </c>
      <c r="D70" t="inlineStr">
        <is>
          <t>VÄSTMANLANDS LÄN</t>
        </is>
      </c>
      <c r="E70" t="inlineStr">
        <is>
          <t>SURAHAMMAR</t>
        </is>
      </c>
      <c r="F70" t="inlineStr">
        <is>
          <t>Bergvik skog väst AB</t>
        </is>
      </c>
      <c r="G70" t="n">
        <v>7.8</v>
      </c>
      <c r="H70" t="n">
        <v>1</v>
      </c>
      <c r="I70" t="n">
        <v>0</v>
      </c>
      <c r="J70" t="n">
        <v>0</v>
      </c>
      <c r="K70" t="n">
        <v>0</v>
      </c>
      <c r="L70" t="n">
        <v>0</v>
      </c>
      <c r="M70" t="n">
        <v>0</v>
      </c>
      <c r="N70" t="n">
        <v>0</v>
      </c>
      <c r="O70" t="n">
        <v>0</v>
      </c>
      <c r="P70" t="n">
        <v>0</v>
      </c>
      <c r="Q70" t="n">
        <v>1</v>
      </c>
      <c r="R70" s="2" t="inlineStr">
        <is>
          <t>Blåsippa</t>
        </is>
      </c>
      <c r="S70">
        <f>HYPERLINK("https://klasma.github.io/Logging_1907/artfynd/A 25583-2024 artfynd.xlsx", "A 25583-2024")</f>
        <v/>
      </c>
      <c r="T70">
        <f>HYPERLINK("https://klasma.github.io/Logging_1907/kartor/A 25583-2024 karta.png", "A 25583-2024")</f>
        <v/>
      </c>
      <c r="V70">
        <f>HYPERLINK("https://klasma.github.io/Logging_1907/klagomål/A 25583-2024 FSC-klagomål.docx", "A 25583-2024")</f>
        <v/>
      </c>
      <c r="W70">
        <f>HYPERLINK("https://klasma.github.io/Logging_1907/klagomålsmail/A 25583-2024 FSC-klagomål mail.docx", "A 25583-2024")</f>
        <v/>
      </c>
      <c r="X70">
        <f>HYPERLINK("https://klasma.github.io/Logging_1907/tillsyn/A 25583-2024 tillsynsbegäran.docx", "A 25583-2024")</f>
        <v/>
      </c>
      <c r="Y70">
        <f>HYPERLINK("https://klasma.github.io/Logging_1907/tillsynsmail/A 25583-2024 tillsynsbegäran mail.docx", "A 25583-2024")</f>
        <v/>
      </c>
    </row>
    <row r="71" ht="15" customHeight="1">
      <c r="A71" t="inlineStr">
        <is>
          <t>A 13971-2023</t>
        </is>
      </c>
      <c r="B71" s="1" t="n">
        <v>45007</v>
      </c>
      <c r="C71" s="1" t="n">
        <v>46159</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42765-2022</t>
        </is>
      </c>
      <c r="B72" s="1" t="n">
        <v>44832</v>
      </c>
      <c r="C72" s="1" t="n">
        <v>46159</v>
      </c>
      <c r="D72" t="inlineStr">
        <is>
          <t>VÄSTMANLANDS LÄN</t>
        </is>
      </c>
      <c r="E72" t="inlineStr">
        <is>
          <t>SURAHAMMAR</t>
        </is>
      </c>
      <c r="G72" t="n">
        <v>1.8</v>
      </c>
      <c r="H72" t="n">
        <v>1</v>
      </c>
      <c r="I72" t="n">
        <v>0</v>
      </c>
      <c r="J72" t="n">
        <v>0</v>
      </c>
      <c r="K72" t="n">
        <v>0</v>
      </c>
      <c r="L72" t="n">
        <v>0</v>
      </c>
      <c r="M72" t="n">
        <v>0</v>
      </c>
      <c r="N72" t="n">
        <v>0</v>
      </c>
      <c r="O72" t="n">
        <v>0</v>
      </c>
      <c r="P72" t="n">
        <v>0</v>
      </c>
      <c r="Q72" t="n">
        <v>1</v>
      </c>
      <c r="R72" s="2" t="inlineStr">
        <is>
          <t>Blåsippa</t>
        </is>
      </c>
      <c r="S72">
        <f>HYPERLINK("https://klasma.github.io/Logging_1907/artfynd/A 42765-2022 artfynd.xlsx", "A 42765-2022")</f>
        <v/>
      </c>
      <c r="T72">
        <f>HYPERLINK("https://klasma.github.io/Logging_1907/kartor/A 42765-2022 karta.png", "A 42765-2022")</f>
        <v/>
      </c>
      <c r="V72">
        <f>HYPERLINK("https://klasma.github.io/Logging_1907/klagomål/A 42765-2022 FSC-klagomål.docx", "A 42765-2022")</f>
        <v/>
      </c>
      <c r="W72">
        <f>HYPERLINK("https://klasma.github.io/Logging_1907/klagomålsmail/A 42765-2022 FSC-klagomål mail.docx", "A 42765-2022")</f>
        <v/>
      </c>
      <c r="X72">
        <f>HYPERLINK("https://klasma.github.io/Logging_1907/tillsyn/A 42765-2022 tillsynsbegäran.docx", "A 42765-2022")</f>
        <v/>
      </c>
      <c r="Y72">
        <f>HYPERLINK("https://klasma.github.io/Logging_1907/tillsynsmail/A 42765-2022 tillsynsbegäran mail.docx", "A 42765-2022")</f>
        <v/>
      </c>
    </row>
    <row r="73" ht="15" customHeight="1">
      <c r="A73" t="inlineStr">
        <is>
          <t>A 44356-2024</t>
        </is>
      </c>
      <c r="B73" s="1" t="n">
        <v>45573</v>
      </c>
      <c r="C73" s="1" t="n">
        <v>46159</v>
      </c>
      <c r="D73" t="inlineStr">
        <is>
          <t>VÄSTMANLANDS LÄN</t>
        </is>
      </c>
      <c r="E73" t="inlineStr">
        <is>
          <t>SURAHAMMAR</t>
        </is>
      </c>
      <c r="F73" t="inlineStr">
        <is>
          <t>Sveaskog</t>
        </is>
      </c>
      <c r="G73" t="n">
        <v>0.7</v>
      </c>
      <c r="H73" t="n">
        <v>1</v>
      </c>
      <c r="I73" t="n">
        <v>0</v>
      </c>
      <c r="J73" t="n">
        <v>0</v>
      </c>
      <c r="K73" t="n">
        <v>0</v>
      </c>
      <c r="L73" t="n">
        <v>0</v>
      </c>
      <c r="M73" t="n">
        <v>0</v>
      </c>
      <c r="N73" t="n">
        <v>0</v>
      </c>
      <c r="O73" t="n">
        <v>0</v>
      </c>
      <c r="P73" t="n">
        <v>0</v>
      </c>
      <c r="Q73" t="n">
        <v>1</v>
      </c>
      <c r="R73" s="2" t="inlineStr">
        <is>
          <t>Revlummer</t>
        </is>
      </c>
      <c r="S73">
        <f>HYPERLINK("https://klasma.github.io/Logging_1907/artfynd/A 44356-2024 artfynd.xlsx", "A 44356-2024")</f>
        <v/>
      </c>
      <c r="T73">
        <f>HYPERLINK("https://klasma.github.io/Logging_1907/kartor/A 44356-2024 karta.png", "A 44356-2024")</f>
        <v/>
      </c>
      <c r="V73">
        <f>HYPERLINK("https://klasma.github.io/Logging_1907/klagomål/A 44356-2024 FSC-klagomål.docx", "A 44356-2024")</f>
        <v/>
      </c>
      <c r="W73">
        <f>HYPERLINK("https://klasma.github.io/Logging_1907/klagomålsmail/A 44356-2024 FSC-klagomål mail.docx", "A 44356-2024")</f>
        <v/>
      </c>
      <c r="X73">
        <f>HYPERLINK("https://klasma.github.io/Logging_1907/tillsyn/A 44356-2024 tillsynsbegäran.docx", "A 44356-2024")</f>
        <v/>
      </c>
      <c r="Y73">
        <f>HYPERLINK("https://klasma.github.io/Logging_1907/tillsynsmail/A 44356-2024 tillsynsbegäran mail.docx", "A 44356-2024")</f>
        <v/>
      </c>
    </row>
    <row r="74" ht="15" customHeight="1">
      <c r="A74" t="inlineStr">
        <is>
          <t>A 17632-2022</t>
        </is>
      </c>
      <c r="B74" s="1" t="n">
        <v>44680</v>
      </c>
      <c r="C74" s="1" t="n">
        <v>46159</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22840-2023</t>
        </is>
      </c>
      <c r="B75" s="1" t="n">
        <v>45072</v>
      </c>
      <c r="C75" s="1" t="n">
        <v>46159</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43451-2024</t>
        </is>
      </c>
      <c r="B76" s="1" t="n">
        <v>45568</v>
      </c>
      <c r="C76" s="1" t="n">
        <v>46159</v>
      </c>
      <c r="D76" t="inlineStr">
        <is>
          <t>VÄSTMANLANDS LÄN</t>
        </is>
      </c>
      <c r="E76" t="inlineStr">
        <is>
          <t>SURAHAMMAR</t>
        </is>
      </c>
      <c r="F76" t="inlineStr">
        <is>
          <t>Bergvik skog väst AB</t>
        </is>
      </c>
      <c r="G76" t="n">
        <v>2.9</v>
      </c>
      <c r="H76" t="n">
        <v>0</v>
      </c>
      <c r="I76" t="n">
        <v>0</v>
      </c>
      <c r="J76" t="n">
        <v>1</v>
      </c>
      <c r="K76" t="n">
        <v>0</v>
      </c>
      <c r="L76" t="n">
        <v>0</v>
      </c>
      <c r="M76" t="n">
        <v>0</v>
      </c>
      <c r="N76" t="n">
        <v>0</v>
      </c>
      <c r="O76" t="n">
        <v>1</v>
      </c>
      <c r="P76" t="n">
        <v>0</v>
      </c>
      <c r="Q76" t="n">
        <v>1</v>
      </c>
      <c r="R76" s="2" t="inlineStr">
        <is>
          <t>Ullticka</t>
        </is>
      </c>
      <c r="S76">
        <f>HYPERLINK("https://klasma.github.io/Logging_1907/artfynd/A 43451-2024 artfynd.xlsx", "A 43451-2024")</f>
        <v/>
      </c>
      <c r="T76">
        <f>HYPERLINK("https://klasma.github.io/Logging_1907/kartor/A 43451-2024 karta.png", "A 43451-2024")</f>
        <v/>
      </c>
      <c r="V76">
        <f>HYPERLINK("https://klasma.github.io/Logging_1907/klagomål/A 43451-2024 FSC-klagomål.docx", "A 43451-2024")</f>
        <v/>
      </c>
      <c r="W76">
        <f>HYPERLINK("https://klasma.github.io/Logging_1907/klagomålsmail/A 43451-2024 FSC-klagomål mail.docx", "A 43451-2024")</f>
        <v/>
      </c>
      <c r="X76">
        <f>HYPERLINK("https://klasma.github.io/Logging_1907/tillsyn/A 43451-2024 tillsynsbegäran.docx", "A 43451-2024")</f>
        <v/>
      </c>
      <c r="Y76">
        <f>HYPERLINK("https://klasma.github.io/Logging_1907/tillsynsmail/A 43451-2024 tillsynsbegäran mail.docx", "A 43451-2024")</f>
        <v/>
      </c>
    </row>
    <row r="77" ht="15" customHeight="1">
      <c r="A77" t="inlineStr">
        <is>
          <t>A 64073-2021</t>
        </is>
      </c>
      <c r="B77" s="1" t="n">
        <v>44509</v>
      </c>
      <c r="C77" s="1" t="n">
        <v>46159</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46159</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46159</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46159</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46159</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46159</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46159</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46159</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46159</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46159</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46159</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46159</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46159</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46159</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46159</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46159</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46159</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24158-2023</t>
        </is>
      </c>
      <c r="B94" s="1" t="n">
        <v>45079</v>
      </c>
      <c r="C94" s="1" t="n">
        <v>46159</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46159</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38154-2021</t>
        </is>
      </c>
      <c r="B96" s="1" t="n">
        <v>44405.42373842592</v>
      </c>
      <c r="C96" s="1" t="n">
        <v>46159</v>
      </c>
      <c r="D96" t="inlineStr">
        <is>
          <t>VÄSTMANLANDS LÄN</t>
        </is>
      </c>
      <c r="E96" t="inlineStr">
        <is>
          <t>SURAHAMMAR</t>
        </is>
      </c>
      <c r="F96" t="inlineStr">
        <is>
          <t>Sveaskog</t>
        </is>
      </c>
      <c r="G96" t="n">
        <v>1.3</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46159</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46159</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42088-2025</t>
        </is>
      </c>
      <c r="B99" s="1" t="n">
        <v>45902</v>
      </c>
      <c r="C99" s="1" t="n">
        <v>46159</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46159</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46159</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43249-2025</t>
        </is>
      </c>
      <c r="B102" s="1" t="n">
        <v>45910.55059027778</v>
      </c>
      <c r="C102" s="1" t="n">
        <v>46159</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13119-2022</t>
        </is>
      </c>
      <c r="B103" s="1" t="n">
        <v>44643</v>
      </c>
      <c r="C103" s="1" t="n">
        <v>46159</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46159</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46159</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46159</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4724-2026</t>
        </is>
      </c>
      <c r="B107" s="1" t="n">
        <v>46048</v>
      </c>
      <c r="C107" s="1" t="n">
        <v>46159</v>
      </c>
      <c r="D107" t="inlineStr">
        <is>
          <t>VÄSTMANLANDS LÄN</t>
        </is>
      </c>
      <c r="E107" t="inlineStr">
        <is>
          <t>SURAHAMMAR</t>
        </is>
      </c>
      <c r="G107" t="n">
        <v>1.7</v>
      </c>
      <c r="H107" t="n">
        <v>0</v>
      </c>
      <c r="I107" t="n">
        <v>0</v>
      </c>
      <c r="J107" t="n">
        <v>0</v>
      </c>
      <c r="K107" t="n">
        <v>0</v>
      </c>
      <c r="L107" t="n">
        <v>0</v>
      </c>
      <c r="M107" t="n">
        <v>0</v>
      </c>
      <c r="N107" t="n">
        <v>0</v>
      </c>
      <c r="O107" t="n">
        <v>0</v>
      </c>
      <c r="P107" t="n">
        <v>0</v>
      </c>
      <c r="Q107" t="n">
        <v>0</v>
      </c>
      <c r="R107" s="2" t="inlineStr"/>
    </row>
    <row r="108" ht="15" customHeight="1">
      <c r="A108" t="inlineStr">
        <is>
          <t>A 4734-2026</t>
        </is>
      </c>
      <c r="B108" s="1" t="n">
        <v>46048</v>
      </c>
      <c r="C108" s="1" t="n">
        <v>46159</v>
      </c>
      <c r="D108" t="inlineStr">
        <is>
          <t>VÄSTMANLANDS LÄN</t>
        </is>
      </c>
      <c r="E108" t="inlineStr">
        <is>
          <t>SURAHAMMAR</t>
        </is>
      </c>
      <c r="G108" t="n">
        <v>0.7</v>
      </c>
      <c r="H108" t="n">
        <v>0</v>
      </c>
      <c r="I108" t="n">
        <v>0</v>
      </c>
      <c r="J108" t="n">
        <v>0</v>
      </c>
      <c r="K108" t="n">
        <v>0</v>
      </c>
      <c r="L108" t="n">
        <v>0</v>
      </c>
      <c r="M108" t="n">
        <v>0</v>
      </c>
      <c r="N108" t="n">
        <v>0</v>
      </c>
      <c r="O108" t="n">
        <v>0</v>
      </c>
      <c r="P108" t="n">
        <v>0</v>
      </c>
      <c r="Q108" t="n">
        <v>0</v>
      </c>
      <c r="R108" s="2" t="inlineStr"/>
    </row>
    <row r="109" ht="15" customHeight="1">
      <c r="A109" t="inlineStr">
        <is>
          <t>A 5698-2026</t>
        </is>
      </c>
      <c r="B109" s="1" t="n">
        <v>46051.50196759259</v>
      </c>
      <c r="C109" s="1" t="n">
        <v>46159</v>
      </c>
      <c r="D109" t="inlineStr">
        <is>
          <t>VÄSTMANLANDS LÄN</t>
        </is>
      </c>
      <c r="E109" t="inlineStr">
        <is>
          <t>SURAHAMMAR</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5696-2026</t>
        </is>
      </c>
      <c r="B110" s="1" t="n">
        <v>46051.4975</v>
      </c>
      <c r="C110" s="1" t="n">
        <v>46159</v>
      </c>
      <c r="D110" t="inlineStr">
        <is>
          <t>VÄSTMANLANDS LÄN</t>
        </is>
      </c>
      <c r="E110" t="inlineStr">
        <is>
          <t>SURAHAMMAR</t>
        </is>
      </c>
      <c r="F110" t="inlineStr">
        <is>
          <t>Sveaskog</t>
        </is>
      </c>
      <c r="G110" t="n">
        <v>10.4</v>
      </c>
      <c r="H110" t="n">
        <v>0</v>
      </c>
      <c r="I110" t="n">
        <v>0</v>
      </c>
      <c r="J110" t="n">
        <v>0</v>
      </c>
      <c r="K110" t="n">
        <v>0</v>
      </c>
      <c r="L110" t="n">
        <v>0</v>
      </c>
      <c r="M110" t="n">
        <v>0</v>
      </c>
      <c r="N110" t="n">
        <v>0</v>
      </c>
      <c r="O110" t="n">
        <v>0</v>
      </c>
      <c r="P110" t="n">
        <v>0</v>
      </c>
      <c r="Q110" t="n">
        <v>0</v>
      </c>
      <c r="R110" s="2" t="inlineStr"/>
    </row>
    <row r="111" ht="15" customHeight="1">
      <c r="A111" t="inlineStr">
        <is>
          <t>A 5697-2026</t>
        </is>
      </c>
      <c r="B111" s="1" t="n">
        <v>46051.50020833333</v>
      </c>
      <c r="C111" s="1" t="n">
        <v>46159</v>
      </c>
      <c r="D111" t="inlineStr">
        <is>
          <t>VÄSTMANLANDS LÄN</t>
        </is>
      </c>
      <c r="E111" t="inlineStr">
        <is>
          <t>SURAHAMMAR</t>
        </is>
      </c>
      <c r="F111" t="inlineStr">
        <is>
          <t>Sveaskog</t>
        </is>
      </c>
      <c r="G111" t="n">
        <v>3</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46159</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46159</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32910-2025</t>
        </is>
      </c>
      <c r="B114" s="1" t="n">
        <v>45839</v>
      </c>
      <c r="C114" s="1" t="n">
        <v>46159</v>
      </c>
      <c r="D114" t="inlineStr">
        <is>
          <t>VÄSTMANLANDS LÄN</t>
        </is>
      </c>
      <c r="E114" t="inlineStr">
        <is>
          <t>SURAHAMMAR</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32916-2025</t>
        </is>
      </c>
      <c r="B115" s="1" t="n">
        <v>45839</v>
      </c>
      <c r="C115" s="1" t="n">
        <v>46159</v>
      </c>
      <c r="D115" t="inlineStr">
        <is>
          <t>VÄSTMANLANDS LÄN</t>
        </is>
      </c>
      <c r="E115" t="inlineStr">
        <is>
          <t>SURAHAMMAR</t>
        </is>
      </c>
      <c r="F115" t="inlineStr">
        <is>
          <t>Kommuner</t>
        </is>
      </c>
      <c r="G115" t="n">
        <v>4.9</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46159</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16013-2023</t>
        </is>
      </c>
      <c r="B117" s="1" t="n">
        <v>45026</v>
      </c>
      <c r="C117" s="1" t="n">
        <v>46159</v>
      </c>
      <c r="D117" t="inlineStr">
        <is>
          <t>VÄSTMANLANDS LÄN</t>
        </is>
      </c>
      <c r="E117" t="inlineStr">
        <is>
          <t>SURAHAMMAR</t>
        </is>
      </c>
      <c r="G117" t="n">
        <v>3.9</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46159</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42829-2022</t>
        </is>
      </c>
      <c r="B119" s="1" t="n">
        <v>44832</v>
      </c>
      <c r="C119" s="1" t="n">
        <v>46159</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34955-2022</t>
        </is>
      </c>
      <c r="B120" s="1" t="n">
        <v>44796</v>
      </c>
      <c r="C120" s="1" t="n">
        <v>46159</v>
      </c>
      <c r="D120" t="inlineStr">
        <is>
          <t>VÄSTMANLANDS LÄN</t>
        </is>
      </c>
      <c r="E120" t="inlineStr">
        <is>
          <t>SURAHAMMAR</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46159</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37798-2021</t>
        </is>
      </c>
      <c r="B122" s="1" t="n">
        <v>44402</v>
      </c>
      <c r="C122" s="1" t="n">
        <v>46159</v>
      </c>
      <c r="D122" t="inlineStr">
        <is>
          <t>VÄSTMANLANDS LÄN</t>
        </is>
      </c>
      <c r="E122" t="inlineStr">
        <is>
          <t>SURAHAMMAR</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46159</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48205-2023</t>
        </is>
      </c>
      <c r="B124" s="1" t="n">
        <v>45205</v>
      </c>
      <c r="C124" s="1" t="n">
        <v>46159</v>
      </c>
      <c r="D124" t="inlineStr">
        <is>
          <t>VÄSTMANLANDS LÄN</t>
        </is>
      </c>
      <c r="E124" t="inlineStr">
        <is>
          <t>SURAHAMMAR</t>
        </is>
      </c>
      <c r="F124" t="inlineStr">
        <is>
          <t>Allmännings- och besparingsskogar</t>
        </is>
      </c>
      <c r="G124" t="n">
        <v>7.6</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46159</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46159</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46159</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33931-2022</t>
        </is>
      </c>
      <c r="B128" s="1" t="n">
        <v>44790.65153935185</v>
      </c>
      <c r="C128" s="1" t="n">
        <v>46159</v>
      </c>
      <c r="D128" t="inlineStr">
        <is>
          <t>VÄSTMANLANDS LÄN</t>
        </is>
      </c>
      <c r="E128" t="inlineStr">
        <is>
          <t>SURAHAMMAR</t>
        </is>
      </c>
      <c r="G128" t="n">
        <v>2.2</v>
      </c>
      <c r="H128" t="n">
        <v>0</v>
      </c>
      <c r="I128" t="n">
        <v>0</v>
      </c>
      <c r="J128" t="n">
        <v>0</v>
      </c>
      <c r="K128" t="n">
        <v>0</v>
      </c>
      <c r="L128" t="n">
        <v>0</v>
      </c>
      <c r="M128" t="n">
        <v>0</v>
      </c>
      <c r="N128" t="n">
        <v>0</v>
      </c>
      <c r="O128" t="n">
        <v>0</v>
      </c>
      <c r="P128" t="n">
        <v>0</v>
      </c>
      <c r="Q128" t="n">
        <v>0</v>
      </c>
      <c r="R128" s="2" t="inlineStr"/>
    </row>
    <row r="129" ht="15" customHeight="1">
      <c r="A129" t="inlineStr">
        <is>
          <t>A 56543-2025</t>
        </is>
      </c>
      <c r="B129" s="1" t="n">
        <v>45975</v>
      </c>
      <c r="C129" s="1" t="n">
        <v>46159</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22662-2023</t>
        </is>
      </c>
      <c r="B130" s="1" t="n">
        <v>45071</v>
      </c>
      <c r="C130" s="1" t="n">
        <v>46159</v>
      </c>
      <c r="D130" t="inlineStr">
        <is>
          <t>VÄSTMANLANDS LÄN</t>
        </is>
      </c>
      <c r="E130" t="inlineStr">
        <is>
          <t>SURAHAMMAR</t>
        </is>
      </c>
      <c r="F130" t="inlineStr">
        <is>
          <t>Sveaskog</t>
        </is>
      </c>
      <c r="G130" t="n">
        <v>0.6</v>
      </c>
      <c r="H130" t="n">
        <v>0</v>
      </c>
      <c r="I130" t="n">
        <v>0</v>
      </c>
      <c r="J130" t="n">
        <v>0</v>
      </c>
      <c r="K130" t="n">
        <v>0</v>
      </c>
      <c r="L130" t="n">
        <v>0</v>
      </c>
      <c r="M130" t="n">
        <v>0</v>
      </c>
      <c r="N130" t="n">
        <v>0</v>
      </c>
      <c r="O130" t="n">
        <v>0</v>
      </c>
      <c r="P130" t="n">
        <v>0</v>
      </c>
      <c r="Q130" t="n">
        <v>0</v>
      </c>
      <c r="R130" s="2" t="inlineStr"/>
    </row>
    <row r="131" ht="15" customHeight="1">
      <c r="A131" t="inlineStr">
        <is>
          <t>A 10244-2026</t>
        </is>
      </c>
      <c r="B131" s="1" t="n">
        <v>46076.55032407407</v>
      </c>
      <c r="C131" s="1" t="n">
        <v>46159</v>
      </c>
      <c r="D131" t="inlineStr">
        <is>
          <t>VÄSTMANLANDS LÄN</t>
        </is>
      </c>
      <c r="E131" t="inlineStr">
        <is>
          <t>SURAHAMMAR</t>
        </is>
      </c>
      <c r="F131" t="inlineStr">
        <is>
          <t>Allmännings- och besparingsskogar</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10512-2026</t>
        </is>
      </c>
      <c r="B132" s="1" t="n">
        <v>46077.56861111111</v>
      </c>
      <c r="C132" s="1" t="n">
        <v>46159</v>
      </c>
      <c r="D132" t="inlineStr">
        <is>
          <t>VÄSTMANLANDS LÄN</t>
        </is>
      </c>
      <c r="E132" t="inlineStr">
        <is>
          <t>SURAHAMMAR</t>
        </is>
      </c>
      <c r="F132" t="inlineStr">
        <is>
          <t>Övriga Aktiebolag</t>
        </is>
      </c>
      <c r="G132" t="n">
        <v>4.3</v>
      </c>
      <c r="H132" t="n">
        <v>0</v>
      </c>
      <c r="I132" t="n">
        <v>0</v>
      </c>
      <c r="J132" t="n">
        <v>0</v>
      </c>
      <c r="K132" t="n">
        <v>0</v>
      </c>
      <c r="L132" t="n">
        <v>0</v>
      </c>
      <c r="M132" t="n">
        <v>0</v>
      </c>
      <c r="N132" t="n">
        <v>0</v>
      </c>
      <c r="O132" t="n">
        <v>0</v>
      </c>
      <c r="P132" t="n">
        <v>0</v>
      </c>
      <c r="Q132" t="n">
        <v>0</v>
      </c>
      <c r="R132" s="2" t="inlineStr"/>
    </row>
    <row r="133" ht="15" customHeight="1">
      <c r="A133" t="inlineStr">
        <is>
          <t>A 10249-2026</t>
        </is>
      </c>
      <c r="B133" s="1" t="n">
        <v>46076.55456018518</v>
      </c>
      <c r="C133" s="1" t="n">
        <v>46159</v>
      </c>
      <c r="D133" t="inlineStr">
        <is>
          <t>VÄSTMANLANDS LÄN</t>
        </is>
      </c>
      <c r="E133" t="inlineStr">
        <is>
          <t>SURAHAMMAR</t>
        </is>
      </c>
      <c r="F133" t="inlineStr">
        <is>
          <t>Allmännings- och besparingsskogar</t>
        </is>
      </c>
      <c r="G133" t="n">
        <v>4.8</v>
      </c>
      <c r="H133" t="n">
        <v>0</v>
      </c>
      <c r="I133" t="n">
        <v>0</v>
      </c>
      <c r="J133" t="n">
        <v>0</v>
      </c>
      <c r="K133" t="n">
        <v>0</v>
      </c>
      <c r="L133" t="n">
        <v>0</v>
      </c>
      <c r="M133" t="n">
        <v>0</v>
      </c>
      <c r="N133" t="n">
        <v>0</v>
      </c>
      <c r="O133" t="n">
        <v>0</v>
      </c>
      <c r="P133" t="n">
        <v>0</v>
      </c>
      <c r="Q133" t="n">
        <v>0</v>
      </c>
      <c r="R133" s="2" t="inlineStr"/>
    </row>
    <row r="134" ht="15" customHeight="1">
      <c r="A134" t="inlineStr">
        <is>
          <t>A 10562-2026</t>
        </is>
      </c>
      <c r="B134" s="1" t="n">
        <v>46077.64043981482</v>
      </c>
      <c r="C134" s="1" t="n">
        <v>46159</v>
      </c>
      <c r="D134" t="inlineStr">
        <is>
          <t>VÄSTMANLANDS LÄN</t>
        </is>
      </c>
      <c r="E134" t="inlineStr">
        <is>
          <t>SURAHAMMAR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59399-2025</t>
        </is>
      </c>
      <c r="B135" s="1" t="n">
        <v>45989</v>
      </c>
      <c r="C135" s="1" t="n">
        <v>46159</v>
      </c>
      <c r="D135" t="inlineStr">
        <is>
          <t>VÄSTMANLANDS LÄN</t>
        </is>
      </c>
      <c r="E135" t="inlineStr">
        <is>
          <t>SURAHAMMAR</t>
        </is>
      </c>
      <c r="F135" t="inlineStr">
        <is>
          <t>Kommuner</t>
        </is>
      </c>
      <c r="G135" t="n">
        <v>2.1</v>
      </c>
      <c r="H135" t="n">
        <v>0</v>
      </c>
      <c r="I135" t="n">
        <v>0</v>
      </c>
      <c r="J135" t="n">
        <v>0</v>
      </c>
      <c r="K135" t="n">
        <v>0</v>
      </c>
      <c r="L135" t="n">
        <v>0</v>
      </c>
      <c r="M135" t="n">
        <v>0</v>
      </c>
      <c r="N135" t="n">
        <v>0</v>
      </c>
      <c r="O135" t="n">
        <v>0</v>
      </c>
      <c r="P135" t="n">
        <v>0</v>
      </c>
      <c r="Q135" t="n">
        <v>0</v>
      </c>
      <c r="R135" s="2" t="inlineStr"/>
    </row>
    <row r="136" ht="15" customHeight="1">
      <c r="A136" t="inlineStr">
        <is>
          <t>A 30076-2023</t>
        </is>
      </c>
      <c r="B136" s="1" t="n">
        <v>45110</v>
      </c>
      <c r="C136" s="1" t="n">
        <v>46159</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56541-2025</t>
        </is>
      </c>
      <c r="B137" s="1" t="n">
        <v>45975</v>
      </c>
      <c r="C137" s="1" t="n">
        <v>46159</v>
      </c>
      <c r="D137" t="inlineStr">
        <is>
          <t>VÄSTMANLANDS LÄN</t>
        </is>
      </c>
      <c r="E137" t="inlineStr">
        <is>
          <t>SURAHAMMAR</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63138-2025</t>
        </is>
      </c>
      <c r="B138" s="1" t="n">
        <v>46009</v>
      </c>
      <c r="C138" s="1" t="n">
        <v>46159</v>
      </c>
      <c r="D138" t="inlineStr">
        <is>
          <t>VÄSTMANLANDS LÄN</t>
        </is>
      </c>
      <c r="E138" t="inlineStr">
        <is>
          <t>SURAHAMMAR</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47785-2021</t>
        </is>
      </c>
      <c r="B139" s="1" t="n">
        <v>44448</v>
      </c>
      <c r="C139" s="1" t="n">
        <v>46159</v>
      </c>
      <c r="D139" t="inlineStr">
        <is>
          <t>VÄSTMANLANDS LÄN</t>
        </is>
      </c>
      <c r="E139" t="inlineStr">
        <is>
          <t>SURAHAMMAR</t>
        </is>
      </c>
      <c r="F139" t="inlineStr">
        <is>
          <t>Kommuner</t>
        </is>
      </c>
      <c r="G139" t="n">
        <v>3.3</v>
      </c>
      <c r="H139" t="n">
        <v>0</v>
      </c>
      <c r="I139" t="n">
        <v>0</v>
      </c>
      <c r="J139" t="n">
        <v>0</v>
      </c>
      <c r="K139" t="n">
        <v>0</v>
      </c>
      <c r="L139" t="n">
        <v>0</v>
      </c>
      <c r="M139" t="n">
        <v>0</v>
      </c>
      <c r="N139" t="n">
        <v>0</v>
      </c>
      <c r="O139" t="n">
        <v>0</v>
      </c>
      <c r="P139" t="n">
        <v>0</v>
      </c>
      <c r="Q139" t="n">
        <v>0</v>
      </c>
      <c r="R139" s="2" t="inlineStr"/>
    </row>
    <row r="140" ht="15" customHeight="1">
      <c r="A140" t="inlineStr">
        <is>
          <t>A 25450-2024</t>
        </is>
      </c>
      <c r="B140" s="1" t="n">
        <v>45463</v>
      </c>
      <c r="C140" s="1" t="n">
        <v>46159</v>
      </c>
      <c r="D140" t="inlineStr">
        <is>
          <t>VÄSTMANLANDS LÄN</t>
        </is>
      </c>
      <c r="E140" t="inlineStr">
        <is>
          <t>SURAHAMMAR</t>
        </is>
      </c>
      <c r="F140" t="inlineStr">
        <is>
          <t>Bergvik skog väst AB</t>
        </is>
      </c>
      <c r="G140" t="n">
        <v>2.4</v>
      </c>
      <c r="H140" t="n">
        <v>0</v>
      </c>
      <c r="I140" t="n">
        <v>0</v>
      </c>
      <c r="J140" t="n">
        <v>0</v>
      </c>
      <c r="K140" t="n">
        <v>0</v>
      </c>
      <c r="L140" t="n">
        <v>0</v>
      </c>
      <c r="M140" t="n">
        <v>0</v>
      </c>
      <c r="N140" t="n">
        <v>0</v>
      </c>
      <c r="O140" t="n">
        <v>0</v>
      </c>
      <c r="P140" t="n">
        <v>0</v>
      </c>
      <c r="Q140" t="n">
        <v>0</v>
      </c>
      <c r="R140" s="2" t="inlineStr"/>
    </row>
    <row r="141" ht="15" customHeight="1">
      <c r="A141" t="inlineStr">
        <is>
          <t>A 10347-2026</t>
        </is>
      </c>
      <c r="B141" s="1" t="n">
        <v>46076.69101851852</v>
      </c>
      <c r="C141" s="1" t="n">
        <v>46159</v>
      </c>
      <c r="D141" t="inlineStr">
        <is>
          <t>VÄSTMANLANDS LÄN</t>
        </is>
      </c>
      <c r="E141" t="inlineStr">
        <is>
          <t>SURAHAMMAR</t>
        </is>
      </c>
      <c r="F141" t="inlineStr">
        <is>
          <t>Allmännings- och besparingsskogar</t>
        </is>
      </c>
      <c r="G141" t="n">
        <v>3</v>
      </c>
      <c r="H141" t="n">
        <v>0</v>
      </c>
      <c r="I141" t="n">
        <v>0</v>
      </c>
      <c r="J141" t="n">
        <v>0</v>
      </c>
      <c r="K141" t="n">
        <v>0</v>
      </c>
      <c r="L141" t="n">
        <v>0</v>
      </c>
      <c r="M141" t="n">
        <v>0</v>
      </c>
      <c r="N141" t="n">
        <v>0</v>
      </c>
      <c r="O141" t="n">
        <v>0</v>
      </c>
      <c r="P141" t="n">
        <v>0</v>
      </c>
      <c r="Q141" t="n">
        <v>0</v>
      </c>
      <c r="R141" s="2" t="inlineStr"/>
    </row>
    <row r="142" ht="15" customHeight="1">
      <c r="A142" t="inlineStr">
        <is>
          <t>A 10883-2023</t>
        </is>
      </c>
      <c r="B142" s="1" t="n">
        <v>44991</v>
      </c>
      <c r="C142" s="1" t="n">
        <v>46159</v>
      </c>
      <c r="D142" t="inlineStr">
        <is>
          <t>VÄSTMANLANDS LÄN</t>
        </is>
      </c>
      <c r="E142" t="inlineStr">
        <is>
          <t>SURAHAMMAR</t>
        </is>
      </c>
      <c r="F142" t="inlineStr">
        <is>
          <t>Övriga Aktiebolag</t>
        </is>
      </c>
      <c r="G142" t="n">
        <v>12.5</v>
      </c>
      <c r="H142" t="n">
        <v>0</v>
      </c>
      <c r="I142" t="n">
        <v>0</v>
      </c>
      <c r="J142" t="n">
        <v>0</v>
      </c>
      <c r="K142" t="n">
        <v>0</v>
      </c>
      <c r="L142" t="n">
        <v>0</v>
      </c>
      <c r="M142" t="n">
        <v>0</v>
      </c>
      <c r="N142" t="n">
        <v>0</v>
      </c>
      <c r="O142" t="n">
        <v>0</v>
      </c>
      <c r="P142" t="n">
        <v>0</v>
      </c>
      <c r="Q142" t="n">
        <v>0</v>
      </c>
      <c r="R142" s="2" t="inlineStr"/>
    </row>
    <row r="143" ht="15" customHeight="1">
      <c r="A143" t="inlineStr">
        <is>
          <t>A 19246-2026</t>
        </is>
      </c>
      <c r="B143" s="1" t="n">
        <v>46132.66501157408</v>
      </c>
      <c r="C143" s="1" t="n">
        <v>46159</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24665-2023</t>
        </is>
      </c>
      <c r="B144" s="1" t="n">
        <v>45084.48592592592</v>
      </c>
      <c r="C144" s="1" t="n">
        <v>46159</v>
      </c>
      <c r="D144" t="inlineStr">
        <is>
          <t>VÄSTMANLANDS LÄN</t>
        </is>
      </c>
      <c r="E144" t="inlineStr">
        <is>
          <t>SURAHAMMAR</t>
        </is>
      </c>
      <c r="G144" t="n">
        <v>0.9</v>
      </c>
      <c r="H144" t="n">
        <v>0</v>
      </c>
      <c r="I144" t="n">
        <v>0</v>
      </c>
      <c r="J144" t="n">
        <v>0</v>
      </c>
      <c r="K144" t="n">
        <v>0</v>
      </c>
      <c r="L144" t="n">
        <v>0</v>
      </c>
      <c r="M144" t="n">
        <v>0</v>
      </c>
      <c r="N144" t="n">
        <v>0</v>
      </c>
      <c r="O144" t="n">
        <v>0</v>
      </c>
      <c r="P144" t="n">
        <v>0</v>
      </c>
      <c r="Q144" t="n">
        <v>0</v>
      </c>
      <c r="R144" s="2" t="inlineStr"/>
    </row>
    <row r="145" ht="15" customHeight="1">
      <c r="A145" t="inlineStr">
        <is>
          <t>A 24167-2024</t>
        </is>
      </c>
      <c r="B145" s="1" t="n">
        <v>45456</v>
      </c>
      <c r="C145" s="1" t="n">
        <v>46159</v>
      </c>
      <c r="D145" t="inlineStr">
        <is>
          <t>VÄSTMANLANDS LÄN</t>
        </is>
      </c>
      <c r="E145" t="inlineStr">
        <is>
          <t>SURAHAMMAR</t>
        </is>
      </c>
      <c r="G145" t="n">
        <v>0.6</v>
      </c>
      <c r="H145" t="n">
        <v>0</v>
      </c>
      <c r="I145" t="n">
        <v>0</v>
      </c>
      <c r="J145" t="n">
        <v>0</v>
      </c>
      <c r="K145" t="n">
        <v>0</v>
      </c>
      <c r="L145" t="n">
        <v>0</v>
      </c>
      <c r="M145" t="n">
        <v>0</v>
      </c>
      <c r="N145" t="n">
        <v>0</v>
      </c>
      <c r="O145" t="n">
        <v>0</v>
      </c>
      <c r="P145" t="n">
        <v>0</v>
      </c>
      <c r="Q145" t="n">
        <v>0</v>
      </c>
      <c r="R145" s="2" t="inlineStr"/>
    </row>
    <row r="146" ht="15" customHeight="1">
      <c r="A146" t="inlineStr">
        <is>
          <t>A 12841-2026</t>
        </is>
      </c>
      <c r="B146" s="1" t="n">
        <v>46091</v>
      </c>
      <c r="C146" s="1" t="n">
        <v>46159</v>
      </c>
      <c r="D146" t="inlineStr">
        <is>
          <t>VÄSTMANLANDS LÄN</t>
        </is>
      </c>
      <c r="E146" t="inlineStr">
        <is>
          <t>SURAHAMMAR</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72367-2021</t>
        </is>
      </c>
      <c r="B147" s="1" t="n">
        <v>44545</v>
      </c>
      <c r="C147" s="1" t="n">
        <v>46159</v>
      </c>
      <c r="D147" t="inlineStr">
        <is>
          <t>VÄSTMANLANDS LÄN</t>
        </is>
      </c>
      <c r="E147" t="inlineStr">
        <is>
          <t>SURAHAMMAR</t>
        </is>
      </c>
      <c r="G147" t="n">
        <v>2.5</v>
      </c>
      <c r="H147" t="n">
        <v>0</v>
      </c>
      <c r="I147" t="n">
        <v>0</v>
      </c>
      <c r="J147" t="n">
        <v>0</v>
      </c>
      <c r="K147" t="n">
        <v>0</v>
      </c>
      <c r="L147" t="n">
        <v>0</v>
      </c>
      <c r="M147" t="n">
        <v>0</v>
      </c>
      <c r="N147" t="n">
        <v>0</v>
      </c>
      <c r="O147" t="n">
        <v>0</v>
      </c>
      <c r="P147" t="n">
        <v>0</v>
      </c>
      <c r="Q147" t="n">
        <v>0</v>
      </c>
      <c r="R147" s="2" t="inlineStr"/>
    </row>
    <row r="148" ht="15" customHeight="1">
      <c r="A148" t="inlineStr">
        <is>
          <t>A 42714-2022</t>
        </is>
      </c>
      <c r="B148" s="1" t="n">
        <v>44832</v>
      </c>
      <c r="C148" s="1" t="n">
        <v>46159</v>
      </c>
      <c r="D148" t="inlineStr">
        <is>
          <t>VÄSTMANLANDS LÄN</t>
        </is>
      </c>
      <c r="E148" t="inlineStr">
        <is>
          <t>SURAHAMMAR</t>
        </is>
      </c>
      <c r="G148" t="n">
        <v>1.1</v>
      </c>
      <c r="H148" t="n">
        <v>0</v>
      </c>
      <c r="I148" t="n">
        <v>0</v>
      </c>
      <c r="J148" t="n">
        <v>0</v>
      </c>
      <c r="K148" t="n">
        <v>0</v>
      </c>
      <c r="L148" t="n">
        <v>0</v>
      </c>
      <c r="M148" t="n">
        <v>0</v>
      </c>
      <c r="N148" t="n">
        <v>0</v>
      </c>
      <c r="O148" t="n">
        <v>0</v>
      </c>
      <c r="P148" t="n">
        <v>0</v>
      </c>
      <c r="Q148" t="n">
        <v>0</v>
      </c>
      <c r="R148" s="2" t="inlineStr"/>
    </row>
    <row r="149" ht="15" customHeight="1">
      <c r="A149" t="inlineStr">
        <is>
          <t>A 37287-2023</t>
        </is>
      </c>
      <c r="B149" s="1" t="n">
        <v>45156</v>
      </c>
      <c r="C149" s="1" t="n">
        <v>46159</v>
      </c>
      <c r="D149" t="inlineStr">
        <is>
          <t>VÄSTMANLANDS LÄN</t>
        </is>
      </c>
      <c r="E149" t="inlineStr">
        <is>
          <t>SURAHAMMAR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49058-2024</t>
        </is>
      </c>
      <c r="B150" s="1" t="n">
        <v>45594</v>
      </c>
      <c r="C150" s="1" t="n">
        <v>46159</v>
      </c>
      <c r="D150" t="inlineStr">
        <is>
          <t>VÄSTMANLANDS LÄN</t>
        </is>
      </c>
      <c r="E150" t="inlineStr">
        <is>
          <t>SURAHAMMAR</t>
        </is>
      </c>
      <c r="F150" t="inlineStr">
        <is>
          <t>Sveaskog</t>
        </is>
      </c>
      <c r="G150" t="n">
        <v>11.4</v>
      </c>
      <c r="H150" t="n">
        <v>0</v>
      </c>
      <c r="I150" t="n">
        <v>0</v>
      </c>
      <c r="J150" t="n">
        <v>0</v>
      </c>
      <c r="K150" t="n">
        <v>0</v>
      </c>
      <c r="L150" t="n">
        <v>0</v>
      </c>
      <c r="M150" t="n">
        <v>0</v>
      </c>
      <c r="N150" t="n">
        <v>0</v>
      </c>
      <c r="O150" t="n">
        <v>0</v>
      </c>
      <c r="P150" t="n">
        <v>0</v>
      </c>
      <c r="Q150" t="n">
        <v>0</v>
      </c>
      <c r="R150" s="2" t="inlineStr"/>
    </row>
    <row r="151" ht="15" customHeight="1">
      <c r="A151" t="inlineStr">
        <is>
          <t>A 20535-2026</t>
        </is>
      </c>
      <c r="B151" s="1" t="n">
        <v>46140.56516203703</v>
      </c>
      <c r="C151" s="1" t="n">
        <v>46159</v>
      </c>
      <c r="D151" t="inlineStr">
        <is>
          <t>VÄSTMANLANDS LÄN</t>
        </is>
      </c>
      <c r="E151" t="inlineStr">
        <is>
          <t>SURAHAMMAR</t>
        </is>
      </c>
      <c r="F151" t="inlineStr">
        <is>
          <t>Bergvik skog väst AB</t>
        </is>
      </c>
      <c r="G151" t="n">
        <v>2.7</v>
      </c>
      <c r="H151" t="n">
        <v>0</v>
      </c>
      <c r="I151" t="n">
        <v>0</v>
      </c>
      <c r="J151" t="n">
        <v>0</v>
      </c>
      <c r="K151" t="n">
        <v>0</v>
      </c>
      <c r="L151" t="n">
        <v>0</v>
      </c>
      <c r="M151" t="n">
        <v>0</v>
      </c>
      <c r="N151" t="n">
        <v>0</v>
      </c>
      <c r="O151" t="n">
        <v>0</v>
      </c>
      <c r="P151" t="n">
        <v>0</v>
      </c>
      <c r="Q151" t="n">
        <v>0</v>
      </c>
      <c r="R151" s="2" t="inlineStr"/>
    </row>
    <row r="152" ht="15" customHeight="1">
      <c r="A152" t="inlineStr">
        <is>
          <t>A 49060-2024</t>
        </is>
      </c>
      <c r="B152" s="1" t="n">
        <v>45594</v>
      </c>
      <c r="C152" s="1" t="n">
        <v>46159</v>
      </c>
      <c r="D152" t="inlineStr">
        <is>
          <t>VÄSTMANLANDS LÄN</t>
        </is>
      </c>
      <c r="E152" t="inlineStr">
        <is>
          <t>SURAHAMMAR</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46159</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25780-2023</t>
        </is>
      </c>
      <c r="B154" s="1" t="n">
        <v>45090.47523148148</v>
      </c>
      <c r="C154" s="1" t="n">
        <v>46159</v>
      </c>
      <c r="D154" t="inlineStr">
        <is>
          <t>VÄSTMANLANDS LÄN</t>
        </is>
      </c>
      <c r="E154" t="inlineStr">
        <is>
          <t>SURAHAMMAR</t>
        </is>
      </c>
      <c r="G154" t="n">
        <v>2.8</v>
      </c>
      <c r="H154" t="n">
        <v>0</v>
      </c>
      <c r="I154" t="n">
        <v>0</v>
      </c>
      <c r="J154" t="n">
        <v>0</v>
      </c>
      <c r="K154" t="n">
        <v>0</v>
      </c>
      <c r="L154" t="n">
        <v>0</v>
      </c>
      <c r="M154" t="n">
        <v>0</v>
      </c>
      <c r="N154" t="n">
        <v>0</v>
      </c>
      <c r="O154" t="n">
        <v>0</v>
      </c>
      <c r="P154" t="n">
        <v>0</v>
      </c>
      <c r="Q154" t="n">
        <v>0</v>
      </c>
      <c r="R154" s="2" t="inlineStr"/>
    </row>
    <row r="155" ht="15" customHeight="1">
      <c r="A155" t="inlineStr">
        <is>
          <t>A 13386-2025</t>
        </is>
      </c>
      <c r="B155" s="1" t="n">
        <v>45735</v>
      </c>
      <c r="C155" s="1" t="n">
        <v>46159</v>
      </c>
      <c r="D155" t="inlineStr">
        <is>
          <t>VÄSTMANLANDS LÄN</t>
        </is>
      </c>
      <c r="E155" t="inlineStr">
        <is>
          <t>SURAHAMMAR</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22628-2026</t>
        </is>
      </c>
      <c r="B156" s="1" t="n">
        <v>46155.6371875</v>
      </c>
      <c r="C156" s="1" t="n">
        <v>46159</v>
      </c>
      <c r="D156" t="inlineStr">
        <is>
          <t>VÄSTMANLANDS LÄN</t>
        </is>
      </c>
      <c r="E156" t="inlineStr">
        <is>
          <t>SURAHAMMAR</t>
        </is>
      </c>
      <c r="F156" t="inlineStr">
        <is>
          <t>Sveaskog</t>
        </is>
      </c>
      <c r="G156" t="n">
        <v>5</v>
      </c>
      <c r="H156" t="n">
        <v>0</v>
      </c>
      <c r="I156" t="n">
        <v>0</v>
      </c>
      <c r="J156" t="n">
        <v>0</v>
      </c>
      <c r="K156" t="n">
        <v>0</v>
      </c>
      <c r="L156" t="n">
        <v>0</v>
      </c>
      <c r="M156" t="n">
        <v>0</v>
      </c>
      <c r="N156" t="n">
        <v>0</v>
      </c>
      <c r="O156" t="n">
        <v>0</v>
      </c>
      <c r="P156" t="n">
        <v>0</v>
      </c>
      <c r="Q156" t="n">
        <v>0</v>
      </c>
      <c r="R156" s="2" t="inlineStr"/>
    </row>
    <row r="157" ht="15" customHeight="1">
      <c r="A157" t="inlineStr">
        <is>
          <t>A 35682-2022</t>
        </is>
      </c>
      <c r="B157" s="1" t="n">
        <v>44799.60422453703</v>
      </c>
      <c r="C157" s="1" t="n">
        <v>46159</v>
      </c>
      <c r="D157" t="inlineStr">
        <is>
          <t>VÄSTMANLANDS LÄN</t>
        </is>
      </c>
      <c r="E157" t="inlineStr">
        <is>
          <t>SURAHAMMAR</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22630-2026</t>
        </is>
      </c>
      <c r="B158" s="1" t="n">
        <v>46155.63839120371</v>
      </c>
      <c r="C158" s="1" t="n">
        <v>46159</v>
      </c>
      <c r="D158" t="inlineStr">
        <is>
          <t>VÄSTMANLANDS LÄN</t>
        </is>
      </c>
      <c r="E158" t="inlineStr">
        <is>
          <t>SURAHAMMAR</t>
        </is>
      </c>
      <c r="F158" t="inlineStr">
        <is>
          <t>Sveaskog</t>
        </is>
      </c>
      <c r="G158" t="n">
        <v>2.6</v>
      </c>
      <c r="H158" t="n">
        <v>0</v>
      </c>
      <c r="I158" t="n">
        <v>0</v>
      </c>
      <c r="J158" t="n">
        <v>0</v>
      </c>
      <c r="K158" t="n">
        <v>0</v>
      </c>
      <c r="L158" t="n">
        <v>0</v>
      </c>
      <c r="M158" t="n">
        <v>0</v>
      </c>
      <c r="N158" t="n">
        <v>0</v>
      </c>
      <c r="O158" t="n">
        <v>0</v>
      </c>
      <c r="P158" t="n">
        <v>0</v>
      </c>
      <c r="Q158" t="n">
        <v>0</v>
      </c>
      <c r="R158" s="2" t="inlineStr"/>
    </row>
    <row r="159" ht="15" customHeight="1">
      <c r="A159" t="inlineStr">
        <is>
          <t>A 22626-2026</t>
        </is>
      </c>
      <c r="B159" s="1" t="n">
        <v>46155.63545138889</v>
      </c>
      <c r="C159" s="1" t="n">
        <v>46159</v>
      </c>
      <c r="D159" t="inlineStr">
        <is>
          <t>VÄSTMANLANDS LÄN</t>
        </is>
      </c>
      <c r="E159" t="inlineStr">
        <is>
          <t>SURAHAMMAR</t>
        </is>
      </c>
      <c r="F159" t="inlineStr">
        <is>
          <t>Sveaskog</t>
        </is>
      </c>
      <c r="G159" t="n">
        <v>0.8</v>
      </c>
      <c r="H159" t="n">
        <v>0</v>
      </c>
      <c r="I159" t="n">
        <v>0</v>
      </c>
      <c r="J159" t="n">
        <v>0</v>
      </c>
      <c r="K159" t="n">
        <v>0</v>
      </c>
      <c r="L159" t="n">
        <v>0</v>
      </c>
      <c r="M159" t="n">
        <v>0</v>
      </c>
      <c r="N159" t="n">
        <v>0</v>
      </c>
      <c r="O159" t="n">
        <v>0</v>
      </c>
      <c r="P159" t="n">
        <v>0</v>
      </c>
      <c r="Q159" t="n">
        <v>0</v>
      </c>
      <c r="R159" s="2" t="inlineStr"/>
    </row>
    <row r="160" ht="15" customHeight="1">
      <c r="A160" t="inlineStr">
        <is>
          <t>A 2867-2024</t>
        </is>
      </c>
      <c r="B160" s="1" t="n">
        <v>45315</v>
      </c>
      <c r="C160" s="1" t="n">
        <v>46159</v>
      </c>
      <c r="D160" t="inlineStr">
        <is>
          <t>VÄSTMANLANDS LÄN</t>
        </is>
      </c>
      <c r="E160" t="inlineStr">
        <is>
          <t>SURAHAMMAR</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2660-2024</t>
        </is>
      </c>
      <c r="B161" s="1" t="n">
        <v>45310</v>
      </c>
      <c r="C161" s="1" t="n">
        <v>46159</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41555-2022</t>
        </is>
      </c>
      <c r="B162" s="1" t="n">
        <v>44826</v>
      </c>
      <c r="C162" s="1" t="n">
        <v>46159</v>
      </c>
      <c r="D162" t="inlineStr">
        <is>
          <t>VÄSTMANLANDS LÄN</t>
        </is>
      </c>
      <c r="E162" t="inlineStr">
        <is>
          <t>SURAHAMMAR</t>
        </is>
      </c>
      <c r="F162" t="inlineStr">
        <is>
          <t>Bergvik skog väst AB</t>
        </is>
      </c>
      <c r="G162" t="n">
        <v>1.7</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46159</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3085-2023</t>
        </is>
      </c>
      <c r="B164" s="1" t="n">
        <v>44946</v>
      </c>
      <c r="C164" s="1" t="n">
        <v>46159</v>
      </c>
      <c r="D164" t="inlineStr">
        <is>
          <t>VÄSTMANLANDS LÄN</t>
        </is>
      </c>
      <c r="E164" t="inlineStr">
        <is>
          <t>SURAHAMMAR</t>
        </is>
      </c>
      <c r="F164" t="inlineStr">
        <is>
          <t>Kyrkan</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44608.58400462963</v>
      </c>
      <c r="C165" s="1" t="n">
        <v>46159</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16608-2022</t>
        </is>
      </c>
      <c r="B166" s="1" t="n">
        <v>44672</v>
      </c>
      <c r="C166" s="1" t="n">
        <v>46159</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15743-2023</t>
        </is>
      </c>
      <c r="B167" s="1" t="n">
        <v>45021</v>
      </c>
      <c r="C167" s="1" t="n">
        <v>46159</v>
      </c>
      <c r="D167" t="inlineStr">
        <is>
          <t>VÄSTMANLANDS LÄN</t>
        </is>
      </c>
      <c r="E167" t="inlineStr">
        <is>
          <t>SURAHAMMAR</t>
        </is>
      </c>
      <c r="G167" t="n">
        <v>0.5</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44662.89638888889</v>
      </c>
      <c r="C168" s="1" t="n">
        <v>46159</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19786-2023</t>
        </is>
      </c>
      <c r="B169" s="1" t="n">
        <v>45050</v>
      </c>
      <c r="C169" s="1" t="n">
        <v>46159</v>
      </c>
      <c r="D169" t="inlineStr">
        <is>
          <t>VÄSTMANLANDS LÄN</t>
        </is>
      </c>
      <c r="E169" t="inlineStr">
        <is>
          <t>SURAHAMMAR</t>
        </is>
      </c>
      <c r="F169" t="inlineStr">
        <is>
          <t>Bergvik skog väst AB</t>
        </is>
      </c>
      <c r="G169" t="n">
        <v>8.1</v>
      </c>
      <c r="H169" t="n">
        <v>0</v>
      </c>
      <c r="I169" t="n">
        <v>0</v>
      </c>
      <c r="J169" t="n">
        <v>0</v>
      </c>
      <c r="K169" t="n">
        <v>0</v>
      </c>
      <c r="L169" t="n">
        <v>0</v>
      </c>
      <c r="M169" t="n">
        <v>0</v>
      </c>
      <c r="N169" t="n">
        <v>0</v>
      </c>
      <c r="O169" t="n">
        <v>0</v>
      </c>
      <c r="P169" t="n">
        <v>0</v>
      </c>
      <c r="Q169" t="n">
        <v>0</v>
      </c>
      <c r="R169" s="2" t="inlineStr"/>
    </row>
    <row r="170" ht="15" customHeight="1">
      <c r="A170" t="inlineStr">
        <is>
          <t>A 7787-2024</t>
        </is>
      </c>
      <c r="B170" s="1" t="n">
        <v>45348</v>
      </c>
      <c r="C170" s="1" t="n">
        <v>46159</v>
      </c>
      <c r="D170" t="inlineStr">
        <is>
          <t>VÄSTMANLANDS LÄN</t>
        </is>
      </c>
      <c r="E170" t="inlineStr">
        <is>
          <t>SURAHAMMAR</t>
        </is>
      </c>
      <c r="G170" t="n">
        <v>1</v>
      </c>
      <c r="H170" t="n">
        <v>0</v>
      </c>
      <c r="I170" t="n">
        <v>0</v>
      </c>
      <c r="J170" t="n">
        <v>0</v>
      </c>
      <c r="K170" t="n">
        <v>0</v>
      </c>
      <c r="L170" t="n">
        <v>0</v>
      </c>
      <c r="M170" t="n">
        <v>0</v>
      </c>
      <c r="N170" t="n">
        <v>0</v>
      </c>
      <c r="O170" t="n">
        <v>0</v>
      </c>
      <c r="P170" t="n">
        <v>0</v>
      </c>
      <c r="Q170" t="n">
        <v>0</v>
      </c>
      <c r="R170" s="2" t="inlineStr"/>
    </row>
    <row r="171">
      <c r="A171" t="inlineStr">
        <is>
          <t>A 15739-2023</t>
        </is>
      </c>
      <c r="B171" s="1" t="n">
        <v>45021</v>
      </c>
      <c r="C171" s="1" t="n">
        <v>46159</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2026-05-17T14:04:13Z</dcterms:created>
  <dcterms:modified xmlns:dcterms="http://purl.org/dc/terms/" xmlns:xsi="http://www.w3.org/2001/XMLSchema-instance" xsi:type="dcterms:W3CDTF">2026-05-17T14:04:14Z</dcterms:modified>
</cp:coreProperties>
</file>