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45998</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45998</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45998</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45998</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45998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45998</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45998</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40942-2023</t>
        </is>
      </c>
      <c r="B11" s="1" t="n">
        <v>45169</v>
      </c>
      <c r="C11" s="1" t="n">
        <v>45998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45998</v>
      </c>
      <c r="D12" t="inlineStr">
        <is>
          <t>VÄSTMANLANDS LÄN</t>
        </is>
      </c>
      <c r="E12" t="inlineStr">
        <is>
          <t>SURAHAMMAR</t>
        </is>
      </c>
      <c r="F12" t="inlineStr">
        <is>
          <t>Bergvik skog väst AB</t>
        </is>
      </c>
      <c r="G12" t="n">
        <v>20.3</v>
      </c>
      <c r="H12" t="n">
        <v>2</v>
      </c>
      <c r="I12" t="n">
        <v>6</v>
      </c>
      <c r="J12" t="n">
        <v>5</v>
      </c>
      <c r="K12" t="n">
        <v>2</v>
      </c>
      <c r="L12" t="n">
        <v>0</v>
      </c>
      <c r="M12" t="n">
        <v>0</v>
      </c>
      <c r="N12" t="n">
        <v>0</v>
      </c>
      <c r="O12" t="n">
        <v>7</v>
      </c>
      <c r="P12" t="n">
        <v>2</v>
      </c>
      <c r="Q12" t="n">
        <v>13</v>
      </c>
      <c r="R12" s="2" t="inlineStr">
        <is>
          <t>Knärot
Vågticka
Gropticka
Krusfrö
Motaggsvamp
Skrovlig taggsvamp
Talltita
Blodticka
Dropptaggsvamp
Grönpyrola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20389-2024</t>
        </is>
      </c>
      <c r="B13" s="1" t="n">
        <v>45435</v>
      </c>
      <c r="C13" s="1" t="n">
        <v>45998</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45998</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45998</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45998</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45998</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45998</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45998</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45998</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45998</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45998</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21716-2025</t>
        </is>
      </c>
      <c r="B23" s="1" t="n">
        <v>45783.54804398148</v>
      </c>
      <c r="C23" s="1" t="n">
        <v>45998</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45998</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45998</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45998</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45998</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4105-2025</t>
        </is>
      </c>
      <c r="B28" s="1" t="n">
        <v>45684</v>
      </c>
      <c r="C28" s="1" t="n">
        <v>45998</v>
      </c>
      <c r="D28" t="inlineStr">
        <is>
          <t>VÄSTMANLANDS LÄN</t>
        </is>
      </c>
      <c r="E28" t="inlineStr">
        <is>
          <t>SURAHAMMAR</t>
        </is>
      </c>
      <c r="F28" t="inlineStr">
        <is>
          <t>Bergvik skog väst AB</t>
        </is>
      </c>
      <c r="G28" t="n">
        <v>14.7</v>
      </c>
      <c r="H28" t="n">
        <v>3</v>
      </c>
      <c r="I28" t="n">
        <v>0</v>
      </c>
      <c r="J28" t="n">
        <v>2</v>
      </c>
      <c r="K28" t="n">
        <v>1</v>
      </c>
      <c r="L28" t="n">
        <v>0</v>
      </c>
      <c r="M28" t="n">
        <v>0</v>
      </c>
      <c r="N28" t="n">
        <v>0</v>
      </c>
      <c r="O28" t="n">
        <v>3</v>
      </c>
      <c r="P28" t="n">
        <v>1</v>
      </c>
      <c r="Q28" t="n">
        <v>4</v>
      </c>
      <c r="R28" s="2" t="inlineStr">
        <is>
          <t>Knärot
Havsörn
Ullticka
Revlummer</t>
        </is>
      </c>
      <c r="S28">
        <f>HYPERLINK("https://klasma.github.io/Logging_1907/artfynd/A 4105-2025 artfynd.xlsx", "A 4105-2025")</f>
        <v/>
      </c>
      <c r="T28">
        <f>HYPERLINK("https://klasma.github.io/Logging_1907/kartor/A 4105-2025 karta.png", "A 4105-2025")</f>
        <v/>
      </c>
      <c r="U28">
        <f>HYPERLINK("https://klasma.github.io/Logging_1907/knärot/A 4105-2025 karta knärot.png", "A 4105-2025")</f>
        <v/>
      </c>
      <c r="V28">
        <f>HYPERLINK("https://klasma.github.io/Logging_1907/klagomål/A 4105-2025 FSC-klagomål.docx", "A 4105-2025")</f>
        <v/>
      </c>
      <c r="W28">
        <f>HYPERLINK("https://klasma.github.io/Logging_1907/klagomålsmail/A 4105-2025 FSC-klagomål mail.docx", "A 4105-2025")</f>
        <v/>
      </c>
      <c r="X28">
        <f>HYPERLINK("https://klasma.github.io/Logging_1907/tillsyn/A 4105-2025 tillsynsbegäran.docx", "A 4105-2025")</f>
        <v/>
      </c>
      <c r="Y28">
        <f>HYPERLINK("https://klasma.github.io/Logging_1907/tillsynsmail/A 4105-2025 tillsynsbegäran mail.docx", "A 4105-2025")</f>
        <v/>
      </c>
      <c r="Z28">
        <f>HYPERLINK("https://klasma.github.io/Logging_1907/fåglar/A 4105-2025 prioriterade fågelarter.docx", "A 4105-2025")</f>
        <v/>
      </c>
    </row>
    <row r="29" ht="15" customHeight="1">
      <c r="A29" t="inlineStr">
        <is>
          <t>A 42860-2022</t>
        </is>
      </c>
      <c r="B29" s="1" t="n">
        <v>44832</v>
      </c>
      <c r="C29" s="1" t="n">
        <v>45998</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45998</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45998</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42853-2022</t>
        </is>
      </c>
      <c r="B32" s="1" t="n">
        <v>44832</v>
      </c>
      <c r="C32" s="1" t="n">
        <v>45998</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42708-2022</t>
        </is>
      </c>
      <c r="B33" s="1" t="n">
        <v>44832</v>
      </c>
      <c r="C33" s="1" t="n">
        <v>45998</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39694-2025</t>
        </is>
      </c>
      <c r="B34" s="1" t="n">
        <v>45890</v>
      </c>
      <c r="C34" s="1" t="n">
        <v>45998</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8552-2022</t>
        </is>
      </c>
      <c r="B35" s="1" t="n">
        <v>44613</v>
      </c>
      <c r="C35" s="1" t="n">
        <v>45998</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49718-2023</t>
        </is>
      </c>
      <c r="B36" s="1" t="n">
        <v>45212</v>
      </c>
      <c r="C36" s="1" t="n">
        <v>45998</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29707-2025</t>
        </is>
      </c>
      <c r="B37" s="1" t="n">
        <v>45825.56100694444</v>
      </c>
      <c r="C37" s="1" t="n">
        <v>45998</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48128-2023</t>
        </is>
      </c>
      <c r="B38" s="1" t="n">
        <v>45205</v>
      </c>
      <c r="C38" s="1" t="n">
        <v>45998</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37801-2021</t>
        </is>
      </c>
      <c r="B39" s="1" t="n">
        <v>44402</v>
      </c>
      <c r="C39" s="1" t="n">
        <v>45998</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45998</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21618-2025</t>
        </is>
      </c>
      <c r="B41" s="1" t="n">
        <v>45783</v>
      </c>
      <c r="C41" s="1" t="n">
        <v>45998</v>
      </c>
      <c r="D41" t="inlineStr">
        <is>
          <t>VÄSTMANLANDS LÄN</t>
        </is>
      </c>
      <c r="E41" t="inlineStr">
        <is>
          <t>SURAHAMMAR</t>
        </is>
      </c>
      <c r="F41" t="inlineStr">
        <is>
          <t>Bergvik skog väst AB</t>
        </is>
      </c>
      <c r="G41" t="n">
        <v>1.1</v>
      </c>
      <c r="H41" t="n">
        <v>2</v>
      </c>
      <c r="I41" t="n">
        <v>1</v>
      </c>
      <c r="J41" t="n">
        <v>0</v>
      </c>
      <c r="K41" t="n">
        <v>0</v>
      </c>
      <c r="L41" t="n">
        <v>0</v>
      </c>
      <c r="M41" t="n">
        <v>0</v>
      </c>
      <c r="N41" t="n">
        <v>0</v>
      </c>
      <c r="O41" t="n">
        <v>0</v>
      </c>
      <c r="P41" t="n">
        <v>0</v>
      </c>
      <c r="Q41" t="n">
        <v>2</v>
      </c>
      <c r="R41" s="2" t="inlineStr">
        <is>
          <t>Plattlummer
Mattlummer</t>
        </is>
      </c>
      <c r="S41">
        <f>HYPERLINK("https://klasma.github.io/Logging_1907/artfynd/A 21618-2025 artfynd.xlsx", "A 21618-2025")</f>
        <v/>
      </c>
      <c r="T41">
        <f>HYPERLINK("https://klasma.github.io/Logging_1907/kartor/A 21618-2025 karta.png", "A 21618-2025")</f>
        <v/>
      </c>
      <c r="V41">
        <f>HYPERLINK("https://klasma.github.io/Logging_1907/klagomål/A 21618-2025 FSC-klagomål.docx", "A 21618-2025")</f>
        <v/>
      </c>
      <c r="W41">
        <f>HYPERLINK("https://klasma.github.io/Logging_1907/klagomålsmail/A 21618-2025 FSC-klagomål mail.docx", "A 21618-2025")</f>
        <v/>
      </c>
      <c r="X41">
        <f>HYPERLINK("https://klasma.github.io/Logging_1907/tillsyn/A 21618-2025 tillsynsbegäran.docx", "A 21618-2025")</f>
        <v/>
      </c>
      <c r="Y41">
        <f>HYPERLINK("https://klasma.github.io/Logging_1907/tillsynsmail/A 21618-2025 tillsynsbegäran mail.docx", "A 21618-2025")</f>
        <v/>
      </c>
    </row>
    <row r="42" ht="15" customHeight="1">
      <c r="A42" t="inlineStr">
        <is>
          <t>A 4082-2025</t>
        </is>
      </c>
      <c r="B42" s="1" t="n">
        <v>45684</v>
      </c>
      <c r="C42" s="1" t="n">
        <v>45998</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40403-2025</t>
        </is>
      </c>
      <c r="B43" s="1" t="n">
        <v>45895</v>
      </c>
      <c r="C43" s="1" t="n">
        <v>45998</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62097-2024</t>
        </is>
      </c>
      <c r="B44" s="1" t="n">
        <v>45646</v>
      </c>
      <c r="C44" s="1" t="n">
        <v>45998</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41204-2023</t>
        </is>
      </c>
      <c r="B45" s="1" t="n">
        <v>45174</v>
      </c>
      <c r="C45" s="1" t="n">
        <v>45998</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38170-2021</t>
        </is>
      </c>
      <c r="B46" s="1" t="n">
        <v>44405.43472222222</v>
      </c>
      <c r="C46" s="1" t="n">
        <v>45998</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67611-2021</t>
        </is>
      </c>
      <c r="B47" s="1" t="n">
        <v>44524</v>
      </c>
      <c r="C47" s="1" t="n">
        <v>45998</v>
      </c>
      <c r="D47" t="inlineStr">
        <is>
          <t>VÄSTMANLANDS LÄN</t>
        </is>
      </c>
      <c r="E47" t="inlineStr">
        <is>
          <t>SURAHAMMAR</t>
        </is>
      </c>
      <c r="F47" t="inlineStr">
        <is>
          <t>Kommuner</t>
        </is>
      </c>
      <c r="G47" t="n">
        <v>3.8</v>
      </c>
      <c r="H47" t="n">
        <v>0</v>
      </c>
      <c r="I47" t="n">
        <v>0</v>
      </c>
      <c r="J47" t="n">
        <v>1</v>
      </c>
      <c r="K47" t="n">
        <v>0</v>
      </c>
      <c r="L47" t="n">
        <v>0</v>
      </c>
      <c r="M47" t="n">
        <v>0</v>
      </c>
      <c r="N47" t="n">
        <v>0</v>
      </c>
      <c r="O47" t="n">
        <v>1</v>
      </c>
      <c r="P47" t="n">
        <v>0</v>
      </c>
      <c r="Q47" t="n">
        <v>1</v>
      </c>
      <c r="R47" s="2" t="inlineStr">
        <is>
          <t>Brödmärgsticka</t>
        </is>
      </c>
      <c r="S47">
        <f>HYPERLINK("https://klasma.github.io/Logging_1907/artfynd/A 67611-2021 artfynd.xlsx", "A 67611-2021")</f>
        <v/>
      </c>
      <c r="T47">
        <f>HYPERLINK("https://klasma.github.io/Logging_1907/kartor/A 67611-2021 karta.png", "A 67611-2021")</f>
        <v/>
      </c>
      <c r="V47">
        <f>HYPERLINK("https://klasma.github.io/Logging_1907/klagomål/A 67611-2021 FSC-klagomål.docx", "A 67611-2021")</f>
        <v/>
      </c>
      <c r="W47">
        <f>HYPERLINK("https://klasma.github.io/Logging_1907/klagomålsmail/A 67611-2021 FSC-klagomål mail.docx", "A 67611-2021")</f>
        <v/>
      </c>
      <c r="X47">
        <f>HYPERLINK("https://klasma.github.io/Logging_1907/tillsyn/A 67611-2021 tillsynsbegäran.docx", "A 67611-2021")</f>
        <v/>
      </c>
      <c r="Y47">
        <f>HYPERLINK("https://klasma.github.io/Logging_1907/tillsynsmail/A 67611-2021 tillsynsbegäran mail.docx", "A 67611-2021")</f>
        <v/>
      </c>
    </row>
    <row r="48" ht="15" customHeight="1">
      <c r="A48" t="inlineStr">
        <is>
          <t>A 18717-2021</t>
        </is>
      </c>
      <c r="B48" s="1" t="n">
        <v>44306</v>
      </c>
      <c r="C48" s="1" t="n">
        <v>45998</v>
      </c>
      <c r="D48" t="inlineStr">
        <is>
          <t>VÄSTMANLANDS LÄN</t>
        </is>
      </c>
      <c r="E48" t="inlineStr">
        <is>
          <t>SURAHAMMAR</t>
        </is>
      </c>
      <c r="F48" t="inlineStr">
        <is>
          <t>Bergvik skog väst AB</t>
        </is>
      </c>
      <c r="G48" t="n">
        <v>18</v>
      </c>
      <c r="H48" t="n">
        <v>1</v>
      </c>
      <c r="I48" t="n">
        <v>0</v>
      </c>
      <c r="J48" t="n">
        <v>0</v>
      </c>
      <c r="K48" t="n">
        <v>0</v>
      </c>
      <c r="L48" t="n">
        <v>0</v>
      </c>
      <c r="M48" t="n">
        <v>0</v>
      </c>
      <c r="N48" t="n">
        <v>0</v>
      </c>
      <c r="O48" t="n">
        <v>0</v>
      </c>
      <c r="P48" t="n">
        <v>0</v>
      </c>
      <c r="Q48" t="n">
        <v>1</v>
      </c>
      <c r="R48" s="2" t="inlineStr">
        <is>
          <t>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26700-2022</t>
        </is>
      </c>
      <c r="B49" s="1" t="n">
        <v>44739</v>
      </c>
      <c r="C49" s="1" t="n">
        <v>45998</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56362-2023</t>
        </is>
      </c>
      <c r="B50" s="1" t="n">
        <v>45236</v>
      </c>
      <c r="C50" s="1" t="n">
        <v>45998</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40411-2021</t>
        </is>
      </c>
      <c r="B51" s="1" t="n">
        <v>44419</v>
      </c>
      <c r="C51" s="1" t="n">
        <v>45998</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39099-2022</t>
        </is>
      </c>
      <c r="B52" s="1" t="n">
        <v>44817</v>
      </c>
      <c r="C52" s="1" t="n">
        <v>45998</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33231-2024</t>
        </is>
      </c>
      <c r="B53" s="1" t="n">
        <v>45518</v>
      </c>
      <c r="C53" s="1" t="n">
        <v>45998</v>
      </c>
      <c r="D53" t="inlineStr">
        <is>
          <t>VÄSTMANLANDS LÄN</t>
        </is>
      </c>
      <c r="E53" t="inlineStr">
        <is>
          <t>SURAHAMMAR</t>
        </is>
      </c>
      <c r="F53" t="inlineStr">
        <is>
          <t>Bergvik skog väst AB</t>
        </is>
      </c>
      <c r="G53" t="n">
        <v>1.5</v>
      </c>
      <c r="H53" t="n">
        <v>1</v>
      </c>
      <c r="I53" t="n">
        <v>0</v>
      </c>
      <c r="J53" t="n">
        <v>0</v>
      </c>
      <c r="K53" t="n">
        <v>0</v>
      </c>
      <c r="L53" t="n">
        <v>0</v>
      </c>
      <c r="M53" t="n">
        <v>0</v>
      </c>
      <c r="N53" t="n">
        <v>0</v>
      </c>
      <c r="O53" t="n">
        <v>0</v>
      </c>
      <c r="P53" t="n">
        <v>0</v>
      </c>
      <c r="Q53" t="n">
        <v>1</v>
      </c>
      <c r="R53" s="2" t="inlineStr">
        <is>
          <t>Mindre vattensalamander</t>
        </is>
      </c>
      <c r="S53">
        <f>HYPERLINK("https://klasma.github.io/Logging_1907/artfynd/A 33231-2024 artfynd.xlsx", "A 33231-2024")</f>
        <v/>
      </c>
      <c r="T53">
        <f>HYPERLINK("https://klasma.github.io/Logging_1907/kartor/A 33231-2024 karta.png", "A 33231-2024")</f>
        <v/>
      </c>
      <c r="V53">
        <f>HYPERLINK("https://klasma.github.io/Logging_1907/klagomål/A 33231-2024 FSC-klagomål.docx", "A 33231-2024")</f>
        <v/>
      </c>
      <c r="W53">
        <f>HYPERLINK("https://klasma.github.io/Logging_1907/klagomålsmail/A 33231-2024 FSC-klagomål mail.docx", "A 33231-2024")</f>
        <v/>
      </c>
      <c r="X53">
        <f>HYPERLINK("https://klasma.github.io/Logging_1907/tillsyn/A 33231-2024 tillsynsbegäran.docx", "A 33231-2024")</f>
        <v/>
      </c>
      <c r="Y53">
        <f>HYPERLINK("https://klasma.github.io/Logging_1907/tillsynsmail/A 33231-2024 tillsynsbegäran mail.docx", "A 33231-2024")</f>
        <v/>
      </c>
    </row>
    <row r="54" ht="15" customHeight="1">
      <c r="A54" t="inlineStr">
        <is>
          <t>A 30074-2023</t>
        </is>
      </c>
      <c r="B54" s="1" t="n">
        <v>45110</v>
      </c>
      <c r="C54" s="1" t="n">
        <v>45998</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31176-2024</t>
        </is>
      </c>
      <c r="B55" s="1" t="n">
        <v>45503</v>
      </c>
      <c r="C55" s="1" t="n">
        <v>45998</v>
      </c>
      <c r="D55" t="inlineStr">
        <is>
          <t>VÄSTMANLANDS LÄN</t>
        </is>
      </c>
      <c r="E55" t="inlineStr">
        <is>
          <t>SURAHAMMAR</t>
        </is>
      </c>
      <c r="F55" t="inlineStr">
        <is>
          <t>Allmännings- och besparingsskogar</t>
        </is>
      </c>
      <c r="G55" t="n">
        <v>10.7</v>
      </c>
      <c r="H55" t="n">
        <v>0</v>
      </c>
      <c r="I55" t="n">
        <v>0</v>
      </c>
      <c r="J55" t="n">
        <v>1</v>
      </c>
      <c r="K55" t="n">
        <v>0</v>
      </c>
      <c r="L55" t="n">
        <v>0</v>
      </c>
      <c r="M55" t="n">
        <v>0</v>
      </c>
      <c r="N55" t="n">
        <v>0</v>
      </c>
      <c r="O55" t="n">
        <v>1</v>
      </c>
      <c r="P55" t="n">
        <v>0</v>
      </c>
      <c r="Q55" t="n">
        <v>1</v>
      </c>
      <c r="R55" s="2" t="inlineStr">
        <is>
          <t>Doftskinn</t>
        </is>
      </c>
      <c r="S55">
        <f>HYPERLINK("https://klasma.github.io/Logging_1907/artfynd/A 31176-2024 artfynd.xlsx", "A 31176-2024")</f>
        <v/>
      </c>
      <c r="T55">
        <f>HYPERLINK("https://klasma.github.io/Logging_1907/kartor/A 31176-2024 karta.png", "A 31176-2024")</f>
        <v/>
      </c>
      <c r="V55">
        <f>HYPERLINK("https://klasma.github.io/Logging_1907/klagomål/A 31176-2024 FSC-klagomål.docx", "A 31176-2024")</f>
        <v/>
      </c>
      <c r="W55">
        <f>HYPERLINK("https://klasma.github.io/Logging_1907/klagomålsmail/A 31176-2024 FSC-klagomål mail.docx", "A 31176-2024")</f>
        <v/>
      </c>
      <c r="X55">
        <f>HYPERLINK("https://klasma.github.io/Logging_1907/tillsyn/A 31176-2024 tillsynsbegäran.docx", "A 31176-2024")</f>
        <v/>
      </c>
      <c r="Y55">
        <f>HYPERLINK("https://klasma.github.io/Logging_1907/tillsynsmail/A 31176-2024 tillsynsbegäran mail.docx", "A 31176-2024")</f>
        <v/>
      </c>
    </row>
    <row r="56" ht="15" customHeight="1">
      <c r="A56" t="inlineStr">
        <is>
          <t>A 17632-2022</t>
        </is>
      </c>
      <c r="B56" s="1" t="n">
        <v>44680</v>
      </c>
      <c r="C56" s="1" t="n">
        <v>45998</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25583-2024</t>
        </is>
      </c>
      <c r="B57" s="1" t="n">
        <v>45463</v>
      </c>
      <c r="C57" s="1" t="n">
        <v>45998</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22840-2023</t>
        </is>
      </c>
      <c r="B58" s="1" t="n">
        <v>45072</v>
      </c>
      <c r="C58" s="1" t="n">
        <v>45998</v>
      </c>
      <c r="D58" t="inlineStr">
        <is>
          <t>VÄSTMANLANDS LÄN</t>
        </is>
      </c>
      <c r="E58" t="inlineStr">
        <is>
          <t>SURAHAMMAR</t>
        </is>
      </c>
      <c r="G58" t="n">
        <v>4.3</v>
      </c>
      <c r="H58" t="n">
        <v>1</v>
      </c>
      <c r="I58" t="n">
        <v>0</v>
      </c>
      <c r="J58" t="n">
        <v>0</v>
      </c>
      <c r="K58" t="n">
        <v>0</v>
      </c>
      <c r="L58" t="n">
        <v>0</v>
      </c>
      <c r="M58" t="n">
        <v>0</v>
      </c>
      <c r="N58" t="n">
        <v>0</v>
      </c>
      <c r="O58" t="n">
        <v>0</v>
      </c>
      <c r="P58" t="n">
        <v>0</v>
      </c>
      <c r="Q58" t="n">
        <v>1</v>
      </c>
      <c r="R58" s="2" t="inlineStr">
        <is>
          <t>Fläcknycklar</t>
        </is>
      </c>
      <c r="S58">
        <f>HYPERLINK("https://klasma.github.io/Logging_1907/artfynd/A 22840-2023 artfynd.xlsx", "A 22840-2023")</f>
        <v/>
      </c>
      <c r="T58">
        <f>HYPERLINK("https://klasma.github.io/Logging_1907/kartor/A 22840-2023 karta.png", "A 22840-2023")</f>
        <v/>
      </c>
      <c r="V58">
        <f>HYPERLINK("https://klasma.github.io/Logging_1907/klagomål/A 22840-2023 FSC-klagomål.docx", "A 22840-2023")</f>
        <v/>
      </c>
      <c r="W58">
        <f>HYPERLINK("https://klasma.github.io/Logging_1907/klagomålsmail/A 22840-2023 FSC-klagomål mail.docx", "A 22840-2023")</f>
        <v/>
      </c>
      <c r="X58">
        <f>HYPERLINK("https://klasma.github.io/Logging_1907/tillsyn/A 22840-2023 tillsynsbegäran.docx", "A 22840-2023")</f>
        <v/>
      </c>
      <c r="Y58">
        <f>HYPERLINK("https://klasma.github.io/Logging_1907/tillsynsmail/A 22840-2023 tillsynsbegäran mail.docx", "A 22840-2023")</f>
        <v/>
      </c>
    </row>
    <row r="59" ht="15" customHeight="1">
      <c r="A59" t="inlineStr">
        <is>
          <t>A 13971-2023</t>
        </is>
      </c>
      <c r="B59" s="1" t="n">
        <v>45007</v>
      </c>
      <c r="C59" s="1" t="n">
        <v>45998</v>
      </c>
      <c r="D59" t="inlineStr">
        <is>
          <t>VÄSTMANLANDS LÄN</t>
        </is>
      </c>
      <c r="E59" t="inlineStr">
        <is>
          <t>SURAHAMMAR</t>
        </is>
      </c>
      <c r="F59" t="inlineStr">
        <is>
          <t>Bergvik skog väst AB</t>
        </is>
      </c>
      <c r="G59" t="n">
        <v>2.9</v>
      </c>
      <c r="H59" t="n">
        <v>1</v>
      </c>
      <c r="I59" t="n">
        <v>0</v>
      </c>
      <c r="J59" t="n">
        <v>0</v>
      </c>
      <c r="K59" t="n">
        <v>0</v>
      </c>
      <c r="L59" t="n">
        <v>0</v>
      </c>
      <c r="M59" t="n">
        <v>0</v>
      </c>
      <c r="N59" t="n">
        <v>0</v>
      </c>
      <c r="O59" t="n">
        <v>0</v>
      </c>
      <c r="P59" t="n">
        <v>0</v>
      </c>
      <c r="Q59" t="n">
        <v>1</v>
      </c>
      <c r="R59" s="2" t="inlineStr">
        <is>
          <t>Fläcknycklar</t>
        </is>
      </c>
      <c r="S59">
        <f>HYPERLINK("https://klasma.github.io/Logging_1907/artfynd/A 13971-2023 artfynd.xlsx", "A 13971-2023")</f>
        <v/>
      </c>
      <c r="T59">
        <f>HYPERLINK("https://klasma.github.io/Logging_1907/kartor/A 13971-2023 karta.png", "A 13971-2023")</f>
        <v/>
      </c>
      <c r="V59">
        <f>HYPERLINK("https://klasma.github.io/Logging_1907/klagomål/A 13971-2023 FSC-klagomål.docx", "A 13971-2023")</f>
        <v/>
      </c>
      <c r="W59">
        <f>HYPERLINK("https://klasma.github.io/Logging_1907/klagomålsmail/A 13971-2023 FSC-klagomål mail.docx", "A 13971-2023")</f>
        <v/>
      </c>
      <c r="X59">
        <f>HYPERLINK("https://klasma.github.io/Logging_1907/tillsyn/A 13971-2023 tillsynsbegäran.docx", "A 13971-2023")</f>
        <v/>
      </c>
      <c r="Y59">
        <f>HYPERLINK("https://klasma.github.io/Logging_1907/tillsynsmail/A 13971-2023 tillsynsbegäran mail.docx", "A 13971-2023")</f>
        <v/>
      </c>
    </row>
    <row r="60" ht="15" customHeight="1">
      <c r="A60" t="inlineStr">
        <is>
          <t>A 42765-2022</t>
        </is>
      </c>
      <c r="B60" s="1" t="n">
        <v>44832</v>
      </c>
      <c r="C60" s="1" t="n">
        <v>45998</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44356-2024</t>
        </is>
      </c>
      <c r="B61" s="1" t="n">
        <v>45573</v>
      </c>
      <c r="C61" s="1" t="n">
        <v>45998</v>
      </c>
      <c r="D61" t="inlineStr">
        <is>
          <t>VÄSTMANLANDS LÄN</t>
        </is>
      </c>
      <c r="E61" t="inlineStr">
        <is>
          <t>SURAHAMMAR</t>
        </is>
      </c>
      <c r="F61" t="inlineStr">
        <is>
          <t>Sveaskog</t>
        </is>
      </c>
      <c r="G61" t="n">
        <v>0.7</v>
      </c>
      <c r="H61" t="n">
        <v>1</v>
      </c>
      <c r="I61" t="n">
        <v>0</v>
      </c>
      <c r="J61" t="n">
        <v>0</v>
      </c>
      <c r="K61" t="n">
        <v>0</v>
      </c>
      <c r="L61" t="n">
        <v>0</v>
      </c>
      <c r="M61" t="n">
        <v>0</v>
      </c>
      <c r="N61" t="n">
        <v>0</v>
      </c>
      <c r="O61" t="n">
        <v>0</v>
      </c>
      <c r="P61" t="n">
        <v>0</v>
      </c>
      <c r="Q61" t="n">
        <v>1</v>
      </c>
      <c r="R61" s="2" t="inlineStr">
        <is>
          <t>Revlummer</t>
        </is>
      </c>
      <c r="S61">
        <f>HYPERLINK("https://klasma.github.io/Logging_1907/artfynd/A 44356-2024 artfynd.xlsx", "A 44356-2024")</f>
        <v/>
      </c>
      <c r="T61">
        <f>HYPERLINK("https://klasma.github.io/Logging_1907/kartor/A 44356-2024 karta.png", "A 44356-2024")</f>
        <v/>
      </c>
      <c r="V61">
        <f>HYPERLINK("https://klasma.github.io/Logging_1907/klagomål/A 44356-2024 FSC-klagomål.docx", "A 44356-2024")</f>
        <v/>
      </c>
      <c r="W61">
        <f>HYPERLINK("https://klasma.github.io/Logging_1907/klagomålsmail/A 44356-2024 FSC-klagomål mail.docx", "A 44356-2024")</f>
        <v/>
      </c>
      <c r="X61">
        <f>HYPERLINK("https://klasma.github.io/Logging_1907/tillsyn/A 44356-2024 tillsynsbegäran.docx", "A 44356-2024")</f>
        <v/>
      </c>
      <c r="Y61">
        <f>HYPERLINK("https://klasma.github.io/Logging_1907/tillsynsmail/A 44356-2024 tillsynsbegäran mail.docx", "A 44356-2024")</f>
        <v/>
      </c>
    </row>
    <row r="62" ht="15" customHeight="1">
      <c r="A62" t="inlineStr">
        <is>
          <t>A 43451-2024</t>
        </is>
      </c>
      <c r="B62" s="1" t="n">
        <v>45568</v>
      </c>
      <c r="C62" s="1" t="n">
        <v>45998</v>
      </c>
      <c r="D62" t="inlineStr">
        <is>
          <t>VÄSTMANLANDS LÄN</t>
        </is>
      </c>
      <c r="E62" t="inlineStr">
        <is>
          <t>SURAHAMMAR</t>
        </is>
      </c>
      <c r="F62" t="inlineStr">
        <is>
          <t>Bergvik skog väst AB</t>
        </is>
      </c>
      <c r="G62" t="n">
        <v>2.9</v>
      </c>
      <c r="H62" t="n">
        <v>0</v>
      </c>
      <c r="I62" t="n">
        <v>0</v>
      </c>
      <c r="J62" t="n">
        <v>1</v>
      </c>
      <c r="K62" t="n">
        <v>0</v>
      </c>
      <c r="L62" t="n">
        <v>0</v>
      </c>
      <c r="M62" t="n">
        <v>0</v>
      </c>
      <c r="N62" t="n">
        <v>0</v>
      </c>
      <c r="O62" t="n">
        <v>1</v>
      </c>
      <c r="P62" t="n">
        <v>0</v>
      </c>
      <c r="Q62" t="n">
        <v>1</v>
      </c>
      <c r="R62" s="2" t="inlineStr">
        <is>
          <t>Ullticka</t>
        </is>
      </c>
      <c r="S62">
        <f>HYPERLINK("https://klasma.github.io/Logging_1907/artfynd/A 43451-2024 artfynd.xlsx", "A 43451-2024")</f>
        <v/>
      </c>
      <c r="T62">
        <f>HYPERLINK("https://klasma.github.io/Logging_1907/kartor/A 43451-2024 karta.png", "A 43451-2024")</f>
        <v/>
      </c>
      <c r="V62">
        <f>HYPERLINK("https://klasma.github.io/Logging_1907/klagomål/A 43451-2024 FSC-klagomål.docx", "A 43451-2024")</f>
        <v/>
      </c>
      <c r="W62">
        <f>HYPERLINK("https://klasma.github.io/Logging_1907/klagomålsmail/A 43451-2024 FSC-klagomål mail.docx", "A 43451-2024")</f>
        <v/>
      </c>
      <c r="X62">
        <f>HYPERLINK("https://klasma.github.io/Logging_1907/tillsyn/A 43451-2024 tillsynsbegäran.docx", "A 43451-2024")</f>
        <v/>
      </c>
      <c r="Y62">
        <f>HYPERLINK("https://klasma.github.io/Logging_1907/tillsynsmail/A 43451-2024 tillsynsbegäran mail.docx", "A 43451-2024")</f>
        <v/>
      </c>
    </row>
    <row r="63" ht="15" customHeight="1">
      <c r="A63" t="inlineStr">
        <is>
          <t>A 69777-2021</t>
        </is>
      </c>
      <c r="B63" s="1" t="n">
        <v>44532</v>
      </c>
      <c r="C63" s="1" t="n">
        <v>45998</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14001-2023</t>
        </is>
      </c>
      <c r="B64" s="1" t="n">
        <v>45007</v>
      </c>
      <c r="C64" s="1" t="n">
        <v>45998</v>
      </c>
      <c r="D64" t="inlineStr">
        <is>
          <t>VÄSTMANLANDS LÄN</t>
        </is>
      </c>
      <c r="E64" t="inlineStr">
        <is>
          <t>SURAHAMMAR</t>
        </is>
      </c>
      <c r="F64" t="inlineStr">
        <is>
          <t>Bergvik skog väst AB</t>
        </is>
      </c>
      <c r="G64" t="n">
        <v>1</v>
      </c>
      <c r="H64" t="n">
        <v>0</v>
      </c>
      <c r="I64" t="n">
        <v>0</v>
      </c>
      <c r="J64" t="n">
        <v>1</v>
      </c>
      <c r="K64" t="n">
        <v>0</v>
      </c>
      <c r="L64" t="n">
        <v>0</v>
      </c>
      <c r="M64" t="n">
        <v>0</v>
      </c>
      <c r="N64" t="n">
        <v>0</v>
      </c>
      <c r="O64" t="n">
        <v>1</v>
      </c>
      <c r="P64" t="n">
        <v>0</v>
      </c>
      <c r="Q64" t="n">
        <v>1</v>
      </c>
      <c r="R64" s="2" t="inlineStr">
        <is>
          <t>Motaggsvamp</t>
        </is>
      </c>
      <c r="S64">
        <f>HYPERLINK("https://klasma.github.io/Logging_1907/artfynd/A 14001-2023 artfynd.xlsx", "A 14001-2023")</f>
        <v/>
      </c>
      <c r="T64">
        <f>HYPERLINK("https://klasma.github.io/Logging_1907/kartor/A 14001-2023 karta.png", "A 14001-2023")</f>
        <v/>
      </c>
      <c r="V64">
        <f>HYPERLINK("https://klasma.github.io/Logging_1907/klagomål/A 14001-2023 FSC-klagomål.docx", "A 14001-2023")</f>
        <v/>
      </c>
      <c r="W64">
        <f>HYPERLINK("https://klasma.github.io/Logging_1907/klagomålsmail/A 14001-2023 FSC-klagomål mail.docx", "A 14001-2023")</f>
        <v/>
      </c>
      <c r="X64">
        <f>HYPERLINK("https://klasma.github.io/Logging_1907/tillsyn/A 14001-2023 tillsynsbegäran.docx", "A 14001-2023")</f>
        <v/>
      </c>
      <c r="Y64">
        <f>HYPERLINK("https://klasma.github.io/Logging_1907/tillsynsmail/A 14001-2023 tillsynsbegäran mail.docx", "A 14001-2023")</f>
        <v/>
      </c>
    </row>
    <row r="65" ht="15" customHeight="1">
      <c r="A65" t="inlineStr">
        <is>
          <t>A 42089-2025</t>
        </is>
      </c>
      <c r="B65" s="1" t="n">
        <v>45902</v>
      </c>
      <c r="C65" s="1" t="n">
        <v>45998</v>
      </c>
      <c r="D65" t="inlineStr">
        <is>
          <t>VÄSTMANLANDS LÄN</t>
        </is>
      </c>
      <c r="E65" t="inlineStr">
        <is>
          <t>SURAHAMMAR</t>
        </is>
      </c>
      <c r="G65" t="n">
        <v>2.2</v>
      </c>
      <c r="H65" t="n">
        <v>0</v>
      </c>
      <c r="I65" t="n">
        <v>0</v>
      </c>
      <c r="J65" t="n">
        <v>1</v>
      </c>
      <c r="K65" t="n">
        <v>0</v>
      </c>
      <c r="L65" t="n">
        <v>0</v>
      </c>
      <c r="M65" t="n">
        <v>0</v>
      </c>
      <c r="N65" t="n">
        <v>0</v>
      </c>
      <c r="O65" t="n">
        <v>1</v>
      </c>
      <c r="P65" t="n">
        <v>0</v>
      </c>
      <c r="Q65" t="n">
        <v>1</v>
      </c>
      <c r="R65" s="2" t="inlineStr">
        <is>
          <t>Motaggsvamp</t>
        </is>
      </c>
      <c r="S65">
        <f>HYPERLINK("https://klasma.github.io/Logging_1907/artfynd/A 42089-2025 artfynd.xlsx", "A 42089-2025")</f>
        <v/>
      </c>
      <c r="T65">
        <f>HYPERLINK("https://klasma.github.io/Logging_1907/kartor/A 42089-2025 karta.png", "A 42089-2025")</f>
        <v/>
      </c>
      <c r="V65">
        <f>HYPERLINK("https://klasma.github.io/Logging_1907/klagomål/A 42089-2025 FSC-klagomål.docx", "A 42089-2025")</f>
        <v/>
      </c>
      <c r="W65">
        <f>HYPERLINK("https://klasma.github.io/Logging_1907/klagomålsmail/A 42089-2025 FSC-klagomål mail.docx", "A 42089-2025")</f>
        <v/>
      </c>
      <c r="X65">
        <f>HYPERLINK("https://klasma.github.io/Logging_1907/tillsyn/A 42089-2025 tillsynsbegäran.docx", "A 42089-2025")</f>
        <v/>
      </c>
      <c r="Y65">
        <f>HYPERLINK("https://klasma.github.io/Logging_1907/tillsynsmail/A 42089-2025 tillsynsbegäran mail.docx", "A 42089-2025")</f>
        <v/>
      </c>
    </row>
    <row r="66" ht="15" customHeight="1">
      <c r="A66" t="inlineStr">
        <is>
          <t>A 56768-2025</t>
        </is>
      </c>
      <c r="B66" s="1" t="n">
        <v>45978</v>
      </c>
      <c r="C66" s="1" t="n">
        <v>45998</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13788-2025</t>
        </is>
      </c>
      <c r="B67" s="1" t="n">
        <v>45737.45327546296</v>
      </c>
      <c r="C67" s="1" t="n">
        <v>45998</v>
      </c>
      <c r="D67" t="inlineStr">
        <is>
          <t>VÄSTMANLANDS LÄN</t>
        </is>
      </c>
      <c r="E67" t="inlineStr">
        <is>
          <t>SURAHAMMAR</t>
        </is>
      </c>
      <c r="G67" t="n">
        <v>9.699999999999999</v>
      </c>
      <c r="H67" t="n">
        <v>1</v>
      </c>
      <c r="I67" t="n">
        <v>0</v>
      </c>
      <c r="J67" t="n">
        <v>0</v>
      </c>
      <c r="K67" t="n">
        <v>0</v>
      </c>
      <c r="L67" t="n">
        <v>0</v>
      </c>
      <c r="M67" t="n">
        <v>0</v>
      </c>
      <c r="N67" t="n">
        <v>0</v>
      </c>
      <c r="O67" t="n">
        <v>0</v>
      </c>
      <c r="P67" t="n">
        <v>0</v>
      </c>
      <c r="Q67" t="n">
        <v>1</v>
      </c>
      <c r="R67" s="2" t="inlineStr">
        <is>
          <t>Sparvuggla</t>
        </is>
      </c>
      <c r="S67">
        <f>HYPERLINK("https://klasma.github.io/Logging_1907/artfynd/A 13788-2025 artfynd.xlsx", "A 13788-2025")</f>
        <v/>
      </c>
      <c r="T67">
        <f>HYPERLINK("https://klasma.github.io/Logging_1907/kartor/A 13788-2025 karta.png", "A 13788-2025")</f>
        <v/>
      </c>
      <c r="V67">
        <f>HYPERLINK("https://klasma.github.io/Logging_1907/klagomål/A 13788-2025 FSC-klagomål.docx", "A 13788-2025")</f>
        <v/>
      </c>
      <c r="W67">
        <f>HYPERLINK("https://klasma.github.io/Logging_1907/klagomålsmail/A 13788-2025 FSC-klagomål mail.docx", "A 13788-2025")</f>
        <v/>
      </c>
      <c r="X67">
        <f>HYPERLINK("https://klasma.github.io/Logging_1907/tillsyn/A 13788-2025 tillsynsbegäran.docx", "A 13788-2025")</f>
        <v/>
      </c>
      <c r="Y67">
        <f>HYPERLINK("https://klasma.github.io/Logging_1907/tillsynsmail/A 13788-2025 tillsynsbegäran mail.docx", "A 13788-2025")</f>
        <v/>
      </c>
      <c r="Z67">
        <f>HYPERLINK("https://klasma.github.io/Logging_1907/fåglar/A 13788-2025 prioriterade fågelarter.docx", "A 13788-2025")</f>
        <v/>
      </c>
    </row>
    <row r="68" ht="15" customHeight="1">
      <c r="A68" t="inlineStr">
        <is>
          <t>A 55042-2025</t>
        </is>
      </c>
      <c r="B68" s="1" t="n">
        <v>45967.65858796296</v>
      </c>
      <c r="C68" s="1" t="n">
        <v>45998</v>
      </c>
      <c r="D68" t="inlineStr">
        <is>
          <t>VÄSTMANLANDS LÄN</t>
        </is>
      </c>
      <c r="E68" t="inlineStr">
        <is>
          <t>SURAHAMMAR</t>
        </is>
      </c>
      <c r="F68" t="inlineStr">
        <is>
          <t>Sveaskog</t>
        </is>
      </c>
      <c r="G68" t="n">
        <v>7.2</v>
      </c>
      <c r="H68" t="n">
        <v>0</v>
      </c>
      <c r="I68" t="n">
        <v>0</v>
      </c>
      <c r="J68" t="n">
        <v>1</v>
      </c>
      <c r="K68" t="n">
        <v>0</v>
      </c>
      <c r="L68" t="n">
        <v>0</v>
      </c>
      <c r="M68" t="n">
        <v>0</v>
      </c>
      <c r="N68" t="n">
        <v>0</v>
      </c>
      <c r="O68" t="n">
        <v>1</v>
      </c>
      <c r="P68" t="n">
        <v>0</v>
      </c>
      <c r="Q68" t="n">
        <v>1</v>
      </c>
      <c r="R68" s="2" t="inlineStr">
        <is>
          <t>Motaggsvamp</t>
        </is>
      </c>
      <c r="S68">
        <f>HYPERLINK("https://klasma.github.io/Logging_1907/artfynd/A 55042-2025 artfynd.xlsx", "A 55042-2025")</f>
        <v/>
      </c>
      <c r="T68">
        <f>HYPERLINK("https://klasma.github.io/Logging_1907/kartor/A 55042-2025 karta.png", "A 55042-2025")</f>
        <v/>
      </c>
      <c r="V68">
        <f>HYPERLINK("https://klasma.github.io/Logging_1907/klagomål/A 55042-2025 FSC-klagomål.docx", "A 55042-2025")</f>
        <v/>
      </c>
      <c r="W68">
        <f>HYPERLINK("https://klasma.github.io/Logging_1907/klagomålsmail/A 55042-2025 FSC-klagomål mail.docx", "A 55042-2025")</f>
        <v/>
      </c>
      <c r="X68">
        <f>HYPERLINK("https://klasma.github.io/Logging_1907/tillsyn/A 55042-2025 tillsynsbegäran.docx", "A 55042-2025")</f>
        <v/>
      </c>
      <c r="Y68">
        <f>HYPERLINK("https://klasma.github.io/Logging_1907/tillsynsmail/A 55042-2025 tillsynsbegäran mail.docx", "A 55042-2025")</f>
        <v/>
      </c>
    </row>
    <row r="69" ht="15" customHeight="1">
      <c r="A69" t="inlineStr">
        <is>
          <t>A 47453-2024</t>
        </is>
      </c>
      <c r="B69" s="1" t="n">
        <v>45587.55017361111</v>
      </c>
      <c r="C69" s="1" t="n">
        <v>45998</v>
      </c>
      <c r="D69" t="inlineStr">
        <is>
          <t>VÄSTMANLANDS LÄN</t>
        </is>
      </c>
      <c r="E69" t="inlineStr">
        <is>
          <t>SURAHAMMAR</t>
        </is>
      </c>
      <c r="G69" t="n">
        <v>5.1</v>
      </c>
      <c r="H69" t="n">
        <v>1</v>
      </c>
      <c r="I69" t="n">
        <v>0</v>
      </c>
      <c r="J69" t="n">
        <v>0</v>
      </c>
      <c r="K69" t="n">
        <v>0</v>
      </c>
      <c r="L69" t="n">
        <v>0</v>
      </c>
      <c r="M69" t="n">
        <v>0</v>
      </c>
      <c r="N69" t="n">
        <v>0</v>
      </c>
      <c r="O69" t="n">
        <v>0</v>
      </c>
      <c r="P69" t="n">
        <v>0</v>
      </c>
      <c r="Q69" t="n">
        <v>1</v>
      </c>
      <c r="R69" s="2" t="inlineStr">
        <is>
          <t>Göktyta</t>
        </is>
      </c>
      <c r="S69">
        <f>HYPERLINK("https://klasma.github.io/Logging_1907/artfynd/A 47453-2024 artfynd.xlsx", "A 47453-2024")</f>
        <v/>
      </c>
      <c r="T69">
        <f>HYPERLINK("https://klasma.github.io/Logging_1907/kartor/A 47453-2024 karta.png", "A 47453-2024")</f>
        <v/>
      </c>
      <c r="V69">
        <f>HYPERLINK("https://klasma.github.io/Logging_1907/klagomål/A 47453-2024 FSC-klagomål.docx", "A 47453-2024")</f>
        <v/>
      </c>
      <c r="W69">
        <f>HYPERLINK("https://klasma.github.io/Logging_1907/klagomålsmail/A 47453-2024 FSC-klagomål mail.docx", "A 47453-2024")</f>
        <v/>
      </c>
      <c r="X69">
        <f>HYPERLINK("https://klasma.github.io/Logging_1907/tillsyn/A 47453-2024 tillsynsbegäran.docx", "A 47453-2024")</f>
        <v/>
      </c>
      <c r="Y69">
        <f>HYPERLINK("https://klasma.github.io/Logging_1907/tillsynsmail/A 47453-2024 tillsynsbegäran mail.docx", "A 47453-2024")</f>
        <v/>
      </c>
      <c r="Z69">
        <f>HYPERLINK("https://klasma.github.io/Logging_1907/fåglar/A 47453-2024 prioriterade fågelarter.docx", "A 47453-2024")</f>
        <v/>
      </c>
    </row>
    <row r="70" ht="15" customHeight="1">
      <c r="A70" t="inlineStr">
        <is>
          <t>A 10819-2024</t>
        </is>
      </c>
      <c r="B70" s="1" t="n">
        <v>45369.66049768519</v>
      </c>
      <c r="C70" s="1" t="n">
        <v>45998</v>
      </c>
      <c r="D70" t="inlineStr">
        <is>
          <t>VÄSTMANLANDS LÄN</t>
        </is>
      </c>
      <c r="E70" t="inlineStr">
        <is>
          <t>SURAHAMMAR</t>
        </is>
      </c>
      <c r="G70" t="n">
        <v>2</v>
      </c>
      <c r="H70" t="n">
        <v>0</v>
      </c>
      <c r="I70" t="n">
        <v>1</v>
      </c>
      <c r="J70" t="n">
        <v>0</v>
      </c>
      <c r="K70" t="n">
        <v>0</v>
      </c>
      <c r="L70" t="n">
        <v>0</v>
      </c>
      <c r="M70" t="n">
        <v>0</v>
      </c>
      <c r="N70" t="n">
        <v>0</v>
      </c>
      <c r="O70" t="n">
        <v>0</v>
      </c>
      <c r="P70" t="n">
        <v>0</v>
      </c>
      <c r="Q70" t="n">
        <v>1</v>
      </c>
      <c r="R70" s="2" t="inlineStr">
        <is>
          <t>Tibast</t>
        </is>
      </c>
      <c r="S70">
        <f>HYPERLINK("https://klasma.github.io/Logging_1907/artfynd/A 10819-2024 artfynd.xlsx", "A 10819-2024")</f>
        <v/>
      </c>
      <c r="T70">
        <f>HYPERLINK("https://klasma.github.io/Logging_1907/kartor/A 10819-2024 karta.png", "A 10819-2024")</f>
        <v/>
      </c>
      <c r="V70">
        <f>HYPERLINK("https://klasma.github.io/Logging_1907/klagomål/A 10819-2024 FSC-klagomål.docx", "A 10819-2024")</f>
        <v/>
      </c>
      <c r="W70">
        <f>HYPERLINK("https://klasma.github.io/Logging_1907/klagomålsmail/A 10819-2024 FSC-klagomål mail.docx", "A 10819-2024")</f>
        <v/>
      </c>
      <c r="X70">
        <f>HYPERLINK("https://klasma.github.io/Logging_1907/tillsyn/A 10819-2024 tillsynsbegäran.docx", "A 10819-2024")</f>
        <v/>
      </c>
      <c r="Y70">
        <f>HYPERLINK("https://klasma.github.io/Logging_1907/tillsynsmail/A 10819-2024 tillsynsbegäran mail.docx", "A 10819-2024")</f>
        <v/>
      </c>
    </row>
    <row r="71" ht="15" customHeight="1">
      <c r="A71" t="inlineStr">
        <is>
          <t>A 1492-2021</t>
        </is>
      </c>
      <c r="B71" s="1" t="n">
        <v>44209</v>
      </c>
      <c r="C71" s="1" t="n">
        <v>45998</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45998</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45998</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45998</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45998</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31468-2021</t>
        </is>
      </c>
      <c r="B76" s="1" t="n">
        <v>44369</v>
      </c>
      <c r="C76" s="1" t="n">
        <v>45998</v>
      </c>
      <c r="D76" t="inlineStr">
        <is>
          <t>VÄSTMANLANDS LÄN</t>
        </is>
      </c>
      <c r="E76" t="inlineStr">
        <is>
          <t>SURAHAMMAR</t>
        </is>
      </c>
      <c r="G76" t="n">
        <v>1.1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45998</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45998</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3595-2022</t>
        </is>
      </c>
      <c r="B79" s="1" t="n">
        <v>44586</v>
      </c>
      <c r="C79" s="1" t="n">
        <v>45998</v>
      </c>
      <c r="D79" t="inlineStr">
        <is>
          <t>VÄSTMANLANDS LÄN</t>
        </is>
      </c>
      <c r="E79" t="inlineStr">
        <is>
          <t>SURAHAMMAR</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66350-2021</t>
        </is>
      </c>
      <c r="B80" s="1" t="n">
        <v>44518</v>
      </c>
      <c r="C80" s="1" t="n">
        <v>45998</v>
      </c>
      <c r="D80" t="inlineStr">
        <is>
          <t>VÄSTMANLANDS LÄN</t>
        </is>
      </c>
      <c r="E80" t="inlineStr">
        <is>
          <t>SURAHAMMAR</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73156-2021</t>
        </is>
      </c>
      <c r="B81" s="1" t="n">
        <v>44550</v>
      </c>
      <c r="C81" s="1" t="n">
        <v>45998</v>
      </c>
      <c r="D81" t="inlineStr">
        <is>
          <t>VÄSTMANLANDS LÄN</t>
        </is>
      </c>
      <c r="E81" t="inlineStr">
        <is>
          <t>SURAHAMMAR</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19846-2022</t>
        </is>
      </c>
      <c r="B82" s="1" t="n">
        <v>44696.89327546296</v>
      </c>
      <c r="C82" s="1" t="n">
        <v>45998</v>
      </c>
      <c r="D82" t="inlineStr">
        <is>
          <t>VÄSTMANLANDS LÄN</t>
        </is>
      </c>
      <c r="E82" t="inlineStr">
        <is>
          <t>SURAHAMMAR</t>
        </is>
      </c>
      <c r="F82" t="inlineStr">
        <is>
          <t>Kommuner</t>
        </is>
      </c>
      <c r="G82" t="n">
        <v>3.4</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45998</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45998</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45998</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45998</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21839-2021</t>
        </is>
      </c>
      <c r="B87" s="1" t="n">
        <v>44322</v>
      </c>
      <c r="C87" s="1" t="n">
        <v>45998</v>
      </c>
      <c r="D87" t="inlineStr">
        <is>
          <t>VÄSTMANLANDS LÄN</t>
        </is>
      </c>
      <c r="E87" t="inlineStr">
        <is>
          <t>SURAHAMMAR</t>
        </is>
      </c>
      <c r="G87" t="n">
        <v>1.6</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45998</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33931-2022</t>
        </is>
      </c>
      <c r="B89" s="1" t="n">
        <v>44790.65153935185</v>
      </c>
      <c r="C89" s="1" t="n">
        <v>45998</v>
      </c>
      <c r="D89" t="inlineStr">
        <is>
          <t>VÄSTMANLANDS LÄN</t>
        </is>
      </c>
      <c r="E89" t="inlineStr">
        <is>
          <t>SURAHAMMAR</t>
        </is>
      </c>
      <c r="G89" t="n">
        <v>2.2</v>
      </c>
      <c r="H89" t="n">
        <v>0</v>
      </c>
      <c r="I89" t="n">
        <v>0</v>
      </c>
      <c r="J89" t="n">
        <v>0</v>
      </c>
      <c r="K89" t="n">
        <v>0</v>
      </c>
      <c r="L89" t="n">
        <v>0</v>
      </c>
      <c r="M89" t="n">
        <v>0</v>
      </c>
      <c r="N89" t="n">
        <v>0</v>
      </c>
      <c r="O89" t="n">
        <v>0</v>
      </c>
      <c r="P89" t="n">
        <v>0</v>
      </c>
      <c r="Q89" t="n">
        <v>0</v>
      </c>
      <c r="R89" s="2" t="inlineStr"/>
    </row>
    <row r="90" ht="15" customHeight="1">
      <c r="A90" t="inlineStr">
        <is>
          <t>A 22662-2023</t>
        </is>
      </c>
      <c r="B90" s="1" t="n">
        <v>45071</v>
      </c>
      <c r="C90" s="1" t="n">
        <v>45998</v>
      </c>
      <c r="D90" t="inlineStr">
        <is>
          <t>VÄSTMANLANDS LÄN</t>
        </is>
      </c>
      <c r="E90" t="inlineStr">
        <is>
          <t>SURAHAMMAR</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21509-2024</t>
        </is>
      </c>
      <c r="B91" s="1" t="n">
        <v>45441</v>
      </c>
      <c r="C91" s="1" t="n">
        <v>45998</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42832-2022</t>
        </is>
      </c>
      <c r="B92" s="1" t="n">
        <v>44832</v>
      </c>
      <c r="C92" s="1" t="n">
        <v>45998</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42841-2022</t>
        </is>
      </c>
      <c r="B93" s="1" t="n">
        <v>44832</v>
      </c>
      <c r="C93" s="1" t="n">
        <v>45998</v>
      </c>
      <c r="D93" t="inlineStr">
        <is>
          <t>VÄSTMANLANDS LÄN</t>
        </is>
      </c>
      <c r="E93" t="inlineStr">
        <is>
          <t>SURAHAMMAR</t>
        </is>
      </c>
      <c r="G93" t="n">
        <v>1.8</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45998</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30076-2023</t>
        </is>
      </c>
      <c r="B95" s="1" t="n">
        <v>45110</v>
      </c>
      <c r="C95" s="1" t="n">
        <v>45998</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41555-2022</t>
        </is>
      </c>
      <c r="B96" s="1" t="n">
        <v>44826</v>
      </c>
      <c r="C96" s="1" t="n">
        <v>45998</v>
      </c>
      <c r="D96" t="inlineStr">
        <is>
          <t>VÄSTMANLANDS LÄN</t>
        </is>
      </c>
      <c r="E96" t="inlineStr">
        <is>
          <t>SURAHAMMAR</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5567-2022</t>
        </is>
      </c>
      <c r="B97" s="1" t="n">
        <v>44595</v>
      </c>
      <c r="C97" s="1" t="n">
        <v>45998</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41576-2022</t>
        </is>
      </c>
      <c r="B98" s="1" t="n">
        <v>44826</v>
      </c>
      <c r="C98" s="1" t="n">
        <v>45998</v>
      </c>
      <c r="D98" t="inlineStr">
        <is>
          <t>VÄSTMANLANDS LÄN</t>
        </is>
      </c>
      <c r="E98" t="inlineStr">
        <is>
          <t>SURAHAMMAR</t>
        </is>
      </c>
      <c r="F98" t="inlineStr">
        <is>
          <t>Bergvik skog väst AB</t>
        </is>
      </c>
      <c r="G98" t="n">
        <v>6.4</v>
      </c>
      <c r="H98" t="n">
        <v>0</v>
      </c>
      <c r="I98" t="n">
        <v>0</v>
      </c>
      <c r="J98" t="n">
        <v>0</v>
      </c>
      <c r="K98" t="n">
        <v>0</v>
      </c>
      <c r="L98" t="n">
        <v>0</v>
      </c>
      <c r="M98" t="n">
        <v>0</v>
      </c>
      <c r="N98" t="n">
        <v>0</v>
      </c>
      <c r="O98" t="n">
        <v>0</v>
      </c>
      <c r="P98" t="n">
        <v>0</v>
      </c>
      <c r="Q98" t="n">
        <v>0</v>
      </c>
      <c r="R98" s="2" t="inlineStr"/>
    </row>
    <row r="99" ht="15" customHeight="1">
      <c r="A99" t="inlineStr">
        <is>
          <t>A 47785-2021</t>
        </is>
      </c>
      <c r="B99" s="1" t="n">
        <v>44448</v>
      </c>
      <c r="C99" s="1" t="n">
        <v>45998</v>
      </c>
      <c r="D99" t="inlineStr">
        <is>
          <t>VÄSTMANLANDS LÄN</t>
        </is>
      </c>
      <c r="E99" t="inlineStr">
        <is>
          <t>SURAHAMMAR</t>
        </is>
      </c>
      <c r="F99" t="inlineStr">
        <is>
          <t>Kommuner</t>
        </is>
      </c>
      <c r="G99" t="n">
        <v>3.3</v>
      </c>
      <c r="H99" t="n">
        <v>0</v>
      </c>
      <c r="I99" t="n">
        <v>0</v>
      </c>
      <c r="J99" t="n">
        <v>0</v>
      </c>
      <c r="K99" t="n">
        <v>0</v>
      </c>
      <c r="L99" t="n">
        <v>0</v>
      </c>
      <c r="M99" t="n">
        <v>0</v>
      </c>
      <c r="N99" t="n">
        <v>0</v>
      </c>
      <c r="O99" t="n">
        <v>0</v>
      </c>
      <c r="P99" t="n">
        <v>0</v>
      </c>
      <c r="Q99" t="n">
        <v>0</v>
      </c>
      <c r="R99" s="2" t="inlineStr"/>
    </row>
    <row r="100" ht="15" customHeight="1">
      <c r="A100" t="inlineStr">
        <is>
          <t>A 34957-2022</t>
        </is>
      </c>
      <c r="B100" s="1" t="n">
        <v>44796.64672453704</v>
      </c>
      <c r="C100" s="1" t="n">
        <v>45998</v>
      </c>
      <c r="D100" t="inlineStr">
        <is>
          <t>VÄSTMANLANDS LÄN</t>
        </is>
      </c>
      <c r="E100" t="inlineStr">
        <is>
          <t>SURAHAMMAR</t>
        </is>
      </c>
      <c r="F100" t="inlineStr">
        <is>
          <t>Sveaskog</t>
        </is>
      </c>
      <c r="G100" t="n">
        <v>0.8</v>
      </c>
      <c r="H100" t="n">
        <v>0</v>
      </c>
      <c r="I100" t="n">
        <v>0</v>
      </c>
      <c r="J100" t="n">
        <v>0</v>
      </c>
      <c r="K100" t="n">
        <v>0</v>
      </c>
      <c r="L100" t="n">
        <v>0</v>
      </c>
      <c r="M100" t="n">
        <v>0</v>
      </c>
      <c r="N100" t="n">
        <v>0</v>
      </c>
      <c r="O100" t="n">
        <v>0</v>
      </c>
      <c r="P100" t="n">
        <v>0</v>
      </c>
      <c r="Q100" t="n">
        <v>0</v>
      </c>
      <c r="R100" s="2" t="inlineStr"/>
    </row>
    <row r="101" ht="15" customHeight="1">
      <c r="A101" t="inlineStr">
        <is>
          <t>A 7787-2024</t>
        </is>
      </c>
      <c r="B101" s="1" t="n">
        <v>45348</v>
      </c>
      <c r="C101" s="1" t="n">
        <v>45998</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25450-2024</t>
        </is>
      </c>
      <c r="B102" s="1" t="n">
        <v>45463</v>
      </c>
      <c r="C102" s="1" t="n">
        <v>45998</v>
      </c>
      <c r="D102" t="inlineStr">
        <is>
          <t>VÄSTMANLANDS LÄN</t>
        </is>
      </c>
      <c r="E102" t="inlineStr">
        <is>
          <t>SURAHAMMAR</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32808-2024</t>
        </is>
      </c>
      <c r="B103" s="1" t="n">
        <v>45516</v>
      </c>
      <c r="C103" s="1" t="n">
        <v>45998</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10883-2023</t>
        </is>
      </c>
      <c r="B104" s="1" t="n">
        <v>44991</v>
      </c>
      <c r="C104" s="1" t="n">
        <v>45998</v>
      </c>
      <c r="D104" t="inlineStr">
        <is>
          <t>VÄSTMANLANDS LÄN</t>
        </is>
      </c>
      <c r="E104" t="inlineStr">
        <is>
          <t>SURAHAMMAR</t>
        </is>
      </c>
      <c r="F104" t="inlineStr">
        <is>
          <t>Övriga Aktiebolag</t>
        </is>
      </c>
      <c r="G104" t="n">
        <v>12.5</v>
      </c>
      <c r="H104" t="n">
        <v>0</v>
      </c>
      <c r="I104" t="n">
        <v>0</v>
      </c>
      <c r="J104" t="n">
        <v>0</v>
      </c>
      <c r="K104" t="n">
        <v>0</v>
      </c>
      <c r="L104" t="n">
        <v>0</v>
      </c>
      <c r="M104" t="n">
        <v>0</v>
      </c>
      <c r="N104" t="n">
        <v>0</v>
      </c>
      <c r="O104" t="n">
        <v>0</v>
      </c>
      <c r="P104" t="n">
        <v>0</v>
      </c>
      <c r="Q104" t="n">
        <v>0</v>
      </c>
      <c r="R104" s="2" t="inlineStr"/>
    </row>
    <row r="105" ht="15" customHeight="1">
      <c r="A105" t="inlineStr">
        <is>
          <t>A 24665-2023</t>
        </is>
      </c>
      <c r="B105" s="1" t="n">
        <v>45084.48592592592</v>
      </c>
      <c r="C105" s="1" t="n">
        <v>45998</v>
      </c>
      <c r="D105" t="inlineStr">
        <is>
          <t>VÄSTMANLANDS LÄN</t>
        </is>
      </c>
      <c r="E105" t="inlineStr">
        <is>
          <t>SURAHAMMAR</t>
        </is>
      </c>
      <c r="G105" t="n">
        <v>0.9</v>
      </c>
      <c r="H105" t="n">
        <v>0</v>
      </c>
      <c r="I105" t="n">
        <v>0</v>
      </c>
      <c r="J105" t="n">
        <v>0</v>
      </c>
      <c r="K105" t="n">
        <v>0</v>
      </c>
      <c r="L105" t="n">
        <v>0</v>
      </c>
      <c r="M105" t="n">
        <v>0</v>
      </c>
      <c r="N105" t="n">
        <v>0</v>
      </c>
      <c r="O105" t="n">
        <v>0</v>
      </c>
      <c r="P105" t="n">
        <v>0</v>
      </c>
      <c r="Q105" t="n">
        <v>0</v>
      </c>
      <c r="R105" s="2" t="inlineStr"/>
    </row>
    <row r="106" ht="15" customHeight="1">
      <c r="A106" t="inlineStr">
        <is>
          <t>A 24167-2024</t>
        </is>
      </c>
      <c r="B106" s="1" t="n">
        <v>45456</v>
      </c>
      <c r="C106" s="1" t="n">
        <v>45998</v>
      </c>
      <c r="D106" t="inlineStr">
        <is>
          <t>VÄSTMANLANDS LÄN</t>
        </is>
      </c>
      <c r="E106" t="inlineStr">
        <is>
          <t>SURAHAMMAR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3085-2023</t>
        </is>
      </c>
      <c r="B107" s="1" t="n">
        <v>44946</v>
      </c>
      <c r="C107" s="1" t="n">
        <v>45998</v>
      </c>
      <c r="D107" t="inlineStr">
        <is>
          <t>VÄSTMANLANDS LÄN</t>
        </is>
      </c>
      <c r="E107" t="inlineStr">
        <is>
          <t>SURAHAMMAR</t>
        </is>
      </c>
      <c r="F107" t="inlineStr">
        <is>
          <t>Kyrkan</t>
        </is>
      </c>
      <c r="G107" t="n">
        <v>13</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45998</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45998</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16608-2022</t>
        </is>
      </c>
      <c r="B110" s="1" t="n">
        <v>44672</v>
      </c>
      <c r="C110" s="1" t="n">
        <v>45998</v>
      </c>
      <c r="D110" t="inlineStr">
        <is>
          <t>VÄSTMANLANDS LÄN</t>
        </is>
      </c>
      <c r="E110" t="inlineStr">
        <is>
          <t>SURAHAMMAR</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42714-2022</t>
        </is>
      </c>
      <c r="B111" s="1" t="n">
        <v>44832</v>
      </c>
      <c r="C111" s="1" t="n">
        <v>45998</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37287-2023</t>
        </is>
      </c>
      <c r="B112" s="1" t="n">
        <v>45156</v>
      </c>
      <c r="C112" s="1" t="n">
        <v>45998</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49058-2024</t>
        </is>
      </c>
      <c r="B113" s="1" t="n">
        <v>45594</v>
      </c>
      <c r="C113" s="1" t="n">
        <v>45998</v>
      </c>
      <c r="D113" t="inlineStr">
        <is>
          <t>VÄSTMANLANDS LÄN</t>
        </is>
      </c>
      <c r="E113" t="inlineStr">
        <is>
          <t>SURAHAMMAR</t>
        </is>
      </c>
      <c r="F113" t="inlineStr">
        <is>
          <t>Sveaskog</t>
        </is>
      </c>
      <c r="G113" t="n">
        <v>11.4</v>
      </c>
      <c r="H113" t="n">
        <v>0</v>
      </c>
      <c r="I113" t="n">
        <v>0</v>
      </c>
      <c r="J113" t="n">
        <v>0</v>
      </c>
      <c r="K113" t="n">
        <v>0</v>
      </c>
      <c r="L113" t="n">
        <v>0</v>
      </c>
      <c r="M113" t="n">
        <v>0</v>
      </c>
      <c r="N113" t="n">
        <v>0</v>
      </c>
      <c r="O113" t="n">
        <v>0</v>
      </c>
      <c r="P113" t="n">
        <v>0</v>
      </c>
      <c r="Q113" t="n">
        <v>0</v>
      </c>
      <c r="R113" s="2" t="inlineStr"/>
    </row>
    <row r="114" ht="15" customHeight="1">
      <c r="A114" t="inlineStr">
        <is>
          <t>A 49060-2024</t>
        </is>
      </c>
      <c r="B114" s="1" t="n">
        <v>45594</v>
      </c>
      <c r="C114" s="1" t="n">
        <v>45998</v>
      </c>
      <c r="D114" t="inlineStr">
        <is>
          <t>VÄSTMANLANDS LÄN</t>
        </is>
      </c>
      <c r="E114" t="inlineStr">
        <is>
          <t>SURAHAMMAR</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15743-2023</t>
        </is>
      </c>
      <c r="B115" s="1" t="n">
        <v>45021</v>
      </c>
      <c r="C115" s="1" t="n">
        <v>45998</v>
      </c>
      <c r="D115" t="inlineStr">
        <is>
          <t>VÄSTMANLANDS LÄN</t>
        </is>
      </c>
      <c r="E115" t="inlineStr">
        <is>
          <t>SURAHAMMAR</t>
        </is>
      </c>
      <c r="G115" t="n">
        <v>0.5</v>
      </c>
      <c r="H115" t="n">
        <v>0</v>
      </c>
      <c r="I115" t="n">
        <v>0</v>
      </c>
      <c r="J115" t="n">
        <v>0</v>
      </c>
      <c r="K115" t="n">
        <v>0</v>
      </c>
      <c r="L115" t="n">
        <v>0</v>
      </c>
      <c r="M115" t="n">
        <v>0</v>
      </c>
      <c r="N115" t="n">
        <v>0</v>
      </c>
      <c r="O115" t="n">
        <v>0</v>
      </c>
      <c r="P115" t="n">
        <v>0</v>
      </c>
      <c r="Q115" t="n">
        <v>0</v>
      </c>
      <c r="R115" s="2" t="inlineStr"/>
    </row>
    <row r="116" ht="15" customHeight="1">
      <c r="A116" t="inlineStr">
        <is>
          <t>A 19099-2022</t>
        </is>
      </c>
      <c r="B116" s="1" t="n">
        <v>44691</v>
      </c>
      <c r="C116" s="1" t="n">
        <v>45998</v>
      </c>
      <c r="D116" t="inlineStr">
        <is>
          <t>VÄSTMANLANDS LÄN</t>
        </is>
      </c>
      <c r="E116" t="inlineStr">
        <is>
          <t>SURAHAMMAR</t>
        </is>
      </c>
      <c r="F116" t="inlineStr">
        <is>
          <t>Övriga Aktiebolag</t>
        </is>
      </c>
      <c r="G116" t="n">
        <v>3.4</v>
      </c>
      <c r="H116" t="n">
        <v>0</v>
      </c>
      <c r="I116" t="n">
        <v>0</v>
      </c>
      <c r="J116" t="n">
        <v>0</v>
      </c>
      <c r="K116" t="n">
        <v>0</v>
      </c>
      <c r="L116" t="n">
        <v>0</v>
      </c>
      <c r="M116" t="n">
        <v>0</v>
      </c>
      <c r="N116" t="n">
        <v>0</v>
      </c>
      <c r="O116" t="n">
        <v>0</v>
      </c>
      <c r="P116" t="n">
        <v>0</v>
      </c>
      <c r="Q116" t="n">
        <v>0</v>
      </c>
      <c r="R116" s="2" t="inlineStr"/>
    </row>
    <row r="117" ht="15" customHeight="1">
      <c r="A117" t="inlineStr">
        <is>
          <t>A 25780-2023</t>
        </is>
      </c>
      <c r="B117" s="1" t="n">
        <v>45090.47523148148</v>
      </c>
      <c r="C117" s="1" t="n">
        <v>45998</v>
      </c>
      <c r="D117" t="inlineStr">
        <is>
          <t>VÄSTMANLANDS LÄN</t>
        </is>
      </c>
      <c r="E117" t="inlineStr">
        <is>
          <t>SURAHAMMAR</t>
        </is>
      </c>
      <c r="G117" t="n">
        <v>2.8</v>
      </c>
      <c r="H117" t="n">
        <v>0</v>
      </c>
      <c r="I117" t="n">
        <v>0</v>
      </c>
      <c r="J117" t="n">
        <v>0</v>
      </c>
      <c r="K117" t="n">
        <v>0</v>
      </c>
      <c r="L117" t="n">
        <v>0</v>
      </c>
      <c r="M117" t="n">
        <v>0</v>
      </c>
      <c r="N117" t="n">
        <v>0</v>
      </c>
      <c r="O117" t="n">
        <v>0</v>
      </c>
      <c r="P117" t="n">
        <v>0</v>
      </c>
      <c r="Q117" t="n">
        <v>0</v>
      </c>
      <c r="R117" s="2" t="inlineStr"/>
    </row>
    <row r="118" ht="15" customHeight="1">
      <c r="A118" t="inlineStr">
        <is>
          <t>A 15637-2022</t>
        </is>
      </c>
      <c r="B118" s="1" t="n">
        <v>44662.89638888889</v>
      </c>
      <c r="C118" s="1" t="n">
        <v>45998</v>
      </c>
      <c r="D118" t="inlineStr">
        <is>
          <t>VÄSTMANLANDS LÄN</t>
        </is>
      </c>
      <c r="E118" t="inlineStr">
        <is>
          <t>SURAHAMMAR</t>
        </is>
      </c>
      <c r="G118" t="n">
        <v>2.2</v>
      </c>
      <c r="H118" t="n">
        <v>0</v>
      </c>
      <c r="I118" t="n">
        <v>0</v>
      </c>
      <c r="J118" t="n">
        <v>0</v>
      </c>
      <c r="K118" t="n">
        <v>0</v>
      </c>
      <c r="L118" t="n">
        <v>0</v>
      </c>
      <c r="M118" t="n">
        <v>0</v>
      </c>
      <c r="N118" t="n">
        <v>0</v>
      </c>
      <c r="O118" t="n">
        <v>0</v>
      </c>
      <c r="P118" t="n">
        <v>0</v>
      </c>
      <c r="Q118" t="n">
        <v>0</v>
      </c>
      <c r="R118" s="2" t="inlineStr"/>
    </row>
    <row r="119" ht="15" customHeight="1">
      <c r="A119" t="inlineStr">
        <is>
          <t>A 19786-2023</t>
        </is>
      </c>
      <c r="B119" s="1" t="n">
        <v>45050</v>
      </c>
      <c r="C119" s="1" t="n">
        <v>45998</v>
      </c>
      <c r="D119" t="inlineStr">
        <is>
          <t>VÄSTMANLANDS LÄN</t>
        </is>
      </c>
      <c r="E119" t="inlineStr">
        <is>
          <t>SURAHAMMAR</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13386-2025</t>
        </is>
      </c>
      <c r="B120" s="1" t="n">
        <v>45735</v>
      </c>
      <c r="C120" s="1" t="n">
        <v>45998</v>
      </c>
      <c r="D120" t="inlineStr">
        <is>
          <t>VÄSTMANLANDS LÄN</t>
        </is>
      </c>
      <c r="E120" t="inlineStr">
        <is>
          <t>SURAHAMMAR</t>
        </is>
      </c>
      <c r="F120" t="inlineStr">
        <is>
          <t>Bergvik skog väst AB</t>
        </is>
      </c>
      <c r="G120" t="n">
        <v>4</v>
      </c>
      <c r="H120" t="n">
        <v>0</v>
      </c>
      <c r="I120" t="n">
        <v>0</v>
      </c>
      <c r="J120" t="n">
        <v>0</v>
      </c>
      <c r="K120" t="n">
        <v>0</v>
      </c>
      <c r="L120" t="n">
        <v>0</v>
      </c>
      <c r="M120" t="n">
        <v>0</v>
      </c>
      <c r="N120" t="n">
        <v>0</v>
      </c>
      <c r="O120" t="n">
        <v>0</v>
      </c>
      <c r="P120" t="n">
        <v>0</v>
      </c>
      <c r="Q120" t="n">
        <v>0</v>
      </c>
      <c r="R120" s="2" t="inlineStr"/>
    </row>
    <row r="121" ht="15" customHeight="1">
      <c r="A121" t="inlineStr">
        <is>
          <t>A 35682-2022</t>
        </is>
      </c>
      <c r="B121" s="1" t="n">
        <v>44799.60422453703</v>
      </c>
      <c r="C121" s="1" t="n">
        <v>45998</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45998</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2660-2024</t>
        </is>
      </c>
      <c r="B123" s="1" t="n">
        <v>45310</v>
      </c>
      <c r="C123" s="1" t="n">
        <v>45998</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3818-2022</t>
        </is>
      </c>
      <c r="B124" s="1" t="n">
        <v>44587</v>
      </c>
      <c r="C124" s="1" t="n">
        <v>45998</v>
      </c>
      <c r="D124" t="inlineStr">
        <is>
          <t>VÄSTMANLANDS LÄN</t>
        </is>
      </c>
      <c r="E124" t="inlineStr">
        <is>
          <t>SURAHAMMAR</t>
        </is>
      </c>
      <c r="G124" t="n">
        <v>2.6</v>
      </c>
      <c r="H124" t="n">
        <v>0</v>
      </c>
      <c r="I124" t="n">
        <v>0</v>
      </c>
      <c r="J124" t="n">
        <v>0</v>
      </c>
      <c r="K124" t="n">
        <v>0</v>
      </c>
      <c r="L124" t="n">
        <v>0</v>
      </c>
      <c r="M124" t="n">
        <v>0</v>
      </c>
      <c r="N124" t="n">
        <v>0</v>
      </c>
      <c r="O124" t="n">
        <v>0</v>
      </c>
      <c r="P124" t="n">
        <v>0</v>
      </c>
      <c r="Q124" t="n">
        <v>0</v>
      </c>
      <c r="R124" s="2" t="inlineStr"/>
    </row>
    <row r="125" ht="15" customHeight="1">
      <c r="A125" t="inlineStr">
        <is>
          <t>A 37013-2025</t>
        </is>
      </c>
      <c r="B125" s="1" t="n">
        <v>45874</v>
      </c>
      <c r="C125" s="1" t="n">
        <v>45998</v>
      </c>
      <c r="D125" t="inlineStr">
        <is>
          <t>VÄSTMANLANDS LÄN</t>
        </is>
      </c>
      <c r="E125" t="inlineStr">
        <is>
          <t>SURAHAMMAR</t>
        </is>
      </c>
      <c r="F125" t="inlineStr">
        <is>
          <t>Bergvik skog väst AB</t>
        </is>
      </c>
      <c r="G125" t="n">
        <v>10.7</v>
      </c>
      <c r="H125" t="n">
        <v>0</v>
      </c>
      <c r="I125" t="n">
        <v>0</v>
      </c>
      <c r="J125" t="n">
        <v>0</v>
      </c>
      <c r="K125" t="n">
        <v>0</v>
      </c>
      <c r="L125" t="n">
        <v>0</v>
      </c>
      <c r="M125" t="n">
        <v>0</v>
      </c>
      <c r="N125" t="n">
        <v>0</v>
      </c>
      <c r="O125" t="n">
        <v>0</v>
      </c>
      <c r="P125" t="n">
        <v>0</v>
      </c>
      <c r="Q125" t="n">
        <v>0</v>
      </c>
      <c r="R125" s="2" t="inlineStr"/>
    </row>
    <row r="126" ht="15" customHeight="1">
      <c r="A126" t="inlineStr">
        <is>
          <t>A 15739-2023</t>
        </is>
      </c>
      <c r="B126" s="1" t="n">
        <v>45021</v>
      </c>
      <c r="C126" s="1" t="n">
        <v>45998</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37954-2025</t>
        </is>
      </c>
      <c r="B127" s="1" t="n">
        <v>45881</v>
      </c>
      <c r="C127" s="1" t="n">
        <v>45998</v>
      </c>
      <c r="D127" t="inlineStr">
        <is>
          <t>VÄSTMANLANDS LÄN</t>
        </is>
      </c>
      <c r="E127" t="inlineStr">
        <is>
          <t>SURAHAMMAR</t>
        </is>
      </c>
      <c r="G127" t="n">
        <v>9.5</v>
      </c>
      <c r="H127" t="n">
        <v>0</v>
      </c>
      <c r="I127" t="n">
        <v>0</v>
      </c>
      <c r="J127" t="n">
        <v>0</v>
      </c>
      <c r="K127" t="n">
        <v>0</v>
      </c>
      <c r="L127" t="n">
        <v>0</v>
      </c>
      <c r="M127" t="n">
        <v>0</v>
      </c>
      <c r="N127" t="n">
        <v>0</v>
      </c>
      <c r="O127" t="n">
        <v>0</v>
      </c>
      <c r="P127" t="n">
        <v>0</v>
      </c>
      <c r="Q127" t="n">
        <v>0</v>
      </c>
      <c r="R127" s="2" t="inlineStr"/>
    </row>
    <row r="128" ht="15" customHeight="1">
      <c r="A128" t="inlineStr">
        <is>
          <t>A 34582-2025</t>
        </is>
      </c>
      <c r="B128" s="1" t="n">
        <v>45846</v>
      </c>
      <c r="C128" s="1" t="n">
        <v>45998</v>
      </c>
      <c r="D128" t="inlineStr">
        <is>
          <t>VÄSTMANLANDS LÄN</t>
        </is>
      </c>
      <c r="E128" t="inlineStr">
        <is>
          <t>SURAHAMMAR</t>
        </is>
      </c>
      <c r="F128" t="inlineStr">
        <is>
          <t>Bergvik skog väst AB</t>
        </is>
      </c>
      <c r="G128" t="n">
        <v>2.6</v>
      </c>
      <c r="H128" t="n">
        <v>0</v>
      </c>
      <c r="I128" t="n">
        <v>0</v>
      </c>
      <c r="J128" t="n">
        <v>0</v>
      </c>
      <c r="K128" t="n">
        <v>0</v>
      </c>
      <c r="L128" t="n">
        <v>0</v>
      </c>
      <c r="M128" t="n">
        <v>0</v>
      </c>
      <c r="N128" t="n">
        <v>0</v>
      </c>
      <c r="O128" t="n">
        <v>0</v>
      </c>
      <c r="P128" t="n">
        <v>0</v>
      </c>
      <c r="Q128" t="n">
        <v>0</v>
      </c>
      <c r="R128" s="2" t="inlineStr"/>
    </row>
    <row r="129" ht="15" customHeight="1">
      <c r="A129" t="inlineStr">
        <is>
          <t>A 55868-2025</t>
        </is>
      </c>
      <c r="B129" s="1" t="n">
        <v>45973.35263888889</v>
      </c>
      <c r="C129" s="1" t="n">
        <v>45998</v>
      </c>
      <c r="D129" t="inlineStr">
        <is>
          <t>VÄSTMANLANDS LÄN</t>
        </is>
      </c>
      <c r="E129" t="inlineStr">
        <is>
          <t>SURAHAMMAR</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45998</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55874-2025</t>
        </is>
      </c>
      <c r="B131" s="1" t="n">
        <v>45973.3569212963</v>
      </c>
      <c r="C131" s="1" t="n">
        <v>45998</v>
      </c>
      <c r="D131" t="inlineStr">
        <is>
          <t>VÄSTMANLANDS LÄN</t>
        </is>
      </c>
      <c r="E131" t="inlineStr">
        <is>
          <t>SURAHAMMAR</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55871-2025</t>
        </is>
      </c>
      <c r="B132" s="1" t="n">
        <v>45973.35452546296</v>
      </c>
      <c r="C132" s="1" t="n">
        <v>45998</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42088-2025</t>
        </is>
      </c>
      <c r="B133" s="1" t="n">
        <v>45902</v>
      </c>
      <c r="C133" s="1" t="n">
        <v>45998</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44405.42373842592</v>
      </c>
      <c r="C134" s="1" t="n">
        <v>45998</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43255-2025</t>
        </is>
      </c>
      <c r="B135" s="1" t="n">
        <v>45910.55325231481</v>
      </c>
      <c r="C135" s="1" t="n">
        <v>45998</v>
      </c>
      <c r="D135" t="inlineStr">
        <is>
          <t>VÄSTMANLANDS LÄN</t>
        </is>
      </c>
      <c r="E135" t="inlineStr">
        <is>
          <t>SURAHAMMAR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31107-2025</t>
        </is>
      </c>
      <c r="B136" s="1" t="n">
        <v>45831</v>
      </c>
      <c r="C136" s="1" t="n">
        <v>45998</v>
      </c>
      <c r="D136" t="inlineStr">
        <is>
          <t>VÄSTMANLANDS LÄN</t>
        </is>
      </c>
      <c r="E136" t="inlineStr">
        <is>
          <t>SURAHAMMAR</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43249-2025</t>
        </is>
      </c>
      <c r="B137" s="1" t="n">
        <v>45910.55059027778</v>
      </c>
      <c r="C137" s="1" t="n">
        <v>45998</v>
      </c>
      <c r="D137" t="inlineStr">
        <is>
          <t>VÄSTMANLANDS LÄN</t>
        </is>
      </c>
      <c r="E137" t="inlineStr">
        <is>
          <t>SURAHAMMAR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56543-2025</t>
        </is>
      </c>
      <c r="B138" s="1" t="n">
        <v>45975</v>
      </c>
      <c r="C138" s="1" t="n">
        <v>45998</v>
      </c>
      <c r="D138" t="inlineStr">
        <is>
          <t>VÄSTMANLANDS LÄN</t>
        </is>
      </c>
      <c r="E138" t="inlineStr">
        <is>
          <t>SURAHAMMAR</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59399-2025</t>
        </is>
      </c>
      <c r="B139" s="1" t="n">
        <v>45989</v>
      </c>
      <c r="C139" s="1" t="n">
        <v>45998</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56541-2025</t>
        </is>
      </c>
      <c r="B140" s="1" t="n">
        <v>45975</v>
      </c>
      <c r="C140" s="1" t="n">
        <v>45998</v>
      </c>
      <c r="D140" t="inlineStr">
        <is>
          <t>VÄSTMANLANDS LÄN</t>
        </is>
      </c>
      <c r="E140" t="inlineStr">
        <is>
          <t>SURAHAMMAR</t>
        </is>
      </c>
      <c r="F140" t="inlineStr">
        <is>
          <t>Sveaskog</t>
        </is>
      </c>
      <c r="G140" t="n">
        <v>7.6</v>
      </c>
      <c r="H140" t="n">
        <v>0</v>
      </c>
      <c r="I140" t="n">
        <v>0</v>
      </c>
      <c r="J140" t="n">
        <v>0</v>
      </c>
      <c r="K140" t="n">
        <v>0</v>
      </c>
      <c r="L140" t="n">
        <v>0</v>
      </c>
      <c r="M140" t="n">
        <v>0</v>
      </c>
      <c r="N140" t="n">
        <v>0</v>
      </c>
      <c r="O140" t="n">
        <v>0</v>
      </c>
      <c r="P140" t="n">
        <v>0</v>
      </c>
      <c r="Q140" t="n">
        <v>0</v>
      </c>
      <c r="R140" s="2" t="inlineStr"/>
    </row>
    <row r="141" ht="15" customHeight="1">
      <c r="A141" t="inlineStr">
        <is>
          <t>A 13119-2022</t>
        </is>
      </c>
      <c r="B141" s="1" t="n">
        <v>44643</v>
      </c>
      <c r="C141" s="1" t="n">
        <v>45998</v>
      </c>
      <c r="D141" t="inlineStr">
        <is>
          <t>VÄSTMANLANDS LÄN</t>
        </is>
      </c>
      <c r="E141" t="inlineStr">
        <is>
          <t>SURAHAMMAR</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19782-2023</t>
        </is>
      </c>
      <c r="B142" s="1" t="n">
        <v>45050</v>
      </c>
      <c r="C142" s="1" t="n">
        <v>45998</v>
      </c>
      <c r="D142" t="inlineStr">
        <is>
          <t>VÄSTMANLANDS LÄN</t>
        </is>
      </c>
      <c r="E142" t="inlineStr">
        <is>
          <t>SURAHAMMAR</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34584-2025</t>
        </is>
      </c>
      <c r="B143" s="1" t="n">
        <v>45846</v>
      </c>
      <c r="C143" s="1" t="n">
        <v>45998</v>
      </c>
      <c r="D143" t="inlineStr">
        <is>
          <t>VÄSTMANLANDS LÄN</t>
        </is>
      </c>
      <c r="E143" t="inlineStr">
        <is>
          <t>SURAHAMMAR</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14626-2023</t>
        </is>
      </c>
      <c r="B144" s="1" t="n">
        <v>45012</v>
      </c>
      <c r="C144" s="1" t="n">
        <v>45998</v>
      </c>
      <c r="D144" t="inlineStr">
        <is>
          <t>VÄSTMANLANDS LÄN</t>
        </is>
      </c>
      <c r="E144" t="inlineStr">
        <is>
          <t>SURAHAMMAR</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8553-2023</t>
        </is>
      </c>
      <c r="B145" s="1" t="n">
        <v>44977</v>
      </c>
      <c r="C145" s="1" t="n">
        <v>45998</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32910-2025</t>
        </is>
      </c>
      <c r="B146" s="1" t="n">
        <v>45839</v>
      </c>
      <c r="C146" s="1" t="n">
        <v>45998</v>
      </c>
      <c r="D146" t="inlineStr">
        <is>
          <t>VÄSTMANLANDS LÄN</t>
        </is>
      </c>
      <c r="E146" t="inlineStr">
        <is>
          <t>SURAHAMMAR</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32916-2025</t>
        </is>
      </c>
      <c r="B147" s="1" t="n">
        <v>45839</v>
      </c>
      <c r="C147" s="1" t="n">
        <v>45998</v>
      </c>
      <c r="D147" t="inlineStr">
        <is>
          <t>VÄSTMANLANDS LÄN</t>
        </is>
      </c>
      <c r="E147" t="inlineStr">
        <is>
          <t>SURAHAMMAR</t>
        </is>
      </c>
      <c r="F147" t="inlineStr">
        <is>
          <t>Kommuner</t>
        </is>
      </c>
      <c r="G147" t="n">
        <v>4.9</v>
      </c>
      <c r="H147" t="n">
        <v>0</v>
      </c>
      <c r="I147" t="n">
        <v>0</v>
      </c>
      <c r="J147" t="n">
        <v>0</v>
      </c>
      <c r="K147" t="n">
        <v>0</v>
      </c>
      <c r="L147" t="n">
        <v>0</v>
      </c>
      <c r="M147" t="n">
        <v>0</v>
      </c>
      <c r="N147" t="n">
        <v>0</v>
      </c>
      <c r="O147" t="n">
        <v>0</v>
      </c>
      <c r="P147" t="n">
        <v>0</v>
      </c>
      <c r="Q147" t="n">
        <v>0</v>
      </c>
      <c r="R147" s="2" t="inlineStr"/>
    </row>
    <row r="148" ht="15" customHeight="1">
      <c r="A148" t="inlineStr">
        <is>
          <t>A 56378-2023</t>
        </is>
      </c>
      <c r="B148" s="1" t="n">
        <v>45236</v>
      </c>
      <c r="C148" s="1" t="n">
        <v>45998</v>
      </c>
      <c r="D148" t="inlineStr">
        <is>
          <t>VÄSTMANLANDS LÄN</t>
        </is>
      </c>
      <c r="E148" t="inlineStr">
        <is>
          <t>SURAHAMMAR</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11728-2023</t>
        </is>
      </c>
      <c r="B149" s="1" t="n">
        <v>44993</v>
      </c>
      <c r="C149" s="1" t="n">
        <v>45998</v>
      </c>
      <c r="D149" t="inlineStr">
        <is>
          <t>VÄSTMANLANDS LÄN</t>
        </is>
      </c>
      <c r="E149" t="inlineStr">
        <is>
          <t>SURAHAMMAR</t>
        </is>
      </c>
      <c r="F149" t="inlineStr">
        <is>
          <t>Bergvik skog väst AB</t>
        </is>
      </c>
      <c r="G149" t="n">
        <v>0.4</v>
      </c>
      <c r="H149" t="n">
        <v>0</v>
      </c>
      <c r="I149" t="n">
        <v>0</v>
      </c>
      <c r="J149" t="n">
        <v>0</v>
      </c>
      <c r="K149" t="n">
        <v>0</v>
      </c>
      <c r="L149" t="n">
        <v>0</v>
      </c>
      <c r="M149" t="n">
        <v>0</v>
      </c>
      <c r="N149" t="n">
        <v>0</v>
      </c>
      <c r="O149" t="n">
        <v>0</v>
      </c>
      <c r="P149" t="n">
        <v>0</v>
      </c>
      <c r="Q149" t="n">
        <v>0</v>
      </c>
      <c r="R149" s="2" t="inlineStr"/>
    </row>
    <row r="150" ht="15" customHeight="1">
      <c r="A150" t="inlineStr">
        <is>
          <t>A 11501-2023</t>
        </is>
      </c>
      <c r="B150" s="1" t="n">
        <v>44991</v>
      </c>
      <c r="C150" s="1" t="n">
        <v>45998</v>
      </c>
      <c r="D150" t="inlineStr">
        <is>
          <t>VÄSTMANLANDS LÄN</t>
        </is>
      </c>
      <c r="E150" t="inlineStr">
        <is>
          <t>SURAHAMMAR</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16013-2023</t>
        </is>
      </c>
      <c r="B151" s="1" t="n">
        <v>45026</v>
      </c>
      <c r="C151" s="1" t="n">
        <v>45998</v>
      </c>
      <c r="D151" t="inlineStr">
        <is>
          <t>VÄSTMANLANDS LÄN</t>
        </is>
      </c>
      <c r="E151" t="inlineStr">
        <is>
          <t>SURAHAMMAR</t>
        </is>
      </c>
      <c r="G151" t="n">
        <v>3.9</v>
      </c>
      <c r="H151" t="n">
        <v>0</v>
      </c>
      <c r="I151" t="n">
        <v>0</v>
      </c>
      <c r="J151" t="n">
        <v>0</v>
      </c>
      <c r="K151" t="n">
        <v>0</v>
      </c>
      <c r="L151" t="n">
        <v>0</v>
      </c>
      <c r="M151" t="n">
        <v>0</v>
      </c>
      <c r="N151" t="n">
        <v>0</v>
      </c>
      <c r="O151" t="n">
        <v>0</v>
      </c>
      <c r="P151" t="n">
        <v>0</v>
      </c>
      <c r="Q151" t="n">
        <v>0</v>
      </c>
      <c r="R151" s="2" t="inlineStr"/>
    </row>
    <row r="152" ht="15" customHeight="1">
      <c r="A152" t="inlineStr">
        <is>
          <t>A 20904-2023</t>
        </is>
      </c>
      <c r="B152" s="1" t="n">
        <v>45060</v>
      </c>
      <c r="C152" s="1" t="n">
        <v>45998</v>
      </c>
      <c r="D152" t="inlineStr">
        <is>
          <t>VÄSTMANLANDS LÄN</t>
        </is>
      </c>
      <c r="E152" t="inlineStr">
        <is>
          <t>SURAHAMMAR</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42829-2022</t>
        </is>
      </c>
      <c r="B153" s="1" t="n">
        <v>44832</v>
      </c>
      <c r="C153" s="1" t="n">
        <v>45998</v>
      </c>
      <c r="D153" t="inlineStr">
        <is>
          <t>VÄSTMANLANDS LÄN</t>
        </is>
      </c>
      <c r="E153" t="inlineStr">
        <is>
          <t>SURAHAMMAR</t>
        </is>
      </c>
      <c r="G153" t="n">
        <v>1.6</v>
      </c>
      <c r="H153" t="n">
        <v>0</v>
      </c>
      <c r="I153" t="n">
        <v>0</v>
      </c>
      <c r="J153" t="n">
        <v>0</v>
      </c>
      <c r="K153" t="n">
        <v>0</v>
      </c>
      <c r="L153" t="n">
        <v>0</v>
      </c>
      <c r="M153" t="n">
        <v>0</v>
      </c>
      <c r="N153" t="n">
        <v>0</v>
      </c>
      <c r="O153" t="n">
        <v>0</v>
      </c>
      <c r="P153" t="n">
        <v>0</v>
      </c>
      <c r="Q153" t="n">
        <v>0</v>
      </c>
      <c r="R153" s="2" t="inlineStr"/>
    </row>
    <row r="154" ht="15" customHeight="1">
      <c r="A154" t="inlineStr">
        <is>
          <t>A 34955-2022</t>
        </is>
      </c>
      <c r="B154" s="1" t="n">
        <v>44796</v>
      </c>
      <c r="C154" s="1" t="n">
        <v>45998</v>
      </c>
      <c r="D154" t="inlineStr">
        <is>
          <t>VÄSTMANLANDS LÄN</t>
        </is>
      </c>
      <c r="E154" t="inlineStr">
        <is>
          <t>SURAHAMMAR</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37798-2021</t>
        </is>
      </c>
      <c r="B155" s="1" t="n">
        <v>44402</v>
      </c>
      <c r="C155" s="1" t="n">
        <v>45998</v>
      </c>
      <c r="D155" t="inlineStr">
        <is>
          <t>VÄSTMANLANDS LÄN</t>
        </is>
      </c>
      <c r="E155" t="inlineStr">
        <is>
          <t>SURAHAMMAR</t>
        </is>
      </c>
      <c r="F155" t="inlineStr">
        <is>
          <t>Kommuner</t>
        </is>
      </c>
      <c r="G155" t="n">
        <v>1.2</v>
      </c>
      <c r="H155" t="n">
        <v>0</v>
      </c>
      <c r="I155" t="n">
        <v>0</v>
      </c>
      <c r="J155" t="n">
        <v>0</v>
      </c>
      <c r="K155" t="n">
        <v>0</v>
      </c>
      <c r="L155" t="n">
        <v>0</v>
      </c>
      <c r="M155" t="n">
        <v>0</v>
      </c>
      <c r="N155" t="n">
        <v>0</v>
      </c>
      <c r="O155" t="n">
        <v>0</v>
      </c>
      <c r="P155" t="n">
        <v>0</v>
      </c>
      <c r="Q155" t="n">
        <v>0</v>
      </c>
      <c r="R155" s="2" t="inlineStr"/>
    </row>
    <row r="156">
      <c r="A156" t="inlineStr">
        <is>
          <t>A 48205-2023</t>
        </is>
      </c>
      <c r="B156" s="1" t="n">
        <v>45205</v>
      </c>
      <c r="C156" s="1" t="n">
        <v>45998</v>
      </c>
      <c r="D156" t="inlineStr">
        <is>
          <t>VÄSTMANLANDS LÄN</t>
        </is>
      </c>
      <c r="E156" t="inlineStr">
        <is>
          <t>SURAHAMMAR</t>
        </is>
      </c>
      <c r="F156" t="inlineStr">
        <is>
          <t>Allmännings- och besparingsskogar</t>
        </is>
      </c>
      <c r="G156" t="n">
        <v>7.6</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2025-12-07T10:25:37Z</dcterms:created>
  <dcterms:modified xmlns:dcterms="http://purl.org/dc/terms/" xmlns:xsi="http://www.w3.org/2001/XMLSchema-instance" xsi:type="dcterms:W3CDTF">2025-12-07T10:25:37Z</dcterms:modified>
</cp:coreProperties>
</file>