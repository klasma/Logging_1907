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46300</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249</v>
      </c>
      <c r="U4" t="n">
        <v>113</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46300</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46300</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46300</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46300</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46300</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46300</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46300</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46300</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46300</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46300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46300</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46300</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46300</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46300</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46300</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46300</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46300</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46300</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38172-2024</t>
        </is>
      </c>
      <c r="B28" t="inlineStr">
        <is>
          <t>avverkningsanmälan</t>
        </is>
      </c>
      <c r="C28" t="inlineStr">
        <is>
          <t>Avverkning för att bevara och utveckla /försöksver</t>
        </is>
      </c>
      <c r="D28" s="1" t="n">
        <v>45545</v>
      </c>
      <c r="E28" s="1" t="n">
        <v>46300</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A 56299-2021</t>
        </is>
      </c>
      <c r="B29" t="inlineStr">
        <is>
          <t>avverkningsanmälan</t>
        </is>
      </c>
      <c r="C29" t="inlineStr">
        <is>
          <t>Föryngringsavverkning</t>
        </is>
      </c>
      <c r="D29" s="1" t="n">
        <v>44477</v>
      </c>
      <c r="E29" s="1" t="n">
        <v>46300</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46300</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22840-2023</t>
        </is>
      </c>
      <c r="B31" t="inlineStr">
        <is>
          <t>avverkningsanmälan</t>
        </is>
      </c>
      <c r="C31" t="inlineStr">
        <is>
          <t>Föryngringsavverkning</t>
        </is>
      </c>
      <c r="D31" s="1" t="n">
        <v>45072</v>
      </c>
      <c r="E31" s="1" t="n">
        <v>46300</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36260-2026</t>
        </is>
      </c>
      <c r="B32" t="inlineStr">
        <is>
          <t>avverkningsanmälan</t>
        </is>
      </c>
      <c r="C32" t="inlineStr">
        <is>
          <t>Föryngringsavverkning</t>
        </is>
      </c>
      <c r="D32" s="1" t="n">
        <v>46268</v>
      </c>
      <c r="E32" s="1" t="n">
        <v>46300</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46300</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46300</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46300</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46300</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46300</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46300</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46300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46300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46300</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46300</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63146-2025</t>
        </is>
      </c>
      <c r="B43" t="inlineStr">
        <is>
          <t>avverkningsanmälan</t>
        </is>
      </c>
      <c r="C43" t="inlineStr">
        <is>
          <t>Föryngringsavverkning</t>
        </is>
      </c>
      <c r="D43" s="1" t="n">
        <v>46009</v>
      </c>
      <c r="E43" s="1" t="n">
        <v>46300</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39694-2025</t>
        </is>
      </c>
      <c r="B44" t="inlineStr">
        <is>
          <t>avverkningsanmälan</t>
        </is>
      </c>
      <c r="C44" t="inlineStr">
        <is>
          <t>Föryngringsavverkning</t>
        </is>
      </c>
      <c r="D44" s="1" t="n">
        <v>45890</v>
      </c>
      <c r="E44" s="1" t="n">
        <v>46300</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49718-2023</t>
        </is>
      </c>
      <c r="B45" t="inlineStr">
        <is>
          <t>avverkningsanmälan</t>
        </is>
      </c>
      <c r="C45" t="inlineStr">
        <is>
          <t>Föryngringsavverkning</t>
        </is>
      </c>
      <c r="D45" s="1" t="n">
        <v>45212</v>
      </c>
      <c r="E45" s="1" t="n">
        <v>46300</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42765-2022</t>
        </is>
      </c>
      <c r="B46" t="inlineStr">
        <is>
          <t>avverkningsanmälan</t>
        </is>
      </c>
      <c r="C46" t="inlineStr">
        <is>
          <t>Avverkning för annat ändamål</t>
        </is>
      </c>
      <c r="D46" s="1" t="n">
        <v>44832</v>
      </c>
      <c r="E46" s="1" t="n">
        <v>46300</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69777-2021</t>
        </is>
      </c>
      <c r="B47" t="inlineStr">
        <is>
          <t>avverkningsanmälan</t>
        </is>
      </c>
      <c r="C47" t="inlineStr">
        <is>
          <t>Föryngringsavverkning</t>
        </is>
      </c>
      <c r="D47" s="1" t="n">
        <v>44532</v>
      </c>
      <c r="E47" s="1" t="n">
        <v>46300</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46300</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46300</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46300</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46300</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46300</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46300</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46300</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46300</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46300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63138-2025</t>
        </is>
      </c>
      <c r="B57" t="inlineStr">
        <is>
          <t>avverkningsanmälan</t>
        </is>
      </c>
      <c r="C57" t="inlineStr">
        <is>
          <t>Föryngringsavverkning</t>
        </is>
      </c>
      <c r="D57" s="1" t="n">
        <v>46009</v>
      </c>
      <c r="E57" s="1" t="n">
        <v>46300</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40403-2025</t>
        </is>
      </c>
      <c r="B58" t="inlineStr">
        <is>
          <t>avverkningsanmälan</t>
        </is>
      </c>
      <c r="C58" t="inlineStr">
        <is>
          <t>Föryngringsavverkning</t>
        </is>
      </c>
      <c r="D58" s="1" t="n">
        <v>45895</v>
      </c>
      <c r="E58" s="1" t="n">
        <v>46300</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56362-2023</t>
        </is>
      </c>
      <c r="B59" t="inlineStr">
        <is>
          <t>avverkningsanmälan</t>
        </is>
      </c>
      <c r="C59" t="inlineStr">
        <is>
          <t>Föryngringsavverkning</t>
        </is>
      </c>
      <c r="D59" s="1" t="n">
        <v>45236</v>
      </c>
      <c r="E59" s="1" t="n">
        <v>46300</v>
      </c>
      <c r="F59" t="inlineStr">
        <is>
          <t>VÄSTMANLANDS LÄN</t>
        </is>
      </c>
      <c r="G59" t="inlineStr">
        <is>
          <t>SURAHAMMAR</t>
        </is>
      </c>
      <c r="H59" t="inlineStr">
        <is>
          <t>Bergvik skog väst AB</t>
        </is>
      </c>
      <c r="I59" t="n">
        <v>15.2</v>
      </c>
      <c r="J59" t="n">
        <v>1</v>
      </c>
      <c r="K59" t="n">
        <v>1</v>
      </c>
      <c r="L59" t="n">
        <v>0</v>
      </c>
      <c r="M59" t="n">
        <v>1</v>
      </c>
      <c r="N59" t="n">
        <v>0</v>
      </c>
      <c r="O59" t="n">
        <v>0</v>
      </c>
      <c r="P59" t="n">
        <v>0</v>
      </c>
      <c r="Q59" t="n">
        <v>1</v>
      </c>
      <c r="R59" t="n">
        <v>1</v>
      </c>
      <c r="S59" t="n">
        <v>2</v>
      </c>
      <c r="T59" t="n">
        <v>2</v>
      </c>
      <c r="U59" t="n">
        <v>1</v>
      </c>
      <c r="V59" s="2" t="inlineStr">
        <is>
          <t>Väddnätfjäril
Grönpyrola</t>
        </is>
      </c>
      <c r="W59">
        <f>HYPERLINK("https://klasma.github.io/Logging_1907/artfynd/A 56362-2023 artfynd.xlsx", "A 56362-2023")</f>
        <v/>
      </c>
      <c r="X59">
        <f>HYPERLINK("https://klasma.github.io/Logging_1907/kartor/A 56362-2023 karta.png", "A 56362-2023")</f>
        <v/>
      </c>
      <c r="Y59">
        <f>HYPERLINK("https://klasma.github.io/Logging_1907/kartor_geotiff/A 56362-2023 georefererad karta.tif", "A 56362-2023")</f>
        <v/>
      </c>
      <c r="AA59">
        <f>HYPERLINK("https://klasma.github.io/Logging_1907/klagomål/A 56362-2023 FSC-klagomål.docx", "A 56362-2023")</f>
        <v/>
      </c>
      <c r="AB59">
        <f>HYPERLINK("https://klasma.github.io/Logging_1907/klagomålsmail/A 56362-2023 FSC-klagomål mail.docx", "A 56362-2023")</f>
        <v/>
      </c>
      <c r="AC59">
        <f>HYPERLINK("https://klasma.github.io/Logging_1907/tillsyn/A 56362-2023 tillsynsbegäran.docx", "A 56362-2023")</f>
        <v/>
      </c>
      <c r="AD59">
        <f>HYPERLINK("https://klasma.github.io/Logging_1907/tillsynsmail/A 56362-2023 tillsynsbegäran mail.docx", "A 56362-2023")</f>
        <v/>
      </c>
    </row>
    <row r="60" ht="15" customHeight="1">
      <c r="A60" t="inlineStr">
        <is>
          <t>A 47453-2024</t>
        </is>
      </c>
      <c r="B60" t="inlineStr">
        <is>
          <t>avverkningsanmälan</t>
        </is>
      </c>
      <c r="C60" t="inlineStr">
        <is>
          <t>Föryngringsavverkning</t>
        </is>
      </c>
      <c r="D60" s="1" t="n">
        <v>45587</v>
      </c>
      <c r="E60" s="1" t="n">
        <v>46300</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46300</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46300</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46300</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36261-2026</t>
        </is>
      </c>
      <c r="B64" t="inlineStr">
        <is>
          <t>avverkningsanmälan</t>
        </is>
      </c>
      <c r="C64" t="inlineStr">
        <is>
          <t>Föryngringsavverkning</t>
        </is>
      </c>
      <c r="D64" s="1" t="n">
        <v>46268</v>
      </c>
      <c r="E64" s="1" t="n">
        <v>46300</v>
      </c>
      <c r="F64" t="inlineStr">
        <is>
          <t>VÄSTMANLANDS LÄN</t>
        </is>
      </c>
      <c r="G64" t="inlineStr">
        <is>
          <t>SURAHAMMAR</t>
        </is>
      </c>
      <c r="H64" t="inlineStr">
        <is>
          <t>Sveaskog</t>
        </is>
      </c>
      <c r="I64" t="n">
        <v>7.9</v>
      </c>
      <c r="J64" t="n">
        <v>1</v>
      </c>
      <c r="K64" t="n">
        <v>0</v>
      </c>
      <c r="L64" t="n">
        <v>1</v>
      </c>
      <c r="M64" t="n">
        <v>0</v>
      </c>
      <c r="N64" t="n">
        <v>0</v>
      </c>
      <c r="O64" t="n">
        <v>0</v>
      </c>
      <c r="P64" t="n">
        <v>0</v>
      </c>
      <c r="Q64" t="n">
        <v>1</v>
      </c>
      <c r="R64" t="n">
        <v>0</v>
      </c>
      <c r="S64" t="n">
        <v>2</v>
      </c>
      <c r="T64" t="n">
        <v>2</v>
      </c>
      <c r="U64" t="n">
        <v>0</v>
      </c>
      <c r="V64" s="2" t="inlineStr">
        <is>
          <t>Krusfrö
Revlummer</t>
        </is>
      </c>
      <c r="W64">
        <f>HYPERLINK("https://klasma.github.io/Logging_1907/artfynd/A 36261-2026 artfynd.xlsx", "A 36261-2026")</f>
        <v/>
      </c>
      <c r="X64">
        <f>HYPERLINK("https://klasma.github.io/Logging_1907/kartor/A 36261-2026 karta.png", "A 36261-2026")</f>
        <v/>
      </c>
      <c r="Y64">
        <f>HYPERLINK("https://klasma.github.io/Logging_1907/kartor_geotiff/A 36261-2026 georefererad karta.tif", "A 36261-2026")</f>
        <v/>
      </c>
      <c r="AA64">
        <f>HYPERLINK("https://klasma.github.io/Logging_1907/klagomål/A 36261-2026 FSC-klagomål.docx", "A 36261-2026")</f>
        <v/>
      </c>
      <c r="AB64">
        <f>HYPERLINK("https://klasma.github.io/Logging_1907/klagomålsmail/A 36261-2026 FSC-klagomål mail.docx", "A 36261-2026")</f>
        <v/>
      </c>
      <c r="AC64">
        <f>HYPERLINK("https://klasma.github.io/Logging_1907/tillsyn/A 36261-2026 tillsynsbegäran.docx", "A 36261-2026")</f>
        <v/>
      </c>
      <c r="AD64">
        <f>HYPERLINK("https://klasma.github.io/Logging_1907/tillsynsmail/A 36261-2026 tillsynsbegäran mail.docx", "A 36261-2026")</f>
        <v/>
      </c>
    </row>
    <row r="65" ht="15" customHeight="1">
      <c r="A65" t="inlineStr">
        <is>
          <t>A 11501-2023</t>
        </is>
      </c>
      <c r="B65" t="inlineStr">
        <is>
          <t>avverkningsanmälan</t>
        </is>
      </c>
      <c r="C65" t="inlineStr">
        <is>
          <t>Föryngringsavverkning</t>
        </is>
      </c>
      <c r="D65" s="1" t="n">
        <v>44991</v>
      </c>
      <c r="E65" s="1" t="n">
        <v>46300</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46300</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13971-2023</t>
        </is>
      </c>
      <c r="B67" t="inlineStr">
        <is>
          <t>avverkningsanmälan</t>
        </is>
      </c>
      <c r="C67" t="inlineStr">
        <is>
          <t>Föryngringsavverkning</t>
        </is>
      </c>
      <c r="D67" s="1" t="n">
        <v>45007</v>
      </c>
      <c r="E67" s="1" t="n">
        <v>46300</v>
      </c>
      <c r="F67" t="inlineStr">
        <is>
          <t>VÄSTMANLANDS LÄN</t>
        </is>
      </c>
      <c r="G67" t="inlineStr">
        <is>
          <t>SURAHAMMAR</t>
        </is>
      </c>
      <c r="H67" t="inlineStr">
        <is>
          <t>Bergvik skog väst AB</t>
        </is>
      </c>
      <c r="I67" t="n">
        <v>2.9</v>
      </c>
      <c r="J67" t="n">
        <v>2</v>
      </c>
      <c r="K67" t="n">
        <v>0</v>
      </c>
      <c r="L67" t="n">
        <v>0</v>
      </c>
      <c r="M67" t="n">
        <v>0</v>
      </c>
      <c r="N67" t="n">
        <v>0</v>
      </c>
      <c r="O67" t="n">
        <v>0</v>
      </c>
      <c r="P67" t="n">
        <v>0</v>
      </c>
      <c r="Q67" t="n">
        <v>0</v>
      </c>
      <c r="R67" t="n">
        <v>0</v>
      </c>
      <c r="S67" t="n">
        <v>2</v>
      </c>
      <c r="T67" t="n">
        <v>3</v>
      </c>
      <c r="U67" t="n">
        <v>0</v>
      </c>
      <c r="V67" s="2" t="inlineStr">
        <is>
          <t>Dubbelnycklar
Fläcknycklar</t>
        </is>
      </c>
      <c r="W67">
        <f>HYPERLINK("https://klasma.github.io/Logging_1907/artfynd/A 13971-2023 artfynd.xlsx", "A 13971-2023")</f>
        <v/>
      </c>
      <c r="X67">
        <f>HYPERLINK("https://klasma.github.io/Logging_1907/kartor/A 13971-2023 karta.png", "A 13971-2023")</f>
        <v/>
      </c>
      <c r="Y67">
        <f>HYPERLINK("https://klasma.github.io/Logging_1907/kartor_geotiff/A 13971-2023 georefererad karta.tif", "A 13971-2023")</f>
        <v/>
      </c>
      <c r="AA67">
        <f>HYPERLINK("https://klasma.github.io/Logging_1907/klagomål/A 13971-2023 FSC-klagomål.docx", "A 13971-2023")</f>
        <v/>
      </c>
      <c r="AB67">
        <f>HYPERLINK("https://klasma.github.io/Logging_1907/klagomålsmail/A 13971-2023 FSC-klagomål mail.docx", "A 13971-2023")</f>
        <v/>
      </c>
      <c r="AC67">
        <f>HYPERLINK("https://klasma.github.io/Logging_1907/tillsyn/A 13971-2023 tillsynsbegäran.docx", "A 13971-2023")</f>
        <v/>
      </c>
      <c r="AD67">
        <f>HYPERLINK("https://klasma.github.io/Logging_1907/tillsynsmail/A 13971-2023 tillsynsbegäran mail.docx", "A 13971-2023")</f>
        <v/>
      </c>
    </row>
    <row r="68" ht="15" customHeight="1">
      <c r="A68" t="inlineStr">
        <is>
          <t>S 703-2025</t>
        </is>
      </c>
      <c r="B68" t="inlineStr">
        <is>
          <t>samrådsanmälan</t>
        </is>
      </c>
      <c r="C68" t="inlineStr">
        <is>
          <t>Skogsgödsling</t>
        </is>
      </c>
      <c r="D68" s="1" t="n">
        <v>45720</v>
      </c>
      <c r="E68" s="1" t="n">
        <v>46300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46300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46300</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46300</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46300</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34584-2025</t>
        </is>
      </c>
      <c r="B77" t="inlineStr">
        <is>
          <t>avverkningsanmälan</t>
        </is>
      </c>
      <c r="C77" t="inlineStr">
        <is>
          <t>Föryngringsavverkning</t>
        </is>
      </c>
      <c r="D77" s="1" t="n">
        <v>45846</v>
      </c>
      <c r="E77" s="1" t="n">
        <v>46300</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17632-2022</t>
        </is>
      </c>
      <c r="B78" t="inlineStr">
        <is>
          <t>avverkningsanmälan</t>
        </is>
      </c>
      <c r="C78" t="inlineStr">
        <is>
          <t>Föryngringsavverkning</t>
        </is>
      </c>
      <c r="D78" s="1" t="n">
        <v>44680</v>
      </c>
      <c r="E78" s="1" t="n">
        <v>46300</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46300</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46300</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46300</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46300</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31589-2026</t>
        </is>
      </c>
      <c r="B83" t="inlineStr">
        <is>
          <t>avverkningsanmälan</t>
        </is>
      </c>
      <c r="C83" t="inlineStr">
        <is>
          <t>Föryngringsavverkning</t>
        </is>
      </c>
      <c r="D83" s="1" t="n">
        <v>46224</v>
      </c>
      <c r="E83" s="1" t="n">
        <v>46300</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24167-2024</t>
        </is>
      </c>
      <c r="B84" t="inlineStr">
        <is>
          <t>avverkningsanmälan</t>
        </is>
      </c>
      <c r="C84" t="inlineStr">
        <is>
          <t>Avverkning för annat ändamål</t>
        </is>
      </c>
      <c r="D84" s="1" t="n">
        <v>45456</v>
      </c>
      <c r="E84" s="1" t="n">
        <v>46300</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16013-2023</t>
        </is>
      </c>
      <c r="B85" t="inlineStr">
        <is>
          <t>avverkningsanmälan</t>
        </is>
      </c>
      <c r="C85" t="inlineStr">
        <is>
          <t>Föryngringsavverkning</t>
        </is>
      </c>
      <c r="D85" s="1" t="n">
        <v>45026</v>
      </c>
      <c r="E85" s="1" t="n">
        <v>46300</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46300</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46300</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46300</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46300</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46300</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46300</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46300</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46300</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46300</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15637-2022</t>
        </is>
      </c>
      <c r="B95" t="inlineStr">
        <is>
          <t>avverkningsanmälan</t>
        </is>
      </c>
      <c r="C95" t="inlineStr">
        <is>
          <t>Föryngringsavverkning</t>
        </is>
      </c>
      <c r="D95" s="1" t="n">
        <v>44662</v>
      </c>
      <c r="E95" s="1" t="n">
        <v>46300</v>
      </c>
      <c r="F95" t="inlineStr">
        <is>
          <t>VÄSTMANLANDS LÄN</t>
        </is>
      </c>
      <c r="G95" t="inlineStr">
        <is>
          <t>SURAHAMMAR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46300</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46300</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46300</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46300</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15739-2023</t>
        </is>
      </c>
      <c r="B100" t="inlineStr">
        <is>
          <t>avverkningsanmälan</t>
        </is>
      </c>
      <c r="C100" t="inlineStr">
        <is>
          <t>Föryngringsavverkning</t>
        </is>
      </c>
      <c r="D100" s="1" t="n">
        <v>45021</v>
      </c>
      <c r="E100" s="1" t="n">
        <v>46300</v>
      </c>
      <c r="F100" t="inlineStr">
        <is>
          <t>VÄSTMANLANDS LÄN</t>
        </is>
      </c>
      <c r="G100" t="inlineStr">
        <is>
          <t>SURAHAMMAR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46300</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46300</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10244-2026</t>
        </is>
      </c>
      <c r="B103" t="inlineStr">
        <is>
          <t>avverkningsanmälan</t>
        </is>
      </c>
      <c r="C103" t="inlineStr">
        <is>
          <t>Föryngringsavverkning</t>
        </is>
      </c>
      <c r="D103" s="1" t="n">
        <v>46076</v>
      </c>
      <c r="E103" s="1" t="n">
        <v>46300</v>
      </c>
      <c r="F103" t="inlineStr">
        <is>
          <t>VÄSTMANLANDS LÄN</t>
        </is>
      </c>
      <c r="G103" t="inlineStr">
        <is>
          <t>SURAHAMMAR</t>
        </is>
      </c>
      <c r="H103" t="inlineStr">
        <is>
          <t>Allmännings- och besparingsskogar</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46300</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46300</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46300</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46300</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46300</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46300</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46300</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46300</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46300</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19246-2026</t>
        </is>
      </c>
      <c r="B113" t="inlineStr">
        <is>
          <t>avverkningsanmälan</t>
        </is>
      </c>
      <c r="C113" t="inlineStr">
        <is>
          <t>Avverkning för annat ändamål</t>
        </is>
      </c>
      <c r="D113" s="1" t="n">
        <v>46132</v>
      </c>
      <c r="E113" s="1" t="n">
        <v>46300</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46300</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46300</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46300</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46300</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42841-2022</t>
        </is>
      </c>
      <c r="B118" t="inlineStr">
        <is>
          <t>avverkningsanmälan</t>
        </is>
      </c>
      <c r="C118" t="inlineStr">
        <is>
          <t>Avverkning för annat ändamål</t>
        </is>
      </c>
      <c r="D118" s="1" t="n">
        <v>44832</v>
      </c>
      <c r="E118" s="1" t="n">
        <v>46300</v>
      </c>
      <c r="F118" t="inlineStr">
        <is>
          <t>VÄSTMANLANDS LÄN</t>
        </is>
      </c>
      <c r="G118" t="inlineStr">
        <is>
          <t>SURAHAMMAR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42829-2022</t>
        </is>
      </c>
      <c r="B119" t="inlineStr">
        <is>
          <t>avverkningsanmälan</t>
        </is>
      </c>
      <c r="C119" t="inlineStr">
        <is>
          <t>Avverkning för annat ändamål</t>
        </is>
      </c>
      <c r="D119" s="1" t="n">
        <v>44832</v>
      </c>
      <c r="E119" s="1" t="n">
        <v>46300</v>
      </c>
      <c r="F119" t="inlineStr">
        <is>
          <t>VÄSTMANLANDS LÄN</t>
        </is>
      </c>
      <c r="G119" t="inlineStr">
        <is>
          <t>SURAHAMMAR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2867-2024</t>
        </is>
      </c>
      <c r="B120" t="inlineStr">
        <is>
          <t>avverkningsanmälan</t>
        </is>
      </c>
      <c r="C120" t="inlineStr">
        <is>
          <t>Föryngringsavverkning</t>
        </is>
      </c>
      <c r="D120" s="1" t="n">
        <v>45315</v>
      </c>
      <c r="E120" s="1" t="n">
        <v>46300</v>
      </c>
      <c r="F120" t="inlineStr">
        <is>
          <t>VÄSTMANLANDS LÄN</t>
        </is>
      </c>
      <c r="G120" t="inlineStr">
        <is>
          <t>SURAHAMMAR</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3085-2023</t>
        </is>
      </c>
      <c r="B121" t="inlineStr">
        <is>
          <t>avverkningsanmälan</t>
        </is>
      </c>
      <c r="C121" t="inlineStr">
        <is>
          <t>Föryngringsavverkning</t>
        </is>
      </c>
      <c r="D121" s="1" t="n">
        <v>44946</v>
      </c>
      <c r="E121" s="1" t="n">
        <v>46300</v>
      </c>
      <c r="F121" t="inlineStr">
        <is>
          <t>VÄSTMANLANDS LÄN</t>
        </is>
      </c>
      <c r="G121" t="inlineStr">
        <is>
          <t>SURAHAMMAR</t>
        </is>
      </c>
      <c r="H121" t="inlineStr">
        <is>
          <t>Kyrkan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46300</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46300</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20904-2023</t>
        </is>
      </c>
      <c r="B124" t="inlineStr">
        <is>
          <t>avverkningsanmälan</t>
        </is>
      </c>
      <c r="C124" t="inlineStr">
        <is>
          <t>Avverkning för att bevara och utveckla /försöksver</t>
        </is>
      </c>
      <c r="D124" s="1" t="n">
        <v>45060</v>
      </c>
      <c r="E124" s="1" t="n">
        <v>46300</v>
      </c>
      <c r="F124" t="inlineStr">
        <is>
          <t>VÄSTMANLANDS LÄN</t>
        </is>
      </c>
      <c r="G124" t="inlineStr">
        <is>
          <t>SURAHAMMAR</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2660-2024</t>
        </is>
      </c>
      <c r="B125" t="inlineStr">
        <is>
          <t>avverkningsanmälan</t>
        </is>
      </c>
      <c r="C125" t="inlineStr">
        <is>
          <t>Föryngringsavverkning</t>
        </is>
      </c>
      <c r="D125" s="1" t="n">
        <v>45310</v>
      </c>
      <c r="E125" s="1" t="n">
        <v>46300</v>
      </c>
      <c r="F125" t="inlineStr">
        <is>
          <t>VÄSTMANLANDS LÄN</t>
        </is>
      </c>
      <c r="G125" t="inlineStr">
        <is>
          <t>SURAHAMMAR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46300</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46300</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46300</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46300</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46300</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19782-2023</t>
        </is>
      </c>
      <c r="B131" t="inlineStr">
        <is>
          <t>avverkningsanmälan</t>
        </is>
      </c>
      <c r="C131" t="inlineStr">
        <is>
          <t>Föryngringsavverkning</t>
        </is>
      </c>
      <c r="D131" s="1" t="n">
        <v>45050</v>
      </c>
      <c r="E131" s="1" t="n">
        <v>46300</v>
      </c>
      <c r="F131" t="inlineStr">
        <is>
          <t>VÄSTMANLANDS LÄN</t>
        </is>
      </c>
      <c r="G131" t="inlineStr">
        <is>
          <t>SURAHAMMAR</t>
        </is>
      </c>
      <c r="H131" t="inlineStr">
        <is>
          <t>Bergvik skog väst AB</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46300</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56378-2023</t>
        </is>
      </c>
      <c r="B133" t="inlineStr">
        <is>
          <t>avverkningsanmälan</t>
        </is>
      </c>
      <c r="C133" t="inlineStr">
        <is>
          <t>Föryngringsavverkning</t>
        </is>
      </c>
      <c r="D133" s="1" t="n">
        <v>45236</v>
      </c>
      <c r="E133" s="1" t="n">
        <v>46300</v>
      </c>
      <c r="F133" t="inlineStr">
        <is>
          <t>VÄSTMANLANDS LÄN</t>
        </is>
      </c>
      <c r="G133" t="inlineStr">
        <is>
          <t>SURAHAMMAR</t>
        </is>
      </c>
      <c r="H133" t="inlineStr">
        <is>
          <t>Bergvik skog väst AB</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46300</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46300</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46300</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3818-2022</t>
        </is>
      </c>
      <c r="B137" t="inlineStr">
        <is>
          <t>avverkningsanmälan</t>
        </is>
      </c>
      <c r="C137" t="inlineStr">
        <is>
          <t>Föryngringsavverkning</t>
        </is>
      </c>
      <c r="D137" s="1" t="n">
        <v>44587</v>
      </c>
      <c r="E137" s="1" t="n">
        <v>46300</v>
      </c>
      <c r="F137" t="inlineStr">
        <is>
          <t>VÄSTMANLANDS LÄN</t>
        </is>
      </c>
      <c r="G137" t="inlineStr">
        <is>
          <t>SURAHAMMAR</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46300</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37954-2025</t>
        </is>
      </c>
      <c r="B139" t="inlineStr">
        <is>
          <t>avverkningsanmälan</t>
        </is>
      </c>
      <c r="C139" t="inlineStr">
        <is>
          <t>Föryngringsavverkning</t>
        </is>
      </c>
      <c r="D139" s="1" t="n">
        <v>45881</v>
      </c>
      <c r="E139" s="1" t="n">
        <v>46300</v>
      </c>
      <c r="F139" t="inlineStr">
        <is>
          <t>VÄSTMANLANDS LÄN</t>
        </is>
      </c>
      <c r="G139" t="inlineStr">
        <is>
          <t>SURAHAMMAR</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21509-2024</t>
        </is>
      </c>
      <c r="B140" t="inlineStr">
        <is>
          <t>avverkningsanmälan</t>
        </is>
      </c>
      <c r="C140" t="inlineStr">
        <is>
          <t>Föryngringsavverkning</t>
        </is>
      </c>
      <c r="D140" s="1" t="n">
        <v>45441</v>
      </c>
      <c r="E140" s="1" t="n">
        <v>46300</v>
      </c>
      <c r="F140" t="inlineStr">
        <is>
          <t>VÄSTMANLANDS LÄN</t>
        </is>
      </c>
      <c r="G140" t="inlineStr">
        <is>
          <t>SURAHAMMAR</t>
        </is>
      </c>
      <c r="H140" t="inlineStr">
        <is>
          <t>Bergvik skog väst AB</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46300</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46300</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46300</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46300</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46300</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2026-10-05T01:57:15Z</dcterms:created>
  <dcterms:modified xmlns:dcterms="http://purl.org/dc/terms/" xmlns:xsi="http://www.w3.org/2001/XMLSchema-instance" xsi:type="dcterms:W3CDTF">2026-10-05T01:57:15Z</dcterms:modified>
</cp:coreProperties>
</file>