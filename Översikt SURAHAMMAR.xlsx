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45892</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45892</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45892</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45892</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45892</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45892</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45892</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45892</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45892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45892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45892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45892</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45892</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45892</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45892</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45892</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45892</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48891-2023</t>
        </is>
      </c>
      <c r="B21" s="1" t="n">
        <v>45203</v>
      </c>
      <c r="C21" s="1" t="n">
        <v>45892</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25548-2024</t>
        </is>
      </c>
      <c r="B22" s="1" t="n">
        <v>45463</v>
      </c>
      <c r="C22" s="1" t="n">
        <v>45892</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45892</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45892</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59550-2020</t>
        </is>
      </c>
      <c r="B25" s="1" t="n">
        <v>44148</v>
      </c>
      <c r="C25" s="1" t="n">
        <v>45892</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8552-2022</t>
        </is>
      </c>
      <c r="B26" s="1" t="n">
        <v>44613</v>
      </c>
      <c r="C26" s="1" t="n">
        <v>45892</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48128-2023</t>
        </is>
      </c>
      <c r="B27" s="1" t="n">
        <v>45205</v>
      </c>
      <c r="C27" s="1" t="n">
        <v>45892</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42860-2022</t>
        </is>
      </c>
      <c r="B28" s="1" t="n">
        <v>44832</v>
      </c>
      <c r="C28" s="1" t="n">
        <v>45892</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45892</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42708-2022</t>
        </is>
      </c>
      <c r="B30" s="1" t="n">
        <v>44832</v>
      </c>
      <c r="C30" s="1" t="n">
        <v>45892</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42853-2022</t>
        </is>
      </c>
      <c r="B31" s="1" t="n">
        <v>44832</v>
      </c>
      <c r="C31" s="1" t="n">
        <v>45892</v>
      </c>
      <c r="D31" t="inlineStr">
        <is>
          <t>VÄSTMANLANDS LÄN</t>
        </is>
      </c>
      <c r="E31" t="inlineStr">
        <is>
          <t>SURAHAMMAR</t>
        </is>
      </c>
      <c r="G31" t="n">
        <v>7.4</v>
      </c>
      <c r="H31" t="n">
        <v>1</v>
      </c>
      <c r="I31" t="n">
        <v>1</v>
      </c>
      <c r="J31" t="n">
        <v>1</v>
      </c>
      <c r="K31" t="n">
        <v>0</v>
      </c>
      <c r="L31" t="n">
        <v>1</v>
      </c>
      <c r="M31" t="n">
        <v>0</v>
      </c>
      <c r="N31" t="n">
        <v>0</v>
      </c>
      <c r="O31" t="n">
        <v>2</v>
      </c>
      <c r="P31" t="n">
        <v>1</v>
      </c>
      <c r="Q31" t="n">
        <v>3</v>
      </c>
      <c r="R31" s="2" t="inlineStr">
        <is>
          <t>Ask
Kandelabersvamp
Tvåblad</t>
        </is>
      </c>
      <c r="S31">
        <f>HYPERLINK("https://klasma.github.io/Logging_1907/artfynd/A 42853-2022 artfynd.xlsx", "A 42853-2022")</f>
        <v/>
      </c>
      <c r="T31">
        <f>HYPERLINK("https://klasma.github.io/Logging_1907/kartor/A 42853-2022 karta.png", "A 42853-2022")</f>
        <v/>
      </c>
      <c r="V31">
        <f>HYPERLINK("https://klasma.github.io/Logging_1907/klagomål/A 42853-2022 FSC-klagomål.docx", "A 42853-2022")</f>
        <v/>
      </c>
      <c r="W31">
        <f>HYPERLINK("https://klasma.github.io/Logging_1907/klagomålsmail/A 42853-2022 FSC-klagomål mail.docx", "A 42853-2022")</f>
        <v/>
      </c>
      <c r="X31">
        <f>HYPERLINK("https://klasma.github.io/Logging_1907/tillsyn/A 42853-2022 tillsynsbegäran.docx", "A 42853-2022")</f>
        <v/>
      </c>
      <c r="Y31">
        <f>HYPERLINK("https://klasma.github.io/Logging_1907/tillsynsmail/A 42853-2022 tillsynsbegäran mail.docx", "A 42853-2022")</f>
        <v/>
      </c>
    </row>
    <row r="32" ht="15" customHeight="1">
      <c r="A32" t="inlineStr">
        <is>
          <t>A 38200-2021</t>
        </is>
      </c>
      <c r="B32" s="1" t="n">
        <v>44405</v>
      </c>
      <c r="C32" s="1" t="n">
        <v>45892</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45892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45892</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37801-2021</t>
        </is>
      </c>
      <c r="B35" s="1" t="n">
        <v>44402</v>
      </c>
      <c r="C35" s="1" t="n">
        <v>45892</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45892</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45892</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45892</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45892</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45892</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45892</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45892</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45892</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31176-2024</t>
        </is>
      </c>
      <c r="B44" s="1" t="n">
        <v>45503</v>
      </c>
      <c r="C44" s="1" t="n">
        <v>45892</v>
      </c>
      <c r="D44" t="inlineStr">
        <is>
          <t>VÄSTMANLANDS LÄN</t>
        </is>
      </c>
      <c r="E44" t="inlineStr">
        <is>
          <t>SURAHAMMAR</t>
        </is>
      </c>
      <c r="F44" t="inlineStr">
        <is>
          <t>Allmännings- och besparingsskogar</t>
        </is>
      </c>
      <c r="G44" t="n">
        <v>10.7</v>
      </c>
      <c r="H44" t="n">
        <v>0</v>
      </c>
      <c r="I44" t="n">
        <v>0</v>
      </c>
      <c r="J44" t="n">
        <v>1</v>
      </c>
      <c r="K44" t="n">
        <v>0</v>
      </c>
      <c r="L44" t="n">
        <v>0</v>
      </c>
      <c r="M44" t="n">
        <v>0</v>
      </c>
      <c r="N44" t="n">
        <v>0</v>
      </c>
      <c r="O44" t="n">
        <v>1</v>
      </c>
      <c r="P44" t="n">
        <v>0</v>
      </c>
      <c r="Q44" t="n">
        <v>1</v>
      </c>
      <c r="R44" s="2" t="inlineStr">
        <is>
          <t>Doftskinn</t>
        </is>
      </c>
      <c r="S44">
        <f>HYPERLINK("https://klasma.github.io/Logging_1907/artfynd/A 31176-2024 artfynd.xlsx", "A 31176-2024")</f>
        <v/>
      </c>
      <c r="T44">
        <f>HYPERLINK("https://klasma.github.io/Logging_1907/kartor/A 31176-2024 karta.png", "A 31176-2024")</f>
        <v/>
      </c>
      <c r="V44">
        <f>HYPERLINK("https://klasma.github.io/Logging_1907/klagomål/A 31176-2024 FSC-klagomål.docx", "A 31176-2024")</f>
        <v/>
      </c>
      <c r="W44">
        <f>HYPERLINK("https://klasma.github.io/Logging_1907/klagomålsmail/A 31176-2024 FSC-klagomål mail.docx", "A 31176-2024")</f>
        <v/>
      </c>
      <c r="X44">
        <f>HYPERLINK("https://klasma.github.io/Logging_1907/tillsyn/A 31176-2024 tillsynsbegäran.docx", "A 31176-2024")</f>
        <v/>
      </c>
      <c r="Y44">
        <f>HYPERLINK("https://klasma.github.io/Logging_1907/tillsynsmail/A 31176-2024 tillsynsbegäran mail.docx", "A 31176-2024")</f>
        <v/>
      </c>
    </row>
    <row r="45" ht="15" customHeight="1">
      <c r="A45" t="inlineStr">
        <is>
          <t>A 30074-2023</t>
        </is>
      </c>
      <c r="B45" s="1" t="n">
        <v>45110</v>
      </c>
      <c r="C45" s="1" t="n">
        <v>45892</v>
      </c>
      <c r="D45" t="inlineStr">
        <is>
          <t>VÄSTMANLANDS LÄN</t>
        </is>
      </c>
      <c r="E45" t="inlineStr">
        <is>
          <t>SURAHAMMAR</t>
        </is>
      </c>
      <c r="F45" t="inlineStr">
        <is>
          <t>Sveaskog</t>
        </is>
      </c>
      <c r="G45" t="n">
        <v>1.1</v>
      </c>
      <c r="H45" t="n">
        <v>1</v>
      </c>
      <c r="I45" t="n">
        <v>0</v>
      </c>
      <c r="J45" t="n">
        <v>0</v>
      </c>
      <c r="K45" t="n">
        <v>0</v>
      </c>
      <c r="L45" t="n">
        <v>0</v>
      </c>
      <c r="M45" t="n">
        <v>0</v>
      </c>
      <c r="N45" t="n">
        <v>0</v>
      </c>
      <c r="O45" t="n">
        <v>0</v>
      </c>
      <c r="P45" t="n">
        <v>0</v>
      </c>
      <c r="Q45" t="n">
        <v>1</v>
      </c>
      <c r="R45" s="2" t="inlineStr">
        <is>
          <t>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40411-2021</t>
        </is>
      </c>
      <c r="B46" s="1" t="n">
        <v>44419</v>
      </c>
      <c r="C46" s="1" t="n">
        <v>45892</v>
      </c>
      <c r="D46" t="inlineStr">
        <is>
          <t>VÄSTMANLANDS LÄN</t>
        </is>
      </c>
      <c r="E46" t="inlineStr">
        <is>
          <t>SURAHAMMAR</t>
        </is>
      </c>
      <c r="F46" t="inlineStr">
        <is>
          <t>Sveaskog</t>
        </is>
      </c>
      <c r="G46" t="n">
        <v>2.4</v>
      </c>
      <c r="H46" t="n">
        <v>1</v>
      </c>
      <c r="I46" t="n">
        <v>0</v>
      </c>
      <c r="J46" t="n">
        <v>0</v>
      </c>
      <c r="K46" t="n">
        <v>0</v>
      </c>
      <c r="L46" t="n">
        <v>0</v>
      </c>
      <c r="M46" t="n">
        <v>0</v>
      </c>
      <c r="N46" t="n">
        <v>0</v>
      </c>
      <c r="O46" t="n">
        <v>0</v>
      </c>
      <c r="P46" t="n">
        <v>0</v>
      </c>
      <c r="Q46" t="n">
        <v>1</v>
      </c>
      <c r="R46" s="2" t="inlineStr">
        <is>
          <t>Kopparödla</t>
        </is>
      </c>
      <c r="S46">
        <f>HYPERLINK("https://klasma.github.io/Logging_1907/artfynd/A 40411-2021 artfynd.xlsx", "A 40411-2021")</f>
        <v/>
      </c>
      <c r="T46">
        <f>HYPERLINK("https://klasma.github.io/Logging_1907/kartor/A 40411-2021 karta.png", "A 40411-2021")</f>
        <v/>
      </c>
      <c r="V46">
        <f>HYPERLINK("https://klasma.github.io/Logging_1907/klagomål/A 40411-2021 FSC-klagomål.docx", "A 40411-2021")</f>
        <v/>
      </c>
      <c r="W46">
        <f>HYPERLINK("https://klasma.github.io/Logging_1907/klagomålsmail/A 40411-2021 FSC-klagomål mail.docx", "A 40411-2021")</f>
        <v/>
      </c>
      <c r="X46">
        <f>HYPERLINK("https://klasma.github.io/Logging_1907/tillsyn/A 40411-2021 tillsynsbegäran.docx", "A 40411-2021")</f>
        <v/>
      </c>
      <c r="Y46">
        <f>HYPERLINK("https://klasma.github.io/Logging_1907/tillsynsmail/A 40411-2021 tillsynsbegäran mail.docx", "A 40411-2021")</f>
        <v/>
      </c>
    </row>
    <row r="47" ht="15" customHeight="1">
      <c r="A47" t="inlineStr">
        <is>
          <t>A 43451-2024</t>
        </is>
      </c>
      <c r="B47" s="1" t="n">
        <v>45568</v>
      </c>
      <c r="C47" s="1" t="n">
        <v>45892</v>
      </c>
      <c r="D47" t="inlineStr">
        <is>
          <t>VÄSTMANLANDS LÄN</t>
        </is>
      </c>
      <c r="E47" t="inlineStr">
        <is>
          <t>SURAHAMMAR</t>
        </is>
      </c>
      <c r="F47" t="inlineStr">
        <is>
          <t>Bergvik skog väst AB</t>
        </is>
      </c>
      <c r="G47" t="n">
        <v>2.9</v>
      </c>
      <c r="H47" t="n">
        <v>0</v>
      </c>
      <c r="I47" t="n">
        <v>0</v>
      </c>
      <c r="J47" t="n">
        <v>1</v>
      </c>
      <c r="K47" t="n">
        <v>0</v>
      </c>
      <c r="L47" t="n">
        <v>0</v>
      </c>
      <c r="M47" t="n">
        <v>0</v>
      </c>
      <c r="N47" t="n">
        <v>0</v>
      </c>
      <c r="O47" t="n">
        <v>1</v>
      </c>
      <c r="P47" t="n">
        <v>0</v>
      </c>
      <c r="Q47" t="n">
        <v>1</v>
      </c>
      <c r="R47" s="2" t="inlineStr">
        <is>
          <t>Ullticka</t>
        </is>
      </c>
      <c r="S47">
        <f>HYPERLINK("https://klasma.github.io/Logging_1907/artfynd/A 43451-2024 artfynd.xlsx", "A 43451-2024")</f>
        <v/>
      </c>
      <c r="T47">
        <f>HYPERLINK("https://klasma.github.io/Logging_1907/kartor/A 43451-2024 karta.png", "A 43451-2024")</f>
        <v/>
      </c>
      <c r="V47">
        <f>HYPERLINK("https://klasma.github.io/Logging_1907/klagomål/A 43451-2024 FSC-klagomål.docx", "A 43451-2024")</f>
        <v/>
      </c>
      <c r="W47">
        <f>HYPERLINK("https://klasma.github.io/Logging_1907/klagomålsmail/A 43451-2024 FSC-klagomål mail.docx", "A 43451-2024")</f>
        <v/>
      </c>
      <c r="X47">
        <f>HYPERLINK("https://klasma.github.io/Logging_1907/tillsyn/A 43451-2024 tillsynsbegäran.docx", "A 43451-2024")</f>
        <v/>
      </c>
      <c r="Y47">
        <f>HYPERLINK("https://klasma.github.io/Logging_1907/tillsynsmail/A 43451-2024 tillsynsbegäran mail.docx", "A 43451-2024")</f>
        <v/>
      </c>
    </row>
    <row r="48" ht="15" customHeight="1">
      <c r="A48" t="inlineStr">
        <is>
          <t>A 44356-2024</t>
        </is>
      </c>
      <c r="B48" s="1" t="n">
        <v>45573</v>
      </c>
      <c r="C48" s="1" t="n">
        <v>45892</v>
      </c>
      <c r="D48" t="inlineStr">
        <is>
          <t>VÄSTMANLANDS LÄN</t>
        </is>
      </c>
      <c r="E48" t="inlineStr">
        <is>
          <t>SURAHAMMAR</t>
        </is>
      </c>
      <c r="F48" t="inlineStr">
        <is>
          <t>Sveaskog</t>
        </is>
      </c>
      <c r="G48" t="n">
        <v>0.7</v>
      </c>
      <c r="H48" t="n">
        <v>1</v>
      </c>
      <c r="I48" t="n">
        <v>0</v>
      </c>
      <c r="J48" t="n">
        <v>0</v>
      </c>
      <c r="K48" t="n">
        <v>0</v>
      </c>
      <c r="L48" t="n">
        <v>0</v>
      </c>
      <c r="M48" t="n">
        <v>0</v>
      </c>
      <c r="N48" t="n">
        <v>0</v>
      </c>
      <c r="O48" t="n">
        <v>0</v>
      </c>
      <c r="P48" t="n">
        <v>0</v>
      </c>
      <c r="Q48" t="n">
        <v>1</v>
      </c>
      <c r="R48" s="2" t="inlineStr">
        <is>
          <t>Revlummer</t>
        </is>
      </c>
      <c r="S48">
        <f>HYPERLINK("https://klasma.github.io/Logging_1907/artfynd/A 44356-2024 artfynd.xlsx", "A 44356-2024")</f>
        <v/>
      </c>
      <c r="T48">
        <f>HYPERLINK("https://klasma.github.io/Logging_1907/kartor/A 44356-2024 karta.png", "A 44356-2024")</f>
        <v/>
      </c>
      <c r="V48">
        <f>HYPERLINK("https://klasma.github.io/Logging_1907/klagomål/A 44356-2024 FSC-klagomål.docx", "A 44356-2024")</f>
        <v/>
      </c>
      <c r="W48">
        <f>HYPERLINK("https://klasma.github.io/Logging_1907/klagomålsmail/A 44356-2024 FSC-klagomål mail.docx", "A 44356-2024")</f>
        <v/>
      </c>
      <c r="X48">
        <f>HYPERLINK("https://klasma.github.io/Logging_1907/tillsyn/A 44356-2024 tillsynsbegäran.docx", "A 44356-2024")</f>
        <v/>
      </c>
      <c r="Y48">
        <f>HYPERLINK("https://klasma.github.io/Logging_1907/tillsynsmail/A 44356-2024 tillsynsbegäran mail.docx", "A 44356-2024")</f>
        <v/>
      </c>
    </row>
    <row r="49" ht="15" customHeight="1">
      <c r="A49" t="inlineStr">
        <is>
          <t>A 21716-2025</t>
        </is>
      </c>
      <c r="B49" s="1" t="n">
        <v>45783.54804398148</v>
      </c>
      <c r="C49" s="1" t="n">
        <v>45892</v>
      </c>
      <c r="D49" t="inlineStr">
        <is>
          <t>VÄSTMANLANDS LÄN</t>
        </is>
      </c>
      <c r="E49" t="inlineStr">
        <is>
          <t>SURAHAMMAR</t>
        </is>
      </c>
      <c r="F49" t="inlineStr">
        <is>
          <t>Allmännings- och besparingsskogar</t>
        </is>
      </c>
      <c r="G49" t="n">
        <v>21.1</v>
      </c>
      <c r="H49" t="n">
        <v>1</v>
      </c>
      <c r="I49" t="n">
        <v>0</v>
      </c>
      <c r="J49" t="n">
        <v>1</v>
      </c>
      <c r="K49" t="n">
        <v>0</v>
      </c>
      <c r="L49" t="n">
        <v>0</v>
      </c>
      <c r="M49" t="n">
        <v>0</v>
      </c>
      <c r="N49" t="n">
        <v>0</v>
      </c>
      <c r="O49" t="n">
        <v>1</v>
      </c>
      <c r="P49" t="n">
        <v>0</v>
      </c>
      <c r="Q49" t="n">
        <v>1</v>
      </c>
      <c r="R49" s="2" t="inlineStr">
        <is>
          <t>Spillkråka</t>
        </is>
      </c>
      <c r="S49">
        <f>HYPERLINK("https://klasma.github.io/Logging_1907/artfynd/A 21716-2025 artfynd.xlsx", "A 21716-2025")</f>
        <v/>
      </c>
      <c r="T49">
        <f>HYPERLINK("https://klasma.github.io/Logging_1907/kartor/A 21716-2025 karta.png",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56362-2023</t>
        </is>
      </c>
      <c r="B50" s="1" t="n">
        <v>45236</v>
      </c>
      <c r="C50" s="1" t="n">
        <v>45892</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22840-2023</t>
        </is>
      </c>
      <c r="B51" s="1" t="n">
        <v>45072</v>
      </c>
      <c r="C51" s="1" t="n">
        <v>45892</v>
      </c>
      <c r="D51" t="inlineStr">
        <is>
          <t>VÄSTMANLANDS LÄN</t>
        </is>
      </c>
      <c r="E51" t="inlineStr">
        <is>
          <t>SURAHAMMAR</t>
        </is>
      </c>
      <c r="G51" t="n">
        <v>4.3</v>
      </c>
      <c r="H51" t="n">
        <v>1</v>
      </c>
      <c r="I51" t="n">
        <v>0</v>
      </c>
      <c r="J51" t="n">
        <v>0</v>
      </c>
      <c r="K51" t="n">
        <v>0</v>
      </c>
      <c r="L51" t="n">
        <v>0</v>
      </c>
      <c r="M51" t="n">
        <v>0</v>
      </c>
      <c r="N51" t="n">
        <v>0</v>
      </c>
      <c r="O51" t="n">
        <v>0</v>
      </c>
      <c r="P51" t="n">
        <v>0</v>
      </c>
      <c r="Q51" t="n">
        <v>1</v>
      </c>
      <c r="R51" s="2" t="inlineStr">
        <is>
          <t>Fläcknycklar</t>
        </is>
      </c>
      <c r="S51">
        <f>HYPERLINK("https://klasma.github.io/Logging_1907/artfynd/A 22840-2023 artfynd.xlsx", "A 22840-2023")</f>
        <v/>
      </c>
      <c r="T51">
        <f>HYPERLINK("https://klasma.github.io/Logging_1907/kartor/A 22840-2023 karta.png", "A 22840-2023")</f>
        <v/>
      </c>
      <c r="V51">
        <f>HYPERLINK("https://klasma.github.io/Logging_1907/klagomål/A 22840-2023 FSC-klagomål.docx", "A 22840-2023")</f>
        <v/>
      </c>
      <c r="W51">
        <f>HYPERLINK("https://klasma.github.io/Logging_1907/klagomålsmail/A 22840-2023 FSC-klagomål mail.docx", "A 22840-2023")</f>
        <v/>
      </c>
      <c r="X51">
        <f>HYPERLINK("https://klasma.github.io/Logging_1907/tillsyn/A 22840-2023 tillsynsbegäran.docx", "A 22840-2023")</f>
        <v/>
      </c>
      <c r="Y51">
        <f>HYPERLINK("https://klasma.github.io/Logging_1907/tillsynsmail/A 22840-2023 tillsynsbegäran mail.docx", "A 22840-2023")</f>
        <v/>
      </c>
    </row>
    <row r="52" ht="15" customHeight="1">
      <c r="A52" t="inlineStr">
        <is>
          <t>A 47453-2024</t>
        </is>
      </c>
      <c r="B52" s="1" t="n">
        <v>45587.55017361111</v>
      </c>
      <c r="C52" s="1" t="n">
        <v>45892</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33231-2024</t>
        </is>
      </c>
      <c r="B53" s="1" t="n">
        <v>45518</v>
      </c>
      <c r="C53" s="1" t="n">
        <v>45892</v>
      </c>
      <c r="D53" t="inlineStr">
        <is>
          <t>VÄSTMANLANDS LÄN</t>
        </is>
      </c>
      <c r="E53" t="inlineStr">
        <is>
          <t>SURAHAMMAR</t>
        </is>
      </c>
      <c r="F53" t="inlineStr">
        <is>
          <t>Bergvik skog väst AB</t>
        </is>
      </c>
      <c r="G53" t="n">
        <v>1.5</v>
      </c>
      <c r="H53" t="n">
        <v>1</v>
      </c>
      <c r="I53" t="n">
        <v>0</v>
      </c>
      <c r="J53" t="n">
        <v>0</v>
      </c>
      <c r="K53" t="n">
        <v>0</v>
      </c>
      <c r="L53" t="n">
        <v>0</v>
      </c>
      <c r="M53" t="n">
        <v>0</v>
      </c>
      <c r="N53" t="n">
        <v>0</v>
      </c>
      <c r="O53" t="n">
        <v>0</v>
      </c>
      <c r="P53" t="n">
        <v>0</v>
      </c>
      <c r="Q53" t="n">
        <v>1</v>
      </c>
      <c r="R53" s="2" t="inlineStr">
        <is>
          <t>Mindre vattensalamander</t>
        </is>
      </c>
      <c r="S53">
        <f>HYPERLINK("https://klasma.github.io/Logging_1907/artfynd/A 33231-2024 artfynd.xlsx", "A 33231-2024")</f>
        <v/>
      </c>
      <c r="T53">
        <f>HYPERLINK("https://klasma.github.io/Logging_1907/kartor/A 33231-2024 karta.png", "A 33231-2024")</f>
        <v/>
      </c>
      <c r="V53">
        <f>HYPERLINK("https://klasma.github.io/Logging_1907/klagomål/A 33231-2024 FSC-klagomål.docx", "A 33231-2024")</f>
        <v/>
      </c>
      <c r="W53">
        <f>HYPERLINK("https://klasma.github.io/Logging_1907/klagomålsmail/A 33231-2024 FSC-klagomål mail.docx", "A 33231-2024")</f>
        <v/>
      </c>
      <c r="X53">
        <f>HYPERLINK("https://klasma.github.io/Logging_1907/tillsyn/A 33231-2024 tillsynsbegäran.docx", "A 33231-2024")</f>
        <v/>
      </c>
      <c r="Y53">
        <f>HYPERLINK("https://klasma.github.io/Logging_1907/tillsynsmail/A 33231-2024 tillsynsbegäran mail.docx", "A 33231-2024")</f>
        <v/>
      </c>
    </row>
    <row r="54" ht="15" customHeight="1">
      <c r="A54" t="inlineStr">
        <is>
          <t>A 25583-2024</t>
        </is>
      </c>
      <c r="B54" s="1" t="n">
        <v>45463</v>
      </c>
      <c r="C54" s="1" t="n">
        <v>45892</v>
      </c>
      <c r="D54" t="inlineStr">
        <is>
          <t>VÄSTMANLANDS LÄN</t>
        </is>
      </c>
      <c r="E54" t="inlineStr">
        <is>
          <t>SURAHAMMAR</t>
        </is>
      </c>
      <c r="F54" t="inlineStr">
        <is>
          <t>Bergvik skog väst AB</t>
        </is>
      </c>
      <c r="G54" t="n">
        <v>7.8</v>
      </c>
      <c r="H54" t="n">
        <v>1</v>
      </c>
      <c r="I54" t="n">
        <v>0</v>
      </c>
      <c r="J54" t="n">
        <v>0</v>
      </c>
      <c r="K54" t="n">
        <v>0</v>
      </c>
      <c r="L54" t="n">
        <v>0</v>
      </c>
      <c r="M54" t="n">
        <v>0</v>
      </c>
      <c r="N54" t="n">
        <v>0</v>
      </c>
      <c r="O54" t="n">
        <v>0</v>
      </c>
      <c r="P54" t="n">
        <v>0</v>
      </c>
      <c r="Q54" t="n">
        <v>1</v>
      </c>
      <c r="R54" s="2" t="inlineStr">
        <is>
          <t>Blåsippa</t>
        </is>
      </c>
      <c r="S54">
        <f>HYPERLINK("https://klasma.github.io/Logging_1907/artfynd/A 25583-2024 artfynd.xlsx", "A 25583-2024")</f>
        <v/>
      </c>
      <c r="T54">
        <f>HYPERLINK("https://klasma.github.io/Logging_1907/kartor/A 25583-2024 karta.png", "A 25583-2024")</f>
        <v/>
      </c>
      <c r="V54">
        <f>HYPERLINK("https://klasma.github.io/Logging_1907/klagomål/A 25583-2024 FSC-klagomål.docx", "A 25583-2024")</f>
        <v/>
      </c>
      <c r="W54">
        <f>HYPERLINK("https://klasma.github.io/Logging_1907/klagomålsmail/A 25583-2024 FSC-klagomål mail.docx", "A 25583-2024")</f>
        <v/>
      </c>
      <c r="X54">
        <f>HYPERLINK("https://klasma.github.io/Logging_1907/tillsyn/A 25583-2024 tillsynsbegäran.docx", "A 25583-2024")</f>
        <v/>
      </c>
      <c r="Y54">
        <f>HYPERLINK("https://klasma.github.io/Logging_1907/tillsynsmail/A 25583-2024 tillsynsbegäran mail.docx", "A 25583-2024")</f>
        <v/>
      </c>
    </row>
    <row r="55" ht="15" customHeight="1">
      <c r="A55" t="inlineStr">
        <is>
          <t>A 13788-2025</t>
        </is>
      </c>
      <c r="B55" s="1" t="n">
        <v>45737.45327546296</v>
      </c>
      <c r="C55" s="1" t="n">
        <v>45892</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62097-2024</t>
        </is>
      </c>
      <c r="B56" s="1" t="n">
        <v>45646</v>
      </c>
      <c r="C56" s="1" t="n">
        <v>45892</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39099-2022</t>
        </is>
      </c>
      <c r="B57" s="1" t="n">
        <v>44817</v>
      </c>
      <c r="C57" s="1" t="n">
        <v>45892</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14001-2023</t>
        </is>
      </c>
      <c r="B58" s="1" t="n">
        <v>45007</v>
      </c>
      <c r="C58" s="1" t="n">
        <v>45892</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42765-2022</t>
        </is>
      </c>
      <c r="B59" s="1" t="n">
        <v>44832</v>
      </c>
      <c r="C59" s="1" t="n">
        <v>45892</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45892</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45892</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45892</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45892</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43177-2020</t>
        </is>
      </c>
      <c r="B64" s="1" t="n">
        <v>44081</v>
      </c>
      <c r="C64" s="1" t="n">
        <v>45892</v>
      </c>
      <c r="D64" t="inlineStr">
        <is>
          <t>VÄSTMANLANDS LÄN</t>
        </is>
      </c>
      <c r="E64" t="inlineStr">
        <is>
          <t>SURAHAMMAR</t>
        </is>
      </c>
      <c r="F64" t="inlineStr">
        <is>
          <t>Sveaskog</t>
        </is>
      </c>
      <c r="G64" t="n">
        <v>2.3</v>
      </c>
      <c r="H64" t="n">
        <v>0</v>
      </c>
      <c r="I64" t="n">
        <v>0</v>
      </c>
      <c r="J64" t="n">
        <v>0</v>
      </c>
      <c r="K64" t="n">
        <v>0</v>
      </c>
      <c r="L64" t="n">
        <v>0</v>
      </c>
      <c r="M64" t="n">
        <v>0</v>
      </c>
      <c r="N64" t="n">
        <v>0</v>
      </c>
      <c r="O64" t="n">
        <v>0</v>
      </c>
      <c r="P64" t="n">
        <v>0</v>
      </c>
      <c r="Q64" t="n">
        <v>0</v>
      </c>
      <c r="R64" s="2" t="inlineStr"/>
    </row>
    <row r="65" ht="15" customHeight="1">
      <c r="A65" t="inlineStr">
        <is>
          <t>A 64073-2021</t>
        </is>
      </c>
      <c r="B65" s="1" t="n">
        <v>44509</v>
      </c>
      <c r="C65" s="1" t="n">
        <v>45892</v>
      </c>
      <c r="D65" t="inlineStr">
        <is>
          <t>VÄSTMANLANDS LÄN</t>
        </is>
      </c>
      <c r="E65" t="inlineStr">
        <is>
          <t>SURAHAMMAR</t>
        </is>
      </c>
      <c r="G65" t="n">
        <v>0.4</v>
      </c>
      <c r="H65" t="n">
        <v>0</v>
      </c>
      <c r="I65" t="n">
        <v>0</v>
      </c>
      <c r="J65" t="n">
        <v>0</v>
      </c>
      <c r="K65" t="n">
        <v>0</v>
      </c>
      <c r="L65" t="n">
        <v>0</v>
      </c>
      <c r="M65" t="n">
        <v>0</v>
      </c>
      <c r="N65" t="n">
        <v>0</v>
      </c>
      <c r="O65" t="n">
        <v>0</v>
      </c>
      <c r="P65" t="n">
        <v>0</v>
      </c>
      <c r="Q65" t="n">
        <v>0</v>
      </c>
      <c r="R65" s="2" t="inlineStr"/>
    </row>
    <row r="66" ht="15" customHeight="1">
      <c r="A66" t="inlineStr">
        <is>
          <t>A 1492-2021</t>
        </is>
      </c>
      <c r="B66" s="1" t="n">
        <v>44209</v>
      </c>
      <c r="C66" s="1" t="n">
        <v>45892</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24804-2021</t>
        </is>
      </c>
      <c r="B67" s="1" t="n">
        <v>44340</v>
      </c>
      <c r="C67" s="1" t="n">
        <v>45892</v>
      </c>
      <c r="D67" t="inlineStr">
        <is>
          <t>VÄSTMANLANDS LÄN</t>
        </is>
      </c>
      <c r="E67" t="inlineStr">
        <is>
          <t>SURAHAMMAR</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19845-2022</t>
        </is>
      </c>
      <c r="B68" s="1" t="n">
        <v>44696.88850694444</v>
      </c>
      <c r="C68" s="1" t="n">
        <v>45892</v>
      </c>
      <c r="D68" t="inlineStr">
        <is>
          <t>VÄSTMANLANDS LÄN</t>
        </is>
      </c>
      <c r="E68" t="inlineStr">
        <is>
          <t>SURAHAMMAR</t>
        </is>
      </c>
      <c r="F68" t="inlineStr">
        <is>
          <t>Kommuner</t>
        </is>
      </c>
      <c r="G68" t="n">
        <v>3.3</v>
      </c>
      <c r="H68" t="n">
        <v>0</v>
      </c>
      <c r="I68" t="n">
        <v>0</v>
      </c>
      <c r="J68" t="n">
        <v>0</v>
      </c>
      <c r="K68" t="n">
        <v>0</v>
      </c>
      <c r="L68" t="n">
        <v>0</v>
      </c>
      <c r="M68" t="n">
        <v>0</v>
      </c>
      <c r="N68" t="n">
        <v>0</v>
      </c>
      <c r="O68" t="n">
        <v>0</v>
      </c>
      <c r="P68" t="n">
        <v>0</v>
      </c>
      <c r="Q68" t="n">
        <v>0</v>
      </c>
      <c r="R68" s="2" t="inlineStr"/>
    </row>
    <row r="69" ht="15" customHeight="1">
      <c r="A69" t="inlineStr">
        <is>
          <t>A 19844-2022</t>
        </is>
      </c>
      <c r="B69" s="1" t="n">
        <v>44696.88001157407</v>
      </c>
      <c r="C69" s="1" t="n">
        <v>45892</v>
      </c>
      <c r="D69" t="inlineStr">
        <is>
          <t>VÄSTMANLANDS LÄN</t>
        </is>
      </c>
      <c r="E69" t="inlineStr">
        <is>
          <t>SURAHAMMAR</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40660-2020</t>
        </is>
      </c>
      <c r="B70" s="1" t="n">
        <v>44069</v>
      </c>
      <c r="C70" s="1" t="n">
        <v>45892</v>
      </c>
      <c r="D70" t="inlineStr">
        <is>
          <t>VÄSTMANLANDS LÄN</t>
        </is>
      </c>
      <c r="E70" t="inlineStr">
        <is>
          <t>SURAHAMMAR</t>
        </is>
      </c>
      <c r="F70" t="inlineStr">
        <is>
          <t>Övriga Aktiebolag</t>
        </is>
      </c>
      <c r="G70" t="n">
        <v>1.9</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45892</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45892</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45892</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45892</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45892</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45892</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45892</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45892</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45892</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45892</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45892</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45892</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45892</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43590-2020</t>
        </is>
      </c>
      <c r="B84" s="1" t="n">
        <v>44082</v>
      </c>
      <c r="C84" s="1" t="n">
        <v>45892</v>
      </c>
      <c r="D84" t="inlineStr">
        <is>
          <t>VÄSTMANLANDS LÄN</t>
        </is>
      </c>
      <c r="E84" t="inlineStr">
        <is>
          <t>SURAHAMMAR</t>
        </is>
      </c>
      <c r="F84" t="inlineStr">
        <is>
          <t>Sveaskog</t>
        </is>
      </c>
      <c r="G84" t="n">
        <v>2.1</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45892</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45892</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45892</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45892</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45892</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45892</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22662-2023</t>
        </is>
      </c>
      <c r="B91" s="1" t="n">
        <v>45071</v>
      </c>
      <c r="C91" s="1" t="n">
        <v>45892</v>
      </c>
      <c r="D91" t="inlineStr">
        <is>
          <t>VÄSTMANLANDS LÄN</t>
        </is>
      </c>
      <c r="E91" t="inlineStr">
        <is>
          <t>SURAHAMMAR</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16013-2023</t>
        </is>
      </c>
      <c r="B92" s="1" t="n">
        <v>45026</v>
      </c>
      <c r="C92" s="1" t="n">
        <v>45892</v>
      </c>
      <c r="D92" t="inlineStr">
        <is>
          <t>VÄSTMANLANDS LÄN</t>
        </is>
      </c>
      <c r="E92" t="inlineStr">
        <is>
          <t>SURAHAMMAR</t>
        </is>
      </c>
      <c r="G92" t="n">
        <v>3.9</v>
      </c>
      <c r="H92" t="n">
        <v>0</v>
      </c>
      <c r="I92" t="n">
        <v>0</v>
      </c>
      <c r="J92" t="n">
        <v>0</v>
      </c>
      <c r="K92" t="n">
        <v>0</v>
      </c>
      <c r="L92" t="n">
        <v>0</v>
      </c>
      <c r="M92" t="n">
        <v>0</v>
      </c>
      <c r="N92" t="n">
        <v>0</v>
      </c>
      <c r="O92" t="n">
        <v>0</v>
      </c>
      <c r="P92" t="n">
        <v>0</v>
      </c>
      <c r="Q92" t="n">
        <v>0</v>
      </c>
      <c r="R92" s="2" t="inlineStr"/>
    </row>
    <row r="93" ht="15" customHeight="1">
      <c r="A93" t="inlineStr">
        <is>
          <t>A 49058-2024</t>
        </is>
      </c>
      <c r="B93" s="1" t="n">
        <v>45594</v>
      </c>
      <c r="C93" s="1" t="n">
        <v>45892</v>
      </c>
      <c r="D93" t="inlineStr">
        <is>
          <t>VÄSTMANLANDS LÄN</t>
        </is>
      </c>
      <c r="E93" t="inlineStr">
        <is>
          <t>SURAHAMMAR</t>
        </is>
      </c>
      <c r="F93" t="inlineStr">
        <is>
          <t>Sveaskog</t>
        </is>
      </c>
      <c r="G93" t="n">
        <v>11.4</v>
      </c>
      <c r="H93" t="n">
        <v>0</v>
      </c>
      <c r="I93" t="n">
        <v>0</v>
      </c>
      <c r="J93" t="n">
        <v>0</v>
      </c>
      <c r="K93" t="n">
        <v>0</v>
      </c>
      <c r="L93" t="n">
        <v>0</v>
      </c>
      <c r="M93" t="n">
        <v>0</v>
      </c>
      <c r="N93" t="n">
        <v>0</v>
      </c>
      <c r="O93" t="n">
        <v>0</v>
      </c>
      <c r="P93" t="n">
        <v>0</v>
      </c>
      <c r="Q93" t="n">
        <v>0</v>
      </c>
      <c r="R93" s="2" t="inlineStr"/>
    </row>
    <row r="94" ht="15" customHeight="1">
      <c r="A94" t="inlineStr">
        <is>
          <t>A 49060-2024</t>
        </is>
      </c>
      <c r="B94" s="1" t="n">
        <v>45594</v>
      </c>
      <c r="C94" s="1" t="n">
        <v>45892</v>
      </c>
      <c r="D94" t="inlineStr">
        <is>
          <t>VÄSTMANLANDS LÄN</t>
        </is>
      </c>
      <c r="E94" t="inlineStr">
        <is>
          <t>SURAHAMMAR</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41555-2022</t>
        </is>
      </c>
      <c r="B95" s="1" t="n">
        <v>44826</v>
      </c>
      <c r="C95" s="1" t="n">
        <v>45892</v>
      </c>
      <c r="D95" t="inlineStr">
        <is>
          <t>VÄSTMANLANDS LÄN</t>
        </is>
      </c>
      <c r="E95" t="inlineStr">
        <is>
          <t>SURAHAMMAR</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48205-2023</t>
        </is>
      </c>
      <c r="B96" s="1" t="n">
        <v>45205</v>
      </c>
      <c r="C96" s="1" t="n">
        <v>45892</v>
      </c>
      <c r="D96" t="inlineStr">
        <is>
          <t>VÄSTMANLANDS LÄN</t>
        </is>
      </c>
      <c r="E96" t="inlineStr">
        <is>
          <t>SURAHAMMAR</t>
        </is>
      </c>
      <c r="F96" t="inlineStr">
        <is>
          <t>Allmännings- och besparingsskogar</t>
        </is>
      </c>
      <c r="G96" t="n">
        <v>7.6</v>
      </c>
      <c r="H96" t="n">
        <v>0</v>
      </c>
      <c r="I96" t="n">
        <v>0</v>
      </c>
      <c r="J96" t="n">
        <v>0</v>
      </c>
      <c r="K96" t="n">
        <v>0</v>
      </c>
      <c r="L96" t="n">
        <v>0</v>
      </c>
      <c r="M96" t="n">
        <v>0</v>
      </c>
      <c r="N96" t="n">
        <v>0</v>
      </c>
      <c r="O96" t="n">
        <v>0</v>
      </c>
      <c r="P96" t="n">
        <v>0</v>
      </c>
      <c r="Q96" t="n">
        <v>0</v>
      </c>
      <c r="R96" s="2" t="inlineStr"/>
    </row>
    <row r="97" ht="15" customHeight="1">
      <c r="A97" t="inlineStr">
        <is>
          <t>A 15743-2023</t>
        </is>
      </c>
      <c r="B97" s="1" t="n">
        <v>45021</v>
      </c>
      <c r="C97" s="1" t="n">
        <v>45892</v>
      </c>
      <c r="D97" t="inlineStr">
        <is>
          <t>VÄSTMANLANDS LÄN</t>
        </is>
      </c>
      <c r="E97" t="inlineStr">
        <is>
          <t>SURAHAMMAR</t>
        </is>
      </c>
      <c r="G97" t="n">
        <v>0.5</v>
      </c>
      <c r="H97" t="n">
        <v>0</v>
      </c>
      <c r="I97" t="n">
        <v>0</v>
      </c>
      <c r="J97" t="n">
        <v>0</v>
      </c>
      <c r="K97" t="n">
        <v>0</v>
      </c>
      <c r="L97" t="n">
        <v>0</v>
      </c>
      <c r="M97" t="n">
        <v>0</v>
      </c>
      <c r="N97" t="n">
        <v>0</v>
      </c>
      <c r="O97" t="n">
        <v>0</v>
      </c>
      <c r="P97" t="n">
        <v>0</v>
      </c>
      <c r="Q97" t="n">
        <v>0</v>
      </c>
      <c r="R97" s="2" t="inlineStr"/>
    </row>
    <row r="98" ht="15" customHeight="1">
      <c r="A98" t="inlineStr">
        <is>
          <t>A 30076-2023</t>
        </is>
      </c>
      <c r="B98" s="1" t="n">
        <v>45110</v>
      </c>
      <c r="C98" s="1" t="n">
        <v>45892</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16608-2022</t>
        </is>
      </c>
      <c r="B99" s="1" t="n">
        <v>44672</v>
      </c>
      <c r="C99" s="1" t="n">
        <v>45892</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34955-2022</t>
        </is>
      </c>
      <c r="B100" s="1" t="n">
        <v>44796</v>
      </c>
      <c r="C100" s="1" t="n">
        <v>45892</v>
      </c>
      <c r="D100" t="inlineStr">
        <is>
          <t>VÄSTMANLANDS LÄN</t>
        </is>
      </c>
      <c r="E100" t="inlineStr">
        <is>
          <t>SURAHAMMAR</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45892</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45892</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20904-2023</t>
        </is>
      </c>
      <c r="B103" s="1" t="n">
        <v>45060</v>
      </c>
      <c r="C103" s="1" t="n">
        <v>45892</v>
      </c>
      <c r="D103" t="inlineStr">
        <is>
          <t>VÄSTMANLANDS LÄN</t>
        </is>
      </c>
      <c r="E103" t="inlineStr">
        <is>
          <t>SURAHAMMAR</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8553-2023</t>
        </is>
      </c>
      <c r="B104" s="1" t="n">
        <v>44977</v>
      </c>
      <c r="C104" s="1" t="n">
        <v>45892</v>
      </c>
      <c r="D104" t="inlineStr">
        <is>
          <t>VÄSTMANLANDS LÄN</t>
        </is>
      </c>
      <c r="E104" t="inlineStr">
        <is>
          <t>SURAHAMMAR</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10883-2023</t>
        </is>
      </c>
      <c r="B105" s="1" t="n">
        <v>44991</v>
      </c>
      <c r="C105" s="1" t="n">
        <v>45892</v>
      </c>
      <c r="D105" t="inlineStr">
        <is>
          <t>VÄSTMANLANDS LÄN</t>
        </is>
      </c>
      <c r="E105" t="inlineStr">
        <is>
          <t>SURAHAMMAR</t>
        </is>
      </c>
      <c r="F105" t="inlineStr">
        <is>
          <t>Övriga Aktiebolag</t>
        </is>
      </c>
      <c r="G105" t="n">
        <v>12.5</v>
      </c>
      <c r="H105" t="n">
        <v>0</v>
      </c>
      <c r="I105" t="n">
        <v>0</v>
      </c>
      <c r="J105" t="n">
        <v>0</v>
      </c>
      <c r="K105" t="n">
        <v>0</v>
      </c>
      <c r="L105" t="n">
        <v>0</v>
      </c>
      <c r="M105" t="n">
        <v>0</v>
      </c>
      <c r="N105" t="n">
        <v>0</v>
      </c>
      <c r="O105" t="n">
        <v>0</v>
      </c>
      <c r="P105" t="n">
        <v>0</v>
      </c>
      <c r="Q105" t="n">
        <v>0</v>
      </c>
      <c r="R105" s="2" t="inlineStr"/>
    </row>
    <row r="106" ht="15" customHeight="1">
      <c r="A106" t="inlineStr">
        <is>
          <t>A 19786-2023</t>
        </is>
      </c>
      <c r="B106" s="1" t="n">
        <v>45050</v>
      </c>
      <c r="C106" s="1" t="n">
        <v>45892</v>
      </c>
      <c r="D106" t="inlineStr">
        <is>
          <t>VÄSTMANLANDS LÄN</t>
        </is>
      </c>
      <c r="E106" t="inlineStr">
        <is>
          <t>SURAHAMMAR</t>
        </is>
      </c>
      <c r="F106" t="inlineStr">
        <is>
          <t>Bergvik skog väst AB</t>
        </is>
      </c>
      <c r="G106" t="n">
        <v>8.1</v>
      </c>
      <c r="H106" t="n">
        <v>0</v>
      </c>
      <c r="I106" t="n">
        <v>0</v>
      </c>
      <c r="J106" t="n">
        <v>0</v>
      </c>
      <c r="K106" t="n">
        <v>0</v>
      </c>
      <c r="L106" t="n">
        <v>0</v>
      </c>
      <c r="M106" t="n">
        <v>0</v>
      </c>
      <c r="N106" t="n">
        <v>0</v>
      </c>
      <c r="O106" t="n">
        <v>0</v>
      </c>
      <c r="P106" t="n">
        <v>0</v>
      </c>
      <c r="Q106" t="n">
        <v>0</v>
      </c>
      <c r="R106" s="2" t="inlineStr"/>
    </row>
    <row r="107" ht="15" customHeight="1">
      <c r="A107" t="inlineStr">
        <is>
          <t>A 25780-2023</t>
        </is>
      </c>
      <c r="B107" s="1" t="n">
        <v>45090.47523148148</v>
      </c>
      <c r="C107" s="1" t="n">
        <v>45892</v>
      </c>
      <c r="D107" t="inlineStr">
        <is>
          <t>VÄSTMANLANDS LÄN</t>
        </is>
      </c>
      <c r="E107" t="inlineStr">
        <is>
          <t>SURAHAMMAR</t>
        </is>
      </c>
      <c r="G107" t="n">
        <v>2.8</v>
      </c>
      <c r="H107" t="n">
        <v>0</v>
      </c>
      <c r="I107" t="n">
        <v>0</v>
      </c>
      <c r="J107" t="n">
        <v>0</v>
      </c>
      <c r="K107" t="n">
        <v>0</v>
      </c>
      <c r="L107" t="n">
        <v>0</v>
      </c>
      <c r="M107" t="n">
        <v>0</v>
      </c>
      <c r="N107" t="n">
        <v>0</v>
      </c>
      <c r="O107" t="n">
        <v>0</v>
      </c>
      <c r="P107" t="n">
        <v>0</v>
      </c>
      <c r="Q107" t="n">
        <v>0</v>
      </c>
      <c r="R107" s="2" t="inlineStr"/>
    </row>
    <row r="108" ht="15" customHeight="1">
      <c r="A108" t="inlineStr">
        <is>
          <t>A 2660-2024</t>
        </is>
      </c>
      <c r="B108" s="1" t="n">
        <v>45310</v>
      </c>
      <c r="C108" s="1" t="n">
        <v>45892</v>
      </c>
      <c r="D108" t="inlineStr">
        <is>
          <t>VÄSTMANLANDS LÄN</t>
        </is>
      </c>
      <c r="E108" t="inlineStr">
        <is>
          <t>SURAHAMMAR</t>
        </is>
      </c>
      <c r="G108" t="n">
        <v>2.1</v>
      </c>
      <c r="H108" t="n">
        <v>0</v>
      </c>
      <c r="I108" t="n">
        <v>0</v>
      </c>
      <c r="J108" t="n">
        <v>0</v>
      </c>
      <c r="K108" t="n">
        <v>0</v>
      </c>
      <c r="L108" t="n">
        <v>0</v>
      </c>
      <c r="M108" t="n">
        <v>0</v>
      </c>
      <c r="N108" t="n">
        <v>0</v>
      </c>
      <c r="O108" t="n">
        <v>0</v>
      </c>
      <c r="P108" t="n">
        <v>0</v>
      </c>
      <c r="Q108" t="n">
        <v>0</v>
      </c>
      <c r="R108" s="2" t="inlineStr"/>
    </row>
    <row r="109" ht="15" customHeight="1">
      <c r="A109" t="inlineStr">
        <is>
          <t>A 13386-2025</t>
        </is>
      </c>
      <c r="B109" s="1" t="n">
        <v>45735</v>
      </c>
      <c r="C109" s="1" t="n">
        <v>45892</v>
      </c>
      <c r="D109" t="inlineStr">
        <is>
          <t>VÄSTMANLANDS LÄN</t>
        </is>
      </c>
      <c r="E109" t="inlineStr">
        <is>
          <t>SURAHAMMAR</t>
        </is>
      </c>
      <c r="F109" t="inlineStr">
        <is>
          <t>Bergvik skog väst AB</t>
        </is>
      </c>
      <c r="G109" t="n">
        <v>4</v>
      </c>
      <c r="H109" t="n">
        <v>0</v>
      </c>
      <c r="I109" t="n">
        <v>0</v>
      </c>
      <c r="J109" t="n">
        <v>0</v>
      </c>
      <c r="K109" t="n">
        <v>0</v>
      </c>
      <c r="L109" t="n">
        <v>0</v>
      </c>
      <c r="M109" t="n">
        <v>0</v>
      </c>
      <c r="N109" t="n">
        <v>0</v>
      </c>
      <c r="O109" t="n">
        <v>0</v>
      </c>
      <c r="P109" t="n">
        <v>0</v>
      </c>
      <c r="Q109" t="n">
        <v>0</v>
      </c>
      <c r="R109" s="2" t="inlineStr"/>
    </row>
    <row r="110" ht="15" customHeight="1">
      <c r="A110" t="inlineStr">
        <is>
          <t>A 44357-2024</t>
        </is>
      </c>
      <c r="B110" s="1" t="n">
        <v>45573</v>
      </c>
      <c r="C110" s="1" t="n">
        <v>45892</v>
      </c>
      <c r="D110" t="inlineStr">
        <is>
          <t>VÄSTMANLANDS LÄN</t>
        </is>
      </c>
      <c r="E110" t="inlineStr">
        <is>
          <t>SURAHAMMAR</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47785-2021</t>
        </is>
      </c>
      <c r="B111" s="1" t="n">
        <v>44448</v>
      </c>
      <c r="C111" s="1" t="n">
        <v>45892</v>
      </c>
      <c r="D111" t="inlineStr">
        <is>
          <t>VÄSTMANLANDS LÄN</t>
        </is>
      </c>
      <c r="E111" t="inlineStr">
        <is>
          <t>SURAHAMMAR</t>
        </is>
      </c>
      <c r="F111" t="inlineStr">
        <is>
          <t>Kommuner</t>
        </is>
      </c>
      <c r="G111" t="n">
        <v>3.3</v>
      </c>
      <c r="H111" t="n">
        <v>0</v>
      </c>
      <c r="I111" t="n">
        <v>0</v>
      </c>
      <c r="J111" t="n">
        <v>0</v>
      </c>
      <c r="K111" t="n">
        <v>0</v>
      </c>
      <c r="L111" t="n">
        <v>0</v>
      </c>
      <c r="M111" t="n">
        <v>0</v>
      </c>
      <c r="N111" t="n">
        <v>0</v>
      </c>
      <c r="O111" t="n">
        <v>0</v>
      </c>
      <c r="P111" t="n">
        <v>0</v>
      </c>
      <c r="Q111" t="n">
        <v>0</v>
      </c>
      <c r="R111" s="2" t="inlineStr"/>
    </row>
    <row r="112" ht="15" customHeight="1">
      <c r="A112" t="inlineStr">
        <is>
          <t>A 7787-2024</t>
        </is>
      </c>
      <c r="B112" s="1" t="n">
        <v>45348</v>
      </c>
      <c r="C112" s="1" t="n">
        <v>45892</v>
      </c>
      <c r="D112" t="inlineStr">
        <is>
          <t>VÄSTMANLANDS LÄN</t>
        </is>
      </c>
      <c r="E112" t="inlineStr">
        <is>
          <t>SURAHAMMAR</t>
        </is>
      </c>
      <c r="G112" t="n">
        <v>1</v>
      </c>
      <c r="H112" t="n">
        <v>0</v>
      </c>
      <c r="I112" t="n">
        <v>0</v>
      </c>
      <c r="J112" t="n">
        <v>0</v>
      </c>
      <c r="K112" t="n">
        <v>0</v>
      </c>
      <c r="L112" t="n">
        <v>0</v>
      </c>
      <c r="M112" t="n">
        <v>0</v>
      </c>
      <c r="N112" t="n">
        <v>0</v>
      </c>
      <c r="O112" t="n">
        <v>0</v>
      </c>
      <c r="P112" t="n">
        <v>0</v>
      </c>
      <c r="Q112" t="n">
        <v>0</v>
      </c>
      <c r="R112" s="2" t="inlineStr"/>
    </row>
    <row r="113" ht="15" customHeight="1">
      <c r="A113" t="inlineStr">
        <is>
          <t>A 14626-2023</t>
        </is>
      </c>
      <c r="B113" s="1" t="n">
        <v>45012</v>
      </c>
      <c r="C113" s="1" t="n">
        <v>45892</v>
      </c>
      <c r="D113" t="inlineStr">
        <is>
          <t>VÄSTMANLANDS LÄN</t>
        </is>
      </c>
      <c r="E113" t="inlineStr">
        <is>
          <t>SURAHAMMAR</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37798-2021</t>
        </is>
      </c>
      <c r="B114" s="1" t="n">
        <v>44402</v>
      </c>
      <c r="C114" s="1" t="n">
        <v>45892</v>
      </c>
      <c r="D114" t="inlineStr">
        <is>
          <t>VÄSTMANLANDS LÄN</t>
        </is>
      </c>
      <c r="E114" t="inlineStr">
        <is>
          <t>SURAHAMMAR</t>
        </is>
      </c>
      <c r="F114" t="inlineStr">
        <is>
          <t>Kommuner</t>
        </is>
      </c>
      <c r="G114" t="n">
        <v>1.2</v>
      </c>
      <c r="H114" t="n">
        <v>0</v>
      </c>
      <c r="I114" t="n">
        <v>0</v>
      </c>
      <c r="J114" t="n">
        <v>0</v>
      </c>
      <c r="K114" t="n">
        <v>0</v>
      </c>
      <c r="L114" t="n">
        <v>0</v>
      </c>
      <c r="M114" t="n">
        <v>0</v>
      </c>
      <c r="N114" t="n">
        <v>0</v>
      </c>
      <c r="O114" t="n">
        <v>0</v>
      </c>
      <c r="P114" t="n">
        <v>0</v>
      </c>
      <c r="Q114" t="n">
        <v>0</v>
      </c>
      <c r="R114" s="2" t="inlineStr"/>
    </row>
    <row r="115" ht="15" customHeight="1">
      <c r="A115" t="inlineStr">
        <is>
          <t>A 15739-2023</t>
        </is>
      </c>
      <c r="B115" s="1" t="n">
        <v>45021</v>
      </c>
      <c r="C115" s="1" t="n">
        <v>45892</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38154-2021</t>
        </is>
      </c>
      <c r="B116" s="1" t="n">
        <v>44405.42373842592</v>
      </c>
      <c r="C116" s="1" t="n">
        <v>45892</v>
      </c>
      <c r="D116" t="inlineStr">
        <is>
          <t>VÄSTMANLANDS LÄN</t>
        </is>
      </c>
      <c r="E116" t="inlineStr">
        <is>
          <t>SURAHAMMAR</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37287-2023</t>
        </is>
      </c>
      <c r="B117" s="1" t="n">
        <v>45156</v>
      </c>
      <c r="C117" s="1" t="n">
        <v>45892</v>
      </c>
      <c r="D117" t="inlineStr">
        <is>
          <t>VÄSTMANLANDS LÄN</t>
        </is>
      </c>
      <c r="E117" t="inlineStr">
        <is>
          <t>SURAHAMMAR</t>
        </is>
      </c>
      <c r="G117" t="n">
        <v>0.6</v>
      </c>
      <c r="H117" t="n">
        <v>0</v>
      </c>
      <c r="I117" t="n">
        <v>0</v>
      </c>
      <c r="J117" t="n">
        <v>0</v>
      </c>
      <c r="K117" t="n">
        <v>0</v>
      </c>
      <c r="L117" t="n">
        <v>0</v>
      </c>
      <c r="M117" t="n">
        <v>0</v>
      </c>
      <c r="N117" t="n">
        <v>0</v>
      </c>
      <c r="O117" t="n">
        <v>0</v>
      </c>
      <c r="P117" t="n">
        <v>0</v>
      </c>
      <c r="Q117" t="n">
        <v>0</v>
      </c>
      <c r="R117" s="2" t="inlineStr"/>
    </row>
    <row r="118" ht="15" customHeight="1">
      <c r="A118" t="inlineStr">
        <is>
          <t>A 41576-2022</t>
        </is>
      </c>
      <c r="B118" s="1" t="n">
        <v>44826</v>
      </c>
      <c r="C118" s="1" t="n">
        <v>45892</v>
      </c>
      <c r="D118" t="inlineStr">
        <is>
          <t>VÄSTMANLANDS LÄN</t>
        </is>
      </c>
      <c r="E118" t="inlineStr">
        <is>
          <t>SURAHAMMAR</t>
        </is>
      </c>
      <c r="F118" t="inlineStr">
        <is>
          <t>Bergvik skog väst AB</t>
        </is>
      </c>
      <c r="G118" t="n">
        <v>6.4</v>
      </c>
      <c r="H118" t="n">
        <v>0</v>
      </c>
      <c r="I118" t="n">
        <v>0</v>
      </c>
      <c r="J118" t="n">
        <v>0</v>
      </c>
      <c r="K118" t="n">
        <v>0</v>
      </c>
      <c r="L118" t="n">
        <v>0</v>
      </c>
      <c r="M118" t="n">
        <v>0</v>
      </c>
      <c r="N118" t="n">
        <v>0</v>
      </c>
      <c r="O118" t="n">
        <v>0</v>
      </c>
      <c r="P118" t="n">
        <v>0</v>
      </c>
      <c r="Q118" t="n">
        <v>0</v>
      </c>
      <c r="R118" s="2" t="inlineStr"/>
    </row>
    <row r="119" ht="15" customHeight="1">
      <c r="A119" t="inlineStr">
        <is>
          <t>A 25450-2024</t>
        </is>
      </c>
      <c r="B119" s="1" t="n">
        <v>45463</v>
      </c>
      <c r="C119" s="1" t="n">
        <v>45892</v>
      </c>
      <c r="D119" t="inlineStr">
        <is>
          <t>VÄSTMANLANDS LÄN</t>
        </is>
      </c>
      <c r="E119" t="inlineStr">
        <is>
          <t>SURAHAMMAR</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19782-2023</t>
        </is>
      </c>
      <c r="B120" s="1" t="n">
        <v>45050</v>
      </c>
      <c r="C120" s="1" t="n">
        <v>45892</v>
      </c>
      <c r="D120" t="inlineStr">
        <is>
          <t>VÄSTMANLANDS LÄN</t>
        </is>
      </c>
      <c r="E120" t="inlineStr">
        <is>
          <t>SURAHAMMAR</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72367-2021</t>
        </is>
      </c>
      <c r="B121" s="1" t="n">
        <v>44545</v>
      </c>
      <c r="C121" s="1" t="n">
        <v>45892</v>
      </c>
      <c r="D121" t="inlineStr">
        <is>
          <t>VÄSTMANLANDS LÄN</t>
        </is>
      </c>
      <c r="E121" t="inlineStr">
        <is>
          <t>SURAHAMMAR</t>
        </is>
      </c>
      <c r="G121" t="n">
        <v>2.5</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45892</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7848-2022</t>
        </is>
      </c>
      <c r="B123" s="1" t="n">
        <v>44608.58400462963</v>
      </c>
      <c r="C123" s="1" t="n">
        <v>45892</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45892</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56378-2023</t>
        </is>
      </c>
      <c r="B125" s="1" t="n">
        <v>45236</v>
      </c>
      <c r="C125" s="1" t="n">
        <v>45892</v>
      </c>
      <c r="D125" t="inlineStr">
        <is>
          <t>VÄSTMANLANDS LÄN</t>
        </is>
      </c>
      <c r="E125" t="inlineStr">
        <is>
          <t>SURAHAMMAR</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52074-2020</t>
        </is>
      </c>
      <c r="B126" s="1" t="n">
        <v>44117</v>
      </c>
      <c r="C126" s="1" t="n">
        <v>45892</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19099-2022</t>
        </is>
      </c>
      <c r="B127" s="1" t="n">
        <v>44691</v>
      </c>
      <c r="C127" s="1" t="n">
        <v>45892</v>
      </c>
      <c r="D127" t="inlineStr">
        <is>
          <t>VÄSTMANLANDS LÄN</t>
        </is>
      </c>
      <c r="E127" t="inlineStr">
        <is>
          <t>SURAHAMMAR</t>
        </is>
      </c>
      <c r="F127" t="inlineStr">
        <is>
          <t>Övriga Aktiebolag</t>
        </is>
      </c>
      <c r="G127" t="n">
        <v>3.4</v>
      </c>
      <c r="H127" t="n">
        <v>0</v>
      </c>
      <c r="I127" t="n">
        <v>0</v>
      </c>
      <c r="J127" t="n">
        <v>0</v>
      </c>
      <c r="K127" t="n">
        <v>0</v>
      </c>
      <c r="L127" t="n">
        <v>0</v>
      </c>
      <c r="M127" t="n">
        <v>0</v>
      </c>
      <c r="N127" t="n">
        <v>0</v>
      </c>
      <c r="O127" t="n">
        <v>0</v>
      </c>
      <c r="P127" t="n">
        <v>0</v>
      </c>
      <c r="Q127" t="n">
        <v>0</v>
      </c>
      <c r="R127" s="2" t="inlineStr"/>
    </row>
    <row r="128" ht="15" customHeight="1">
      <c r="A128" t="inlineStr">
        <is>
          <t>A 24158-2023</t>
        </is>
      </c>
      <c r="B128" s="1" t="n">
        <v>45079</v>
      </c>
      <c r="C128" s="1" t="n">
        <v>45892</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11501-2023</t>
        </is>
      </c>
      <c r="B129" s="1" t="n">
        <v>44991</v>
      </c>
      <c r="C129" s="1" t="n">
        <v>45892</v>
      </c>
      <c r="D129" t="inlineStr">
        <is>
          <t>VÄSTMANLANDS LÄN</t>
        </is>
      </c>
      <c r="E129" t="inlineStr">
        <is>
          <t>SURAHAMMAR</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10396-2025</t>
        </is>
      </c>
      <c r="B130" s="1" t="n">
        <v>45720.60721064815</v>
      </c>
      <c r="C130" s="1" t="n">
        <v>45892</v>
      </c>
      <c r="D130" t="inlineStr">
        <is>
          <t>VÄSTMANLANDS LÄN</t>
        </is>
      </c>
      <c r="E130" t="inlineStr">
        <is>
          <t>SURAHAMMAR</t>
        </is>
      </c>
      <c r="F130" t="inlineStr">
        <is>
          <t>Allmännings- och besparingsskogar</t>
        </is>
      </c>
      <c r="G130" t="n">
        <v>9.300000000000001</v>
      </c>
      <c r="H130" t="n">
        <v>0</v>
      </c>
      <c r="I130" t="n">
        <v>0</v>
      </c>
      <c r="J130" t="n">
        <v>0</v>
      </c>
      <c r="K130" t="n">
        <v>0</v>
      </c>
      <c r="L130" t="n">
        <v>0</v>
      </c>
      <c r="M130" t="n">
        <v>0</v>
      </c>
      <c r="N130" t="n">
        <v>0</v>
      </c>
      <c r="O130" t="n">
        <v>0</v>
      </c>
      <c r="P130" t="n">
        <v>0</v>
      </c>
      <c r="Q130" t="n">
        <v>0</v>
      </c>
      <c r="R130" s="2" t="inlineStr"/>
    </row>
    <row r="131" ht="15" customHeight="1">
      <c r="A131" t="inlineStr">
        <is>
          <t>A 42714-2022</t>
        </is>
      </c>
      <c r="B131" s="1" t="n">
        <v>44832</v>
      </c>
      <c r="C131" s="1" t="n">
        <v>45892</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35682-2022</t>
        </is>
      </c>
      <c r="B132" s="1" t="n">
        <v>44799.60422453703</v>
      </c>
      <c r="C132" s="1" t="n">
        <v>45892</v>
      </c>
      <c r="D132" t="inlineStr">
        <is>
          <t>VÄSTMANLANDS LÄN</t>
        </is>
      </c>
      <c r="E132" t="inlineStr">
        <is>
          <t>SURAHAMMAR</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3818-2022</t>
        </is>
      </c>
      <c r="B133" s="1" t="n">
        <v>44587</v>
      </c>
      <c r="C133" s="1" t="n">
        <v>45892</v>
      </c>
      <c r="D133" t="inlineStr">
        <is>
          <t>VÄSTMANLANDS LÄN</t>
        </is>
      </c>
      <c r="E133" t="inlineStr">
        <is>
          <t>SURAHAMMAR</t>
        </is>
      </c>
      <c r="G133" t="n">
        <v>2.6</v>
      </c>
      <c r="H133" t="n">
        <v>0</v>
      </c>
      <c r="I133" t="n">
        <v>0</v>
      </c>
      <c r="J133" t="n">
        <v>0</v>
      </c>
      <c r="K133" t="n">
        <v>0</v>
      </c>
      <c r="L133" t="n">
        <v>0</v>
      </c>
      <c r="M133" t="n">
        <v>0</v>
      </c>
      <c r="N133" t="n">
        <v>0</v>
      </c>
      <c r="O133" t="n">
        <v>0</v>
      </c>
      <c r="P133" t="n">
        <v>0</v>
      </c>
      <c r="Q133" t="n">
        <v>0</v>
      </c>
      <c r="R133" s="2" t="inlineStr"/>
    </row>
    <row r="134" ht="15" customHeight="1">
      <c r="A134" t="inlineStr">
        <is>
          <t>A 11728-2023</t>
        </is>
      </c>
      <c r="B134" s="1" t="n">
        <v>44993</v>
      </c>
      <c r="C134" s="1" t="n">
        <v>45892</v>
      </c>
      <c r="D134" t="inlineStr">
        <is>
          <t>VÄSTMANLANDS LÄN</t>
        </is>
      </c>
      <c r="E134" t="inlineStr">
        <is>
          <t>SURAHAMMAR</t>
        </is>
      </c>
      <c r="F134" t="inlineStr">
        <is>
          <t>Bergvik skog väst AB</t>
        </is>
      </c>
      <c r="G134" t="n">
        <v>0.4</v>
      </c>
      <c r="H134" t="n">
        <v>0</v>
      </c>
      <c r="I134" t="n">
        <v>0</v>
      </c>
      <c r="J134" t="n">
        <v>0</v>
      </c>
      <c r="K134" t="n">
        <v>0</v>
      </c>
      <c r="L134" t="n">
        <v>0</v>
      </c>
      <c r="M134" t="n">
        <v>0</v>
      </c>
      <c r="N134" t="n">
        <v>0</v>
      </c>
      <c r="O134" t="n">
        <v>0</v>
      </c>
      <c r="P134" t="n">
        <v>0</v>
      </c>
      <c r="Q134" t="n">
        <v>0</v>
      </c>
      <c r="R134" s="2" t="inlineStr"/>
    </row>
    <row r="135" ht="15" customHeight="1">
      <c r="A135" t="inlineStr">
        <is>
          <t>A 37013-2025</t>
        </is>
      </c>
      <c r="B135" s="1" t="n">
        <v>45874</v>
      </c>
      <c r="C135" s="1" t="n">
        <v>45892</v>
      </c>
      <c r="D135" t="inlineStr">
        <is>
          <t>VÄSTMANLANDS LÄN</t>
        </is>
      </c>
      <c r="E135" t="inlineStr">
        <is>
          <t>SURAHAMMAR</t>
        </is>
      </c>
      <c r="F135" t="inlineStr">
        <is>
          <t>Bergvik skog väst AB</t>
        </is>
      </c>
      <c r="G135" t="n">
        <v>10.7</v>
      </c>
      <c r="H135" t="n">
        <v>0</v>
      </c>
      <c r="I135" t="n">
        <v>0</v>
      </c>
      <c r="J135" t="n">
        <v>0</v>
      </c>
      <c r="K135" t="n">
        <v>0</v>
      </c>
      <c r="L135" t="n">
        <v>0</v>
      </c>
      <c r="M135" t="n">
        <v>0</v>
      </c>
      <c r="N135" t="n">
        <v>0</v>
      </c>
      <c r="O135" t="n">
        <v>0</v>
      </c>
      <c r="P135" t="n">
        <v>0</v>
      </c>
      <c r="Q135" t="n">
        <v>0</v>
      </c>
      <c r="R135" s="2" t="inlineStr"/>
    </row>
    <row r="136" ht="15" customHeight="1">
      <c r="A136" t="inlineStr">
        <is>
          <t>A 5567-2022</t>
        </is>
      </c>
      <c r="B136" s="1" t="n">
        <v>44595</v>
      </c>
      <c r="C136" s="1" t="n">
        <v>45892</v>
      </c>
      <c r="D136" t="inlineStr">
        <is>
          <t>VÄSTMANLANDS LÄN</t>
        </is>
      </c>
      <c r="E136" t="inlineStr">
        <is>
          <t>SURAHAMMAR</t>
        </is>
      </c>
      <c r="G136" t="n">
        <v>1.3</v>
      </c>
      <c r="H136" t="n">
        <v>0</v>
      </c>
      <c r="I136" t="n">
        <v>0</v>
      </c>
      <c r="J136" t="n">
        <v>0</v>
      </c>
      <c r="K136" t="n">
        <v>0</v>
      </c>
      <c r="L136" t="n">
        <v>0</v>
      </c>
      <c r="M136" t="n">
        <v>0</v>
      </c>
      <c r="N136" t="n">
        <v>0</v>
      </c>
      <c r="O136" t="n">
        <v>0</v>
      </c>
      <c r="P136" t="n">
        <v>0</v>
      </c>
      <c r="Q136" t="n">
        <v>0</v>
      </c>
      <c r="R136" s="2" t="inlineStr"/>
    </row>
    <row r="137" ht="15" customHeight="1">
      <c r="A137" t="inlineStr">
        <is>
          <t>A 42832-2022</t>
        </is>
      </c>
      <c r="B137" s="1" t="n">
        <v>44832</v>
      </c>
      <c r="C137" s="1" t="n">
        <v>45892</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13796-2025</t>
        </is>
      </c>
      <c r="B138" s="1" t="n">
        <v>45737.47846064815</v>
      </c>
      <c r="C138" s="1" t="n">
        <v>45892</v>
      </c>
      <c r="D138" t="inlineStr">
        <is>
          <t>VÄSTMANLANDS LÄN</t>
        </is>
      </c>
      <c r="E138" t="inlineStr">
        <is>
          <t>SURAHAMMAR</t>
        </is>
      </c>
      <c r="G138" t="n">
        <v>3.3</v>
      </c>
      <c r="H138" t="n">
        <v>0</v>
      </c>
      <c r="I138" t="n">
        <v>0</v>
      </c>
      <c r="J138" t="n">
        <v>0</v>
      </c>
      <c r="K138" t="n">
        <v>0</v>
      </c>
      <c r="L138" t="n">
        <v>0</v>
      </c>
      <c r="M138" t="n">
        <v>0</v>
      </c>
      <c r="N138" t="n">
        <v>0</v>
      </c>
      <c r="O138" t="n">
        <v>0</v>
      </c>
      <c r="P138" t="n">
        <v>0</v>
      </c>
      <c r="Q138" t="n">
        <v>0</v>
      </c>
      <c r="R138" s="2" t="inlineStr"/>
    </row>
    <row r="139" ht="15" customHeight="1">
      <c r="A139" t="inlineStr">
        <is>
          <t>A 24665-2023</t>
        </is>
      </c>
      <c r="B139" s="1" t="n">
        <v>45084.48592592592</v>
      </c>
      <c r="C139" s="1" t="n">
        <v>45892</v>
      </c>
      <c r="D139" t="inlineStr">
        <is>
          <t>VÄSTMANLANDS LÄN</t>
        </is>
      </c>
      <c r="E139" t="inlineStr">
        <is>
          <t>SURAHAMMAR</t>
        </is>
      </c>
      <c r="G139" t="n">
        <v>0.9</v>
      </c>
      <c r="H139" t="n">
        <v>0</v>
      </c>
      <c r="I139" t="n">
        <v>0</v>
      </c>
      <c r="J139" t="n">
        <v>0</v>
      </c>
      <c r="K139" t="n">
        <v>0</v>
      </c>
      <c r="L139" t="n">
        <v>0</v>
      </c>
      <c r="M139" t="n">
        <v>0</v>
      </c>
      <c r="N139" t="n">
        <v>0</v>
      </c>
      <c r="O139" t="n">
        <v>0</v>
      </c>
      <c r="P139" t="n">
        <v>0</v>
      </c>
      <c r="Q139" t="n">
        <v>0</v>
      </c>
      <c r="R139" s="2" t="inlineStr"/>
    </row>
    <row r="140" ht="15" customHeight="1">
      <c r="A140" t="inlineStr">
        <is>
          <t>A 32808-2024</t>
        </is>
      </c>
      <c r="B140" s="1" t="n">
        <v>45516</v>
      </c>
      <c r="C140" s="1" t="n">
        <v>45892</v>
      </c>
      <c r="D140" t="inlineStr">
        <is>
          <t>VÄSTMANLANDS LÄN</t>
        </is>
      </c>
      <c r="E140" t="inlineStr">
        <is>
          <t>SURAHAMMAR</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25417-2024</t>
        </is>
      </c>
      <c r="B141" s="1" t="n">
        <v>45463</v>
      </c>
      <c r="C141" s="1" t="n">
        <v>45892</v>
      </c>
      <c r="D141" t="inlineStr">
        <is>
          <t>VÄSTMANLANDS LÄN</t>
        </is>
      </c>
      <c r="E141" t="inlineStr">
        <is>
          <t>SURAHAMMAR</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42841-2022</t>
        </is>
      </c>
      <c r="B142" s="1" t="n">
        <v>44832</v>
      </c>
      <c r="C142" s="1" t="n">
        <v>45892</v>
      </c>
      <c r="D142" t="inlineStr">
        <is>
          <t>VÄSTMANLANDS LÄN</t>
        </is>
      </c>
      <c r="E142" t="inlineStr">
        <is>
          <t>SURAHAMMAR</t>
        </is>
      </c>
      <c r="G142" t="n">
        <v>1.8</v>
      </c>
      <c r="H142" t="n">
        <v>0</v>
      </c>
      <c r="I142" t="n">
        <v>0</v>
      </c>
      <c r="J142" t="n">
        <v>0</v>
      </c>
      <c r="K142" t="n">
        <v>0</v>
      </c>
      <c r="L142" t="n">
        <v>0</v>
      </c>
      <c r="M142" t="n">
        <v>0</v>
      </c>
      <c r="N142" t="n">
        <v>0</v>
      </c>
      <c r="O142" t="n">
        <v>0</v>
      </c>
      <c r="P142" t="n">
        <v>0</v>
      </c>
      <c r="Q142" t="n">
        <v>0</v>
      </c>
      <c r="R142" s="2" t="inlineStr"/>
    </row>
    <row r="143" ht="15" customHeight="1">
      <c r="A143" t="inlineStr">
        <is>
          <t>A 37954-2025</t>
        </is>
      </c>
      <c r="B143" s="1" t="n">
        <v>45881</v>
      </c>
      <c r="C143" s="1" t="n">
        <v>45892</v>
      </c>
      <c r="D143" t="inlineStr">
        <is>
          <t>VÄSTMANLANDS LÄN</t>
        </is>
      </c>
      <c r="E143" t="inlineStr">
        <is>
          <t>SURAHAMMAR</t>
        </is>
      </c>
      <c r="G143" t="n">
        <v>9.5</v>
      </c>
      <c r="H143" t="n">
        <v>0</v>
      </c>
      <c r="I143" t="n">
        <v>0</v>
      </c>
      <c r="J143" t="n">
        <v>0</v>
      </c>
      <c r="K143" t="n">
        <v>0</v>
      </c>
      <c r="L143" t="n">
        <v>0</v>
      </c>
      <c r="M143" t="n">
        <v>0</v>
      </c>
      <c r="N143" t="n">
        <v>0</v>
      </c>
      <c r="O143" t="n">
        <v>0</v>
      </c>
      <c r="P143" t="n">
        <v>0</v>
      </c>
      <c r="Q143" t="n">
        <v>0</v>
      </c>
      <c r="R143" s="2" t="inlineStr"/>
    </row>
    <row r="144" ht="15" customHeight="1">
      <c r="A144" t="inlineStr">
        <is>
          <t>A 42829-2022</t>
        </is>
      </c>
      <c r="B144" s="1" t="n">
        <v>44832</v>
      </c>
      <c r="C144" s="1" t="n">
        <v>45892</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34582-2025</t>
        </is>
      </c>
      <c r="B145" s="1" t="n">
        <v>45846</v>
      </c>
      <c r="C145" s="1" t="n">
        <v>45892</v>
      </c>
      <c r="D145" t="inlineStr">
        <is>
          <t>VÄSTMANLANDS LÄN</t>
        </is>
      </c>
      <c r="E145" t="inlineStr">
        <is>
          <t>SURAHAMMAR</t>
        </is>
      </c>
      <c r="F145" t="inlineStr">
        <is>
          <t>Bergvik skog väst AB</t>
        </is>
      </c>
      <c r="G145" t="n">
        <v>2.6</v>
      </c>
      <c r="H145" t="n">
        <v>0</v>
      </c>
      <c r="I145" t="n">
        <v>0</v>
      </c>
      <c r="J145" t="n">
        <v>0</v>
      </c>
      <c r="K145" t="n">
        <v>0</v>
      </c>
      <c r="L145" t="n">
        <v>0</v>
      </c>
      <c r="M145" t="n">
        <v>0</v>
      </c>
      <c r="N145" t="n">
        <v>0</v>
      </c>
      <c r="O145" t="n">
        <v>0</v>
      </c>
      <c r="P145" t="n">
        <v>0</v>
      </c>
      <c r="Q145" t="n">
        <v>0</v>
      </c>
      <c r="R145" s="2" t="inlineStr"/>
    </row>
    <row r="146" ht="15" customHeight="1">
      <c r="A146" t="inlineStr">
        <is>
          <t>A 32916-2025</t>
        </is>
      </c>
      <c r="B146" s="1" t="n">
        <v>45839</v>
      </c>
      <c r="C146" s="1" t="n">
        <v>45892</v>
      </c>
      <c r="D146" t="inlineStr">
        <is>
          <t>VÄSTMANLANDS LÄN</t>
        </is>
      </c>
      <c r="E146" t="inlineStr">
        <is>
          <t>SURAHAMMAR</t>
        </is>
      </c>
      <c r="F146" t="inlineStr">
        <is>
          <t>Kommuner</t>
        </is>
      </c>
      <c r="G146" t="n">
        <v>4.9</v>
      </c>
      <c r="H146" t="n">
        <v>0</v>
      </c>
      <c r="I146" t="n">
        <v>0</v>
      </c>
      <c r="J146" t="n">
        <v>0</v>
      </c>
      <c r="K146" t="n">
        <v>0</v>
      </c>
      <c r="L146" t="n">
        <v>0</v>
      </c>
      <c r="M146" t="n">
        <v>0</v>
      </c>
      <c r="N146" t="n">
        <v>0</v>
      </c>
      <c r="O146" t="n">
        <v>0</v>
      </c>
      <c r="P146" t="n">
        <v>0</v>
      </c>
      <c r="Q146" t="n">
        <v>0</v>
      </c>
      <c r="R146" s="2" t="inlineStr"/>
    </row>
    <row r="147" ht="15" customHeight="1">
      <c r="A147" t="inlineStr">
        <is>
          <t>A 32910-2025</t>
        </is>
      </c>
      <c r="B147" s="1" t="n">
        <v>45839</v>
      </c>
      <c r="C147" s="1" t="n">
        <v>45892</v>
      </c>
      <c r="D147" t="inlineStr">
        <is>
          <t>VÄSTMANLANDS LÄN</t>
        </is>
      </c>
      <c r="E147" t="inlineStr">
        <is>
          <t>SURAHAMMAR</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34584-2025</t>
        </is>
      </c>
      <c r="B148" s="1" t="n">
        <v>45846</v>
      </c>
      <c r="C148" s="1" t="n">
        <v>45892</v>
      </c>
      <c r="D148" t="inlineStr">
        <is>
          <t>VÄSTMANLANDS LÄN</t>
        </is>
      </c>
      <c r="E148" t="inlineStr">
        <is>
          <t>SURAHAMMAR</t>
        </is>
      </c>
      <c r="F148" t="inlineStr">
        <is>
          <t>Bergvik skog väst AB</t>
        </is>
      </c>
      <c r="G148" t="n">
        <v>2.7</v>
      </c>
      <c r="H148" t="n">
        <v>0</v>
      </c>
      <c r="I148" t="n">
        <v>0</v>
      </c>
      <c r="J148" t="n">
        <v>0</v>
      </c>
      <c r="K148" t="n">
        <v>0</v>
      </c>
      <c r="L148" t="n">
        <v>0</v>
      </c>
      <c r="M148" t="n">
        <v>0</v>
      </c>
      <c r="N148" t="n">
        <v>0</v>
      </c>
      <c r="O148" t="n">
        <v>0</v>
      </c>
      <c r="P148" t="n">
        <v>0</v>
      </c>
      <c r="Q148" t="n">
        <v>0</v>
      </c>
      <c r="R148" s="2" t="inlineStr"/>
    </row>
    <row r="149" ht="15" customHeight="1">
      <c r="A149" t="inlineStr">
        <is>
          <t>A 44358-2024</t>
        </is>
      </c>
      <c r="B149" s="1" t="n">
        <v>45573</v>
      </c>
      <c r="C149" s="1" t="n">
        <v>45892</v>
      </c>
      <c r="D149" t="inlineStr">
        <is>
          <t>VÄSTMANLANDS LÄN</t>
        </is>
      </c>
      <c r="E149" t="inlineStr">
        <is>
          <t>SURAHAMMAR</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44359-2024</t>
        </is>
      </c>
      <c r="B150" s="1" t="n">
        <v>45573</v>
      </c>
      <c r="C150" s="1" t="n">
        <v>45892</v>
      </c>
      <c r="D150" t="inlineStr">
        <is>
          <t>VÄSTMANLANDS LÄN</t>
        </is>
      </c>
      <c r="E150" t="inlineStr">
        <is>
          <t>SURAHAMMAR</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2867-2024</t>
        </is>
      </c>
      <c r="B151" s="1" t="n">
        <v>45315</v>
      </c>
      <c r="C151" s="1" t="n">
        <v>45892</v>
      </c>
      <c r="D151" t="inlineStr">
        <is>
          <t>VÄSTMANLANDS LÄN</t>
        </is>
      </c>
      <c r="E151" t="inlineStr">
        <is>
          <t>SURAHAMMAR</t>
        </is>
      </c>
      <c r="F151" t="inlineStr">
        <is>
          <t>Bergvik skog väst AB</t>
        </is>
      </c>
      <c r="G151" t="n">
        <v>1.4</v>
      </c>
      <c r="H151" t="n">
        <v>0</v>
      </c>
      <c r="I151" t="n">
        <v>0</v>
      </c>
      <c r="J151" t="n">
        <v>0</v>
      </c>
      <c r="K151" t="n">
        <v>0</v>
      </c>
      <c r="L151" t="n">
        <v>0</v>
      </c>
      <c r="M151" t="n">
        <v>0</v>
      </c>
      <c r="N151" t="n">
        <v>0</v>
      </c>
      <c r="O151" t="n">
        <v>0</v>
      </c>
      <c r="P151" t="n">
        <v>0</v>
      </c>
      <c r="Q151" t="n">
        <v>0</v>
      </c>
      <c r="R151" s="2" t="inlineStr"/>
    </row>
    <row r="152" ht="15" customHeight="1">
      <c r="A152" t="inlineStr">
        <is>
          <t>A 3085-2023</t>
        </is>
      </c>
      <c r="B152" s="1" t="n">
        <v>44946</v>
      </c>
      <c r="C152" s="1" t="n">
        <v>45892</v>
      </c>
      <c r="D152" t="inlineStr">
        <is>
          <t>VÄSTMANLANDS LÄN</t>
        </is>
      </c>
      <c r="E152" t="inlineStr">
        <is>
          <t>SURAHAMMAR</t>
        </is>
      </c>
      <c r="F152" t="inlineStr">
        <is>
          <t>Kyrkan</t>
        </is>
      </c>
      <c r="G152" t="n">
        <v>13</v>
      </c>
      <c r="H152" t="n">
        <v>0</v>
      </c>
      <c r="I152" t="n">
        <v>0</v>
      </c>
      <c r="J152" t="n">
        <v>0</v>
      </c>
      <c r="K152" t="n">
        <v>0</v>
      </c>
      <c r="L152" t="n">
        <v>0</v>
      </c>
      <c r="M152" t="n">
        <v>0</v>
      </c>
      <c r="N152" t="n">
        <v>0</v>
      </c>
      <c r="O152" t="n">
        <v>0</v>
      </c>
      <c r="P152" t="n">
        <v>0</v>
      </c>
      <c r="Q152" t="n">
        <v>0</v>
      </c>
      <c r="R152" s="2" t="inlineStr"/>
    </row>
    <row r="153">
      <c r="A153" t="inlineStr">
        <is>
          <t>A 21509-2024</t>
        </is>
      </c>
      <c r="B153" s="1" t="n">
        <v>45441</v>
      </c>
      <c r="C153" s="1" t="n">
        <v>45892</v>
      </c>
      <c r="D153" t="inlineStr">
        <is>
          <t>VÄSTMANLANDS LÄN</t>
        </is>
      </c>
      <c r="E153" t="inlineStr">
        <is>
          <t>SURAHAMMAR</t>
        </is>
      </c>
      <c r="F153" t="inlineStr">
        <is>
          <t>Bergvik skog väst AB</t>
        </is>
      </c>
      <c r="G153" t="n">
        <v>3.9</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2025-08-23T08:35:47Z</dcterms:created>
  <dcterms:modified xmlns:dcterms="http://purl.org/dc/terms/" xmlns:xsi="http://www.w3.org/2001/XMLSchema-instance" xsi:type="dcterms:W3CDTF">2025-08-23T08:35:47Z</dcterms:modified>
</cp:coreProperties>
</file>