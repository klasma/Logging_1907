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46012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46012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46012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46012</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46012</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46012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46012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46012</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46012</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46012</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46012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46012</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46012</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46012</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46012</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46012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46012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46012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46012</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46012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46012</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46012</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46012</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21716-2025</t>
        </is>
      </c>
      <c r="B26" s="1" t="n">
        <v>45783.54804398148</v>
      </c>
      <c r="C26" s="1" t="n">
        <v>46012</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46012</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46012</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42860-2022</t>
        </is>
      </c>
      <c r="B29" s="1" t="n">
        <v>44832</v>
      </c>
      <c r="C29" s="1" t="n">
        <v>46012</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46012</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46012</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46012</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46012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46012</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46012</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46012</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46012</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46012</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46012</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46012</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46012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46012</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63146-2025</t>
        </is>
      </c>
      <c r="B43" s="1" t="n">
        <v>46009</v>
      </c>
      <c r="C43" s="1" t="n">
        <v>46012</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46012</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37800-2021</t>
        </is>
      </c>
      <c r="B45" s="1" t="n">
        <v>44402</v>
      </c>
      <c r="C45" s="1" t="n">
        <v>46012</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46012</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46012</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46012</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46012</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46012</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46012</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46012</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13788-2025</t>
        </is>
      </c>
      <c r="B53" s="1" t="n">
        <v>45737.45327546296</v>
      </c>
      <c r="C53" s="1" t="n">
        <v>46012</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69777-2021</t>
        </is>
      </c>
      <c r="B54" s="1" t="n">
        <v>44532</v>
      </c>
      <c r="C54" s="1" t="n">
        <v>46012</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46012</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42089-2025</t>
        </is>
      </c>
      <c r="B56" s="1" t="n">
        <v>45902</v>
      </c>
      <c r="C56" s="1" t="n">
        <v>46012</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47453-2024</t>
        </is>
      </c>
      <c r="B57" s="1" t="n">
        <v>45587.55017361111</v>
      </c>
      <c r="C57" s="1" t="n">
        <v>46012</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10819-2024</t>
        </is>
      </c>
      <c r="B58" s="1" t="n">
        <v>45369.66049768519</v>
      </c>
      <c r="C58" s="1" t="n">
        <v>46012</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56768-2025</t>
        </is>
      </c>
      <c r="B59" s="1" t="n">
        <v>45978</v>
      </c>
      <c r="C59" s="1" t="n">
        <v>46012</v>
      </c>
      <c r="D59" t="inlineStr">
        <is>
          <t>VÄSTMANLANDS LÄN</t>
        </is>
      </c>
      <c r="E59" t="inlineStr">
        <is>
          <t>SURAHAMMAR</t>
        </is>
      </c>
      <c r="F59" t="inlineStr">
        <is>
          <t>Sveaskog</t>
        </is>
      </c>
      <c r="G59" t="n">
        <v>3.8</v>
      </c>
      <c r="H59" t="n">
        <v>0</v>
      </c>
      <c r="I59" t="n">
        <v>0</v>
      </c>
      <c r="J59" t="n">
        <v>1</v>
      </c>
      <c r="K59" t="n">
        <v>0</v>
      </c>
      <c r="L59" t="n">
        <v>0</v>
      </c>
      <c r="M59" t="n">
        <v>0</v>
      </c>
      <c r="N59" t="n">
        <v>0</v>
      </c>
      <c r="O59" t="n">
        <v>1</v>
      </c>
      <c r="P59" t="n">
        <v>0</v>
      </c>
      <c r="Q59" t="n">
        <v>1</v>
      </c>
      <c r="R59" s="2" t="inlineStr">
        <is>
          <t>Motaggsvamp</t>
        </is>
      </c>
      <c r="S59">
        <f>HYPERLINK("https://klasma.github.io/Logging_1907/artfynd/A 56768-2025 artfynd.xlsx", "A 56768-2025")</f>
        <v/>
      </c>
      <c r="T59">
        <f>HYPERLINK("https://klasma.github.io/Logging_1907/kartor/A 56768-2025 karta.png", "A 56768-2025")</f>
        <v/>
      </c>
      <c r="V59">
        <f>HYPERLINK("https://klasma.github.io/Logging_1907/klagomål/A 56768-2025 FSC-klagomål.docx", "A 56768-2025")</f>
        <v/>
      </c>
      <c r="W59">
        <f>HYPERLINK("https://klasma.github.io/Logging_1907/klagomålsmail/A 56768-2025 FSC-klagomål mail.docx", "A 56768-2025")</f>
        <v/>
      </c>
      <c r="X59">
        <f>HYPERLINK("https://klasma.github.io/Logging_1907/tillsyn/A 56768-2025 tillsynsbegäran.docx", "A 56768-2025")</f>
        <v/>
      </c>
      <c r="Y59">
        <f>HYPERLINK("https://klasma.github.io/Logging_1907/tillsynsmail/A 56768-2025 tillsynsbegäran mail.docx", "A 56768-2025")</f>
        <v/>
      </c>
    </row>
    <row r="60" ht="15" customHeight="1">
      <c r="A60" t="inlineStr">
        <is>
          <t>A 40411-2021</t>
        </is>
      </c>
      <c r="B60" s="1" t="n">
        <v>44419</v>
      </c>
      <c r="C60" s="1" t="n">
        <v>46012</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46012</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46012</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46012</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55042-2025</t>
        </is>
      </c>
      <c r="B64" s="1" t="n">
        <v>45967.65858796296</v>
      </c>
      <c r="C64" s="1" t="n">
        <v>46012</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63145-2025</t>
        </is>
      </c>
      <c r="B65" s="1" t="n">
        <v>46009</v>
      </c>
      <c r="C65" s="1" t="n">
        <v>46012</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25583-2024</t>
        </is>
      </c>
      <c r="B66" s="1" t="n">
        <v>45463</v>
      </c>
      <c r="C66" s="1" t="n">
        <v>46012</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13971-2023</t>
        </is>
      </c>
      <c r="B67" s="1" t="n">
        <v>45007</v>
      </c>
      <c r="C67" s="1" t="n">
        <v>46012</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46012</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46012</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17632-2022</t>
        </is>
      </c>
      <c r="B70" s="1" t="n">
        <v>44680</v>
      </c>
      <c r="C70" s="1" t="n">
        <v>46012</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46012</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46012</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1492-2021</t>
        </is>
      </c>
      <c r="B73" s="1" t="n">
        <v>44209</v>
      </c>
      <c r="C73" s="1" t="n">
        <v>46012</v>
      </c>
      <c r="D73" t="inlineStr">
        <is>
          <t>VÄSTMANLANDS LÄN</t>
        </is>
      </c>
      <c r="E73" t="inlineStr">
        <is>
          <t>SURAHAMMAR</t>
        </is>
      </c>
      <c r="G73" t="n">
        <v>1.2</v>
      </c>
      <c r="H73" t="n">
        <v>0</v>
      </c>
      <c r="I73" t="n">
        <v>0</v>
      </c>
      <c r="J73" t="n">
        <v>0</v>
      </c>
      <c r="K73" t="n">
        <v>0</v>
      </c>
      <c r="L73" t="n">
        <v>0</v>
      </c>
      <c r="M73" t="n">
        <v>0</v>
      </c>
      <c r="N73" t="n">
        <v>0</v>
      </c>
      <c r="O73" t="n">
        <v>0</v>
      </c>
      <c r="P73" t="n">
        <v>0</v>
      </c>
      <c r="Q73" t="n">
        <v>0</v>
      </c>
      <c r="R73" s="2" t="inlineStr"/>
    </row>
    <row r="74" ht="15" customHeight="1">
      <c r="A74" t="inlineStr">
        <is>
          <t>A 64073-2021</t>
        </is>
      </c>
      <c r="B74" s="1" t="n">
        <v>44509</v>
      </c>
      <c r="C74" s="1" t="n">
        <v>46012</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46012</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46012</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46012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46012</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46012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46012</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46012</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46012</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46012</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46012</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46012</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46012</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46012</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46012</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46012</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46012</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46012</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46012</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46012</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46012</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46012</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46012</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34582-2025</t>
        </is>
      </c>
      <c r="B97" s="1" t="n">
        <v>45846</v>
      </c>
      <c r="C97" s="1" t="n">
        <v>46012</v>
      </c>
      <c r="D97" t="inlineStr">
        <is>
          <t>VÄSTMANLANDS LÄN</t>
        </is>
      </c>
      <c r="E97" t="inlineStr">
        <is>
          <t>SURAHAMMAR</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46012</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46012</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46012</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46012</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46012</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46012</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46012</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46012</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46012</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56378-2023</t>
        </is>
      </c>
      <c r="B107" s="1" t="n">
        <v>45236</v>
      </c>
      <c r="C107" s="1" t="n">
        <v>46012</v>
      </c>
      <c r="D107" t="inlineStr">
        <is>
          <t>VÄSTMANLANDS LÄN</t>
        </is>
      </c>
      <c r="E107" t="inlineStr">
        <is>
          <t>SURAHAMMAR</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11728-2023</t>
        </is>
      </c>
      <c r="B108" s="1" t="n">
        <v>44993</v>
      </c>
      <c r="C108" s="1" t="n">
        <v>46012</v>
      </c>
      <c r="D108" t="inlineStr">
        <is>
          <t>VÄSTMANLANDS LÄN</t>
        </is>
      </c>
      <c r="E108" t="inlineStr">
        <is>
          <t>SURAHAMMAR</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46012</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46012</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46012</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55868-2025</t>
        </is>
      </c>
      <c r="B112" s="1" t="n">
        <v>45973.35263888889</v>
      </c>
      <c r="C112" s="1" t="n">
        <v>46012</v>
      </c>
      <c r="D112" t="inlineStr">
        <is>
          <t>VÄSTMANLANDS LÄN</t>
        </is>
      </c>
      <c r="E112" t="inlineStr">
        <is>
          <t>SURAHAMMAR</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55873-2025</t>
        </is>
      </c>
      <c r="B113" s="1" t="n">
        <v>45973.35608796297</v>
      </c>
      <c r="C113" s="1" t="n">
        <v>46012</v>
      </c>
      <c r="D113" t="inlineStr">
        <is>
          <t>VÄSTMANLANDS LÄN</t>
        </is>
      </c>
      <c r="E113" t="inlineStr">
        <is>
          <t>SURAHAMMAR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55874-2025</t>
        </is>
      </c>
      <c r="B114" s="1" t="n">
        <v>45973.3569212963</v>
      </c>
      <c r="C114" s="1" t="n">
        <v>46012</v>
      </c>
      <c r="D114" t="inlineStr">
        <is>
          <t>VÄSTMANLANDS LÄN</t>
        </is>
      </c>
      <c r="E114" t="inlineStr">
        <is>
          <t>SURAHAMMAR</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46012</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16013-2023</t>
        </is>
      </c>
      <c r="B116" s="1" t="n">
        <v>45026</v>
      </c>
      <c r="C116" s="1" t="n">
        <v>46012</v>
      </c>
      <c r="D116" t="inlineStr">
        <is>
          <t>VÄSTMANLANDS LÄN</t>
        </is>
      </c>
      <c r="E116" t="inlineStr">
        <is>
          <t>SURAHAMMAR</t>
        </is>
      </c>
      <c r="G116" t="n">
        <v>3.9</v>
      </c>
      <c r="H116" t="n">
        <v>0</v>
      </c>
      <c r="I116" t="n">
        <v>0</v>
      </c>
      <c r="J116" t="n">
        <v>0</v>
      </c>
      <c r="K116" t="n">
        <v>0</v>
      </c>
      <c r="L116" t="n">
        <v>0</v>
      </c>
      <c r="M116" t="n">
        <v>0</v>
      </c>
      <c r="N116" t="n">
        <v>0</v>
      </c>
      <c r="O116" t="n">
        <v>0</v>
      </c>
      <c r="P116" t="n">
        <v>0</v>
      </c>
      <c r="Q116" t="n">
        <v>0</v>
      </c>
      <c r="R116" s="2" t="inlineStr"/>
    </row>
    <row r="117" ht="15" customHeight="1">
      <c r="A117" t="inlineStr">
        <is>
          <t>A 55871-2025</t>
        </is>
      </c>
      <c r="B117" s="1" t="n">
        <v>45973.35452546296</v>
      </c>
      <c r="C117" s="1" t="n">
        <v>46012</v>
      </c>
      <c r="D117" t="inlineStr">
        <is>
          <t>VÄSTMANLANDS LÄN</t>
        </is>
      </c>
      <c r="E117" t="inlineStr">
        <is>
          <t>SURAHAMMAR</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46012</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42829-2022</t>
        </is>
      </c>
      <c r="B119" s="1" t="n">
        <v>44832</v>
      </c>
      <c r="C119" s="1" t="n">
        <v>46012</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46012</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56543-2025</t>
        </is>
      </c>
      <c r="B121" s="1" t="n">
        <v>45975</v>
      </c>
      <c r="C121" s="1" t="n">
        <v>46012</v>
      </c>
      <c r="D121" t="inlineStr">
        <is>
          <t>VÄSTMANLANDS LÄN</t>
        </is>
      </c>
      <c r="E121" t="inlineStr">
        <is>
          <t>SURAHAMMAR</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34955-2022</t>
        </is>
      </c>
      <c r="B122" s="1" t="n">
        <v>44796</v>
      </c>
      <c r="C122" s="1" t="n">
        <v>46012</v>
      </c>
      <c r="D122" t="inlineStr">
        <is>
          <t>VÄSTMANLANDS LÄN</t>
        </is>
      </c>
      <c r="E122" t="inlineStr">
        <is>
          <t>SURAHAMMAR</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46012</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46012</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48205-2023</t>
        </is>
      </c>
      <c r="B125" s="1" t="n">
        <v>45205</v>
      </c>
      <c r="C125" s="1" t="n">
        <v>46012</v>
      </c>
      <c r="D125" t="inlineStr">
        <is>
          <t>VÄSTMANLANDS LÄN</t>
        </is>
      </c>
      <c r="E125" t="inlineStr">
        <is>
          <t>SURAHAMMAR</t>
        </is>
      </c>
      <c r="F125" t="inlineStr">
        <is>
          <t>Allmännings- och besparingsskogar</t>
        </is>
      </c>
      <c r="G125" t="n">
        <v>7.6</v>
      </c>
      <c r="H125" t="n">
        <v>0</v>
      </c>
      <c r="I125" t="n">
        <v>0</v>
      </c>
      <c r="J125" t="n">
        <v>0</v>
      </c>
      <c r="K125" t="n">
        <v>0</v>
      </c>
      <c r="L125" t="n">
        <v>0</v>
      </c>
      <c r="M125" t="n">
        <v>0</v>
      </c>
      <c r="N125" t="n">
        <v>0</v>
      </c>
      <c r="O125" t="n">
        <v>0</v>
      </c>
      <c r="P125" t="n">
        <v>0</v>
      </c>
      <c r="Q125" t="n">
        <v>0</v>
      </c>
      <c r="R125" s="2" t="inlineStr"/>
    </row>
    <row r="126" ht="15" customHeight="1">
      <c r="A126" t="inlineStr">
        <is>
          <t>A 59399-2025</t>
        </is>
      </c>
      <c r="B126" s="1" t="n">
        <v>45989</v>
      </c>
      <c r="C126" s="1" t="n">
        <v>46012</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56541-2025</t>
        </is>
      </c>
      <c r="B127" s="1" t="n">
        <v>45975</v>
      </c>
      <c r="C127" s="1" t="n">
        <v>46012</v>
      </c>
      <c r="D127" t="inlineStr">
        <is>
          <t>VÄSTMANLANDS LÄN</t>
        </is>
      </c>
      <c r="E127" t="inlineStr">
        <is>
          <t>SURAHAMMAR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33931-2022</t>
        </is>
      </c>
      <c r="B128" s="1" t="n">
        <v>44790.65153935185</v>
      </c>
      <c r="C128" s="1" t="n">
        <v>46012</v>
      </c>
      <c r="D128" t="inlineStr">
        <is>
          <t>VÄSTMANLANDS LÄN</t>
        </is>
      </c>
      <c r="E128" t="inlineStr">
        <is>
          <t>SURAHAMMAR</t>
        </is>
      </c>
      <c r="G128" t="n">
        <v>2.2</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46012</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30076-2023</t>
        </is>
      </c>
      <c r="B130" s="1" t="n">
        <v>45110</v>
      </c>
      <c r="C130" s="1" t="n">
        <v>46012</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63138-2025</t>
        </is>
      </c>
      <c r="B131" s="1" t="n">
        <v>46009</v>
      </c>
      <c r="C131" s="1" t="n">
        <v>46012</v>
      </c>
      <c r="D131" t="inlineStr">
        <is>
          <t>VÄSTMANLANDS LÄN</t>
        </is>
      </c>
      <c r="E131" t="inlineStr">
        <is>
          <t>SURAHAMMAR</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46012</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46012</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46012</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24665-2023</t>
        </is>
      </c>
      <c r="B135" s="1" t="n">
        <v>45084.48592592592</v>
      </c>
      <c r="C135" s="1" t="n">
        <v>46012</v>
      </c>
      <c r="D135" t="inlineStr">
        <is>
          <t>VÄSTMANLANDS LÄN</t>
        </is>
      </c>
      <c r="E135" t="inlineStr">
        <is>
          <t>SURAHAMMAR</t>
        </is>
      </c>
      <c r="G135" t="n">
        <v>0.9</v>
      </c>
      <c r="H135" t="n">
        <v>0</v>
      </c>
      <c r="I135" t="n">
        <v>0</v>
      </c>
      <c r="J135" t="n">
        <v>0</v>
      </c>
      <c r="K135" t="n">
        <v>0</v>
      </c>
      <c r="L135" t="n">
        <v>0</v>
      </c>
      <c r="M135" t="n">
        <v>0</v>
      </c>
      <c r="N135" t="n">
        <v>0</v>
      </c>
      <c r="O135" t="n">
        <v>0</v>
      </c>
      <c r="P135" t="n">
        <v>0</v>
      </c>
      <c r="Q135" t="n">
        <v>0</v>
      </c>
      <c r="R135" s="2" t="inlineStr"/>
    </row>
    <row r="136" ht="15" customHeight="1">
      <c r="A136" t="inlineStr">
        <is>
          <t>A 24167-2024</t>
        </is>
      </c>
      <c r="B136" s="1" t="n">
        <v>45456</v>
      </c>
      <c r="C136" s="1" t="n">
        <v>46012</v>
      </c>
      <c r="D136" t="inlineStr">
        <is>
          <t>VÄSTMANLANDS LÄN</t>
        </is>
      </c>
      <c r="E136" t="inlineStr">
        <is>
          <t>SURAHAMMAR</t>
        </is>
      </c>
      <c r="G136" t="n">
        <v>0.6</v>
      </c>
      <c r="H136" t="n">
        <v>0</v>
      </c>
      <c r="I136" t="n">
        <v>0</v>
      </c>
      <c r="J136" t="n">
        <v>0</v>
      </c>
      <c r="K136" t="n">
        <v>0</v>
      </c>
      <c r="L136" t="n">
        <v>0</v>
      </c>
      <c r="M136" t="n">
        <v>0</v>
      </c>
      <c r="N136" t="n">
        <v>0</v>
      </c>
      <c r="O136" t="n">
        <v>0</v>
      </c>
      <c r="P136" t="n">
        <v>0</v>
      </c>
      <c r="Q136" t="n">
        <v>0</v>
      </c>
      <c r="R136" s="2" t="inlineStr"/>
    </row>
    <row r="137" ht="15" customHeight="1">
      <c r="A137" t="inlineStr">
        <is>
          <t>A 72367-2021</t>
        </is>
      </c>
      <c r="B137" s="1" t="n">
        <v>44545</v>
      </c>
      <c r="C137" s="1" t="n">
        <v>46012</v>
      </c>
      <c r="D137" t="inlineStr">
        <is>
          <t>VÄSTMANLANDS LÄN</t>
        </is>
      </c>
      <c r="E137" t="inlineStr">
        <is>
          <t>SURAHAMMAR</t>
        </is>
      </c>
      <c r="G137" t="n">
        <v>2.5</v>
      </c>
      <c r="H137" t="n">
        <v>0</v>
      </c>
      <c r="I137" t="n">
        <v>0</v>
      </c>
      <c r="J137" t="n">
        <v>0</v>
      </c>
      <c r="K137" t="n">
        <v>0</v>
      </c>
      <c r="L137" t="n">
        <v>0</v>
      </c>
      <c r="M137" t="n">
        <v>0</v>
      </c>
      <c r="N137" t="n">
        <v>0</v>
      </c>
      <c r="O137" t="n">
        <v>0</v>
      </c>
      <c r="P137" t="n">
        <v>0</v>
      </c>
      <c r="Q137" t="n">
        <v>0</v>
      </c>
      <c r="R137" s="2" t="inlineStr"/>
    </row>
    <row r="138" ht="15" customHeight="1">
      <c r="A138" t="inlineStr">
        <is>
          <t>A 42714-2022</t>
        </is>
      </c>
      <c r="B138" s="1" t="n">
        <v>44832</v>
      </c>
      <c r="C138" s="1" t="n">
        <v>46012</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37287-2023</t>
        </is>
      </c>
      <c r="B139" s="1" t="n">
        <v>45156</v>
      </c>
      <c r="C139" s="1" t="n">
        <v>46012</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49058-2024</t>
        </is>
      </c>
      <c r="B140" s="1" t="n">
        <v>45594</v>
      </c>
      <c r="C140" s="1" t="n">
        <v>46012</v>
      </c>
      <c r="D140" t="inlineStr">
        <is>
          <t>VÄSTMANLANDS LÄN</t>
        </is>
      </c>
      <c r="E140" t="inlineStr">
        <is>
          <t>SURAHAMMAR</t>
        </is>
      </c>
      <c r="F140" t="inlineStr">
        <is>
          <t>Sveaskog</t>
        </is>
      </c>
      <c r="G140" t="n">
        <v>11.4</v>
      </c>
      <c r="H140" t="n">
        <v>0</v>
      </c>
      <c r="I140" t="n">
        <v>0</v>
      </c>
      <c r="J140" t="n">
        <v>0</v>
      </c>
      <c r="K140" t="n">
        <v>0</v>
      </c>
      <c r="L140" t="n">
        <v>0</v>
      </c>
      <c r="M140" t="n">
        <v>0</v>
      </c>
      <c r="N140" t="n">
        <v>0</v>
      </c>
      <c r="O140" t="n">
        <v>0</v>
      </c>
      <c r="P140" t="n">
        <v>0</v>
      </c>
      <c r="Q140" t="n">
        <v>0</v>
      </c>
      <c r="R140" s="2" t="inlineStr"/>
    </row>
    <row r="141" ht="15" customHeight="1">
      <c r="A141" t="inlineStr">
        <is>
          <t>A 49060-2024</t>
        </is>
      </c>
      <c r="B141" s="1" t="n">
        <v>45594</v>
      </c>
      <c r="C141" s="1" t="n">
        <v>46012</v>
      </c>
      <c r="D141" t="inlineStr">
        <is>
          <t>VÄSTMANLANDS LÄN</t>
        </is>
      </c>
      <c r="E141" t="inlineStr">
        <is>
          <t>SURAHAMMAR</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19099-2022</t>
        </is>
      </c>
      <c r="B142" s="1" t="n">
        <v>44691</v>
      </c>
      <c r="C142" s="1" t="n">
        <v>46012</v>
      </c>
      <c r="D142" t="inlineStr">
        <is>
          <t>VÄSTMANLANDS LÄN</t>
        </is>
      </c>
      <c r="E142" t="inlineStr">
        <is>
          <t>SURAHAMMAR</t>
        </is>
      </c>
      <c r="F142" t="inlineStr">
        <is>
          <t>Övriga Aktiebolag</t>
        </is>
      </c>
      <c r="G142" t="n">
        <v>3.4</v>
      </c>
      <c r="H142" t="n">
        <v>0</v>
      </c>
      <c r="I142" t="n">
        <v>0</v>
      </c>
      <c r="J142" t="n">
        <v>0</v>
      </c>
      <c r="K142" t="n">
        <v>0</v>
      </c>
      <c r="L142" t="n">
        <v>0</v>
      </c>
      <c r="M142" t="n">
        <v>0</v>
      </c>
      <c r="N142" t="n">
        <v>0</v>
      </c>
      <c r="O142" t="n">
        <v>0</v>
      </c>
      <c r="P142" t="n">
        <v>0</v>
      </c>
      <c r="Q142" t="n">
        <v>0</v>
      </c>
      <c r="R142" s="2" t="inlineStr"/>
    </row>
    <row r="143" ht="15" customHeight="1">
      <c r="A143" t="inlineStr">
        <is>
          <t>A 25780-2023</t>
        </is>
      </c>
      <c r="B143" s="1" t="n">
        <v>45090.47523148148</v>
      </c>
      <c r="C143" s="1" t="n">
        <v>46012</v>
      </c>
      <c r="D143" t="inlineStr">
        <is>
          <t>VÄSTMANLANDS LÄN</t>
        </is>
      </c>
      <c r="E143" t="inlineStr">
        <is>
          <t>SURAHAMMAR</t>
        </is>
      </c>
      <c r="G143" t="n">
        <v>2.8</v>
      </c>
      <c r="H143" t="n">
        <v>0</v>
      </c>
      <c r="I143" t="n">
        <v>0</v>
      </c>
      <c r="J143" t="n">
        <v>0</v>
      </c>
      <c r="K143" t="n">
        <v>0</v>
      </c>
      <c r="L143" t="n">
        <v>0</v>
      </c>
      <c r="M143" t="n">
        <v>0</v>
      </c>
      <c r="N143" t="n">
        <v>0</v>
      </c>
      <c r="O143" t="n">
        <v>0</v>
      </c>
      <c r="P143" t="n">
        <v>0</v>
      </c>
      <c r="Q143" t="n">
        <v>0</v>
      </c>
      <c r="R143" s="2" t="inlineStr"/>
    </row>
    <row r="144" ht="15" customHeight="1">
      <c r="A144" t="inlineStr">
        <is>
          <t>A 13386-2025</t>
        </is>
      </c>
      <c r="B144" s="1" t="n">
        <v>45735</v>
      </c>
      <c r="C144" s="1" t="n">
        <v>46012</v>
      </c>
      <c r="D144" t="inlineStr">
        <is>
          <t>VÄSTMANLANDS LÄN</t>
        </is>
      </c>
      <c r="E144" t="inlineStr">
        <is>
          <t>SURAHAMMAR</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35682-2022</t>
        </is>
      </c>
      <c r="B145" s="1" t="n">
        <v>44799.60422453703</v>
      </c>
      <c r="C145" s="1" t="n">
        <v>46012</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2867-2024</t>
        </is>
      </c>
      <c r="B146" s="1" t="n">
        <v>45315</v>
      </c>
      <c r="C146" s="1" t="n">
        <v>46012</v>
      </c>
      <c r="D146" t="inlineStr">
        <is>
          <t>VÄSTMANLANDS LÄN</t>
        </is>
      </c>
      <c r="E146" t="inlineStr">
        <is>
          <t>SURAHAMMAR</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2660-2024</t>
        </is>
      </c>
      <c r="B147" s="1" t="n">
        <v>45310</v>
      </c>
      <c r="C147" s="1" t="n">
        <v>46012</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41555-2022</t>
        </is>
      </c>
      <c r="B148" s="1" t="n">
        <v>44826</v>
      </c>
      <c r="C148" s="1" t="n">
        <v>46012</v>
      </c>
      <c r="D148" t="inlineStr">
        <is>
          <t>VÄSTMANLANDS LÄN</t>
        </is>
      </c>
      <c r="E148" t="inlineStr">
        <is>
          <t>SURAHAMMAR</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5567-2022</t>
        </is>
      </c>
      <c r="B149" s="1" t="n">
        <v>44595</v>
      </c>
      <c r="C149" s="1" t="n">
        <v>46012</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41576-2022</t>
        </is>
      </c>
      <c r="B150" s="1" t="n">
        <v>44826</v>
      </c>
      <c r="C150" s="1" t="n">
        <v>46012</v>
      </c>
      <c r="D150" t="inlineStr">
        <is>
          <t>VÄSTMANLANDS LÄN</t>
        </is>
      </c>
      <c r="E150" t="inlineStr">
        <is>
          <t>SURAHAMMAR</t>
        </is>
      </c>
      <c r="F150" t="inlineStr">
        <is>
          <t>Bergvik skog väst AB</t>
        </is>
      </c>
      <c r="G150" t="n">
        <v>6.4</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46012</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46012</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46012</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46012</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46012</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46012</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ht="15" customHeight="1">
      <c r="A157" t="inlineStr">
        <is>
          <t>A 7787-2024</t>
        </is>
      </c>
      <c r="B157" s="1" t="n">
        <v>45348</v>
      </c>
      <c r="C157" s="1" t="n">
        <v>46012</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row r="158" ht="15" customHeight="1">
      <c r="A158" t="inlineStr">
        <is>
          <t>A 15739-2023</t>
        </is>
      </c>
      <c r="B158" s="1" t="n">
        <v>45021</v>
      </c>
      <c r="C158" s="1" t="n">
        <v>46012</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c r="A159" t="inlineStr">
        <is>
          <t>A 38154-2021</t>
        </is>
      </c>
      <c r="B159" s="1" t="n">
        <v>44405.42373842592</v>
      </c>
      <c r="C159" s="1" t="n">
        <v>46012</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2025-12-21T10:39:36Z</dcterms:created>
  <dcterms:modified xmlns:dcterms="http://purl.org/dc/terms/" xmlns:xsi="http://www.w3.org/2001/XMLSchema-instance" xsi:type="dcterms:W3CDTF">2025-12-21T10:39:36Z</dcterms:modified>
</cp:coreProperties>
</file>