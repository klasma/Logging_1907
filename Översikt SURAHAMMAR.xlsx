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45915</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45915</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45915</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45915</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45915</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45915</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45915</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45915</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45915</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45915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45915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45915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45915</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45915</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45915</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45915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45915</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45915</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45915</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45915</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45915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45915</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45915</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45915</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45915</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45915</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45915</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45915</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42708-2022</t>
        </is>
      </c>
      <c r="B31" s="1" t="n">
        <v>44832</v>
      </c>
      <c r="C31" s="1" t="n">
        <v>45915</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48128-2023</t>
        </is>
      </c>
      <c r="B32" s="1" t="n">
        <v>45205</v>
      </c>
      <c r="C32" s="1" t="n">
        <v>45915</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8552-2022</t>
        </is>
      </c>
      <c r="B33" s="1" t="n">
        <v>44613</v>
      </c>
      <c r="C33" s="1" t="n">
        <v>45915</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45915</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45915</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45915</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45915</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45915</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45915</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45915</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45915</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45915</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45915</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45915</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45915</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25583-2024</t>
        </is>
      </c>
      <c r="B46" s="1" t="n">
        <v>45463</v>
      </c>
      <c r="C46" s="1" t="n">
        <v>45915</v>
      </c>
      <c r="D46" t="inlineStr">
        <is>
          <t>VÄSTMANLANDS LÄN</t>
        </is>
      </c>
      <c r="E46" t="inlineStr">
        <is>
          <t>SURAHAMMAR</t>
        </is>
      </c>
      <c r="F46" t="inlineStr">
        <is>
          <t>Bergvik skog väst AB</t>
        </is>
      </c>
      <c r="G46" t="n">
        <v>7.8</v>
      </c>
      <c r="H46" t="n">
        <v>1</v>
      </c>
      <c r="I46" t="n">
        <v>0</v>
      </c>
      <c r="J46" t="n">
        <v>0</v>
      </c>
      <c r="K46" t="n">
        <v>0</v>
      </c>
      <c r="L46" t="n">
        <v>0</v>
      </c>
      <c r="M46" t="n">
        <v>0</v>
      </c>
      <c r="N46" t="n">
        <v>0</v>
      </c>
      <c r="O46" t="n">
        <v>0</v>
      </c>
      <c r="P46" t="n">
        <v>0</v>
      </c>
      <c r="Q46" t="n">
        <v>1</v>
      </c>
      <c r="R46" s="2" t="inlineStr">
        <is>
          <t>Blåsippa</t>
        </is>
      </c>
      <c r="S46">
        <f>HYPERLINK("https://klasma.github.io/Logging_1907/artfynd/A 25583-2024 artfynd.xlsx", "A 25583-2024")</f>
        <v/>
      </c>
      <c r="T46">
        <f>HYPERLINK("https://klasma.github.io/Logging_1907/kartor/A 25583-2024 karta.png", "A 25583-2024")</f>
        <v/>
      </c>
      <c r="V46">
        <f>HYPERLINK("https://klasma.github.io/Logging_1907/klagomål/A 25583-2024 FSC-klagomål.docx", "A 25583-2024")</f>
        <v/>
      </c>
      <c r="W46">
        <f>HYPERLINK("https://klasma.github.io/Logging_1907/klagomålsmail/A 25583-2024 FSC-klagomål mail.docx", "A 25583-2024")</f>
        <v/>
      </c>
      <c r="X46">
        <f>HYPERLINK("https://klasma.github.io/Logging_1907/tillsyn/A 25583-2024 tillsynsbegäran.docx", "A 25583-2024")</f>
        <v/>
      </c>
      <c r="Y46">
        <f>HYPERLINK("https://klasma.github.io/Logging_1907/tillsynsmail/A 25583-2024 tillsynsbegäran mail.docx", "A 25583-2024")</f>
        <v/>
      </c>
    </row>
    <row r="47" ht="15" customHeight="1">
      <c r="A47" t="inlineStr">
        <is>
          <t>A 39099-2022</t>
        </is>
      </c>
      <c r="B47" s="1" t="n">
        <v>44817</v>
      </c>
      <c r="C47" s="1" t="n">
        <v>45915</v>
      </c>
      <c r="D47" t="inlineStr">
        <is>
          <t>VÄSTMANLANDS LÄN</t>
        </is>
      </c>
      <c r="E47" t="inlineStr">
        <is>
          <t>SURAHAMMAR</t>
        </is>
      </c>
      <c r="F47" t="inlineStr">
        <is>
          <t>Bergvik skog väst AB</t>
        </is>
      </c>
      <c r="G47" t="n">
        <v>7.4</v>
      </c>
      <c r="H47" t="n">
        <v>0</v>
      </c>
      <c r="I47" t="n">
        <v>1</v>
      </c>
      <c r="J47" t="n">
        <v>0</v>
      </c>
      <c r="K47" t="n">
        <v>0</v>
      </c>
      <c r="L47" t="n">
        <v>0</v>
      </c>
      <c r="M47" t="n">
        <v>0</v>
      </c>
      <c r="N47" t="n">
        <v>0</v>
      </c>
      <c r="O47" t="n">
        <v>0</v>
      </c>
      <c r="P47" t="n">
        <v>0</v>
      </c>
      <c r="Q47" t="n">
        <v>1</v>
      </c>
      <c r="R47" s="2" t="inlineStr">
        <is>
          <t>Stekelbock</t>
        </is>
      </c>
      <c r="S47">
        <f>HYPERLINK("https://klasma.github.io/Logging_1907/artfynd/A 39099-2022 artfynd.xlsx", "A 39099-2022")</f>
        <v/>
      </c>
      <c r="T47">
        <f>HYPERLINK("https://klasma.github.io/Logging_1907/kartor/A 39099-2022 karta.png", "A 39099-2022")</f>
        <v/>
      </c>
      <c r="V47">
        <f>HYPERLINK("https://klasma.github.io/Logging_1907/klagomål/A 39099-2022 FSC-klagomål.docx", "A 39099-2022")</f>
        <v/>
      </c>
      <c r="W47">
        <f>HYPERLINK("https://klasma.github.io/Logging_1907/klagomålsmail/A 39099-2022 FSC-klagomål mail.docx", "A 39099-2022")</f>
        <v/>
      </c>
      <c r="X47">
        <f>HYPERLINK("https://klasma.github.io/Logging_1907/tillsyn/A 39099-2022 tillsynsbegäran.docx", "A 39099-2022")</f>
        <v/>
      </c>
      <c r="Y47">
        <f>HYPERLINK("https://klasma.github.io/Logging_1907/tillsynsmail/A 39099-2022 tillsynsbegäran mail.docx", "A 39099-2022")</f>
        <v/>
      </c>
    </row>
    <row r="48" ht="15" customHeight="1">
      <c r="A48" t="inlineStr">
        <is>
          <t>A 13971-2023</t>
        </is>
      </c>
      <c r="B48" s="1" t="n">
        <v>45007</v>
      </c>
      <c r="C48" s="1" t="n">
        <v>45915</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45915</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44356-2024</t>
        </is>
      </c>
      <c r="B50" s="1" t="n">
        <v>45573</v>
      </c>
      <c r="C50" s="1" t="n">
        <v>45915</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13788-2025</t>
        </is>
      </c>
      <c r="B51" s="1" t="n">
        <v>45737.45327546296</v>
      </c>
      <c r="C51" s="1" t="n">
        <v>45915</v>
      </c>
      <c r="D51" t="inlineStr">
        <is>
          <t>VÄSTMANLANDS LÄN</t>
        </is>
      </c>
      <c r="E51" t="inlineStr">
        <is>
          <t>SURAHAMMAR</t>
        </is>
      </c>
      <c r="G51" t="n">
        <v>9.699999999999999</v>
      </c>
      <c r="H51" t="n">
        <v>1</v>
      </c>
      <c r="I51" t="n">
        <v>0</v>
      </c>
      <c r="J51" t="n">
        <v>0</v>
      </c>
      <c r="K51" t="n">
        <v>0</v>
      </c>
      <c r="L51" t="n">
        <v>0</v>
      </c>
      <c r="M51" t="n">
        <v>0</v>
      </c>
      <c r="N51" t="n">
        <v>0</v>
      </c>
      <c r="O51" t="n">
        <v>0</v>
      </c>
      <c r="P51" t="n">
        <v>0</v>
      </c>
      <c r="Q51" t="n">
        <v>1</v>
      </c>
      <c r="R51" s="2" t="inlineStr">
        <is>
          <t>Sparvuggla</t>
        </is>
      </c>
      <c r="S51">
        <f>HYPERLINK("https://klasma.github.io/Logging_1907/artfynd/A 13788-2025 artfynd.xlsx", "A 13788-2025")</f>
        <v/>
      </c>
      <c r="T51">
        <f>HYPERLINK("https://klasma.github.io/Logging_1907/kartor/A 13788-2025 karta.png", "A 13788-2025")</f>
        <v/>
      </c>
      <c r="V51">
        <f>HYPERLINK("https://klasma.github.io/Logging_1907/klagomål/A 13788-2025 FSC-klagomål.docx", "A 13788-2025")</f>
        <v/>
      </c>
      <c r="W51">
        <f>HYPERLINK("https://klasma.github.io/Logging_1907/klagomålsmail/A 13788-2025 FSC-klagomål mail.docx", "A 13788-2025")</f>
        <v/>
      </c>
      <c r="X51">
        <f>HYPERLINK("https://klasma.github.io/Logging_1907/tillsyn/A 13788-2025 tillsynsbegäran.docx", "A 13788-2025")</f>
        <v/>
      </c>
      <c r="Y51">
        <f>HYPERLINK("https://klasma.github.io/Logging_1907/tillsynsmail/A 13788-2025 tillsynsbegäran mail.docx", "A 13788-2025")</f>
        <v/>
      </c>
      <c r="Z51">
        <f>HYPERLINK("https://klasma.github.io/Logging_1907/fåglar/A 13788-2025 prioriterade fågelarter.docx", "A 13788-2025")</f>
        <v/>
      </c>
    </row>
    <row r="52" ht="15" customHeight="1">
      <c r="A52" t="inlineStr">
        <is>
          <t>A 69777-2021</t>
        </is>
      </c>
      <c r="B52" s="1" t="n">
        <v>44532</v>
      </c>
      <c r="C52" s="1" t="n">
        <v>45915</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45915</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47453-2024</t>
        </is>
      </c>
      <c r="B54" s="1" t="n">
        <v>45587.55017361111</v>
      </c>
      <c r="C54" s="1" t="n">
        <v>45915</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45915</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17632-2022</t>
        </is>
      </c>
      <c r="B56" s="1" t="n">
        <v>44680</v>
      </c>
      <c r="C56" s="1" t="n">
        <v>45915</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62097-2024</t>
        </is>
      </c>
      <c r="B57" s="1" t="n">
        <v>45646</v>
      </c>
      <c r="C57" s="1" t="n">
        <v>45915</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40411-2021</t>
        </is>
      </c>
      <c r="B58" s="1" t="n">
        <v>44419</v>
      </c>
      <c r="C58" s="1" t="n">
        <v>45915</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33231-2024</t>
        </is>
      </c>
      <c r="B59" s="1" t="n">
        <v>45518</v>
      </c>
      <c r="C59" s="1" t="n">
        <v>45915</v>
      </c>
      <c r="D59" t="inlineStr">
        <is>
          <t>VÄSTMANLANDS LÄN</t>
        </is>
      </c>
      <c r="E59" t="inlineStr">
        <is>
          <t>SURAHAMMAR</t>
        </is>
      </c>
      <c r="F59" t="inlineStr">
        <is>
          <t>Bergvik skog väst AB</t>
        </is>
      </c>
      <c r="G59" t="n">
        <v>1.5</v>
      </c>
      <c r="H59" t="n">
        <v>1</v>
      </c>
      <c r="I59" t="n">
        <v>0</v>
      </c>
      <c r="J59" t="n">
        <v>0</v>
      </c>
      <c r="K59" t="n">
        <v>0</v>
      </c>
      <c r="L59" t="n">
        <v>0</v>
      </c>
      <c r="M59" t="n">
        <v>0</v>
      </c>
      <c r="N59" t="n">
        <v>0</v>
      </c>
      <c r="O59" t="n">
        <v>0</v>
      </c>
      <c r="P59" t="n">
        <v>0</v>
      </c>
      <c r="Q59" t="n">
        <v>1</v>
      </c>
      <c r="R59" s="2" t="inlineStr">
        <is>
          <t>Mindre vattensalamander</t>
        </is>
      </c>
      <c r="S59">
        <f>HYPERLINK("https://klasma.github.io/Logging_1907/artfynd/A 33231-2024 artfynd.xlsx", "A 33231-2024")</f>
        <v/>
      </c>
      <c r="T59">
        <f>HYPERLINK("https://klasma.github.io/Logging_1907/kartor/A 33231-2024 karta.png", "A 33231-2024")</f>
        <v/>
      </c>
      <c r="V59">
        <f>HYPERLINK("https://klasma.github.io/Logging_1907/klagomål/A 33231-2024 FSC-klagomål.docx", "A 33231-2024")</f>
        <v/>
      </c>
      <c r="W59">
        <f>HYPERLINK("https://klasma.github.io/Logging_1907/klagomålsmail/A 33231-2024 FSC-klagomål mail.docx", "A 33231-2024")</f>
        <v/>
      </c>
      <c r="X59">
        <f>HYPERLINK("https://klasma.github.io/Logging_1907/tillsyn/A 33231-2024 tillsynsbegäran.docx", "A 33231-2024")</f>
        <v/>
      </c>
      <c r="Y59">
        <f>HYPERLINK("https://klasma.github.io/Logging_1907/tillsynsmail/A 33231-2024 tillsynsbegäran mail.docx", "A 33231-2024")</f>
        <v/>
      </c>
    </row>
    <row r="60" ht="15" customHeight="1">
      <c r="A60" t="inlineStr">
        <is>
          <t>A 30074-2023</t>
        </is>
      </c>
      <c r="B60" s="1" t="n">
        <v>45110</v>
      </c>
      <c r="C60" s="1" t="n">
        <v>45915</v>
      </c>
      <c r="D60" t="inlineStr">
        <is>
          <t>VÄSTMANLANDS LÄN</t>
        </is>
      </c>
      <c r="E60" t="inlineStr">
        <is>
          <t>SURAHAMMAR</t>
        </is>
      </c>
      <c r="F60" t="inlineStr">
        <is>
          <t>Sveaskog</t>
        </is>
      </c>
      <c r="G60" t="n">
        <v>1.1</v>
      </c>
      <c r="H60" t="n">
        <v>1</v>
      </c>
      <c r="I60" t="n">
        <v>0</v>
      </c>
      <c r="J60" t="n">
        <v>0</v>
      </c>
      <c r="K60" t="n">
        <v>0</v>
      </c>
      <c r="L60" t="n">
        <v>0</v>
      </c>
      <c r="M60" t="n">
        <v>0</v>
      </c>
      <c r="N60" t="n">
        <v>0</v>
      </c>
      <c r="O60" t="n">
        <v>0</v>
      </c>
      <c r="P60" t="n">
        <v>0</v>
      </c>
      <c r="Q60" t="n">
        <v>1</v>
      </c>
      <c r="R60" s="2" t="inlineStr">
        <is>
          <t>Revlummer</t>
        </is>
      </c>
      <c r="S60">
        <f>HYPERLINK("https://klasma.github.io/Logging_1907/artfynd/A 30074-2023 artfynd.xlsx", "A 30074-2023")</f>
        <v/>
      </c>
      <c r="T60">
        <f>HYPERLINK("https://klasma.github.io/Logging_1907/kartor/A 30074-2023 karta.png", "A 30074-2023")</f>
        <v/>
      </c>
      <c r="V60">
        <f>HYPERLINK("https://klasma.github.io/Logging_1907/klagomål/A 30074-2023 FSC-klagomål.docx", "A 30074-2023")</f>
        <v/>
      </c>
      <c r="W60">
        <f>HYPERLINK("https://klasma.github.io/Logging_1907/klagomålsmail/A 30074-2023 FSC-klagomål mail.docx", "A 30074-2023")</f>
        <v/>
      </c>
      <c r="X60">
        <f>HYPERLINK("https://klasma.github.io/Logging_1907/tillsyn/A 30074-2023 tillsynsbegäran.docx", "A 30074-2023")</f>
        <v/>
      </c>
      <c r="Y60">
        <f>HYPERLINK("https://klasma.github.io/Logging_1907/tillsynsmail/A 30074-2023 tillsynsbegäran mail.docx", "A 30074-2023")</f>
        <v/>
      </c>
    </row>
    <row r="61" ht="15" customHeight="1">
      <c r="A61" t="inlineStr">
        <is>
          <t>A 31176-2024</t>
        </is>
      </c>
      <c r="B61" s="1" t="n">
        <v>45503</v>
      </c>
      <c r="C61" s="1" t="n">
        <v>45915</v>
      </c>
      <c r="D61" t="inlineStr">
        <is>
          <t>VÄSTMANLANDS LÄN</t>
        </is>
      </c>
      <c r="E61" t="inlineStr">
        <is>
          <t>SURAHAMMAR</t>
        </is>
      </c>
      <c r="F61" t="inlineStr">
        <is>
          <t>Allmännings- och besparingsskogar</t>
        </is>
      </c>
      <c r="G61" t="n">
        <v>10.7</v>
      </c>
      <c r="H61" t="n">
        <v>0</v>
      </c>
      <c r="I61" t="n">
        <v>0</v>
      </c>
      <c r="J61" t="n">
        <v>1</v>
      </c>
      <c r="K61" t="n">
        <v>0</v>
      </c>
      <c r="L61" t="n">
        <v>0</v>
      </c>
      <c r="M61" t="n">
        <v>0</v>
      </c>
      <c r="N61" t="n">
        <v>0</v>
      </c>
      <c r="O61" t="n">
        <v>1</v>
      </c>
      <c r="P61" t="n">
        <v>0</v>
      </c>
      <c r="Q61" t="n">
        <v>1</v>
      </c>
      <c r="R61" s="2" t="inlineStr">
        <is>
          <t>Doftskinn</t>
        </is>
      </c>
      <c r="S61">
        <f>HYPERLINK("https://klasma.github.io/Logging_1907/artfynd/A 31176-2024 artfynd.xlsx", "A 31176-2024")</f>
        <v/>
      </c>
      <c r="T61">
        <f>HYPERLINK("https://klasma.github.io/Logging_1907/kartor/A 31176-2024 karta.png", "A 31176-2024")</f>
        <v/>
      </c>
      <c r="V61">
        <f>HYPERLINK("https://klasma.github.io/Logging_1907/klagomål/A 31176-2024 FSC-klagomål.docx", "A 31176-2024")</f>
        <v/>
      </c>
      <c r="W61">
        <f>HYPERLINK("https://klasma.github.io/Logging_1907/klagomålsmail/A 31176-2024 FSC-klagomål mail.docx", "A 31176-2024")</f>
        <v/>
      </c>
      <c r="X61">
        <f>HYPERLINK("https://klasma.github.io/Logging_1907/tillsyn/A 31176-2024 tillsynsbegäran.docx", "A 31176-2024")</f>
        <v/>
      </c>
      <c r="Y61">
        <f>HYPERLINK("https://klasma.github.io/Logging_1907/tillsynsmail/A 31176-2024 tillsynsbegäran mail.docx", "A 31176-2024")</f>
        <v/>
      </c>
    </row>
    <row r="62" ht="15" customHeight="1">
      <c r="A62" t="inlineStr">
        <is>
          <t>A 40403-2025</t>
        </is>
      </c>
      <c r="B62" s="1" t="n">
        <v>45895</v>
      </c>
      <c r="C62" s="1" t="n">
        <v>45915</v>
      </c>
      <c r="D62" t="inlineStr">
        <is>
          <t>VÄSTMANLANDS LÄN</t>
        </is>
      </c>
      <c r="E62" t="inlineStr">
        <is>
          <t>SURAHAMMAR</t>
        </is>
      </c>
      <c r="F62" t="inlineStr">
        <is>
          <t>Kommuner</t>
        </is>
      </c>
      <c r="G62" t="n">
        <v>3.9</v>
      </c>
      <c r="H62" t="n">
        <v>0</v>
      </c>
      <c r="I62" t="n">
        <v>0</v>
      </c>
      <c r="J62" t="n">
        <v>1</v>
      </c>
      <c r="K62" t="n">
        <v>0</v>
      </c>
      <c r="L62" t="n">
        <v>0</v>
      </c>
      <c r="M62" t="n">
        <v>0</v>
      </c>
      <c r="N62" t="n">
        <v>0</v>
      </c>
      <c r="O62" t="n">
        <v>1</v>
      </c>
      <c r="P62" t="n">
        <v>0</v>
      </c>
      <c r="Q62" t="n">
        <v>1</v>
      </c>
      <c r="R62" s="2" t="inlineStr">
        <is>
          <t>Igelkott</t>
        </is>
      </c>
      <c r="S62">
        <f>HYPERLINK("https://klasma.github.io/Logging_1907/artfynd/A 40403-2025 artfynd.xlsx", "A 40403-2025")</f>
        <v/>
      </c>
      <c r="T62">
        <f>HYPERLINK("https://klasma.github.io/Logging_1907/kartor/A 40403-2025 karta.png", "A 40403-2025")</f>
        <v/>
      </c>
      <c r="V62">
        <f>HYPERLINK("https://klasma.github.io/Logging_1907/klagomål/A 40403-2025 FSC-klagomål.docx", "A 40403-2025")</f>
        <v/>
      </c>
      <c r="W62">
        <f>HYPERLINK("https://klasma.github.io/Logging_1907/klagomålsmail/A 40403-2025 FSC-klagomål mail.docx", "A 40403-2025")</f>
        <v/>
      </c>
      <c r="X62">
        <f>HYPERLINK("https://klasma.github.io/Logging_1907/tillsyn/A 40403-2025 tillsynsbegäran.docx", "A 40403-2025")</f>
        <v/>
      </c>
      <c r="Y62">
        <f>HYPERLINK("https://klasma.github.io/Logging_1907/tillsynsmail/A 40403-2025 tillsynsbegäran mail.docx", "A 40403-2025")</f>
        <v/>
      </c>
    </row>
    <row r="63" ht="15" customHeight="1">
      <c r="A63" t="inlineStr">
        <is>
          <t>A 22840-2023</t>
        </is>
      </c>
      <c r="B63" s="1" t="n">
        <v>45072</v>
      </c>
      <c r="C63" s="1" t="n">
        <v>45915</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42089-2025</t>
        </is>
      </c>
      <c r="B64" s="1" t="n">
        <v>45902</v>
      </c>
      <c r="C64" s="1" t="n">
        <v>45915</v>
      </c>
      <c r="D64" t="inlineStr">
        <is>
          <t>VÄSTMANLANDS LÄN</t>
        </is>
      </c>
      <c r="E64" t="inlineStr">
        <is>
          <t>SURAHAMMAR</t>
        </is>
      </c>
      <c r="G64" t="n">
        <v>2.2</v>
      </c>
      <c r="H64" t="n">
        <v>0</v>
      </c>
      <c r="I64" t="n">
        <v>0</v>
      </c>
      <c r="J64" t="n">
        <v>1</v>
      </c>
      <c r="K64" t="n">
        <v>0</v>
      </c>
      <c r="L64" t="n">
        <v>0</v>
      </c>
      <c r="M64" t="n">
        <v>0</v>
      </c>
      <c r="N64" t="n">
        <v>0</v>
      </c>
      <c r="O64" t="n">
        <v>1</v>
      </c>
      <c r="P64" t="n">
        <v>0</v>
      </c>
      <c r="Q64" t="n">
        <v>1</v>
      </c>
      <c r="R64" s="2" t="inlineStr">
        <is>
          <t>Motaggsvamp</t>
        </is>
      </c>
      <c r="S64">
        <f>HYPERLINK("https://klasma.github.io/Logging_1907/artfynd/A 42089-2025 artfynd.xlsx", "A 42089-2025")</f>
        <v/>
      </c>
      <c r="T64">
        <f>HYPERLINK("https://klasma.github.io/Logging_1907/kartor/A 42089-2025 karta.png", "A 42089-2025")</f>
        <v/>
      </c>
      <c r="V64">
        <f>HYPERLINK("https://klasma.github.io/Logging_1907/klagomål/A 42089-2025 FSC-klagomål.docx", "A 42089-2025")</f>
        <v/>
      </c>
      <c r="W64">
        <f>HYPERLINK("https://klasma.github.io/Logging_1907/klagomålsmail/A 42089-2025 FSC-klagomål mail.docx", "A 42089-2025")</f>
        <v/>
      </c>
      <c r="X64">
        <f>HYPERLINK("https://klasma.github.io/Logging_1907/tillsyn/A 42089-2025 tillsynsbegäran.docx", "A 42089-2025")</f>
        <v/>
      </c>
      <c r="Y64">
        <f>HYPERLINK("https://klasma.github.io/Logging_1907/tillsynsmail/A 42089-2025 tillsynsbegäran mail.docx", "A 42089-2025")</f>
        <v/>
      </c>
    </row>
    <row r="65" ht="15" customHeight="1">
      <c r="A65" t="inlineStr">
        <is>
          <t>A 43451-2024</t>
        </is>
      </c>
      <c r="B65" s="1" t="n">
        <v>45568</v>
      </c>
      <c r="C65" s="1" t="n">
        <v>45915</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1492-2021</t>
        </is>
      </c>
      <c r="B66" s="1" t="n">
        <v>44209</v>
      </c>
      <c r="C66" s="1" t="n">
        <v>45915</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45915</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45915</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45915</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45915</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45915</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45915</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45915</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45915</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45915</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45915</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45915</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45915</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45915</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45915</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34957-2022</t>
        </is>
      </c>
      <c r="B81" s="1" t="n">
        <v>44796.64672453704</v>
      </c>
      <c r="C81" s="1" t="n">
        <v>45915</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45915</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45915</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45915</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45915</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45915</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45915</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21509-2024</t>
        </is>
      </c>
      <c r="B88" s="1" t="n">
        <v>45441</v>
      </c>
      <c r="C88" s="1" t="n">
        <v>45915</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7787-2024</t>
        </is>
      </c>
      <c r="B89" s="1" t="n">
        <v>45348</v>
      </c>
      <c r="C89" s="1" t="n">
        <v>45915</v>
      </c>
      <c r="D89" t="inlineStr">
        <is>
          <t>VÄSTMANLANDS LÄN</t>
        </is>
      </c>
      <c r="E89" t="inlineStr">
        <is>
          <t>SURAHAMMAR</t>
        </is>
      </c>
      <c r="G89" t="n">
        <v>1</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45915</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45915</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45915</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47785-2021</t>
        </is>
      </c>
      <c r="B93" s="1" t="n">
        <v>44448</v>
      </c>
      <c r="C93" s="1" t="n">
        <v>45915</v>
      </c>
      <c r="D93" t="inlineStr">
        <is>
          <t>VÄSTMANLANDS LÄN</t>
        </is>
      </c>
      <c r="E93" t="inlineStr">
        <is>
          <t>SURAHAMMAR</t>
        </is>
      </c>
      <c r="F93" t="inlineStr">
        <is>
          <t>Kommuner</t>
        </is>
      </c>
      <c r="G93" t="n">
        <v>3.3</v>
      </c>
      <c r="H93" t="n">
        <v>0</v>
      </c>
      <c r="I93" t="n">
        <v>0</v>
      </c>
      <c r="J93" t="n">
        <v>0</v>
      </c>
      <c r="K93" t="n">
        <v>0</v>
      </c>
      <c r="L93" t="n">
        <v>0</v>
      </c>
      <c r="M93" t="n">
        <v>0</v>
      </c>
      <c r="N93" t="n">
        <v>0</v>
      </c>
      <c r="O93" t="n">
        <v>0</v>
      </c>
      <c r="P93" t="n">
        <v>0</v>
      </c>
      <c r="Q93" t="n">
        <v>0</v>
      </c>
      <c r="R93" s="2" t="inlineStr"/>
    </row>
    <row r="94" ht="15" customHeight="1">
      <c r="A94" t="inlineStr">
        <is>
          <t>A 52076-2020</t>
        </is>
      </c>
      <c r="B94" s="1" t="n">
        <v>44117</v>
      </c>
      <c r="C94" s="1" t="n">
        <v>45915</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25417-2024</t>
        </is>
      </c>
      <c r="B95" s="1" t="n">
        <v>45463</v>
      </c>
      <c r="C95" s="1" t="n">
        <v>45915</v>
      </c>
      <c r="D95" t="inlineStr">
        <is>
          <t>VÄSTMANLANDS LÄN</t>
        </is>
      </c>
      <c r="E95" t="inlineStr">
        <is>
          <t>SURAHAMMAR</t>
        </is>
      </c>
      <c r="F95" t="inlineStr">
        <is>
          <t>Sveaskog</t>
        </is>
      </c>
      <c r="G95" t="n">
        <v>3.4</v>
      </c>
      <c r="H95" t="n">
        <v>0</v>
      </c>
      <c r="I95" t="n">
        <v>0</v>
      </c>
      <c r="J95" t="n">
        <v>0</v>
      </c>
      <c r="K95" t="n">
        <v>0</v>
      </c>
      <c r="L95" t="n">
        <v>0</v>
      </c>
      <c r="M95" t="n">
        <v>0</v>
      </c>
      <c r="N95" t="n">
        <v>0</v>
      </c>
      <c r="O95" t="n">
        <v>0</v>
      </c>
      <c r="P95" t="n">
        <v>0</v>
      </c>
      <c r="Q95" t="n">
        <v>0</v>
      </c>
      <c r="R95" s="2" t="inlineStr"/>
    </row>
    <row r="96" ht="15" customHeight="1">
      <c r="A96" t="inlineStr">
        <is>
          <t>A 25450-2024</t>
        </is>
      </c>
      <c r="B96" s="1" t="n">
        <v>45463</v>
      </c>
      <c r="C96" s="1" t="n">
        <v>45915</v>
      </c>
      <c r="D96" t="inlineStr">
        <is>
          <t>VÄSTMANLANDS LÄN</t>
        </is>
      </c>
      <c r="E96" t="inlineStr">
        <is>
          <t>SURAHAMMAR</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10883-2023</t>
        </is>
      </c>
      <c r="B97" s="1" t="n">
        <v>44991</v>
      </c>
      <c r="C97" s="1" t="n">
        <v>45915</v>
      </c>
      <c r="D97" t="inlineStr">
        <is>
          <t>VÄSTMANLANDS LÄN</t>
        </is>
      </c>
      <c r="E97" t="inlineStr">
        <is>
          <t>SURAHAMMAR</t>
        </is>
      </c>
      <c r="F97" t="inlineStr">
        <is>
          <t>Övriga Aktiebolag</t>
        </is>
      </c>
      <c r="G97" t="n">
        <v>12.5</v>
      </c>
      <c r="H97" t="n">
        <v>0</v>
      </c>
      <c r="I97" t="n">
        <v>0</v>
      </c>
      <c r="J97" t="n">
        <v>0</v>
      </c>
      <c r="K97" t="n">
        <v>0</v>
      </c>
      <c r="L97" t="n">
        <v>0</v>
      </c>
      <c r="M97" t="n">
        <v>0</v>
      </c>
      <c r="N97" t="n">
        <v>0</v>
      </c>
      <c r="O97" t="n">
        <v>0</v>
      </c>
      <c r="P97" t="n">
        <v>0</v>
      </c>
      <c r="Q97" t="n">
        <v>0</v>
      </c>
      <c r="R97" s="2" t="inlineStr"/>
    </row>
    <row r="98" ht="15" customHeight="1">
      <c r="A98" t="inlineStr">
        <is>
          <t>A 44358-2024</t>
        </is>
      </c>
      <c r="B98" s="1" t="n">
        <v>45573</v>
      </c>
      <c r="C98" s="1" t="n">
        <v>45915</v>
      </c>
      <c r="D98" t="inlineStr">
        <is>
          <t>VÄSTMANLANDS LÄN</t>
        </is>
      </c>
      <c r="E98" t="inlineStr">
        <is>
          <t>SURAHAMMAR</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24665-2023</t>
        </is>
      </c>
      <c r="B99" s="1" t="n">
        <v>45084.48592592592</v>
      </c>
      <c r="C99" s="1" t="n">
        <v>45915</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24167-2024</t>
        </is>
      </c>
      <c r="B100" s="1" t="n">
        <v>45456</v>
      </c>
      <c r="C100" s="1" t="n">
        <v>45915</v>
      </c>
      <c r="D100" t="inlineStr">
        <is>
          <t>VÄSTMANLANDS LÄN</t>
        </is>
      </c>
      <c r="E100" t="inlineStr">
        <is>
          <t>SURAHAMMAR</t>
        </is>
      </c>
      <c r="G100" t="n">
        <v>0.6</v>
      </c>
      <c r="H100" t="n">
        <v>0</v>
      </c>
      <c r="I100" t="n">
        <v>0</v>
      </c>
      <c r="J100" t="n">
        <v>0</v>
      </c>
      <c r="K100" t="n">
        <v>0</v>
      </c>
      <c r="L100" t="n">
        <v>0</v>
      </c>
      <c r="M100" t="n">
        <v>0</v>
      </c>
      <c r="N100" t="n">
        <v>0</v>
      </c>
      <c r="O100" t="n">
        <v>0</v>
      </c>
      <c r="P100" t="n">
        <v>0</v>
      </c>
      <c r="Q100" t="n">
        <v>0</v>
      </c>
      <c r="R100" s="2" t="inlineStr"/>
    </row>
    <row r="101" ht="15" customHeight="1">
      <c r="A101" t="inlineStr">
        <is>
          <t>A 59543-2020</t>
        </is>
      </c>
      <c r="B101" s="1" t="n">
        <v>44148</v>
      </c>
      <c r="C101" s="1" t="n">
        <v>45915</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15739-2023</t>
        </is>
      </c>
      <c r="B102" s="1" t="n">
        <v>45021</v>
      </c>
      <c r="C102" s="1" t="n">
        <v>45915</v>
      </c>
      <c r="D102" t="inlineStr">
        <is>
          <t>VÄSTMANLANDS LÄN</t>
        </is>
      </c>
      <c r="E102" t="inlineStr">
        <is>
          <t>SURAHAMMAR</t>
        </is>
      </c>
      <c r="G102" t="n">
        <v>1.3</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45915</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38154-2021</t>
        </is>
      </c>
      <c r="B104" s="1" t="n">
        <v>44405.42373842592</v>
      </c>
      <c r="C104" s="1" t="n">
        <v>45915</v>
      </c>
      <c r="D104" t="inlineStr">
        <is>
          <t>VÄSTMANLANDS LÄN</t>
        </is>
      </c>
      <c r="E104" t="inlineStr">
        <is>
          <t>SURAHAMMAR</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42714-2022</t>
        </is>
      </c>
      <c r="B105" s="1" t="n">
        <v>44832</v>
      </c>
      <c r="C105" s="1" t="n">
        <v>45915</v>
      </c>
      <c r="D105" t="inlineStr">
        <is>
          <t>VÄSTMANLANDS LÄN</t>
        </is>
      </c>
      <c r="E105" t="inlineStr">
        <is>
          <t>SURAHAMMAR</t>
        </is>
      </c>
      <c r="G105" t="n">
        <v>1.1</v>
      </c>
      <c r="H105" t="n">
        <v>0</v>
      </c>
      <c r="I105" t="n">
        <v>0</v>
      </c>
      <c r="J105" t="n">
        <v>0</v>
      </c>
      <c r="K105" t="n">
        <v>0</v>
      </c>
      <c r="L105" t="n">
        <v>0</v>
      </c>
      <c r="M105" t="n">
        <v>0</v>
      </c>
      <c r="N105" t="n">
        <v>0</v>
      </c>
      <c r="O105" t="n">
        <v>0</v>
      </c>
      <c r="P105" t="n">
        <v>0</v>
      </c>
      <c r="Q105" t="n">
        <v>0</v>
      </c>
      <c r="R105" s="2" t="inlineStr"/>
    </row>
    <row r="106" ht="15" customHeight="1">
      <c r="A106" t="inlineStr">
        <is>
          <t>A 37287-2023</t>
        </is>
      </c>
      <c r="B106" s="1" t="n">
        <v>45156</v>
      </c>
      <c r="C106" s="1" t="n">
        <v>45915</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49058-2024</t>
        </is>
      </c>
      <c r="B107" s="1" t="n">
        <v>45594</v>
      </c>
      <c r="C107" s="1" t="n">
        <v>45915</v>
      </c>
      <c r="D107" t="inlineStr">
        <is>
          <t>VÄSTMANLANDS LÄN</t>
        </is>
      </c>
      <c r="E107" t="inlineStr">
        <is>
          <t>SURAHAMMAR</t>
        </is>
      </c>
      <c r="F107" t="inlineStr">
        <is>
          <t>Sveaskog</t>
        </is>
      </c>
      <c r="G107" t="n">
        <v>11.4</v>
      </c>
      <c r="H107" t="n">
        <v>0</v>
      </c>
      <c r="I107" t="n">
        <v>0</v>
      </c>
      <c r="J107" t="n">
        <v>0</v>
      </c>
      <c r="K107" t="n">
        <v>0</v>
      </c>
      <c r="L107" t="n">
        <v>0</v>
      </c>
      <c r="M107" t="n">
        <v>0</v>
      </c>
      <c r="N107" t="n">
        <v>0</v>
      </c>
      <c r="O107" t="n">
        <v>0</v>
      </c>
      <c r="P107" t="n">
        <v>0</v>
      </c>
      <c r="Q107" t="n">
        <v>0</v>
      </c>
      <c r="R107" s="2" t="inlineStr"/>
    </row>
    <row r="108" ht="15" customHeight="1">
      <c r="A108" t="inlineStr">
        <is>
          <t>A 32808-2024</t>
        </is>
      </c>
      <c r="B108" s="1" t="n">
        <v>45516</v>
      </c>
      <c r="C108" s="1" t="n">
        <v>45915</v>
      </c>
      <c r="D108" t="inlineStr">
        <is>
          <t>VÄSTMANLANDS LÄN</t>
        </is>
      </c>
      <c r="E108" t="inlineStr">
        <is>
          <t>SURAHAMMAR</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49060-2024</t>
        </is>
      </c>
      <c r="B109" s="1" t="n">
        <v>45594</v>
      </c>
      <c r="C109" s="1" t="n">
        <v>45915</v>
      </c>
      <c r="D109" t="inlineStr">
        <is>
          <t>VÄSTMANLANDS LÄN</t>
        </is>
      </c>
      <c r="E109" t="inlineStr">
        <is>
          <t>SURAHAMMAR</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19099-2022</t>
        </is>
      </c>
      <c r="B110" s="1" t="n">
        <v>44691</v>
      </c>
      <c r="C110" s="1" t="n">
        <v>45915</v>
      </c>
      <c r="D110" t="inlineStr">
        <is>
          <t>VÄSTMANLANDS LÄN</t>
        </is>
      </c>
      <c r="E110" t="inlineStr">
        <is>
          <t>SURAHAMMAR</t>
        </is>
      </c>
      <c r="F110" t="inlineStr">
        <is>
          <t>Övriga Aktiebolag</t>
        </is>
      </c>
      <c r="G110" t="n">
        <v>3.4</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45915</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25780-2023</t>
        </is>
      </c>
      <c r="B112" s="1" t="n">
        <v>45090.47523148148</v>
      </c>
      <c r="C112" s="1" t="n">
        <v>45915</v>
      </c>
      <c r="D112" t="inlineStr">
        <is>
          <t>VÄSTMANLANDS LÄN</t>
        </is>
      </c>
      <c r="E112" t="inlineStr">
        <is>
          <t>SURAHAMMAR</t>
        </is>
      </c>
      <c r="G112" t="n">
        <v>2.8</v>
      </c>
      <c r="H112" t="n">
        <v>0</v>
      </c>
      <c r="I112" t="n">
        <v>0</v>
      </c>
      <c r="J112" t="n">
        <v>0</v>
      </c>
      <c r="K112" t="n">
        <v>0</v>
      </c>
      <c r="L112" t="n">
        <v>0</v>
      </c>
      <c r="M112" t="n">
        <v>0</v>
      </c>
      <c r="N112" t="n">
        <v>0</v>
      </c>
      <c r="O112" t="n">
        <v>0</v>
      </c>
      <c r="P112" t="n">
        <v>0</v>
      </c>
      <c r="Q112" t="n">
        <v>0</v>
      </c>
      <c r="R112" s="2" t="inlineStr"/>
    </row>
    <row r="113" ht="15" customHeight="1">
      <c r="A113" t="inlineStr">
        <is>
          <t>A 13386-2025</t>
        </is>
      </c>
      <c r="B113" s="1" t="n">
        <v>45735</v>
      </c>
      <c r="C113" s="1" t="n">
        <v>45915</v>
      </c>
      <c r="D113" t="inlineStr">
        <is>
          <t>VÄSTMANLANDS LÄN</t>
        </is>
      </c>
      <c r="E113" t="inlineStr">
        <is>
          <t>SURAHAMMAR</t>
        </is>
      </c>
      <c r="F113" t="inlineStr">
        <is>
          <t>Bergvik skog väst AB</t>
        </is>
      </c>
      <c r="G113" t="n">
        <v>4</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45915</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45915</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45915</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45915</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8553-2023</t>
        </is>
      </c>
      <c r="B118" s="1" t="n">
        <v>44977</v>
      </c>
      <c r="C118" s="1" t="n">
        <v>45915</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2867-2024</t>
        </is>
      </c>
      <c r="B119" s="1" t="n">
        <v>45315</v>
      </c>
      <c r="C119" s="1" t="n">
        <v>45915</v>
      </c>
      <c r="D119" t="inlineStr">
        <is>
          <t>VÄSTMANLANDS LÄN</t>
        </is>
      </c>
      <c r="E119" t="inlineStr">
        <is>
          <t>SURAHAMMAR</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45915</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2660-2024</t>
        </is>
      </c>
      <c r="B121" s="1" t="n">
        <v>45310</v>
      </c>
      <c r="C121" s="1" t="n">
        <v>45915</v>
      </c>
      <c r="D121" t="inlineStr">
        <is>
          <t>VÄSTMANLANDS LÄN</t>
        </is>
      </c>
      <c r="E121" t="inlineStr">
        <is>
          <t>SURAHAMMAR</t>
        </is>
      </c>
      <c r="G121" t="n">
        <v>2.1</v>
      </c>
      <c r="H121" t="n">
        <v>0</v>
      </c>
      <c r="I121" t="n">
        <v>0</v>
      </c>
      <c r="J121" t="n">
        <v>0</v>
      </c>
      <c r="K121" t="n">
        <v>0</v>
      </c>
      <c r="L121" t="n">
        <v>0</v>
      </c>
      <c r="M121" t="n">
        <v>0</v>
      </c>
      <c r="N121" t="n">
        <v>0</v>
      </c>
      <c r="O121" t="n">
        <v>0</v>
      </c>
      <c r="P121" t="n">
        <v>0</v>
      </c>
      <c r="Q121" t="n">
        <v>0</v>
      </c>
      <c r="R121" s="2" t="inlineStr"/>
    </row>
    <row r="122" ht="15" customHeight="1">
      <c r="A122" t="inlineStr">
        <is>
          <t>A 56378-2023</t>
        </is>
      </c>
      <c r="B122" s="1" t="n">
        <v>45236</v>
      </c>
      <c r="C122" s="1" t="n">
        <v>45915</v>
      </c>
      <c r="D122" t="inlineStr">
        <is>
          <t>VÄSTMANLANDS LÄN</t>
        </is>
      </c>
      <c r="E122" t="inlineStr">
        <is>
          <t>SURAHAMMAR</t>
        </is>
      </c>
      <c r="F122" t="inlineStr">
        <is>
          <t>Bergvik skog väst AB</t>
        </is>
      </c>
      <c r="G122" t="n">
        <v>4.6</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45915</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45915</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45915</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16013-2023</t>
        </is>
      </c>
      <c r="B126" s="1" t="n">
        <v>45026</v>
      </c>
      <c r="C126" s="1" t="n">
        <v>45915</v>
      </c>
      <c r="D126" t="inlineStr">
        <is>
          <t>VÄSTMANLANDS LÄN</t>
        </is>
      </c>
      <c r="E126" t="inlineStr">
        <is>
          <t>SURAHAMMAR</t>
        </is>
      </c>
      <c r="G126" t="n">
        <v>3.9</v>
      </c>
      <c r="H126" t="n">
        <v>0</v>
      </c>
      <c r="I126" t="n">
        <v>0</v>
      </c>
      <c r="J126" t="n">
        <v>0</v>
      </c>
      <c r="K126" t="n">
        <v>0</v>
      </c>
      <c r="L126" t="n">
        <v>0</v>
      </c>
      <c r="M126" t="n">
        <v>0</v>
      </c>
      <c r="N126" t="n">
        <v>0</v>
      </c>
      <c r="O126" t="n">
        <v>0</v>
      </c>
      <c r="P126" t="n">
        <v>0</v>
      </c>
      <c r="Q126" t="n">
        <v>0</v>
      </c>
      <c r="R126" s="2" t="inlineStr"/>
    </row>
    <row r="127" ht="15" customHeight="1">
      <c r="A127" t="inlineStr">
        <is>
          <t>A 20904-2023</t>
        </is>
      </c>
      <c r="B127" s="1" t="n">
        <v>45060</v>
      </c>
      <c r="C127" s="1" t="n">
        <v>45915</v>
      </c>
      <c r="D127" t="inlineStr">
        <is>
          <t>VÄSTMANLANDS LÄN</t>
        </is>
      </c>
      <c r="E127" t="inlineStr">
        <is>
          <t>SURAHAMMAR</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5567-2022</t>
        </is>
      </c>
      <c r="B128" s="1" t="n">
        <v>44595</v>
      </c>
      <c r="C128" s="1" t="n">
        <v>45915</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37954-2025</t>
        </is>
      </c>
      <c r="B129" s="1" t="n">
        <v>45881</v>
      </c>
      <c r="C129" s="1" t="n">
        <v>45915</v>
      </c>
      <c r="D129" t="inlineStr">
        <is>
          <t>VÄSTMANLANDS LÄN</t>
        </is>
      </c>
      <c r="E129" t="inlineStr">
        <is>
          <t>SURAHAMMAR</t>
        </is>
      </c>
      <c r="G129" t="n">
        <v>9.5</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45915</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41576-2022</t>
        </is>
      </c>
      <c r="B131" s="1" t="n">
        <v>44826</v>
      </c>
      <c r="C131" s="1" t="n">
        <v>45915</v>
      </c>
      <c r="D131" t="inlineStr">
        <is>
          <t>VÄSTMANLANDS LÄN</t>
        </is>
      </c>
      <c r="E131" t="inlineStr">
        <is>
          <t>SURAHAMMAR</t>
        </is>
      </c>
      <c r="F131" t="inlineStr">
        <is>
          <t>Bergvik skog väst AB</t>
        </is>
      </c>
      <c r="G131" t="n">
        <v>6.4</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45915</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37798-2021</t>
        </is>
      </c>
      <c r="B133" s="1" t="n">
        <v>44402</v>
      </c>
      <c r="C133" s="1" t="n">
        <v>45915</v>
      </c>
      <c r="D133" t="inlineStr">
        <is>
          <t>VÄSTMANLANDS LÄN</t>
        </is>
      </c>
      <c r="E133" t="inlineStr">
        <is>
          <t>SURAHAMMAR</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48205-2023</t>
        </is>
      </c>
      <c r="B134" s="1" t="n">
        <v>45205</v>
      </c>
      <c r="C134" s="1" t="n">
        <v>45915</v>
      </c>
      <c r="D134" t="inlineStr">
        <is>
          <t>VÄSTMANLANDS LÄN</t>
        </is>
      </c>
      <c r="E134" t="inlineStr">
        <is>
          <t>SURAHAMMAR</t>
        </is>
      </c>
      <c r="F134" t="inlineStr">
        <is>
          <t>Allmännings- och besparingsskogar</t>
        </is>
      </c>
      <c r="G134" t="n">
        <v>7.6</v>
      </c>
      <c r="H134" t="n">
        <v>0</v>
      </c>
      <c r="I134" t="n">
        <v>0</v>
      </c>
      <c r="J134" t="n">
        <v>0</v>
      </c>
      <c r="K134" t="n">
        <v>0</v>
      </c>
      <c r="L134" t="n">
        <v>0</v>
      </c>
      <c r="M134" t="n">
        <v>0</v>
      </c>
      <c r="N134" t="n">
        <v>0</v>
      </c>
      <c r="O134" t="n">
        <v>0</v>
      </c>
      <c r="P134" t="n">
        <v>0</v>
      </c>
      <c r="Q134" t="n">
        <v>0</v>
      </c>
      <c r="R134" s="2" t="inlineStr"/>
    </row>
    <row r="135" ht="15" customHeight="1">
      <c r="A135" t="inlineStr">
        <is>
          <t>A 33931-2022</t>
        </is>
      </c>
      <c r="B135" s="1" t="n">
        <v>44790.65153935185</v>
      </c>
      <c r="C135" s="1" t="n">
        <v>45915</v>
      </c>
      <c r="D135" t="inlineStr">
        <is>
          <t>VÄSTMANLANDS LÄN</t>
        </is>
      </c>
      <c r="E135" t="inlineStr">
        <is>
          <t>SURAHAMMAR</t>
        </is>
      </c>
      <c r="G135" t="n">
        <v>2.2</v>
      </c>
      <c r="H135" t="n">
        <v>0</v>
      </c>
      <c r="I135" t="n">
        <v>0</v>
      </c>
      <c r="J135" t="n">
        <v>0</v>
      </c>
      <c r="K135" t="n">
        <v>0</v>
      </c>
      <c r="L135" t="n">
        <v>0</v>
      </c>
      <c r="M135" t="n">
        <v>0</v>
      </c>
      <c r="N135" t="n">
        <v>0</v>
      </c>
      <c r="O135" t="n">
        <v>0</v>
      </c>
      <c r="P135" t="n">
        <v>0</v>
      </c>
      <c r="Q135" t="n">
        <v>0</v>
      </c>
      <c r="R135" s="2" t="inlineStr"/>
    </row>
    <row r="136" ht="15" customHeight="1">
      <c r="A136" t="inlineStr">
        <is>
          <t>A 22662-2023</t>
        </is>
      </c>
      <c r="B136" s="1" t="n">
        <v>45071</v>
      </c>
      <c r="C136" s="1" t="n">
        <v>45915</v>
      </c>
      <c r="D136" t="inlineStr">
        <is>
          <t>VÄSTMANLANDS LÄN</t>
        </is>
      </c>
      <c r="E136" t="inlineStr">
        <is>
          <t>SURAHAMMAR</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52074-2020</t>
        </is>
      </c>
      <c r="B137" s="1" t="n">
        <v>44117</v>
      </c>
      <c r="C137" s="1" t="n">
        <v>45915</v>
      </c>
      <c r="D137" t="inlineStr">
        <is>
          <t>VÄSTMANLANDS LÄN</t>
        </is>
      </c>
      <c r="E137" t="inlineStr">
        <is>
          <t>SURAHAMMAR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34584-2025</t>
        </is>
      </c>
      <c r="B138" s="1" t="n">
        <v>45846</v>
      </c>
      <c r="C138" s="1" t="n">
        <v>45915</v>
      </c>
      <c r="D138" t="inlineStr">
        <is>
          <t>VÄSTMANLANDS LÄN</t>
        </is>
      </c>
      <c r="E138" t="inlineStr">
        <is>
          <t>SURAHAMMAR</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30076-2023</t>
        </is>
      </c>
      <c r="B139" s="1" t="n">
        <v>45110</v>
      </c>
      <c r="C139" s="1" t="n">
        <v>45915</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34582-2025</t>
        </is>
      </c>
      <c r="B140" s="1" t="n">
        <v>45846</v>
      </c>
      <c r="C140" s="1" t="n">
        <v>45915</v>
      </c>
      <c r="D140" t="inlineStr">
        <is>
          <t>VÄSTMANLANDS LÄN</t>
        </is>
      </c>
      <c r="E140" t="inlineStr">
        <is>
          <t>SURAHAMMAR</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3085-2023</t>
        </is>
      </c>
      <c r="B141" s="1" t="n">
        <v>44946</v>
      </c>
      <c r="C141" s="1" t="n">
        <v>45915</v>
      </c>
      <c r="D141" t="inlineStr">
        <is>
          <t>VÄSTMANLANDS LÄN</t>
        </is>
      </c>
      <c r="E141" t="inlineStr">
        <is>
          <t>SURAHAMMAR</t>
        </is>
      </c>
      <c r="F141" t="inlineStr">
        <is>
          <t>Kyrkan</t>
        </is>
      </c>
      <c r="G141" t="n">
        <v>13</v>
      </c>
      <c r="H141" t="n">
        <v>0</v>
      </c>
      <c r="I141" t="n">
        <v>0</v>
      </c>
      <c r="J141" t="n">
        <v>0</v>
      </c>
      <c r="K141" t="n">
        <v>0</v>
      </c>
      <c r="L141" t="n">
        <v>0</v>
      </c>
      <c r="M141" t="n">
        <v>0</v>
      </c>
      <c r="N141" t="n">
        <v>0</v>
      </c>
      <c r="O141" t="n">
        <v>0</v>
      </c>
      <c r="P141" t="n">
        <v>0</v>
      </c>
      <c r="Q141" t="n">
        <v>0</v>
      </c>
      <c r="R141" s="2" t="inlineStr"/>
    </row>
    <row r="142" ht="15" customHeight="1">
      <c r="A142" t="inlineStr">
        <is>
          <t>A 32910-2025</t>
        </is>
      </c>
      <c r="B142" s="1" t="n">
        <v>45839</v>
      </c>
      <c r="C142" s="1" t="n">
        <v>45915</v>
      </c>
      <c r="D142" t="inlineStr">
        <is>
          <t>VÄSTMANLANDS LÄN</t>
        </is>
      </c>
      <c r="E142" t="inlineStr">
        <is>
          <t>SURAHAMMAR</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32916-2025</t>
        </is>
      </c>
      <c r="B143" s="1" t="n">
        <v>45839</v>
      </c>
      <c r="C143" s="1" t="n">
        <v>45915</v>
      </c>
      <c r="D143" t="inlineStr">
        <is>
          <t>VÄSTMANLANDS LÄN</t>
        </is>
      </c>
      <c r="E143" t="inlineStr">
        <is>
          <t>SURAHAMMAR</t>
        </is>
      </c>
      <c r="F143" t="inlineStr">
        <is>
          <t>Kommuner</t>
        </is>
      </c>
      <c r="G143" t="n">
        <v>4.9</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45915</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45915</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42088-2025</t>
        </is>
      </c>
      <c r="B146" s="1" t="n">
        <v>45902</v>
      </c>
      <c r="C146" s="1" t="n">
        <v>45915</v>
      </c>
      <c r="D146" t="inlineStr">
        <is>
          <t>VÄSTMANLANDS LÄN</t>
        </is>
      </c>
      <c r="E146" t="inlineStr">
        <is>
          <t>SURAHAMMAR</t>
        </is>
      </c>
      <c r="G146" t="n">
        <v>1</v>
      </c>
      <c r="H146" t="n">
        <v>0</v>
      </c>
      <c r="I146" t="n">
        <v>0</v>
      </c>
      <c r="J146" t="n">
        <v>0</v>
      </c>
      <c r="K146" t="n">
        <v>0</v>
      </c>
      <c r="L146" t="n">
        <v>0</v>
      </c>
      <c r="M146" t="n">
        <v>0</v>
      </c>
      <c r="N146" t="n">
        <v>0</v>
      </c>
      <c r="O146" t="n">
        <v>0</v>
      </c>
      <c r="P146" t="n">
        <v>0</v>
      </c>
      <c r="Q146" t="n">
        <v>0</v>
      </c>
      <c r="R146" s="2" t="inlineStr"/>
    </row>
    <row r="147" ht="15" customHeight="1">
      <c r="A147" t="inlineStr">
        <is>
          <t>A 43249-2025</t>
        </is>
      </c>
      <c r="B147" s="1" t="n">
        <v>45910.55059027778</v>
      </c>
      <c r="C147" s="1" t="n">
        <v>45915</v>
      </c>
      <c r="D147" t="inlineStr">
        <is>
          <t>VÄSTMANLANDS LÄN</t>
        </is>
      </c>
      <c r="E147" t="inlineStr">
        <is>
          <t>SURAHAMMAR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43255-2025</t>
        </is>
      </c>
      <c r="B148" s="1" t="n">
        <v>45910.55325231481</v>
      </c>
      <c r="C148" s="1" t="n">
        <v>45915</v>
      </c>
      <c r="D148" t="inlineStr">
        <is>
          <t>VÄSTMANLANDS LÄN</t>
        </is>
      </c>
      <c r="E148" t="inlineStr">
        <is>
          <t>SURAHAMMAR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15743-2023</t>
        </is>
      </c>
      <c r="B149" s="1" t="n">
        <v>45021</v>
      </c>
      <c r="C149" s="1" t="n">
        <v>45915</v>
      </c>
      <c r="D149" t="inlineStr">
        <is>
          <t>VÄSTMANLANDS LÄN</t>
        </is>
      </c>
      <c r="E149" t="inlineStr">
        <is>
          <t>SURAHAMMAR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44662.89638888889</v>
      </c>
      <c r="C150" s="1" t="n">
        <v>45915</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19786-2023</t>
        </is>
      </c>
      <c r="B151" s="1" t="n">
        <v>45050</v>
      </c>
      <c r="C151" s="1" t="n">
        <v>45915</v>
      </c>
      <c r="D151" t="inlineStr">
        <is>
          <t>VÄSTMANLANDS LÄN</t>
        </is>
      </c>
      <c r="E151" t="inlineStr">
        <is>
          <t>SURAHAMMAR</t>
        </is>
      </c>
      <c r="F151" t="inlineStr">
        <is>
          <t>Bergvik skog väst AB</t>
        </is>
      </c>
      <c r="G151" t="n">
        <v>8.1</v>
      </c>
      <c r="H151" t="n">
        <v>0</v>
      </c>
      <c r="I151" t="n">
        <v>0</v>
      </c>
      <c r="J151" t="n">
        <v>0</v>
      </c>
      <c r="K151" t="n">
        <v>0</v>
      </c>
      <c r="L151" t="n">
        <v>0</v>
      </c>
      <c r="M151" t="n">
        <v>0</v>
      </c>
      <c r="N151" t="n">
        <v>0</v>
      </c>
      <c r="O151" t="n">
        <v>0</v>
      </c>
      <c r="P151" t="n">
        <v>0</v>
      </c>
      <c r="Q151" t="n">
        <v>0</v>
      </c>
      <c r="R151" s="2" t="inlineStr"/>
    </row>
    <row r="152">
      <c r="A152" t="inlineStr">
        <is>
          <t>A 10396-2025</t>
        </is>
      </c>
      <c r="B152" s="1" t="n">
        <v>45720.60721064815</v>
      </c>
      <c r="C152" s="1" t="n">
        <v>45915</v>
      </c>
      <c r="D152" t="inlineStr">
        <is>
          <t>VÄSTMANLANDS LÄN</t>
        </is>
      </c>
      <c r="E152" t="inlineStr">
        <is>
          <t>SURAHAMMAR</t>
        </is>
      </c>
      <c r="F152" t="inlineStr">
        <is>
          <t>Allmännings- och besparingsskogar</t>
        </is>
      </c>
      <c r="G152" t="n">
        <v>9.300000000000001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2025-09-15T08:53:08Z</dcterms:created>
  <dcterms:modified xmlns:dcterms="http://purl.org/dc/terms/" xmlns:xsi="http://www.w3.org/2001/XMLSchema-instance" xsi:type="dcterms:W3CDTF">2025-09-15T08:53:08Z</dcterms:modified>
</cp:coreProperties>
</file>