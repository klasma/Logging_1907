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45579</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45579</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45579</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45579</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45579</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45579</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45579</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45579</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45579</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45579</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45579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45579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45579</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45579</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45579</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45579</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45579</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45579</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45579</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45579</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45579</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45579</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45579</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45579</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45579</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45579</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45579</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45579</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45579</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45579</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45579</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45579</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45579</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45579</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45579</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45579</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45579</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45579</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45579</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45579</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45579</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45579</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45579</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45579</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45579</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45579</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45579</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45579</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45579</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45579</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45579</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45579</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45579</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45579</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45579</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45579</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45579</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20705-2024</t>
        </is>
      </c>
      <c r="B60" s="1" t="n">
        <v>45436</v>
      </c>
      <c r="C60" s="1" t="n">
        <v>45579</v>
      </c>
      <c r="D60" t="inlineStr">
        <is>
          <t>VÄSTMANLANDS LÄN</t>
        </is>
      </c>
      <c r="E60" t="inlineStr">
        <is>
          <t>SURAHAMMAR</t>
        </is>
      </c>
      <c r="F60" t="inlineStr">
        <is>
          <t>Bergvik skog väst AB</t>
        </is>
      </c>
      <c r="G60" t="n">
        <v>4</v>
      </c>
      <c r="H60" t="n">
        <v>0</v>
      </c>
      <c r="I60" t="n">
        <v>1</v>
      </c>
      <c r="J60" t="n">
        <v>1</v>
      </c>
      <c r="K60" t="n">
        <v>0</v>
      </c>
      <c r="L60" t="n">
        <v>0</v>
      </c>
      <c r="M60" t="n">
        <v>0</v>
      </c>
      <c r="N60" t="n">
        <v>0</v>
      </c>
      <c r="O60" t="n">
        <v>1</v>
      </c>
      <c r="P60" t="n">
        <v>0</v>
      </c>
      <c r="Q60" t="n">
        <v>2</v>
      </c>
      <c r="R60" s="2" t="inlineStr">
        <is>
          <t>Kandelabersvamp
Rävticka</t>
        </is>
      </c>
      <c r="S60">
        <f>HYPERLINK("https://klasma.github.io/Logging_1907/artfynd/A 20705-2024 artfynd.xlsx", "A 20705-2024")</f>
        <v/>
      </c>
      <c r="T60">
        <f>HYPERLINK("https://klasma.github.io/Logging_1907/kartor/A 20705-2024 karta.png", "A 20705-2024")</f>
        <v/>
      </c>
      <c r="V60">
        <f>HYPERLINK("https://klasma.github.io/Logging_1907/klagomål/A 20705-2024 FSC-klagomål.docx", "A 20705-2024")</f>
        <v/>
      </c>
      <c r="W60">
        <f>HYPERLINK("https://klasma.github.io/Logging_1907/klagomålsmail/A 20705-2024 FSC-klagomål mail.docx", "A 20705-2024")</f>
        <v/>
      </c>
      <c r="X60">
        <f>HYPERLINK("https://klasma.github.io/Logging_1907/tillsyn/A 20705-2024 tillsynsbegäran.docx", "A 20705-2024")</f>
        <v/>
      </c>
      <c r="Y60">
        <f>HYPERLINK("https://klasma.github.io/Logging_1907/tillsynsmail/A 20705-2024 tillsynsbegäran mail.docx", "A 20705-2024")</f>
        <v/>
      </c>
    </row>
    <row r="61" ht="15" customHeight="1">
      <c r="A61" t="inlineStr">
        <is>
          <t>A 24538-2024</t>
        </is>
      </c>
      <c r="B61" s="1" t="n">
        <v>45460</v>
      </c>
      <c r="C61" s="1" t="n">
        <v>45579</v>
      </c>
      <c r="D61" t="inlineStr">
        <is>
          <t>VÄSTMANLANDS LÄN</t>
        </is>
      </c>
      <c r="E61" t="inlineStr">
        <is>
          <t>SURAHAMMAR</t>
        </is>
      </c>
      <c r="G61" t="n">
        <v>2.5</v>
      </c>
      <c r="H61" t="n">
        <v>1</v>
      </c>
      <c r="I61" t="n">
        <v>1</v>
      </c>
      <c r="J61" t="n">
        <v>0</v>
      </c>
      <c r="K61" t="n">
        <v>1</v>
      </c>
      <c r="L61" t="n">
        <v>0</v>
      </c>
      <c r="M61" t="n">
        <v>0</v>
      </c>
      <c r="N61" t="n">
        <v>0</v>
      </c>
      <c r="O61" t="n">
        <v>1</v>
      </c>
      <c r="P61" t="n">
        <v>1</v>
      </c>
      <c r="Q61" t="n">
        <v>2</v>
      </c>
      <c r="R61" s="2" t="inlineStr">
        <is>
          <t>Knärot
Vedticka</t>
        </is>
      </c>
      <c r="S61">
        <f>HYPERLINK("https://klasma.github.io/Logging_1907/artfynd/A 24538-2024 artfynd.xlsx", "A 24538-2024")</f>
        <v/>
      </c>
      <c r="T61">
        <f>HYPERLINK("https://klasma.github.io/Logging_1907/kartor/A 24538-2024 karta.png", "A 24538-2024")</f>
        <v/>
      </c>
      <c r="U61">
        <f>HYPERLINK("https://klasma.github.io/Logging_1907/knärot/A 24538-2024 karta knärot.png", "A 24538-2024")</f>
        <v/>
      </c>
      <c r="V61">
        <f>HYPERLINK("https://klasma.github.io/Logging_1907/klagomål/A 24538-2024 FSC-klagomål.docx", "A 24538-2024")</f>
        <v/>
      </c>
      <c r="W61">
        <f>HYPERLINK("https://klasma.github.io/Logging_1907/klagomålsmail/A 24538-2024 FSC-klagomål mail.docx", "A 24538-2024")</f>
        <v/>
      </c>
      <c r="X61">
        <f>HYPERLINK("https://klasma.github.io/Logging_1907/tillsyn/A 24538-2024 tillsynsbegäran.docx", "A 24538-2024")</f>
        <v/>
      </c>
      <c r="Y61">
        <f>HYPERLINK("https://klasma.github.io/Logging_1907/tillsynsmail/A 24538-2024 tillsynsbegäran mail.docx", "A 24538-2024")</f>
        <v/>
      </c>
    </row>
    <row r="62" ht="15" customHeight="1">
      <c r="A62" t="inlineStr">
        <is>
          <t>A 18948-2019</t>
        </is>
      </c>
      <c r="B62" s="1" t="n">
        <v>43563</v>
      </c>
      <c r="C62" s="1" t="n">
        <v>45579</v>
      </c>
      <c r="D62" t="inlineStr">
        <is>
          <t>VÄSTMANLANDS LÄN</t>
        </is>
      </c>
      <c r="E62" t="inlineStr">
        <is>
          <t>SURAHAMMAR</t>
        </is>
      </c>
      <c r="F62" t="inlineStr">
        <is>
          <t>Övriga Aktiebolag</t>
        </is>
      </c>
      <c r="G62" t="n">
        <v>1.9</v>
      </c>
      <c r="H62" t="n">
        <v>0</v>
      </c>
      <c r="I62" t="n">
        <v>0</v>
      </c>
      <c r="J62" t="n">
        <v>0</v>
      </c>
      <c r="K62" t="n">
        <v>0</v>
      </c>
      <c r="L62" t="n">
        <v>1</v>
      </c>
      <c r="M62" t="n">
        <v>0</v>
      </c>
      <c r="N62" t="n">
        <v>0</v>
      </c>
      <c r="O62" t="n">
        <v>1</v>
      </c>
      <c r="P62" t="n">
        <v>1</v>
      </c>
      <c r="Q62" t="n">
        <v>1</v>
      </c>
      <c r="R62" s="2" t="inlineStr">
        <is>
          <t>Ask</t>
        </is>
      </c>
      <c r="S62">
        <f>HYPERLINK("https://klasma.github.io/Logging_1907/artfynd/A 18948-2019 artfynd.xlsx", "A 18948-2019")</f>
        <v/>
      </c>
      <c r="T62">
        <f>HYPERLINK("https://klasma.github.io/Logging_1907/kartor/A 18948-2019 karta.png", "A 18948-2019")</f>
        <v/>
      </c>
      <c r="V62">
        <f>HYPERLINK("https://klasma.github.io/Logging_1907/klagomål/A 18948-2019 FSC-klagomål.docx", "A 18948-2019")</f>
        <v/>
      </c>
      <c r="W62">
        <f>HYPERLINK("https://klasma.github.io/Logging_1907/klagomålsmail/A 18948-2019 FSC-klagomål mail.docx", "A 18948-2019")</f>
        <v/>
      </c>
      <c r="X62">
        <f>HYPERLINK("https://klasma.github.io/Logging_1907/tillsyn/A 18948-2019 tillsynsbegäran.docx", "A 18948-2019")</f>
        <v/>
      </c>
      <c r="Y62">
        <f>HYPERLINK("https://klasma.github.io/Logging_1907/tillsynsmail/A 18948-2019 tillsynsbegäran mail.docx", "A 18948-2019")</f>
        <v/>
      </c>
    </row>
    <row r="63" ht="15" customHeight="1">
      <c r="A63" t="inlineStr">
        <is>
          <t>A 28276-2019</t>
        </is>
      </c>
      <c r="B63" s="1" t="n">
        <v>43623</v>
      </c>
      <c r="C63" s="1" t="n">
        <v>45579</v>
      </c>
      <c r="D63" t="inlineStr">
        <is>
          <t>VÄSTMANLANDS LÄN</t>
        </is>
      </c>
      <c r="E63" t="inlineStr">
        <is>
          <t>SURAHAMMAR</t>
        </is>
      </c>
      <c r="F63" t="inlineStr">
        <is>
          <t>Allmännings- och besparingsskogar</t>
        </is>
      </c>
      <c r="G63" t="n">
        <v>8.4</v>
      </c>
      <c r="H63" t="n">
        <v>0</v>
      </c>
      <c r="I63" t="n">
        <v>0</v>
      </c>
      <c r="J63" t="n">
        <v>1</v>
      </c>
      <c r="K63" t="n">
        <v>0</v>
      </c>
      <c r="L63" t="n">
        <v>0</v>
      </c>
      <c r="M63" t="n">
        <v>0</v>
      </c>
      <c r="N63" t="n">
        <v>0</v>
      </c>
      <c r="O63" t="n">
        <v>1</v>
      </c>
      <c r="P63" t="n">
        <v>0</v>
      </c>
      <c r="Q63" t="n">
        <v>1</v>
      </c>
      <c r="R63" s="2" t="inlineStr">
        <is>
          <t>Hapalopilus aurantiacus</t>
        </is>
      </c>
      <c r="S63">
        <f>HYPERLINK("https://klasma.github.io/Logging_1907/artfynd/A 28276-2019 artfynd.xlsx", "A 28276-2019")</f>
        <v/>
      </c>
      <c r="T63">
        <f>HYPERLINK("https://klasma.github.io/Logging_1907/kartor/A 28276-2019 karta.png", "A 28276-2019")</f>
        <v/>
      </c>
      <c r="V63">
        <f>HYPERLINK("https://klasma.github.io/Logging_1907/klagomål/A 28276-2019 FSC-klagomål.docx", "A 28276-2019")</f>
        <v/>
      </c>
      <c r="W63">
        <f>HYPERLINK("https://klasma.github.io/Logging_1907/klagomålsmail/A 28276-2019 FSC-klagomål mail.docx", "A 28276-2019")</f>
        <v/>
      </c>
      <c r="X63">
        <f>HYPERLINK("https://klasma.github.io/Logging_1907/tillsyn/A 28276-2019 tillsynsbegäran.docx", "A 28276-2019")</f>
        <v/>
      </c>
      <c r="Y63">
        <f>HYPERLINK("https://klasma.github.io/Logging_1907/tillsynsmail/A 28276-2019 tillsynsbegäran mail.docx", "A 28276-2019")</f>
        <v/>
      </c>
    </row>
    <row r="64" ht="15" customHeight="1">
      <c r="A64" t="inlineStr">
        <is>
          <t>A 33879-2019</t>
        </is>
      </c>
      <c r="B64" s="1" t="n">
        <v>43653</v>
      </c>
      <c r="C64" s="1" t="n">
        <v>45579</v>
      </c>
      <c r="D64" t="inlineStr">
        <is>
          <t>VÄSTMANLANDS LÄN</t>
        </is>
      </c>
      <c r="E64" t="inlineStr">
        <is>
          <t>SURAHAMMAR</t>
        </is>
      </c>
      <c r="F64" t="inlineStr">
        <is>
          <t>Kyrkan</t>
        </is>
      </c>
      <c r="G64" t="n">
        <v>1.8</v>
      </c>
      <c r="H64" t="n">
        <v>1</v>
      </c>
      <c r="I64" t="n">
        <v>0</v>
      </c>
      <c r="J64" t="n">
        <v>0</v>
      </c>
      <c r="K64" t="n">
        <v>1</v>
      </c>
      <c r="L64" t="n">
        <v>0</v>
      </c>
      <c r="M64" t="n">
        <v>0</v>
      </c>
      <c r="N64" t="n">
        <v>0</v>
      </c>
      <c r="O64" t="n">
        <v>1</v>
      </c>
      <c r="P64" t="n">
        <v>1</v>
      </c>
      <c r="Q64" t="n">
        <v>1</v>
      </c>
      <c r="R64" s="2" t="inlineStr">
        <is>
          <t>Bombmurkla</t>
        </is>
      </c>
      <c r="S64">
        <f>HYPERLINK("https://klasma.github.io/Logging_1907/artfynd/A 33879-2019 artfynd.xlsx", "A 33879-2019")</f>
        <v/>
      </c>
      <c r="T64">
        <f>HYPERLINK("https://klasma.github.io/Logging_1907/kartor/A 33879-2019 karta.png", "A 33879-2019")</f>
        <v/>
      </c>
      <c r="V64">
        <f>HYPERLINK("https://klasma.github.io/Logging_1907/klagomål/A 33879-2019 FSC-klagomål.docx", "A 33879-2019")</f>
        <v/>
      </c>
      <c r="W64">
        <f>HYPERLINK("https://klasma.github.io/Logging_1907/klagomålsmail/A 33879-2019 FSC-klagomål mail.docx", "A 33879-2019")</f>
        <v/>
      </c>
      <c r="X64">
        <f>HYPERLINK("https://klasma.github.io/Logging_1907/tillsyn/A 33879-2019 tillsynsbegäran.docx", "A 33879-2019")</f>
        <v/>
      </c>
      <c r="Y64">
        <f>HYPERLINK("https://klasma.github.io/Logging_1907/tillsynsmail/A 33879-2019 tillsynsbegäran mail.docx", "A 33879-2019")</f>
        <v/>
      </c>
    </row>
    <row r="65" ht="15" customHeight="1">
      <c r="A65" t="inlineStr">
        <is>
          <t>A 39755-2019</t>
        </is>
      </c>
      <c r="B65" s="1" t="n">
        <v>43692</v>
      </c>
      <c r="C65" s="1" t="n">
        <v>45579</v>
      </c>
      <c r="D65" t="inlineStr">
        <is>
          <t>VÄSTMANLANDS LÄN</t>
        </is>
      </c>
      <c r="E65" t="inlineStr">
        <is>
          <t>SURAHAMMAR</t>
        </is>
      </c>
      <c r="F65" t="inlineStr">
        <is>
          <t>Övriga Aktiebolag</t>
        </is>
      </c>
      <c r="G65" t="n">
        <v>11.8</v>
      </c>
      <c r="H65" t="n">
        <v>1</v>
      </c>
      <c r="I65" t="n">
        <v>0</v>
      </c>
      <c r="J65" t="n">
        <v>0</v>
      </c>
      <c r="K65" t="n">
        <v>0</v>
      </c>
      <c r="L65" t="n">
        <v>0</v>
      </c>
      <c r="M65" t="n">
        <v>0</v>
      </c>
      <c r="N65" t="n">
        <v>0</v>
      </c>
      <c r="O65" t="n">
        <v>0</v>
      </c>
      <c r="P65" t="n">
        <v>0</v>
      </c>
      <c r="Q65" t="n">
        <v>1</v>
      </c>
      <c r="R65" s="2" t="inlineStr">
        <is>
          <t>Kopparödla</t>
        </is>
      </c>
      <c r="S65">
        <f>HYPERLINK("https://klasma.github.io/Logging_1907/artfynd/A 39755-2019 artfynd.xlsx", "A 39755-2019")</f>
        <v/>
      </c>
      <c r="T65">
        <f>HYPERLINK("https://klasma.github.io/Logging_1907/kartor/A 39755-2019 karta.png", "A 39755-2019")</f>
        <v/>
      </c>
      <c r="V65">
        <f>HYPERLINK("https://klasma.github.io/Logging_1907/klagomål/A 39755-2019 FSC-klagomål.docx", "A 39755-2019")</f>
        <v/>
      </c>
      <c r="W65">
        <f>HYPERLINK("https://klasma.github.io/Logging_1907/klagomålsmail/A 39755-2019 FSC-klagomål mail.docx", "A 39755-2019")</f>
        <v/>
      </c>
      <c r="X65">
        <f>HYPERLINK("https://klasma.github.io/Logging_1907/tillsyn/A 39755-2019 tillsynsbegäran.docx", "A 39755-2019")</f>
        <v/>
      </c>
      <c r="Y65">
        <f>HYPERLINK("https://klasma.github.io/Logging_1907/tillsynsmail/A 39755-2019 tillsynsbegäran mail.docx", "A 39755-2019")</f>
        <v/>
      </c>
    </row>
    <row r="66" ht="15" customHeight="1">
      <c r="A66" t="inlineStr">
        <is>
          <t>A 2708-2020</t>
        </is>
      </c>
      <c r="B66" s="1" t="n">
        <v>43850</v>
      </c>
      <c r="C66" s="1" t="n">
        <v>45579</v>
      </c>
      <c r="D66" t="inlineStr">
        <is>
          <t>VÄSTMANLANDS LÄN</t>
        </is>
      </c>
      <c r="E66" t="inlineStr">
        <is>
          <t>SURAHAMMAR</t>
        </is>
      </c>
      <c r="F66" t="inlineStr">
        <is>
          <t>Övriga Aktiebolag</t>
        </is>
      </c>
      <c r="G66" t="n">
        <v>29.7</v>
      </c>
      <c r="H66" t="n">
        <v>0</v>
      </c>
      <c r="I66" t="n">
        <v>0</v>
      </c>
      <c r="J66" t="n">
        <v>1</v>
      </c>
      <c r="K66" t="n">
        <v>0</v>
      </c>
      <c r="L66" t="n">
        <v>0</v>
      </c>
      <c r="M66" t="n">
        <v>0</v>
      </c>
      <c r="N66" t="n">
        <v>0</v>
      </c>
      <c r="O66" t="n">
        <v>1</v>
      </c>
      <c r="P66" t="n">
        <v>0</v>
      </c>
      <c r="Q66" t="n">
        <v>1</v>
      </c>
      <c r="R66" s="2" t="inlineStr">
        <is>
          <t>Ullticka</t>
        </is>
      </c>
      <c r="S66">
        <f>HYPERLINK("https://klasma.github.io/Logging_1907/artfynd/A 2708-2020 artfynd.xlsx", "A 2708-2020")</f>
        <v/>
      </c>
      <c r="T66">
        <f>HYPERLINK("https://klasma.github.io/Logging_1907/kartor/A 2708-2020 karta.png", "A 2708-2020")</f>
        <v/>
      </c>
      <c r="V66">
        <f>HYPERLINK("https://klasma.github.io/Logging_1907/klagomål/A 2708-2020 FSC-klagomål.docx", "A 2708-2020")</f>
        <v/>
      </c>
      <c r="W66">
        <f>HYPERLINK("https://klasma.github.io/Logging_1907/klagomålsmail/A 2708-2020 FSC-klagomål mail.docx", "A 2708-2020")</f>
        <v/>
      </c>
      <c r="X66">
        <f>HYPERLINK("https://klasma.github.io/Logging_1907/tillsyn/A 2708-2020 tillsynsbegäran.docx", "A 2708-2020")</f>
        <v/>
      </c>
      <c r="Y66">
        <f>HYPERLINK("https://klasma.github.io/Logging_1907/tillsynsmail/A 2708-2020 tillsynsbegäran mail.docx", "A 2708-2020")</f>
        <v/>
      </c>
    </row>
    <row r="67" ht="15" customHeight="1">
      <c r="A67" t="inlineStr">
        <is>
          <t>A 6514-2020</t>
        </is>
      </c>
      <c r="B67" s="1" t="n">
        <v>43867</v>
      </c>
      <c r="C67" s="1" t="n">
        <v>45579</v>
      </c>
      <c r="D67" t="inlineStr">
        <is>
          <t>VÄSTMANLANDS LÄN</t>
        </is>
      </c>
      <c r="E67" t="inlineStr">
        <is>
          <t>SURAHAMMAR</t>
        </is>
      </c>
      <c r="G67" t="n">
        <v>2.2</v>
      </c>
      <c r="H67" t="n">
        <v>1</v>
      </c>
      <c r="I67" t="n">
        <v>0</v>
      </c>
      <c r="J67" t="n">
        <v>0</v>
      </c>
      <c r="K67" t="n">
        <v>1</v>
      </c>
      <c r="L67" t="n">
        <v>0</v>
      </c>
      <c r="M67" t="n">
        <v>0</v>
      </c>
      <c r="N67" t="n">
        <v>0</v>
      </c>
      <c r="O67" t="n">
        <v>1</v>
      </c>
      <c r="P67" t="n">
        <v>1</v>
      </c>
      <c r="Q67" t="n">
        <v>1</v>
      </c>
      <c r="R67" s="2" t="inlineStr">
        <is>
          <t>Bombmurkla</t>
        </is>
      </c>
      <c r="S67">
        <f>HYPERLINK("https://klasma.github.io/Logging_1907/artfynd/A 6514-2020 artfynd.xlsx", "A 6514-2020")</f>
        <v/>
      </c>
      <c r="T67">
        <f>HYPERLINK("https://klasma.github.io/Logging_1907/kartor/A 6514-2020 karta.png", "A 6514-2020")</f>
        <v/>
      </c>
      <c r="V67">
        <f>HYPERLINK("https://klasma.github.io/Logging_1907/klagomål/A 6514-2020 FSC-klagomål.docx", "A 6514-2020")</f>
        <v/>
      </c>
      <c r="W67">
        <f>HYPERLINK("https://klasma.github.io/Logging_1907/klagomålsmail/A 6514-2020 FSC-klagomål mail.docx", "A 6514-2020")</f>
        <v/>
      </c>
      <c r="X67">
        <f>HYPERLINK("https://klasma.github.io/Logging_1907/tillsyn/A 6514-2020 tillsynsbegäran.docx", "A 6514-2020")</f>
        <v/>
      </c>
      <c r="Y67">
        <f>HYPERLINK("https://klasma.github.io/Logging_1907/tillsynsmail/A 6514-2020 tillsynsbegäran mail.docx", "A 6514-2020")</f>
        <v/>
      </c>
    </row>
    <row r="68" ht="15" customHeight="1">
      <c r="A68" t="inlineStr">
        <is>
          <t>A 57412-2020</t>
        </is>
      </c>
      <c r="B68" s="1" t="n">
        <v>44138</v>
      </c>
      <c r="C68" s="1" t="n">
        <v>45579</v>
      </c>
      <c r="D68" t="inlineStr">
        <is>
          <t>VÄSTMANLANDS LÄN</t>
        </is>
      </c>
      <c r="E68" t="inlineStr">
        <is>
          <t>SURAHAMMAR</t>
        </is>
      </c>
      <c r="G68" t="n">
        <v>2.9</v>
      </c>
      <c r="H68" t="n">
        <v>1</v>
      </c>
      <c r="I68" t="n">
        <v>0</v>
      </c>
      <c r="J68" t="n">
        <v>1</v>
      </c>
      <c r="K68" t="n">
        <v>0</v>
      </c>
      <c r="L68" t="n">
        <v>0</v>
      </c>
      <c r="M68" t="n">
        <v>0</v>
      </c>
      <c r="N68" t="n">
        <v>0</v>
      </c>
      <c r="O68" t="n">
        <v>1</v>
      </c>
      <c r="P68" t="n">
        <v>0</v>
      </c>
      <c r="Q68" t="n">
        <v>1</v>
      </c>
      <c r="R68" s="2" t="inlineStr">
        <is>
          <t>Gulsparv</t>
        </is>
      </c>
      <c r="S68">
        <f>HYPERLINK("https://klasma.github.io/Logging_1907/artfynd/A 57412-2020 artfynd.xlsx", "A 57412-2020")</f>
        <v/>
      </c>
      <c r="T68">
        <f>HYPERLINK("https://klasma.github.io/Logging_1907/kartor/A 57412-2020 karta.png", "A 57412-2020")</f>
        <v/>
      </c>
      <c r="V68">
        <f>HYPERLINK("https://klasma.github.io/Logging_1907/klagomål/A 57412-2020 FSC-klagomål.docx", "A 57412-2020")</f>
        <v/>
      </c>
      <c r="W68">
        <f>HYPERLINK("https://klasma.github.io/Logging_1907/klagomålsmail/A 57412-2020 FSC-klagomål mail.docx", "A 57412-2020")</f>
        <v/>
      </c>
      <c r="X68">
        <f>HYPERLINK("https://klasma.github.io/Logging_1907/tillsyn/A 57412-2020 tillsynsbegäran.docx", "A 57412-2020")</f>
        <v/>
      </c>
      <c r="Y68">
        <f>HYPERLINK("https://klasma.github.io/Logging_1907/tillsynsmail/A 57412-2020 tillsynsbegäran mail.docx", "A 57412-2020")</f>
        <v/>
      </c>
      <c r="Z68">
        <f>HYPERLINK("https://klasma.github.io/Logging_1907/fåglar/A 57412-2020 prioriterade fågelarter.docx", "A 57412-2020")</f>
        <v/>
      </c>
    </row>
    <row r="69" ht="15" customHeight="1">
      <c r="A69" t="inlineStr">
        <is>
          <t>A 20479-2021</t>
        </is>
      </c>
      <c r="B69" s="1" t="n">
        <v>44315</v>
      </c>
      <c r="C69" s="1" t="n">
        <v>45579</v>
      </c>
      <c r="D69" t="inlineStr">
        <is>
          <t>VÄSTMANLANDS LÄN</t>
        </is>
      </c>
      <c r="E69" t="inlineStr">
        <is>
          <t>SURAHAMMAR</t>
        </is>
      </c>
      <c r="F69" t="inlineStr">
        <is>
          <t>Sveaskog</t>
        </is>
      </c>
      <c r="G69" t="n">
        <v>3.8</v>
      </c>
      <c r="H69" t="n">
        <v>0</v>
      </c>
      <c r="I69" t="n">
        <v>1</v>
      </c>
      <c r="J69" t="n">
        <v>0</v>
      </c>
      <c r="K69" t="n">
        <v>0</v>
      </c>
      <c r="L69" t="n">
        <v>0</v>
      </c>
      <c r="M69" t="n">
        <v>0</v>
      </c>
      <c r="N69" t="n">
        <v>0</v>
      </c>
      <c r="O69" t="n">
        <v>0</v>
      </c>
      <c r="P69" t="n">
        <v>0</v>
      </c>
      <c r="Q69" t="n">
        <v>1</v>
      </c>
      <c r="R69" s="2" t="inlineStr">
        <is>
          <t>Grönpyrola</t>
        </is>
      </c>
      <c r="S69">
        <f>HYPERLINK("https://klasma.github.io/Logging_1907/artfynd/A 20479-2021 artfynd.xlsx", "A 20479-2021")</f>
        <v/>
      </c>
      <c r="T69">
        <f>HYPERLINK("https://klasma.github.io/Logging_1907/kartor/A 20479-2021 karta.png", "A 20479-2021")</f>
        <v/>
      </c>
      <c r="V69">
        <f>HYPERLINK("https://klasma.github.io/Logging_1907/klagomål/A 20479-2021 FSC-klagomål.docx", "A 20479-2021")</f>
        <v/>
      </c>
      <c r="W69">
        <f>HYPERLINK("https://klasma.github.io/Logging_1907/klagomålsmail/A 20479-2021 FSC-klagomål mail.docx", "A 20479-2021")</f>
        <v/>
      </c>
      <c r="X69">
        <f>HYPERLINK("https://klasma.github.io/Logging_1907/tillsyn/A 20479-2021 tillsynsbegäran.docx", "A 20479-2021")</f>
        <v/>
      </c>
      <c r="Y69">
        <f>HYPERLINK("https://klasma.github.io/Logging_1907/tillsynsmail/A 20479-2021 tillsynsbegäran mail.docx", "A 20479-2021")</f>
        <v/>
      </c>
    </row>
    <row r="70" ht="15" customHeight="1">
      <c r="A70" t="inlineStr">
        <is>
          <t>A 38170-2021</t>
        </is>
      </c>
      <c r="B70" s="1" t="n">
        <v>44405</v>
      </c>
      <c r="C70" s="1" t="n">
        <v>45579</v>
      </c>
      <c r="D70" t="inlineStr">
        <is>
          <t>VÄSTMANLANDS LÄN</t>
        </is>
      </c>
      <c r="E70" t="inlineStr">
        <is>
          <t>SURAHAMMAR</t>
        </is>
      </c>
      <c r="F70" t="inlineStr">
        <is>
          <t>Sveaskog</t>
        </is>
      </c>
      <c r="G70" t="n">
        <v>1.2</v>
      </c>
      <c r="H70" t="n">
        <v>1</v>
      </c>
      <c r="I70" t="n">
        <v>0</v>
      </c>
      <c r="J70" t="n">
        <v>0</v>
      </c>
      <c r="K70" t="n">
        <v>0</v>
      </c>
      <c r="L70" t="n">
        <v>0</v>
      </c>
      <c r="M70" t="n">
        <v>0</v>
      </c>
      <c r="N70" t="n">
        <v>0</v>
      </c>
      <c r="O70" t="n">
        <v>0</v>
      </c>
      <c r="P70" t="n">
        <v>0</v>
      </c>
      <c r="Q70" t="n">
        <v>1</v>
      </c>
      <c r="R70" s="2" t="inlineStr">
        <is>
          <t>Revlummer</t>
        </is>
      </c>
      <c r="S70">
        <f>HYPERLINK("https://klasma.github.io/Logging_1907/artfynd/A 38170-2021 artfynd.xlsx", "A 38170-2021")</f>
        <v/>
      </c>
      <c r="T70">
        <f>HYPERLINK("https://klasma.github.io/Logging_1907/kartor/A 38170-2021 karta.png", "A 38170-2021")</f>
        <v/>
      </c>
      <c r="V70">
        <f>HYPERLINK("https://klasma.github.io/Logging_1907/klagomål/A 38170-2021 FSC-klagomål.docx", "A 38170-2021")</f>
        <v/>
      </c>
      <c r="W70">
        <f>HYPERLINK("https://klasma.github.io/Logging_1907/klagomålsmail/A 38170-2021 FSC-klagomål mail.docx", "A 38170-2021")</f>
        <v/>
      </c>
      <c r="X70">
        <f>HYPERLINK("https://klasma.github.io/Logging_1907/tillsyn/A 38170-2021 tillsynsbegäran.docx", "A 38170-2021")</f>
        <v/>
      </c>
      <c r="Y70">
        <f>HYPERLINK("https://klasma.github.io/Logging_1907/tillsynsmail/A 38170-2021 tillsynsbegäran mail.docx", "A 38170-2021")</f>
        <v/>
      </c>
    </row>
    <row r="71" ht="15" customHeight="1">
      <c r="A71" t="inlineStr">
        <is>
          <t>A 38175-2021</t>
        </is>
      </c>
      <c r="B71" s="1" t="n">
        <v>44405</v>
      </c>
      <c r="C71" s="1" t="n">
        <v>45579</v>
      </c>
      <c r="D71" t="inlineStr">
        <is>
          <t>VÄSTMANLANDS LÄN</t>
        </is>
      </c>
      <c r="E71" t="inlineStr">
        <is>
          <t>SURAHAMMAR</t>
        </is>
      </c>
      <c r="F71" t="inlineStr">
        <is>
          <t>Sveaskog</t>
        </is>
      </c>
      <c r="G71" t="n">
        <v>3.1</v>
      </c>
      <c r="H71" t="n">
        <v>0</v>
      </c>
      <c r="I71" t="n">
        <v>0</v>
      </c>
      <c r="J71" t="n">
        <v>1</v>
      </c>
      <c r="K71" t="n">
        <v>0</v>
      </c>
      <c r="L71" t="n">
        <v>0</v>
      </c>
      <c r="M71" t="n">
        <v>0</v>
      </c>
      <c r="N71" t="n">
        <v>0</v>
      </c>
      <c r="O71" t="n">
        <v>1</v>
      </c>
      <c r="P71" t="n">
        <v>0</v>
      </c>
      <c r="Q71" t="n">
        <v>1</v>
      </c>
      <c r="R71" s="2" t="inlineStr">
        <is>
          <t>Ullticka</t>
        </is>
      </c>
      <c r="S71">
        <f>HYPERLINK("https://klasma.github.io/Logging_1907/artfynd/A 38175-2021 artfynd.xlsx", "A 38175-2021")</f>
        <v/>
      </c>
      <c r="T71">
        <f>HYPERLINK("https://klasma.github.io/Logging_1907/kartor/A 38175-2021 karta.png", "A 38175-2021")</f>
        <v/>
      </c>
      <c r="V71">
        <f>HYPERLINK("https://klasma.github.io/Logging_1907/klagomål/A 38175-2021 FSC-klagomål.docx", "A 38175-2021")</f>
        <v/>
      </c>
      <c r="W71">
        <f>HYPERLINK("https://klasma.github.io/Logging_1907/klagomålsmail/A 38175-2021 FSC-klagomål mail.docx", "A 38175-2021")</f>
        <v/>
      </c>
      <c r="X71">
        <f>HYPERLINK("https://klasma.github.io/Logging_1907/tillsyn/A 38175-2021 tillsynsbegäran.docx", "A 38175-2021")</f>
        <v/>
      </c>
      <c r="Y71">
        <f>HYPERLINK("https://klasma.github.io/Logging_1907/tillsynsmail/A 38175-2021 tillsynsbegäran mail.docx", "A 38175-2021")</f>
        <v/>
      </c>
    </row>
    <row r="72" ht="15" customHeight="1">
      <c r="A72" t="inlineStr">
        <is>
          <t>A 40411-2021</t>
        </is>
      </c>
      <c r="B72" s="1" t="n">
        <v>44419</v>
      </c>
      <c r="C72" s="1" t="n">
        <v>45579</v>
      </c>
      <c r="D72" t="inlineStr">
        <is>
          <t>VÄSTMANLANDS LÄN</t>
        </is>
      </c>
      <c r="E72" t="inlineStr">
        <is>
          <t>SURAHAMMAR</t>
        </is>
      </c>
      <c r="F72" t="inlineStr">
        <is>
          <t>Sveaskog</t>
        </is>
      </c>
      <c r="G72" t="n">
        <v>2.4</v>
      </c>
      <c r="H72" t="n">
        <v>1</v>
      </c>
      <c r="I72" t="n">
        <v>0</v>
      </c>
      <c r="J72" t="n">
        <v>0</v>
      </c>
      <c r="K72" t="n">
        <v>0</v>
      </c>
      <c r="L72" t="n">
        <v>0</v>
      </c>
      <c r="M72" t="n">
        <v>0</v>
      </c>
      <c r="N72" t="n">
        <v>0</v>
      </c>
      <c r="O72" t="n">
        <v>0</v>
      </c>
      <c r="P72" t="n">
        <v>0</v>
      </c>
      <c r="Q72" t="n">
        <v>1</v>
      </c>
      <c r="R72" s="2" t="inlineStr">
        <is>
          <t>Kopparödla</t>
        </is>
      </c>
      <c r="S72">
        <f>HYPERLINK("https://klasma.github.io/Logging_1907/artfynd/A 40411-2021 artfynd.xlsx", "A 40411-2021")</f>
        <v/>
      </c>
      <c r="T72">
        <f>HYPERLINK("https://klasma.github.io/Logging_1907/kartor/A 40411-2021 karta.png", "A 40411-2021")</f>
        <v/>
      </c>
      <c r="V72">
        <f>HYPERLINK("https://klasma.github.io/Logging_1907/klagomål/A 40411-2021 FSC-klagomål.docx", "A 40411-2021")</f>
        <v/>
      </c>
      <c r="W72">
        <f>HYPERLINK("https://klasma.github.io/Logging_1907/klagomålsmail/A 40411-2021 FSC-klagomål mail.docx", "A 40411-2021")</f>
        <v/>
      </c>
      <c r="X72">
        <f>HYPERLINK("https://klasma.github.io/Logging_1907/tillsyn/A 40411-2021 tillsynsbegäran.docx", "A 40411-2021")</f>
        <v/>
      </c>
      <c r="Y72">
        <f>HYPERLINK("https://klasma.github.io/Logging_1907/tillsynsmail/A 40411-2021 tillsynsbegäran mail.docx", "A 40411-2021")</f>
        <v/>
      </c>
    </row>
    <row r="73" ht="15" customHeight="1">
      <c r="A73" t="inlineStr">
        <is>
          <t>A 69777-2021</t>
        </is>
      </c>
      <c r="B73" s="1" t="n">
        <v>44532</v>
      </c>
      <c r="C73" s="1" t="n">
        <v>45579</v>
      </c>
      <c r="D73" t="inlineStr">
        <is>
          <t>VÄSTMANLANDS LÄN</t>
        </is>
      </c>
      <c r="E73" t="inlineStr">
        <is>
          <t>SURAHAMMAR</t>
        </is>
      </c>
      <c r="G73" t="n">
        <v>2.3</v>
      </c>
      <c r="H73" t="n">
        <v>1</v>
      </c>
      <c r="I73" t="n">
        <v>0</v>
      </c>
      <c r="J73" t="n">
        <v>0</v>
      </c>
      <c r="K73" t="n">
        <v>1</v>
      </c>
      <c r="L73" t="n">
        <v>0</v>
      </c>
      <c r="M73" t="n">
        <v>0</v>
      </c>
      <c r="N73" t="n">
        <v>0</v>
      </c>
      <c r="O73" t="n">
        <v>1</v>
      </c>
      <c r="P73" t="n">
        <v>1</v>
      </c>
      <c r="Q73" t="n">
        <v>1</v>
      </c>
      <c r="R73" s="2" t="inlineStr">
        <is>
          <t>Bombmurkla</t>
        </is>
      </c>
      <c r="S73">
        <f>HYPERLINK("https://klasma.github.io/Logging_1907/artfynd/A 69777-2021 artfynd.xlsx", "A 69777-2021")</f>
        <v/>
      </c>
      <c r="T73">
        <f>HYPERLINK("https://klasma.github.io/Logging_1907/kartor/A 69777-2021 karta.png", "A 69777-2021")</f>
        <v/>
      </c>
      <c r="V73">
        <f>HYPERLINK("https://klasma.github.io/Logging_1907/klagomål/A 69777-2021 FSC-klagomål.docx", "A 69777-2021")</f>
        <v/>
      </c>
      <c r="W73">
        <f>HYPERLINK("https://klasma.github.io/Logging_1907/klagomålsmail/A 69777-2021 FSC-klagomål mail.docx", "A 69777-2021")</f>
        <v/>
      </c>
      <c r="X73">
        <f>HYPERLINK("https://klasma.github.io/Logging_1907/tillsyn/A 69777-2021 tillsynsbegäran.docx", "A 69777-2021")</f>
        <v/>
      </c>
      <c r="Y73">
        <f>HYPERLINK("https://klasma.github.io/Logging_1907/tillsynsmail/A 69777-2021 tillsynsbegäran mail.docx", "A 69777-2021")</f>
        <v/>
      </c>
    </row>
    <row r="74" ht="15" customHeight="1">
      <c r="A74" t="inlineStr">
        <is>
          <t>A 7655-2022</t>
        </is>
      </c>
      <c r="B74" s="1" t="n">
        <v>44607</v>
      </c>
      <c r="C74" s="1" t="n">
        <v>45579</v>
      </c>
      <c r="D74" t="inlineStr">
        <is>
          <t>VÄSTMANLANDS LÄN</t>
        </is>
      </c>
      <c r="E74" t="inlineStr">
        <is>
          <t>SURAHAMMAR</t>
        </is>
      </c>
      <c r="G74" t="n">
        <v>1.1</v>
      </c>
      <c r="H74" t="n">
        <v>1</v>
      </c>
      <c r="I74" t="n">
        <v>0</v>
      </c>
      <c r="J74" t="n">
        <v>0</v>
      </c>
      <c r="K74" t="n">
        <v>1</v>
      </c>
      <c r="L74" t="n">
        <v>0</v>
      </c>
      <c r="M74" t="n">
        <v>0</v>
      </c>
      <c r="N74" t="n">
        <v>0</v>
      </c>
      <c r="O74" t="n">
        <v>1</v>
      </c>
      <c r="P74" t="n">
        <v>1</v>
      </c>
      <c r="Q74" t="n">
        <v>1</v>
      </c>
      <c r="R74" s="2" t="inlineStr">
        <is>
          <t>Bombmurkla</t>
        </is>
      </c>
      <c r="S74">
        <f>HYPERLINK("https://klasma.github.io/Logging_1907/artfynd/A 7655-2022 artfynd.xlsx", "A 7655-2022")</f>
        <v/>
      </c>
      <c r="T74">
        <f>HYPERLINK("https://klasma.github.io/Logging_1907/kartor/A 7655-2022 karta.png", "A 7655-2022")</f>
        <v/>
      </c>
      <c r="V74">
        <f>HYPERLINK("https://klasma.github.io/Logging_1907/klagomål/A 7655-2022 FSC-klagomål.docx", "A 7655-2022")</f>
        <v/>
      </c>
      <c r="W74">
        <f>HYPERLINK("https://klasma.github.io/Logging_1907/klagomålsmail/A 7655-2022 FSC-klagomål mail.docx", "A 7655-2022")</f>
        <v/>
      </c>
      <c r="X74">
        <f>HYPERLINK("https://klasma.github.io/Logging_1907/tillsyn/A 7655-2022 tillsynsbegäran.docx", "A 7655-2022")</f>
        <v/>
      </c>
      <c r="Y74">
        <f>HYPERLINK("https://klasma.github.io/Logging_1907/tillsynsmail/A 7655-2022 tillsynsbegäran mail.docx", "A 7655-2022")</f>
        <v/>
      </c>
    </row>
    <row r="75" ht="15" customHeight="1">
      <c r="A75" t="inlineStr">
        <is>
          <t>A 17632-2022</t>
        </is>
      </c>
      <c r="B75" s="1" t="n">
        <v>44680</v>
      </c>
      <c r="C75" s="1" t="n">
        <v>45579</v>
      </c>
      <c r="D75" t="inlineStr">
        <is>
          <t>VÄSTMANLANDS LÄN</t>
        </is>
      </c>
      <c r="E75" t="inlineStr">
        <is>
          <t>SURAHAMMAR</t>
        </is>
      </c>
      <c r="G75" t="n">
        <v>5.2</v>
      </c>
      <c r="H75" t="n">
        <v>0</v>
      </c>
      <c r="I75" t="n">
        <v>1</v>
      </c>
      <c r="J75" t="n">
        <v>0</v>
      </c>
      <c r="K75" t="n">
        <v>0</v>
      </c>
      <c r="L75" t="n">
        <v>0</v>
      </c>
      <c r="M75" t="n">
        <v>0</v>
      </c>
      <c r="N75" t="n">
        <v>0</v>
      </c>
      <c r="O75" t="n">
        <v>0</v>
      </c>
      <c r="P75" t="n">
        <v>0</v>
      </c>
      <c r="Q75" t="n">
        <v>1</v>
      </c>
      <c r="R75" s="2" t="inlineStr">
        <is>
          <t>Blodticka</t>
        </is>
      </c>
      <c r="S75">
        <f>HYPERLINK("https://klasma.github.io/Logging_1907/artfynd/A 17632-2022 artfynd.xlsx", "A 17632-2022")</f>
        <v/>
      </c>
      <c r="T75">
        <f>HYPERLINK("https://klasma.github.io/Logging_1907/kartor/A 17632-2022 karta.png", "A 17632-2022")</f>
        <v/>
      </c>
      <c r="V75">
        <f>HYPERLINK("https://klasma.github.io/Logging_1907/klagomål/A 17632-2022 FSC-klagomål.docx", "A 17632-2022")</f>
        <v/>
      </c>
      <c r="W75">
        <f>HYPERLINK("https://klasma.github.io/Logging_1907/klagomålsmail/A 17632-2022 FSC-klagomål mail.docx", "A 17632-2022")</f>
        <v/>
      </c>
      <c r="X75">
        <f>HYPERLINK("https://klasma.github.io/Logging_1907/tillsyn/A 17632-2022 tillsynsbegäran.docx", "A 17632-2022")</f>
        <v/>
      </c>
      <c r="Y75">
        <f>HYPERLINK("https://klasma.github.io/Logging_1907/tillsynsmail/A 17632-2022 tillsynsbegäran mail.docx", "A 17632-2022")</f>
        <v/>
      </c>
    </row>
    <row r="76" ht="15" customHeight="1">
      <c r="A76" t="inlineStr">
        <is>
          <t>A 39099-2022</t>
        </is>
      </c>
      <c r="B76" s="1" t="n">
        <v>44817</v>
      </c>
      <c r="C76" s="1" t="n">
        <v>45579</v>
      </c>
      <c r="D76" t="inlineStr">
        <is>
          <t>VÄSTMANLANDS LÄN</t>
        </is>
      </c>
      <c r="E76" t="inlineStr">
        <is>
          <t>SURAHAMMAR</t>
        </is>
      </c>
      <c r="F76" t="inlineStr">
        <is>
          <t>Bergvik skog väst AB</t>
        </is>
      </c>
      <c r="G76" t="n">
        <v>7.4</v>
      </c>
      <c r="H76" t="n">
        <v>0</v>
      </c>
      <c r="I76" t="n">
        <v>1</v>
      </c>
      <c r="J76" t="n">
        <v>0</v>
      </c>
      <c r="K76" t="n">
        <v>0</v>
      </c>
      <c r="L76" t="n">
        <v>0</v>
      </c>
      <c r="M76" t="n">
        <v>0</v>
      </c>
      <c r="N76" t="n">
        <v>0</v>
      </c>
      <c r="O76" t="n">
        <v>0</v>
      </c>
      <c r="P76" t="n">
        <v>0</v>
      </c>
      <c r="Q76" t="n">
        <v>1</v>
      </c>
      <c r="R76" s="2" t="inlineStr">
        <is>
          <t>Stekelbock</t>
        </is>
      </c>
      <c r="S76">
        <f>HYPERLINK("https://klasma.github.io/Logging_1907/artfynd/A 39099-2022 artfynd.xlsx", "A 39099-2022")</f>
        <v/>
      </c>
      <c r="T76">
        <f>HYPERLINK("https://klasma.github.io/Logging_1907/kartor/A 39099-2022 karta.png", "A 39099-2022")</f>
        <v/>
      </c>
      <c r="V76">
        <f>HYPERLINK("https://klasma.github.io/Logging_1907/klagomål/A 39099-2022 FSC-klagomål.docx", "A 39099-2022")</f>
        <v/>
      </c>
      <c r="W76">
        <f>HYPERLINK("https://klasma.github.io/Logging_1907/klagomålsmail/A 39099-2022 FSC-klagomål mail.docx", "A 39099-2022")</f>
        <v/>
      </c>
      <c r="X76">
        <f>HYPERLINK("https://klasma.github.io/Logging_1907/tillsyn/A 39099-2022 tillsynsbegäran.docx", "A 39099-2022")</f>
        <v/>
      </c>
      <c r="Y76">
        <f>HYPERLINK("https://klasma.github.io/Logging_1907/tillsynsmail/A 39099-2022 tillsynsbegäran mail.docx", "A 39099-2022")</f>
        <v/>
      </c>
    </row>
    <row r="77" ht="15" customHeight="1">
      <c r="A77" t="inlineStr">
        <is>
          <t>A 42765-2022</t>
        </is>
      </c>
      <c r="B77" s="1" t="n">
        <v>44832</v>
      </c>
      <c r="C77" s="1" t="n">
        <v>45579</v>
      </c>
      <c r="D77" t="inlineStr">
        <is>
          <t>VÄSTMANLANDS LÄN</t>
        </is>
      </c>
      <c r="E77" t="inlineStr">
        <is>
          <t>SURAHAMMAR</t>
        </is>
      </c>
      <c r="G77" t="n">
        <v>1.8</v>
      </c>
      <c r="H77" t="n">
        <v>1</v>
      </c>
      <c r="I77" t="n">
        <v>0</v>
      </c>
      <c r="J77" t="n">
        <v>0</v>
      </c>
      <c r="K77" t="n">
        <v>0</v>
      </c>
      <c r="L77" t="n">
        <v>0</v>
      </c>
      <c r="M77" t="n">
        <v>0</v>
      </c>
      <c r="N77" t="n">
        <v>0</v>
      </c>
      <c r="O77" t="n">
        <v>0</v>
      </c>
      <c r="P77" t="n">
        <v>0</v>
      </c>
      <c r="Q77" t="n">
        <v>1</v>
      </c>
      <c r="R77" s="2" t="inlineStr">
        <is>
          <t>Blåsippa</t>
        </is>
      </c>
      <c r="S77">
        <f>HYPERLINK("https://klasma.github.io/Logging_1907/artfynd/A 42765-2022 artfynd.xlsx", "A 42765-2022")</f>
        <v/>
      </c>
      <c r="T77">
        <f>HYPERLINK("https://klasma.github.io/Logging_1907/kartor/A 42765-2022 karta.png", "A 42765-2022")</f>
        <v/>
      </c>
      <c r="V77">
        <f>HYPERLINK("https://klasma.github.io/Logging_1907/klagomål/A 42765-2022 FSC-klagomål.docx", "A 42765-2022")</f>
        <v/>
      </c>
      <c r="W77">
        <f>HYPERLINK("https://klasma.github.io/Logging_1907/klagomålsmail/A 42765-2022 FSC-klagomål mail.docx", "A 42765-2022")</f>
        <v/>
      </c>
      <c r="X77">
        <f>HYPERLINK("https://klasma.github.io/Logging_1907/tillsyn/A 42765-2022 tillsynsbegäran.docx", "A 42765-2022")</f>
        <v/>
      </c>
      <c r="Y77">
        <f>HYPERLINK("https://klasma.github.io/Logging_1907/tillsynsmail/A 42765-2022 tillsynsbegäran mail.docx", "A 42765-2022")</f>
        <v/>
      </c>
    </row>
    <row r="78" ht="15" customHeight="1">
      <c r="A78" t="inlineStr">
        <is>
          <t>A 47207-2022</t>
        </is>
      </c>
      <c r="B78" s="1" t="n">
        <v>44852</v>
      </c>
      <c r="C78" s="1" t="n">
        <v>45579</v>
      </c>
      <c r="D78" t="inlineStr">
        <is>
          <t>VÄSTMANLANDS LÄN</t>
        </is>
      </c>
      <c r="E78" t="inlineStr">
        <is>
          <t>SURAHAMMAR</t>
        </is>
      </c>
      <c r="G78" t="n">
        <v>3.2</v>
      </c>
      <c r="H78" t="n">
        <v>0</v>
      </c>
      <c r="I78" t="n">
        <v>0</v>
      </c>
      <c r="J78" t="n">
        <v>1</v>
      </c>
      <c r="K78" t="n">
        <v>0</v>
      </c>
      <c r="L78" t="n">
        <v>0</v>
      </c>
      <c r="M78" t="n">
        <v>0</v>
      </c>
      <c r="N78" t="n">
        <v>0</v>
      </c>
      <c r="O78" t="n">
        <v>1</v>
      </c>
      <c r="P78" t="n">
        <v>0</v>
      </c>
      <c r="Q78" t="n">
        <v>1</v>
      </c>
      <c r="R78" s="2" t="inlineStr">
        <is>
          <t>Veckticka</t>
        </is>
      </c>
      <c r="S78">
        <f>HYPERLINK("https://klasma.github.io/Logging_1907/artfynd/A 47207-2022 artfynd.xlsx", "A 47207-2022")</f>
        <v/>
      </c>
      <c r="T78">
        <f>HYPERLINK("https://klasma.github.io/Logging_1907/kartor/A 47207-2022 karta.png", "A 47207-2022")</f>
        <v/>
      </c>
      <c r="V78">
        <f>HYPERLINK("https://klasma.github.io/Logging_1907/klagomål/A 47207-2022 FSC-klagomål.docx", "A 47207-2022")</f>
        <v/>
      </c>
      <c r="W78">
        <f>HYPERLINK("https://klasma.github.io/Logging_1907/klagomålsmail/A 47207-2022 FSC-klagomål mail.docx", "A 47207-2022")</f>
        <v/>
      </c>
      <c r="X78">
        <f>HYPERLINK("https://klasma.github.io/Logging_1907/tillsyn/A 47207-2022 tillsynsbegäran.docx", "A 47207-2022")</f>
        <v/>
      </c>
      <c r="Y78">
        <f>HYPERLINK("https://klasma.github.io/Logging_1907/tillsynsmail/A 47207-2022 tillsynsbegäran mail.docx", "A 47207-2022")</f>
        <v/>
      </c>
    </row>
    <row r="79" ht="15" customHeight="1">
      <c r="A79" t="inlineStr">
        <is>
          <t>A 11259-2023</t>
        </is>
      </c>
      <c r="B79" s="1" t="n">
        <v>44991</v>
      </c>
      <c r="C79" s="1" t="n">
        <v>45579</v>
      </c>
      <c r="D79" t="inlineStr">
        <is>
          <t>VÄSTMANLANDS LÄN</t>
        </is>
      </c>
      <c r="E79" t="inlineStr">
        <is>
          <t>SURAHAMMAR</t>
        </is>
      </c>
      <c r="G79" t="n">
        <v>2.4</v>
      </c>
      <c r="H79" t="n">
        <v>1</v>
      </c>
      <c r="I79" t="n">
        <v>0</v>
      </c>
      <c r="J79" t="n">
        <v>1</v>
      </c>
      <c r="K79" t="n">
        <v>0</v>
      </c>
      <c r="L79" t="n">
        <v>0</v>
      </c>
      <c r="M79" t="n">
        <v>0</v>
      </c>
      <c r="N79" t="n">
        <v>0</v>
      </c>
      <c r="O79" t="n">
        <v>1</v>
      </c>
      <c r="P79" t="n">
        <v>0</v>
      </c>
      <c r="Q79" t="n">
        <v>1</v>
      </c>
      <c r="R79" s="2" t="inlineStr">
        <is>
          <t>Spillkråka</t>
        </is>
      </c>
      <c r="S79">
        <f>HYPERLINK("https://klasma.github.io/Logging_1907/artfynd/A 11259-2023 artfynd.xlsx", "A 11259-2023")</f>
        <v/>
      </c>
      <c r="T79">
        <f>HYPERLINK("https://klasma.github.io/Logging_1907/kartor/A 11259-2023 karta.png", "A 11259-2023")</f>
        <v/>
      </c>
      <c r="V79">
        <f>HYPERLINK("https://klasma.github.io/Logging_1907/klagomål/A 11259-2023 FSC-klagomål.docx", "A 11259-2023")</f>
        <v/>
      </c>
      <c r="W79">
        <f>HYPERLINK("https://klasma.github.io/Logging_1907/klagomålsmail/A 11259-2023 FSC-klagomål mail.docx", "A 11259-2023")</f>
        <v/>
      </c>
      <c r="X79">
        <f>HYPERLINK("https://klasma.github.io/Logging_1907/tillsyn/A 11259-2023 tillsynsbegäran.docx", "A 11259-2023")</f>
        <v/>
      </c>
      <c r="Y79">
        <f>HYPERLINK("https://klasma.github.io/Logging_1907/tillsynsmail/A 11259-2023 tillsynsbegäran mail.docx", "A 11259-2023")</f>
        <v/>
      </c>
      <c r="Z79">
        <f>HYPERLINK("https://klasma.github.io/Logging_1907/fåglar/A 11259-2023 prioriterade fågelarter.docx", "A 11259-2023")</f>
        <v/>
      </c>
    </row>
    <row r="80" ht="15" customHeight="1">
      <c r="A80" t="inlineStr">
        <is>
          <t>A 13971-2023</t>
        </is>
      </c>
      <c r="B80" s="1" t="n">
        <v>45007</v>
      </c>
      <c r="C80" s="1" t="n">
        <v>45579</v>
      </c>
      <c r="D80" t="inlineStr">
        <is>
          <t>VÄSTMANLANDS LÄN</t>
        </is>
      </c>
      <c r="E80" t="inlineStr">
        <is>
          <t>SURAHAMMAR</t>
        </is>
      </c>
      <c r="F80" t="inlineStr">
        <is>
          <t>Bergvik skog väst AB</t>
        </is>
      </c>
      <c r="G80" t="n">
        <v>2.9</v>
      </c>
      <c r="H80" t="n">
        <v>1</v>
      </c>
      <c r="I80" t="n">
        <v>0</v>
      </c>
      <c r="J80" t="n">
        <v>0</v>
      </c>
      <c r="K80" t="n">
        <v>0</v>
      </c>
      <c r="L80" t="n">
        <v>0</v>
      </c>
      <c r="M80" t="n">
        <v>0</v>
      </c>
      <c r="N80" t="n">
        <v>0</v>
      </c>
      <c r="O80" t="n">
        <v>0</v>
      </c>
      <c r="P80" t="n">
        <v>0</v>
      </c>
      <c r="Q80" t="n">
        <v>1</v>
      </c>
      <c r="R80" s="2" t="inlineStr">
        <is>
          <t>Fläcknycklar</t>
        </is>
      </c>
      <c r="S80">
        <f>HYPERLINK("https://klasma.github.io/Logging_1907/artfynd/A 13971-2023 artfynd.xlsx", "A 13971-2023")</f>
        <v/>
      </c>
      <c r="T80">
        <f>HYPERLINK("https://klasma.github.io/Logging_1907/kartor/A 13971-2023 karta.png", "A 13971-2023")</f>
        <v/>
      </c>
      <c r="V80">
        <f>HYPERLINK("https://klasma.github.io/Logging_1907/klagomål/A 13971-2023 FSC-klagomål.docx", "A 13971-2023")</f>
        <v/>
      </c>
      <c r="W80">
        <f>HYPERLINK("https://klasma.github.io/Logging_1907/klagomålsmail/A 13971-2023 FSC-klagomål mail.docx", "A 13971-2023")</f>
        <v/>
      </c>
      <c r="X80">
        <f>HYPERLINK("https://klasma.github.io/Logging_1907/tillsyn/A 13971-2023 tillsynsbegäran.docx", "A 13971-2023")</f>
        <v/>
      </c>
      <c r="Y80">
        <f>HYPERLINK("https://klasma.github.io/Logging_1907/tillsynsmail/A 13971-2023 tillsynsbegäran mail.docx", "A 13971-2023")</f>
        <v/>
      </c>
    </row>
    <row r="81" ht="15" customHeight="1">
      <c r="A81" t="inlineStr">
        <is>
          <t>A 14001-2023</t>
        </is>
      </c>
      <c r="B81" s="1" t="n">
        <v>45007</v>
      </c>
      <c r="C81" s="1" t="n">
        <v>45579</v>
      </c>
      <c r="D81" t="inlineStr">
        <is>
          <t>VÄSTMANLANDS LÄN</t>
        </is>
      </c>
      <c r="E81" t="inlineStr">
        <is>
          <t>SURAHAMMAR</t>
        </is>
      </c>
      <c r="F81" t="inlineStr">
        <is>
          <t>Bergvik skog väst AB</t>
        </is>
      </c>
      <c r="G81" t="n">
        <v>1</v>
      </c>
      <c r="H81" t="n">
        <v>0</v>
      </c>
      <c r="I81" t="n">
        <v>0</v>
      </c>
      <c r="J81" t="n">
        <v>1</v>
      </c>
      <c r="K81" t="n">
        <v>0</v>
      </c>
      <c r="L81" t="n">
        <v>0</v>
      </c>
      <c r="M81" t="n">
        <v>0</v>
      </c>
      <c r="N81" t="n">
        <v>0</v>
      </c>
      <c r="O81" t="n">
        <v>1</v>
      </c>
      <c r="P81" t="n">
        <v>0</v>
      </c>
      <c r="Q81" t="n">
        <v>1</v>
      </c>
      <c r="R81" s="2" t="inlineStr">
        <is>
          <t>Motaggsvamp</t>
        </is>
      </c>
      <c r="S81">
        <f>HYPERLINK("https://klasma.github.io/Logging_1907/artfynd/A 14001-2023 artfynd.xlsx", "A 14001-2023")</f>
        <v/>
      </c>
      <c r="T81">
        <f>HYPERLINK("https://klasma.github.io/Logging_1907/kartor/A 14001-2023 karta.png", "A 14001-2023")</f>
        <v/>
      </c>
      <c r="V81">
        <f>HYPERLINK("https://klasma.github.io/Logging_1907/klagomål/A 14001-2023 FSC-klagomål.docx", "A 14001-2023")</f>
        <v/>
      </c>
      <c r="W81">
        <f>HYPERLINK("https://klasma.github.io/Logging_1907/klagomålsmail/A 14001-2023 FSC-klagomål mail.docx", "A 14001-2023")</f>
        <v/>
      </c>
      <c r="X81">
        <f>HYPERLINK("https://klasma.github.io/Logging_1907/tillsyn/A 14001-2023 tillsynsbegäran.docx", "A 14001-2023")</f>
        <v/>
      </c>
      <c r="Y81">
        <f>HYPERLINK("https://klasma.github.io/Logging_1907/tillsynsmail/A 14001-2023 tillsynsbegäran mail.docx", "A 14001-2023")</f>
        <v/>
      </c>
    </row>
    <row r="82" ht="15" customHeight="1">
      <c r="A82" t="inlineStr">
        <is>
          <t>A 16219-2023</t>
        </is>
      </c>
      <c r="B82" s="1" t="n">
        <v>45022</v>
      </c>
      <c r="C82" s="1" t="n">
        <v>45579</v>
      </c>
      <c r="D82" t="inlineStr">
        <is>
          <t>VÄSTMANLANDS LÄN</t>
        </is>
      </c>
      <c r="E82" t="inlineStr">
        <is>
          <t>SURAHAMMAR</t>
        </is>
      </c>
      <c r="G82" t="n">
        <v>5.9</v>
      </c>
      <c r="H82" t="n">
        <v>1</v>
      </c>
      <c r="I82" t="n">
        <v>0</v>
      </c>
      <c r="J82" t="n">
        <v>1</v>
      </c>
      <c r="K82" t="n">
        <v>0</v>
      </c>
      <c r="L82" t="n">
        <v>0</v>
      </c>
      <c r="M82" t="n">
        <v>0</v>
      </c>
      <c r="N82" t="n">
        <v>0</v>
      </c>
      <c r="O82" t="n">
        <v>1</v>
      </c>
      <c r="P82" t="n">
        <v>0</v>
      </c>
      <c r="Q82" t="n">
        <v>1</v>
      </c>
      <c r="R82" s="2" t="inlineStr">
        <is>
          <t>Talltita</t>
        </is>
      </c>
      <c r="S82">
        <f>HYPERLINK("https://klasma.github.io/Logging_1907/artfynd/A 16219-2023 artfynd.xlsx", "A 16219-2023")</f>
        <v/>
      </c>
      <c r="T82">
        <f>HYPERLINK("https://klasma.github.io/Logging_1907/kartor/A 16219-2023 karta.png", "A 16219-2023")</f>
        <v/>
      </c>
      <c r="V82">
        <f>HYPERLINK("https://klasma.github.io/Logging_1907/klagomål/A 16219-2023 FSC-klagomål.docx", "A 16219-2023")</f>
        <v/>
      </c>
      <c r="W82">
        <f>HYPERLINK("https://klasma.github.io/Logging_1907/klagomålsmail/A 16219-2023 FSC-klagomål mail.docx", "A 16219-2023")</f>
        <v/>
      </c>
      <c r="X82">
        <f>HYPERLINK("https://klasma.github.io/Logging_1907/tillsyn/A 16219-2023 tillsynsbegäran.docx", "A 16219-2023")</f>
        <v/>
      </c>
      <c r="Y82">
        <f>HYPERLINK("https://klasma.github.io/Logging_1907/tillsynsmail/A 16219-2023 tillsynsbegäran mail.docx", "A 16219-2023")</f>
        <v/>
      </c>
      <c r="Z82">
        <f>HYPERLINK("https://klasma.github.io/Logging_1907/fåglar/A 16219-2023 prioriterade fågelarter.docx", "A 16219-2023")</f>
        <v/>
      </c>
    </row>
    <row r="83" ht="15" customHeight="1">
      <c r="A83" t="inlineStr">
        <is>
          <t>A 22840-2023</t>
        </is>
      </c>
      <c r="B83" s="1" t="n">
        <v>45072</v>
      </c>
      <c r="C83" s="1" t="n">
        <v>45579</v>
      </c>
      <c r="D83" t="inlineStr">
        <is>
          <t>VÄSTMANLANDS LÄN</t>
        </is>
      </c>
      <c r="E83" t="inlineStr">
        <is>
          <t>SURAHAMMAR</t>
        </is>
      </c>
      <c r="G83" t="n">
        <v>4.3</v>
      </c>
      <c r="H83" t="n">
        <v>1</v>
      </c>
      <c r="I83" t="n">
        <v>0</v>
      </c>
      <c r="J83" t="n">
        <v>0</v>
      </c>
      <c r="K83" t="n">
        <v>0</v>
      </c>
      <c r="L83" t="n">
        <v>0</v>
      </c>
      <c r="M83" t="n">
        <v>0</v>
      </c>
      <c r="N83" t="n">
        <v>0</v>
      </c>
      <c r="O83" t="n">
        <v>0</v>
      </c>
      <c r="P83" t="n">
        <v>0</v>
      </c>
      <c r="Q83" t="n">
        <v>1</v>
      </c>
      <c r="R83" s="2" t="inlineStr">
        <is>
          <t>Fläcknycklar</t>
        </is>
      </c>
      <c r="S83">
        <f>HYPERLINK("https://klasma.github.io/Logging_1907/artfynd/A 22840-2023 artfynd.xlsx", "A 22840-2023")</f>
        <v/>
      </c>
      <c r="T83">
        <f>HYPERLINK("https://klasma.github.io/Logging_1907/kartor/A 22840-2023 karta.png", "A 22840-2023")</f>
        <v/>
      </c>
      <c r="V83">
        <f>HYPERLINK("https://klasma.github.io/Logging_1907/klagomål/A 22840-2023 FSC-klagomål.docx", "A 22840-2023")</f>
        <v/>
      </c>
      <c r="W83">
        <f>HYPERLINK("https://klasma.github.io/Logging_1907/klagomålsmail/A 22840-2023 FSC-klagomål mail.docx", "A 22840-2023")</f>
        <v/>
      </c>
      <c r="X83">
        <f>HYPERLINK("https://klasma.github.io/Logging_1907/tillsyn/A 22840-2023 tillsynsbegäran.docx", "A 22840-2023")</f>
        <v/>
      </c>
      <c r="Y83">
        <f>HYPERLINK("https://klasma.github.io/Logging_1907/tillsynsmail/A 22840-2023 tillsynsbegäran mail.docx", "A 22840-2023")</f>
        <v/>
      </c>
    </row>
    <row r="84" ht="15" customHeight="1">
      <c r="A84" t="inlineStr">
        <is>
          <t>A 24920-2023</t>
        </is>
      </c>
      <c r="B84" s="1" t="n">
        <v>45085</v>
      </c>
      <c r="C84" s="1" t="n">
        <v>45579</v>
      </c>
      <c r="D84" t="inlineStr">
        <is>
          <t>VÄSTMANLANDS LÄN</t>
        </is>
      </c>
      <c r="E84" t="inlineStr">
        <is>
          <t>SURAHAMMAR</t>
        </is>
      </c>
      <c r="F84" t="inlineStr">
        <is>
          <t>Allmännings- och besparingsskogar</t>
        </is>
      </c>
      <c r="G84" t="n">
        <v>16.2</v>
      </c>
      <c r="H84" t="n">
        <v>1</v>
      </c>
      <c r="I84" t="n">
        <v>0</v>
      </c>
      <c r="J84" t="n">
        <v>1</v>
      </c>
      <c r="K84" t="n">
        <v>0</v>
      </c>
      <c r="L84" t="n">
        <v>0</v>
      </c>
      <c r="M84" t="n">
        <v>0</v>
      </c>
      <c r="N84" t="n">
        <v>0</v>
      </c>
      <c r="O84" t="n">
        <v>1</v>
      </c>
      <c r="P84" t="n">
        <v>0</v>
      </c>
      <c r="Q84" t="n">
        <v>1</v>
      </c>
      <c r="R84" s="2" t="inlineStr">
        <is>
          <t>Talltita</t>
        </is>
      </c>
      <c r="S84">
        <f>HYPERLINK("https://klasma.github.io/Logging_1907/artfynd/A 24920-2023 artfynd.xlsx", "A 24920-2023")</f>
        <v/>
      </c>
      <c r="T84">
        <f>HYPERLINK("https://klasma.github.io/Logging_1907/kartor/A 24920-2023 karta.png", "A 24920-2023")</f>
        <v/>
      </c>
      <c r="V84">
        <f>HYPERLINK("https://klasma.github.io/Logging_1907/klagomål/A 24920-2023 FSC-klagomål.docx", "A 24920-2023")</f>
        <v/>
      </c>
      <c r="W84">
        <f>HYPERLINK("https://klasma.github.io/Logging_1907/klagomålsmail/A 24920-2023 FSC-klagomål mail.docx", "A 24920-2023")</f>
        <v/>
      </c>
      <c r="X84">
        <f>HYPERLINK("https://klasma.github.io/Logging_1907/tillsyn/A 24920-2023 tillsynsbegäran.docx", "A 24920-2023")</f>
        <v/>
      </c>
      <c r="Y84">
        <f>HYPERLINK("https://klasma.github.io/Logging_1907/tillsynsmail/A 24920-2023 tillsynsbegäran mail.docx", "A 24920-2023")</f>
        <v/>
      </c>
      <c r="Z84">
        <f>HYPERLINK("https://klasma.github.io/Logging_1907/fåglar/A 24920-2023 prioriterade fågelarter.docx", "A 24920-2023")</f>
        <v/>
      </c>
    </row>
    <row r="85" ht="15" customHeight="1">
      <c r="A85" t="inlineStr">
        <is>
          <t>A 27170-2023</t>
        </is>
      </c>
      <c r="B85" s="1" t="n">
        <v>45096</v>
      </c>
      <c r="C85" s="1" t="n">
        <v>45579</v>
      </c>
      <c r="D85" t="inlineStr">
        <is>
          <t>VÄSTMANLANDS LÄN</t>
        </is>
      </c>
      <c r="E85" t="inlineStr">
        <is>
          <t>SURAHAMMAR</t>
        </is>
      </c>
      <c r="F85" t="inlineStr">
        <is>
          <t>Sveaskog</t>
        </is>
      </c>
      <c r="G85" t="n">
        <v>11.3</v>
      </c>
      <c r="H85" t="n">
        <v>0</v>
      </c>
      <c r="I85" t="n">
        <v>1</v>
      </c>
      <c r="J85" t="n">
        <v>0</v>
      </c>
      <c r="K85" t="n">
        <v>0</v>
      </c>
      <c r="L85" t="n">
        <v>0</v>
      </c>
      <c r="M85" t="n">
        <v>0</v>
      </c>
      <c r="N85" t="n">
        <v>0</v>
      </c>
      <c r="O85" t="n">
        <v>0</v>
      </c>
      <c r="P85" t="n">
        <v>0</v>
      </c>
      <c r="Q85" t="n">
        <v>1</v>
      </c>
      <c r="R85" s="2" t="inlineStr">
        <is>
          <t>Vedticka</t>
        </is>
      </c>
      <c r="S85">
        <f>HYPERLINK("https://klasma.github.io/Logging_1907/artfynd/A 27170-2023 artfynd.xlsx", "A 27170-2023")</f>
        <v/>
      </c>
      <c r="T85">
        <f>HYPERLINK("https://klasma.github.io/Logging_1907/kartor/A 27170-2023 karta.png", "A 27170-2023")</f>
        <v/>
      </c>
      <c r="V85">
        <f>HYPERLINK("https://klasma.github.io/Logging_1907/klagomål/A 27170-2023 FSC-klagomål.docx", "A 27170-2023")</f>
        <v/>
      </c>
      <c r="W85">
        <f>HYPERLINK("https://klasma.github.io/Logging_1907/klagomålsmail/A 27170-2023 FSC-klagomål mail.docx", "A 27170-2023")</f>
        <v/>
      </c>
      <c r="X85">
        <f>HYPERLINK("https://klasma.github.io/Logging_1907/tillsyn/A 27170-2023 tillsynsbegäran.docx", "A 27170-2023")</f>
        <v/>
      </c>
      <c r="Y85">
        <f>HYPERLINK("https://klasma.github.io/Logging_1907/tillsynsmail/A 27170-2023 tillsynsbegäran mail.docx", "A 27170-2023")</f>
        <v/>
      </c>
    </row>
    <row r="86" ht="15" customHeight="1">
      <c r="A86" t="inlineStr">
        <is>
          <t>A 30074-2023</t>
        </is>
      </c>
      <c r="B86" s="1" t="n">
        <v>45110</v>
      </c>
      <c r="C86" s="1" t="n">
        <v>45579</v>
      </c>
      <c r="D86" t="inlineStr">
        <is>
          <t>VÄSTMANLANDS LÄN</t>
        </is>
      </c>
      <c r="E86" t="inlineStr">
        <is>
          <t>SURAHAMMAR</t>
        </is>
      </c>
      <c r="F86" t="inlineStr">
        <is>
          <t>Sveaskog</t>
        </is>
      </c>
      <c r="G86" t="n">
        <v>1.1</v>
      </c>
      <c r="H86" t="n">
        <v>1</v>
      </c>
      <c r="I86" t="n">
        <v>0</v>
      </c>
      <c r="J86" t="n">
        <v>0</v>
      </c>
      <c r="K86" t="n">
        <v>0</v>
      </c>
      <c r="L86" t="n">
        <v>0</v>
      </c>
      <c r="M86" t="n">
        <v>0</v>
      </c>
      <c r="N86" t="n">
        <v>0</v>
      </c>
      <c r="O86" t="n">
        <v>0</v>
      </c>
      <c r="P86" t="n">
        <v>0</v>
      </c>
      <c r="Q86" t="n">
        <v>1</v>
      </c>
      <c r="R86" s="2" t="inlineStr">
        <is>
          <t>Revlummer</t>
        </is>
      </c>
      <c r="S86">
        <f>HYPERLINK("https://klasma.github.io/Logging_1907/artfynd/A 30074-2023 artfynd.xlsx", "A 30074-2023")</f>
        <v/>
      </c>
      <c r="T86">
        <f>HYPERLINK("https://klasma.github.io/Logging_1907/kartor/A 30074-2023 karta.png", "A 30074-2023")</f>
        <v/>
      </c>
      <c r="V86">
        <f>HYPERLINK("https://klasma.github.io/Logging_1907/klagomål/A 30074-2023 FSC-klagomål.docx", "A 30074-2023")</f>
        <v/>
      </c>
      <c r="W86">
        <f>HYPERLINK("https://klasma.github.io/Logging_1907/klagomålsmail/A 30074-2023 FSC-klagomål mail.docx", "A 30074-2023")</f>
        <v/>
      </c>
      <c r="X86">
        <f>HYPERLINK("https://klasma.github.io/Logging_1907/tillsyn/A 30074-2023 tillsynsbegäran.docx", "A 30074-2023")</f>
        <v/>
      </c>
      <c r="Y86">
        <f>HYPERLINK("https://klasma.github.io/Logging_1907/tillsynsmail/A 30074-2023 tillsynsbegäran mail.docx", "A 30074-2023")</f>
        <v/>
      </c>
    </row>
    <row r="87" ht="15" customHeight="1">
      <c r="A87" t="inlineStr">
        <is>
          <t>A 30073-2023</t>
        </is>
      </c>
      <c r="B87" s="1" t="n">
        <v>45110</v>
      </c>
      <c r="C87" s="1" t="n">
        <v>45579</v>
      </c>
      <c r="D87" t="inlineStr">
        <is>
          <t>VÄSTMANLANDS LÄN</t>
        </is>
      </c>
      <c r="E87" t="inlineStr">
        <is>
          <t>SURAHAMMAR</t>
        </is>
      </c>
      <c r="F87" t="inlineStr">
        <is>
          <t>Sveaskog</t>
        </is>
      </c>
      <c r="G87" t="n">
        <v>4.7</v>
      </c>
      <c r="H87" t="n">
        <v>0</v>
      </c>
      <c r="I87" t="n">
        <v>1</v>
      </c>
      <c r="J87" t="n">
        <v>0</v>
      </c>
      <c r="K87" t="n">
        <v>0</v>
      </c>
      <c r="L87" t="n">
        <v>0</v>
      </c>
      <c r="M87" t="n">
        <v>0</v>
      </c>
      <c r="N87" t="n">
        <v>0</v>
      </c>
      <c r="O87" t="n">
        <v>0</v>
      </c>
      <c r="P87" t="n">
        <v>0</v>
      </c>
      <c r="Q87" t="n">
        <v>1</v>
      </c>
      <c r="R87" s="2" t="inlineStr">
        <is>
          <t>Grönpyrola</t>
        </is>
      </c>
      <c r="S87">
        <f>HYPERLINK("https://klasma.github.io/Logging_1907/artfynd/A 30073-2023 artfynd.xlsx", "A 30073-2023")</f>
        <v/>
      </c>
      <c r="T87">
        <f>HYPERLINK("https://klasma.github.io/Logging_1907/kartor/A 30073-2023 karta.png", "A 30073-2023")</f>
        <v/>
      </c>
      <c r="V87">
        <f>HYPERLINK("https://klasma.github.io/Logging_1907/klagomål/A 30073-2023 FSC-klagomål.docx", "A 30073-2023")</f>
        <v/>
      </c>
      <c r="W87">
        <f>HYPERLINK("https://klasma.github.io/Logging_1907/klagomålsmail/A 30073-2023 FSC-klagomål mail.docx", "A 30073-2023")</f>
        <v/>
      </c>
      <c r="X87">
        <f>HYPERLINK("https://klasma.github.io/Logging_1907/tillsyn/A 30073-2023 tillsynsbegäran.docx", "A 30073-2023")</f>
        <v/>
      </c>
      <c r="Y87">
        <f>HYPERLINK("https://klasma.github.io/Logging_1907/tillsynsmail/A 30073-2023 tillsynsbegäran mail.docx", "A 30073-2023")</f>
        <v/>
      </c>
    </row>
    <row r="88" ht="15" customHeight="1">
      <c r="A88" t="inlineStr">
        <is>
          <t>A 37277-2023</t>
        </is>
      </c>
      <c r="B88" s="1" t="n">
        <v>45156</v>
      </c>
      <c r="C88" s="1" t="n">
        <v>45579</v>
      </c>
      <c r="D88" t="inlineStr">
        <is>
          <t>VÄSTMANLANDS LÄN</t>
        </is>
      </c>
      <c r="E88" t="inlineStr">
        <is>
          <t>SURAHAMMAR</t>
        </is>
      </c>
      <c r="G88" t="n">
        <v>4.3</v>
      </c>
      <c r="H88" t="n">
        <v>1</v>
      </c>
      <c r="I88" t="n">
        <v>0</v>
      </c>
      <c r="J88" t="n">
        <v>0</v>
      </c>
      <c r="K88" t="n">
        <v>1</v>
      </c>
      <c r="L88" t="n">
        <v>0</v>
      </c>
      <c r="M88" t="n">
        <v>0</v>
      </c>
      <c r="N88" t="n">
        <v>0</v>
      </c>
      <c r="O88" t="n">
        <v>1</v>
      </c>
      <c r="P88" t="n">
        <v>1</v>
      </c>
      <c r="Q88" t="n">
        <v>1</v>
      </c>
      <c r="R88" s="2" t="inlineStr">
        <is>
          <t>Bombmurkla</t>
        </is>
      </c>
      <c r="S88">
        <f>HYPERLINK("https://klasma.github.io/Logging_1907/artfynd/A 37277-2023 artfynd.xlsx", "A 37277-2023")</f>
        <v/>
      </c>
      <c r="T88">
        <f>HYPERLINK("https://klasma.github.io/Logging_1907/kartor/A 37277-2023 karta.png", "A 37277-2023")</f>
        <v/>
      </c>
      <c r="V88">
        <f>HYPERLINK("https://klasma.github.io/Logging_1907/klagomål/A 37277-2023 FSC-klagomål.docx", "A 37277-2023")</f>
        <v/>
      </c>
      <c r="W88">
        <f>HYPERLINK("https://klasma.github.io/Logging_1907/klagomålsmail/A 37277-2023 FSC-klagomål mail.docx", "A 37277-2023")</f>
        <v/>
      </c>
      <c r="X88">
        <f>HYPERLINK("https://klasma.github.io/Logging_1907/tillsyn/A 37277-2023 tillsynsbegäran.docx", "A 37277-2023")</f>
        <v/>
      </c>
      <c r="Y88">
        <f>HYPERLINK("https://klasma.github.io/Logging_1907/tillsynsmail/A 37277-2023 tillsynsbegäran mail.docx", "A 37277-2023")</f>
        <v/>
      </c>
    </row>
    <row r="89" ht="15" customHeight="1">
      <c r="A89" t="inlineStr">
        <is>
          <t>A 41622-2023</t>
        </is>
      </c>
      <c r="B89" s="1" t="n">
        <v>45175</v>
      </c>
      <c r="C89" s="1" t="n">
        <v>45579</v>
      </c>
      <c r="D89" t="inlineStr">
        <is>
          <t>VÄSTMANLANDS LÄN</t>
        </is>
      </c>
      <c r="E89" t="inlineStr">
        <is>
          <t>SURAHAMMAR</t>
        </is>
      </c>
      <c r="G89" t="n">
        <v>0.6</v>
      </c>
      <c r="H89" t="n">
        <v>1</v>
      </c>
      <c r="I89" t="n">
        <v>0</v>
      </c>
      <c r="J89" t="n">
        <v>0</v>
      </c>
      <c r="K89" t="n">
        <v>1</v>
      </c>
      <c r="L89" t="n">
        <v>0</v>
      </c>
      <c r="M89" t="n">
        <v>0</v>
      </c>
      <c r="N89" t="n">
        <v>0</v>
      </c>
      <c r="O89" t="n">
        <v>1</v>
      </c>
      <c r="P89" t="n">
        <v>1</v>
      </c>
      <c r="Q89" t="n">
        <v>1</v>
      </c>
      <c r="R89" s="2" t="inlineStr">
        <is>
          <t>Knärot</t>
        </is>
      </c>
      <c r="S89">
        <f>HYPERLINK("https://klasma.github.io/Logging_1907/artfynd/A 41622-2023 artfynd.xlsx", "A 41622-2023")</f>
        <v/>
      </c>
      <c r="T89">
        <f>HYPERLINK("https://klasma.github.io/Logging_1907/kartor/A 41622-2023 karta.png", "A 41622-2023")</f>
        <v/>
      </c>
      <c r="U89">
        <f>HYPERLINK("https://klasma.github.io/Logging_1907/knärot/A 41622-2023 karta knärot.png", "A 41622-2023")</f>
        <v/>
      </c>
      <c r="V89">
        <f>HYPERLINK("https://klasma.github.io/Logging_1907/klagomål/A 41622-2023 FSC-klagomål.docx", "A 41622-2023")</f>
        <v/>
      </c>
      <c r="W89">
        <f>HYPERLINK("https://klasma.github.io/Logging_1907/klagomålsmail/A 41622-2023 FSC-klagomål mail.docx", "A 41622-2023")</f>
        <v/>
      </c>
      <c r="X89">
        <f>HYPERLINK("https://klasma.github.io/Logging_1907/tillsyn/A 41622-2023 tillsynsbegäran.docx", "A 41622-2023")</f>
        <v/>
      </c>
      <c r="Y89">
        <f>HYPERLINK("https://klasma.github.io/Logging_1907/tillsynsmail/A 41622-2023 tillsynsbegäran mail.docx", "A 41622-2023")</f>
        <v/>
      </c>
    </row>
    <row r="90" ht="15" customHeight="1">
      <c r="A90" t="inlineStr">
        <is>
          <t>A 56362-2023</t>
        </is>
      </c>
      <c r="B90" s="1" t="n">
        <v>45236</v>
      </c>
      <c r="C90" s="1" t="n">
        <v>45579</v>
      </c>
      <c r="D90" t="inlineStr">
        <is>
          <t>VÄSTMANLANDS LÄN</t>
        </is>
      </c>
      <c r="E90" t="inlineStr">
        <is>
          <t>SURAHAMMAR</t>
        </is>
      </c>
      <c r="F90" t="inlineStr">
        <is>
          <t>Bergvik skog väst AB</t>
        </is>
      </c>
      <c r="G90" t="n">
        <v>15.2</v>
      </c>
      <c r="H90" t="n">
        <v>0</v>
      </c>
      <c r="I90" t="n">
        <v>1</v>
      </c>
      <c r="J90" t="n">
        <v>0</v>
      </c>
      <c r="K90" t="n">
        <v>0</v>
      </c>
      <c r="L90" t="n">
        <v>0</v>
      </c>
      <c r="M90" t="n">
        <v>0</v>
      </c>
      <c r="N90" t="n">
        <v>0</v>
      </c>
      <c r="O90" t="n">
        <v>0</v>
      </c>
      <c r="P90" t="n">
        <v>0</v>
      </c>
      <c r="Q90" t="n">
        <v>1</v>
      </c>
      <c r="R90" s="2" t="inlineStr">
        <is>
          <t>Grönpyrola</t>
        </is>
      </c>
      <c r="S90">
        <f>HYPERLINK("https://klasma.github.io/Logging_1907/artfynd/A 56362-2023 artfynd.xlsx", "A 56362-2023")</f>
        <v/>
      </c>
      <c r="T90">
        <f>HYPERLINK("https://klasma.github.io/Logging_1907/kartor/A 56362-2023 karta.png", "A 56362-2023")</f>
        <v/>
      </c>
      <c r="V90">
        <f>HYPERLINK("https://klasma.github.io/Logging_1907/klagomål/A 56362-2023 FSC-klagomål.docx", "A 56362-2023")</f>
        <v/>
      </c>
      <c r="W90">
        <f>HYPERLINK("https://klasma.github.io/Logging_1907/klagomålsmail/A 56362-2023 FSC-klagomål mail.docx", "A 56362-2023")</f>
        <v/>
      </c>
      <c r="X90">
        <f>HYPERLINK("https://klasma.github.io/Logging_1907/tillsyn/A 56362-2023 tillsynsbegäran.docx", "A 56362-2023")</f>
        <v/>
      </c>
      <c r="Y90">
        <f>HYPERLINK("https://klasma.github.io/Logging_1907/tillsynsmail/A 56362-2023 tillsynsbegäran mail.docx", "A 56362-2023")</f>
        <v/>
      </c>
    </row>
    <row r="91" ht="15" customHeight="1">
      <c r="A91" t="inlineStr">
        <is>
          <t>A 3649-2024</t>
        </is>
      </c>
      <c r="B91" s="1" t="n">
        <v>45321</v>
      </c>
      <c r="C91" s="1" t="n">
        <v>45579</v>
      </c>
      <c r="D91" t="inlineStr">
        <is>
          <t>VÄSTMANLANDS LÄN</t>
        </is>
      </c>
      <c r="E91" t="inlineStr">
        <is>
          <t>SURAHAMMAR</t>
        </is>
      </c>
      <c r="F91" t="inlineStr">
        <is>
          <t>Övriga Aktiebolag</t>
        </is>
      </c>
      <c r="G91" t="n">
        <v>9.300000000000001</v>
      </c>
      <c r="H91" t="n">
        <v>1</v>
      </c>
      <c r="I91" t="n">
        <v>0</v>
      </c>
      <c r="J91" t="n">
        <v>0</v>
      </c>
      <c r="K91" t="n">
        <v>1</v>
      </c>
      <c r="L91" t="n">
        <v>0</v>
      </c>
      <c r="M91" t="n">
        <v>0</v>
      </c>
      <c r="N91" t="n">
        <v>0</v>
      </c>
      <c r="O91" t="n">
        <v>1</v>
      </c>
      <c r="P91" t="n">
        <v>1</v>
      </c>
      <c r="Q91" t="n">
        <v>1</v>
      </c>
      <c r="R91" s="2" t="inlineStr">
        <is>
          <t>Väddnätfjäril</t>
        </is>
      </c>
      <c r="S91">
        <f>HYPERLINK("https://klasma.github.io/Logging_1907/artfynd/A 3649-2024 artfynd.xlsx", "A 3649-2024")</f>
        <v/>
      </c>
      <c r="T91">
        <f>HYPERLINK("https://klasma.github.io/Logging_1907/kartor/A 3649-2024 karta.png", "A 3649-2024")</f>
        <v/>
      </c>
      <c r="V91">
        <f>HYPERLINK("https://klasma.github.io/Logging_1907/klagomål/A 3649-2024 FSC-klagomål.docx", "A 3649-2024")</f>
        <v/>
      </c>
      <c r="W91">
        <f>HYPERLINK("https://klasma.github.io/Logging_1907/klagomålsmail/A 3649-2024 FSC-klagomål mail.docx", "A 3649-2024")</f>
        <v/>
      </c>
      <c r="X91">
        <f>HYPERLINK("https://klasma.github.io/Logging_1907/tillsyn/A 3649-2024 tillsynsbegäran.docx", "A 3649-2024")</f>
        <v/>
      </c>
      <c r="Y91">
        <f>HYPERLINK("https://klasma.github.io/Logging_1907/tillsynsmail/A 3649-2024 tillsynsbegäran mail.docx", "A 3649-2024")</f>
        <v/>
      </c>
    </row>
    <row r="92" ht="15" customHeight="1">
      <c r="A92" t="inlineStr">
        <is>
          <t>A 10819-2024</t>
        </is>
      </c>
      <c r="B92" s="1" t="n">
        <v>45369</v>
      </c>
      <c r="C92" s="1" t="n">
        <v>45579</v>
      </c>
      <c r="D92" t="inlineStr">
        <is>
          <t>VÄSTMANLANDS LÄN</t>
        </is>
      </c>
      <c r="E92" t="inlineStr">
        <is>
          <t>SURAHAMMAR</t>
        </is>
      </c>
      <c r="G92" t="n">
        <v>2</v>
      </c>
      <c r="H92" t="n">
        <v>0</v>
      </c>
      <c r="I92" t="n">
        <v>1</v>
      </c>
      <c r="J92" t="n">
        <v>0</v>
      </c>
      <c r="K92" t="n">
        <v>0</v>
      </c>
      <c r="L92" t="n">
        <v>0</v>
      </c>
      <c r="M92" t="n">
        <v>0</v>
      </c>
      <c r="N92" t="n">
        <v>0</v>
      </c>
      <c r="O92" t="n">
        <v>0</v>
      </c>
      <c r="P92" t="n">
        <v>0</v>
      </c>
      <c r="Q92" t="n">
        <v>1</v>
      </c>
      <c r="R92" s="2" t="inlineStr">
        <is>
          <t>Tibast</t>
        </is>
      </c>
      <c r="S92">
        <f>HYPERLINK("https://klasma.github.io/Logging_1907/artfynd/A 10819-2024 artfynd.xlsx", "A 10819-2024")</f>
        <v/>
      </c>
      <c r="T92">
        <f>HYPERLINK("https://klasma.github.io/Logging_1907/kartor/A 10819-2024 karta.png", "A 10819-2024")</f>
        <v/>
      </c>
      <c r="V92">
        <f>HYPERLINK("https://klasma.github.io/Logging_1907/klagomål/A 10819-2024 FSC-klagomål.docx", "A 10819-2024")</f>
        <v/>
      </c>
      <c r="W92">
        <f>HYPERLINK("https://klasma.github.io/Logging_1907/klagomålsmail/A 10819-2024 FSC-klagomål mail.docx", "A 10819-2024")</f>
        <v/>
      </c>
      <c r="X92">
        <f>HYPERLINK("https://klasma.github.io/Logging_1907/tillsyn/A 10819-2024 tillsynsbegäran.docx", "A 10819-2024")</f>
        <v/>
      </c>
      <c r="Y92">
        <f>HYPERLINK("https://klasma.github.io/Logging_1907/tillsynsmail/A 10819-2024 tillsynsbegäran mail.docx", "A 10819-2024")</f>
        <v/>
      </c>
    </row>
    <row r="93" ht="15" customHeight="1">
      <c r="A93" t="inlineStr">
        <is>
          <t>A 20389-2024</t>
        </is>
      </c>
      <c r="B93" s="1" t="n">
        <v>45435</v>
      </c>
      <c r="C93" s="1" t="n">
        <v>45579</v>
      </c>
      <c r="D93" t="inlineStr">
        <is>
          <t>VÄSTMANLANDS LÄN</t>
        </is>
      </c>
      <c r="E93" t="inlineStr">
        <is>
          <t>SURAHAMMAR</t>
        </is>
      </c>
      <c r="G93" t="n">
        <v>1.5</v>
      </c>
      <c r="H93" t="n">
        <v>1</v>
      </c>
      <c r="I93" t="n">
        <v>0</v>
      </c>
      <c r="J93" t="n">
        <v>0</v>
      </c>
      <c r="K93" t="n">
        <v>1</v>
      </c>
      <c r="L93" t="n">
        <v>0</v>
      </c>
      <c r="M93" t="n">
        <v>0</v>
      </c>
      <c r="N93" t="n">
        <v>0</v>
      </c>
      <c r="O93" t="n">
        <v>1</v>
      </c>
      <c r="P93" t="n">
        <v>1</v>
      </c>
      <c r="Q93" t="n">
        <v>1</v>
      </c>
      <c r="R93" s="2" t="inlineStr">
        <is>
          <t>Knärot</t>
        </is>
      </c>
      <c r="S93">
        <f>HYPERLINK("https://klasma.github.io/Logging_1907/artfynd/A 20389-2024 artfynd.xlsx", "A 20389-2024")</f>
        <v/>
      </c>
      <c r="T93">
        <f>HYPERLINK("https://klasma.github.io/Logging_1907/kartor/A 20389-2024 karta.png", "A 20389-2024")</f>
        <v/>
      </c>
      <c r="U93">
        <f>HYPERLINK("https://klasma.github.io/Logging_1907/knärot/A 20389-2024 karta knärot.png", "A 20389-2024")</f>
        <v/>
      </c>
      <c r="V93">
        <f>HYPERLINK("https://klasma.github.io/Logging_1907/klagomål/A 20389-2024 FSC-klagomål.docx", "A 20389-2024")</f>
        <v/>
      </c>
      <c r="W93">
        <f>HYPERLINK("https://klasma.github.io/Logging_1907/klagomålsmail/A 20389-2024 FSC-klagomål mail.docx", "A 20389-2024")</f>
        <v/>
      </c>
      <c r="X93">
        <f>HYPERLINK("https://klasma.github.io/Logging_1907/tillsyn/A 20389-2024 tillsynsbegäran.docx", "A 20389-2024")</f>
        <v/>
      </c>
      <c r="Y93">
        <f>HYPERLINK("https://klasma.github.io/Logging_1907/tillsynsmail/A 20389-2024 tillsynsbegäran mail.docx", "A 20389-2024")</f>
        <v/>
      </c>
    </row>
    <row r="94" ht="15" customHeight="1">
      <c r="A94" t="inlineStr">
        <is>
          <t>A 25583-2024</t>
        </is>
      </c>
      <c r="B94" s="1" t="n">
        <v>45463</v>
      </c>
      <c r="C94" s="1" t="n">
        <v>45579</v>
      </c>
      <c r="D94" t="inlineStr">
        <is>
          <t>VÄSTMANLANDS LÄN</t>
        </is>
      </c>
      <c r="E94" t="inlineStr">
        <is>
          <t>SURAHAMMAR</t>
        </is>
      </c>
      <c r="F94" t="inlineStr">
        <is>
          <t>Bergvik skog väst AB</t>
        </is>
      </c>
      <c r="G94" t="n">
        <v>7.8</v>
      </c>
      <c r="H94" t="n">
        <v>1</v>
      </c>
      <c r="I94" t="n">
        <v>0</v>
      </c>
      <c r="J94" t="n">
        <v>0</v>
      </c>
      <c r="K94" t="n">
        <v>0</v>
      </c>
      <c r="L94" t="n">
        <v>0</v>
      </c>
      <c r="M94" t="n">
        <v>0</v>
      </c>
      <c r="N94" t="n">
        <v>0</v>
      </c>
      <c r="O94" t="n">
        <v>0</v>
      </c>
      <c r="P94" t="n">
        <v>0</v>
      </c>
      <c r="Q94" t="n">
        <v>1</v>
      </c>
      <c r="R94" s="2" t="inlineStr">
        <is>
          <t>Blåsippa</t>
        </is>
      </c>
      <c r="S94">
        <f>HYPERLINK("https://klasma.github.io/Logging_1907/artfynd/A 25583-2024 artfynd.xlsx", "A 25583-2024")</f>
        <v/>
      </c>
      <c r="T94">
        <f>HYPERLINK("https://klasma.github.io/Logging_1907/kartor/A 25583-2024 karta.png", "A 25583-2024")</f>
        <v/>
      </c>
      <c r="V94">
        <f>HYPERLINK("https://klasma.github.io/Logging_1907/klagomål/A 25583-2024 FSC-klagomål.docx", "A 25583-2024")</f>
        <v/>
      </c>
      <c r="W94">
        <f>HYPERLINK("https://klasma.github.io/Logging_1907/klagomålsmail/A 25583-2024 FSC-klagomål mail.docx", "A 25583-2024")</f>
        <v/>
      </c>
      <c r="X94">
        <f>HYPERLINK("https://klasma.github.io/Logging_1907/tillsyn/A 25583-2024 tillsynsbegäran.docx", "A 25583-2024")</f>
        <v/>
      </c>
      <c r="Y94">
        <f>HYPERLINK("https://klasma.github.io/Logging_1907/tillsynsmail/A 25583-2024 tillsynsbegäran mail.docx", "A 25583-2024")</f>
        <v/>
      </c>
    </row>
    <row r="95" ht="15" customHeight="1">
      <c r="A95" t="inlineStr">
        <is>
          <t>A 27957-2024</t>
        </is>
      </c>
      <c r="B95" s="1" t="n">
        <v>45476</v>
      </c>
      <c r="C95" s="1" t="n">
        <v>45579</v>
      </c>
      <c r="D95" t="inlineStr">
        <is>
          <t>VÄSTMANLANDS LÄN</t>
        </is>
      </c>
      <c r="E95" t="inlineStr">
        <is>
          <t>SURAHAMMAR</t>
        </is>
      </c>
      <c r="F95" t="inlineStr">
        <is>
          <t>Sveaskog</t>
        </is>
      </c>
      <c r="G95" t="n">
        <v>14.4</v>
      </c>
      <c r="H95" t="n">
        <v>1</v>
      </c>
      <c r="I95" t="n">
        <v>0</v>
      </c>
      <c r="J95" t="n">
        <v>0</v>
      </c>
      <c r="K95" t="n">
        <v>0</v>
      </c>
      <c r="L95" t="n">
        <v>0</v>
      </c>
      <c r="M95" t="n">
        <v>0</v>
      </c>
      <c r="N95" t="n">
        <v>0</v>
      </c>
      <c r="O95" t="n">
        <v>0</v>
      </c>
      <c r="P95" t="n">
        <v>0</v>
      </c>
      <c r="Q95" t="n">
        <v>1</v>
      </c>
      <c r="R95" s="2" t="inlineStr">
        <is>
          <t>Fläcknycklar</t>
        </is>
      </c>
      <c r="S95">
        <f>HYPERLINK("https://klasma.github.io/Logging_1907/artfynd/A 27957-2024 artfynd.xlsx", "A 27957-2024")</f>
        <v/>
      </c>
      <c r="T95">
        <f>HYPERLINK("https://klasma.github.io/Logging_1907/kartor/A 27957-2024 karta.png", "A 27957-2024")</f>
        <v/>
      </c>
      <c r="V95">
        <f>HYPERLINK("https://klasma.github.io/Logging_1907/klagomål/A 27957-2024 FSC-klagomål.docx", "A 27957-2024")</f>
        <v/>
      </c>
      <c r="W95">
        <f>HYPERLINK("https://klasma.github.io/Logging_1907/klagomålsmail/A 27957-2024 FSC-klagomål mail.docx", "A 27957-2024")</f>
        <v/>
      </c>
      <c r="X95">
        <f>HYPERLINK("https://klasma.github.io/Logging_1907/tillsyn/A 27957-2024 tillsynsbegäran.docx", "A 27957-2024")</f>
        <v/>
      </c>
      <c r="Y95">
        <f>HYPERLINK("https://klasma.github.io/Logging_1907/tillsynsmail/A 27957-2024 tillsynsbegäran mail.docx", "A 27957-2024")</f>
        <v/>
      </c>
    </row>
    <row r="96" ht="15" customHeight="1">
      <c r="A96" t="inlineStr">
        <is>
          <t>A 29156-2024</t>
        </is>
      </c>
      <c r="B96" s="1" t="n">
        <v>45482</v>
      </c>
      <c r="C96" s="1" t="n">
        <v>45579</v>
      </c>
      <c r="D96" t="inlineStr">
        <is>
          <t>VÄSTMANLANDS LÄN</t>
        </is>
      </c>
      <c r="E96" t="inlineStr">
        <is>
          <t>SURAHAMMAR</t>
        </is>
      </c>
      <c r="F96" t="inlineStr">
        <is>
          <t>Sveaskog</t>
        </is>
      </c>
      <c r="G96" t="n">
        <v>2.6</v>
      </c>
      <c r="H96" t="n">
        <v>0</v>
      </c>
      <c r="I96" t="n">
        <v>1</v>
      </c>
      <c r="J96" t="n">
        <v>0</v>
      </c>
      <c r="K96" t="n">
        <v>0</v>
      </c>
      <c r="L96" t="n">
        <v>0</v>
      </c>
      <c r="M96" t="n">
        <v>0</v>
      </c>
      <c r="N96" t="n">
        <v>0</v>
      </c>
      <c r="O96" t="n">
        <v>0</v>
      </c>
      <c r="P96" t="n">
        <v>0</v>
      </c>
      <c r="Q96" t="n">
        <v>1</v>
      </c>
      <c r="R96" s="2" t="inlineStr">
        <is>
          <t>Fjällig taggsvamp s.str.</t>
        </is>
      </c>
      <c r="S96">
        <f>HYPERLINK("https://klasma.github.io/Logging_1907/artfynd/A 29156-2024 artfynd.xlsx", "A 29156-2024")</f>
        <v/>
      </c>
      <c r="T96">
        <f>HYPERLINK("https://klasma.github.io/Logging_1907/kartor/A 29156-2024 karta.png", "A 29156-2024")</f>
        <v/>
      </c>
      <c r="V96">
        <f>HYPERLINK("https://klasma.github.io/Logging_1907/klagomål/A 29156-2024 FSC-klagomål.docx", "A 29156-2024")</f>
        <v/>
      </c>
      <c r="W96">
        <f>HYPERLINK("https://klasma.github.io/Logging_1907/klagomålsmail/A 29156-2024 FSC-klagomål mail.docx", "A 29156-2024")</f>
        <v/>
      </c>
      <c r="X96">
        <f>HYPERLINK("https://klasma.github.io/Logging_1907/tillsyn/A 29156-2024 tillsynsbegäran.docx", "A 29156-2024")</f>
        <v/>
      </c>
      <c r="Y96">
        <f>HYPERLINK("https://klasma.github.io/Logging_1907/tillsynsmail/A 29156-2024 tillsynsbegäran mail.docx", "A 29156-2024")</f>
        <v/>
      </c>
    </row>
    <row r="97" ht="15" customHeight="1">
      <c r="A97" t="inlineStr">
        <is>
          <t>A 43451-2024</t>
        </is>
      </c>
      <c r="B97" s="1" t="n">
        <v>45568</v>
      </c>
      <c r="C97" s="1" t="n">
        <v>45579</v>
      </c>
      <c r="D97" t="inlineStr">
        <is>
          <t>VÄSTMANLANDS LÄN</t>
        </is>
      </c>
      <c r="E97" t="inlineStr">
        <is>
          <t>SURAHAMMAR</t>
        </is>
      </c>
      <c r="F97" t="inlineStr">
        <is>
          <t>Bergvik skog väst AB</t>
        </is>
      </c>
      <c r="G97" t="n">
        <v>2.9</v>
      </c>
      <c r="H97" t="n">
        <v>0</v>
      </c>
      <c r="I97" t="n">
        <v>0</v>
      </c>
      <c r="J97" t="n">
        <v>1</v>
      </c>
      <c r="K97" t="n">
        <v>0</v>
      </c>
      <c r="L97" t="n">
        <v>0</v>
      </c>
      <c r="M97" t="n">
        <v>0</v>
      </c>
      <c r="N97" t="n">
        <v>0</v>
      </c>
      <c r="O97" t="n">
        <v>1</v>
      </c>
      <c r="P97" t="n">
        <v>0</v>
      </c>
      <c r="Q97" t="n">
        <v>1</v>
      </c>
      <c r="R97" s="2" t="inlineStr">
        <is>
          <t>Ullticka</t>
        </is>
      </c>
      <c r="S97">
        <f>HYPERLINK("https://klasma.github.io/Logging_1907/artfynd/A 43451-2024 artfynd.xlsx", "A 43451-2024")</f>
        <v/>
      </c>
      <c r="T97">
        <f>HYPERLINK("https://klasma.github.io/Logging_1907/kartor/A 43451-2024 karta.png", "A 43451-2024")</f>
        <v/>
      </c>
      <c r="V97">
        <f>HYPERLINK("https://klasma.github.io/Logging_1907/klagomål/A 43451-2024 FSC-klagomål.docx", "A 43451-2024")</f>
        <v/>
      </c>
      <c r="W97">
        <f>HYPERLINK("https://klasma.github.io/Logging_1907/klagomålsmail/A 43451-2024 FSC-klagomål mail.docx", "A 43451-2024")</f>
        <v/>
      </c>
      <c r="X97">
        <f>HYPERLINK("https://klasma.github.io/Logging_1907/tillsyn/A 43451-2024 tillsynsbegäran.docx", "A 43451-2024")</f>
        <v/>
      </c>
      <c r="Y97">
        <f>HYPERLINK("https://klasma.github.io/Logging_1907/tillsynsmail/A 43451-2024 tillsynsbegäran mail.docx", "A 43451-2024")</f>
        <v/>
      </c>
    </row>
    <row r="98" ht="15" customHeight="1">
      <c r="A98" t="inlineStr">
        <is>
          <t>A 17946-2019</t>
        </is>
      </c>
      <c r="B98" s="1" t="n">
        <v>43557</v>
      </c>
      <c r="C98" s="1" t="n">
        <v>45579</v>
      </c>
      <c r="D98" t="inlineStr">
        <is>
          <t>VÄSTMANLANDS LÄN</t>
        </is>
      </c>
      <c r="E98" t="inlineStr">
        <is>
          <t>SURAHAMMAR</t>
        </is>
      </c>
      <c r="G98" t="n">
        <v>9.9</v>
      </c>
      <c r="H98" t="n">
        <v>0</v>
      </c>
      <c r="I98" t="n">
        <v>0</v>
      </c>
      <c r="J98" t="n">
        <v>0</v>
      </c>
      <c r="K98" t="n">
        <v>0</v>
      </c>
      <c r="L98" t="n">
        <v>0</v>
      </c>
      <c r="M98" t="n">
        <v>0</v>
      </c>
      <c r="N98" t="n">
        <v>0</v>
      </c>
      <c r="O98" t="n">
        <v>0</v>
      </c>
      <c r="P98" t="n">
        <v>0</v>
      </c>
      <c r="Q98" t="n">
        <v>0</v>
      </c>
      <c r="R98" s="2" t="inlineStr"/>
    </row>
    <row r="99" ht="15" customHeight="1">
      <c r="A99" t="inlineStr">
        <is>
          <t>A 18953-2019</t>
        </is>
      </c>
      <c r="B99" s="1" t="n">
        <v>43563</v>
      </c>
      <c r="C99" s="1" t="n">
        <v>45579</v>
      </c>
      <c r="D99" t="inlineStr">
        <is>
          <t>VÄSTMANLANDS LÄN</t>
        </is>
      </c>
      <c r="E99" t="inlineStr">
        <is>
          <t>SURAHAMMAR</t>
        </is>
      </c>
      <c r="F99" t="inlineStr">
        <is>
          <t>Övriga Aktiebolag</t>
        </is>
      </c>
      <c r="G99" t="n">
        <v>2.2</v>
      </c>
      <c r="H99" t="n">
        <v>0</v>
      </c>
      <c r="I99" t="n">
        <v>0</v>
      </c>
      <c r="J99" t="n">
        <v>0</v>
      </c>
      <c r="K99" t="n">
        <v>0</v>
      </c>
      <c r="L99" t="n">
        <v>0</v>
      </c>
      <c r="M99" t="n">
        <v>0</v>
      </c>
      <c r="N99" t="n">
        <v>0</v>
      </c>
      <c r="O99" t="n">
        <v>0</v>
      </c>
      <c r="P99" t="n">
        <v>0</v>
      </c>
      <c r="Q99" t="n">
        <v>0</v>
      </c>
      <c r="R99" s="2" t="inlineStr"/>
    </row>
    <row r="100" ht="15" customHeight="1">
      <c r="A100" t="inlineStr">
        <is>
          <t>A 18960-2019</t>
        </is>
      </c>
      <c r="B100" s="1" t="n">
        <v>43563</v>
      </c>
      <c r="C100" s="1" t="n">
        <v>45579</v>
      </c>
      <c r="D100" t="inlineStr">
        <is>
          <t>VÄSTMANLANDS LÄN</t>
        </is>
      </c>
      <c r="E100" t="inlineStr">
        <is>
          <t>SURAHAMMAR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19659-2019</t>
        </is>
      </c>
      <c r="B101" s="1" t="n">
        <v>43566</v>
      </c>
      <c r="C101" s="1" t="n">
        <v>45579</v>
      </c>
      <c r="D101" t="inlineStr">
        <is>
          <t>VÄSTMANLANDS LÄN</t>
        </is>
      </c>
      <c r="E101" t="inlineStr">
        <is>
          <t>SURAHAMMAR</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20127-2019</t>
        </is>
      </c>
      <c r="B102" s="1" t="n">
        <v>43570</v>
      </c>
      <c r="C102" s="1" t="n">
        <v>45579</v>
      </c>
      <c r="D102" t="inlineStr">
        <is>
          <t>VÄSTMANLANDS LÄN</t>
        </is>
      </c>
      <c r="E102" t="inlineStr">
        <is>
          <t>SURAHAMMAR</t>
        </is>
      </c>
      <c r="G102" t="n">
        <v>2.6</v>
      </c>
      <c r="H102" t="n">
        <v>0</v>
      </c>
      <c r="I102" t="n">
        <v>0</v>
      </c>
      <c r="J102" t="n">
        <v>0</v>
      </c>
      <c r="K102" t="n">
        <v>0</v>
      </c>
      <c r="L102" t="n">
        <v>0</v>
      </c>
      <c r="M102" t="n">
        <v>0</v>
      </c>
      <c r="N102" t="n">
        <v>0</v>
      </c>
      <c r="O102" t="n">
        <v>0</v>
      </c>
      <c r="P102" t="n">
        <v>0</v>
      </c>
      <c r="Q102" t="n">
        <v>0</v>
      </c>
      <c r="R102" s="2" t="inlineStr"/>
    </row>
    <row r="103" ht="15" customHeight="1">
      <c r="A103" t="inlineStr">
        <is>
          <t>A 20904-2019</t>
        </is>
      </c>
      <c r="B103" s="1" t="n">
        <v>43578</v>
      </c>
      <c r="C103" s="1" t="n">
        <v>45579</v>
      </c>
      <c r="D103" t="inlineStr">
        <is>
          <t>VÄSTMANLANDS LÄN</t>
        </is>
      </c>
      <c r="E103" t="inlineStr">
        <is>
          <t>SURAHAMMAR</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22834-2019</t>
        </is>
      </c>
      <c r="B104" s="1" t="n">
        <v>43591</v>
      </c>
      <c r="C104" s="1" t="n">
        <v>45579</v>
      </c>
      <c r="D104" t="inlineStr">
        <is>
          <t>VÄSTMANLANDS LÄN</t>
        </is>
      </c>
      <c r="E104" t="inlineStr">
        <is>
          <t>SURAHAMMAR</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28274-2019</t>
        </is>
      </c>
      <c r="B105" s="1" t="n">
        <v>43623</v>
      </c>
      <c r="C105" s="1" t="n">
        <v>45579</v>
      </c>
      <c r="D105" t="inlineStr">
        <is>
          <t>VÄSTMANLANDS LÄN</t>
        </is>
      </c>
      <c r="E105" t="inlineStr">
        <is>
          <t>SURAHAMMAR</t>
        </is>
      </c>
      <c r="F105" t="inlineStr">
        <is>
          <t>Allmännings- och besparingsskogar</t>
        </is>
      </c>
      <c r="G105" t="n">
        <v>0.7</v>
      </c>
      <c r="H105" t="n">
        <v>0</v>
      </c>
      <c r="I105" t="n">
        <v>0</v>
      </c>
      <c r="J105" t="n">
        <v>0</v>
      </c>
      <c r="K105" t="n">
        <v>0</v>
      </c>
      <c r="L105" t="n">
        <v>0</v>
      </c>
      <c r="M105" t="n">
        <v>0</v>
      </c>
      <c r="N105" t="n">
        <v>0</v>
      </c>
      <c r="O105" t="n">
        <v>0</v>
      </c>
      <c r="P105" t="n">
        <v>0</v>
      </c>
      <c r="Q105" t="n">
        <v>0</v>
      </c>
      <c r="R105" s="2" t="inlineStr"/>
    </row>
    <row r="106" ht="15" customHeight="1">
      <c r="A106" t="inlineStr">
        <is>
          <t>A 29523-2019</t>
        </is>
      </c>
      <c r="B106" s="1" t="n">
        <v>43630</v>
      </c>
      <c r="C106" s="1" t="n">
        <v>45579</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31008-2019</t>
        </is>
      </c>
      <c r="B107" s="1" t="n">
        <v>43640</v>
      </c>
      <c r="C107" s="1" t="n">
        <v>45579</v>
      </c>
      <c r="D107" t="inlineStr">
        <is>
          <t>VÄSTMANLANDS LÄN</t>
        </is>
      </c>
      <c r="E107" t="inlineStr">
        <is>
          <t>SURAHAMMAR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39552-2019</t>
        </is>
      </c>
      <c r="B108" s="1" t="n">
        <v>43691</v>
      </c>
      <c r="C108" s="1" t="n">
        <v>45579</v>
      </c>
      <c r="D108" t="inlineStr">
        <is>
          <t>VÄSTMANLANDS LÄN</t>
        </is>
      </c>
      <c r="E108" t="inlineStr">
        <is>
          <t>SURAHAMMAR</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39754-2019</t>
        </is>
      </c>
      <c r="B109" s="1" t="n">
        <v>43692</v>
      </c>
      <c r="C109" s="1" t="n">
        <v>45579</v>
      </c>
      <c r="D109" t="inlineStr">
        <is>
          <t>VÄSTMANLANDS LÄN</t>
        </is>
      </c>
      <c r="E109" t="inlineStr">
        <is>
          <t>SURAHAMMAR</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40191-2019</t>
        </is>
      </c>
      <c r="B110" s="1" t="n">
        <v>43693</v>
      </c>
      <c r="C110" s="1" t="n">
        <v>45579</v>
      </c>
      <c r="D110" t="inlineStr">
        <is>
          <t>VÄSTMANLANDS LÄN</t>
        </is>
      </c>
      <c r="E110" t="inlineStr">
        <is>
          <t>SURAHAMMAR</t>
        </is>
      </c>
      <c r="F110" t="inlineStr">
        <is>
          <t>Bergvik skog väst AB</t>
        </is>
      </c>
      <c r="G110" t="n">
        <v>3.5</v>
      </c>
      <c r="H110" t="n">
        <v>0</v>
      </c>
      <c r="I110" t="n">
        <v>0</v>
      </c>
      <c r="J110" t="n">
        <v>0</v>
      </c>
      <c r="K110" t="n">
        <v>0</v>
      </c>
      <c r="L110" t="n">
        <v>0</v>
      </c>
      <c r="M110" t="n">
        <v>0</v>
      </c>
      <c r="N110" t="n">
        <v>0</v>
      </c>
      <c r="O110" t="n">
        <v>0</v>
      </c>
      <c r="P110" t="n">
        <v>0</v>
      </c>
      <c r="Q110" t="n">
        <v>0</v>
      </c>
      <c r="R110" s="2" t="inlineStr"/>
    </row>
    <row r="111" ht="15" customHeight="1">
      <c r="A111" t="inlineStr">
        <is>
          <t>A 60343-2019</t>
        </is>
      </c>
      <c r="B111" s="1" t="n">
        <v>43780</v>
      </c>
      <c r="C111" s="1" t="n">
        <v>45579</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64772-2019</t>
        </is>
      </c>
      <c r="B112" s="1" t="n">
        <v>43801</v>
      </c>
      <c r="C112" s="1" t="n">
        <v>45579</v>
      </c>
      <c r="D112" t="inlineStr">
        <is>
          <t>VÄSTMANLANDS LÄN</t>
        </is>
      </c>
      <c r="E112" t="inlineStr">
        <is>
          <t>SURAHAMMAR</t>
        </is>
      </c>
      <c r="F112" t="inlineStr">
        <is>
          <t>Övriga Aktiebolag</t>
        </is>
      </c>
      <c r="G112" t="n">
        <v>7</v>
      </c>
      <c r="H112" t="n">
        <v>0</v>
      </c>
      <c r="I112" t="n">
        <v>0</v>
      </c>
      <c r="J112" t="n">
        <v>0</v>
      </c>
      <c r="K112" t="n">
        <v>0</v>
      </c>
      <c r="L112" t="n">
        <v>0</v>
      </c>
      <c r="M112" t="n">
        <v>0</v>
      </c>
      <c r="N112" t="n">
        <v>0</v>
      </c>
      <c r="O112" t="n">
        <v>0</v>
      </c>
      <c r="P112" t="n">
        <v>0</v>
      </c>
      <c r="Q112" t="n">
        <v>0</v>
      </c>
      <c r="R112" s="2" t="inlineStr"/>
    </row>
    <row r="113" ht="15" customHeight="1">
      <c r="A113" t="inlineStr">
        <is>
          <t>A 66269-2019</t>
        </is>
      </c>
      <c r="B113" s="1" t="n">
        <v>43802</v>
      </c>
      <c r="C113" s="1" t="n">
        <v>45579</v>
      </c>
      <c r="D113" t="inlineStr">
        <is>
          <t>VÄSTMANLANDS LÄN</t>
        </is>
      </c>
      <c r="E113" t="inlineStr">
        <is>
          <t>SURAHAMMAR</t>
        </is>
      </c>
      <c r="G113" t="n">
        <v>0.9</v>
      </c>
      <c r="H113" t="n">
        <v>0</v>
      </c>
      <c r="I113" t="n">
        <v>0</v>
      </c>
      <c r="J113" t="n">
        <v>0</v>
      </c>
      <c r="K113" t="n">
        <v>0</v>
      </c>
      <c r="L113" t="n">
        <v>0</v>
      </c>
      <c r="M113" t="n">
        <v>0</v>
      </c>
      <c r="N113" t="n">
        <v>0</v>
      </c>
      <c r="O113" t="n">
        <v>0</v>
      </c>
      <c r="P113" t="n">
        <v>0</v>
      </c>
      <c r="Q113" t="n">
        <v>0</v>
      </c>
      <c r="R113" s="2" t="inlineStr"/>
    </row>
    <row r="114" ht="15" customHeight="1">
      <c r="A114" t="inlineStr">
        <is>
          <t>A 65619-2019</t>
        </is>
      </c>
      <c r="B114" s="1" t="n">
        <v>43804</v>
      </c>
      <c r="C114" s="1" t="n">
        <v>45579</v>
      </c>
      <c r="D114" t="inlineStr">
        <is>
          <t>VÄSTMANLANDS LÄN</t>
        </is>
      </c>
      <c r="E114" t="inlineStr">
        <is>
          <t>SURAHAMMAR</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2039-2020</t>
        </is>
      </c>
      <c r="B115" s="1" t="n">
        <v>43839</v>
      </c>
      <c r="C115" s="1" t="n">
        <v>45579</v>
      </c>
      <c r="D115" t="inlineStr">
        <is>
          <t>VÄSTMANLANDS LÄN</t>
        </is>
      </c>
      <c r="E115" t="inlineStr">
        <is>
          <t>SURAHAMMAR</t>
        </is>
      </c>
      <c r="G115" t="n">
        <v>1</v>
      </c>
      <c r="H115" t="n">
        <v>0</v>
      </c>
      <c r="I115" t="n">
        <v>0</v>
      </c>
      <c r="J115" t="n">
        <v>0</v>
      </c>
      <c r="K115" t="n">
        <v>0</v>
      </c>
      <c r="L115" t="n">
        <v>0</v>
      </c>
      <c r="M115" t="n">
        <v>0</v>
      </c>
      <c r="N115" t="n">
        <v>0</v>
      </c>
      <c r="O115" t="n">
        <v>0</v>
      </c>
      <c r="P115" t="n">
        <v>0</v>
      </c>
      <c r="Q115" t="n">
        <v>0</v>
      </c>
      <c r="R115" s="2" t="inlineStr"/>
    </row>
    <row r="116" ht="15" customHeight="1">
      <c r="A116" t="inlineStr">
        <is>
          <t>A 5804-2020</t>
        </is>
      </c>
      <c r="B116" s="1" t="n">
        <v>43864</v>
      </c>
      <c r="C116" s="1" t="n">
        <v>45579</v>
      </c>
      <c r="D116" t="inlineStr">
        <is>
          <t>VÄSTMANLANDS LÄN</t>
        </is>
      </c>
      <c r="E116" t="inlineStr">
        <is>
          <t>SURAHAMMAR</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8608-2020</t>
        </is>
      </c>
      <c r="B117" s="1" t="n">
        <v>43878</v>
      </c>
      <c r="C117" s="1" t="n">
        <v>45579</v>
      </c>
      <c r="D117" t="inlineStr">
        <is>
          <t>VÄSTMANLANDS LÄN</t>
        </is>
      </c>
      <c r="E117" t="inlineStr">
        <is>
          <t>SURAHAMMAR</t>
        </is>
      </c>
      <c r="F117" t="inlineStr">
        <is>
          <t>Övriga Aktiebolag</t>
        </is>
      </c>
      <c r="G117" t="n">
        <v>20.2</v>
      </c>
      <c r="H117" t="n">
        <v>0</v>
      </c>
      <c r="I117" t="n">
        <v>0</v>
      </c>
      <c r="J117" t="n">
        <v>0</v>
      </c>
      <c r="K117" t="n">
        <v>0</v>
      </c>
      <c r="L117" t="n">
        <v>0</v>
      </c>
      <c r="M117" t="n">
        <v>0</v>
      </c>
      <c r="N117" t="n">
        <v>0</v>
      </c>
      <c r="O117" t="n">
        <v>0</v>
      </c>
      <c r="P117" t="n">
        <v>0</v>
      </c>
      <c r="Q117" t="n">
        <v>0</v>
      </c>
      <c r="R117" s="2" t="inlineStr"/>
    </row>
    <row r="118" ht="15" customHeight="1">
      <c r="A118" t="inlineStr">
        <is>
          <t>A 40660-2020</t>
        </is>
      </c>
      <c r="B118" s="1" t="n">
        <v>44069</v>
      </c>
      <c r="C118" s="1" t="n">
        <v>45579</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43171-2020</t>
        </is>
      </c>
      <c r="B119" s="1" t="n">
        <v>44081</v>
      </c>
      <c r="C119" s="1" t="n">
        <v>45579</v>
      </c>
      <c r="D119" t="inlineStr">
        <is>
          <t>VÄSTMANLANDS LÄN</t>
        </is>
      </c>
      <c r="E119" t="inlineStr">
        <is>
          <t>SURAHAMMAR</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43174-2020</t>
        </is>
      </c>
      <c r="B120" s="1" t="n">
        <v>44081</v>
      </c>
      <c r="C120" s="1" t="n">
        <v>45579</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43177-2020</t>
        </is>
      </c>
      <c r="B121" s="1" t="n">
        <v>44081</v>
      </c>
      <c r="C121" s="1" t="n">
        <v>45579</v>
      </c>
      <c r="D121" t="inlineStr">
        <is>
          <t>VÄSTMANLANDS LÄN</t>
        </is>
      </c>
      <c r="E121" t="inlineStr">
        <is>
          <t>SURAHAMMAR</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43590-2020</t>
        </is>
      </c>
      <c r="B122" s="1" t="n">
        <v>44082</v>
      </c>
      <c r="C122" s="1" t="n">
        <v>45579</v>
      </c>
      <c r="D122" t="inlineStr">
        <is>
          <t>VÄSTMANLANDS LÄN</t>
        </is>
      </c>
      <c r="E122" t="inlineStr">
        <is>
          <t>SURAHAMMAR</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47997-2020</t>
        </is>
      </c>
      <c r="B123" s="1" t="n">
        <v>44099</v>
      </c>
      <c r="C123" s="1" t="n">
        <v>45579</v>
      </c>
      <c r="D123" t="inlineStr">
        <is>
          <t>VÄSTMANLANDS LÄN</t>
        </is>
      </c>
      <c r="E123" t="inlineStr">
        <is>
          <t>SURAHAMMAR</t>
        </is>
      </c>
      <c r="G123" t="n">
        <v>4.8</v>
      </c>
      <c r="H123" t="n">
        <v>0</v>
      </c>
      <c r="I123" t="n">
        <v>0</v>
      </c>
      <c r="J123" t="n">
        <v>0</v>
      </c>
      <c r="K123" t="n">
        <v>0</v>
      </c>
      <c r="L123" t="n">
        <v>0</v>
      </c>
      <c r="M123" t="n">
        <v>0</v>
      </c>
      <c r="N123" t="n">
        <v>0</v>
      </c>
      <c r="O123" t="n">
        <v>0</v>
      </c>
      <c r="P123" t="n">
        <v>0</v>
      </c>
      <c r="Q123" t="n">
        <v>0</v>
      </c>
      <c r="R123" s="2" t="inlineStr"/>
    </row>
    <row r="124" ht="15" customHeight="1">
      <c r="A124" t="inlineStr">
        <is>
          <t>A 52076-2020</t>
        </is>
      </c>
      <c r="B124" s="1" t="n">
        <v>44117</v>
      </c>
      <c r="C124" s="1" t="n">
        <v>45579</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52074-2020</t>
        </is>
      </c>
      <c r="B125" s="1" t="n">
        <v>44117</v>
      </c>
      <c r="C125" s="1" t="n">
        <v>45579</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54962-2020</t>
        </is>
      </c>
      <c r="B126" s="1" t="n">
        <v>44130</v>
      </c>
      <c r="C126" s="1" t="n">
        <v>45579</v>
      </c>
      <c r="D126" t="inlineStr">
        <is>
          <t>VÄSTMANLANDS LÄN</t>
        </is>
      </c>
      <c r="E126" t="inlineStr">
        <is>
          <t>SURAHAMMAR</t>
        </is>
      </c>
      <c r="F126" t="inlineStr">
        <is>
          <t>Sveaskog</t>
        </is>
      </c>
      <c r="G126" t="n">
        <v>4.2</v>
      </c>
      <c r="H126" t="n">
        <v>0</v>
      </c>
      <c r="I126" t="n">
        <v>0</v>
      </c>
      <c r="J126" t="n">
        <v>0</v>
      </c>
      <c r="K126" t="n">
        <v>0</v>
      </c>
      <c r="L126" t="n">
        <v>0</v>
      </c>
      <c r="M126" t="n">
        <v>0</v>
      </c>
      <c r="N126" t="n">
        <v>0</v>
      </c>
      <c r="O126" t="n">
        <v>0</v>
      </c>
      <c r="P126" t="n">
        <v>0</v>
      </c>
      <c r="Q126" t="n">
        <v>0</v>
      </c>
      <c r="R126" s="2" t="inlineStr"/>
    </row>
    <row r="127" ht="15" customHeight="1">
      <c r="A127" t="inlineStr">
        <is>
          <t>A 55397-2020</t>
        </is>
      </c>
      <c r="B127" s="1" t="n">
        <v>44131</v>
      </c>
      <c r="C127" s="1" t="n">
        <v>45579</v>
      </c>
      <c r="D127" t="inlineStr">
        <is>
          <t>VÄSTMANLANDS LÄN</t>
        </is>
      </c>
      <c r="E127" t="inlineStr">
        <is>
          <t>SURAHAMMAR</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59543-2020</t>
        </is>
      </c>
      <c r="B128" s="1" t="n">
        <v>44148</v>
      </c>
      <c r="C128" s="1" t="n">
        <v>45579</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59740-2020</t>
        </is>
      </c>
      <c r="B129" s="1" t="n">
        <v>44151</v>
      </c>
      <c r="C129" s="1" t="n">
        <v>45579</v>
      </c>
      <c r="D129" t="inlineStr">
        <is>
          <t>VÄSTMANLANDS LÄN</t>
        </is>
      </c>
      <c r="E129" t="inlineStr">
        <is>
          <t>SURAHAMMAR</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59727-2020</t>
        </is>
      </c>
      <c r="B130" s="1" t="n">
        <v>44151</v>
      </c>
      <c r="C130" s="1" t="n">
        <v>45579</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1492-2021</t>
        </is>
      </c>
      <c r="B131" s="1" t="n">
        <v>44209</v>
      </c>
      <c r="C131" s="1" t="n">
        <v>45579</v>
      </c>
      <c r="D131" t="inlineStr">
        <is>
          <t>VÄSTMANLANDS LÄN</t>
        </is>
      </c>
      <c r="E131" t="inlineStr">
        <is>
          <t>SURAHAMMAR</t>
        </is>
      </c>
      <c r="G131" t="n">
        <v>1.2</v>
      </c>
      <c r="H131" t="n">
        <v>0</v>
      </c>
      <c r="I131" t="n">
        <v>0</v>
      </c>
      <c r="J131" t="n">
        <v>0</v>
      </c>
      <c r="K131" t="n">
        <v>0</v>
      </c>
      <c r="L131" t="n">
        <v>0</v>
      </c>
      <c r="M131" t="n">
        <v>0</v>
      </c>
      <c r="N131" t="n">
        <v>0</v>
      </c>
      <c r="O131" t="n">
        <v>0</v>
      </c>
      <c r="P131" t="n">
        <v>0</v>
      </c>
      <c r="Q131" t="n">
        <v>0</v>
      </c>
      <c r="R131" s="2" t="inlineStr"/>
    </row>
    <row r="132" ht="15" customHeight="1">
      <c r="A132" t="inlineStr">
        <is>
          <t>A 18723-2021</t>
        </is>
      </c>
      <c r="B132" s="1" t="n">
        <v>44306</v>
      </c>
      <c r="C132" s="1" t="n">
        <v>45579</v>
      </c>
      <c r="D132" t="inlineStr">
        <is>
          <t>VÄSTMANLANDS LÄN</t>
        </is>
      </c>
      <c r="E132" t="inlineStr">
        <is>
          <t>SURAHAMMAR</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20478-2021</t>
        </is>
      </c>
      <c r="B133" s="1" t="n">
        <v>44315</v>
      </c>
      <c r="C133" s="1" t="n">
        <v>45579</v>
      </c>
      <c r="D133" t="inlineStr">
        <is>
          <t>VÄSTMANLANDS LÄN</t>
        </is>
      </c>
      <c r="E133" t="inlineStr">
        <is>
          <t>SURAHAMMAR</t>
        </is>
      </c>
      <c r="F133" t="inlineStr">
        <is>
          <t>Sveaskog</t>
        </is>
      </c>
      <c r="G133" t="n">
        <v>6.2</v>
      </c>
      <c r="H133" t="n">
        <v>0</v>
      </c>
      <c r="I133" t="n">
        <v>0</v>
      </c>
      <c r="J133" t="n">
        <v>0</v>
      </c>
      <c r="K133" t="n">
        <v>0</v>
      </c>
      <c r="L133" t="n">
        <v>0</v>
      </c>
      <c r="M133" t="n">
        <v>0</v>
      </c>
      <c r="N133" t="n">
        <v>0</v>
      </c>
      <c r="O133" t="n">
        <v>0</v>
      </c>
      <c r="P133" t="n">
        <v>0</v>
      </c>
      <c r="Q133" t="n">
        <v>0</v>
      </c>
      <c r="R133" s="2" t="inlineStr"/>
    </row>
    <row r="134" ht="15" customHeight="1">
      <c r="A134" t="inlineStr">
        <is>
          <t>A 21839-2021</t>
        </is>
      </c>
      <c r="B134" s="1" t="n">
        <v>44322</v>
      </c>
      <c r="C134" s="1" t="n">
        <v>45579</v>
      </c>
      <c r="D134" t="inlineStr">
        <is>
          <t>VÄSTMANLANDS LÄN</t>
        </is>
      </c>
      <c r="E134" t="inlineStr">
        <is>
          <t>SURAHAMMAR</t>
        </is>
      </c>
      <c r="G134" t="n">
        <v>1.6</v>
      </c>
      <c r="H134" t="n">
        <v>0</v>
      </c>
      <c r="I134" t="n">
        <v>0</v>
      </c>
      <c r="J134" t="n">
        <v>0</v>
      </c>
      <c r="K134" t="n">
        <v>0</v>
      </c>
      <c r="L134" t="n">
        <v>0</v>
      </c>
      <c r="M134" t="n">
        <v>0</v>
      </c>
      <c r="N134" t="n">
        <v>0</v>
      </c>
      <c r="O134" t="n">
        <v>0</v>
      </c>
      <c r="P134" t="n">
        <v>0</v>
      </c>
      <c r="Q134" t="n">
        <v>0</v>
      </c>
      <c r="R134" s="2" t="inlineStr"/>
    </row>
    <row r="135" ht="15" customHeight="1">
      <c r="A135" t="inlineStr">
        <is>
          <t>A 24804-2021</t>
        </is>
      </c>
      <c r="B135" s="1" t="n">
        <v>44340</v>
      </c>
      <c r="C135" s="1" t="n">
        <v>45579</v>
      </c>
      <c r="D135" t="inlineStr">
        <is>
          <t>VÄSTMANLANDS LÄN</t>
        </is>
      </c>
      <c r="E135" t="inlineStr">
        <is>
          <t>SURAHAMMAR</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31468-2021</t>
        </is>
      </c>
      <c r="B136" s="1" t="n">
        <v>44369</v>
      </c>
      <c r="C136" s="1" t="n">
        <v>45579</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33998-2021</t>
        </is>
      </c>
      <c r="B137" s="1" t="n">
        <v>44378</v>
      </c>
      <c r="C137" s="1" t="n">
        <v>45579</v>
      </c>
      <c r="D137" t="inlineStr">
        <is>
          <t>VÄSTMANLANDS LÄN</t>
        </is>
      </c>
      <c r="E137" t="inlineStr">
        <is>
          <t>SURAHAMMAR</t>
        </is>
      </c>
      <c r="F137" t="inlineStr">
        <is>
          <t>Bergvik skog väst AB</t>
        </is>
      </c>
      <c r="G137" t="n">
        <v>3.2</v>
      </c>
      <c r="H137" t="n">
        <v>0</v>
      </c>
      <c r="I137" t="n">
        <v>0</v>
      </c>
      <c r="J137" t="n">
        <v>0</v>
      </c>
      <c r="K137" t="n">
        <v>0</v>
      </c>
      <c r="L137" t="n">
        <v>0</v>
      </c>
      <c r="M137" t="n">
        <v>0</v>
      </c>
      <c r="N137" t="n">
        <v>0</v>
      </c>
      <c r="O137" t="n">
        <v>0</v>
      </c>
      <c r="P137" t="n">
        <v>0</v>
      </c>
      <c r="Q137" t="n">
        <v>0</v>
      </c>
      <c r="R137" s="2" t="inlineStr"/>
    </row>
    <row r="138" ht="15" customHeight="1">
      <c r="A138" t="inlineStr">
        <is>
          <t>A 34001-2021</t>
        </is>
      </c>
      <c r="B138" s="1" t="n">
        <v>44378</v>
      </c>
      <c r="C138" s="1" t="n">
        <v>45579</v>
      </c>
      <c r="D138" t="inlineStr">
        <is>
          <t>VÄSTMANLANDS LÄN</t>
        </is>
      </c>
      <c r="E138" t="inlineStr">
        <is>
          <t>SURAHAMMAR</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45579</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37799-2021</t>
        </is>
      </c>
      <c r="B140" s="1" t="n">
        <v>44402</v>
      </c>
      <c r="C140" s="1" t="n">
        <v>45579</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38150-2021</t>
        </is>
      </c>
      <c r="B141" s="1" t="n">
        <v>44405</v>
      </c>
      <c r="C141" s="1" t="n">
        <v>45579</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38178-2021</t>
        </is>
      </c>
      <c r="B142" s="1" t="n">
        <v>44405</v>
      </c>
      <c r="C142" s="1" t="n">
        <v>45579</v>
      </c>
      <c r="D142" t="inlineStr">
        <is>
          <t>VÄSTMANLANDS LÄN</t>
        </is>
      </c>
      <c r="E142" t="inlineStr">
        <is>
          <t>SURAHAMMAR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38149-2021</t>
        </is>
      </c>
      <c r="B143" s="1" t="n">
        <v>44405</v>
      </c>
      <c r="C143" s="1" t="n">
        <v>45579</v>
      </c>
      <c r="D143" t="inlineStr">
        <is>
          <t>VÄSTMANLANDS LÄN</t>
        </is>
      </c>
      <c r="E143" t="inlineStr">
        <is>
          <t>SURAHAMMAR</t>
        </is>
      </c>
      <c r="F143" t="inlineStr">
        <is>
          <t>Sveaskog</t>
        </is>
      </c>
      <c r="G143" t="n">
        <v>4.9</v>
      </c>
      <c r="H143" t="n">
        <v>0</v>
      </c>
      <c r="I143" t="n">
        <v>0</v>
      </c>
      <c r="J143" t="n">
        <v>0</v>
      </c>
      <c r="K143" t="n">
        <v>0</v>
      </c>
      <c r="L143" t="n">
        <v>0</v>
      </c>
      <c r="M143" t="n">
        <v>0</v>
      </c>
      <c r="N143" t="n">
        <v>0</v>
      </c>
      <c r="O143" t="n">
        <v>0</v>
      </c>
      <c r="P143" t="n">
        <v>0</v>
      </c>
      <c r="Q143" t="n">
        <v>0</v>
      </c>
      <c r="R143" s="2" t="inlineStr"/>
    </row>
    <row r="144" ht="15" customHeight="1">
      <c r="A144" t="inlineStr">
        <is>
          <t>A 38163-2021</t>
        </is>
      </c>
      <c r="B144" s="1" t="n">
        <v>44405</v>
      </c>
      <c r="C144" s="1" t="n">
        <v>45579</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38154-2021</t>
        </is>
      </c>
      <c r="B145" s="1" t="n">
        <v>44405</v>
      </c>
      <c r="C145" s="1" t="n">
        <v>45579</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47852-2021</t>
        </is>
      </c>
      <c r="B146" s="1" t="n">
        <v>44448</v>
      </c>
      <c r="C146" s="1" t="n">
        <v>45579</v>
      </c>
      <c r="D146" t="inlineStr">
        <is>
          <t>VÄSTMANLANDS LÄN</t>
        </is>
      </c>
      <c r="E146" t="inlineStr">
        <is>
          <t>SURAHAMMAR</t>
        </is>
      </c>
      <c r="G146" t="n">
        <v>4.1</v>
      </c>
      <c r="H146" t="n">
        <v>0</v>
      </c>
      <c r="I146" t="n">
        <v>0</v>
      </c>
      <c r="J146" t="n">
        <v>0</v>
      </c>
      <c r="K146" t="n">
        <v>0</v>
      </c>
      <c r="L146" t="n">
        <v>0</v>
      </c>
      <c r="M146" t="n">
        <v>0</v>
      </c>
      <c r="N146" t="n">
        <v>0</v>
      </c>
      <c r="O146" t="n">
        <v>0</v>
      </c>
      <c r="P146" t="n">
        <v>0</v>
      </c>
      <c r="Q146" t="n">
        <v>0</v>
      </c>
      <c r="R146" s="2" t="inlineStr"/>
    </row>
    <row r="147" ht="15" customHeight="1">
      <c r="A147" t="inlineStr">
        <is>
          <t>A 47785-2021</t>
        </is>
      </c>
      <c r="B147" s="1" t="n">
        <v>44448</v>
      </c>
      <c r="C147" s="1" t="n">
        <v>45579</v>
      </c>
      <c r="D147" t="inlineStr">
        <is>
          <t>VÄSTMANLANDS LÄN</t>
        </is>
      </c>
      <c r="E147" t="inlineStr">
        <is>
          <t>SURAHAMMAR</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64073-2021</t>
        </is>
      </c>
      <c r="B148" s="1" t="n">
        <v>44509</v>
      </c>
      <c r="C148" s="1" t="n">
        <v>45579</v>
      </c>
      <c r="D148" t="inlineStr">
        <is>
          <t>VÄSTMANLANDS LÄN</t>
        </is>
      </c>
      <c r="E148" t="inlineStr">
        <is>
          <t>SURAHAMMAR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66342-2021</t>
        </is>
      </c>
      <c r="B149" s="1" t="n">
        <v>44518</v>
      </c>
      <c r="C149" s="1" t="n">
        <v>45579</v>
      </c>
      <c r="D149" t="inlineStr">
        <is>
          <t>VÄSTMANLANDS LÄN</t>
        </is>
      </c>
      <c r="E149" t="inlineStr">
        <is>
          <t>SURAHAMMAR</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66350-2021</t>
        </is>
      </c>
      <c r="B150" s="1" t="n">
        <v>44518</v>
      </c>
      <c r="C150" s="1" t="n">
        <v>45579</v>
      </c>
      <c r="D150" t="inlineStr">
        <is>
          <t>VÄSTMANLANDS LÄN</t>
        </is>
      </c>
      <c r="E150" t="inlineStr">
        <is>
          <t>SURAHAMMAR</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67611-2021</t>
        </is>
      </c>
      <c r="B151" s="1" t="n">
        <v>44524</v>
      </c>
      <c r="C151" s="1" t="n">
        <v>45579</v>
      </c>
      <c r="D151" t="inlineStr">
        <is>
          <t>VÄSTMANLANDS LÄN</t>
        </is>
      </c>
      <c r="E151" t="inlineStr">
        <is>
          <t>SURAHAMMAR</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72367-2021</t>
        </is>
      </c>
      <c r="B152" s="1" t="n">
        <v>44545</v>
      </c>
      <c r="C152" s="1" t="n">
        <v>45579</v>
      </c>
      <c r="D152" t="inlineStr">
        <is>
          <t>VÄSTMANLANDS LÄN</t>
        </is>
      </c>
      <c r="E152" t="inlineStr">
        <is>
          <t>SURAHAMMAR</t>
        </is>
      </c>
      <c r="G152" t="n">
        <v>2.5</v>
      </c>
      <c r="H152" t="n">
        <v>0</v>
      </c>
      <c r="I152" t="n">
        <v>0</v>
      </c>
      <c r="J152" t="n">
        <v>0</v>
      </c>
      <c r="K152" t="n">
        <v>0</v>
      </c>
      <c r="L152" t="n">
        <v>0</v>
      </c>
      <c r="M152" t="n">
        <v>0</v>
      </c>
      <c r="N152" t="n">
        <v>0</v>
      </c>
      <c r="O152" t="n">
        <v>0</v>
      </c>
      <c r="P152" t="n">
        <v>0</v>
      </c>
      <c r="Q152" t="n">
        <v>0</v>
      </c>
      <c r="R152" s="2" t="inlineStr"/>
    </row>
    <row r="153" ht="15" customHeight="1">
      <c r="A153" t="inlineStr">
        <is>
          <t>A 73156-2021</t>
        </is>
      </c>
      <c r="B153" s="1" t="n">
        <v>44550</v>
      </c>
      <c r="C153" s="1" t="n">
        <v>45579</v>
      </c>
      <c r="D153" t="inlineStr">
        <is>
          <t>VÄSTMANLANDS LÄN</t>
        </is>
      </c>
      <c r="E153" t="inlineStr">
        <is>
          <t>SURAHAMMAR</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3155-2022</t>
        </is>
      </c>
      <c r="B154" s="1" t="n">
        <v>44582</v>
      </c>
      <c r="C154" s="1" t="n">
        <v>45579</v>
      </c>
      <c r="D154" t="inlineStr">
        <is>
          <t>VÄSTMANLANDS LÄN</t>
        </is>
      </c>
      <c r="E154" t="inlineStr">
        <is>
          <t>SURAHAMMAR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3595-2022</t>
        </is>
      </c>
      <c r="B155" s="1" t="n">
        <v>44586</v>
      </c>
      <c r="C155" s="1" t="n">
        <v>45579</v>
      </c>
      <c r="D155" t="inlineStr">
        <is>
          <t>VÄSTMANLANDS LÄN</t>
        </is>
      </c>
      <c r="E155" t="inlineStr">
        <is>
          <t>SURAHAMMAR</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3818-2022</t>
        </is>
      </c>
      <c r="B156" s="1" t="n">
        <v>44587</v>
      </c>
      <c r="C156" s="1" t="n">
        <v>45579</v>
      </c>
      <c r="D156" t="inlineStr">
        <is>
          <t>VÄSTMANLANDS LÄN</t>
        </is>
      </c>
      <c r="E156" t="inlineStr">
        <is>
          <t>SURAHAMMAR</t>
        </is>
      </c>
      <c r="G156" t="n">
        <v>2.6</v>
      </c>
      <c r="H156" t="n">
        <v>0</v>
      </c>
      <c r="I156" t="n">
        <v>0</v>
      </c>
      <c r="J156" t="n">
        <v>0</v>
      </c>
      <c r="K156" t="n">
        <v>0</v>
      </c>
      <c r="L156" t="n">
        <v>0</v>
      </c>
      <c r="M156" t="n">
        <v>0</v>
      </c>
      <c r="N156" t="n">
        <v>0</v>
      </c>
      <c r="O156" t="n">
        <v>0</v>
      </c>
      <c r="P156" t="n">
        <v>0</v>
      </c>
      <c r="Q156" t="n">
        <v>0</v>
      </c>
      <c r="R156" s="2" t="inlineStr"/>
    </row>
    <row r="157" ht="15" customHeight="1">
      <c r="A157" t="inlineStr">
        <is>
          <t>A 5567-2022</t>
        </is>
      </c>
      <c r="B157" s="1" t="n">
        <v>44595</v>
      </c>
      <c r="C157" s="1" t="n">
        <v>45579</v>
      </c>
      <c r="D157" t="inlineStr">
        <is>
          <t>VÄSTMANLANDS LÄN</t>
        </is>
      </c>
      <c r="E157" t="inlineStr">
        <is>
          <t>SURAHAMMAR</t>
        </is>
      </c>
      <c r="G157" t="n">
        <v>1.3</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v>
      </c>
      <c r="C158" s="1" t="n">
        <v>45579</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13119-2022</t>
        </is>
      </c>
      <c r="B159" s="1" t="n">
        <v>44643</v>
      </c>
      <c r="C159" s="1" t="n">
        <v>45579</v>
      </c>
      <c r="D159" t="inlineStr">
        <is>
          <t>VÄSTMANLANDS LÄN</t>
        </is>
      </c>
      <c r="E159" t="inlineStr">
        <is>
          <t>SURAHAMMAR</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13070-2022</t>
        </is>
      </c>
      <c r="B160" s="1" t="n">
        <v>44643</v>
      </c>
      <c r="C160" s="1" t="n">
        <v>45579</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v>
      </c>
      <c r="C161" s="1" t="n">
        <v>45579</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45579</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19099-2022</t>
        </is>
      </c>
      <c r="B163" s="1" t="n">
        <v>44691</v>
      </c>
      <c r="C163" s="1" t="n">
        <v>45579</v>
      </c>
      <c r="D163" t="inlineStr">
        <is>
          <t>VÄSTMANLANDS LÄN</t>
        </is>
      </c>
      <c r="E163" t="inlineStr">
        <is>
          <t>SURAHAMMAR</t>
        </is>
      </c>
      <c r="F163" t="inlineStr">
        <is>
          <t>Övriga Aktiebolag</t>
        </is>
      </c>
      <c r="G163" t="n">
        <v>3.4</v>
      </c>
      <c r="H163" t="n">
        <v>0</v>
      </c>
      <c r="I163" t="n">
        <v>0</v>
      </c>
      <c r="J163" t="n">
        <v>0</v>
      </c>
      <c r="K163" t="n">
        <v>0</v>
      </c>
      <c r="L163" t="n">
        <v>0</v>
      </c>
      <c r="M163" t="n">
        <v>0</v>
      </c>
      <c r="N163" t="n">
        <v>0</v>
      </c>
      <c r="O163" t="n">
        <v>0</v>
      </c>
      <c r="P163" t="n">
        <v>0</v>
      </c>
      <c r="Q163" t="n">
        <v>0</v>
      </c>
      <c r="R163" s="2" t="inlineStr"/>
    </row>
    <row r="164" ht="15" customHeight="1">
      <c r="A164" t="inlineStr">
        <is>
          <t>A 19637-2022</t>
        </is>
      </c>
      <c r="B164" s="1" t="n">
        <v>44694</v>
      </c>
      <c r="C164" s="1" t="n">
        <v>45579</v>
      </c>
      <c r="D164" t="inlineStr">
        <is>
          <t>VÄSTMANLANDS LÄN</t>
        </is>
      </c>
      <c r="E164" t="inlineStr">
        <is>
          <t>SURAHAMMAR</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19844-2022</t>
        </is>
      </c>
      <c r="B165" s="1" t="n">
        <v>44696</v>
      </c>
      <c r="C165" s="1" t="n">
        <v>45579</v>
      </c>
      <c r="D165" t="inlineStr">
        <is>
          <t>VÄSTMANLANDS LÄN</t>
        </is>
      </c>
      <c r="E165" t="inlineStr">
        <is>
          <t>SURAHAMMAR</t>
        </is>
      </c>
      <c r="F165" t="inlineStr">
        <is>
          <t>Kommuner</t>
        </is>
      </c>
      <c r="G165" t="n">
        <v>2.1</v>
      </c>
      <c r="H165" t="n">
        <v>0</v>
      </c>
      <c r="I165" t="n">
        <v>0</v>
      </c>
      <c r="J165" t="n">
        <v>0</v>
      </c>
      <c r="K165" t="n">
        <v>0</v>
      </c>
      <c r="L165" t="n">
        <v>0</v>
      </c>
      <c r="M165" t="n">
        <v>0</v>
      </c>
      <c r="N165" t="n">
        <v>0</v>
      </c>
      <c r="O165" t="n">
        <v>0</v>
      </c>
      <c r="P165" t="n">
        <v>0</v>
      </c>
      <c r="Q165" t="n">
        <v>0</v>
      </c>
      <c r="R165" s="2" t="inlineStr"/>
    </row>
    <row r="166" ht="15" customHeight="1">
      <c r="A166" t="inlineStr">
        <is>
          <t>A 19845-2022</t>
        </is>
      </c>
      <c r="B166" s="1" t="n">
        <v>44696</v>
      </c>
      <c r="C166" s="1" t="n">
        <v>45579</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19846-2022</t>
        </is>
      </c>
      <c r="B167" s="1" t="n">
        <v>44696</v>
      </c>
      <c r="C167" s="1" t="n">
        <v>45579</v>
      </c>
      <c r="D167" t="inlineStr">
        <is>
          <t>VÄSTMANLANDS LÄN</t>
        </is>
      </c>
      <c r="E167" t="inlineStr">
        <is>
          <t>SURAHAMMAR</t>
        </is>
      </c>
      <c r="F167" t="inlineStr">
        <is>
          <t>Kommuner</t>
        </is>
      </c>
      <c r="G167" t="n">
        <v>3.4</v>
      </c>
      <c r="H167" t="n">
        <v>0</v>
      </c>
      <c r="I167" t="n">
        <v>0</v>
      </c>
      <c r="J167" t="n">
        <v>0</v>
      </c>
      <c r="K167" t="n">
        <v>0</v>
      </c>
      <c r="L167" t="n">
        <v>0</v>
      </c>
      <c r="M167" t="n">
        <v>0</v>
      </c>
      <c r="N167" t="n">
        <v>0</v>
      </c>
      <c r="O167" t="n">
        <v>0</v>
      </c>
      <c r="P167" t="n">
        <v>0</v>
      </c>
      <c r="Q167" t="n">
        <v>0</v>
      </c>
      <c r="R167" s="2" t="inlineStr"/>
    </row>
    <row r="168" ht="15" customHeight="1">
      <c r="A168" t="inlineStr">
        <is>
          <t>A 26700-2022</t>
        </is>
      </c>
      <c r="B168" s="1" t="n">
        <v>44739</v>
      </c>
      <c r="C168" s="1" t="n">
        <v>45579</v>
      </c>
      <c r="D168" t="inlineStr">
        <is>
          <t>VÄSTMANLANDS LÄN</t>
        </is>
      </c>
      <c r="E168" t="inlineStr">
        <is>
          <t>SURAHAMMAR</t>
        </is>
      </c>
      <c r="F168" t="inlineStr">
        <is>
          <t>Kommuner</t>
        </is>
      </c>
      <c r="G168" t="n">
        <v>3.1</v>
      </c>
      <c r="H168" t="n">
        <v>0</v>
      </c>
      <c r="I168" t="n">
        <v>0</v>
      </c>
      <c r="J168" t="n">
        <v>0</v>
      </c>
      <c r="K168" t="n">
        <v>0</v>
      </c>
      <c r="L168" t="n">
        <v>0</v>
      </c>
      <c r="M168" t="n">
        <v>0</v>
      </c>
      <c r="N168" t="n">
        <v>0</v>
      </c>
      <c r="O168" t="n">
        <v>0</v>
      </c>
      <c r="P168" t="n">
        <v>0</v>
      </c>
      <c r="Q168" t="n">
        <v>0</v>
      </c>
      <c r="R168" s="2" t="inlineStr"/>
    </row>
    <row r="169" ht="15" customHeight="1">
      <c r="A169" t="inlineStr">
        <is>
          <t>A 32475-2022</t>
        </is>
      </c>
      <c r="B169" s="1" t="n">
        <v>44782</v>
      </c>
      <c r="C169" s="1" t="n">
        <v>45579</v>
      </c>
      <c r="D169" t="inlineStr">
        <is>
          <t>VÄSTMANLANDS LÄN</t>
        </is>
      </c>
      <c r="E169" t="inlineStr">
        <is>
          <t>SURAHAMMAR</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32491-2022</t>
        </is>
      </c>
      <c r="B170" s="1" t="n">
        <v>44782</v>
      </c>
      <c r="C170" s="1" t="n">
        <v>45579</v>
      </c>
      <c r="D170" t="inlineStr">
        <is>
          <t>VÄSTMANLANDS LÄN</t>
        </is>
      </c>
      <c r="E170" t="inlineStr">
        <is>
          <t>SURAHAMMAR</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32492-2022</t>
        </is>
      </c>
      <c r="B171" s="1" t="n">
        <v>44782</v>
      </c>
      <c r="C171" s="1" t="n">
        <v>45579</v>
      </c>
      <c r="D171" t="inlineStr">
        <is>
          <t>VÄSTMANLANDS LÄN</t>
        </is>
      </c>
      <c r="E171" t="inlineStr">
        <is>
          <t>SURAHAMMAR</t>
        </is>
      </c>
      <c r="F171" t="inlineStr">
        <is>
          <t>Bergvik skog väst AB</t>
        </is>
      </c>
      <c r="G171" t="n">
        <v>5.3</v>
      </c>
      <c r="H171" t="n">
        <v>0</v>
      </c>
      <c r="I171" t="n">
        <v>0</v>
      </c>
      <c r="J171" t="n">
        <v>0</v>
      </c>
      <c r="K171" t="n">
        <v>0</v>
      </c>
      <c r="L171" t="n">
        <v>0</v>
      </c>
      <c r="M171" t="n">
        <v>0</v>
      </c>
      <c r="N171" t="n">
        <v>0</v>
      </c>
      <c r="O171" t="n">
        <v>0</v>
      </c>
      <c r="P171" t="n">
        <v>0</v>
      </c>
      <c r="Q171" t="n">
        <v>0</v>
      </c>
      <c r="R171" s="2" t="inlineStr"/>
    </row>
    <row r="172" ht="15" customHeight="1">
      <c r="A172" t="inlineStr">
        <is>
          <t>A 33931-2022</t>
        </is>
      </c>
      <c r="B172" s="1" t="n">
        <v>44790</v>
      </c>
      <c r="C172" s="1" t="n">
        <v>45579</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33946-2022</t>
        </is>
      </c>
      <c r="B173" s="1" t="n">
        <v>44790</v>
      </c>
      <c r="C173" s="1" t="n">
        <v>45579</v>
      </c>
      <c r="D173" t="inlineStr">
        <is>
          <t>VÄSTMANLANDS LÄN</t>
        </is>
      </c>
      <c r="E173" t="inlineStr">
        <is>
          <t>SURAHAMMAR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33953-2022</t>
        </is>
      </c>
      <c r="B174" s="1" t="n">
        <v>44790</v>
      </c>
      <c r="C174" s="1" t="n">
        <v>45579</v>
      </c>
      <c r="D174" t="inlineStr">
        <is>
          <t>VÄSTMANLANDS LÄN</t>
        </is>
      </c>
      <c r="E174" t="inlineStr">
        <is>
          <t>SURAHAMMAR</t>
        </is>
      </c>
      <c r="G174" t="n">
        <v>3</v>
      </c>
      <c r="H174" t="n">
        <v>0</v>
      </c>
      <c r="I174" t="n">
        <v>0</v>
      </c>
      <c r="J174" t="n">
        <v>0</v>
      </c>
      <c r="K174" t="n">
        <v>0</v>
      </c>
      <c r="L174" t="n">
        <v>0</v>
      </c>
      <c r="M174" t="n">
        <v>0</v>
      </c>
      <c r="N174" t="n">
        <v>0</v>
      </c>
      <c r="O174" t="n">
        <v>0</v>
      </c>
      <c r="P174" t="n">
        <v>0</v>
      </c>
      <c r="Q174" t="n">
        <v>0</v>
      </c>
      <c r="R174" s="2" t="inlineStr"/>
    </row>
    <row r="175" ht="15" customHeight="1">
      <c r="A175" t="inlineStr">
        <is>
          <t>A 34957-2022</t>
        </is>
      </c>
      <c r="B175" s="1" t="n">
        <v>44796</v>
      </c>
      <c r="C175" s="1" t="n">
        <v>45579</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34955-2022</t>
        </is>
      </c>
      <c r="B176" s="1" t="n">
        <v>44796</v>
      </c>
      <c r="C176" s="1" t="n">
        <v>45579</v>
      </c>
      <c r="D176" t="inlineStr">
        <is>
          <t>VÄSTMANLANDS LÄN</t>
        </is>
      </c>
      <c r="E176" t="inlineStr">
        <is>
          <t>SURAHAMMAR</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34956-2022</t>
        </is>
      </c>
      <c r="B177" s="1" t="n">
        <v>44796</v>
      </c>
      <c r="C177" s="1" t="n">
        <v>45579</v>
      </c>
      <c r="D177" t="inlineStr">
        <is>
          <t>VÄSTMANLANDS LÄN</t>
        </is>
      </c>
      <c r="E177" t="inlineStr">
        <is>
          <t>SURAHAMMAR</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35677-2022</t>
        </is>
      </c>
      <c r="B178" s="1" t="n">
        <v>44799</v>
      </c>
      <c r="C178" s="1" t="n">
        <v>45579</v>
      </c>
      <c r="D178" t="inlineStr">
        <is>
          <t>VÄSTMANLANDS LÄN</t>
        </is>
      </c>
      <c r="E178" t="inlineStr">
        <is>
          <t>SURAHAMMAR</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35682-2022</t>
        </is>
      </c>
      <c r="B179" s="1" t="n">
        <v>44799</v>
      </c>
      <c r="C179" s="1" t="n">
        <v>45579</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35679-2022</t>
        </is>
      </c>
      <c r="B180" s="1" t="n">
        <v>44799</v>
      </c>
      <c r="C180" s="1" t="n">
        <v>45579</v>
      </c>
      <c r="D180" t="inlineStr">
        <is>
          <t>VÄSTMANLANDS LÄN</t>
        </is>
      </c>
      <c r="E180" t="inlineStr">
        <is>
          <t>SURAHAMMAR</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41576-2022</t>
        </is>
      </c>
      <c r="B181" s="1" t="n">
        <v>44826</v>
      </c>
      <c r="C181" s="1" t="n">
        <v>45579</v>
      </c>
      <c r="D181" t="inlineStr">
        <is>
          <t>VÄSTMANLANDS LÄN</t>
        </is>
      </c>
      <c r="E181" t="inlineStr">
        <is>
          <t>SURAHAMMAR</t>
        </is>
      </c>
      <c r="F181" t="inlineStr">
        <is>
          <t>Bergvik skog väst AB</t>
        </is>
      </c>
      <c r="G181" t="n">
        <v>6.4</v>
      </c>
      <c r="H181" t="n">
        <v>0</v>
      </c>
      <c r="I181" t="n">
        <v>0</v>
      </c>
      <c r="J181" t="n">
        <v>0</v>
      </c>
      <c r="K181" t="n">
        <v>0</v>
      </c>
      <c r="L181" t="n">
        <v>0</v>
      </c>
      <c r="M181" t="n">
        <v>0</v>
      </c>
      <c r="N181" t="n">
        <v>0</v>
      </c>
      <c r="O181" t="n">
        <v>0</v>
      </c>
      <c r="P181" t="n">
        <v>0</v>
      </c>
      <c r="Q181" t="n">
        <v>0</v>
      </c>
      <c r="R181" s="2" t="inlineStr"/>
    </row>
    <row r="182" ht="15" customHeight="1">
      <c r="A182" t="inlineStr">
        <is>
          <t>A 41555-2022</t>
        </is>
      </c>
      <c r="B182" s="1" t="n">
        <v>44826</v>
      </c>
      <c r="C182" s="1" t="n">
        <v>45579</v>
      </c>
      <c r="D182" t="inlineStr">
        <is>
          <t>VÄSTMANLANDS LÄN</t>
        </is>
      </c>
      <c r="E182" t="inlineStr">
        <is>
          <t>SURAHAMMAR</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42714-2022</t>
        </is>
      </c>
      <c r="B183" s="1" t="n">
        <v>44832</v>
      </c>
      <c r="C183" s="1" t="n">
        <v>45579</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42832-2022</t>
        </is>
      </c>
      <c r="B184" s="1" t="n">
        <v>44832</v>
      </c>
      <c r="C184" s="1" t="n">
        <v>45579</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42841-2022</t>
        </is>
      </c>
      <c r="B185" s="1" t="n">
        <v>44832</v>
      </c>
      <c r="C185" s="1" t="n">
        <v>45579</v>
      </c>
      <c r="D185" t="inlineStr">
        <is>
          <t>VÄSTMANLANDS LÄN</t>
        </is>
      </c>
      <c r="E185" t="inlineStr">
        <is>
          <t>SURAHAMMAR</t>
        </is>
      </c>
      <c r="G185" t="n">
        <v>1.8</v>
      </c>
      <c r="H185" t="n">
        <v>0</v>
      </c>
      <c r="I185" t="n">
        <v>0</v>
      </c>
      <c r="J185" t="n">
        <v>0</v>
      </c>
      <c r="K185" t="n">
        <v>0</v>
      </c>
      <c r="L185" t="n">
        <v>0</v>
      </c>
      <c r="M185" t="n">
        <v>0</v>
      </c>
      <c r="N185" t="n">
        <v>0</v>
      </c>
      <c r="O185" t="n">
        <v>0</v>
      </c>
      <c r="P185" t="n">
        <v>0</v>
      </c>
      <c r="Q185" t="n">
        <v>0</v>
      </c>
      <c r="R185" s="2" t="inlineStr"/>
    </row>
    <row r="186" ht="15" customHeight="1">
      <c r="A186" t="inlineStr">
        <is>
          <t>A 42829-2022</t>
        </is>
      </c>
      <c r="B186" s="1" t="n">
        <v>44832</v>
      </c>
      <c r="C186" s="1" t="n">
        <v>45579</v>
      </c>
      <c r="D186" t="inlineStr">
        <is>
          <t>VÄSTMANLANDS LÄN</t>
        </is>
      </c>
      <c r="E186" t="inlineStr">
        <is>
          <t>SURAHAMMAR</t>
        </is>
      </c>
      <c r="G186" t="n">
        <v>1.6</v>
      </c>
      <c r="H186" t="n">
        <v>0</v>
      </c>
      <c r="I186" t="n">
        <v>0</v>
      </c>
      <c r="J186" t="n">
        <v>0</v>
      </c>
      <c r="K186" t="n">
        <v>0</v>
      </c>
      <c r="L186" t="n">
        <v>0</v>
      </c>
      <c r="M186" t="n">
        <v>0</v>
      </c>
      <c r="N186" t="n">
        <v>0</v>
      </c>
      <c r="O186" t="n">
        <v>0</v>
      </c>
      <c r="P186" t="n">
        <v>0</v>
      </c>
      <c r="Q186" t="n">
        <v>0</v>
      </c>
      <c r="R186" s="2" t="inlineStr"/>
    </row>
    <row r="187" ht="15" customHeight="1">
      <c r="A187" t="inlineStr">
        <is>
          <t>A 48581-2022</t>
        </is>
      </c>
      <c r="B187" s="1" t="n">
        <v>44859</v>
      </c>
      <c r="C187" s="1" t="n">
        <v>45579</v>
      </c>
      <c r="D187" t="inlineStr">
        <is>
          <t>VÄSTMANLANDS LÄN</t>
        </is>
      </c>
      <c r="E187" t="inlineStr">
        <is>
          <t>SURAHAMMAR</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49686-2022</t>
        </is>
      </c>
      <c r="B188" s="1" t="n">
        <v>44862</v>
      </c>
      <c r="C188" s="1" t="n">
        <v>45579</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3085-2023</t>
        </is>
      </c>
      <c r="B189" s="1" t="n">
        <v>44946</v>
      </c>
      <c r="C189" s="1" t="n">
        <v>45579</v>
      </c>
      <c r="D189" t="inlineStr">
        <is>
          <t>VÄSTMANLANDS LÄN</t>
        </is>
      </c>
      <c r="E189" t="inlineStr">
        <is>
          <t>SURAHAMMAR</t>
        </is>
      </c>
      <c r="F189" t="inlineStr">
        <is>
          <t>Kyrkan</t>
        </is>
      </c>
      <c r="G189" t="n">
        <v>13</v>
      </c>
      <c r="H189" t="n">
        <v>0</v>
      </c>
      <c r="I189" t="n">
        <v>0</v>
      </c>
      <c r="J189" t="n">
        <v>0</v>
      </c>
      <c r="K189" t="n">
        <v>0</v>
      </c>
      <c r="L189" t="n">
        <v>0</v>
      </c>
      <c r="M189" t="n">
        <v>0</v>
      </c>
      <c r="N189" t="n">
        <v>0</v>
      </c>
      <c r="O189" t="n">
        <v>0</v>
      </c>
      <c r="P189" t="n">
        <v>0</v>
      </c>
      <c r="Q189" t="n">
        <v>0</v>
      </c>
      <c r="R189" s="2" t="inlineStr"/>
    </row>
    <row r="190" ht="15" customHeight="1">
      <c r="A190" t="inlineStr">
        <is>
          <t>A 8553-2023</t>
        </is>
      </c>
      <c r="B190" s="1" t="n">
        <v>44977</v>
      </c>
      <c r="C190" s="1" t="n">
        <v>45579</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10877-2023</t>
        </is>
      </c>
      <c r="B191" s="1" t="n">
        <v>44991</v>
      </c>
      <c r="C191" s="1" t="n">
        <v>45579</v>
      </c>
      <c r="D191" t="inlineStr">
        <is>
          <t>VÄSTMANLANDS LÄN</t>
        </is>
      </c>
      <c r="E191" t="inlineStr">
        <is>
          <t>SURAHAMMAR</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10883-2023</t>
        </is>
      </c>
      <c r="B192" s="1" t="n">
        <v>44991</v>
      </c>
      <c r="C192" s="1" t="n">
        <v>45579</v>
      </c>
      <c r="D192" t="inlineStr">
        <is>
          <t>VÄSTMANLANDS LÄN</t>
        </is>
      </c>
      <c r="E192" t="inlineStr">
        <is>
          <t>SURAHAMMAR</t>
        </is>
      </c>
      <c r="F192" t="inlineStr">
        <is>
          <t>Övriga Aktiebolag</t>
        </is>
      </c>
      <c r="G192" t="n">
        <v>12.5</v>
      </c>
      <c r="H192" t="n">
        <v>0</v>
      </c>
      <c r="I192" t="n">
        <v>0</v>
      </c>
      <c r="J192" t="n">
        <v>0</v>
      </c>
      <c r="K192" t="n">
        <v>0</v>
      </c>
      <c r="L192" t="n">
        <v>0</v>
      </c>
      <c r="M192" t="n">
        <v>0</v>
      </c>
      <c r="N192" t="n">
        <v>0</v>
      </c>
      <c r="O192" t="n">
        <v>0</v>
      </c>
      <c r="P192" t="n">
        <v>0</v>
      </c>
      <c r="Q192" t="n">
        <v>0</v>
      </c>
      <c r="R192" s="2" t="inlineStr"/>
    </row>
    <row r="193" ht="15" customHeight="1">
      <c r="A193" t="inlineStr">
        <is>
          <t>A 11501-2023</t>
        </is>
      </c>
      <c r="B193" s="1" t="n">
        <v>44991</v>
      </c>
      <c r="C193" s="1" t="n">
        <v>45579</v>
      </c>
      <c r="D193" t="inlineStr">
        <is>
          <t>VÄSTMANLANDS LÄN</t>
        </is>
      </c>
      <c r="E193" t="inlineStr">
        <is>
          <t>SURAHAMMAR</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11728-2023</t>
        </is>
      </c>
      <c r="B194" s="1" t="n">
        <v>44993</v>
      </c>
      <c r="C194" s="1" t="n">
        <v>45579</v>
      </c>
      <c r="D194" t="inlineStr">
        <is>
          <t>VÄSTMANLANDS LÄN</t>
        </is>
      </c>
      <c r="E194" t="inlineStr">
        <is>
          <t>SURAHAMMAR</t>
        </is>
      </c>
      <c r="F194" t="inlineStr">
        <is>
          <t>Bergvik skog väst AB</t>
        </is>
      </c>
      <c r="G194" t="n">
        <v>0.4</v>
      </c>
      <c r="H194" t="n">
        <v>0</v>
      </c>
      <c r="I194" t="n">
        <v>0</v>
      </c>
      <c r="J194" t="n">
        <v>0</v>
      </c>
      <c r="K194" t="n">
        <v>0</v>
      </c>
      <c r="L194" t="n">
        <v>0</v>
      </c>
      <c r="M194" t="n">
        <v>0</v>
      </c>
      <c r="N194" t="n">
        <v>0</v>
      </c>
      <c r="O194" t="n">
        <v>0</v>
      </c>
      <c r="P194" t="n">
        <v>0</v>
      </c>
      <c r="Q194" t="n">
        <v>0</v>
      </c>
      <c r="R194" s="2" t="inlineStr"/>
    </row>
    <row r="195" ht="15" customHeight="1">
      <c r="A195" t="inlineStr">
        <is>
          <t>A 13479-2023</t>
        </is>
      </c>
      <c r="B195" s="1" t="n">
        <v>45005</v>
      </c>
      <c r="C195" s="1" t="n">
        <v>45579</v>
      </c>
      <c r="D195" t="inlineStr">
        <is>
          <t>VÄSTMANLANDS LÄN</t>
        </is>
      </c>
      <c r="E195" t="inlineStr">
        <is>
          <t>SURAHAMMAR</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14626-2023</t>
        </is>
      </c>
      <c r="B196" s="1" t="n">
        <v>45012</v>
      </c>
      <c r="C196" s="1" t="n">
        <v>45579</v>
      </c>
      <c r="D196" t="inlineStr">
        <is>
          <t>VÄSTMANLANDS LÄN</t>
        </is>
      </c>
      <c r="E196" t="inlineStr">
        <is>
          <t>SURAHAMMAR</t>
        </is>
      </c>
      <c r="F196" t="inlineStr">
        <is>
          <t>Bergvik skog väst AB</t>
        </is>
      </c>
      <c r="G196" t="n">
        <v>5</v>
      </c>
      <c r="H196" t="n">
        <v>0</v>
      </c>
      <c r="I196" t="n">
        <v>0</v>
      </c>
      <c r="J196" t="n">
        <v>0</v>
      </c>
      <c r="K196" t="n">
        <v>0</v>
      </c>
      <c r="L196" t="n">
        <v>0</v>
      </c>
      <c r="M196" t="n">
        <v>0</v>
      </c>
      <c r="N196" t="n">
        <v>0</v>
      </c>
      <c r="O196" t="n">
        <v>0</v>
      </c>
      <c r="P196" t="n">
        <v>0</v>
      </c>
      <c r="Q196" t="n">
        <v>0</v>
      </c>
      <c r="R196" s="2" t="inlineStr"/>
    </row>
    <row r="197" ht="15" customHeight="1">
      <c r="A197" t="inlineStr">
        <is>
          <t>A 14583-2023</t>
        </is>
      </c>
      <c r="B197" s="1" t="n">
        <v>45013</v>
      </c>
      <c r="C197" s="1" t="n">
        <v>45579</v>
      </c>
      <c r="D197" t="inlineStr">
        <is>
          <t>VÄSTMANLANDS LÄN</t>
        </is>
      </c>
      <c r="E197" t="inlineStr">
        <is>
          <t>SURAHAMMAR</t>
        </is>
      </c>
      <c r="G197" t="n">
        <v>0.9</v>
      </c>
      <c r="H197" t="n">
        <v>0</v>
      </c>
      <c r="I197" t="n">
        <v>0</v>
      </c>
      <c r="J197" t="n">
        <v>0</v>
      </c>
      <c r="K197" t="n">
        <v>0</v>
      </c>
      <c r="L197" t="n">
        <v>0</v>
      </c>
      <c r="M197" t="n">
        <v>0</v>
      </c>
      <c r="N197" t="n">
        <v>0</v>
      </c>
      <c r="O197" t="n">
        <v>0</v>
      </c>
      <c r="P197" t="n">
        <v>0</v>
      </c>
      <c r="Q197" t="n">
        <v>0</v>
      </c>
      <c r="R197" s="2" t="inlineStr"/>
    </row>
    <row r="198" ht="15" customHeight="1">
      <c r="A198" t="inlineStr">
        <is>
          <t>A 15743-2023</t>
        </is>
      </c>
      <c r="B198" s="1" t="n">
        <v>45021</v>
      </c>
      <c r="C198" s="1" t="n">
        <v>45579</v>
      </c>
      <c r="D198" t="inlineStr">
        <is>
          <t>VÄSTMANLANDS LÄN</t>
        </is>
      </c>
      <c r="E198" t="inlineStr">
        <is>
          <t>SURAHAMMAR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15739-2023</t>
        </is>
      </c>
      <c r="B199" s="1" t="n">
        <v>45021</v>
      </c>
      <c r="C199" s="1" t="n">
        <v>45579</v>
      </c>
      <c r="D199" t="inlineStr">
        <is>
          <t>VÄSTMANLANDS LÄN</t>
        </is>
      </c>
      <c r="E199" t="inlineStr">
        <is>
          <t>SURAHAMMAR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16013-2023</t>
        </is>
      </c>
      <c r="B200" s="1" t="n">
        <v>45026</v>
      </c>
      <c r="C200" s="1" t="n">
        <v>45579</v>
      </c>
      <c r="D200" t="inlineStr">
        <is>
          <t>VÄSTMANLANDS LÄN</t>
        </is>
      </c>
      <c r="E200" t="inlineStr">
        <is>
          <t>SURAHAMMAR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18223-2023</t>
        </is>
      </c>
      <c r="B201" s="1" t="n">
        <v>45041</v>
      </c>
      <c r="C201" s="1" t="n">
        <v>45579</v>
      </c>
      <c r="D201" t="inlineStr">
        <is>
          <t>VÄSTMANLANDS LÄN</t>
        </is>
      </c>
      <c r="E201" t="inlineStr">
        <is>
          <t>SURAHAMMAR</t>
        </is>
      </c>
      <c r="F201" t="inlineStr">
        <is>
          <t>Övriga Aktiebolag</t>
        </is>
      </c>
      <c r="G201" t="n">
        <v>3.1</v>
      </c>
      <c r="H201" t="n">
        <v>0</v>
      </c>
      <c r="I201" t="n">
        <v>0</v>
      </c>
      <c r="J201" t="n">
        <v>0</v>
      </c>
      <c r="K201" t="n">
        <v>0</v>
      </c>
      <c r="L201" t="n">
        <v>0</v>
      </c>
      <c r="M201" t="n">
        <v>0</v>
      </c>
      <c r="N201" t="n">
        <v>0</v>
      </c>
      <c r="O201" t="n">
        <v>0</v>
      </c>
      <c r="P201" t="n">
        <v>0</v>
      </c>
      <c r="Q201" t="n">
        <v>0</v>
      </c>
      <c r="R201" s="2" t="inlineStr"/>
    </row>
    <row r="202" ht="15" customHeight="1">
      <c r="A202" t="inlineStr">
        <is>
          <t>A 19778-2023</t>
        </is>
      </c>
      <c r="B202" s="1" t="n">
        <v>45050</v>
      </c>
      <c r="C202" s="1" t="n">
        <v>45579</v>
      </c>
      <c r="D202" t="inlineStr">
        <is>
          <t>VÄSTMANLANDS LÄN</t>
        </is>
      </c>
      <c r="E202" t="inlineStr">
        <is>
          <t>SURAHAMMAR</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19779-2023</t>
        </is>
      </c>
      <c r="B203" s="1" t="n">
        <v>45050</v>
      </c>
      <c r="C203" s="1" t="n">
        <v>45579</v>
      </c>
      <c r="D203" t="inlineStr">
        <is>
          <t>VÄSTMANLANDS LÄN</t>
        </is>
      </c>
      <c r="E203" t="inlineStr">
        <is>
          <t>SURAHAMMAR</t>
        </is>
      </c>
      <c r="F203" t="inlineStr">
        <is>
          <t>Bergvik skog väst AB</t>
        </is>
      </c>
      <c r="G203" t="n">
        <v>11.1</v>
      </c>
      <c r="H203" t="n">
        <v>0</v>
      </c>
      <c r="I203" t="n">
        <v>0</v>
      </c>
      <c r="J203" t="n">
        <v>0</v>
      </c>
      <c r="K203" t="n">
        <v>0</v>
      </c>
      <c r="L203" t="n">
        <v>0</v>
      </c>
      <c r="M203" t="n">
        <v>0</v>
      </c>
      <c r="N203" t="n">
        <v>0</v>
      </c>
      <c r="O203" t="n">
        <v>0</v>
      </c>
      <c r="P203" t="n">
        <v>0</v>
      </c>
      <c r="Q203" t="n">
        <v>0</v>
      </c>
      <c r="R203" s="2" t="inlineStr"/>
    </row>
    <row r="204" ht="15" customHeight="1">
      <c r="A204" t="inlineStr">
        <is>
          <t>A 19786-2023</t>
        </is>
      </c>
      <c r="B204" s="1" t="n">
        <v>45050</v>
      </c>
      <c r="C204" s="1" t="n">
        <v>45579</v>
      </c>
      <c r="D204" t="inlineStr">
        <is>
          <t>VÄSTMANLANDS LÄN</t>
        </is>
      </c>
      <c r="E204" t="inlineStr">
        <is>
          <t>SURAHAMMAR</t>
        </is>
      </c>
      <c r="F204" t="inlineStr">
        <is>
          <t>Bergvik skog väst AB</t>
        </is>
      </c>
      <c r="G204" t="n">
        <v>8.1</v>
      </c>
      <c r="H204" t="n">
        <v>0</v>
      </c>
      <c r="I204" t="n">
        <v>0</v>
      </c>
      <c r="J204" t="n">
        <v>0</v>
      </c>
      <c r="K204" t="n">
        <v>0</v>
      </c>
      <c r="L204" t="n">
        <v>0</v>
      </c>
      <c r="M204" t="n">
        <v>0</v>
      </c>
      <c r="N204" t="n">
        <v>0</v>
      </c>
      <c r="O204" t="n">
        <v>0</v>
      </c>
      <c r="P204" t="n">
        <v>0</v>
      </c>
      <c r="Q204" t="n">
        <v>0</v>
      </c>
      <c r="R204" s="2" t="inlineStr"/>
    </row>
    <row r="205" ht="15" customHeight="1">
      <c r="A205" t="inlineStr">
        <is>
          <t>A 19782-2023</t>
        </is>
      </c>
      <c r="B205" s="1" t="n">
        <v>45050</v>
      </c>
      <c r="C205" s="1" t="n">
        <v>45579</v>
      </c>
      <c r="D205" t="inlineStr">
        <is>
          <t>VÄSTMANLANDS LÄN</t>
        </is>
      </c>
      <c r="E205" t="inlineStr">
        <is>
          <t>SURAHAMMAR</t>
        </is>
      </c>
      <c r="F205" t="inlineStr">
        <is>
          <t>Bergvik skog väst AB</t>
        </is>
      </c>
      <c r="G205" t="n">
        <v>5.2</v>
      </c>
      <c r="H205" t="n">
        <v>0</v>
      </c>
      <c r="I205" t="n">
        <v>0</v>
      </c>
      <c r="J205" t="n">
        <v>0</v>
      </c>
      <c r="K205" t="n">
        <v>0</v>
      </c>
      <c r="L205" t="n">
        <v>0</v>
      </c>
      <c r="M205" t="n">
        <v>0</v>
      </c>
      <c r="N205" t="n">
        <v>0</v>
      </c>
      <c r="O205" t="n">
        <v>0</v>
      </c>
      <c r="P205" t="n">
        <v>0</v>
      </c>
      <c r="Q205" t="n">
        <v>0</v>
      </c>
      <c r="R205" s="2" t="inlineStr"/>
    </row>
    <row r="206" ht="15" customHeight="1">
      <c r="A206" t="inlineStr">
        <is>
          <t>A 20020-2023</t>
        </is>
      </c>
      <c r="B206" s="1" t="n">
        <v>45054</v>
      </c>
      <c r="C206" s="1" t="n">
        <v>45579</v>
      </c>
      <c r="D206" t="inlineStr">
        <is>
          <t>VÄSTMANLANDS LÄN</t>
        </is>
      </c>
      <c r="E206" t="inlineStr">
        <is>
          <t>SURAHAMMAR</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20018-2023</t>
        </is>
      </c>
      <c r="B207" s="1" t="n">
        <v>45054</v>
      </c>
      <c r="C207" s="1" t="n">
        <v>45579</v>
      </c>
      <c r="D207" t="inlineStr">
        <is>
          <t>VÄSTMANLANDS LÄN</t>
        </is>
      </c>
      <c r="E207" t="inlineStr">
        <is>
          <t>SURAHAMMAR</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20019-2023</t>
        </is>
      </c>
      <c r="B208" s="1" t="n">
        <v>45054</v>
      </c>
      <c r="C208" s="1" t="n">
        <v>45579</v>
      </c>
      <c r="D208" t="inlineStr">
        <is>
          <t>VÄSTMANLANDS LÄN</t>
        </is>
      </c>
      <c r="E208" t="inlineStr">
        <is>
          <t>SURAHAMMAR</t>
        </is>
      </c>
      <c r="F208" t="inlineStr">
        <is>
          <t>Sveaskog</t>
        </is>
      </c>
      <c r="G208" t="n">
        <v>18.5</v>
      </c>
      <c r="H208" t="n">
        <v>0</v>
      </c>
      <c r="I208" t="n">
        <v>0</v>
      </c>
      <c r="J208" t="n">
        <v>0</v>
      </c>
      <c r="K208" t="n">
        <v>0</v>
      </c>
      <c r="L208" t="n">
        <v>0</v>
      </c>
      <c r="M208" t="n">
        <v>0</v>
      </c>
      <c r="N208" t="n">
        <v>0</v>
      </c>
      <c r="O208" t="n">
        <v>0</v>
      </c>
      <c r="P208" t="n">
        <v>0</v>
      </c>
      <c r="Q208" t="n">
        <v>0</v>
      </c>
      <c r="R208" s="2" t="inlineStr"/>
    </row>
    <row r="209" ht="15" customHeight="1">
      <c r="A209" t="inlineStr">
        <is>
          <t>A 20023-2023</t>
        </is>
      </c>
      <c r="B209" s="1" t="n">
        <v>45054</v>
      </c>
      <c r="C209" s="1" t="n">
        <v>45579</v>
      </c>
      <c r="D209" t="inlineStr">
        <is>
          <t>VÄSTMANLANDS LÄN</t>
        </is>
      </c>
      <c r="E209" t="inlineStr">
        <is>
          <t>SURAHAMMAR</t>
        </is>
      </c>
      <c r="F209" t="inlineStr">
        <is>
          <t>Sveaskog</t>
        </is>
      </c>
      <c r="G209" t="n">
        <v>7.8</v>
      </c>
      <c r="H209" t="n">
        <v>0</v>
      </c>
      <c r="I209" t="n">
        <v>0</v>
      </c>
      <c r="J209" t="n">
        <v>0</v>
      </c>
      <c r="K209" t="n">
        <v>0</v>
      </c>
      <c r="L209" t="n">
        <v>0</v>
      </c>
      <c r="M209" t="n">
        <v>0</v>
      </c>
      <c r="N209" t="n">
        <v>0</v>
      </c>
      <c r="O209" t="n">
        <v>0</v>
      </c>
      <c r="P209" t="n">
        <v>0</v>
      </c>
      <c r="Q209" t="n">
        <v>0</v>
      </c>
      <c r="R209" s="2" t="inlineStr"/>
    </row>
    <row r="210" ht="15" customHeight="1">
      <c r="A210" t="inlineStr">
        <is>
          <t>A 20429-2023</t>
        </is>
      </c>
      <c r="B210" s="1" t="n">
        <v>45056</v>
      </c>
      <c r="C210" s="1" t="n">
        <v>45579</v>
      </c>
      <c r="D210" t="inlineStr">
        <is>
          <t>VÄSTMANLANDS LÄN</t>
        </is>
      </c>
      <c r="E210" t="inlineStr">
        <is>
          <t>SURAHAMMAR</t>
        </is>
      </c>
      <c r="G210" t="n">
        <v>5</v>
      </c>
      <c r="H210" t="n">
        <v>0</v>
      </c>
      <c r="I210" t="n">
        <v>0</v>
      </c>
      <c r="J210" t="n">
        <v>0</v>
      </c>
      <c r="K210" t="n">
        <v>0</v>
      </c>
      <c r="L210" t="n">
        <v>0</v>
      </c>
      <c r="M210" t="n">
        <v>0</v>
      </c>
      <c r="N210" t="n">
        <v>0</v>
      </c>
      <c r="O210" t="n">
        <v>0</v>
      </c>
      <c r="P210" t="n">
        <v>0</v>
      </c>
      <c r="Q210" t="n">
        <v>0</v>
      </c>
      <c r="R210" s="2" t="inlineStr"/>
    </row>
    <row r="211" ht="15" customHeight="1">
      <c r="A211" t="inlineStr">
        <is>
          <t>A 20904-2023</t>
        </is>
      </c>
      <c r="B211" s="1" t="n">
        <v>45060</v>
      </c>
      <c r="C211" s="1" t="n">
        <v>45579</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21906-2023</t>
        </is>
      </c>
      <c r="B212" s="1" t="n">
        <v>45068</v>
      </c>
      <c r="C212" s="1" t="n">
        <v>45579</v>
      </c>
      <c r="D212" t="inlineStr">
        <is>
          <t>VÄSTMANLANDS LÄN</t>
        </is>
      </c>
      <c r="E212" t="inlineStr">
        <is>
          <t>SURAHAMMAR</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21905-2023</t>
        </is>
      </c>
      <c r="B213" s="1" t="n">
        <v>45068</v>
      </c>
      <c r="C213" s="1" t="n">
        <v>45579</v>
      </c>
      <c r="D213" t="inlineStr">
        <is>
          <t>VÄSTMANLANDS LÄN</t>
        </is>
      </c>
      <c r="E213" t="inlineStr">
        <is>
          <t>SURAHAMMAR</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21904-2023</t>
        </is>
      </c>
      <c r="B214" s="1" t="n">
        <v>45068</v>
      </c>
      <c r="C214" s="1" t="n">
        <v>45579</v>
      </c>
      <c r="D214" t="inlineStr">
        <is>
          <t>VÄSTMANLANDS LÄN</t>
        </is>
      </c>
      <c r="E214" t="inlineStr">
        <is>
          <t>SURAHAMMAR</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22915-2023</t>
        </is>
      </c>
      <c r="B215" s="1" t="n">
        <v>45070</v>
      </c>
      <c r="C215" s="1" t="n">
        <v>45579</v>
      </c>
      <c r="D215" t="inlineStr">
        <is>
          <t>VÄSTMANLANDS LÄN</t>
        </is>
      </c>
      <c r="E215" t="inlineStr">
        <is>
          <t>SURAHAMMAR</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22660-2023</t>
        </is>
      </c>
      <c r="B216" s="1" t="n">
        <v>45071</v>
      </c>
      <c r="C216" s="1" t="n">
        <v>45579</v>
      </c>
      <c r="D216" t="inlineStr">
        <is>
          <t>VÄSTMANLANDS LÄN</t>
        </is>
      </c>
      <c r="E216" t="inlineStr">
        <is>
          <t>SURAHAMMAR</t>
        </is>
      </c>
      <c r="F216" t="inlineStr">
        <is>
          <t>Sveaskog</t>
        </is>
      </c>
      <c r="G216" t="n">
        <v>15.3</v>
      </c>
      <c r="H216" t="n">
        <v>0</v>
      </c>
      <c r="I216" t="n">
        <v>0</v>
      </c>
      <c r="J216" t="n">
        <v>0</v>
      </c>
      <c r="K216" t="n">
        <v>0</v>
      </c>
      <c r="L216" t="n">
        <v>0</v>
      </c>
      <c r="M216" t="n">
        <v>0</v>
      </c>
      <c r="N216" t="n">
        <v>0</v>
      </c>
      <c r="O216" t="n">
        <v>0</v>
      </c>
      <c r="P216" t="n">
        <v>0</v>
      </c>
      <c r="Q216" t="n">
        <v>0</v>
      </c>
      <c r="R216" s="2" t="inlineStr"/>
    </row>
    <row r="217" ht="15" customHeight="1">
      <c r="A217" t="inlineStr">
        <is>
          <t>A 22662-2023</t>
        </is>
      </c>
      <c r="B217" s="1" t="n">
        <v>45071</v>
      </c>
      <c r="C217" s="1" t="n">
        <v>45579</v>
      </c>
      <c r="D217" t="inlineStr">
        <is>
          <t>VÄSTMANLANDS LÄN</t>
        </is>
      </c>
      <c r="E217" t="inlineStr">
        <is>
          <t>SURAHAMMAR</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22661-2023</t>
        </is>
      </c>
      <c r="B218" s="1" t="n">
        <v>45071</v>
      </c>
      <c r="C218" s="1" t="n">
        <v>45579</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22659-2023</t>
        </is>
      </c>
      <c r="B219" s="1" t="n">
        <v>45071</v>
      </c>
      <c r="C219" s="1" t="n">
        <v>45579</v>
      </c>
      <c r="D219" t="inlineStr">
        <is>
          <t>VÄSTMANLANDS LÄN</t>
        </is>
      </c>
      <c r="E219" t="inlineStr">
        <is>
          <t>SURAHAMMAR</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23731-2023</t>
        </is>
      </c>
      <c r="B220" s="1" t="n">
        <v>45077</v>
      </c>
      <c r="C220" s="1" t="n">
        <v>45579</v>
      </c>
      <c r="D220" t="inlineStr">
        <is>
          <t>VÄSTMANLANDS LÄN</t>
        </is>
      </c>
      <c r="E220" t="inlineStr">
        <is>
          <t>SURAHAMMAR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24156-2023</t>
        </is>
      </c>
      <c r="B221" s="1" t="n">
        <v>45079</v>
      </c>
      <c r="C221" s="1" t="n">
        <v>45579</v>
      </c>
      <c r="D221" t="inlineStr">
        <is>
          <t>VÄSTMANLANDS LÄN</t>
        </is>
      </c>
      <c r="E221" t="inlineStr">
        <is>
          <t>SURAHAMMAR</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24158-2023</t>
        </is>
      </c>
      <c r="B222" s="1" t="n">
        <v>45079</v>
      </c>
      <c r="C222" s="1" t="n">
        <v>45579</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24197-2023</t>
        </is>
      </c>
      <c r="B223" s="1" t="n">
        <v>45079</v>
      </c>
      <c r="C223" s="1" t="n">
        <v>45579</v>
      </c>
      <c r="D223" t="inlineStr">
        <is>
          <t>VÄSTMANLANDS LÄN</t>
        </is>
      </c>
      <c r="E223" t="inlineStr">
        <is>
          <t>SURAHAMMAR</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24180-2023</t>
        </is>
      </c>
      <c r="B224" s="1" t="n">
        <v>45079</v>
      </c>
      <c r="C224" s="1" t="n">
        <v>45579</v>
      </c>
      <c r="D224" t="inlineStr">
        <is>
          <t>VÄSTMANLANDS LÄN</t>
        </is>
      </c>
      <c r="E224" t="inlineStr">
        <is>
          <t>SURAHAMMAR</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24665-2023</t>
        </is>
      </c>
      <c r="B225" s="1" t="n">
        <v>45084</v>
      </c>
      <c r="C225" s="1" t="n">
        <v>45579</v>
      </c>
      <c r="D225" t="inlineStr">
        <is>
          <t>VÄSTMANLANDS LÄN</t>
        </is>
      </c>
      <c r="E225" t="inlineStr">
        <is>
          <t>SURAHAMMAR</t>
        </is>
      </c>
      <c r="G225" t="n">
        <v>0.9</v>
      </c>
      <c r="H225" t="n">
        <v>0</v>
      </c>
      <c r="I225" t="n">
        <v>0</v>
      </c>
      <c r="J225" t="n">
        <v>0</v>
      </c>
      <c r="K225" t="n">
        <v>0</v>
      </c>
      <c r="L225" t="n">
        <v>0</v>
      </c>
      <c r="M225" t="n">
        <v>0</v>
      </c>
      <c r="N225" t="n">
        <v>0</v>
      </c>
      <c r="O225" t="n">
        <v>0</v>
      </c>
      <c r="P225" t="n">
        <v>0</v>
      </c>
      <c r="Q225" t="n">
        <v>0</v>
      </c>
      <c r="R225" s="2" t="inlineStr"/>
    </row>
    <row r="226" ht="15" customHeight="1">
      <c r="A226" t="inlineStr">
        <is>
          <t>A 25775-2023</t>
        </is>
      </c>
      <c r="B226" s="1" t="n">
        <v>45090</v>
      </c>
      <c r="C226" s="1" t="n">
        <v>45579</v>
      </c>
      <c r="D226" t="inlineStr">
        <is>
          <t>VÄSTMANLANDS LÄN</t>
        </is>
      </c>
      <c r="E226" t="inlineStr">
        <is>
          <t>SURAHAMMAR</t>
        </is>
      </c>
      <c r="G226" t="n">
        <v>1.6</v>
      </c>
      <c r="H226" t="n">
        <v>0</v>
      </c>
      <c r="I226" t="n">
        <v>0</v>
      </c>
      <c r="J226" t="n">
        <v>0</v>
      </c>
      <c r="K226" t="n">
        <v>0</v>
      </c>
      <c r="L226" t="n">
        <v>0</v>
      </c>
      <c r="M226" t="n">
        <v>0</v>
      </c>
      <c r="N226" t="n">
        <v>0</v>
      </c>
      <c r="O226" t="n">
        <v>0</v>
      </c>
      <c r="P226" t="n">
        <v>0</v>
      </c>
      <c r="Q226" t="n">
        <v>0</v>
      </c>
      <c r="R226" s="2" t="inlineStr"/>
    </row>
    <row r="227" ht="15" customHeight="1">
      <c r="A227" t="inlineStr">
        <is>
          <t>A 25780-2023</t>
        </is>
      </c>
      <c r="B227" s="1" t="n">
        <v>45090</v>
      </c>
      <c r="C227" s="1" t="n">
        <v>45579</v>
      </c>
      <c r="D227" t="inlineStr">
        <is>
          <t>VÄSTMANLANDS LÄN</t>
        </is>
      </c>
      <c r="E227" t="inlineStr">
        <is>
          <t>SURAHAMMAR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27140-2023</t>
        </is>
      </c>
      <c r="B228" s="1" t="n">
        <v>45096</v>
      </c>
      <c r="C228" s="1" t="n">
        <v>45579</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27156-2023</t>
        </is>
      </c>
      <c r="B229" s="1" t="n">
        <v>45096</v>
      </c>
      <c r="C229" s="1" t="n">
        <v>45579</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27142-2023</t>
        </is>
      </c>
      <c r="B230" s="1" t="n">
        <v>45096</v>
      </c>
      <c r="C230" s="1" t="n">
        <v>45579</v>
      </c>
      <c r="D230" t="inlineStr">
        <is>
          <t>VÄSTMANLANDS LÄN</t>
        </is>
      </c>
      <c r="E230" t="inlineStr">
        <is>
          <t>SURAHAMMAR</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27171-2023</t>
        </is>
      </c>
      <c r="B231" s="1" t="n">
        <v>45096</v>
      </c>
      <c r="C231" s="1" t="n">
        <v>45579</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28051-2023</t>
        </is>
      </c>
      <c r="B232" s="1" t="n">
        <v>45099</v>
      </c>
      <c r="C232" s="1" t="n">
        <v>45579</v>
      </c>
      <c r="D232" t="inlineStr">
        <is>
          <t>VÄSTMANLANDS LÄN</t>
        </is>
      </c>
      <c r="E232" t="inlineStr">
        <is>
          <t>SURAHAMMAR</t>
        </is>
      </c>
      <c r="F232" t="inlineStr">
        <is>
          <t>Allmännings- och besparingsskogar</t>
        </is>
      </c>
      <c r="G232" t="n">
        <v>23.3</v>
      </c>
      <c r="H232" t="n">
        <v>0</v>
      </c>
      <c r="I232" t="n">
        <v>0</v>
      </c>
      <c r="J232" t="n">
        <v>0</v>
      </c>
      <c r="K232" t="n">
        <v>0</v>
      </c>
      <c r="L232" t="n">
        <v>0</v>
      </c>
      <c r="M232" t="n">
        <v>0</v>
      </c>
      <c r="N232" t="n">
        <v>0</v>
      </c>
      <c r="O232" t="n">
        <v>0</v>
      </c>
      <c r="P232" t="n">
        <v>0</v>
      </c>
      <c r="Q232" t="n">
        <v>0</v>
      </c>
      <c r="R232" s="2" t="inlineStr"/>
    </row>
    <row r="233" ht="15" customHeight="1">
      <c r="A233" t="inlineStr">
        <is>
          <t>A 30076-2023</t>
        </is>
      </c>
      <c r="B233" s="1" t="n">
        <v>45110</v>
      </c>
      <c r="C233" s="1" t="n">
        <v>45579</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37138-2023</t>
        </is>
      </c>
      <c r="B234" s="1" t="n">
        <v>45155</v>
      </c>
      <c r="C234" s="1" t="n">
        <v>45579</v>
      </c>
      <c r="D234" t="inlineStr">
        <is>
          <t>VÄSTMANLANDS LÄN</t>
        </is>
      </c>
      <c r="E234" t="inlineStr">
        <is>
          <t>SURAHAMMAR</t>
        </is>
      </c>
      <c r="G234" t="n">
        <v>1.4</v>
      </c>
      <c r="H234" t="n">
        <v>0</v>
      </c>
      <c r="I234" t="n">
        <v>0</v>
      </c>
      <c r="J234" t="n">
        <v>0</v>
      </c>
      <c r="K234" t="n">
        <v>0</v>
      </c>
      <c r="L234" t="n">
        <v>0</v>
      </c>
      <c r="M234" t="n">
        <v>0</v>
      </c>
      <c r="N234" t="n">
        <v>0</v>
      </c>
      <c r="O234" t="n">
        <v>0</v>
      </c>
      <c r="P234" t="n">
        <v>0</v>
      </c>
      <c r="Q234" t="n">
        <v>0</v>
      </c>
      <c r="R234" s="2" t="inlineStr"/>
    </row>
    <row r="235" ht="15" customHeight="1">
      <c r="A235" t="inlineStr">
        <is>
          <t>A 37287-2023</t>
        </is>
      </c>
      <c r="B235" s="1" t="n">
        <v>45156</v>
      </c>
      <c r="C235" s="1" t="n">
        <v>45579</v>
      </c>
      <c r="D235" t="inlineStr">
        <is>
          <t>VÄSTMANLANDS LÄN</t>
        </is>
      </c>
      <c r="E235" t="inlineStr">
        <is>
          <t>SURAHAMMAR</t>
        </is>
      </c>
      <c r="G235" t="n">
        <v>0.6</v>
      </c>
      <c r="H235" t="n">
        <v>0</v>
      </c>
      <c r="I235" t="n">
        <v>0</v>
      </c>
      <c r="J235" t="n">
        <v>0</v>
      </c>
      <c r="K235" t="n">
        <v>0</v>
      </c>
      <c r="L235" t="n">
        <v>0</v>
      </c>
      <c r="M235" t="n">
        <v>0</v>
      </c>
      <c r="N235" t="n">
        <v>0</v>
      </c>
      <c r="O235" t="n">
        <v>0</v>
      </c>
      <c r="P235" t="n">
        <v>0</v>
      </c>
      <c r="Q235" t="n">
        <v>0</v>
      </c>
      <c r="R235" s="2" t="inlineStr"/>
    </row>
    <row r="236" ht="15" customHeight="1">
      <c r="A236" t="inlineStr">
        <is>
          <t>A 37635-2023</t>
        </is>
      </c>
      <c r="B236" s="1" t="n">
        <v>45159</v>
      </c>
      <c r="C236" s="1" t="n">
        <v>45579</v>
      </c>
      <c r="D236" t="inlineStr">
        <is>
          <t>VÄSTMANLANDS LÄN</t>
        </is>
      </c>
      <c r="E236" t="inlineStr">
        <is>
          <t>SURAHAMMAR</t>
        </is>
      </c>
      <c r="G236" t="n">
        <v>1</v>
      </c>
      <c r="H236" t="n">
        <v>0</v>
      </c>
      <c r="I236" t="n">
        <v>0</v>
      </c>
      <c r="J236" t="n">
        <v>0</v>
      </c>
      <c r="K236" t="n">
        <v>0</v>
      </c>
      <c r="L236" t="n">
        <v>0</v>
      </c>
      <c r="M236" t="n">
        <v>0</v>
      </c>
      <c r="N236" t="n">
        <v>0</v>
      </c>
      <c r="O236" t="n">
        <v>0</v>
      </c>
      <c r="P236" t="n">
        <v>0</v>
      </c>
      <c r="Q236" t="n">
        <v>0</v>
      </c>
      <c r="R236" s="2" t="inlineStr"/>
    </row>
    <row r="237" ht="15" customHeight="1">
      <c r="A237" t="inlineStr">
        <is>
          <t>A 37639-2023</t>
        </is>
      </c>
      <c r="B237" s="1" t="n">
        <v>45159</v>
      </c>
      <c r="C237" s="1" t="n">
        <v>45579</v>
      </c>
      <c r="D237" t="inlineStr">
        <is>
          <t>VÄSTMANLANDS LÄN</t>
        </is>
      </c>
      <c r="E237" t="inlineStr">
        <is>
          <t>SURAHAMMAR</t>
        </is>
      </c>
      <c r="G237" t="n">
        <v>4.9</v>
      </c>
      <c r="H237" t="n">
        <v>0</v>
      </c>
      <c r="I237" t="n">
        <v>0</v>
      </c>
      <c r="J237" t="n">
        <v>0</v>
      </c>
      <c r="K237" t="n">
        <v>0</v>
      </c>
      <c r="L237" t="n">
        <v>0</v>
      </c>
      <c r="M237" t="n">
        <v>0</v>
      </c>
      <c r="N237" t="n">
        <v>0</v>
      </c>
      <c r="O237" t="n">
        <v>0</v>
      </c>
      <c r="P237" t="n">
        <v>0</v>
      </c>
      <c r="Q237" t="n">
        <v>0</v>
      </c>
      <c r="R237" s="2" t="inlineStr"/>
    </row>
    <row r="238" ht="15" customHeight="1">
      <c r="A238" t="inlineStr">
        <is>
          <t>A 40956-2023</t>
        </is>
      </c>
      <c r="B238" s="1" t="n">
        <v>45169</v>
      </c>
      <c r="C238" s="1" t="n">
        <v>45579</v>
      </c>
      <c r="D238" t="inlineStr">
        <is>
          <t>VÄSTMANLANDS LÄN</t>
        </is>
      </c>
      <c r="E238" t="inlineStr">
        <is>
          <t>SURAHAMMAR</t>
        </is>
      </c>
      <c r="F238" t="inlineStr">
        <is>
          <t>Bergvik skog väst AB</t>
        </is>
      </c>
      <c r="G238" t="n">
        <v>7.6</v>
      </c>
      <c r="H238" t="n">
        <v>0</v>
      </c>
      <c r="I238" t="n">
        <v>0</v>
      </c>
      <c r="J238" t="n">
        <v>0</v>
      </c>
      <c r="K238" t="n">
        <v>0</v>
      </c>
      <c r="L238" t="n">
        <v>0</v>
      </c>
      <c r="M238" t="n">
        <v>0</v>
      </c>
      <c r="N238" t="n">
        <v>0</v>
      </c>
      <c r="O238" t="n">
        <v>0</v>
      </c>
      <c r="P238" t="n">
        <v>0</v>
      </c>
      <c r="Q238" t="n">
        <v>0</v>
      </c>
      <c r="R238" s="2" t="inlineStr"/>
    </row>
    <row r="239" ht="15" customHeight="1">
      <c r="A239" t="inlineStr">
        <is>
          <t>A 40445-2023</t>
        </is>
      </c>
      <c r="B239" s="1" t="n">
        <v>45170</v>
      </c>
      <c r="C239" s="1" t="n">
        <v>45579</v>
      </c>
      <c r="D239" t="inlineStr">
        <is>
          <t>VÄSTMANLANDS LÄN</t>
        </is>
      </c>
      <c r="E239" t="inlineStr">
        <is>
          <t>SURAHAMMAR</t>
        </is>
      </c>
      <c r="G239" t="n">
        <v>15.6</v>
      </c>
      <c r="H239" t="n">
        <v>0</v>
      </c>
      <c r="I239" t="n">
        <v>0</v>
      </c>
      <c r="J239" t="n">
        <v>0</v>
      </c>
      <c r="K239" t="n">
        <v>0</v>
      </c>
      <c r="L239" t="n">
        <v>0</v>
      </c>
      <c r="M239" t="n">
        <v>0</v>
      </c>
      <c r="N239" t="n">
        <v>0</v>
      </c>
      <c r="O239" t="n">
        <v>0</v>
      </c>
      <c r="P239" t="n">
        <v>0</v>
      </c>
      <c r="Q239" t="n">
        <v>0</v>
      </c>
      <c r="R239" s="2" t="inlineStr"/>
    </row>
    <row r="240" ht="15" customHeight="1">
      <c r="A240" t="inlineStr">
        <is>
          <t>A 48906-2023</t>
        </is>
      </c>
      <c r="B240" s="1" t="n">
        <v>45203</v>
      </c>
      <c r="C240" s="1" t="n">
        <v>45579</v>
      </c>
      <c r="D240" t="inlineStr">
        <is>
          <t>VÄSTMANLANDS LÄN</t>
        </is>
      </c>
      <c r="E240" t="inlineStr">
        <is>
          <t>SURAHAMMAR</t>
        </is>
      </c>
      <c r="F240" t="inlineStr">
        <is>
          <t>Bergvik skog väst AB</t>
        </is>
      </c>
      <c r="G240" t="n">
        <v>2.5</v>
      </c>
      <c r="H240" t="n">
        <v>0</v>
      </c>
      <c r="I240" t="n">
        <v>0</v>
      </c>
      <c r="J240" t="n">
        <v>0</v>
      </c>
      <c r="K240" t="n">
        <v>0</v>
      </c>
      <c r="L240" t="n">
        <v>0</v>
      </c>
      <c r="M240" t="n">
        <v>0</v>
      </c>
      <c r="N240" t="n">
        <v>0</v>
      </c>
      <c r="O240" t="n">
        <v>0</v>
      </c>
      <c r="P240" t="n">
        <v>0</v>
      </c>
      <c r="Q240" t="n">
        <v>0</v>
      </c>
      <c r="R240" s="2" t="inlineStr"/>
      <c r="U240">
        <f>HYPERLINK("https://klasma.github.io/Logging_1907/knärot/A 48906-2023 karta knärot.png", "A 48906-2023")</f>
        <v/>
      </c>
      <c r="V240">
        <f>HYPERLINK("https://klasma.github.io/Logging_1907/klagomål/A 48906-2023 FSC-klagomål.docx", "A 48906-2023")</f>
        <v/>
      </c>
      <c r="W240">
        <f>HYPERLINK("https://klasma.github.io/Logging_1907/klagomålsmail/A 48906-2023 FSC-klagomål mail.docx", "A 48906-2023")</f>
        <v/>
      </c>
      <c r="X240">
        <f>HYPERLINK("https://klasma.github.io/Logging_1907/tillsyn/A 48906-2023 tillsynsbegäran.docx", "A 48906-2023")</f>
        <v/>
      </c>
      <c r="Y240">
        <f>HYPERLINK("https://klasma.github.io/Logging_1907/tillsynsmail/A 48906-2023 tillsynsbegäran mail.docx", "A 48906-2023")</f>
        <v/>
      </c>
    </row>
    <row r="241" ht="15" customHeight="1">
      <c r="A241" t="inlineStr">
        <is>
          <t>A 48205-2023</t>
        </is>
      </c>
      <c r="B241" s="1" t="n">
        <v>45205</v>
      </c>
      <c r="C241" s="1" t="n">
        <v>45579</v>
      </c>
      <c r="D241" t="inlineStr">
        <is>
          <t>VÄSTMANLANDS LÄN</t>
        </is>
      </c>
      <c r="E241" t="inlineStr">
        <is>
          <t>SURAHAMMAR</t>
        </is>
      </c>
      <c r="F241" t="inlineStr">
        <is>
          <t>Allmännings- och besparingsskogar</t>
        </is>
      </c>
      <c r="G241" t="n">
        <v>7.6</v>
      </c>
      <c r="H241" t="n">
        <v>0</v>
      </c>
      <c r="I241" t="n">
        <v>0</v>
      </c>
      <c r="J241" t="n">
        <v>0</v>
      </c>
      <c r="K241" t="n">
        <v>0</v>
      </c>
      <c r="L241" t="n">
        <v>0</v>
      </c>
      <c r="M241" t="n">
        <v>0</v>
      </c>
      <c r="N241" t="n">
        <v>0</v>
      </c>
      <c r="O241" t="n">
        <v>0</v>
      </c>
      <c r="P241" t="n">
        <v>0</v>
      </c>
      <c r="Q241" t="n">
        <v>0</v>
      </c>
      <c r="R241" s="2" t="inlineStr"/>
    </row>
    <row r="242" ht="15" customHeight="1">
      <c r="A242" t="inlineStr">
        <is>
          <t>A 56378-2023</t>
        </is>
      </c>
      <c r="B242" s="1" t="n">
        <v>45236</v>
      </c>
      <c r="C242" s="1" t="n">
        <v>45579</v>
      </c>
      <c r="D242" t="inlineStr">
        <is>
          <t>VÄSTMANLANDS LÄN</t>
        </is>
      </c>
      <c r="E242" t="inlineStr">
        <is>
          <t>SURAHAMMAR</t>
        </is>
      </c>
      <c r="F242" t="inlineStr">
        <is>
          <t>Bergvik skog väst AB</t>
        </is>
      </c>
      <c r="G242" t="n">
        <v>3.6</v>
      </c>
      <c r="H242" t="n">
        <v>0</v>
      </c>
      <c r="I242" t="n">
        <v>0</v>
      </c>
      <c r="J242" t="n">
        <v>0</v>
      </c>
      <c r="K242" t="n">
        <v>0</v>
      </c>
      <c r="L242" t="n">
        <v>0</v>
      </c>
      <c r="M242" t="n">
        <v>0</v>
      </c>
      <c r="N242" t="n">
        <v>0</v>
      </c>
      <c r="O242" t="n">
        <v>0</v>
      </c>
      <c r="P242" t="n">
        <v>0</v>
      </c>
      <c r="Q242" t="n">
        <v>0</v>
      </c>
      <c r="R242" s="2" t="inlineStr"/>
    </row>
    <row r="243" ht="15" customHeight="1">
      <c r="A243" t="inlineStr">
        <is>
          <t>A 56183-2023</t>
        </is>
      </c>
      <c r="B243" s="1" t="n">
        <v>45240</v>
      </c>
      <c r="C243" s="1" t="n">
        <v>45579</v>
      </c>
      <c r="D243" t="inlineStr">
        <is>
          <t>VÄSTMANLANDS LÄN</t>
        </is>
      </c>
      <c r="E243" t="inlineStr">
        <is>
          <t>SURAHAMMAR</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58338-2023</t>
        </is>
      </c>
      <c r="B244" s="1" t="n">
        <v>45250</v>
      </c>
      <c r="C244" s="1" t="n">
        <v>45579</v>
      </c>
      <c r="D244" t="inlineStr">
        <is>
          <t>VÄSTMANLANDS LÄN</t>
        </is>
      </c>
      <c r="E244" t="inlineStr">
        <is>
          <t>SURAHAMMAR</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58356-2023</t>
        </is>
      </c>
      <c r="B245" s="1" t="n">
        <v>45250</v>
      </c>
      <c r="C245" s="1" t="n">
        <v>45579</v>
      </c>
      <c r="D245" t="inlineStr">
        <is>
          <t>VÄSTMANLANDS LÄN</t>
        </is>
      </c>
      <c r="E245" t="inlineStr">
        <is>
          <t>SURAHAMMAR</t>
        </is>
      </c>
      <c r="F245" t="inlineStr">
        <is>
          <t>Allmännings- och besparingsskogar</t>
        </is>
      </c>
      <c r="G245" t="n">
        <v>2.2</v>
      </c>
      <c r="H245" t="n">
        <v>0</v>
      </c>
      <c r="I245" t="n">
        <v>0</v>
      </c>
      <c r="J245" t="n">
        <v>0</v>
      </c>
      <c r="K245" t="n">
        <v>0</v>
      </c>
      <c r="L245" t="n">
        <v>0</v>
      </c>
      <c r="M245" t="n">
        <v>0</v>
      </c>
      <c r="N245" t="n">
        <v>0</v>
      </c>
      <c r="O245" t="n">
        <v>0</v>
      </c>
      <c r="P245" t="n">
        <v>0</v>
      </c>
      <c r="Q245" t="n">
        <v>0</v>
      </c>
      <c r="R245" s="2" t="inlineStr"/>
    </row>
    <row r="246" ht="15" customHeight="1">
      <c r="A246" t="inlineStr">
        <is>
          <t>A 59317-2023</t>
        </is>
      </c>
      <c r="B246" s="1" t="n">
        <v>45253</v>
      </c>
      <c r="C246" s="1" t="n">
        <v>45579</v>
      </c>
      <c r="D246" t="inlineStr">
        <is>
          <t>VÄSTMANLANDS LÄN</t>
        </is>
      </c>
      <c r="E246" t="inlineStr">
        <is>
          <t>SURAHAMMAR</t>
        </is>
      </c>
      <c r="G246" t="n">
        <v>7.1</v>
      </c>
      <c r="H246" t="n">
        <v>0</v>
      </c>
      <c r="I246" t="n">
        <v>0</v>
      </c>
      <c r="J246" t="n">
        <v>0</v>
      </c>
      <c r="K246" t="n">
        <v>0</v>
      </c>
      <c r="L246" t="n">
        <v>0</v>
      </c>
      <c r="M246" t="n">
        <v>0</v>
      </c>
      <c r="N246" t="n">
        <v>0</v>
      </c>
      <c r="O246" t="n">
        <v>0</v>
      </c>
      <c r="P246" t="n">
        <v>0</v>
      </c>
      <c r="Q246" t="n">
        <v>0</v>
      </c>
      <c r="R246" s="2" t="inlineStr"/>
    </row>
    <row r="247" ht="15" customHeight="1">
      <c r="A247" t="inlineStr">
        <is>
          <t>A 64343-2023</t>
        </is>
      </c>
      <c r="B247" s="1" t="n">
        <v>45280</v>
      </c>
      <c r="C247" s="1" t="n">
        <v>45579</v>
      </c>
      <c r="D247" t="inlineStr">
        <is>
          <t>VÄSTMANLANDS LÄN</t>
        </is>
      </c>
      <c r="E247" t="inlineStr">
        <is>
          <t>SURAHAMMAR</t>
        </is>
      </c>
      <c r="G247" t="n">
        <v>2.9</v>
      </c>
      <c r="H247" t="n">
        <v>0</v>
      </c>
      <c r="I247" t="n">
        <v>0</v>
      </c>
      <c r="J247" t="n">
        <v>0</v>
      </c>
      <c r="K247" t="n">
        <v>0</v>
      </c>
      <c r="L247" t="n">
        <v>0</v>
      </c>
      <c r="M247" t="n">
        <v>0</v>
      </c>
      <c r="N247" t="n">
        <v>0</v>
      </c>
      <c r="O247" t="n">
        <v>0</v>
      </c>
      <c r="P247" t="n">
        <v>0</v>
      </c>
      <c r="Q247" t="n">
        <v>0</v>
      </c>
      <c r="R247" s="2" t="inlineStr"/>
    </row>
    <row r="248" ht="15" customHeight="1">
      <c r="A248" t="inlineStr">
        <is>
          <t>A 1316-2024</t>
        </is>
      </c>
      <c r="B248" s="1" t="n">
        <v>45303</v>
      </c>
      <c r="C248" s="1" t="n">
        <v>45579</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2680-2024</t>
        </is>
      </c>
      <c r="B249" s="1" t="n">
        <v>45310</v>
      </c>
      <c r="C249" s="1" t="n">
        <v>45579</v>
      </c>
      <c r="D249" t="inlineStr">
        <is>
          <t>VÄSTMANLANDS LÄN</t>
        </is>
      </c>
      <c r="E249" t="inlineStr">
        <is>
          <t>SURAHAMMAR</t>
        </is>
      </c>
      <c r="G249" t="n">
        <v>1.8</v>
      </c>
      <c r="H249" t="n">
        <v>0</v>
      </c>
      <c r="I249" t="n">
        <v>0</v>
      </c>
      <c r="J249" t="n">
        <v>0</v>
      </c>
      <c r="K249" t="n">
        <v>0</v>
      </c>
      <c r="L249" t="n">
        <v>0</v>
      </c>
      <c r="M249" t="n">
        <v>0</v>
      </c>
      <c r="N249" t="n">
        <v>0</v>
      </c>
      <c r="O249" t="n">
        <v>0</v>
      </c>
      <c r="P249" t="n">
        <v>0</v>
      </c>
      <c r="Q249" t="n">
        <v>0</v>
      </c>
      <c r="R249" s="2" t="inlineStr"/>
    </row>
    <row r="250" ht="15" customHeight="1">
      <c r="A250" t="inlineStr">
        <is>
          <t>A 2660-2024</t>
        </is>
      </c>
      <c r="B250" s="1" t="n">
        <v>45310</v>
      </c>
      <c r="C250" s="1" t="n">
        <v>45579</v>
      </c>
      <c r="D250" t="inlineStr">
        <is>
          <t>VÄSTMANLANDS LÄN</t>
        </is>
      </c>
      <c r="E250" t="inlineStr">
        <is>
          <t>SURAHAMMAR</t>
        </is>
      </c>
      <c r="G250" t="n">
        <v>2.1</v>
      </c>
      <c r="H250" t="n">
        <v>0</v>
      </c>
      <c r="I250" t="n">
        <v>0</v>
      </c>
      <c r="J250" t="n">
        <v>0</v>
      </c>
      <c r="K250" t="n">
        <v>0</v>
      </c>
      <c r="L250" t="n">
        <v>0</v>
      </c>
      <c r="M250" t="n">
        <v>0</v>
      </c>
      <c r="N250" t="n">
        <v>0</v>
      </c>
      <c r="O250" t="n">
        <v>0</v>
      </c>
      <c r="P250" t="n">
        <v>0</v>
      </c>
      <c r="Q250" t="n">
        <v>0</v>
      </c>
      <c r="R250" s="2" t="inlineStr"/>
    </row>
    <row r="251" ht="15" customHeight="1">
      <c r="A251" t="inlineStr">
        <is>
          <t>A 2866-2024</t>
        </is>
      </c>
      <c r="B251" s="1" t="n">
        <v>45315</v>
      </c>
      <c r="C251" s="1" t="n">
        <v>45579</v>
      </c>
      <c r="D251" t="inlineStr">
        <is>
          <t>VÄSTMANLANDS LÄN</t>
        </is>
      </c>
      <c r="E251" t="inlineStr">
        <is>
          <t>SURAHAMMAR</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2867-2024</t>
        </is>
      </c>
      <c r="B252" s="1" t="n">
        <v>45315</v>
      </c>
      <c r="C252" s="1" t="n">
        <v>45579</v>
      </c>
      <c r="D252" t="inlineStr">
        <is>
          <t>VÄSTMANLANDS LÄN</t>
        </is>
      </c>
      <c r="E252" t="inlineStr">
        <is>
          <t>SURAHAMMAR</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4759-2024</t>
        </is>
      </c>
      <c r="B253" s="1" t="n">
        <v>45328</v>
      </c>
      <c r="C253" s="1" t="n">
        <v>45579</v>
      </c>
      <c r="D253" t="inlineStr">
        <is>
          <t>VÄSTMANLANDS LÄN</t>
        </is>
      </c>
      <c r="E253" t="inlineStr">
        <is>
          <t>SURAHAMMAR</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5168-2024</t>
        </is>
      </c>
      <c r="B254" s="1" t="n">
        <v>45330</v>
      </c>
      <c r="C254" s="1" t="n">
        <v>45579</v>
      </c>
      <c r="D254" t="inlineStr">
        <is>
          <t>VÄSTMANLANDS LÄN</t>
        </is>
      </c>
      <c r="E254" t="inlineStr">
        <is>
          <t>SURAHAMMAR</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7787-2024</t>
        </is>
      </c>
      <c r="B255" s="1" t="n">
        <v>45348</v>
      </c>
      <c r="C255" s="1" t="n">
        <v>45579</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7782-2024</t>
        </is>
      </c>
      <c r="B256" s="1" t="n">
        <v>45349</v>
      </c>
      <c r="C256" s="1" t="n">
        <v>45579</v>
      </c>
      <c r="D256" t="inlineStr">
        <is>
          <t>VÄSTMANLANDS LÄN</t>
        </is>
      </c>
      <c r="E256" t="inlineStr">
        <is>
          <t>SURAHAMMAR</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8066-2024</t>
        </is>
      </c>
      <c r="B257" s="1" t="n">
        <v>45351</v>
      </c>
      <c r="C257" s="1" t="n">
        <v>45579</v>
      </c>
      <c r="D257" t="inlineStr">
        <is>
          <t>VÄSTMANLANDS LÄN</t>
        </is>
      </c>
      <c r="E257" t="inlineStr">
        <is>
          <t>SURAHAMMAR</t>
        </is>
      </c>
      <c r="G257" t="n">
        <v>12.7</v>
      </c>
      <c r="H257" t="n">
        <v>0</v>
      </c>
      <c r="I257" t="n">
        <v>0</v>
      </c>
      <c r="J257" t="n">
        <v>0</v>
      </c>
      <c r="K257" t="n">
        <v>0</v>
      </c>
      <c r="L257" t="n">
        <v>0</v>
      </c>
      <c r="M257" t="n">
        <v>0</v>
      </c>
      <c r="N257" t="n">
        <v>0</v>
      </c>
      <c r="O257" t="n">
        <v>0</v>
      </c>
      <c r="P257" t="n">
        <v>0</v>
      </c>
      <c r="Q257" t="n">
        <v>0</v>
      </c>
      <c r="R257" s="2" t="inlineStr"/>
    </row>
    <row r="258" ht="15" customHeight="1">
      <c r="A258" t="inlineStr">
        <is>
          <t>A 9741-2024</t>
        </is>
      </c>
      <c r="B258" s="1" t="n">
        <v>45362</v>
      </c>
      <c r="C258" s="1" t="n">
        <v>45579</v>
      </c>
      <c r="D258" t="inlineStr">
        <is>
          <t>VÄSTMANLANDS LÄN</t>
        </is>
      </c>
      <c r="E258" t="inlineStr">
        <is>
          <t>SURAHAMMAR</t>
        </is>
      </c>
      <c r="G258" t="n">
        <v>4.6</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45579</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45579</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45579</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45579</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45579</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45579</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45579</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45579</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45579</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45579</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45579</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45579</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45579</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45579</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45579</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45579</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43455-2024</t>
        </is>
      </c>
      <c r="B275" s="1" t="n">
        <v>45568</v>
      </c>
      <c r="C275" s="1" t="n">
        <v>45579</v>
      </c>
      <c r="D275" t="inlineStr">
        <is>
          <t>VÄSTMANLANDS LÄN</t>
        </is>
      </c>
      <c r="E275" t="inlineStr">
        <is>
          <t>SURAHAMMAR</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43461-2024</t>
        </is>
      </c>
      <c r="B276" s="1" t="n">
        <v>45568</v>
      </c>
      <c r="C276" s="1" t="n">
        <v>45579</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44356-2024</t>
        </is>
      </c>
      <c r="B277" s="1" t="n">
        <v>45573</v>
      </c>
      <c r="C277" s="1" t="n">
        <v>45579</v>
      </c>
      <c r="D277" t="inlineStr">
        <is>
          <t>VÄSTMANLANDS LÄN</t>
        </is>
      </c>
      <c r="E277" t="inlineStr">
        <is>
          <t>SURAHAMMAR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44353-2024</t>
        </is>
      </c>
      <c r="B278" s="1" t="n">
        <v>45573</v>
      </c>
      <c r="C278" s="1" t="n">
        <v>45579</v>
      </c>
      <c r="D278" t="inlineStr">
        <is>
          <t>VÄSTMANLANDS LÄN</t>
        </is>
      </c>
      <c r="E278" t="inlineStr">
        <is>
          <t>SURAHAMMAR</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44357-2024</t>
        </is>
      </c>
      <c r="B279" s="1" t="n">
        <v>45573</v>
      </c>
      <c r="C279" s="1" t="n">
        <v>45579</v>
      </c>
      <c r="D279" t="inlineStr">
        <is>
          <t>VÄSTMANLANDS LÄN</t>
        </is>
      </c>
      <c r="E279" t="inlineStr">
        <is>
          <t>SURAHAMMAR</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44358-2024</t>
        </is>
      </c>
      <c r="B280" s="1" t="n">
        <v>45573</v>
      </c>
      <c r="C280" s="1" t="n">
        <v>45579</v>
      </c>
      <c r="D280" t="inlineStr">
        <is>
          <t>VÄSTMANLANDS LÄN</t>
        </is>
      </c>
      <c r="E280" t="inlineStr">
        <is>
          <t>SURAHAMMAR</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44355-2024</t>
        </is>
      </c>
      <c r="B281" s="1" t="n">
        <v>45573</v>
      </c>
      <c r="C281" s="1" t="n">
        <v>45579</v>
      </c>
      <c r="D281" t="inlineStr">
        <is>
          <t>VÄSTMANLANDS LÄN</t>
        </is>
      </c>
      <c r="E281" t="inlineStr">
        <is>
          <t>SURAHAMMAR</t>
        </is>
      </c>
      <c r="F281" t="inlineStr">
        <is>
          <t>Sveaskog</t>
        </is>
      </c>
      <c r="G281" t="n">
        <v>3.5</v>
      </c>
      <c r="H281" t="n">
        <v>0</v>
      </c>
      <c r="I281" t="n">
        <v>0</v>
      </c>
      <c r="J281" t="n">
        <v>0</v>
      </c>
      <c r="K281" t="n">
        <v>0</v>
      </c>
      <c r="L281" t="n">
        <v>0</v>
      </c>
      <c r="M281" t="n">
        <v>0</v>
      </c>
      <c r="N281" t="n">
        <v>0</v>
      </c>
      <c r="O281" t="n">
        <v>0</v>
      </c>
      <c r="P281" t="n">
        <v>0</v>
      </c>
      <c r="Q281" t="n">
        <v>0</v>
      </c>
      <c r="R281" s="2" t="inlineStr"/>
    </row>
    <row r="282">
      <c r="A282" t="inlineStr">
        <is>
          <t>A 44359-2024</t>
        </is>
      </c>
      <c r="B282" s="1" t="n">
        <v>45573</v>
      </c>
      <c r="C282" s="1" t="n">
        <v>45579</v>
      </c>
      <c r="D282" t="inlineStr">
        <is>
          <t>VÄSTMANLANDS LÄN</t>
        </is>
      </c>
      <c r="E282" t="inlineStr">
        <is>
          <t>SURAHAMMAR</t>
        </is>
      </c>
      <c r="F282" t="inlineStr">
        <is>
          <t>Sveaskog</t>
        </is>
      </c>
      <c r="G282" t="n">
        <v>2.7</v>
      </c>
      <c r="H282" t="n">
        <v>0</v>
      </c>
      <c r="I282" t="n">
        <v>0</v>
      </c>
      <c r="J282" t="n">
        <v>0</v>
      </c>
      <c r="K282" t="n">
        <v>0</v>
      </c>
      <c r="L282" t="n">
        <v>0</v>
      </c>
      <c r="M282" t="n">
        <v>0</v>
      </c>
      <c r="N282" t="n">
        <v>0</v>
      </c>
      <c r="O282" t="n">
        <v>0</v>
      </c>
      <c r="P282" t="n">
        <v>0</v>
      </c>
      <c r="Q282" t="n">
        <v>0</v>
      </c>
      <c r="R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2024-10-14T12:02:37Z</dcterms:created>
  <dcterms:modified xmlns:dcterms="http://purl.org/dc/terms/" xmlns:xsi="http://www.w3.org/2001/XMLSchema-instance" xsi:type="dcterms:W3CDTF">2024-10-14T12:02:37Z</dcterms:modified>
</cp:coreProperties>
</file>