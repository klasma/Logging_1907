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46081</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46081</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46081</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46081</v>
      </c>
      <c r="D5" t="inlineStr">
        <is>
          <t>VÄSTMANLANDS LÄN</t>
        </is>
      </c>
      <c r="E5" t="inlineStr">
        <is>
          <t>SURAHAMMAR</t>
        </is>
      </c>
      <c r="F5" t="inlineStr">
        <is>
          <t>Bergvik skog väst AB</t>
        </is>
      </c>
      <c r="G5" t="n">
        <v>9</v>
      </c>
      <c r="H5" t="n">
        <v>6</v>
      </c>
      <c r="I5" t="n">
        <v>8</v>
      </c>
      <c r="J5" t="n">
        <v>6</v>
      </c>
      <c r="K5" t="n">
        <v>0</v>
      </c>
      <c r="L5" t="n">
        <v>0</v>
      </c>
      <c r="M5" t="n">
        <v>0</v>
      </c>
      <c r="N5" t="n">
        <v>0</v>
      </c>
      <c r="O5" t="n">
        <v>6</v>
      </c>
      <c r="P5" t="n">
        <v>0</v>
      </c>
      <c r="Q5" t="n">
        <v>19</v>
      </c>
      <c r="R5" s="2" t="inlineStr">
        <is>
          <t>Barrpraktbagge
Furustumpbagge
Motaggsvamp
Orange taggsvamp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46081</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46081</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46081</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46081</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46081</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46081</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46081</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46081</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46081</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46081</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46081</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46081</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46081</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46081</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46081</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46081</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46081</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46081</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46081</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46081</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46081</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46081</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46081</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46081</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46081</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46081</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46081</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29707-2025</t>
        </is>
      </c>
      <c r="B33" s="1" t="n">
        <v>45825.56100694444</v>
      </c>
      <c r="C33" s="1" t="n">
        <v>46081</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48128-2023</t>
        </is>
      </c>
      <c r="B34" s="1" t="n">
        <v>45205</v>
      </c>
      <c r="C34" s="1" t="n">
        <v>46081</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46081</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46081</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10236-2026</t>
        </is>
      </c>
      <c r="B37" s="1" t="n">
        <v>46076.54277777778</v>
      </c>
      <c r="C37" s="1" t="n">
        <v>46081</v>
      </c>
      <c r="D37" t="inlineStr">
        <is>
          <t>VÄSTMANLANDS LÄN</t>
        </is>
      </c>
      <c r="E37" t="inlineStr">
        <is>
          <t>SURAHAMMAR</t>
        </is>
      </c>
      <c r="F37" t="inlineStr">
        <is>
          <t>Allmännings- och besparingsskogar</t>
        </is>
      </c>
      <c r="G37" t="n">
        <v>2.8</v>
      </c>
      <c r="H37" t="n">
        <v>1</v>
      </c>
      <c r="I37" t="n">
        <v>1</v>
      </c>
      <c r="J37" t="n">
        <v>0</v>
      </c>
      <c r="K37" t="n">
        <v>1</v>
      </c>
      <c r="L37" t="n">
        <v>0</v>
      </c>
      <c r="M37" t="n">
        <v>0</v>
      </c>
      <c r="N37" t="n">
        <v>0</v>
      </c>
      <c r="O37" t="n">
        <v>1</v>
      </c>
      <c r="P37" t="n">
        <v>1</v>
      </c>
      <c r="Q37" t="n">
        <v>3</v>
      </c>
      <c r="R37" s="2" t="inlineStr">
        <is>
          <t>Vågticka
Brandticka
Revlummer</t>
        </is>
      </c>
      <c r="S37">
        <f>HYPERLINK("https://klasma.github.io/Logging_1907/artfynd/A 10236-2026 artfynd.xlsx", "A 10236-2026")</f>
        <v/>
      </c>
      <c r="T37">
        <f>HYPERLINK("https://klasma.github.io/Logging_1907/kartor/A 10236-2026 karta.png", "A 10236-2026")</f>
        <v/>
      </c>
      <c r="V37">
        <f>HYPERLINK("https://klasma.github.io/Logging_1907/klagomål/A 10236-2026 FSC-klagomål.docx", "A 10236-2026")</f>
        <v/>
      </c>
      <c r="W37">
        <f>HYPERLINK("https://klasma.github.io/Logging_1907/klagomålsmail/A 10236-2026 FSC-klagomål mail.docx", "A 10236-2026")</f>
        <v/>
      </c>
      <c r="X37">
        <f>HYPERLINK("https://klasma.github.io/Logging_1907/tillsyn/A 10236-2026 tillsynsbegäran.docx", "A 10236-2026")</f>
        <v/>
      </c>
      <c r="Y37">
        <f>HYPERLINK("https://klasma.github.io/Logging_1907/tillsynsmail/A 10236-2026 tillsynsbegäran mail.docx", "A 10236-2026")</f>
        <v/>
      </c>
    </row>
    <row r="38" ht="15" customHeight="1">
      <c r="A38" t="inlineStr">
        <is>
          <t>A 42853-2022</t>
        </is>
      </c>
      <c r="B38" s="1" t="n">
        <v>44832</v>
      </c>
      <c r="C38" s="1" t="n">
        <v>46081</v>
      </c>
      <c r="D38" t="inlineStr">
        <is>
          <t>VÄSTMANLANDS LÄN</t>
        </is>
      </c>
      <c r="E38" t="inlineStr">
        <is>
          <t>SURAHAMMAR</t>
        </is>
      </c>
      <c r="G38" t="n">
        <v>7.4</v>
      </c>
      <c r="H38" t="n">
        <v>1</v>
      </c>
      <c r="I38" t="n">
        <v>1</v>
      </c>
      <c r="J38" t="n">
        <v>1</v>
      </c>
      <c r="K38" t="n">
        <v>0</v>
      </c>
      <c r="L38" t="n">
        <v>1</v>
      </c>
      <c r="M38" t="n">
        <v>0</v>
      </c>
      <c r="N38" t="n">
        <v>0</v>
      </c>
      <c r="O38" t="n">
        <v>2</v>
      </c>
      <c r="P38" t="n">
        <v>1</v>
      </c>
      <c r="Q38" t="n">
        <v>3</v>
      </c>
      <c r="R38" s="2" t="inlineStr">
        <is>
          <t>Ask
Kandelabersvamp
Tvåblad</t>
        </is>
      </c>
      <c r="S38">
        <f>HYPERLINK("https://klasma.github.io/Logging_1907/artfynd/A 42853-2022 artfynd.xlsx", "A 42853-2022")</f>
        <v/>
      </c>
      <c r="T38">
        <f>HYPERLINK("https://klasma.github.io/Logging_1907/kartor/A 42853-2022 karta.png", "A 42853-2022")</f>
        <v/>
      </c>
      <c r="V38">
        <f>HYPERLINK("https://klasma.github.io/Logging_1907/klagomål/A 42853-2022 FSC-klagomål.docx", "A 42853-2022")</f>
        <v/>
      </c>
      <c r="W38">
        <f>HYPERLINK("https://klasma.github.io/Logging_1907/klagomålsmail/A 42853-2022 FSC-klagomål mail.docx", "A 42853-2022")</f>
        <v/>
      </c>
      <c r="X38">
        <f>HYPERLINK("https://klasma.github.io/Logging_1907/tillsyn/A 42853-2022 tillsynsbegäran.docx", "A 42853-2022")</f>
        <v/>
      </c>
      <c r="Y38">
        <f>HYPERLINK("https://klasma.github.io/Logging_1907/tillsynsmail/A 42853-2022 tillsynsbegäran mail.docx", "A 42853-2022")</f>
        <v/>
      </c>
    </row>
    <row r="39" ht="15" customHeight="1">
      <c r="A39" t="inlineStr">
        <is>
          <t>A 37801-2021</t>
        </is>
      </c>
      <c r="B39" s="1" t="n">
        <v>44402</v>
      </c>
      <c r="C39" s="1" t="n">
        <v>46081</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46081</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46081</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41204-2023</t>
        </is>
      </c>
      <c r="B42" s="1" t="n">
        <v>45174</v>
      </c>
      <c r="C42" s="1" t="n">
        <v>46081</v>
      </c>
      <c r="D42" t="inlineStr">
        <is>
          <t>VÄSTMANLANDS LÄN</t>
        </is>
      </c>
      <c r="E42" t="inlineStr">
        <is>
          <t>SURAHAMMAR</t>
        </is>
      </c>
      <c r="G42" t="n">
        <v>1</v>
      </c>
      <c r="H42" t="n">
        <v>1</v>
      </c>
      <c r="I42" t="n">
        <v>0</v>
      </c>
      <c r="J42" t="n">
        <v>1</v>
      </c>
      <c r="K42" t="n">
        <v>1</v>
      </c>
      <c r="L42" t="n">
        <v>0</v>
      </c>
      <c r="M42" t="n">
        <v>0</v>
      </c>
      <c r="N42" t="n">
        <v>0</v>
      </c>
      <c r="O42" t="n">
        <v>2</v>
      </c>
      <c r="P42" t="n">
        <v>1</v>
      </c>
      <c r="Q42" t="n">
        <v>2</v>
      </c>
      <c r="R42" s="2" t="inlineStr">
        <is>
          <t>Knärot
Vedtrappmossa</t>
        </is>
      </c>
      <c r="S42">
        <f>HYPERLINK("https://klasma.github.io/Logging_1907/artfynd/A 41204-2023 artfynd.xlsx", "A 41204-2023")</f>
        <v/>
      </c>
      <c r="T42">
        <f>HYPERLINK("https://klasma.github.io/Logging_1907/kartor/A 41204-2023 karta.png", "A 41204-2023")</f>
        <v/>
      </c>
      <c r="U42">
        <f>HYPERLINK("https://klasma.github.io/Logging_1907/knärot/A 41204-2023 karta knärot.png", "A 41204-2023")</f>
        <v/>
      </c>
      <c r="V42">
        <f>HYPERLINK("https://klasma.github.io/Logging_1907/klagomål/A 41204-2023 FSC-klagomål.docx", "A 41204-2023")</f>
        <v/>
      </c>
      <c r="W42">
        <f>HYPERLINK("https://klasma.github.io/Logging_1907/klagomålsmail/A 41204-2023 FSC-klagomål mail.docx", "A 41204-2023")</f>
        <v/>
      </c>
      <c r="X42">
        <f>HYPERLINK("https://klasma.github.io/Logging_1907/tillsyn/A 41204-2023 tillsynsbegäran.docx", "A 41204-2023")</f>
        <v/>
      </c>
      <c r="Y42">
        <f>HYPERLINK("https://klasma.github.io/Logging_1907/tillsynsmail/A 41204-2023 tillsynsbegäran mail.docx", "A 41204-2023")</f>
        <v/>
      </c>
    </row>
    <row r="43" ht="15" customHeight="1">
      <c r="A43" t="inlineStr">
        <is>
          <t>A 4082-2025</t>
        </is>
      </c>
      <c r="B43" s="1" t="n">
        <v>45684</v>
      </c>
      <c r="C43" s="1" t="n">
        <v>46081</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63146-2025</t>
        </is>
      </c>
      <c r="B44" s="1" t="n">
        <v>46009</v>
      </c>
      <c r="C44" s="1" t="n">
        <v>46081</v>
      </c>
      <c r="D44" t="inlineStr">
        <is>
          <t>VÄSTMANLANDS LÄN</t>
        </is>
      </c>
      <c r="E44" t="inlineStr">
        <is>
          <t>SURAHAMMAR</t>
        </is>
      </c>
      <c r="F44" t="inlineStr">
        <is>
          <t>Bergvik skog väst AB</t>
        </is>
      </c>
      <c r="G44" t="n">
        <v>10.2</v>
      </c>
      <c r="H44" t="n">
        <v>1</v>
      </c>
      <c r="I44" t="n">
        <v>1</v>
      </c>
      <c r="J44" t="n">
        <v>0</v>
      </c>
      <c r="K44" t="n">
        <v>0</v>
      </c>
      <c r="L44" t="n">
        <v>0</v>
      </c>
      <c r="M44" t="n">
        <v>0</v>
      </c>
      <c r="N44" t="n">
        <v>0</v>
      </c>
      <c r="O44" t="n">
        <v>0</v>
      </c>
      <c r="P44" t="n">
        <v>0</v>
      </c>
      <c r="Q44" t="n">
        <v>2</v>
      </c>
      <c r="R44" s="2" t="inlineStr">
        <is>
          <t>Svart trolldruva
Blåsippa</t>
        </is>
      </c>
      <c r="S44">
        <f>HYPERLINK("https://klasma.github.io/Logging_1907/artfynd/A 63146-2025 artfynd.xlsx", "A 63146-2025")</f>
        <v/>
      </c>
      <c r="T44">
        <f>HYPERLINK("https://klasma.github.io/Logging_1907/kartor/A 63146-2025 karta.png", "A 63146-2025")</f>
        <v/>
      </c>
      <c r="V44">
        <f>HYPERLINK("https://klasma.github.io/Logging_1907/klagomål/A 63146-2025 FSC-klagomål.docx", "A 63146-2025")</f>
        <v/>
      </c>
      <c r="W44">
        <f>HYPERLINK("https://klasma.github.io/Logging_1907/klagomålsmail/A 63146-2025 FSC-klagomål mail.docx", "A 63146-2025")</f>
        <v/>
      </c>
      <c r="X44">
        <f>HYPERLINK("https://klasma.github.io/Logging_1907/tillsyn/A 63146-2025 tillsynsbegäran.docx", "A 63146-2025")</f>
        <v/>
      </c>
      <c r="Y44">
        <f>HYPERLINK("https://klasma.github.io/Logging_1907/tillsynsmail/A 63146-2025 tillsynsbegäran mail.docx", "A 63146-2025")</f>
        <v/>
      </c>
    </row>
    <row r="45" ht="15" customHeight="1">
      <c r="A45" t="inlineStr">
        <is>
          <t>A 41576-2022</t>
        </is>
      </c>
      <c r="B45" s="1" t="n">
        <v>44826</v>
      </c>
      <c r="C45" s="1" t="n">
        <v>46081</v>
      </c>
      <c r="D45" t="inlineStr">
        <is>
          <t>VÄSTMANLANDS LÄN</t>
        </is>
      </c>
      <c r="E45" t="inlineStr">
        <is>
          <t>SURAHAMMAR</t>
        </is>
      </c>
      <c r="F45" t="inlineStr">
        <is>
          <t>Bergvik skog väst AB</t>
        </is>
      </c>
      <c r="G45" t="n">
        <v>6.4</v>
      </c>
      <c r="H45" t="n">
        <v>2</v>
      </c>
      <c r="I45" t="n">
        <v>0</v>
      </c>
      <c r="J45" t="n">
        <v>1</v>
      </c>
      <c r="K45" t="n">
        <v>0</v>
      </c>
      <c r="L45" t="n">
        <v>0</v>
      </c>
      <c r="M45" t="n">
        <v>0</v>
      </c>
      <c r="N45" t="n">
        <v>0</v>
      </c>
      <c r="O45" t="n">
        <v>1</v>
      </c>
      <c r="P45" t="n">
        <v>0</v>
      </c>
      <c r="Q45" t="n">
        <v>2</v>
      </c>
      <c r="R45" s="2" t="inlineStr">
        <is>
          <t>Talltita
Kungsfågel</t>
        </is>
      </c>
      <c r="S45">
        <f>HYPERLINK("https://klasma.github.io/Logging_1907/artfynd/A 41576-2022 artfynd.xlsx", "A 41576-2022")</f>
        <v/>
      </c>
      <c r="T45">
        <f>HYPERLINK("https://klasma.github.io/Logging_1907/kartor/A 41576-2022 karta.png", "A 41576-2022")</f>
        <v/>
      </c>
      <c r="V45">
        <f>HYPERLINK("https://klasma.github.io/Logging_1907/klagomål/A 41576-2022 FSC-klagomål.docx", "A 41576-2022")</f>
        <v/>
      </c>
      <c r="W45">
        <f>HYPERLINK("https://klasma.github.io/Logging_1907/klagomålsmail/A 41576-2022 FSC-klagomål mail.docx", "A 41576-2022")</f>
        <v/>
      </c>
      <c r="X45">
        <f>HYPERLINK("https://klasma.github.io/Logging_1907/tillsyn/A 41576-2022 tillsynsbegäran.docx", "A 41576-2022")</f>
        <v/>
      </c>
      <c r="Y45">
        <f>HYPERLINK("https://klasma.github.io/Logging_1907/tillsynsmail/A 41576-2022 tillsynsbegäran mail.docx", "A 41576-2022")</f>
        <v/>
      </c>
      <c r="Z45">
        <f>HYPERLINK("https://klasma.github.io/Logging_1907/fåglar/A 41576-2022 prioriterade fågelarter.docx", "A 41576-2022")</f>
        <v/>
      </c>
    </row>
    <row r="46" ht="15" customHeight="1">
      <c r="A46" t="inlineStr">
        <is>
          <t>A 37800-2021</t>
        </is>
      </c>
      <c r="B46" s="1" t="n">
        <v>44402</v>
      </c>
      <c r="C46" s="1" t="n">
        <v>46081</v>
      </c>
      <c r="D46" t="inlineStr">
        <is>
          <t>VÄSTMANLANDS LÄN</t>
        </is>
      </c>
      <c r="E46" t="inlineStr">
        <is>
          <t>SURAHAMMAR</t>
        </is>
      </c>
      <c r="F46" t="inlineStr">
        <is>
          <t>Kommuner</t>
        </is>
      </c>
      <c r="G46" t="n">
        <v>1.3</v>
      </c>
      <c r="H46" t="n">
        <v>1</v>
      </c>
      <c r="I46" t="n">
        <v>0</v>
      </c>
      <c r="J46" t="n">
        <v>1</v>
      </c>
      <c r="K46" t="n">
        <v>0</v>
      </c>
      <c r="L46" t="n">
        <v>0</v>
      </c>
      <c r="M46" t="n">
        <v>0</v>
      </c>
      <c r="N46" t="n">
        <v>0</v>
      </c>
      <c r="O46" t="n">
        <v>1</v>
      </c>
      <c r="P46" t="n">
        <v>0</v>
      </c>
      <c r="Q46" t="n">
        <v>2</v>
      </c>
      <c r="R46" s="2" t="inlineStr">
        <is>
          <t>Svinrot
Grönvit nattviol</t>
        </is>
      </c>
      <c r="S46">
        <f>HYPERLINK("https://klasma.github.io/Logging_1907/artfynd/A 37800-2021 artfynd.xlsx", "A 37800-2021")</f>
        <v/>
      </c>
      <c r="T46">
        <f>HYPERLINK("https://klasma.github.io/Logging_1907/kartor/A 37800-2021 karta.png", "A 37800-2021")</f>
        <v/>
      </c>
      <c r="V46">
        <f>HYPERLINK("https://klasma.github.io/Logging_1907/klagomål/A 37800-2021 FSC-klagomål.docx", "A 37800-2021")</f>
        <v/>
      </c>
      <c r="W46">
        <f>HYPERLINK("https://klasma.github.io/Logging_1907/klagomålsmail/A 37800-2021 FSC-klagomål mail.docx", "A 37800-2021")</f>
        <v/>
      </c>
      <c r="X46">
        <f>HYPERLINK("https://klasma.github.io/Logging_1907/tillsyn/A 37800-2021 tillsynsbegäran.docx", "A 37800-2021")</f>
        <v/>
      </c>
      <c r="Y46">
        <f>HYPERLINK("https://klasma.github.io/Logging_1907/tillsynsmail/A 37800-2021 tillsynsbegäran mail.docx", "A 37800-2021")</f>
        <v/>
      </c>
    </row>
    <row r="47" ht="15" customHeight="1">
      <c r="A47" t="inlineStr">
        <is>
          <t>A 21618-2025</t>
        </is>
      </c>
      <c r="B47" s="1" t="n">
        <v>45783</v>
      </c>
      <c r="C47" s="1" t="n">
        <v>46081</v>
      </c>
      <c r="D47" t="inlineStr">
        <is>
          <t>VÄSTMANLANDS LÄN</t>
        </is>
      </c>
      <c r="E47" t="inlineStr">
        <is>
          <t>SURAHAMMAR</t>
        </is>
      </c>
      <c r="F47" t="inlineStr">
        <is>
          <t>Bergvik skog väst AB</t>
        </is>
      </c>
      <c r="G47" t="n">
        <v>1.1</v>
      </c>
      <c r="H47" t="n">
        <v>2</v>
      </c>
      <c r="I47" t="n">
        <v>1</v>
      </c>
      <c r="J47" t="n">
        <v>0</v>
      </c>
      <c r="K47" t="n">
        <v>0</v>
      </c>
      <c r="L47" t="n">
        <v>0</v>
      </c>
      <c r="M47" t="n">
        <v>0</v>
      </c>
      <c r="N47" t="n">
        <v>0</v>
      </c>
      <c r="O47" t="n">
        <v>0</v>
      </c>
      <c r="P47" t="n">
        <v>0</v>
      </c>
      <c r="Q47" t="n">
        <v>2</v>
      </c>
      <c r="R47" s="2" t="inlineStr">
        <is>
          <t>Plattlummer
Mattlummer</t>
        </is>
      </c>
      <c r="S47">
        <f>HYPERLINK("https://klasma.github.io/Logging_1907/artfynd/A 21618-2025 artfynd.xlsx", "A 21618-2025")</f>
        <v/>
      </c>
      <c r="T47">
        <f>HYPERLINK("https://klasma.github.io/Logging_1907/kartor/A 21618-2025 karta.png", "A 21618-2025")</f>
        <v/>
      </c>
      <c r="V47">
        <f>HYPERLINK("https://klasma.github.io/Logging_1907/klagomål/A 21618-2025 FSC-klagomål.docx", "A 21618-2025")</f>
        <v/>
      </c>
      <c r="W47">
        <f>HYPERLINK("https://klasma.github.io/Logging_1907/klagomålsmail/A 21618-2025 FSC-klagomål mail.docx", "A 21618-2025")</f>
        <v/>
      </c>
      <c r="X47">
        <f>HYPERLINK("https://klasma.github.io/Logging_1907/tillsyn/A 21618-2025 tillsynsbegäran.docx", "A 21618-2025")</f>
        <v/>
      </c>
      <c r="Y47">
        <f>HYPERLINK("https://klasma.github.io/Logging_1907/tillsynsmail/A 21618-2025 tillsynsbegäran mail.docx", "A 21618-2025")</f>
        <v/>
      </c>
    </row>
    <row r="48" ht="15" customHeight="1">
      <c r="A48" t="inlineStr">
        <is>
          <t>A 38170-2021</t>
        </is>
      </c>
      <c r="B48" s="1" t="n">
        <v>44405.43472222222</v>
      </c>
      <c r="C48" s="1" t="n">
        <v>46081</v>
      </c>
      <c r="D48" t="inlineStr">
        <is>
          <t>VÄSTMANLANDS LÄN</t>
        </is>
      </c>
      <c r="E48" t="inlineStr">
        <is>
          <t>SURAHAMMAR</t>
        </is>
      </c>
      <c r="F48" t="inlineStr">
        <is>
          <t>Sveaskog</t>
        </is>
      </c>
      <c r="G48" t="n">
        <v>1.2</v>
      </c>
      <c r="H48" t="n">
        <v>1</v>
      </c>
      <c r="I48" t="n">
        <v>0</v>
      </c>
      <c r="J48" t="n">
        <v>0</v>
      </c>
      <c r="K48" t="n">
        <v>0</v>
      </c>
      <c r="L48" t="n">
        <v>0</v>
      </c>
      <c r="M48" t="n">
        <v>0</v>
      </c>
      <c r="N48" t="n">
        <v>0</v>
      </c>
      <c r="O48" t="n">
        <v>0</v>
      </c>
      <c r="P48" t="n">
        <v>0</v>
      </c>
      <c r="Q48" t="n">
        <v>1</v>
      </c>
      <c r="R48" s="2" t="inlineStr">
        <is>
          <t>Revlummer</t>
        </is>
      </c>
      <c r="S48">
        <f>HYPERLINK("https://klasma.github.io/Logging_1907/artfynd/A 38170-2021 artfynd.xlsx", "A 38170-2021")</f>
        <v/>
      </c>
      <c r="T48">
        <f>HYPERLINK("https://klasma.github.io/Logging_1907/kartor/A 38170-2021 karta.png", "A 38170-2021")</f>
        <v/>
      </c>
      <c r="V48">
        <f>HYPERLINK("https://klasma.github.io/Logging_1907/klagomål/A 38170-2021 FSC-klagomål.docx", "A 38170-2021")</f>
        <v/>
      </c>
      <c r="W48">
        <f>HYPERLINK("https://klasma.github.io/Logging_1907/klagomålsmail/A 38170-2021 FSC-klagomål mail.docx", "A 38170-2021")</f>
        <v/>
      </c>
      <c r="X48">
        <f>HYPERLINK("https://klasma.github.io/Logging_1907/tillsyn/A 38170-2021 tillsynsbegäran.docx", "A 38170-2021")</f>
        <v/>
      </c>
      <c r="Y48">
        <f>HYPERLINK("https://klasma.github.io/Logging_1907/tillsynsmail/A 38170-2021 tillsynsbegäran mail.docx", "A 38170-2021")</f>
        <v/>
      </c>
    </row>
    <row r="49" ht="15" customHeight="1">
      <c r="A49" t="inlineStr">
        <is>
          <t>A 26700-2022</t>
        </is>
      </c>
      <c r="B49" s="1" t="n">
        <v>44739</v>
      </c>
      <c r="C49" s="1" t="n">
        <v>46081</v>
      </c>
      <c r="D49" t="inlineStr">
        <is>
          <t>VÄSTMANLANDS LÄN</t>
        </is>
      </c>
      <c r="E49" t="inlineStr">
        <is>
          <t>SURAHAMMAR</t>
        </is>
      </c>
      <c r="F49" t="inlineStr">
        <is>
          <t>Kommuner</t>
        </is>
      </c>
      <c r="G49" t="n">
        <v>3.1</v>
      </c>
      <c r="H49" t="n">
        <v>1</v>
      </c>
      <c r="I49" t="n">
        <v>0</v>
      </c>
      <c r="J49" t="n">
        <v>0</v>
      </c>
      <c r="K49" t="n">
        <v>0</v>
      </c>
      <c r="L49" t="n">
        <v>0</v>
      </c>
      <c r="M49" t="n">
        <v>0</v>
      </c>
      <c r="N49" t="n">
        <v>0</v>
      </c>
      <c r="O49" t="n">
        <v>0</v>
      </c>
      <c r="P49" t="n">
        <v>0</v>
      </c>
      <c r="Q49" t="n">
        <v>1</v>
      </c>
      <c r="R49" s="2" t="inlineStr">
        <is>
          <t>Fläcknycklar</t>
        </is>
      </c>
      <c r="S49">
        <f>HYPERLINK("https://klasma.github.io/Logging_1907/artfynd/A 26700-2022 artfynd.xlsx", "A 26700-2022")</f>
        <v/>
      </c>
      <c r="T49">
        <f>HYPERLINK("https://klasma.github.io/Logging_1907/kartor/A 26700-2022 karta.png", "A 26700-2022")</f>
        <v/>
      </c>
      <c r="V49">
        <f>HYPERLINK("https://klasma.github.io/Logging_1907/klagomål/A 26700-2022 FSC-klagomål.docx", "A 26700-2022")</f>
        <v/>
      </c>
      <c r="W49">
        <f>HYPERLINK("https://klasma.github.io/Logging_1907/klagomålsmail/A 26700-2022 FSC-klagomål mail.docx", "A 26700-2022")</f>
        <v/>
      </c>
      <c r="X49">
        <f>HYPERLINK("https://klasma.github.io/Logging_1907/tillsyn/A 26700-2022 tillsynsbegäran.docx", "A 26700-2022")</f>
        <v/>
      </c>
      <c r="Y49">
        <f>HYPERLINK("https://klasma.github.io/Logging_1907/tillsynsmail/A 26700-2022 tillsynsbegäran mail.docx", "A 26700-2022")</f>
        <v/>
      </c>
    </row>
    <row r="50" ht="15" customHeight="1">
      <c r="A50" t="inlineStr">
        <is>
          <t>A 67611-2021</t>
        </is>
      </c>
      <c r="B50" s="1" t="n">
        <v>44524</v>
      </c>
      <c r="C50" s="1" t="n">
        <v>46081</v>
      </c>
      <c r="D50" t="inlineStr">
        <is>
          <t>VÄSTMANLANDS LÄN</t>
        </is>
      </c>
      <c r="E50" t="inlineStr">
        <is>
          <t>SURAHAMMAR</t>
        </is>
      </c>
      <c r="F50" t="inlineStr">
        <is>
          <t>Kommuner</t>
        </is>
      </c>
      <c r="G50" t="n">
        <v>3.8</v>
      </c>
      <c r="H50" t="n">
        <v>0</v>
      </c>
      <c r="I50" t="n">
        <v>0</v>
      </c>
      <c r="J50" t="n">
        <v>1</v>
      </c>
      <c r="K50" t="n">
        <v>0</v>
      </c>
      <c r="L50" t="n">
        <v>0</v>
      </c>
      <c r="M50" t="n">
        <v>0</v>
      </c>
      <c r="N50" t="n">
        <v>0</v>
      </c>
      <c r="O50" t="n">
        <v>1</v>
      </c>
      <c r="P50" t="n">
        <v>0</v>
      </c>
      <c r="Q50" t="n">
        <v>1</v>
      </c>
      <c r="R50" s="2" t="inlineStr">
        <is>
          <t>Brödmärgsticka</t>
        </is>
      </c>
      <c r="S50">
        <f>HYPERLINK("https://klasma.github.io/Logging_1907/artfynd/A 67611-2021 artfynd.xlsx", "A 67611-2021")</f>
        <v/>
      </c>
      <c r="T50">
        <f>HYPERLINK("https://klasma.github.io/Logging_1907/kartor/A 67611-2021 karta.png", "A 67611-2021")</f>
        <v/>
      </c>
      <c r="V50">
        <f>HYPERLINK("https://klasma.github.io/Logging_1907/klagomål/A 67611-2021 FSC-klagomål.docx", "A 67611-2021")</f>
        <v/>
      </c>
      <c r="W50">
        <f>HYPERLINK("https://klasma.github.io/Logging_1907/klagomålsmail/A 67611-2021 FSC-klagomål mail.docx", "A 67611-2021")</f>
        <v/>
      </c>
      <c r="X50">
        <f>HYPERLINK("https://klasma.github.io/Logging_1907/tillsyn/A 67611-2021 tillsynsbegäran.docx", "A 67611-2021")</f>
        <v/>
      </c>
      <c r="Y50">
        <f>HYPERLINK("https://klasma.github.io/Logging_1907/tillsynsmail/A 67611-2021 tillsynsbegäran mail.docx", "A 67611-2021")</f>
        <v/>
      </c>
    </row>
    <row r="51" ht="15" customHeight="1">
      <c r="A51" t="inlineStr">
        <is>
          <t>A 18717-2021</t>
        </is>
      </c>
      <c r="B51" s="1" t="n">
        <v>44306</v>
      </c>
      <c r="C51" s="1" t="n">
        <v>46081</v>
      </c>
      <c r="D51" t="inlineStr">
        <is>
          <t>VÄSTMANLANDS LÄN</t>
        </is>
      </c>
      <c r="E51" t="inlineStr">
        <is>
          <t>SURAHAMMAR</t>
        </is>
      </c>
      <c r="F51" t="inlineStr">
        <is>
          <t>Bergvik skog väst AB</t>
        </is>
      </c>
      <c r="G51" t="n">
        <v>18</v>
      </c>
      <c r="H51" t="n">
        <v>1</v>
      </c>
      <c r="I51" t="n">
        <v>0</v>
      </c>
      <c r="J51" t="n">
        <v>0</v>
      </c>
      <c r="K51" t="n">
        <v>0</v>
      </c>
      <c r="L51" t="n">
        <v>0</v>
      </c>
      <c r="M51" t="n">
        <v>0</v>
      </c>
      <c r="N51" t="n">
        <v>0</v>
      </c>
      <c r="O51" t="n">
        <v>0</v>
      </c>
      <c r="P51" t="n">
        <v>0</v>
      </c>
      <c r="Q51" t="n">
        <v>1</v>
      </c>
      <c r="R51" s="2" t="inlineStr">
        <is>
          <t>Revlummer</t>
        </is>
      </c>
      <c r="S51">
        <f>HYPERLINK("https://klasma.github.io/Logging_1907/artfynd/A 18717-2021 artfynd.xlsx", "A 18717-2021")</f>
        <v/>
      </c>
      <c r="T51">
        <f>HYPERLINK("https://klasma.github.io/Logging_1907/kartor/A 18717-2021 karta.png", "A 18717-2021")</f>
        <v/>
      </c>
      <c r="V51">
        <f>HYPERLINK("https://klasma.github.io/Logging_1907/klagomål/A 18717-2021 FSC-klagomål.docx", "A 18717-2021")</f>
        <v/>
      </c>
      <c r="W51">
        <f>HYPERLINK("https://klasma.github.io/Logging_1907/klagomålsmail/A 18717-2021 FSC-klagomål mail.docx", "A 18717-2021")</f>
        <v/>
      </c>
      <c r="X51">
        <f>HYPERLINK("https://klasma.github.io/Logging_1907/tillsyn/A 18717-2021 tillsynsbegäran.docx", "A 18717-2021")</f>
        <v/>
      </c>
      <c r="Y51">
        <f>HYPERLINK("https://klasma.github.io/Logging_1907/tillsynsmail/A 18717-2021 tillsynsbegäran mail.docx", "A 18717-2021")</f>
        <v/>
      </c>
    </row>
    <row r="52" ht="15" customHeight="1">
      <c r="A52" t="inlineStr">
        <is>
          <t>A 56362-2023</t>
        </is>
      </c>
      <c r="B52" s="1" t="n">
        <v>45236</v>
      </c>
      <c r="C52" s="1" t="n">
        <v>46081</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46081</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46081</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46081</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46081</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34582-2025</t>
        </is>
      </c>
      <c r="B57" s="1" t="n">
        <v>45846</v>
      </c>
      <c r="C57" s="1" t="n">
        <v>46081</v>
      </c>
      <c r="D57" t="inlineStr">
        <is>
          <t>VÄSTMANLANDS LÄN</t>
        </is>
      </c>
      <c r="E57" t="inlineStr">
        <is>
          <t>SURAHAMMAR</t>
        </is>
      </c>
      <c r="F57" t="inlineStr">
        <is>
          <t>Bergvik skog väst AB</t>
        </is>
      </c>
      <c r="G57" t="n">
        <v>2.6</v>
      </c>
      <c r="H57" t="n">
        <v>1</v>
      </c>
      <c r="I57" t="n">
        <v>0</v>
      </c>
      <c r="J57" t="n">
        <v>1</v>
      </c>
      <c r="K57" t="n">
        <v>0</v>
      </c>
      <c r="L57" t="n">
        <v>0</v>
      </c>
      <c r="M57" t="n">
        <v>0</v>
      </c>
      <c r="N57" t="n">
        <v>0</v>
      </c>
      <c r="O57" t="n">
        <v>1</v>
      </c>
      <c r="P57" t="n">
        <v>0</v>
      </c>
      <c r="Q57" t="n">
        <v>1</v>
      </c>
      <c r="R57" s="2" t="inlineStr">
        <is>
          <t>Järpe</t>
        </is>
      </c>
      <c r="S57">
        <f>HYPERLINK("https://klasma.github.io/Logging_1907/artfynd/A 34582-2025 artfynd.xlsx", "A 34582-2025")</f>
        <v/>
      </c>
      <c r="T57">
        <f>HYPERLINK("https://klasma.github.io/Logging_1907/kartor/A 34582-2025 karta.png", "A 34582-2025")</f>
        <v/>
      </c>
      <c r="V57">
        <f>HYPERLINK("https://klasma.github.io/Logging_1907/klagomål/A 34582-2025 FSC-klagomål.docx", "A 34582-2025")</f>
        <v/>
      </c>
      <c r="W57">
        <f>HYPERLINK("https://klasma.github.io/Logging_1907/klagomålsmail/A 34582-2025 FSC-klagomål mail.docx", "A 34582-2025")</f>
        <v/>
      </c>
      <c r="X57">
        <f>HYPERLINK("https://klasma.github.io/Logging_1907/tillsyn/A 34582-2025 tillsynsbegäran.docx", "A 34582-2025")</f>
        <v/>
      </c>
      <c r="Y57">
        <f>HYPERLINK("https://klasma.github.io/Logging_1907/tillsynsmail/A 34582-2025 tillsynsbegäran mail.docx", "A 34582-2025")</f>
        <v/>
      </c>
      <c r="Z57">
        <f>HYPERLINK("https://klasma.github.io/Logging_1907/fåglar/A 34582-2025 prioriterade fågelarter.docx", "A 34582-2025")</f>
        <v/>
      </c>
    </row>
    <row r="58" ht="15" customHeight="1">
      <c r="A58" t="inlineStr">
        <is>
          <t>A 42089-2025</t>
        </is>
      </c>
      <c r="B58" s="1" t="n">
        <v>45902</v>
      </c>
      <c r="C58" s="1" t="n">
        <v>46081</v>
      </c>
      <c r="D58" t="inlineStr">
        <is>
          <t>VÄSTMANLANDS LÄN</t>
        </is>
      </c>
      <c r="E58" t="inlineStr">
        <is>
          <t>SURAHAMMAR</t>
        </is>
      </c>
      <c r="G58" t="n">
        <v>2.2</v>
      </c>
      <c r="H58" t="n">
        <v>0</v>
      </c>
      <c r="I58" t="n">
        <v>0</v>
      </c>
      <c r="J58" t="n">
        <v>1</v>
      </c>
      <c r="K58" t="n">
        <v>0</v>
      </c>
      <c r="L58" t="n">
        <v>0</v>
      </c>
      <c r="M58" t="n">
        <v>0</v>
      </c>
      <c r="N58" t="n">
        <v>0</v>
      </c>
      <c r="O58" t="n">
        <v>1</v>
      </c>
      <c r="P58" t="n">
        <v>0</v>
      </c>
      <c r="Q58" t="n">
        <v>1</v>
      </c>
      <c r="R58" s="2" t="inlineStr">
        <is>
          <t>Motaggsvamp</t>
        </is>
      </c>
      <c r="S58">
        <f>HYPERLINK("https://klasma.github.io/Logging_1907/artfynd/A 42089-2025 artfynd.xlsx", "A 42089-2025")</f>
        <v/>
      </c>
      <c r="T58">
        <f>HYPERLINK("https://klasma.github.io/Logging_1907/kartor/A 42089-2025 karta.png", "A 42089-2025")</f>
        <v/>
      </c>
      <c r="V58">
        <f>HYPERLINK("https://klasma.github.io/Logging_1907/klagomål/A 42089-2025 FSC-klagomål.docx", "A 42089-2025")</f>
        <v/>
      </c>
      <c r="W58">
        <f>HYPERLINK("https://klasma.github.io/Logging_1907/klagomålsmail/A 42089-2025 FSC-klagomål mail.docx", "A 42089-2025")</f>
        <v/>
      </c>
      <c r="X58">
        <f>HYPERLINK("https://klasma.github.io/Logging_1907/tillsyn/A 42089-2025 tillsynsbegäran.docx", "A 42089-2025")</f>
        <v/>
      </c>
      <c r="Y58">
        <f>HYPERLINK("https://klasma.github.io/Logging_1907/tillsynsmail/A 42089-2025 tillsynsbegäran mail.docx", "A 42089-2025")</f>
        <v/>
      </c>
    </row>
    <row r="59" ht="15" customHeight="1">
      <c r="A59" t="inlineStr">
        <is>
          <t>A 10819-2024</t>
        </is>
      </c>
      <c r="B59" s="1" t="n">
        <v>45369.66049768519</v>
      </c>
      <c r="C59" s="1" t="n">
        <v>46081</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40411-2021</t>
        </is>
      </c>
      <c r="B60" s="1" t="n">
        <v>44419</v>
      </c>
      <c r="C60" s="1" t="n">
        <v>46081</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46081</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46081</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46081</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55042-2025</t>
        </is>
      </c>
      <c r="B64" s="1" t="n">
        <v>45967.65858796296</v>
      </c>
      <c r="C64" s="1" t="n">
        <v>46081</v>
      </c>
      <c r="D64" t="inlineStr">
        <is>
          <t>VÄSTMANLANDS LÄN</t>
        </is>
      </c>
      <c r="E64" t="inlineStr">
        <is>
          <t>SURAHAMMAR</t>
        </is>
      </c>
      <c r="F64" t="inlineStr">
        <is>
          <t>Sveaskog</t>
        </is>
      </c>
      <c r="G64" t="n">
        <v>7.2</v>
      </c>
      <c r="H64" t="n">
        <v>0</v>
      </c>
      <c r="I64" t="n">
        <v>0</v>
      </c>
      <c r="J64" t="n">
        <v>1</v>
      </c>
      <c r="K64" t="n">
        <v>0</v>
      </c>
      <c r="L64" t="n">
        <v>0</v>
      </c>
      <c r="M64" t="n">
        <v>0</v>
      </c>
      <c r="N64" t="n">
        <v>0</v>
      </c>
      <c r="O64" t="n">
        <v>1</v>
      </c>
      <c r="P64" t="n">
        <v>0</v>
      </c>
      <c r="Q64" t="n">
        <v>1</v>
      </c>
      <c r="R64" s="2" t="inlineStr">
        <is>
          <t>Motaggsvamp</t>
        </is>
      </c>
      <c r="S64">
        <f>HYPERLINK("https://klasma.github.io/Logging_1907/artfynd/A 55042-2025 artfynd.xlsx", "A 55042-2025")</f>
        <v/>
      </c>
      <c r="T64">
        <f>HYPERLINK("https://klasma.github.io/Logging_1907/kartor/A 55042-2025 karta.png", "A 55042-2025")</f>
        <v/>
      </c>
      <c r="V64">
        <f>HYPERLINK("https://klasma.github.io/Logging_1907/klagomål/A 55042-2025 FSC-klagomål.docx", "A 55042-2025")</f>
        <v/>
      </c>
      <c r="W64">
        <f>HYPERLINK("https://klasma.github.io/Logging_1907/klagomålsmail/A 55042-2025 FSC-klagomål mail.docx", "A 55042-2025")</f>
        <v/>
      </c>
      <c r="X64">
        <f>HYPERLINK("https://klasma.github.io/Logging_1907/tillsyn/A 55042-2025 tillsynsbegäran.docx", "A 55042-2025")</f>
        <v/>
      </c>
      <c r="Y64">
        <f>HYPERLINK("https://klasma.github.io/Logging_1907/tillsynsmail/A 55042-2025 tillsynsbegäran mail.docx", "A 55042-2025")</f>
        <v/>
      </c>
    </row>
    <row r="65" ht="15" customHeight="1">
      <c r="A65" t="inlineStr">
        <is>
          <t>A 25583-2024</t>
        </is>
      </c>
      <c r="B65" s="1" t="n">
        <v>45463</v>
      </c>
      <c r="C65" s="1" t="n">
        <v>46081</v>
      </c>
      <c r="D65" t="inlineStr">
        <is>
          <t>VÄSTMANLANDS LÄN</t>
        </is>
      </c>
      <c r="E65" t="inlineStr">
        <is>
          <t>SURAHAMMAR</t>
        </is>
      </c>
      <c r="F65" t="inlineStr">
        <is>
          <t>Bergvik skog väst AB</t>
        </is>
      </c>
      <c r="G65" t="n">
        <v>7.8</v>
      </c>
      <c r="H65" t="n">
        <v>1</v>
      </c>
      <c r="I65" t="n">
        <v>0</v>
      </c>
      <c r="J65" t="n">
        <v>0</v>
      </c>
      <c r="K65" t="n">
        <v>0</v>
      </c>
      <c r="L65" t="n">
        <v>0</v>
      </c>
      <c r="M65" t="n">
        <v>0</v>
      </c>
      <c r="N65" t="n">
        <v>0</v>
      </c>
      <c r="O65" t="n">
        <v>0</v>
      </c>
      <c r="P65" t="n">
        <v>0</v>
      </c>
      <c r="Q65" t="n">
        <v>1</v>
      </c>
      <c r="R65" s="2" t="inlineStr">
        <is>
          <t>Blåsippa</t>
        </is>
      </c>
      <c r="S65">
        <f>HYPERLINK("https://klasma.github.io/Logging_1907/artfynd/A 25583-2024 artfynd.xlsx", "A 25583-2024")</f>
        <v/>
      </c>
      <c r="T65">
        <f>HYPERLINK("https://klasma.github.io/Logging_1907/kartor/A 25583-2024 karta.png", "A 25583-2024")</f>
        <v/>
      </c>
      <c r="V65">
        <f>HYPERLINK("https://klasma.github.io/Logging_1907/klagomål/A 25583-2024 FSC-klagomål.docx", "A 25583-2024")</f>
        <v/>
      </c>
      <c r="W65">
        <f>HYPERLINK("https://klasma.github.io/Logging_1907/klagomålsmail/A 25583-2024 FSC-klagomål mail.docx", "A 25583-2024")</f>
        <v/>
      </c>
      <c r="X65">
        <f>HYPERLINK("https://klasma.github.io/Logging_1907/tillsyn/A 25583-2024 tillsynsbegäran.docx", "A 25583-2024")</f>
        <v/>
      </c>
      <c r="Y65">
        <f>HYPERLINK("https://klasma.github.io/Logging_1907/tillsynsmail/A 25583-2024 tillsynsbegäran mail.docx", "A 25583-2024")</f>
        <v/>
      </c>
    </row>
    <row r="66" ht="15" customHeight="1">
      <c r="A66" t="inlineStr">
        <is>
          <t>A 56768-2025</t>
        </is>
      </c>
      <c r="B66" s="1" t="n">
        <v>45978</v>
      </c>
      <c r="C66" s="1" t="n">
        <v>46081</v>
      </c>
      <c r="D66" t="inlineStr">
        <is>
          <t>VÄSTMANLANDS LÄN</t>
        </is>
      </c>
      <c r="E66" t="inlineStr">
        <is>
          <t>SURAHAMMAR</t>
        </is>
      </c>
      <c r="F66" t="inlineStr">
        <is>
          <t>Sveaskog</t>
        </is>
      </c>
      <c r="G66" t="n">
        <v>3.8</v>
      </c>
      <c r="H66" t="n">
        <v>0</v>
      </c>
      <c r="I66" t="n">
        <v>0</v>
      </c>
      <c r="J66" t="n">
        <v>1</v>
      </c>
      <c r="K66" t="n">
        <v>0</v>
      </c>
      <c r="L66" t="n">
        <v>0</v>
      </c>
      <c r="M66" t="n">
        <v>0</v>
      </c>
      <c r="N66" t="n">
        <v>0</v>
      </c>
      <c r="O66" t="n">
        <v>1</v>
      </c>
      <c r="P66" t="n">
        <v>0</v>
      </c>
      <c r="Q66" t="n">
        <v>1</v>
      </c>
      <c r="R66" s="2" t="inlineStr">
        <is>
          <t>Motaggsvamp</t>
        </is>
      </c>
      <c r="S66">
        <f>HYPERLINK("https://klasma.github.io/Logging_1907/artfynd/A 56768-2025 artfynd.xlsx", "A 56768-2025")</f>
        <v/>
      </c>
      <c r="T66">
        <f>HYPERLINK("https://klasma.github.io/Logging_1907/kartor/A 56768-2025 karta.png", "A 56768-2025")</f>
        <v/>
      </c>
      <c r="V66">
        <f>HYPERLINK("https://klasma.github.io/Logging_1907/klagomål/A 56768-2025 FSC-klagomål.docx", "A 56768-2025")</f>
        <v/>
      </c>
      <c r="W66">
        <f>HYPERLINK("https://klasma.github.io/Logging_1907/klagomålsmail/A 56768-2025 FSC-klagomål mail.docx", "A 56768-2025")</f>
        <v/>
      </c>
      <c r="X66">
        <f>HYPERLINK("https://klasma.github.io/Logging_1907/tillsyn/A 56768-2025 tillsynsbegäran.docx", "A 56768-2025")</f>
        <v/>
      </c>
      <c r="Y66">
        <f>HYPERLINK("https://klasma.github.io/Logging_1907/tillsynsmail/A 56768-2025 tillsynsbegäran mail.docx", "A 56768-2025")</f>
        <v/>
      </c>
    </row>
    <row r="67" ht="15" customHeight="1">
      <c r="A67" t="inlineStr">
        <is>
          <t>A 13971-2023</t>
        </is>
      </c>
      <c r="B67" s="1" t="n">
        <v>45007</v>
      </c>
      <c r="C67" s="1" t="n">
        <v>46081</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46081</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46081</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63145-2025</t>
        </is>
      </c>
      <c r="B70" s="1" t="n">
        <v>46009</v>
      </c>
      <c r="C70" s="1" t="n">
        <v>46081</v>
      </c>
      <c r="D70" t="inlineStr">
        <is>
          <t>VÄSTMANLANDS LÄN</t>
        </is>
      </c>
      <c r="E70" t="inlineStr">
        <is>
          <t>SURAHAMMAR</t>
        </is>
      </c>
      <c r="F70" t="inlineStr">
        <is>
          <t>Bergvik skog väst AB</t>
        </is>
      </c>
      <c r="G70" t="n">
        <v>40.5</v>
      </c>
      <c r="H70" t="n">
        <v>0</v>
      </c>
      <c r="I70" t="n">
        <v>1</v>
      </c>
      <c r="J70" t="n">
        <v>0</v>
      </c>
      <c r="K70" t="n">
        <v>0</v>
      </c>
      <c r="L70" t="n">
        <v>0</v>
      </c>
      <c r="M70" t="n">
        <v>0</v>
      </c>
      <c r="N70" t="n">
        <v>0</v>
      </c>
      <c r="O70" t="n">
        <v>0</v>
      </c>
      <c r="P70" t="n">
        <v>0</v>
      </c>
      <c r="Q70" t="n">
        <v>1</v>
      </c>
      <c r="R70" s="2" t="inlineStr">
        <is>
          <t>Svart trolldruva</t>
        </is>
      </c>
      <c r="S70">
        <f>HYPERLINK("https://klasma.github.io/Logging_1907/artfynd/A 63145-2025 artfynd.xlsx", "A 63145-2025")</f>
        <v/>
      </c>
      <c r="T70">
        <f>HYPERLINK("https://klasma.github.io/Logging_1907/kartor/A 63145-2025 karta.png", "A 63145-2025")</f>
        <v/>
      </c>
      <c r="V70">
        <f>HYPERLINK("https://klasma.github.io/Logging_1907/klagomål/A 63145-2025 FSC-klagomål.docx", "A 63145-2025")</f>
        <v/>
      </c>
      <c r="W70">
        <f>HYPERLINK("https://klasma.github.io/Logging_1907/klagomålsmail/A 63145-2025 FSC-klagomål mail.docx", "A 63145-2025")</f>
        <v/>
      </c>
      <c r="X70">
        <f>HYPERLINK("https://klasma.github.io/Logging_1907/tillsyn/A 63145-2025 tillsynsbegäran.docx", "A 63145-2025")</f>
        <v/>
      </c>
      <c r="Y70">
        <f>HYPERLINK("https://klasma.github.io/Logging_1907/tillsynsmail/A 63145-2025 tillsynsbegäran mail.docx", "A 63145-2025")</f>
        <v/>
      </c>
    </row>
    <row r="71" ht="15" customHeight="1">
      <c r="A71" t="inlineStr">
        <is>
          <t>A 17632-2022</t>
        </is>
      </c>
      <c r="B71" s="1" t="n">
        <v>44680</v>
      </c>
      <c r="C71" s="1" t="n">
        <v>46081</v>
      </c>
      <c r="D71" t="inlineStr">
        <is>
          <t>VÄSTMANLANDS LÄN</t>
        </is>
      </c>
      <c r="E71" t="inlineStr">
        <is>
          <t>SURAHAMMAR</t>
        </is>
      </c>
      <c r="G71" t="n">
        <v>5.2</v>
      </c>
      <c r="H71" t="n">
        <v>0</v>
      </c>
      <c r="I71" t="n">
        <v>1</v>
      </c>
      <c r="J71" t="n">
        <v>0</v>
      </c>
      <c r="K71" t="n">
        <v>0</v>
      </c>
      <c r="L71" t="n">
        <v>0</v>
      </c>
      <c r="M71" t="n">
        <v>0</v>
      </c>
      <c r="N71" t="n">
        <v>0</v>
      </c>
      <c r="O71" t="n">
        <v>0</v>
      </c>
      <c r="P71" t="n">
        <v>0</v>
      </c>
      <c r="Q71" t="n">
        <v>1</v>
      </c>
      <c r="R71" s="2" t="inlineStr">
        <is>
          <t>Blodticka</t>
        </is>
      </c>
      <c r="S71">
        <f>HYPERLINK("https://klasma.github.io/Logging_1907/artfynd/A 17632-2022 artfynd.xlsx", "A 17632-2022")</f>
        <v/>
      </c>
      <c r="T71">
        <f>HYPERLINK("https://klasma.github.io/Logging_1907/kartor/A 17632-2022 karta.png", "A 17632-2022")</f>
        <v/>
      </c>
      <c r="V71">
        <f>HYPERLINK("https://klasma.github.io/Logging_1907/klagomål/A 17632-2022 FSC-klagomål.docx", "A 17632-2022")</f>
        <v/>
      </c>
      <c r="W71">
        <f>HYPERLINK("https://klasma.github.io/Logging_1907/klagomålsmail/A 17632-2022 FSC-klagomål mail.docx", "A 17632-2022")</f>
        <v/>
      </c>
      <c r="X71">
        <f>HYPERLINK("https://klasma.github.io/Logging_1907/tillsyn/A 17632-2022 tillsynsbegäran.docx", "A 17632-2022")</f>
        <v/>
      </c>
      <c r="Y71">
        <f>HYPERLINK("https://klasma.github.io/Logging_1907/tillsynsmail/A 17632-2022 tillsynsbegäran mail.docx", "A 17632-2022")</f>
        <v/>
      </c>
    </row>
    <row r="72" ht="15" customHeight="1">
      <c r="A72" t="inlineStr">
        <is>
          <t>A 22840-2023</t>
        </is>
      </c>
      <c r="B72" s="1" t="n">
        <v>45072</v>
      </c>
      <c r="C72" s="1" t="n">
        <v>46081</v>
      </c>
      <c r="D72" t="inlineStr">
        <is>
          <t>VÄSTMANLANDS LÄN</t>
        </is>
      </c>
      <c r="E72" t="inlineStr">
        <is>
          <t>SURAHAMMAR</t>
        </is>
      </c>
      <c r="G72" t="n">
        <v>4.3</v>
      </c>
      <c r="H72" t="n">
        <v>1</v>
      </c>
      <c r="I72" t="n">
        <v>0</v>
      </c>
      <c r="J72" t="n">
        <v>0</v>
      </c>
      <c r="K72" t="n">
        <v>0</v>
      </c>
      <c r="L72" t="n">
        <v>0</v>
      </c>
      <c r="M72" t="n">
        <v>0</v>
      </c>
      <c r="N72" t="n">
        <v>0</v>
      </c>
      <c r="O72" t="n">
        <v>0</v>
      </c>
      <c r="P72" t="n">
        <v>0</v>
      </c>
      <c r="Q72" t="n">
        <v>1</v>
      </c>
      <c r="R72" s="2" t="inlineStr">
        <is>
          <t>Fläcknycklar</t>
        </is>
      </c>
      <c r="S72">
        <f>HYPERLINK("https://klasma.github.io/Logging_1907/artfynd/A 22840-2023 artfynd.xlsx", "A 22840-2023")</f>
        <v/>
      </c>
      <c r="T72">
        <f>HYPERLINK("https://klasma.github.io/Logging_1907/kartor/A 22840-2023 karta.png", "A 22840-2023")</f>
        <v/>
      </c>
      <c r="V72">
        <f>HYPERLINK("https://klasma.github.io/Logging_1907/klagomål/A 22840-2023 FSC-klagomål.docx", "A 22840-2023")</f>
        <v/>
      </c>
      <c r="W72">
        <f>HYPERLINK("https://klasma.github.io/Logging_1907/klagomålsmail/A 22840-2023 FSC-klagomål mail.docx", "A 22840-2023")</f>
        <v/>
      </c>
      <c r="X72">
        <f>HYPERLINK("https://klasma.github.io/Logging_1907/tillsyn/A 22840-2023 tillsynsbegäran.docx", "A 22840-2023")</f>
        <v/>
      </c>
      <c r="Y72">
        <f>HYPERLINK("https://klasma.github.io/Logging_1907/tillsynsmail/A 22840-2023 tillsynsbegäran mail.docx", "A 22840-2023")</f>
        <v/>
      </c>
    </row>
    <row r="73" ht="15" customHeight="1">
      <c r="A73" t="inlineStr">
        <is>
          <t>A 43451-2024</t>
        </is>
      </c>
      <c r="B73" s="1" t="n">
        <v>45568</v>
      </c>
      <c r="C73" s="1" t="n">
        <v>46081</v>
      </c>
      <c r="D73" t="inlineStr">
        <is>
          <t>VÄSTMANLANDS LÄN</t>
        </is>
      </c>
      <c r="E73" t="inlineStr">
        <is>
          <t>SURAHAMMAR</t>
        </is>
      </c>
      <c r="F73" t="inlineStr">
        <is>
          <t>Bergvik skog väst AB</t>
        </is>
      </c>
      <c r="G73" t="n">
        <v>2.9</v>
      </c>
      <c r="H73" t="n">
        <v>0</v>
      </c>
      <c r="I73" t="n">
        <v>0</v>
      </c>
      <c r="J73" t="n">
        <v>1</v>
      </c>
      <c r="K73" t="n">
        <v>0</v>
      </c>
      <c r="L73" t="n">
        <v>0</v>
      </c>
      <c r="M73" t="n">
        <v>0</v>
      </c>
      <c r="N73" t="n">
        <v>0</v>
      </c>
      <c r="O73" t="n">
        <v>1</v>
      </c>
      <c r="P73" t="n">
        <v>0</v>
      </c>
      <c r="Q73" t="n">
        <v>1</v>
      </c>
      <c r="R73" s="2" t="inlineStr">
        <is>
          <t>Ullticka</t>
        </is>
      </c>
      <c r="S73">
        <f>HYPERLINK("https://klasma.github.io/Logging_1907/artfynd/A 43451-2024 artfynd.xlsx", "A 43451-2024")</f>
        <v/>
      </c>
      <c r="T73">
        <f>HYPERLINK("https://klasma.github.io/Logging_1907/kartor/A 43451-2024 karta.png", "A 43451-2024")</f>
        <v/>
      </c>
      <c r="V73">
        <f>HYPERLINK("https://klasma.github.io/Logging_1907/klagomål/A 43451-2024 FSC-klagomål.docx", "A 43451-2024")</f>
        <v/>
      </c>
      <c r="W73">
        <f>HYPERLINK("https://klasma.github.io/Logging_1907/klagomålsmail/A 43451-2024 FSC-klagomål mail.docx", "A 43451-2024")</f>
        <v/>
      </c>
      <c r="X73">
        <f>HYPERLINK("https://klasma.github.io/Logging_1907/tillsyn/A 43451-2024 tillsynsbegäran.docx", "A 43451-2024")</f>
        <v/>
      </c>
      <c r="Y73">
        <f>HYPERLINK("https://klasma.github.io/Logging_1907/tillsynsmail/A 43451-2024 tillsynsbegäran mail.docx", "A 43451-2024")</f>
        <v/>
      </c>
    </row>
    <row r="74" ht="15" customHeight="1">
      <c r="A74" t="inlineStr">
        <is>
          <t>A 13788-2025</t>
        </is>
      </c>
      <c r="B74" s="1" t="n">
        <v>45737.45327546296</v>
      </c>
      <c r="C74" s="1" t="n">
        <v>46081</v>
      </c>
      <c r="D74" t="inlineStr">
        <is>
          <t>VÄSTMANLANDS LÄN</t>
        </is>
      </c>
      <c r="E74" t="inlineStr">
        <is>
          <t>SURAHAMMAR</t>
        </is>
      </c>
      <c r="G74" t="n">
        <v>9.699999999999999</v>
      </c>
      <c r="H74" t="n">
        <v>1</v>
      </c>
      <c r="I74" t="n">
        <v>0</v>
      </c>
      <c r="J74" t="n">
        <v>0</v>
      </c>
      <c r="K74" t="n">
        <v>0</v>
      </c>
      <c r="L74" t="n">
        <v>0</v>
      </c>
      <c r="M74" t="n">
        <v>0</v>
      </c>
      <c r="N74" t="n">
        <v>0</v>
      </c>
      <c r="O74" t="n">
        <v>0</v>
      </c>
      <c r="P74" t="n">
        <v>0</v>
      </c>
      <c r="Q74" t="n">
        <v>1</v>
      </c>
      <c r="R74" s="2" t="inlineStr">
        <is>
          <t>Sparvuggla</t>
        </is>
      </c>
      <c r="S74">
        <f>HYPERLINK("https://klasma.github.io/Logging_1907/artfynd/A 13788-2025 artfynd.xlsx", "A 13788-2025")</f>
        <v/>
      </c>
      <c r="T74">
        <f>HYPERLINK("https://klasma.github.io/Logging_1907/kartor/A 13788-2025 karta.png", "A 13788-2025")</f>
        <v/>
      </c>
      <c r="V74">
        <f>HYPERLINK("https://klasma.github.io/Logging_1907/klagomål/A 13788-2025 FSC-klagomål.docx", "A 13788-2025")</f>
        <v/>
      </c>
      <c r="W74">
        <f>HYPERLINK("https://klasma.github.io/Logging_1907/klagomålsmail/A 13788-2025 FSC-klagomål mail.docx", "A 13788-2025")</f>
        <v/>
      </c>
      <c r="X74">
        <f>HYPERLINK("https://klasma.github.io/Logging_1907/tillsyn/A 13788-2025 tillsynsbegäran.docx", "A 13788-2025")</f>
        <v/>
      </c>
      <c r="Y74">
        <f>HYPERLINK("https://klasma.github.io/Logging_1907/tillsynsmail/A 13788-2025 tillsynsbegäran mail.docx", "A 13788-2025")</f>
        <v/>
      </c>
      <c r="Z74">
        <f>HYPERLINK("https://klasma.github.io/Logging_1907/fåglar/A 13788-2025 prioriterade fågelarter.docx", "A 13788-2025")</f>
        <v/>
      </c>
    </row>
    <row r="75" ht="15" customHeight="1">
      <c r="A75" t="inlineStr">
        <is>
          <t>A 64073-2021</t>
        </is>
      </c>
      <c r="B75" s="1" t="n">
        <v>44509</v>
      </c>
      <c r="C75" s="1" t="n">
        <v>46081</v>
      </c>
      <c r="D75" t="inlineStr">
        <is>
          <t>VÄSTMANLANDS LÄN</t>
        </is>
      </c>
      <c r="E75" t="inlineStr">
        <is>
          <t>SURAHAMMAR</t>
        </is>
      </c>
      <c r="G75" t="n">
        <v>0.4</v>
      </c>
      <c r="H75" t="n">
        <v>0</v>
      </c>
      <c r="I75" t="n">
        <v>0</v>
      </c>
      <c r="J75" t="n">
        <v>0</v>
      </c>
      <c r="K75" t="n">
        <v>0</v>
      </c>
      <c r="L75" t="n">
        <v>0</v>
      </c>
      <c r="M75" t="n">
        <v>0</v>
      </c>
      <c r="N75" t="n">
        <v>0</v>
      </c>
      <c r="O75" t="n">
        <v>0</v>
      </c>
      <c r="P75" t="n">
        <v>0</v>
      </c>
      <c r="Q75" t="n">
        <v>0</v>
      </c>
      <c r="R75" s="2" t="inlineStr"/>
    </row>
    <row r="76" ht="15" customHeight="1">
      <c r="A76" t="inlineStr">
        <is>
          <t>A 24804-2021</t>
        </is>
      </c>
      <c r="B76" s="1" t="n">
        <v>44340</v>
      </c>
      <c r="C76" s="1" t="n">
        <v>46081</v>
      </c>
      <c r="D76" t="inlineStr">
        <is>
          <t>VÄSTMANLANDS LÄN</t>
        </is>
      </c>
      <c r="E76" t="inlineStr">
        <is>
          <t>SURAHAMMAR</t>
        </is>
      </c>
      <c r="F76" t="inlineStr">
        <is>
          <t>Bergvik skog väst AB</t>
        </is>
      </c>
      <c r="G76" t="n">
        <v>1.6</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46081</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19845-2022</t>
        </is>
      </c>
      <c r="B78" s="1" t="n">
        <v>44696.88850694444</v>
      </c>
      <c r="C78" s="1" t="n">
        <v>46081</v>
      </c>
      <c r="D78" t="inlineStr">
        <is>
          <t>VÄSTMANLANDS LÄN</t>
        </is>
      </c>
      <c r="E78" t="inlineStr">
        <is>
          <t>SURAHAMMAR</t>
        </is>
      </c>
      <c r="F78" t="inlineStr">
        <is>
          <t>Kommuner</t>
        </is>
      </c>
      <c r="G78" t="n">
        <v>3.3</v>
      </c>
      <c r="H78" t="n">
        <v>0</v>
      </c>
      <c r="I78" t="n">
        <v>0</v>
      </c>
      <c r="J78" t="n">
        <v>0</v>
      </c>
      <c r="K78" t="n">
        <v>0</v>
      </c>
      <c r="L78" t="n">
        <v>0</v>
      </c>
      <c r="M78" t="n">
        <v>0</v>
      </c>
      <c r="N78" t="n">
        <v>0</v>
      </c>
      <c r="O78" t="n">
        <v>0</v>
      </c>
      <c r="P78" t="n">
        <v>0</v>
      </c>
      <c r="Q78" t="n">
        <v>0</v>
      </c>
      <c r="R78" s="2" t="inlineStr"/>
    </row>
    <row r="79" ht="15" customHeight="1">
      <c r="A79" t="inlineStr">
        <is>
          <t>A 32491-2022</t>
        </is>
      </c>
      <c r="B79" s="1" t="n">
        <v>44782</v>
      </c>
      <c r="C79" s="1" t="n">
        <v>46081</v>
      </c>
      <c r="D79" t="inlineStr">
        <is>
          <t>VÄSTMANLANDS LÄN</t>
        </is>
      </c>
      <c r="E79" t="inlineStr">
        <is>
          <t>SURAHAMMAR</t>
        </is>
      </c>
      <c r="F79" t="inlineStr">
        <is>
          <t>Bergvik skog väst AB</t>
        </is>
      </c>
      <c r="G79" t="n">
        <v>1.5</v>
      </c>
      <c r="H79" t="n">
        <v>0</v>
      </c>
      <c r="I79" t="n">
        <v>0</v>
      </c>
      <c r="J79" t="n">
        <v>0</v>
      </c>
      <c r="K79" t="n">
        <v>0</v>
      </c>
      <c r="L79" t="n">
        <v>0</v>
      </c>
      <c r="M79" t="n">
        <v>0</v>
      </c>
      <c r="N79" t="n">
        <v>0</v>
      </c>
      <c r="O79" t="n">
        <v>0</v>
      </c>
      <c r="P79" t="n">
        <v>0</v>
      </c>
      <c r="Q79" t="n">
        <v>0</v>
      </c>
      <c r="R79" s="2" t="inlineStr"/>
    </row>
    <row r="80" ht="15" customHeight="1">
      <c r="A80" t="inlineStr">
        <is>
          <t>A 37799-2021</t>
        </is>
      </c>
      <c r="B80" s="1" t="n">
        <v>44402</v>
      </c>
      <c r="C80" s="1" t="n">
        <v>46081</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73156-2021</t>
        </is>
      </c>
      <c r="B81" s="1" t="n">
        <v>44550</v>
      </c>
      <c r="C81" s="1" t="n">
        <v>46081</v>
      </c>
      <c r="D81" t="inlineStr">
        <is>
          <t>VÄSTMANLANDS LÄN</t>
        </is>
      </c>
      <c r="E81" t="inlineStr">
        <is>
          <t>SURAHAMMAR</t>
        </is>
      </c>
      <c r="F81" t="inlineStr">
        <is>
          <t>Övriga Aktiebolag</t>
        </is>
      </c>
      <c r="G81" t="n">
        <v>2.5</v>
      </c>
      <c r="H81" t="n">
        <v>0</v>
      </c>
      <c r="I81" t="n">
        <v>0</v>
      </c>
      <c r="J81" t="n">
        <v>0</v>
      </c>
      <c r="K81" t="n">
        <v>0</v>
      </c>
      <c r="L81" t="n">
        <v>0</v>
      </c>
      <c r="M81" t="n">
        <v>0</v>
      </c>
      <c r="N81" t="n">
        <v>0</v>
      </c>
      <c r="O81" t="n">
        <v>0</v>
      </c>
      <c r="P81" t="n">
        <v>0</v>
      </c>
      <c r="Q81" t="n">
        <v>0</v>
      </c>
      <c r="R81" s="2" t="inlineStr"/>
    </row>
    <row r="82" ht="15" customHeight="1">
      <c r="A82" t="inlineStr">
        <is>
          <t>A 38178-2021</t>
        </is>
      </c>
      <c r="B82" s="1" t="n">
        <v>44405</v>
      </c>
      <c r="C82" s="1" t="n">
        <v>46081</v>
      </c>
      <c r="D82" t="inlineStr">
        <is>
          <t>VÄSTMANLANDS LÄN</t>
        </is>
      </c>
      <c r="E82" t="inlineStr">
        <is>
          <t>SURAHAMMAR</t>
        </is>
      </c>
      <c r="F82" t="inlineStr">
        <is>
          <t>Sveaskog</t>
        </is>
      </c>
      <c r="G82" t="n">
        <v>1.3</v>
      </c>
      <c r="H82" t="n">
        <v>0</v>
      </c>
      <c r="I82" t="n">
        <v>0</v>
      </c>
      <c r="J82" t="n">
        <v>0</v>
      </c>
      <c r="K82" t="n">
        <v>0</v>
      </c>
      <c r="L82" t="n">
        <v>0</v>
      </c>
      <c r="M82" t="n">
        <v>0</v>
      </c>
      <c r="N82" t="n">
        <v>0</v>
      </c>
      <c r="O82" t="n">
        <v>0</v>
      </c>
      <c r="P82" t="n">
        <v>0</v>
      </c>
      <c r="Q82" t="n">
        <v>0</v>
      </c>
      <c r="R82" s="2" t="inlineStr"/>
    </row>
    <row r="83" ht="15" customHeight="1">
      <c r="A83" t="inlineStr">
        <is>
          <t>A 21839-2021</t>
        </is>
      </c>
      <c r="B83" s="1" t="n">
        <v>44322</v>
      </c>
      <c r="C83" s="1" t="n">
        <v>46081</v>
      </c>
      <c r="D83" t="inlineStr">
        <is>
          <t>VÄSTMANLANDS LÄN</t>
        </is>
      </c>
      <c r="E83" t="inlineStr">
        <is>
          <t>SURAHAMMAR</t>
        </is>
      </c>
      <c r="G83" t="n">
        <v>1.6</v>
      </c>
      <c r="H83" t="n">
        <v>0</v>
      </c>
      <c r="I83" t="n">
        <v>0</v>
      </c>
      <c r="J83" t="n">
        <v>0</v>
      </c>
      <c r="K83" t="n">
        <v>0</v>
      </c>
      <c r="L83" t="n">
        <v>0</v>
      </c>
      <c r="M83" t="n">
        <v>0</v>
      </c>
      <c r="N83" t="n">
        <v>0</v>
      </c>
      <c r="O83" t="n">
        <v>0</v>
      </c>
      <c r="P83" t="n">
        <v>0</v>
      </c>
      <c r="Q83" t="n">
        <v>0</v>
      </c>
      <c r="R83" s="2" t="inlineStr"/>
    </row>
    <row r="84" ht="15" customHeight="1">
      <c r="A84" t="inlineStr">
        <is>
          <t>A 31468-2021</t>
        </is>
      </c>
      <c r="B84" s="1" t="n">
        <v>44369</v>
      </c>
      <c r="C84" s="1" t="n">
        <v>46081</v>
      </c>
      <c r="D84" t="inlineStr">
        <is>
          <t>VÄSTMANLANDS LÄN</t>
        </is>
      </c>
      <c r="E84" t="inlineStr">
        <is>
          <t>SURAHAMMAR</t>
        </is>
      </c>
      <c r="G84" t="n">
        <v>1.1</v>
      </c>
      <c r="H84" t="n">
        <v>0</v>
      </c>
      <c r="I84" t="n">
        <v>0</v>
      </c>
      <c r="J84" t="n">
        <v>0</v>
      </c>
      <c r="K84" t="n">
        <v>0</v>
      </c>
      <c r="L84" t="n">
        <v>0</v>
      </c>
      <c r="M84" t="n">
        <v>0</v>
      </c>
      <c r="N84" t="n">
        <v>0</v>
      </c>
      <c r="O84" t="n">
        <v>0</v>
      </c>
      <c r="P84" t="n">
        <v>0</v>
      </c>
      <c r="Q84" t="n">
        <v>0</v>
      </c>
      <c r="R84" s="2" t="inlineStr"/>
    </row>
    <row r="85" ht="15" customHeight="1">
      <c r="A85" t="inlineStr">
        <is>
          <t>A 3595-2022</t>
        </is>
      </c>
      <c r="B85" s="1" t="n">
        <v>44586</v>
      </c>
      <c r="C85" s="1" t="n">
        <v>46081</v>
      </c>
      <c r="D85" t="inlineStr">
        <is>
          <t>VÄSTMANLANDS LÄN</t>
        </is>
      </c>
      <c r="E85" t="inlineStr">
        <is>
          <t>SURAHAMMAR</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3155-2022</t>
        </is>
      </c>
      <c r="B86" s="1" t="n">
        <v>44582</v>
      </c>
      <c r="C86" s="1" t="n">
        <v>46081</v>
      </c>
      <c r="D86" t="inlineStr">
        <is>
          <t>VÄSTMANLANDS LÄN</t>
        </is>
      </c>
      <c r="E86" t="inlineStr">
        <is>
          <t>SURAHAMMAR</t>
        </is>
      </c>
      <c r="G86" t="n">
        <v>5.5</v>
      </c>
      <c r="H86" t="n">
        <v>0</v>
      </c>
      <c r="I86" t="n">
        <v>0</v>
      </c>
      <c r="J86" t="n">
        <v>0</v>
      </c>
      <c r="K86" t="n">
        <v>0</v>
      </c>
      <c r="L86" t="n">
        <v>0</v>
      </c>
      <c r="M86" t="n">
        <v>0</v>
      </c>
      <c r="N86" t="n">
        <v>0</v>
      </c>
      <c r="O86" t="n">
        <v>0</v>
      </c>
      <c r="P86" t="n">
        <v>0</v>
      </c>
      <c r="Q86" t="n">
        <v>0</v>
      </c>
      <c r="R86" s="2" t="inlineStr"/>
    </row>
    <row r="87" ht="15" customHeight="1">
      <c r="A87" t="inlineStr">
        <is>
          <t>A 66350-2021</t>
        </is>
      </c>
      <c r="B87" s="1" t="n">
        <v>44518</v>
      </c>
      <c r="C87" s="1" t="n">
        <v>46081</v>
      </c>
      <c r="D87" t="inlineStr">
        <is>
          <t>VÄSTMANLANDS LÄN</t>
        </is>
      </c>
      <c r="E87" t="inlineStr">
        <is>
          <t>SURAHAMMAR</t>
        </is>
      </c>
      <c r="F87" t="inlineStr">
        <is>
          <t>Sveaskog</t>
        </is>
      </c>
      <c r="G87" t="n">
        <v>3.5</v>
      </c>
      <c r="H87" t="n">
        <v>0</v>
      </c>
      <c r="I87" t="n">
        <v>0</v>
      </c>
      <c r="J87" t="n">
        <v>0</v>
      </c>
      <c r="K87" t="n">
        <v>0</v>
      </c>
      <c r="L87" t="n">
        <v>0</v>
      </c>
      <c r="M87" t="n">
        <v>0</v>
      </c>
      <c r="N87" t="n">
        <v>0</v>
      </c>
      <c r="O87" t="n">
        <v>0</v>
      </c>
      <c r="P87" t="n">
        <v>0</v>
      </c>
      <c r="Q87" t="n">
        <v>0</v>
      </c>
      <c r="R87" s="2" t="inlineStr"/>
    </row>
    <row r="88" ht="15" customHeight="1">
      <c r="A88" t="inlineStr">
        <is>
          <t>A 19846-2022</t>
        </is>
      </c>
      <c r="B88" s="1" t="n">
        <v>44696.89327546296</v>
      </c>
      <c r="C88" s="1" t="n">
        <v>46081</v>
      </c>
      <c r="D88" t="inlineStr">
        <is>
          <t>VÄSTMANLANDS LÄN</t>
        </is>
      </c>
      <c r="E88" t="inlineStr">
        <is>
          <t>SURAHAMMAR</t>
        </is>
      </c>
      <c r="F88" t="inlineStr">
        <is>
          <t>Kommuner</t>
        </is>
      </c>
      <c r="G88" t="n">
        <v>3.4</v>
      </c>
      <c r="H88" t="n">
        <v>0</v>
      </c>
      <c r="I88" t="n">
        <v>0</v>
      </c>
      <c r="J88" t="n">
        <v>0</v>
      </c>
      <c r="K88" t="n">
        <v>0</v>
      </c>
      <c r="L88" t="n">
        <v>0</v>
      </c>
      <c r="M88" t="n">
        <v>0</v>
      </c>
      <c r="N88" t="n">
        <v>0</v>
      </c>
      <c r="O88" t="n">
        <v>0</v>
      </c>
      <c r="P88" t="n">
        <v>0</v>
      </c>
      <c r="Q88" t="n">
        <v>0</v>
      </c>
      <c r="R88" s="2" t="inlineStr"/>
    </row>
    <row r="89" ht="15" customHeight="1">
      <c r="A89" t="inlineStr">
        <is>
          <t>A 19637-2022</t>
        </is>
      </c>
      <c r="B89" s="1" t="n">
        <v>44694</v>
      </c>
      <c r="C89" s="1" t="n">
        <v>46081</v>
      </c>
      <c r="D89" t="inlineStr">
        <is>
          <t>VÄSTMANLANDS LÄN</t>
        </is>
      </c>
      <c r="E89" t="inlineStr">
        <is>
          <t>SURAHAMMAR</t>
        </is>
      </c>
      <c r="F89" t="inlineStr">
        <is>
          <t>Bergvik skog väst AB</t>
        </is>
      </c>
      <c r="G89" t="n">
        <v>0.7</v>
      </c>
      <c r="H89" t="n">
        <v>0</v>
      </c>
      <c r="I89" t="n">
        <v>0</v>
      </c>
      <c r="J89" t="n">
        <v>0</v>
      </c>
      <c r="K89" t="n">
        <v>0</v>
      </c>
      <c r="L89" t="n">
        <v>0</v>
      </c>
      <c r="M89" t="n">
        <v>0</v>
      </c>
      <c r="N89" t="n">
        <v>0</v>
      </c>
      <c r="O89" t="n">
        <v>0</v>
      </c>
      <c r="P89" t="n">
        <v>0</v>
      </c>
      <c r="Q89" t="n">
        <v>0</v>
      </c>
      <c r="R89" s="2" t="inlineStr"/>
    </row>
    <row r="90" ht="15" customHeight="1">
      <c r="A90" t="inlineStr">
        <is>
          <t>A 66342-2021</t>
        </is>
      </c>
      <c r="B90" s="1" t="n">
        <v>44518</v>
      </c>
      <c r="C90" s="1" t="n">
        <v>46081</v>
      </c>
      <c r="D90" t="inlineStr">
        <is>
          <t>VÄSTMANLANDS LÄN</t>
        </is>
      </c>
      <c r="E90" t="inlineStr">
        <is>
          <t>SURAHAMMAR</t>
        </is>
      </c>
      <c r="F90" t="inlineStr">
        <is>
          <t>Sveaskog</t>
        </is>
      </c>
      <c r="G90" t="n">
        <v>1.4</v>
      </c>
      <c r="H90" t="n">
        <v>0</v>
      </c>
      <c r="I90" t="n">
        <v>0</v>
      </c>
      <c r="J90" t="n">
        <v>0</v>
      </c>
      <c r="K90" t="n">
        <v>0</v>
      </c>
      <c r="L90" t="n">
        <v>0</v>
      </c>
      <c r="M90" t="n">
        <v>0</v>
      </c>
      <c r="N90" t="n">
        <v>0</v>
      </c>
      <c r="O90" t="n">
        <v>0</v>
      </c>
      <c r="P90" t="n">
        <v>0</v>
      </c>
      <c r="Q90" t="n">
        <v>0</v>
      </c>
      <c r="R90" s="2" t="inlineStr"/>
    </row>
    <row r="91" ht="15" customHeight="1">
      <c r="A91" t="inlineStr">
        <is>
          <t>A 34957-2022</t>
        </is>
      </c>
      <c r="B91" s="1" t="n">
        <v>44796.64672453704</v>
      </c>
      <c r="C91" s="1" t="n">
        <v>46081</v>
      </c>
      <c r="D91" t="inlineStr">
        <is>
          <t>VÄSTMANLANDS LÄN</t>
        </is>
      </c>
      <c r="E91" t="inlineStr">
        <is>
          <t>SURAHAMMAR</t>
        </is>
      </c>
      <c r="F91" t="inlineStr">
        <is>
          <t>Sveaskog</t>
        </is>
      </c>
      <c r="G91" t="n">
        <v>0.8</v>
      </c>
      <c r="H91" t="n">
        <v>0</v>
      </c>
      <c r="I91" t="n">
        <v>0</v>
      </c>
      <c r="J91" t="n">
        <v>0</v>
      </c>
      <c r="K91" t="n">
        <v>0</v>
      </c>
      <c r="L91" t="n">
        <v>0</v>
      </c>
      <c r="M91" t="n">
        <v>0</v>
      </c>
      <c r="N91" t="n">
        <v>0</v>
      </c>
      <c r="O91" t="n">
        <v>0</v>
      </c>
      <c r="P91" t="n">
        <v>0</v>
      </c>
      <c r="Q91" t="n">
        <v>0</v>
      </c>
      <c r="R91" s="2" t="inlineStr"/>
    </row>
    <row r="92" ht="15" customHeight="1">
      <c r="A92" t="inlineStr">
        <is>
          <t>A 18723-2021</t>
        </is>
      </c>
      <c r="B92" s="1" t="n">
        <v>44306</v>
      </c>
      <c r="C92" s="1" t="n">
        <v>46081</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46081</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46081</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46081</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46081</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46081</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46081</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46081</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46081</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46081</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42088-2025</t>
        </is>
      </c>
      <c r="B102" s="1" t="n">
        <v>45902</v>
      </c>
      <c r="C102" s="1" t="n">
        <v>46081</v>
      </c>
      <c r="D102" t="inlineStr">
        <is>
          <t>VÄSTMANLANDS LÄN</t>
        </is>
      </c>
      <c r="E102" t="inlineStr">
        <is>
          <t>SURAHAMMAR</t>
        </is>
      </c>
      <c r="G102" t="n">
        <v>1</v>
      </c>
      <c r="H102" t="n">
        <v>0</v>
      </c>
      <c r="I102" t="n">
        <v>0</v>
      </c>
      <c r="J102" t="n">
        <v>0</v>
      </c>
      <c r="K102" t="n">
        <v>0</v>
      </c>
      <c r="L102" t="n">
        <v>0</v>
      </c>
      <c r="M102" t="n">
        <v>0</v>
      </c>
      <c r="N102" t="n">
        <v>0</v>
      </c>
      <c r="O102" t="n">
        <v>0</v>
      </c>
      <c r="P102" t="n">
        <v>0</v>
      </c>
      <c r="Q102" t="n">
        <v>0</v>
      </c>
      <c r="R102" s="2" t="inlineStr"/>
    </row>
    <row r="103" ht="15" customHeight="1">
      <c r="A103" t="inlineStr">
        <is>
          <t>A 8553-2023</t>
        </is>
      </c>
      <c r="B103" s="1" t="n">
        <v>44977</v>
      </c>
      <c r="C103" s="1" t="n">
        <v>46081</v>
      </c>
      <c r="D103" t="inlineStr">
        <is>
          <t>VÄSTMANLANDS LÄN</t>
        </is>
      </c>
      <c r="E103" t="inlineStr">
        <is>
          <t>SURAHAMMAR</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56378-2023</t>
        </is>
      </c>
      <c r="B104" s="1" t="n">
        <v>45236</v>
      </c>
      <c r="C104" s="1" t="n">
        <v>46081</v>
      </c>
      <c r="D104" t="inlineStr">
        <is>
          <t>VÄSTMANLANDS LÄN</t>
        </is>
      </c>
      <c r="E104" t="inlineStr">
        <is>
          <t>SURAHAMMAR</t>
        </is>
      </c>
      <c r="F104" t="inlineStr">
        <is>
          <t>Bergvik skog väst AB</t>
        </is>
      </c>
      <c r="G104" t="n">
        <v>4.6</v>
      </c>
      <c r="H104" t="n">
        <v>0</v>
      </c>
      <c r="I104" t="n">
        <v>0</v>
      </c>
      <c r="J104" t="n">
        <v>0</v>
      </c>
      <c r="K104" t="n">
        <v>0</v>
      </c>
      <c r="L104" t="n">
        <v>0</v>
      </c>
      <c r="M104" t="n">
        <v>0</v>
      </c>
      <c r="N104" t="n">
        <v>0</v>
      </c>
      <c r="O104" t="n">
        <v>0</v>
      </c>
      <c r="P104" t="n">
        <v>0</v>
      </c>
      <c r="Q104" t="n">
        <v>0</v>
      </c>
      <c r="R104" s="2" t="inlineStr"/>
    </row>
    <row r="105" ht="15" customHeight="1">
      <c r="A105" t="inlineStr">
        <is>
          <t>A 11728-2023</t>
        </is>
      </c>
      <c r="B105" s="1" t="n">
        <v>44993</v>
      </c>
      <c r="C105" s="1" t="n">
        <v>46081</v>
      </c>
      <c r="D105" t="inlineStr">
        <is>
          <t>VÄSTMANLANDS LÄN</t>
        </is>
      </c>
      <c r="E105" t="inlineStr">
        <is>
          <t>SURAHAMMAR</t>
        </is>
      </c>
      <c r="F105" t="inlineStr">
        <is>
          <t>Bergvik skog väst AB</t>
        </is>
      </c>
      <c r="G105" t="n">
        <v>0.4</v>
      </c>
      <c r="H105" t="n">
        <v>0</v>
      </c>
      <c r="I105" t="n">
        <v>0</v>
      </c>
      <c r="J105" t="n">
        <v>0</v>
      </c>
      <c r="K105" t="n">
        <v>0</v>
      </c>
      <c r="L105" t="n">
        <v>0</v>
      </c>
      <c r="M105" t="n">
        <v>0</v>
      </c>
      <c r="N105" t="n">
        <v>0</v>
      </c>
      <c r="O105" t="n">
        <v>0</v>
      </c>
      <c r="P105" t="n">
        <v>0</v>
      </c>
      <c r="Q105" t="n">
        <v>0</v>
      </c>
      <c r="R105" s="2" t="inlineStr"/>
    </row>
    <row r="106" ht="15" customHeight="1">
      <c r="A106" t="inlineStr">
        <is>
          <t>A 43255-2025</t>
        </is>
      </c>
      <c r="B106" s="1" t="n">
        <v>45910.55325231481</v>
      </c>
      <c r="C106" s="1" t="n">
        <v>46081</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31107-2025</t>
        </is>
      </c>
      <c r="B107" s="1" t="n">
        <v>45831</v>
      </c>
      <c r="C107" s="1" t="n">
        <v>46081</v>
      </c>
      <c r="D107" t="inlineStr">
        <is>
          <t>VÄSTMANLANDS LÄN</t>
        </is>
      </c>
      <c r="E107" t="inlineStr">
        <is>
          <t>SURAHAMMAR</t>
        </is>
      </c>
      <c r="F107" t="inlineStr">
        <is>
          <t>Kommuner</t>
        </is>
      </c>
      <c r="G107" t="n">
        <v>1.7</v>
      </c>
      <c r="H107" t="n">
        <v>0</v>
      </c>
      <c r="I107" t="n">
        <v>0</v>
      </c>
      <c r="J107" t="n">
        <v>0</v>
      </c>
      <c r="K107" t="n">
        <v>0</v>
      </c>
      <c r="L107" t="n">
        <v>0</v>
      </c>
      <c r="M107" t="n">
        <v>0</v>
      </c>
      <c r="N107" t="n">
        <v>0</v>
      </c>
      <c r="O107" t="n">
        <v>0</v>
      </c>
      <c r="P107" t="n">
        <v>0</v>
      </c>
      <c r="Q107" t="n">
        <v>0</v>
      </c>
      <c r="R107" s="2" t="inlineStr"/>
    </row>
    <row r="108" ht="15" customHeight="1">
      <c r="A108" t="inlineStr">
        <is>
          <t>A 43249-2025</t>
        </is>
      </c>
      <c r="B108" s="1" t="n">
        <v>45910.55059027778</v>
      </c>
      <c r="C108" s="1" t="n">
        <v>46081</v>
      </c>
      <c r="D108" t="inlineStr">
        <is>
          <t>VÄSTMANLANDS LÄN</t>
        </is>
      </c>
      <c r="E108" t="inlineStr">
        <is>
          <t>SURAHAMMAR</t>
        </is>
      </c>
      <c r="G108" t="n">
        <v>1.9</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46081</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46081</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16013-2023</t>
        </is>
      </c>
      <c r="B111" s="1" t="n">
        <v>45026</v>
      </c>
      <c r="C111" s="1" t="n">
        <v>46081</v>
      </c>
      <c r="D111" t="inlineStr">
        <is>
          <t>VÄSTMANLANDS LÄN</t>
        </is>
      </c>
      <c r="E111" t="inlineStr">
        <is>
          <t>SURAHAMMAR</t>
        </is>
      </c>
      <c r="G111" t="n">
        <v>3.9</v>
      </c>
      <c r="H111" t="n">
        <v>0</v>
      </c>
      <c r="I111" t="n">
        <v>0</v>
      </c>
      <c r="J111" t="n">
        <v>0</v>
      </c>
      <c r="K111" t="n">
        <v>0</v>
      </c>
      <c r="L111" t="n">
        <v>0</v>
      </c>
      <c r="M111" t="n">
        <v>0</v>
      </c>
      <c r="N111" t="n">
        <v>0</v>
      </c>
      <c r="O111" t="n">
        <v>0</v>
      </c>
      <c r="P111" t="n">
        <v>0</v>
      </c>
      <c r="Q111" t="n">
        <v>0</v>
      </c>
      <c r="R111" s="2" t="inlineStr"/>
    </row>
    <row r="112" ht="15" customHeight="1">
      <c r="A112" t="inlineStr">
        <is>
          <t>A 20904-2023</t>
        </is>
      </c>
      <c r="B112" s="1" t="n">
        <v>45060</v>
      </c>
      <c r="C112" s="1" t="n">
        <v>46081</v>
      </c>
      <c r="D112" t="inlineStr">
        <is>
          <t>VÄSTMANLANDS LÄN</t>
        </is>
      </c>
      <c r="E112" t="inlineStr">
        <is>
          <t>SURAHAMMAR</t>
        </is>
      </c>
      <c r="F112" t="inlineStr">
        <is>
          <t>Sveaskog</t>
        </is>
      </c>
      <c r="G112" t="n">
        <v>1.7</v>
      </c>
      <c r="H112" t="n">
        <v>0</v>
      </c>
      <c r="I112" t="n">
        <v>0</v>
      </c>
      <c r="J112" t="n">
        <v>0</v>
      </c>
      <c r="K112" t="n">
        <v>0</v>
      </c>
      <c r="L112" t="n">
        <v>0</v>
      </c>
      <c r="M112" t="n">
        <v>0</v>
      </c>
      <c r="N112" t="n">
        <v>0</v>
      </c>
      <c r="O112" t="n">
        <v>0</v>
      </c>
      <c r="P112" t="n">
        <v>0</v>
      </c>
      <c r="Q112" t="n">
        <v>0</v>
      </c>
      <c r="R112" s="2" t="inlineStr"/>
    </row>
    <row r="113" ht="15" customHeight="1">
      <c r="A113" t="inlineStr">
        <is>
          <t>A 32910-2025</t>
        </is>
      </c>
      <c r="B113" s="1" t="n">
        <v>45839</v>
      </c>
      <c r="C113" s="1" t="n">
        <v>46081</v>
      </c>
      <c r="D113" t="inlineStr">
        <is>
          <t>VÄSTMANLANDS LÄN</t>
        </is>
      </c>
      <c r="E113" t="inlineStr">
        <is>
          <t>SURAHAMMAR</t>
        </is>
      </c>
      <c r="F113" t="inlineStr">
        <is>
          <t>Kommuner</t>
        </is>
      </c>
      <c r="G113" t="n">
        <v>1.1</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46081</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32916-2025</t>
        </is>
      </c>
      <c r="B115" s="1" t="n">
        <v>45839</v>
      </c>
      <c r="C115" s="1" t="n">
        <v>46081</v>
      </c>
      <c r="D115" t="inlineStr">
        <is>
          <t>VÄSTMANLANDS LÄN</t>
        </is>
      </c>
      <c r="E115" t="inlineStr">
        <is>
          <t>SURAHAMMAR</t>
        </is>
      </c>
      <c r="F115" t="inlineStr">
        <is>
          <t>Kommuner</t>
        </is>
      </c>
      <c r="G115" t="n">
        <v>4.9</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46081</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37013-2025</t>
        </is>
      </c>
      <c r="B117" s="1" t="n">
        <v>45874</v>
      </c>
      <c r="C117" s="1" t="n">
        <v>46081</v>
      </c>
      <c r="D117" t="inlineStr">
        <is>
          <t>VÄSTMANLANDS LÄN</t>
        </is>
      </c>
      <c r="E117" t="inlineStr">
        <is>
          <t>SURAHAMMAR</t>
        </is>
      </c>
      <c r="F117" t="inlineStr">
        <is>
          <t>Bergvik skog väst AB</t>
        </is>
      </c>
      <c r="G117" t="n">
        <v>10.7</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46081</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37954-2025</t>
        </is>
      </c>
      <c r="B119" s="1" t="n">
        <v>45881</v>
      </c>
      <c r="C119" s="1" t="n">
        <v>46081</v>
      </c>
      <c r="D119" t="inlineStr">
        <is>
          <t>VÄSTMANLANDS LÄN</t>
        </is>
      </c>
      <c r="E119" t="inlineStr">
        <is>
          <t>SURAHAMMAR</t>
        </is>
      </c>
      <c r="G119" t="n">
        <v>9.5</v>
      </c>
      <c r="H119" t="n">
        <v>0</v>
      </c>
      <c r="I119" t="n">
        <v>0</v>
      </c>
      <c r="J119" t="n">
        <v>0</v>
      </c>
      <c r="K119" t="n">
        <v>0</v>
      </c>
      <c r="L119" t="n">
        <v>0</v>
      </c>
      <c r="M119" t="n">
        <v>0</v>
      </c>
      <c r="N119" t="n">
        <v>0</v>
      </c>
      <c r="O119" t="n">
        <v>0</v>
      </c>
      <c r="P119" t="n">
        <v>0</v>
      </c>
      <c r="Q119" t="n">
        <v>0</v>
      </c>
      <c r="R119" s="2" t="inlineStr"/>
    </row>
    <row r="120" ht="15" customHeight="1">
      <c r="A120" t="inlineStr">
        <is>
          <t>A 48205-2023</t>
        </is>
      </c>
      <c r="B120" s="1" t="n">
        <v>45205</v>
      </c>
      <c r="C120" s="1" t="n">
        <v>46081</v>
      </c>
      <c r="D120" t="inlineStr">
        <is>
          <t>VÄSTMANLANDS LÄN</t>
        </is>
      </c>
      <c r="E120" t="inlineStr">
        <is>
          <t>SURAHAMMAR</t>
        </is>
      </c>
      <c r="F120" t="inlineStr">
        <is>
          <t>Allmännings- och besparingsskogar</t>
        </is>
      </c>
      <c r="G120" t="n">
        <v>7.6</v>
      </c>
      <c r="H120" t="n">
        <v>0</v>
      </c>
      <c r="I120" t="n">
        <v>0</v>
      </c>
      <c r="J120" t="n">
        <v>0</v>
      </c>
      <c r="K120" t="n">
        <v>0</v>
      </c>
      <c r="L120" t="n">
        <v>0</v>
      </c>
      <c r="M120" t="n">
        <v>0</v>
      </c>
      <c r="N120" t="n">
        <v>0</v>
      </c>
      <c r="O120" t="n">
        <v>0</v>
      </c>
      <c r="P120" t="n">
        <v>0</v>
      </c>
      <c r="Q120" t="n">
        <v>0</v>
      </c>
      <c r="R120" s="2" t="inlineStr"/>
    </row>
    <row r="121" ht="15" customHeight="1">
      <c r="A121" t="inlineStr">
        <is>
          <t>A 33931-2022</t>
        </is>
      </c>
      <c r="B121" s="1" t="n">
        <v>44790.65153935185</v>
      </c>
      <c r="C121" s="1" t="n">
        <v>46081</v>
      </c>
      <c r="D121" t="inlineStr">
        <is>
          <t>VÄSTMANLANDS LÄN</t>
        </is>
      </c>
      <c r="E121" t="inlineStr">
        <is>
          <t>SURAHAMMAR</t>
        </is>
      </c>
      <c r="G121" t="n">
        <v>2.2</v>
      </c>
      <c r="H121" t="n">
        <v>0</v>
      </c>
      <c r="I121" t="n">
        <v>0</v>
      </c>
      <c r="J121" t="n">
        <v>0</v>
      </c>
      <c r="K121" t="n">
        <v>0</v>
      </c>
      <c r="L121" t="n">
        <v>0</v>
      </c>
      <c r="M121" t="n">
        <v>0</v>
      </c>
      <c r="N121" t="n">
        <v>0</v>
      </c>
      <c r="O121" t="n">
        <v>0</v>
      </c>
      <c r="P121" t="n">
        <v>0</v>
      </c>
      <c r="Q121" t="n">
        <v>0</v>
      </c>
      <c r="R121" s="2" t="inlineStr"/>
    </row>
    <row r="122" ht="15" customHeight="1">
      <c r="A122" t="inlineStr">
        <is>
          <t>A 22662-2023</t>
        </is>
      </c>
      <c r="B122" s="1" t="n">
        <v>45071</v>
      </c>
      <c r="C122" s="1" t="n">
        <v>46081</v>
      </c>
      <c r="D122" t="inlineStr">
        <is>
          <t>VÄSTMANLANDS LÄN</t>
        </is>
      </c>
      <c r="E122" t="inlineStr">
        <is>
          <t>SURAHAMMAR</t>
        </is>
      </c>
      <c r="F122" t="inlineStr">
        <is>
          <t>Sveaskog</t>
        </is>
      </c>
      <c r="G122" t="n">
        <v>0.6</v>
      </c>
      <c r="H122" t="n">
        <v>0</v>
      </c>
      <c r="I122" t="n">
        <v>0</v>
      </c>
      <c r="J122" t="n">
        <v>0</v>
      </c>
      <c r="K122" t="n">
        <v>0</v>
      </c>
      <c r="L122" t="n">
        <v>0</v>
      </c>
      <c r="M122" t="n">
        <v>0</v>
      </c>
      <c r="N122" t="n">
        <v>0</v>
      </c>
      <c r="O122" t="n">
        <v>0</v>
      </c>
      <c r="P122" t="n">
        <v>0</v>
      </c>
      <c r="Q122" t="n">
        <v>0</v>
      </c>
      <c r="R122" s="2" t="inlineStr"/>
    </row>
    <row r="123" ht="15" customHeight="1">
      <c r="A123" t="inlineStr">
        <is>
          <t>A 30076-2023</t>
        </is>
      </c>
      <c r="B123" s="1" t="n">
        <v>45110</v>
      </c>
      <c r="C123" s="1" t="n">
        <v>46081</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47785-2021</t>
        </is>
      </c>
      <c r="B124" s="1" t="n">
        <v>44448</v>
      </c>
      <c r="C124" s="1" t="n">
        <v>46081</v>
      </c>
      <c r="D124" t="inlineStr">
        <is>
          <t>VÄSTMANLANDS LÄN</t>
        </is>
      </c>
      <c r="E124" t="inlineStr">
        <is>
          <t>SURAHAMMAR</t>
        </is>
      </c>
      <c r="F124" t="inlineStr">
        <is>
          <t>Kommuner</t>
        </is>
      </c>
      <c r="G124" t="n">
        <v>3.3</v>
      </c>
      <c r="H124" t="n">
        <v>0</v>
      </c>
      <c r="I124" t="n">
        <v>0</v>
      </c>
      <c r="J124" t="n">
        <v>0</v>
      </c>
      <c r="K124" t="n">
        <v>0</v>
      </c>
      <c r="L124" t="n">
        <v>0</v>
      </c>
      <c r="M124" t="n">
        <v>0</v>
      </c>
      <c r="N124" t="n">
        <v>0</v>
      </c>
      <c r="O124" t="n">
        <v>0</v>
      </c>
      <c r="P124" t="n">
        <v>0</v>
      </c>
      <c r="Q124" t="n">
        <v>0</v>
      </c>
      <c r="R124" s="2" t="inlineStr"/>
    </row>
    <row r="125" ht="15" customHeight="1">
      <c r="A125" t="inlineStr">
        <is>
          <t>A 25450-2024</t>
        </is>
      </c>
      <c r="B125" s="1" t="n">
        <v>45463</v>
      </c>
      <c r="C125" s="1" t="n">
        <v>46081</v>
      </c>
      <c r="D125" t="inlineStr">
        <is>
          <t>VÄSTMANLANDS LÄN</t>
        </is>
      </c>
      <c r="E125" t="inlineStr">
        <is>
          <t>SURAHAMMAR</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55868-2025</t>
        </is>
      </c>
      <c r="B126" s="1" t="n">
        <v>45973.35263888889</v>
      </c>
      <c r="C126" s="1" t="n">
        <v>46081</v>
      </c>
      <c r="D126" t="inlineStr">
        <is>
          <t>VÄSTMANLANDS LÄN</t>
        </is>
      </c>
      <c r="E126" t="inlineStr">
        <is>
          <t>SURAHAMMAR</t>
        </is>
      </c>
      <c r="F126" t="inlineStr">
        <is>
          <t>Sveaskog</t>
        </is>
      </c>
      <c r="G126" t="n">
        <v>2.8</v>
      </c>
      <c r="H126" t="n">
        <v>0</v>
      </c>
      <c r="I126" t="n">
        <v>0</v>
      </c>
      <c r="J126" t="n">
        <v>0</v>
      </c>
      <c r="K126" t="n">
        <v>0</v>
      </c>
      <c r="L126" t="n">
        <v>0</v>
      </c>
      <c r="M126" t="n">
        <v>0</v>
      </c>
      <c r="N126" t="n">
        <v>0</v>
      </c>
      <c r="O126" t="n">
        <v>0</v>
      </c>
      <c r="P126" t="n">
        <v>0</v>
      </c>
      <c r="Q126" t="n">
        <v>0</v>
      </c>
      <c r="R126" s="2" t="inlineStr"/>
    </row>
    <row r="127" ht="15" customHeight="1">
      <c r="A127" t="inlineStr">
        <is>
          <t>A 55874-2025</t>
        </is>
      </c>
      <c r="B127" s="1" t="n">
        <v>45973.3569212963</v>
      </c>
      <c r="C127" s="1" t="n">
        <v>46081</v>
      </c>
      <c r="D127" t="inlineStr">
        <is>
          <t>VÄSTMANLANDS LÄN</t>
        </is>
      </c>
      <c r="E127" t="inlineStr">
        <is>
          <t>SURAHAMMAR</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10883-2023</t>
        </is>
      </c>
      <c r="B128" s="1" t="n">
        <v>44991</v>
      </c>
      <c r="C128" s="1" t="n">
        <v>46081</v>
      </c>
      <c r="D128" t="inlineStr">
        <is>
          <t>VÄSTMANLANDS LÄN</t>
        </is>
      </c>
      <c r="E128" t="inlineStr">
        <is>
          <t>SURAHAMMAR</t>
        </is>
      </c>
      <c r="F128" t="inlineStr">
        <is>
          <t>Övriga Aktiebolag</t>
        </is>
      </c>
      <c r="G128" t="n">
        <v>12.5</v>
      </c>
      <c r="H128" t="n">
        <v>0</v>
      </c>
      <c r="I128" t="n">
        <v>0</v>
      </c>
      <c r="J128" t="n">
        <v>0</v>
      </c>
      <c r="K128" t="n">
        <v>0</v>
      </c>
      <c r="L128" t="n">
        <v>0</v>
      </c>
      <c r="M128" t="n">
        <v>0</v>
      </c>
      <c r="N128" t="n">
        <v>0</v>
      </c>
      <c r="O128" t="n">
        <v>0</v>
      </c>
      <c r="P128" t="n">
        <v>0</v>
      </c>
      <c r="Q128" t="n">
        <v>0</v>
      </c>
      <c r="R128" s="2" t="inlineStr"/>
    </row>
    <row r="129" ht="15" customHeight="1">
      <c r="A129" t="inlineStr">
        <is>
          <t>A 55871-2025</t>
        </is>
      </c>
      <c r="B129" s="1" t="n">
        <v>45973.35452546296</v>
      </c>
      <c r="C129" s="1" t="n">
        <v>46081</v>
      </c>
      <c r="D129" t="inlineStr">
        <is>
          <t>VÄSTMANLANDS LÄN</t>
        </is>
      </c>
      <c r="E129" t="inlineStr">
        <is>
          <t>SURAHAMMAR</t>
        </is>
      </c>
      <c r="F129" t="inlineStr">
        <is>
          <t>Sveaskog</t>
        </is>
      </c>
      <c r="G129" t="n">
        <v>1.4</v>
      </c>
      <c r="H129" t="n">
        <v>0</v>
      </c>
      <c r="I129" t="n">
        <v>0</v>
      </c>
      <c r="J129" t="n">
        <v>0</v>
      </c>
      <c r="K129" t="n">
        <v>0</v>
      </c>
      <c r="L129" t="n">
        <v>0</v>
      </c>
      <c r="M129" t="n">
        <v>0</v>
      </c>
      <c r="N129" t="n">
        <v>0</v>
      </c>
      <c r="O129" t="n">
        <v>0</v>
      </c>
      <c r="P129" t="n">
        <v>0</v>
      </c>
      <c r="Q129" t="n">
        <v>0</v>
      </c>
      <c r="R129" s="2" t="inlineStr"/>
    </row>
    <row r="130" ht="15" customHeight="1">
      <c r="A130" t="inlineStr">
        <is>
          <t>A 55873-2025</t>
        </is>
      </c>
      <c r="B130" s="1" t="n">
        <v>45973.35608796297</v>
      </c>
      <c r="C130" s="1" t="n">
        <v>46081</v>
      </c>
      <c r="D130" t="inlineStr">
        <is>
          <t>VÄSTMANLANDS LÄN</t>
        </is>
      </c>
      <c r="E130" t="inlineStr">
        <is>
          <t>SURAHAMMAR</t>
        </is>
      </c>
      <c r="F130" t="inlineStr">
        <is>
          <t>Sveaskog</t>
        </is>
      </c>
      <c r="G130" t="n">
        <v>0.5</v>
      </c>
      <c r="H130" t="n">
        <v>0</v>
      </c>
      <c r="I130" t="n">
        <v>0</v>
      </c>
      <c r="J130" t="n">
        <v>0</v>
      </c>
      <c r="K130" t="n">
        <v>0</v>
      </c>
      <c r="L130" t="n">
        <v>0</v>
      </c>
      <c r="M130" t="n">
        <v>0</v>
      </c>
      <c r="N130" t="n">
        <v>0</v>
      </c>
      <c r="O130" t="n">
        <v>0</v>
      </c>
      <c r="P130" t="n">
        <v>0</v>
      </c>
      <c r="Q130" t="n">
        <v>0</v>
      </c>
      <c r="R130" s="2" t="inlineStr"/>
    </row>
    <row r="131" ht="15" customHeight="1">
      <c r="A131" t="inlineStr">
        <is>
          <t>A 24665-2023</t>
        </is>
      </c>
      <c r="B131" s="1" t="n">
        <v>45084.48592592592</v>
      </c>
      <c r="C131" s="1" t="n">
        <v>46081</v>
      </c>
      <c r="D131" t="inlineStr">
        <is>
          <t>VÄSTMANLANDS LÄN</t>
        </is>
      </c>
      <c r="E131" t="inlineStr">
        <is>
          <t>SURAHAMMAR</t>
        </is>
      </c>
      <c r="G131" t="n">
        <v>0.9</v>
      </c>
      <c r="H131" t="n">
        <v>0</v>
      </c>
      <c r="I131" t="n">
        <v>0</v>
      </c>
      <c r="J131" t="n">
        <v>0</v>
      </c>
      <c r="K131" t="n">
        <v>0</v>
      </c>
      <c r="L131" t="n">
        <v>0</v>
      </c>
      <c r="M131" t="n">
        <v>0</v>
      </c>
      <c r="N131" t="n">
        <v>0</v>
      </c>
      <c r="O131" t="n">
        <v>0</v>
      </c>
      <c r="P131" t="n">
        <v>0</v>
      </c>
      <c r="Q131" t="n">
        <v>0</v>
      </c>
      <c r="R131" s="2" t="inlineStr"/>
    </row>
    <row r="132" ht="15" customHeight="1">
      <c r="A132" t="inlineStr">
        <is>
          <t>A 24167-2024</t>
        </is>
      </c>
      <c r="B132" s="1" t="n">
        <v>45456</v>
      </c>
      <c r="C132" s="1" t="n">
        <v>46081</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56543-2025</t>
        </is>
      </c>
      <c r="B133" s="1" t="n">
        <v>45975</v>
      </c>
      <c r="C133" s="1" t="n">
        <v>46081</v>
      </c>
      <c r="D133" t="inlineStr">
        <is>
          <t>VÄSTMANLANDS LÄN</t>
        </is>
      </c>
      <c r="E133" t="inlineStr">
        <is>
          <t>SURAHAMMAR</t>
        </is>
      </c>
      <c r="F133" t="inlineStr">
        <is>
          <t>Sveaskog</t>
        </is>
      </c>
      <c r="G133" t="n">
        <v>1.2</v>
      </c>
      <c r="H133" t="n">
        <v>0</v>
      </c>
      <c r="I133" t="n">
        <v>0</v>
      </c>
      <c r="J133" t="n">
        <v>0</v>
      </c>
      <c r="K133" t="n">
        <v>0</v>
      </c>
      <c r="L133" t="n">
        <v>0</v>
      </c>
      <c r="M133" t="n">
        <v>0</v>
      </c>
      <c r="N133" t="n">
        <v>0</v>
      </c>
      <c r="O133" t="n">
        <v>0</v>
      </c>
      <c r="P133" t="n">
        <v>0</v>
      </c>
      <c r="Q133" t="n">
        <v>0</v>
      </c>
      <c r="R133" s="2" t="inlineStr"/>
    </row>
    <row r="134" ht="15" customHeight="1">
      <c r="A134" t="inlineStr">
        <is>
          <t>A 72367-2021</t>
        </is>
      </c>
      <c r="B134" s="1" t="n">
        <v>44545</v>
      </c>
      <c r="C134" s="1" t="n">
        <v>46081</v>
      </c>
      <c r="D134" t="inlineStr">
        <is>
          <t>VÄSTMANLANDS LÄN</t>
        </is>
      </c>
      <c r="E134" t="inlineStr">
        <is>
          <t>SURAHAMMAR</t>
        </is>
      </c>
      <c r="G134" t="n">
        <v>2.5</v>
      </c>
      <c r="H134" t="n">
        <v>0</v>
      </c>
      <c r="I134" t="n">
        <v>0</v>
      </c>
      <c r="J134" t="n">
        <v>0</v>
      </c>
      <c r="K134" t="n">
        <v>0</v>
      </c>
      <c r="L134" t="n">
        <v>0</v>
      </c>
      <c r="M134" t="n">
        <v>0</v>
      </c>
      <c r="N134" t="n">
        <v>0</v>
      </c>
      <c r="O134" t="n">
        <v>0</v>
      </c>
      <c r="P134" t="n">
        <v>0</v>
      </c>
      <c r="Q134" t="n">
        <v>0</v>
      </c>
      <c r="R134" s="2" t="inlineStr"/>
    </row>
    <row r="135" ht="15" customHeight="1">
      <c r="A135" t="inlineStr">
        <is>
          <t>A 59399-2025</t>
        </is>
      </c>
      <c r="B135" s="1" t="n">
        <v>45989</v>
      </c>
      <c r="C135" s="1" t="n">
        <v>46081</v>
      </c>
      <c r="D135" t="inlineStr">
        <is>
          <t>VÄSTMANLANDS LÄN</t>
        </is>
      </c>
      <c r="E135" t="inlineStr">
        <is>
          <t>SURAHAMMAR</t>
        </is>
      </c>
      <c r="F135" t="inlineStr">
        <is>
          <t>Kommuner</t>
        </is>
      </c>
      <c r="G135" t="n">
        <v>2.1</v>
      </c>
      <c r="H135" t="n">
        <v>0</v>
      </c>
      <c r="I135" t="n">
        <v>0</v>
      </c>
      <c r="J135" t="n">
        <v>0</v>
      </c>
      <c r="K135" t="n">
        <v>0</v>
      </c>
      <c r="L135" t="n">
        <v>0</v>
      </c>
      <c r="M135" t="n">
        <v>0</v>
      </c>
      <c r="N135" t="n">
        <v>0</v>
      </c>
      <c r="O135" t="n">
        <v>0</v>
      </c>
      <c r="P135" t="n">
        <v>0</v>
      </c>
      <c r="Q135" t="n">
        <v>0</v>
      </c>
      <c r="R135" s="2" t="inlineStr"/>
    </row>
    <row r="136" ht="15" customHeight="1">
      <c r="A136" t="inlineStr">
        <is>
          <t>A 42714-2022</t>
        </is>
      </c>
      <c r="B136" s="1" t="n">
        <v>44832</v>
      </c>
      <c r="C136" s="1" t="n">
        <v>46081</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37287-2023</t>
        </is>
      </c>
      <c r="B137" s="1" t="n">
        <v>45156</v>
      </c>
      <c r="C137" s="1" t="n">
        <v>46081</v>
      </c>
      <c r="D137" t="inlineStr">
        <is>
          <t>VÄSTMANLANDS LÄN</t>
        </is>
      </c>
      <c r="E137" t="inlineStr">
        <is>
          <t>SURAHAMMAR</t>
        </is>
      </c>
      <c r="G137" t="n">
        <v>0.6</v>
      </c>
      <c r="H137" t="n">
        <v>0</v>
      </c>
      <c r="I137" t="n">
        <v>0</v>
      </c>
      <c r="J137" t="n">
        <v>0</v>
      </c>
      <c r="K137" t="n">
        <v>0</v>
      </c>
      <c r="L137" t="n">
        <v>0</v>
      </c>
      <c r="M137" t="n">
        <v>0</v>
      </c>
      <c r="N137" t="n">
        <v>0</v>
      </c>
      <c r="O137" t="n">
        <v>0</v>
      </c>
      <c r="P137" t="n">
        <v>0</v>
      </c>
      <c r="Q137" t="n">
        <v>0</v>
      </c>
      <c r="R137" s="2" t="inlineStr"/>
    </row>
    <row r="138" ht="15" customHeight="1">
      <c r="A138" t="inlineStr">
        <is>
          <t>A 49058-2024</t>
        </is>
      </c>
      <c r="B138" s="1" t="n">
        <v>45594</v>
      </c>
      <c r="C138" s="1" t="n">
        <v>46081</v>
      </c>
      <c r="D138" t="inlineStr">
        <is>
          <t>VÄSTMANLANDS LÄN</t>
        </is>
      </c>
      <c r="E138" t="inlineStr">
        <is>
          <t>SURAHAMMAR</t>
        </is>
      </c>
      <c r="F138" t="inlineStr">
        <is>
          <t>Sveaskog</t>
        </is>
      </c>
      <c r="G138" t="n">
        <v>11.4</v>
      </c>
      <c r="H138" t="n">
        <v>0</v>
      </c>
      <c r="I138" t="n">
        <v>0</v>
      </c>
      <c r="J138" t="n">
        <v>0</v>
      </c>
      <c r="K138" t="n">
        <v>0</v>
      </c>
      <c r="L138" t="n">
        <v>0</v>
      </c>
      <c r="M138" t="n">
        <v>0</v>
      </c>
      <c r="N138" t="n">
        <v>0</v>
      </c>
      <c r="O138" t="n">
        <v>0</v>
      </c>
      <c r="P138" t="n">
        <v>0</v>
      </c>
      <c r="Q138" t="n">
        <v>0</v>
      </c>
      <c r="R138" s="2" t="inlineStr"/>
    </row>
    <row r="139" ht="15" customHeight="1">
      <c r="A139" t="inlineStr">
        <is>
          <t>A 56541-2025</t>
        </is>
      </c>
      <c r="B139" s="1" t="n">
        <v>45975</v>
      </c>
      <c r="C139" s="1" t="n">
        <v>46081</v>
      </c>
      <c r="D139" t="inlineStr">
        <is>
          <t>VÄSTMANLANDS LÄN</t>
        </is>
      </c>
      <c r="E139" t="inlineStr">
        <is>
          <t>SURAHAMMAR</t>
        </is>
      </c>
      <c r="F139" t="inlineStr">
        <is>
          <t>Sveaskog</t>
        </is>
      </c>
      <c r="G139" t="n">
        <v>7.6</v>
      </c>
      <c r="H139" t="n">
        <v>0</v>
      </c>
      <c r="I139" t="n">
        <v>0</v>
      </c>
      <c r="J139" t="n">
        <v>0</v>
      </c>
      <c r="K139" t="n">
        <v>0</v>
      </c>
      <c r="L139" t="n">
        <v>0</v>
      </c>
      <c r="M139" t="n">
        <v>0</v>
      </c>
      <c r="N139" t="n">
        <v>0</v>
      </c>
      <c r="O139" t="n">
        <v>0</v>
      </c>
      <c r="P139" t="n">
        <v>0</v>
      </c>
      <c r="Q139" t="n">
        <v>0</v>
      </c>
      <c r="R139" s="2" t="inlineStr"/>
    </row>
    <row r="140" ht="15" customHeight="1">
      <c r="A140" t="inlineStr">
        <is>
          <t>A 49060-2024</t>
        </is>
      </c>
      <c r="B140" s="1" t="n">
        <v>45594</v>
      </c>
      <c r="C140" s="1" t="n">
        <v>46081</v>
      </c>
      <c r="D140" t="inlineStr">
        <is>
          <t>VÄSTMANLANDS LÄN</t>
        </is>
      </c>
      <c r="E140" t="inlineStr">
        <is>
          <t>SURAHAMMAR</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19099-2022</t>
        </is>
      </c>
      <c r="B141" s="1" t="n">
        <v>44691</v>
      </c>
      <c r="C141" s="1" t="n">
        <v>46081</v>
      </c>
      <c r="D141" t="inlineStr">
        <is>
          <t>VÄSTMANLANDS LÄN</t>
        </is>
      </c>
      <c r="E141" t="inlineStr">
        <is>
          <t>SURAHAMMAR</t>
        </is>
      </c>
      <c r="F141" t="inlineStr">
        <is>
          <t>Övriga Aktiebolag</t>
        </is>
      </c>
      <c r="G141" t="n">
        <v>3.4</v>
      </c>
      <c r="H141" t="n">
        <v>0</v>
      </c>
      <c r="I141" t="n">
        <v>0</v>
      </c>
      <c r="J141" t="n">
        <v>0</v>
      </c>
      <c r="K141" t="n">
        <v>0</v>
      </c>
      <c r="L141" t="n">
        <v>0</v>
      </c>
      <c r="M141" t="n">
        <v>0</v>
      </c>
      <c r="N141" t="n">
        <v>0</v>
      </c>
      <c r="O141" t="n">
        <v>0</v>
      </c>
      <c r="P141" t="n">
        <v>0</v>
      </c>
      <c r="Q141" t="n">
        <v>0</v>
      </c>
      <c r="R141" s="2" t="inlineStr"/>
    </row>
    <row r="142" ht="15" customHeight="1">
      <c r="A142" t="inlineStr">
        <is>
          <t>A 25780-2023</t>
        </is>
      </c>
      <c r="B142" s="1" t="n">
        <v>45090.47523148148</v>
      </c>
      <c r="C142" s="1" t="n">
        <v>46081</v>
      </c>
      <c r="D142" t="inlineStr">
        <is>
          <t>VÄSTMANLANDS LÄN</t>
        </is>
      </c>
      <c r="E142" t="inlineStr">
        <is>
          <t>SURAHAMMAR</t>
        </is>
      </c>
      <c r="G142" t="n">
        <v>2.8</v>
      </c>
      <c r="H142" t="n">
        <v>0</v>
      </c>
      <c r="I142" t="n">
        <v>0</v>
      </c>
      <c r="J142" t="n">
        <v>0</v>
      </c>
      <c r="K142" t="n">
        <v>0</v>
      </c>
      <c r="L142" t="n">
        <v>0</v>
      </c>
      <c r="M142" t="n">
        <v>0</v>
      </c>
      <c r="N142" t="n">
        <v>0</v>
      </c>
      <c r="O142" t="n">
        <v>0</v>
      </c>
      <c r="P142" t="n">
        <v>0</v>
      </c>
      <c r="Q142" t="n">
        <v>0</v>
      </c>
      <c r="R142" s="2" t="inlineStr"/>
    </row>
    <row r="143" ht="15" customHeight="1">
      <c r="A143" t="inlineStr">
        <is>
          <t>A 13386-2025</t>
        </is>
      </c>
      <c r="B143" s="1" t="n">
        <v>45735</v>
      </c>
      <c r="C143" s="1" t="n">
        <v>46081</v>
      </c>
      <c r="D143" t="inlineStr">
        <is>
          <t>VÄSTMANLANDS LÄN</t>
        </is>
      </c>
      <c r="E143" t="inlineStr">
        <is>
          <t>SURAHAMMAR</t>
        </is>
      </c>
      <c r="F143" t="inlineStr">
        <is>
          <t>Bergvik skog väst AB</t>
        </is>
      </c>
      <c r="G143" t="n">
        <v>4</v>
      </c>
      <c r="H143" t="n">
        <v>0</v>
      </c>
      <c r="I143" t="n">
        <v>0</v>
      </c>
      <c r="J143" t="n">
        <v>0</v>
      </c>
      <c r="K143" t="n">
        <v>0</v>
      </c>
      <c r="L143" t="n">
        <v>0</v>
      </c>
      <c r="M143" t="n">
        <v>0</v>
      </c>
      <c r="N143" t="n">
        <v>0</v>
      </c>
      <c r="O143" t="n">
        <v>0</v>
      </c>
      <c r="P143" t="n">
        <v>0</v>
      </c>
      <c r="Q143" t="n">
        <v>0</v>
      </c>
      <c r="R143" s="2" t="inlineStr"/>
    </row>
    <row r="144" ht="15" customHeight="1">
      <c r="A144" t="inlineStr">
        <is>
          <t>A 63138-2025</t>
        </is>
      </c>
      <c r="B144" s="1" t="n">
        <v>46009</v>
      </c>
      <c r="C144" s="1" t="n">
        <v>46081</v>
      </c>
      <c r="D144" t="inlineStr">
        <is>
          <t>VÄSTMANLANDS LÄN</t>
        </is>
      </c>
      <c r="E144" t="inlineStr">
        <is>
          <t>SURAHAMMAR</t>
        </is>
      </c>
      <c r="F144" t="inlineStr">
        <is>
          <t>Bergvik skog väst AB</t>
        </is>
      </c>
      <c r="G144" t="n">
        <v>2.5</v>
      </c>
      <c r="H144" t="n">
        <v>0</v>
      </c>
      <c r="I144" t="n">
        <v>0</v>
      </c>
      <c r="J144" t="n">
        <v>0</v>
      </c>
      <c r="K144" t="n">
        <v>0</v>
      </c>
      <c r="L144" t="n">
        <v>0</v>
      </c>
      <c r="M144" t="n">
        <v>0</v>
      </c>
      <c r="N144" t="n">
        <v>0</v>
      </c>
      <c r="O144" t="n">
        <v>0</v>
      </c>
      <c r="P144" t="n">
        <v>0</v>
      </c>
      <c r="Q144" t="n">
        <v>0</v>
      </c>
      <c r="R144" s="2" t="inlineStr"/>
    </row>
    <row r="145" ht="15" customHeight="1">
      <c r="A145" t="inlineStr">
        <is>
          <t>A 5697-2026</t>
        </is>
      </c>
      <c r="B145" s="1" t="n">
        <v>46051.50020833333</v>
      </c>
      <c r="C145" s="1" t="n">
        <v>46081</v>
      </c>
      <c r="D145" t="inlineStr">
        <is>
          <t>VÄSTMANLANDS LÄN</t>
        </is>
      </c>
      <c r="E145" t="inlineStr">
        <is>
          <t>SURAHAMMAR</t>
        </is>
      </c>
      <c r="F145" t="inlineStr">
        <is>
          <t>Sveaskog</t>
        </is>
      </c>
      <c r="G145" t="n">
        <v>3</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46081</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46081</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35682-2022</t>
        </is>
      </c>
      <c r="B148" s="1" t="n">
        <v>44799.60422453703</v>
      </c>
      <c r="C148" s="1" t="n">
        <v>46081</v>
      </c>
      <c r="D148" t="inlineStr">
        <is>
          <t>VÄSTMANLANDS LÄN</t>
        </is>
      </c>
      <c r="E148" t="inlineStr">
        <is>
          <t>SURAHAMMAR</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2867-2024</t>
        </is>
      </c>
      <c r="B149" s="1" t="n">
        <v>45315</v>
      </c>
      <c r="C149" s="1" t="n">
        <v>46081</v>
      </c>
      <c r="D149" t="inlineStr">
        <is>
          <t>VÄSTMANLANDS LÄN</t>
        </is>
      </c>
      <c r="E149" t="inlineStr">
        <is>
          <t>SURAHAMMAR</t>
        </is>
      </c>
      <c r="F149" t="inlineStr">
        <is>
          <t>Bergvik skog väst AB</t>
        </is>
      </c>
      <c r="G149" t="n">
        <v>1.4</v>
      </c>
      <c r="H149" t="n">
        <v>0</v>
      </c>
      <c r="I149" t="n">
        <v>0</v>
      </c>
      <c r="J149" t="n">
        <v>0</v>
      </c>
      <c r="K149" t="n">
        <v>0</v>
      </c>
      <c r="L149" t="n">
        <v>0</v>
      </c>
      <c r="M149" t="n">
        <v>0</v>
      </c>
      <c r="N149" t="n">
        <v>0</v>
      </c>
      <c r="O149" t="n">
        <v>0</v>
      </c>
      <c r="P149" t="n">
        <v>0</v>
      </c>
      <c r="Q149" t="n">
        <v>0</v>
      </c>
      <c r="R149" s="2" t="inlineStr"/>
    </row>
    <row r="150" ht="15" customHeight="1">
      <c r="A150" t="inlineStr">
        <is>
          <t>A 2660-2024</t>
        </is>
      </c>
      <c r="B150" s="1" t="n">
        <v>45310</v>
      </c>
      <c r="C150" s="1" t="n">
        <v>46081</v>
      </c>
      <c r="D150" t="inlineStr">
        <is>
          <t>VÄSTMANLANDS LÄN</t>
        </is>
      </c>
      <c r="E150" t="inlineStr">
        <is>
          <t>SURAHAMMAR</t>
        </is>
      </c>
      <c r="G150" t="n">
        <v>2.1</v>
      </c>
      <c r="H150" t="n">
        <v>0</v>
      </c>
      <c r="I150" t="n">
        <v>0</v>
      </c>
      <c r="J150" t="n">
        <v>0</v>
      </c>
      <c r="K150" t="n">
        <v>0</v>
      </c>
      <c r="L150" t="n">
        <v>0</v>
      </c>
      <c r="M150" t="n">
        <v>0</v>
      </c>
      <c r="N150" t="n">
        <v>0</v>
      </c>
      <c r="O150" t="n">
        <v>0</v>
      </c>
      <c r="P150" t="n">
        <v>0</v>
      </c>
      <c r="Q150" t="n">
        <v>0</v>
      </c>
      <c r="R150" s="2" t="inlineStr"/>
    </row>
    <row r="151" ht="15" customHeight="1">
      <c r="A151" t="inlineStr">
        <is>
          <t>A 41555-2022</t>
        </is>
      </c>
      <c r="B151" s="1" t="n">
        <v>44826</v>
      </c>
      <c r="C151" s="1" t="n">
        <v>46081</v>
      </c>
      <c r="D151" t="inlineStr">
        <is>
          <t>VÄSTMANLANDS LÄN</t>
        </is>
      </c>
      <c r="E151" t="inlineStr">
        <is>
          <t>SURAHAMMAR</t>
        </is>
      </c>
      <c r="F151" t="inlineStr">
        <is>
          <t>Bergvik skog väst AB</t>
        </is>
      </c>
      <c r="G151" t="n">
        <v>1.7</v>
      </c>
      <c r="H151" t="n">
        <v>0</v>
      </c>
      <c r="I151" t="n">
        <v>0</v>
      </c>
      <c r="J151" t="n">
        <v>0</v>
      </c>
      <c r="K151" t="n">
        <v>0</v>
      </c>
      <c r="L151" t="n">
        <v>0</v>
      </c>
      <c r="M151" t="n">
        <v>0</v>
      </c>
      <c r="N151" t="n">
        <v>0</v>
      </c>
      <c r="O151" t="n">
        <v>0</v>
      </c>
      <c r="P151" t="n">
        <v>0</v>
      </c>
      <c r="Q151" t="n">
        <v>0</v>
      </c>
      <c r="R151" s="2" t="inlineStr"/>
    </row>
    <row r="152" ht="15" customHeight="1">
      <c r="A152" t="inlineStr">
        <is>
          <t>A 5567-2022</t>
        </is>
      </c>
      <c r="B152" s="1" t="n">
        <v>44595</v>
      </c>
      <c r="C152" s="1" t="n">
        <v>46081</v>
      </c>
      <c r="D152" t="inlineStr">
        <is>
          <t>VÄSTMANLANDS LÄN</t>
        </is>
      </c>
      <c r="E152" t="inlineStr">
        <is>
          <t>SURAHAMMAR</t>
        </is>
      </c>
      <c r="G152" t="n">
        <v>1.3</v>
      </c>
      <c r="H152" t="n">
        <v>0</v>
      </c>
      <c r="I152" t="n">
        <v>0</v>
      </c>
      <c r="J152" t="n">
        <v>0</v>
      </c>
      <c r="K152" t="n">
        <v>0</v>
      </c>
      <c r="L152" t="n">
        <v>0</v>
      </c>
      <c r="M152" t="n">
        <v>0</v>
      </c>
      <c r="N152" t="n">
        <v>0</v>
      </c>
      <c r="O152" t="n">
        <v>0</v>
      </c>
      <c r="P152" t="n">
        <v>0</v>
      </c>
      <c r="Q152" t="n">
        <v>0</v>
      </c>
      <c r="R152" s="2" t="inlineStr"/>
    </row>
    <row r="153" ht="15" customHeight="1">
      <c r="A153" t="inlineStr">
        <is>
          <t>A 4724-2026</t>
        </is>
      </c>
      <c r="B153" s="1" t="n">
        <v>46048</v>
      </c>
      <c r="C153" s="1" t="n">
        <v>46081</v>
      </c>
      <c r="D153" t="inlineStr">
        <is>
          <t>VÄSTMANLANDS LÄN</t>
        </is>
      </c>
      <c r="E153" t="inlineStr">
        <is>
          <t>SURAHAMMAR</t>
        </is>
      </c>
      <c r="G153" t="n">
        <v>1.7</v>
      </c>
      <c r="H153" t="n">
        <v>0</v>
      </c>
      <c r="I153" t="n">
        <v>0</v>
      </c>
      <c r="J153" t="n">
        <v>0</v>
      </c>
      <c r="K153" t="n">
        <v>0</v>
      </c>
      <c r="L153" t="n">
        <v>0</v>
      </c>
      <c r="M153" t="n">
        <v>0</v>
      </c>
      <c r="N153" t="n">
        <v>0</v>
      </c>
      <c r="O153" t="n">
        <v>0</v>
      </c>
      <c r="P153" t="n">
        <v>0</v>
      </c>
      <c r="Q153" t="n">
        <v>0</v>
      </c>
      <c r="R153" s="2" t="inlineStr"/>
    </row>
    <row r="154" ht="15" customHeight="1">
      <c r="A154" t="inlineStr">
        <is>
          <t>A 4734-2026</t>
        </is>
      </c>
      <c r="B154" s="1" t="n">
        <v>46048</v>
      </c>
      <c r="C154" s="1" t="n">
        <v>46081</v>
      </c>
      <c r="D154" t="inlineStr">
        <is>
          <t>VÄSTMANLANDS LÄN</t>
        </is>
      </c>
      <c r="E154" t="inlineStr">
        <is>
          <t>SURAHAMMAR</t>
        </is>
      </c>
      <c r="G154" t="n">
        <v>0.7</v>
      </c>
      <c r="H154" t="n">
        <v>0</v>
      </c>
      <c r="I154" t="n">
        <v>0</v>
      </c>
      <c r="J154" t="n">
        <v>0</v>
      </c>
      <c r="K154" t="n">
        <v>0</v>
      </c>
      <c r="L154" t="n">
        <v>0</v>
      </c>
      <c r="M154" t="n">
        <v>0</v>
      </c>
      <c r="N154" t="n">
        <v>0</v>
      </c>
      <c r="O154" t="n">
        <v>0</v>
      </c>
      <c r="P154" t="n">
        <v>0</v>
      </c>
      <c r="Q154" t="n">
        <v>0</v>
      </c>
      <c r="R154" s="2" t="inlineStr"/>
    </row>
    <row r="155" ht="15" customHeight="1">
      <c r="A155" t="inlineStr">
        <is>
          <t>A 10347-2026</t>
        </is>
      </c>
      <c r="B155" s="1" t="n">
        <v>46076.69101851852</v>
      </c>
      <c r="C155" s="1" t="n">
        <v>46081</v>
      </c>
      <c r="D155" t="inlineStr">
        <is>
          <t>VÄSTMANLANDS LÄN</t>
        </is>
      </c>
      <c r="E155" t="inlineStr">
        <is>
          <t>SURAHAMMAR</t>
        </is>
      </c>
      <c r="F155" t="inlineStr">
        <is>
          <t>Allmännings- och besparingsskogar</t>
        </is>
      </c>
      <c r="G155" t="n">
        <v>3</v>
      </c>
      <c r="H155" t="n">
        <v>0</v>
      </c>
      <c r="I155" t="n">
        <v>0</v>
      </c>
      <c r="J155" t="n">
        <v>0</v>
      </c>
      <c r="K155" t="n">
        <v>0</v>
      </c>
      <c r="L155" t="n">
        <v>0</v>
      </c>
      <c r="M155" t="n">
        <v>0</v>
      </c>
      <c r="N155" t="n">
        <v>0</v>
      </c>
      <c r="O155" t="n">
        <v>0</v>
      </c>
      <c r="P155" t="n">
        <v>0</v>
      </c>
      <c r="Q155" t="n">
        <v>0</v>
      </c>
      <c r="R155" s="2" t="inlineStr"/>
    </row>
    <row r="156" ht="15" customHeight="1">
      <c r="A156" t="inlineStr">
        <is>
          <t>A 10244-2026</t>
        </is>
      </c>
      <c r="B156" s="1" t="n">
        <v>46076.55032407407</v>
      </c>
      <c r="C156" s="1" t="n">
        <v>46081</v>
      </c>
      <c r="D156" t="inlineStr">
        <is>
          <t>VÄSTMANLANDS LÄN</t>
        </is>
      </c>
      <c r="E156" t="inlineStr">
        <is>
          <t>SURAHAMMAR</t>
        </is>
      </c>
      <c r="F156" t="inlineStr">
        <is>
          <t>Allmännings- och besparingsskogar</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10249-2026</t>
        </is>
      </c>
      <c r="B157" s="1" t="n">
        <v>46076.55456018518</v>
      </c>
      <c r="C157" s="1" t="n">
        <v>46081</v>
      </c>
      <c r="D157" t="inlineStr">
        <is>
          <t>VÄSTMANLANDS LÄN</t>
        </is>
      </c>
      <c r="E157" t="inlineStr">
        <is>
          <t>SURAHAMMAR</t>
        </is>
      </c>
      <c r="F157" t="inlineStr">
        <is>
          <t>Allmännings- och besparingsskogar</t>
        </is>
      </c>
      <c r="G157" t="n">
        <v>4.8</v>
      </c>
      <c r="H157" t="n">
        <v>0</v>
      </c>
      <c r="I157" t="n">
        <v>0</v>
      </c>
      <c r="J157" t="n">
        <v>0</v>
      </c>
      <c r="K157" t="n">
        <v>0</v>
      </c>
      <c r="L157" t="n">
        <v>0</v>
      </c>
      <c r="M157" t="n">
        <v>0</v>
      </c>
      <c r="N157" t="n">
        <v>0</v>
      </c>
      <c r="O157" t="n">
        <v>0</v>
      </c>
      <c r="P157" t="n">
        <v>0</v>
      </c>
      <c r="Q157" t="n">
        <v>0</v>
      </c>
      <c r="R157" s="2" t="inlineStr"/>
    </row>
    <row r="158" ht="15" customHeight="1">
      <c r="A158" t="inlineStr">
        <is>
          <t>A 10512-2026</t>
        </is>
      </c>
      <c r="B158" s="1" t="n">
        <v>46077.56861111111</v>
      </c>
      <c r="C158" s="1" t="n">
        <v>46081</v>
      </c>
      <c r="D158" t="inlineStr">
        <is>
          <t>VÄSTMANLANDS LÄN</t>
        </is>
      </c>
      <c r="E158" t="inlineStr">
        <is>
          <t>SURAHAMMAR</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3085-2023</t>
        </is>
      </c>
      <c r="B159" s="1" t="n">
        <v>44946</v>
      </c>
      <c r="C159" s="1" t="n">
        <v>46081</v>
      </c>
      <c r="D159" t="inlineStr">
        <is>
          <t>VÄSTMANLANDS LÄN</t>
        </is>
      </c>
      <c r="E159" t="inlineStr">
        <is>
          <t>SURAHAMMAR</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10562-2026</t>
        </is>
      </c>
      <c r="B160" s="1" t="n">
        <v>46077.64043981482</v>
      </c>
      <c r="C160" s="1" t="n">
        <v>46081</v>
      </c>
      <c r="D160" t="inlineStr">
        <is>
          <t>VÄSTMANLANDS LÄN</t>
        </is>
      </c>
      <c r="E160" t="inlineStr">
        <is>
          <t>SURAHAMMAR</t>
        </is>
      </c>
      <c r="F160" t="inlineStr">
        <is>
          <t>Övriga Aktiebolag</t>
        </is>
      </c>
      <c r="G160" t="n">
        <v>2.3</v>
      </c>
      <c r="H160" t="n">
        <v>0</v>
      </c>
      <c r="I160" t="n">
        <v>0</v>
      </c>
      <c r="J160" t="n">
        <v>0</v>
      </c>
      <c r="K160" t="n">
        <v>0</v>
      </c>
      <c r="L160" t="n">
        <v>0</v>
      </c>
      <c r="M160" t="n">
        <v>0</v>
      </c>
      <c r="N160" t="n">
        <v>0</v>
      </c>
      <c r="O160" t="n">
        <v>0</v>
      </c>
      <c r="P160" t="n">
        <v>0</v>
      </c>
      <c r="Q160" t="n">
        <v>0</v>
      </c>
      <c r="R160" s="2" t="inlineStr"/>
    </row>
    <row r="161" ht="15" customHeight="1">
      <c r="A161" t="inlineStr">
        <is>
          <t>A 7848-2022</t>
        </is>
      </c>
      <c r="B161" s="1" t="n">
        <v>44608.58400462963</v>
      </c>
      <c r="C161" s="1" t="n">
        <v>46081</v>
      </c>
      <c r="D161" t="inlineStr">
        <is>
          <t>VÄSTMANLANDS LÄN</t>
        </is>
      </c>
      <c r="E161" t="inlineStr">
        <is>
          <t>SURAHAMMAR</t>
        </is>
      </c>
      <c r="G161" t="n">
        <v>2.1</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46081</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15743-2023</t>
        </is>
      </c>
      <c r="B163" s="1" t="n">
        <v>45021</v>
      </c>
      <c r="C163" s="1" t="n">
        <v>46081</v>
      </c>
      <c r="D163" t="inlineStr">
        <is>
          <t>VÄSTMANLANDS LÄN</t>
        </is>
      </c>
      <c r="E163" t="inlineStr">
        <is>
          <t>SURAHAMMAR</t>
        </is>
      </c>
      <c r="G163" t="n">
        <v>0.5</v>
      </c>
      <c r="H163" t="n">
        <v>0</v>
      </c>
      <c r="I163" t="n">
        <v>0</v>
      </c>
      <c r="J163" t="n">
        <v>0</v>
      </c>
      <c r="K163" t="n">
        <v>0</v>
      </c>
      <c r="L163" t="n">
        <v>0</v>
      </c>
      <c r="M163" t="n">
        <v>0</v>
      </c>
      <c r="N163" t="n">
        <v>0</v>
      </c>
      <c r="O163" t="n">
        <v>0</v>
      </c>
      <c r="P163" t="n">
        <v>0</v>
      </c>
      <c r="Q163" t="n">
        <v>0</v>
      </c>
      <c r="R163" s="2" t="inlineStr"/>
    </row>
    <row r="164" ht="15" customHeight="1">
      <c r="A164" t="inlineStr">
        <is>
          <t>A 15637-2022</t>
        </is>
      </c>
      <c r="B164" s="1" t="n">
        <v>44662.89638888889</v>
      </c>
      <c r="C164" s="1" t="n">
        <v>46081</v>
      </c>
      <c r="D164" t="inlineStr">
        <is>
          <t>VÄSTMANLANDS LÄN</t>
        </is>
      </c>
      <c r="E164" t="inlineStr">
        <is>
          <t>SURAHAMMAR</t>
        </is>
      </c>
      <c r="G164" t="n">
        <v>2.2</v>
      </c>
      <c r="H164" t="n">
        <v>0</v>
      </c>
      <c r="I164" t="n">
        <v>0</v>
      </c>
      <c r="J164" t="n">
        <v>0</v>
      </c>
      <c r="K164" t="n">
        <v>0</v>
      </c>
      <c r="L164" t="n">
        <v>0</v>
      </c>
      <c r="M164" t="n">
        <v>0</v>
      </c>
      <c r="N164" t="n">
        <v>0</v>
      </c>
      <c r="O164" t="n">
        <v>0</v>
      </c>
      <c r="P164" t="n">
        <v>0</v>
      </c>
      <c r="Q164" t="n">
        <v>0</v>
      </c>
      <c r="R164" s="2" t="inlineStr"/>
    </row>
    <row r="165" ht="15" customHeight="1">
      <c r="A165" t="inlineStr">
        <is>
          <t>A 19786-2023</t>
        </is>
      </c>
      <c r="B165" s="1" t="n">
        <v>45050</v>
      </c>
      <c r="C165" s="1" t="n">
        <v>46081</v>
      </c>
      <c r="D165" t="inlineStr">
        <is>
          <t>VÄSTMANLANDS LÄN</t>
        </is>
      </c>
      <c r="E165" t="inlineStr">
        <is>
          <t>SURAHAMMAR</t>
        </is>
      </c>
      <c r="F165" t="inlineStr">
        <is>
          <t>Bergvik skog väst AB</t>
        </is>
      </c>
      <c r="G165" t="n">
        <v>8.1</v>
      </c>
      <c r="H165" t="n">
        <v>0</v>
      </c>
      <c r="I165" t="n">
        <v>0</v>
      </c>
      <c r="J165" t="n">
        <v>0</v>
      </c>
      <c r="K165" t="n">
        <v>0</v>
      </c>
      <c r="L165" t="n">
        <v>0</v>
      </c>
      <c r="M165" t="n">
        <v>0</v>
      </c>
      <c r="N165" t="n">
        <v>0</v>
      </c>
      <c r="O165" t="n">
        <v>0</v>
      </c>
      <c r="P165" t="n">
        <v>0</v>
      </c>
      <c r="Q165" t="n">
        <v>0</v>
      </c>
      <c r="R165" s="2" t="inlineStr"/>
    </row>
    <row r="166" ht="15" customHeight="1">
      <c r="A166" t="inlineStr">
        <is>
          <t>A 7787-2024</t>
        </is>
      </c>
      <c r="B166" s="1" t="n">
        <v>45348</v>
      </c>
      <c r="C166" s="1" t="n">
        <v>46081</v>
      </c>
      <c r="D166" t="inlineStr">
        <is>
          <t>VÄSTMANLANDS LÄN</t>
        </is>
      </c>
      <c r="E166" t="inlineStr">
        <is>
          <t>SURAHAMMAR</t>
        </is>
      </c>
      <c r="G166" t="n">
        <v>1</v>
      </c>
      <c r="H166" t="n">
        <v>0</v>
      </c>
      <c r="I166" t="n">
        <v>0</v>
      </c>
      <c r="J166" t="n">
        <v>0</v>
      </c>
      <c r="K166" t="n">
        <v>0</v>
      </c>
      <c r="L166" t="n">
        <v>0</v>
      </c>
      <c r="M166" t="n">
        <v>0</v>
      </c>
      <c r="N166" t="n">
        <v>0</v>
      </c>
      <c r="O166" t="n">
        <v>0</v>
      </c>
      <c r="P166" t="n">
        <v>0</v>
      </c>
      <c r="Q166" t="n">
        <v>0</v>
      </c>
      <c r="R166" s="2" t="inlineStr"/>
    </row>
    <row r="167" ht="15" customHeight="1">
      <c r="A167" t="inlineStr">
        <is>
          <t>A 15739-2023</t>
        </is>
      </c>
      <c r="B167" s="1" t="n">
        <v>45021</v>
      </c>
      <c r="C167" s="1" t="n">
        <v>46081</v>
      </c>
      <c r="D167" t="inlineStr">
        <is>
          <t>VÄSTMANLANDS LÄN</t>
        </is>
      </c>
      <c r="E167" t="inlineStr">
        <is>
          <t>SURAHAMMAR</t>
        </is>
      </c>
      <c r="G167" t="n">
        <v>1.3</v>
      </c>
      <c r="H167" t="n">
        <v>0</v>
      </c>
      <c r="I167" t="n">
        <v>0</v>
      </c>
      <c r="J167" t="n">
        <v>0</v>
      </c>
      <c r="K167" t="n">
        <v>0</v>
      </c>
      <c r="L167" t="n">
        <v>0</v>
      </c>
      <c r="M167" t="n">
        <v>0</v>
      </c>
      <c r="N167" t="n">
        <v>0</v>
      </c>
      <c r="O167" t="n">
        <v>0</v>
      </c>
      <c r="P167" t="n">
        <v>0</v>
      </c>
      <c r="Q167" t="n">
        <v>0</v>
      </c>
      <c r="R167" s="2" t="inlineStr"/>
    </row>
    <row r="168">
      <c r="A168" t="inlineStr">
        <is>
          <t>A 38154-2021</t>
        </is>
      </c>
      <c r="B168" s="1" t="n">
        <v>44405.42373842592</v>
      </c>
      <c r="C168" s="1" t="n">
        <v>46081</v>
      </c>
      <c r="D168" t="inlineStr">
        <is>
          <t>VÄSTMANLANDS LÄN</t>
        </is>
      </c>
      <c r="E168" t="inlineStr">
        <is>
          <t>SURAHAMMAR</t>
        </is>
      </c>
      <c r="F168" t="inlineStr">
        <is>
          <t>Sveaskog</t>
        </is>
      </c>
      <c r="G168" t="n">
        <v>1.3</v>
      </c>
      <c r="H168" t="n">
        <v>0</v>
      </c>
      <c r="I168" t="n">
        <v>0</v>
      </c>
      <c r="J168" t="n">
        <v>0</v>
      </c>
      <c r="K168" t="n">
        <v>0</v>
      </c>
      <c r="L168" t="n">
        <v>0</v>
      </c>
      <c r="M168" t="n">
        <v>0</v>
      </c>
      <c r="N168" t="n">
        <v>0</v>
      </c>
      <c r="O168" t="n">
        <v>0</v>
      </c>
      <c r="P168" t="n">
        <v>0</v>
      </c>
      <c r="Q168" t="n">
        <v>0</v>
      </c>
      <c r="R1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2026-02-28T11:11:27Z</dcterms:created>
  <dcterms:modified xmlns:dcterms="http://purl.org/dc/terms/" xmlns:xsi="http://www.w3.org/2001/XMLSchema-instance" xsi:type="dcterms:W3CDTF">2026-02-28T11:11:27Z</dcterms:modified>
</cp:coreProperties>
</file>