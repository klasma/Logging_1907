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45826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45826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45826</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45826</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45826</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45826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45826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45826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45826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45826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45826</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45826</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45826</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45826</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45826</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45826</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45826</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45826</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45826</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45826</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45826</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45826</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45826</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45826</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45826</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45826</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45826</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45826</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45826</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45826</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45826</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45826</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45826</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45826</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45826</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45826</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45826</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45826</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45826</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45826</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45826</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45826</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45826</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45826</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45826</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45826</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45826</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45826</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45826</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45826</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45826</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45826</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29707-2025</t>
        </is>
      </c>
      <c r="B56" s="1" t="n">
        <v>45825</v>
      </c>
      <c r="C56" s="1" t="n">
        <v>45826</v>
      </c>
      <c r="D56" t="inlineStr">
        <is>
          <t>VÄSTMANLANDS LÄN</t>
        </is>
      </c>
      <c r="E56" t="inlineStr">
        <is>
          <t>SURAHAMMAR</t>
        </is>
      </c>
      <c r="F56" t="inlineStr">
        <is>
          <t>Bergvik skog väst AB</t>
        </is>
      </c>
      <c r="G56" t="n">
        <v>5.1</v>
      </c>
      <c r="H56" t="n">
        <v>0</v>
      </c>
      <c r="I56" t="n">
        <v>1</v>
      </c>
      <c r="J56" t="n">
        <v>1</v>
      </c>
      <c r="K56" t="n">
        <v>0</v>
      </c>
      <c r="L56" t="n">
        <v>0</v>
      </c>
      <c r="M56" t="n">
        <v>1</v>
      </c>
      <c r="N56" t="n">
        <v>0</v>
      </c>
      <c r="O56" t="n">
        <v>2</v>
      </c>
      <c r="P56" t="n">
        <v>1</v>
      </c>
      <c r="Q56" t="n">
        <v>3</v>
      </c>
      <c r="R56" s="2" t="inlineStr">
        <is>
          <t>Skogsalm
Veckticka
Rävticka</t>
        </is>
      </c>
      <c r="S56">
        <f>HYPERLINK("https://klasma.github.io/Logging_191907/artfynd/A 29707-2025 artfynd.xlsx", "A 29707-2025")</f>
        <v/>
      </c>
      <c r="T56">
        <f>HYPERLINK("https://klasma.github.io/Logging_191907/kartor/A 29707-2025 karta.png", "A 29707-2025")</f>
        <v/>
      </c>
      <c r="V56">
        <f>HYPERLINK("https://klasma.github.io/Logging_191907/klagomål/A 29707-2025 FSC-klagomål.docx", "A 29707-2025")</f>
        <v/>
      </c>
      <c r="W56">
        <f>HYPERLINK("https://klasma.github.io/Logging_191907/klagomålsmail/A 29707-2025 FSC-klagomål mail.docx", "A 29707-2025")</f>
        <v/>
      </c>
      <c r="X56">
        <f>HYPERLINK("https://klasma.github.io/Logging_191907/tillsyn/A 29707-2025 tillsynsbegäran.docx", "A 29707-2025")</f>
        <v/>
      </c>
      <c r="Y56">
        <f>HYPERLINK("https://klasma.github.io/Logging_191907/tillsynsmail/A 29707-2025 tillsynsbegäran mail.docx", "A 29707-2025")</f>
        <v/>
      </c>
    </row>
    <row r="57" ht="15" customHeight="1">
      <c r="A57" t="inlineStr">
        <is>
          <t>A 39755-2019</t>
        </is>
      </c>
      <c r="B57" s="1" t="n">
        <v>43692</v>
      </c>
      <c r="C57" s="1" t="n">
        <v>45826</v>
      </c>
      <c r="D57" t="inlineStr">
        <is>
          <t>VÄSTMANLANDS LÄN</t>
        </is>
      </c>
      <c r="E57" t="inlineStr">
        <is>
          <t>SURAHAMMAR</t>
        </is>
      </c>
      <c r="F57" t="inlineStr">
        <is>
          <t>Övriga Aktiebolag</t>
        </is>
      </c>
      <c r="G57" t="n">
        <v>11.8</v>
      </c>
      <c r="H57" t="n">
        <v>2</v>
      </c>
      <c r="I57" t="n">
        <v>0</v>
      </c>
      <c r="J57" t="n">
        <v>0</v>
      </c>
      <c r="K57" t="n">
        <v>0</v>
      </c>
      <c r="L57" t="n">
        <v>0</v>
      </c>
      <c r="M57" t="n">
        <v>0</v>
      </c>
      <c r="N57" t="n">
        <v>0</v>
      </c>
      <c r="O57" t="n">
        <v>0</v>
      </c>
      <c r="P57" t="n">
        <v>0</v>
      </c>
      <c r="Q57" t="n">
        <v>2</v>
      </c>
      <c r="R57" s="2" t="inlineStr">
        <is>
          <t>Kopparödla
Mindre vattensalamander</t>
        </is>
      </c>
      <c r="S57">
        <f>HYPERLINK("https://klasma.github.io/Logging_1907/artfynd/A 39755-2019 artfynd.xlsx", "A 39755-2019")</f>
        <v/>
      </c>
      <c r="T57">
        <f>HYPERLINK("https://klasma.github.io/Logging_1907/kartor/A 39755-2019 karta.png", "A 39755-2019")</f>
        <v/>
      </c>
      <c r="V57">
        <f>HYPERLINK("https://klasma.github.io/Logging_1907/klagomål/A 39755-2019 FSC-klagomål.docx", "A 39755-2019")</f>
        <v/>
      </c>
      <c r="W57">
        <f>HYPERLINK("https://klasma.github.io/Logging_1907/klagomålsmail/A 39755-2019 FSC-klagomål mail.docx", "A 39755-2019")</f>
        <v/>
      </c>
      <c r="X57">
        <f>HYPERLINK("https://klasma.github.io/Logging_1907/tillsyn/A 39755-2019 tillsynsbegäran.docx", "A 39755-2019")</f>
        <v/>
      </c>
      <c r="Y57">
        <f>HYPERLINK("https://klasma.github.io/Logging_1907/tillsynsmail/A 39755-2019 tillsynsbegäran mail.docx", "A 39755-2019")</f>
        <v/>
      </c>
    </row>
    <row r="58" ht="15" customHeight="1">
      <c r="A58" t="inlineStr">
        <is>
          <t>A 57412-2020</t>
        </is>
      </c>
      <c r="B58" s="1" t="n">
        <v>44138</v>
      </c>
      <c r="C58" s="1" t="n">
        <v>45826</v>
      </c>
      <c r="D58" t="inlineStr">
        <is>
          <t>VÄSTMANLANDS LÄN</t>
        </is>
      </c>
      <c r="E58" t="inlineStr">
        <is>
          <t>SURAHAMMAR</t>
        </is>
      </c>
      <c r="G58" t="n">
        <v>2.9</v>
      </c>
      <c r="H58" t="n">
        <v>2</v>
      </c>
      <c r="I58" t="n">
        <v>0</v>
      </c>
      <c r="J58" t="n">
        <v>2</v>
      </c>
      <c r="K58" t="n">
        <v>0</v>
      </c>
      <c r="L58" t="n">
        <v>0</v>
      </c>
      <c r="M58" t="n">
        <v>0</v>
      </c>
      <c r="N58" t="n">
        <v>0</v>
      </c>
      <c r="O58" t="n">
        <v>2</v>
      </c>
      <c r="P58" t="n">
        <v>0</v>
      </c>
      <c r="Q58" t="n">
        <v>2</v>
      </c>
      <c r="R58" s="2" t="inlineStr">
        <is>
          <t>Duvhök
Gulsparv</t>
        </is>
      </c>
      <c r="S58">
        <f>HYPERLINK("https://klasma.github.io/Logging_1907/artfynd/A 57412-2020 artfynd.xlsx", "A 57412-2020")</f>
        <v/>
      </c>
      <c r="T58">
        <f>HYPERLINK("https://klasma.github.io/Logging_1907/kartor/A 57412-2020 karta.png", "A 57412-2020")</f>
        <v/>
      </c>
      <c r="V58">
        <f>HYPERLINK("https://klasma.github.io/Logging_1907/klagomål/A 57412-2020 FSC-klagomål.docx", "A 57412-2020")</f>
        <v/>
      </c>
      <c r="W58">
        <f>HYPERLINK("https://klasma.github.io/Logging_1907/klagomålsmail/A 57412-2020 FSC-klagomål mail.docx", "A 57412-2020")</f>
        <v/>
      </c>
      <c r="X58">
        <f>HYPERLINK("https://klasma.github.io/Logging_1907/tillsyn/A 57412-2020 tillsynsbegäran.docx", "A 57412-2020")</f>
        <v/>
      </c>
      <c r="Y58">
        <f>HYPERLINK("https://klasma.github.io/Logging_1907/tillsynsmail/A 57412-2020 tillsynsbegäran mail.docx", "A 57412-2020")</f>
        <v/>
      </c>
      <c r="Z58">
        <f>HYPERLINK("https://klasma.github.io/Logging_1907/fåglar/A 57412-2020 prioriterade fågelarter.docx", "A 57412-2020")</f>
        <v/>
      </c>
    </row>
    <row r="59" ht="15" customHeight="1">
      <c r="A59" t="inlineStr">
        <is>
          <t>A 21825-2021</t>
        </is>
      </c>
      <c r="B59" s="1" t="n">
        <v>44322</v>
      </c>
      <c r="C59" s="1" t="n">
        <v>45826</v>
      </c>
      <c r="D59" t="inlineStr">
        <is>
          <t>VÄSTMANLANDS LÄN</t>
        </is>
      </c>
      <c r="E59" t="inlineStr">
        <is>
          <t>SURAHAMMAR</t>
        </is>
      </c>
      <c r="G59" t="n">
        <v>4.7</v>
      </c>
      <c r="H59" t="n">
        <v>1</v>
      </c>
      <c r="I59" t="n">
        <v>0</v>
      </c>
      <c r="J59" t="n">
        <v>1</v>
      </c>
      <c r="K59" t="n">
        <v>0</v>
      </c>
      <c r="L59" t="n">
        <v>0</v>
      </c>
      <c r="M59" t="n">
        <v>0</v>
      </c>
      <c r="N59" t="n">
        <v>0</v>
      </c>
      <c r="O59" t="n">
        <v>1</v>
      </c>
      <c r="P59" t="n">
        <v>0</v>
      </c>
      <c r="Q59" t="n">
        <v>2</v>
      </c>
      <c r="R59" s="2" t="inlineStr">
        <is>
          <t>Svinrot
Blåsippa</t>
        </is>
      </c>
      <c r="S59">
        <f>HYPERLINK("https://klasma.github.io/Logging_1907/artfynd/A 21825-2021 artfynd.xlsx", "A 21825-2021")</f>
        <v/>
      </c>
      <c r="T59">
        <f>HYPERLINK("https://klasma.github.io/Logging_1907/kartor/A 21825-2021 karta.png", "A 21825-2021")</f>
        <v/>
      </c>
      <c r="V59">
        <f>HYPERLINK("https://klasma.github.io/Logging_1907/klagomål/A 21825-2021 FSC-klagomål.docx", "A 21825-2021")</f>
        <v/>
      </c>
      <c r="W59">
        <f>HYPERLINK("https://klasma.github.io/Logging_1907/klagomålsmail/A 21825-2021 FSC-klagomål mail.docx", "A 21825-2021")</f>
        <v/>
      </c>
      <c r="X59">
        <f>HYPERLINK("https://klasma.github.io/Logging_1907/tillsyn/A 21825-2021 tillsynsbegäran.docx", "A 21825-2021")</f>
        <v/>
      </c>
      <c r="Y59">
        <f>HYPERLINK("https://klasma.github.io/Logging_1907/tillsynsmail/A 21825-2021 tillsynsbegäran mail.docx", "A 21825-2021")</f>
        <v/>
      </c>
    </row>
    <row r="60" ht="15" customHeight="1">
      <c r="A60" t="inlineStr">
        <is>
          <t>A 37801-2021</t>
        </is>
      </c>
      <c r="B60" s="1" t="n">
        <v>44402</v>
      </c>
      <c r="C60" s="1" t="n">
        <v>45826</v>
      </c>
      <c r="D60" t="inlineStr">
        <is>
          <t>VÄSTMANLANDS LÄN</t>
        </is>
      </c>
      <c r="E60" t="inlineStr">
        <is>
          <t>SURAHAMMAR</t>
        </is>
      </c>
      <c r="F60" t="inlineStr">
        <is>
          <t>Kommuner</t>
        </is>
      </c>
      <c r="G60" t="n">
        <v>2.3</v>
      </c>
      <c r="H60" t="n">
        <v>1</v>
      </c>
      <c r="I60" t="n">
        <v>0</v>
      </c>
      <c r="J60" t="n">
        <v>1</v>
      </c>
      <c r="K60" t="n">
        <v>0</v>
      </c>
      <c r="L60" t="n">
        <v>0</v>
      </c>
      <c r="M60" t="n">
        <v>0</v>
      </c>
      <c r="N60" t="n">
        <v>0</v>
      </c>
      <c r="O60" t="n">
        <v>1</v>
      </c>
      <c r="P60" t="n">
        <v>0</v>
      </c>
      <c r="Q60" t="n">
        <v>2</v>
      </c>
      <c r="R60" s="2" t="inlineStr">
        <is>
          <t>Veckticka
Nattviol</t>
        </is>
      </c>
      <c r="S60">
        <f>HYPERLINK("https://klasma.github.io/Logging_1907/artfynd/A 37801-2021 artfynd.xlsx", "A 37801-2021")</f>
        <v/>
      </c>
      <c r="T60">
        <f>HYPERLINK("https://klasma.github.io/Logging_1907/kartor/A 37801-2021 karta.png", "A 37801-2021")</f>
        <v/>
      </c>
      <c r="V60">
        <f>HYPERLINK("https://klasma.github.io/Logging_1907/klagomål/A 37801-2021 FSC-klagomål.docx", "A 37801-2021")</f>
        <v/>
      </c>
      <c r="W60">
        <f>HYPERLINK("https://klasma.github.io/Logging_1907/klagomålsmail/A 37801-2021 FSC-klagomål mail.docx", "A 37801-2021")</f>
        <v/>
      </c>
      <c r="X60">
        <f>HYPERLINK("https://klasma.github.io/Logging_1907/tillsyn/A 37801-2021 tillsynsbegäran.docx", "A 37801-2021")</f>
        <v/>
      </c>
      <c r="Y60">
        <f>HYPERLINK("https://klasma.github.io/Logging_1907/tillsynsmail/A 37801-2021 tillsynsbegäran mail.docx", "A 37801-2021")</f>
        <v/>
      </c>
    </row>
    <row r="61" ht="15" customHeight="1">
      <c r="A61" t="inlineStr">
        <is>
          <t>A 37800-2021</t>
        </is>
      </c>
      <c r="B61" s="1" t="n">
        <v>44402</v>
      </c>
      <c r="C61" s="1" t="n">
        <v>45826</v>
      </c>
      <c r="D61" t="inlineStr">
        <is>
          <t>VÄSTMANLANDS LÄN</t>
        </is>
      </c>
      <c r="E61" t="inlineStr">
        <is>
          <t>SURAHAMMAR</t>
        </is>
      </c>
      <c r="F61" t="inlineStr">
        <is>
          <t>Kommuner</t>
        </is>
      </c>
      <c r="G61" t="n">
        <v>1.3</v>
      </c>
      <c r="H61" t="n">
        <v>1</v>
      </c>
      <c r="I61" t="n">
        <v>0</v>
      </c>
      <c r="J61" t="n">
        <v>1</v>
      </c>
      <c r="K61" t="n">
        <v>0</v>
      </c>
      <c r="L61" t="n">
        <v>0</v>
      </c>
      <c r="M61" t="n">
        <v>0</v>
      </c>
      <c r="N61" t="n">
        <v>0</v>
      </c>
      <c r="O61" t="n">
        <v>1</v>
      </c>
      <c r="P61" t="n">
        <v>0</v>
      </c>
      <c r="Q61" t="n">
        <v>2</v>
      </c>
      <c r="R61" s="2" t="inlineStr">
        <is>
          <t>Svinrot
Grönvit nattviol</t>
        </is>
      </c>
      <c r="S61">
        <f>HYPERLINK("https://klasma.github.io/Logging_1907/artfynd/A 37800-2021 artfynd.xlsx", "A 37800-2021")</f>
        <v/>
      </c>
      <c r="T61">
        <f>HYPERLINK("https://klasma.github.io/Logging_1907/kartor/A 37800-2021 karta.png", "A 37800-2021")</f>
        <v/>
      </c>
      <c r="V61">
        <f>HYPERLINK("https://klasma.github.io/Logging_1907/klagomål/A 37800-2021 FSC-klagomål.docx", "A 37800-2021")</f>
        <v/>
      </c>
      <c r="W61">
        <f>HYPERLINK("https://klasma.github.io/Logging_1907/klagomålsmail/A 37800-2021 FSC-klagomål mail.docx", "A 37800-2021")</f>
        <v/>
      </c>
      <c r="X61">
        <f>HYPERLINK("https://klasma.github.io/Logging_1907/tillsyn/A 37800-2021 tillsynsbegäran.docx", "A 37800-2021")</f>
        <v/>
      </c>
      <c r="Y61">
        <f>HYPERLINK("https://klasma.github.io/Logging_1907/tillsynsmail/A 37800-2021 tillsynsbegäran mail.docx", "A 37800-2021")</f>
        <v/>
      </c>
    </row>
    <row r="62" ht="15" customHeight="1">
      <c r="A62" t="inlineStr">
        <is>
          <t>A 57168-2021</t>
        </is>
      </c>
      <c r="B62" s="1" t="n">
        <v>44482</v>
      </c>
      <c r="C62" s="1" t="n">
        <v>45826</v>
      </c>
      <c r="D62" t="inlineStr">
        <is>
          <t>VÄSTMANLANDS LÄN</t>
        </is>
      </c>
      <c r="E62" t="inlineStr">
        <is>
          <t>SURAHAMMAR</t>
        </is>
      </c>
      <c r="G62" t="n">
        <v>1.7</v>
      </c>
      <c r="H62" t="n">
        <v>0</v>
      </c>
      <c r="I62" t="n">
        <v>0</v>
      </c>
      <c r="J62" t="n">
        <v>1</v>
      </c>
      <c r="K62" t="n">
        <v>0</v>
      </c>
      <c r="L62" t="n">
        <v>1</v>
      </c>
      <c r="M62" t="n">
        <v>0</v>
      </c>
      <c r="N62" t="n">
        <v>0</v>
      </c>
      <c r="O62" t="n">
        <v>2</v>
      </c>
      <c r="P62" t="n">
        <v>1</v>
      </c>
      <c r="Q62" t="n">
        <v>2</v>
      </c>
      <c r="R62" s="2" t="inlineStr">
        <is>
          <t>Ask
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66343-2021</t>
        </is>
      </c>
      <c r="B63" s="1" t="n">
        <v>44518</v>
      </c>
      <c r="C63" s="1" t="n">
        <v>45826</v>
      </c>
      <c r="D63" t="inlineStr">
        <is>
          <t>VÄSTMANLANDS LÄN</t>
        </is>
      </c>
      <c r="E63" t="inlineStr">
        <is>
          <t>SURAHAMMAR</t>
        </is>
      </c>
      <c r="F63" t="inlineStr">
        <is>
          <t>Sveaskog</t>
        </is>
      </c>
      <c r="G63" t="n">
        <v>2.5</v>
      </c>
      <c r="H63" t="n">
        <v>0</v>
      </c>
      <c r="I63" t="n">
        <v>1</v>
      </c>
      <c r="J63" t="n">
        <v>0</v>
      </c>
      <c r="K63" t="n">
        <v>1</v>
      </c>
      <c r="L63" t="n">
        <v>0</v>
      </c>
      <c r="M63" t="n">
        <v>0</v>
      </c>
      <c r="N63" t="n">
        <v>0</v>
      </c>
      <c r="O63" t="n">
        <v>1</v>
      </c>
      <c r="P63" t="n">
        <v>1</v>
      </c>
      <c r="Q63" t="n">
        <v>2</v>
      </c>
      <c r="R63" s="2" t="inlineStr">
        <is>
          <t>Torrmusseron
Blåmossa</t>
        </is>
      </c>
      <c r="S63">
        <f>HYPERLINK("https://klasma.github.io/Logging_1907/artfynd/A 66343-2021 artfynd.xlsx", "A 66343-2021")</f>
        <v/>
      </c>
      <c r="T63">
        <f>HYPERLINK("https://klasma.github.io/Logging_1907/kartor/A 66343-2021 karta.png", "A 66343-2021")</f>
        <v/>
      </c>
      <c r="V63">
        <f>HYPERLINK("https://klasma.github.io/Logging_1907/klagomål/A 66343-2021 FSC-klagomål.docx", "A 66343-2021")</f>
        <v/>
      </c>
      <c r="W63">
        <f>HYPERLINK("https://klasma.github.io/Logging_1907/klagomålsmail/A 66343-2021 FSC-klagomål mail.docx", "A 66343-2021")</f>
        <v/>
      </c>
      <c r="X63">
        <f>HYPERLINK("https://klasma.github.io/Logging_1907/tillsyn/A 66343-2021 tillsynsbegäran.docx", "A 66343-2021")</f>
        <v/>
      </c>
      <c r="Y63">
        <f>HYPERLINK("https://klasma.github.io/Logging_1907/tillsynsmail/A 66343-2021 tillsynsbegäran mail.docx", "A 66343-2021")</f>
        <v/>
      </c>
    </row>
    <row r="64" ht="15" customHeight="1">
      <c r="A64" t="inlineStr">
        <is>
          <t>A 7845-2022</t>
        </is>
      </c>
      <c r="B64" s="1" t="n">
        <v>44608</v>
      </c>
      <c r="C64" s="1" t="n">
        <v>45826</v>
      </c>
      <c r="D64" t="inlineStr">
        <is>
          <t>VÄSTMANLANDS LÄN</t>
        </is>
      </c>
      <c r="E64" t="inlineStr">
        <is>
          <t>SURAHAMMAR</t>
        </is>
      </c>
      <c r="G64" t="n">
        <v>3</v>
      </c>
      <c r="H64" t="n">
        <v>1</v>
      </c>
      <c r="I64" t="n">
        <v>1</v>
      </c>
      <c r="J64" t="n">
        <v>0</v>
      </c>
      <c r="K64" t="n">
        <v>1</v>
      </c>
      <c r="L64" t="n">
        <v>0</v>
      </c>
      <c r="M64" t="n">
        <v>0</v>
      </c>
      <c r="N64" t="n">
        <v>0</v>
      </c>
      <c r="O64" t="n">
        <v>1</v>
      </c>
      <c r="P64" t="n">
        <v>1</v>
      </c>
      <c r="Q64" t="n">
        <v>2</v>
      </c>
      <c r="R64" s="2" t="inlineStr">
        <is>
          <t>Knärot
Vedticka</t>
        </is>
      </c>
      <c r="S64">
        <f>HYPERLINK("https://klasma.github.io/Logging_1907/artfynd/A 7845-2022 artfynd.xlsx", "A 7845-2022")</f>
        <v/>
      </c>
      <c r="T64">
        <f>HYPERLINK("https://klasma.github.io/Logging_1907/kartor/A 7845-2022 karta.png", "A 7845-2022")</f>
        <v/>
      </c>
      <c r="U64">
        <f>HYPERLINK("https://klasma.github.io/Logging_1907/knärot/A 7845-2022 karta knärot.png", "A 7845-2022")</f>
        <v/>
      </c>
      <c r="V64">
        <f>HYPERLINK("https://klasma.github.io/Logging_1907/klagomål/A 7845-2022 FSC-klagomål.docx", "A 7845-2022")</f>
        <v/>
      </c>
      <c r="W64">
        <f>HYPERLINK("https://klasma.github.io/Logging_1907/klagomålsmail/A 7845-2022 FSC-klagomål mail.docx", "A 7845-2022")</f>
        <v/>
      </c>
      <c r="X64">
        <f>HYPERLINK("https://klasma.github.io/Logging_1907/tillsyn/A 7845-2022 tillsynsbegäran.docx", "A 7845-2022")</f>
        <v/>
      </c>
      <c r="Y64">
        <f>HYPERLINK("https://klasma.github.io/Logging_1907/tillsynsmail/A 7845-2022 tillsynsbegäran mail.docx", "A 7845-2022")</f>
        <v/>
      </c>
    </row>
    <row r="65" ht="15" customHeight="1">
      <c r="A65" t="inlineStr">
        <is>
          <t>A 16217-2023</t>
        </is>
      </c>
      <c r="B65" s="1" t="n">
        <v>45022</v>
      </c>
      <c r="C65" s="1" t="n">
        <v>45826</v>
      </c>
      <c r="D65" t="inlineStr">
        <is>
          <t>VÄSTMANLANDS LÄN</t>
        </is>
      </c>
      <c r="E65" t="inlineStr">
        <is>
          <t>SURAHAMMAR</t>
        </is>
      </c>
      <c r="G65" t="n">
        <v>2.6</v>
      </c>
      <c r="H65" t="n">
        <v>1</v>
      </c>
      <c r="I65" t="n">
        <v>1</v>
      </c>
      <c r="J65" t="n">
        <v>1</v>
      </c>
      <c r="K65" t="n">
        <v>0</v>
      </c>
      <c r="L65" t="n">
        <v>0</v>
      </c>
      <c r="M65" t="n">
        <v>0</v>
      </c>
      <c r="N65" t="n">
        <v>0</v>
      </c>
      <c r="O65" t="n">
        <v>1</v>
      </c>
      <c r="P65" t="n">
        <v>0</v>
      </c>
      <c r="Q65" t="n">
        <v>2</v>
      </c>
      <c r="R65" s="2" t="inlineStr">
        <is>
          <t>Tretåig hackspett
Gullgröppa</t>
        </is>
      </c>
      <c r="S65">
        <f>HYPERLINK("https://klasma.github.io/Logging_1907/artfynd/A 16217-2023 artfynd.xlsx", "A 16217-2023")</f>
        <v/>
      </c>
      <c r="T65">
        <f>HYPERLINK("https://klasma.github.io/Logging_1907/kartor/A 16217-2023 karta.png", "A 16217-2023")</f>
        <v/>
      </c>
      <c r="V65">
        <f>HYPERLINK("https://klasma.github.io/Logging_1907/klagomål/A 16217-2023 FSC-klagomål.docx", "A 16217-2023")</f>
        <v/>
      </c>
      <c r="W65">
        <f>HYPERLINK("https://klasma.github.io/Logging_1907/klagomålsmail/A 16217-2023 FSC-klagomål mail.docx", "A 16217-2023")</f>
        <v/>
      </c>
      <c r="X65">
        <f>HYPERLINK("https://klasma.github.io/Logging_1907/tillsyn/A 16217-2023 tillsynsbegäran.docx", "A 16217-2023")</f>
        <v/>
      </c>
      <c r="Y65">
        <f>HYPERLINK("https://klasma.github.io/Logging_1907/tillsynsmail/A 16217-2023 tillsynsbegäran mail.docx", "A 16217-2023")</f>
        <v/>
      </c>
      <c r="Z65">
        <f>HYPERLINK("https://klasma.github.io/Logging_1907/fåglar/A 16217-2023 prioriterade fågelarter.docx", "A 16217-2023")</f>
        <v/>
      </c>
    </row>
    <row r="66" ht="15" customHeight="1">
      <c r="A66" t="inlineStr">
        <is>
          <t>A 28043-2023</t>
        </is>
      </c>
      <c r="B66" s="1" t="n">
        <v>45099</v>
      </c>
      <c r="C66" s="1" t="n">
        <v>45826</v>
      </c>
      <c r="D66" t="inlineStr">
        <is>
          <t>VÄSTMANLANDS LÄN</t>
        </is>
      </c>
      <c r="E66" t="inlineStr">
        <is>
          <t>SURAHAMMAR</t>
        </is>
      </c>
      <c r="F66" t="inlineStr">
        <is>
          <t>Allmännings- och besparingsskogar</t>
        </is>
      </c>
      <c r="G66" t="n">
        <v>23.9</v>
      </c>
      <c r="H66" t="n">
        <v>1</v>
      </c>
      <c r="I66" t="n">
        <v>0</v>
      </c>
      <c r="J66" t="n">
        <v>1</v>
      </c>
      <c r="K66" t="n">
        <v>0</v>
      </c>
      <c r="L66" t="n">
        <v>0</v>
      </c>
      <c r="M66" t="n">
        <v>0</v>
      </c>
      <c r="N66" t="n">
        <v>0</v>
      </c>
      <c r="O66" t="n">
        <v>1</v>
      </c>
      <c r="P66" t="n">
        <v>0</v>
      </c>
      <c r="Q66" t="n">
        <v>2</v>
      </c>
      <c r="R66" s="2" t="inlineStr">
        <is>
          <t>Gropticka
Revlummer</t>
        </is>
      </c>
      <c r="S66">
        <f>HYPERLINK("https://klasma.github.io/Logging_1907/artfynd/A 28043-2023 artfynd.xlsx", "A 28043-2023")</f>
        <v/>
      </c>
      <c r="T66">
        <f>HYPERLINK("https://klasma.github.io/Logging_1907/kartor/A 28043-2023 karta.png", "A 28043-2023")</f>
        <v/>
      </c>
      <c r="V66">
        <f>HYPERLINK("https://klasma.github.io/Logging_1907/klagomål/A 28043-2023 FSC-klagomål.docx", "A 28043-2023")</f>
        <v/>
      </c>
      <c r="W66">
        <f>HYPERLINK("https://klasma.github.io/Logging_1907/klagomålsmail/A 28043-2023 FSC-klagomål mail.docx", "A 28043-2023")</f>
        <v/>
      </c>
      <c r="X66">
        <f>HYPERLINK("https://klasma.github.io/Logging_1907/tillsyn/A 28043-2023 tillsynsbegäran.docx", "A 28043-2023")</f>
        <v/>
      </c>
      <c r="Y66">
        <f>HYPERLINK("https://klasma.github.io/Logging_1907/tillsynsmail/A 28043-2023 tillsynsbegäran mail.docx", "A 28043-2023")</f>
        <v/>
      </c>
    </row>
    <row r="67" ht="15" customHeight="1">
      <c r="A67" t="inlineStr">
        <is>
          <t>A 41204-2023</t>
        </is>
      </c>
      <c r="B67" s="1" t="n">
        <v>45174</v>
      </c>
      <c r="C67" s="1" t="n">
        <v>45826</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45826</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45826</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45826</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45826</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45826</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45826</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45826</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45826</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45826</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45826</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45826</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45826</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45826</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45826</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45826</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45826</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45826</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45826</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45826</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45826</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45826</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45826</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45826</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45826</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45826</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45826</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45826</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45826</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45826</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45826</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45826</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45826</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45826</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45826</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45826</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45826</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45826</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45826</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45826</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45826</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45826</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45826</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45826</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45826</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45826</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45826</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45826</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45826</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45826</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45826</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45826</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45826</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45826</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45826</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45826</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45826</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45826</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45826</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45826</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45826</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45826</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45826</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45826</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45826</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45826</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45826</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45826</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45826</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45826</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45826</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45826</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45826</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45826</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45826</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45826</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45826</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45826</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45826</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45826</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45826</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45826</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45826</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45826</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45826</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45826</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45826</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45826</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45826</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45826</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45826</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45826</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45826</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45826</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45826</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45826</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45826</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45826</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45826</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45826</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45826</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45826</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45826</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45826</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45826</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45826</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45826</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45826</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45826</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45826</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45826</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45826</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45826</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45826</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45826</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45826</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45826</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45826</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45826</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45826</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45826</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45826</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45826</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45826</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45826</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45826</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45826</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45826</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45826</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45826</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45826</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45826</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45826</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45826</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45826</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45826</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45826</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45826</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45826</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45826</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45826</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45826</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45826</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45826</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45826</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45826</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45826</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45826</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45826</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45826</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45826</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45826</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45826</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45826</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45826</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45826</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45826</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45826</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45826</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45826</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45826</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45826</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45826</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45826</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45826</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45826</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45826</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45826</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45826</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45826</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45826</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45826</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45826</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45826</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45826</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45826</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45826</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45826</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45826</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45826</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45826</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45826</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45826</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45826</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45826</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45826</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45826</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45826</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45826</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45826</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45826</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45826</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45826</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45826</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45826</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45826</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45826</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45826</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45826</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45826</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45826</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45826</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45826</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45826</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45826</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45826</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45826</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45826</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45826</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45826</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45826</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45826</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45826</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45826</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45826</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45826</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45826</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45826</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45826</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45826</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45826</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45826</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45826</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45826</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45826</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45826</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45826</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45826</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45826</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45826</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45826</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45826</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45826</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45826</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45826</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45826</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45826</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45826</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45826</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2025-06-18T18:51:07Z</dcterms:created>
  <dcterms:modified xmlns:dcterms="http://purl.org/dc/terms/" xmlns:xsi="http://www.w3.org/2001/XMLSchema-instance" xsi:type="dcterms:W3CDTF">2025-06-18T18:51:07Z</dcterms:modified>
</cp:coreProperties>
</file>