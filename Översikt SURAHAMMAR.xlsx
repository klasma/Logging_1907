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45881</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45881</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45881</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45881</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45881</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45881</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45881</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45881</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45881</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45881</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45881</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45881</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45881</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48891-2023</t>
        </is>
      </c>
      <c r="B20" s="1" t="n">
        <v>45203</v>
      </c>
      <c r="C20" s="1" t="n">
        <v>45881</v>
      </c>
      <c r="D20" t="inlineStr">
        <is>
          <t>VÄSTMANLANDS LÄN</t>
        </is>
      </c>
      <c r="E20" t="inlineStr">
        <is>
          <t>SURAHAMMAR</t>
        </is>
      </c>
      <c r="F20" t="inlineStr">
        <is>
          <t>Bergvik skog väst AB</t>
        </is>
      </c>
      <c r="G20" t="n">
        <v>2.9</v>
      </c>
      <c r="H20" t="n">
        <v>3</v>
      </c>
      <c r="I20" t="n">
        <v>1</v>
      </c>
      <c r="J20" t="n">
        <v>1</v>
      </c>
      <c r="K20" t="n">
        <v>1</v>
      </c>
      <c r="L20" t="n">
        <v>0</v>
      </c>
      <c r="M20" t="n">
        <v>0</v>
      </c>
      <c r="N20" t="n">
        <v>0</v>
      </c>
      <c r="O20" t="n">
        <v>2</v>
      </c>
      <c r="P20" t="n">
        <v>1</v>
      </c>
      <c r="Q20" t="n">
        <v>4</v>
      </c>
      <c r="R20" s="2" t="inlineStr">
        <is>
          <t>Knärot
Spillkråka
Flagellkvastmossa
Gröngöling</t>
        </is>
      </c>
      <c r="S20">
        <f>HYPERLINK("https://klasma.github.io/Logging_1907/artfynd/A 48891-2023 artfynd.xlsx", "A 48891-2023")</f>
        <v/>
      </c>
      <c r="T20">
        <f>HYPERLINK("https://klasma.github.io/Logging_1907/kartor/A 48891-2023 karta.png", "A 48891-2023")</f>
        <v/>
      </c>
      <c r="U20">
        <f>HYPERLINK("https://klasma.github.io/Logging_1907/knärot/A 48891-2023 karta knärot.png", "A 48891-2023")</f>
        <v/>
      </c>
      <c r="V20">
        <f>HYPERLINK("https://klasma.github.io/Logging_1907/klagomål/A 48891-2023 FSC-klagomål.docx", "A 48891-2023")</f>
        <v/>
      </c>
      <c r="W20">
        <f>HYPERLINK("https://klasma.github.io/Logging_1907/klagomålsmail/A 48891-2023 FSC-klagomål mail.docx", "A 48891-2023")</f>
        <v/>
      </c>
      <c r="X20">
        <f>HYPERLINK("https://klasma.github.io/Logging_1907/tillsyn/A 48891-2023 tillsynsbegäran.docx", "A 48891-2023")</f>
        <v/>
      </c>
      <c r="Y20">
        <f>HYPERLINK("https://klasma.github.io/Logging_1907/tillsynsmail/A 48891-2023 tillsynsbegäran mail.docx", "A 48891-2023")</f>
        <v/>
      </c>
      <c r="Z20">
        <f>HYPERLINK("https://klasma.github.io/Logging_1907/fåglar/A 48891-2023 prioriterade fågelarter.docx", "A 48891-2023")</f>
        <v/>
      </c>
    </row>
    <row r="21" ht="15" customHeight="1">
      <c r="A21" t="inlineStr">
        <is>
          <t>A 4105-2025</t>
        </is>
      </c>
      <c r="B21" s="1" t="n">
        <v>45684</v>
      </c>
      <c r="C21" s="1" t="n">
        <v>45881</v>
      </c>
      <c r="D21" t="inlineStr">
        <is>
          <t>VÄSTMANLANDS LÄN</t>
        </is>
      </c>
      <c r="E21" t="inlineStr">
        <is>
          <t>SURAHAMMAR</t>
        </is>
      </c>
      <c r="F21" t="inlineStr">
        <is>
          <t>Bergvik skog väst AB</t>
        </is>
      </c>
      <c r="G21" t="n">
        <v>14.7</v>
      </c>
      <c r="H21" t="n">
        <v>3</v>
      </c>
      <c r="I21" t="n">
        <v>0</v>
      </c>
      <c r="J21" t="n">
        <v>2</v>
      </c>
      <c r="K21" t="n">
        <v>1</v>
      </c>
      <c r="L21" t="n">
        <v>0</v>
      </c>
      <c r="M21" t="n">
        <v>0</v>
      </c>
      <c r="N21" t="n">
        <v>0</v>
      </c>
      <c r="O21" t="n">
        <v>3</v>
      </c>
      <c r="P21" t="n">
        <v>1</v>
      </c>
      <c r="Q21" t="n">
        <v>4</v>
      </c>
      <c r="R21" s="2" t="inlineStr">
        <is>
          <t>Knärot
Havsörn
Ullticka
Revlummer</t>
        </is>
      </c>
      <c r="S21">
        <f>HYPERLINK("https://klasma.github.io/Logging_1907/artfynd/A 4105-2025 artfynd.xlsx", "A 4105-2025")</f>
        <v/>
      </c>
      <c r="T21">
        <f>HYPERLINK("https://klasma.github.io/Logging_1907/kartor/A 4105-2025 karta.png", "A 4105-2025")</f>
        <v/>
      </c>
      <c r="U21">
        <f>HYPERLINK("https://klasma.github.io/Logging_1907/knärot/A 4105-2025 karta knärot.png", "A 4105-2025")</f>
        <v/>
      </c>
      <c r="V21">
        <f>HYPERLINK("https://klasma.github.io/Logging_1907/klagomål/A 4105-2025 FSC-klagomål.docx", "A 4105-2025")</f>
        <v/>
      </c>
      <c r="W21">
        <f>HYPERLINK("https://klasma.github.io/Logging_1907/klagomålsmail/A 4105-2025 FSC-klagomål mail.docx", "A 4105-2025")</f>
        <v/>
      </c>
      <c r="X21">
        <f>HYPERLINK("https://klasma.github.io/Logging_1907/tillsyn/A 4105-2025 tillsynsbegäran.docx", "A 4105-2025")</f>
        <v/>
      </c>
      <c r="Y21">
        <f>HYPERLINK("https://klasma.github.io/Logging_1907/tillsynsmail/A 4105-2025 tillsynsbegäran mail.docx", "A 4105-2025")</f>
        <v/>
      </c>
      <c r="Z21">
        <f>HYPERLINK("https://klasma.github.io/Logging_1907/fåglar/A 4105-2025 prioriterade fågelarter.docx", "A 4105-2025")</f>
        <v/>
      </c>
    </row>
    <row r="22" ht="15" customHeight="1">
      <c r="A22" t="inlineStr">
        <is>
          <t>A 25548-2024</t>
        </is>
      </c>
      <c r="B22" s="1" t="n">
        <v>45463</v>
      </c>
      <c r="C22" s="1" t="n">
        <v>45881</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45881</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45881</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59550-2020</t>
        </is>
      </c>
      <c r="B25" s="1" t="n">
        <v>44148</v>
      </c>
      <c r="C25" s="1" t="n">
        <v>45881</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42853-2022</t>
        </is>
      </c>
      <c r="B26" s="1" t="n">
        <v>44832</v>
      </c>
      <c r="C26" s="1" t="n">
        <v>45881</v>
      </c>
      <c r="D26" t="inlineStr">
        <is>
          <t>VÄSTMANLANDS LÄN</t>
        </is>
      </c>
      <c r="E26" t="inlineStr">
        <is>
          <t>SURAHAMMAR</t>
        </is>
      </c>
      <c r="G26" t="n">
        <v>7.4</v>
      </c>
      <c r="H26" t="n">
        <v>1</v>
      </c>
      <c r="I26" t="n">
        <v>1</v>
      </c>
      <c r="J26" t="n">
        <v>1</v>
      </c>
      <c r="K26" t="n">
        <v>0</v>
      </c>
      <c r="L26" t="n">
        <v>1</v>
      </c>
      <c r="M26" t="n">
        <v>0</v>
      </c>
      <c r="N26" t="n">
        <v>0</v>
      </c>
      <c r="O26" t="n">
        <v>2</v>
      </c>
      <c r="P26" t="n">
        <v>1</v>
      </c>
      <c r="Q26" t="n">
        <v>3</v>
      </c>
      <c r="R26" s="2" t="inlineStr">
        <is>
          <t>Ask
Kandelabersvamp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row>
    <row r="27" ht="15" customHeight="1">
      <c r="A27" t="inlineStr">
        <is>
          <t>A 42860-2022</t>
        </is>
      </c>
      <c r="B27" s="1" t="n">
        <v>44832</v>
      </c>
      <c r="C27" s="1" t="n">
        <v>45881</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20391-2024</t>
        </is>
      </c>
      <c r="B28" s="1" t="n">
        <v>45435</v>
      </c>
      <c r="C28" s="1" t="n">
        <v>45881</v>
      </c>
      <c r="D28" t="inlineStr">
        <is>
          <t>VÄSTMANLANDS LÄN</t>
        </is>
      </c>
      <c r="E28" t="inlineStr">
        <is>
          <t>SURAHAMMAR</t>
        </is>
      </c>
      <c r="G28" t="n">
        <v>1.5</v>
      </c>
      <c r="H28" t="n">
        <v>0</v>
      </c>
      <c r="I28" t="n">
        <v>2</v>
      </c>
      <c r="J28" t="n">
        <v>1</v>
      </c>
      <c r="K28" t="n">
        <v>0</v>
      </c>
      <c r="L28" t="n">
        <v>0</v>
      </c>
      <c r="M28" t="n">
        <v>0</v>
      </c>
      <c r="N28" t="n">
        <v>0</v>
      </c>
      <c r="O28" t="n">
        <v>1</v>
      </c>
      <c r="P28" t="n">
        <v>0</v>
      </c>
      <c r="Q28" t="n">
        <v>3</v>
      </c>
      <c r="R28" s="2" t="inlineStr">
        <is>
          <t>Vedtrappmossa
Kattfotslav
Stubbspretmossa</t>
        </is>
      </c>
      <c r="S28">
        <f>HYPERLINK("https://klasma.github.io/Logging_1907/artfynd/A 20391-2024 artfynd.xlsx", "A 20391-2024")</f>
        <v/>
      </c>
      <c r="T28">
        <f>HYPERLINK("https://klasma.github.io/Logging_1907/kartor/A 20391-2024 karta.png", "A 20391-2024")</f>
        <v/>
      </c>
      <c r="V28">
        <f>HYPERLINK("https://klasma.github.io/Logging_1907/klagomål/A 20391-2024 FSC-klagomål.docx", "A 20391-2024")</f>
        <v/>
      </c>
      <c r="W28">
        <f>HYPERLINK("https://klasma.github.io/Logging_1907/klagomålsmail/A 20391-2024 FSC-klagomål mail.docx", "A 20391-2024")</f>
        <v/>
      </c>
      <c r="X28">
        <f>HYPERLINK("https://klasma.github.io/Logging_1907/tillsyn/A 20391-2024 tillsynsbegäran.docx", "A 20391-2024")</f>
        <v/>
      </c>
      <c r="Y28">
        <f>HYPERLINK("https://klasma.github.io/Logging_1907/tillsynsmail/A 20391-2024 tillsynsbegäran mail.docx", "A 20391-2024")</f>
        <v/>
      </c>
    </row>
    <row r="29" ht="15" customHeight="1">
      <c r="A29" t="inlineStr">
        <is>
          <t>A 38200-2021</t>
        </is>
      </c>
      <c r="B29" s="1" t="n">
        <v>44405</v>
      </c>
      <c r="C29" s="1" t="n">
        <v>45881</v>
      </c>
      <c r="D29" t="inlineStr">
        <is>
          <t>VÄSTMANLANDS LÄN</t>
        </is>
      </c>
      <c r="E29" t="inlineStr">
        <is>
          <t>SURAHAMMAR</t>
        </is>
      </c>
      <c r="F29" t="inlineStr">
        <is>
          <t>Sveaskog</t>
        </is>
      </c>
      <c r="G29" t="n">
        <v>1.5</v>
      </c>
      <c r="H29" t="n">
        <v>1</v>
      </c>
      <c r="I29" t="n">
        <v>0</v>
      </c>
      <c r="J29" t="n">
        <v>1</v>
      </c>
      <c r="K29" t="n">
        <v>1</v>
      </c>
      <c r="L29" t="n">
        <v>0</v>
      </c>
      <c r="M29" t="n">
        <v>0</v>
      </c>
      <c r="N29" t="n">
        <v>0</v>
      </c>
      <c r="O29" t="n">
        <v>2</v>
      </c>
      <c r="P29" t="n">
        <v>1</v>
      </c>
      <c r="Q29" t="n">
        <v>3</v>
      </c>
      <c r="R29" s="2" t="inlineStr">
        <is>
          <t>Vågticka
Svinrot
Kopparödla</t>
        </is>
      </c>
      <c r="S29">
        <f>HYPERLINK("https://klasma.github.io/Logging_1907/artfynd/A 38200-2021 artfynd.xlsx", "A 38200-2021")</f>
        <v/>
      </c>
      <c r="T29">
        <f>HYPERLINK("https://klasma.github.io/Logging_1907/kartor/A 38200-2021 karta.png", "A 38200-2021")</f>
        <v/>
      </c>
      <c r="V29">
        <f>HYPERLINK("https://klasma.github.io/Logging_1907/klagomål/A 38200-2021 FSC-klagomål.docx", "A 38200-2021")</f>
        <v/>
      </c>
      <c r="W29">
        <f>HYPERLINK("https://klasma.github.io/Logging_1907/klagomålsmail/A 38200-2021 FSC-klagomål mail.docx", "A 38200-2021")</f>
        <v/>
      </c>
      <c r="X29">
        <f>HYPERLINK("https://klasma.github.io/Logging_1907/tillsyn/A 38200-2021 tillsynsbegäran.docx", "A 38200-2021")</f>
        <v/>
      </c>
      <c r="Y29">
        <f>HYPERLINK("https://klasma.github.io/Logging_1907/tillsynsmail/A 38200-2021 tillsynsbegäran mail.docx", "A 38200-2021")</f>
        <v/>
      </c>
    </row>
    <row r="30" ht="15" customHeight="1">
      <c r="A30" t="inlineStr">
        <is>
          <t>A 49718-2023</t>
        </is>
      </c>
      <c r="B30" s="1" t="n">
        <v>45212</v>
      </c>
      <c r="C30" s="1" t="n">
        <v>45881</v>
      </c>
      <c r="D30" t="inlineStr">
        <is>
          <t>VÄSTMANLANDS LÄN</t>
        </is>
      </c>
      <c r="E30" t="inlineStr">
        <is>
          <t>SURAHAMMAR</t>
        </is>
      </c>
      <c r="G30" t="n">
        <v>3.4</v>
      </c>
      <c r="H30" t="n">
        <v>1</v>
      </c>
      <c r="I30" t="n">
        <v>1</v>
      </c>
      <c r="J30" t="n">
        <v>2</v>
      </c>
      <c r="K30" t="n">
        <v>0</v>
      </c>
      <c r="L30" t="n">
        <v>0</v>
      </c>
      <c r="M30" t="n">
        <v>0</v>
      </c>
      <c r="N30" t="n">
        <v>0</v>
      </c>
      <c r="O30" t="n">
        <v>2</v>
      </c>
      <c r="P30" t="n">
        <v>0</v>
      </c>
      <c r="Q30" t="n">
        <v>3</v>
      </c>
      <c r="R30" s="2" t="inlineStr">
        <is>
          <t>Motaggsvamp
Talltita
Zontaggsvamp</t>
        </is>
      </c>
      <c r="S30">
        <f>HYPERLINK("https://klasma.github.io/Logging_1907/artfynd/A 49718-2023 artfynd.xlsx", "A 49718-2023")</f>
        <v/>
      </c>
      <c r="T30">
        <f>HYPERLINK("https://klasma.github.io/Logging_1907/kartor/A 49718-2023 karta.png", "A 49718-2023")</f>
        <v/>
      </c>
      <c r="V30">
        <f>HYPERLINK("https://klasma.github.io/Logging_1907/klagomål/A 49718-2023 FSC-klagomål.docx", "A 49718-2023")</f>
        <v/>
      </c>
      <c r="W30">
        <f>HYPERLINK("https://klasma.github.io/Logging_1907/klagomålsmail/A 49718-2023 FSC-klagomål mail.docx", "A 49718-2023")</f>
        <v/>
      </c>
      <c r="X30">
        <f>HYPERLINK("https://klasma.github.io/Logging_1907/tillsyn/A 49718-2023 tillsynsbegäran.docx", "A 49718-2023")</f>
        <v/>
      </c>
      <c r="Y30">
        <f>HYPERLINK("https://klasma.github.io/Logging_1907/tillsynsmail/A 49718-2023 tillsynsbegäran mail.docx", "A 49718-2023")</f>
        <v/>
      </c>
      <c r="Z30">
        <f>HYPERLINK("https://klasma.github.io/Logging_1907/fåglar/A 49718-2023 prioriterade fågelarter.docx", "A 49718-2023")</f>
        <v/>
      </c>
    </row>
    <row r="31" ht="15" customHeight="1">
      <c r="A31" t="inlineStr">
        <is>
          <t>A 48128-2023</t>
        </is>
      </c>
      <c r="B31" s="1" t="n">
        <v>45205</v>
      </c>
      <c r="C31" s="1" t="n">
        <v>45881</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42708-2022</t>
        </is>
      </c>
      <c r="B32" s="1" t="n">
        <v>44832</v>
      </c>
      <c r="C32" s="1" t="n">
        <v>45881</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8552-2022</t>
        </is>
      </c>
      <c r="B33" s="1" t="n">
        <v>44613</v>
      </c>
      <c r="C33" s="1" t="n">
        <v>45881</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29707-2025</t>
        </is>
      </c>
      <c r="B34" s="1" t="n">
        <v>45825.56100694444</v>
      </c>
      <c r="C34" s="1" t="n">
        <v>45881</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37801-2021</t>
        </is>
      </c>
      <c r="B35" s="1" t="n">
        <v>44402</v>
      </c>
      <c r="C35" s="1" t="n">
        <v>45881</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45881</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37800-2021</t>
        </is>
      </c>
      <c r="B37" s="1" t="n">
        <v>44402</v>
      </c>
      <c r="C37" s="1" t="n">
        <v>45881</v>
      </c>
      <c r="D37" t="inlineStr">
        <is>
          <t>VÄSTMANLANDS LÄN</t>
        </is>
      </c>
      <c r="E37" t="inlineStr">
        <is>
          <t>SURAHAMMAR</t>
        </is>
      </c>
      <c r="F37" t="inlineStr">
        <is>
          <t>Kommuner</t>
        </is>
      </c>
      <c r="G37" t="n">
        <v>1.3</v>
      </c>
      <c r="H37" t="n">
        <v>1</v>
      </c>
      <c r="I37" t="n">
        <v>0</v>
      </c>
      <c r="J37" t="n">
        <v>1</v>
      </c>
      <c r="K37" t="n">
        <v>0</v>
      </c>
      <c r="L37" t="n">
        <v>0</v>
      </c>
      <c r="M37" t="n">
        <v>0</v>
      </c>
      <c r="N37" t="n">
        <v>0</v>
      </c>
      <c r="O37" t="n">
        <v>1</v>
      </c>
      <c r="P37" t="n">
        <v>0</v>
      </c>
      <c r="Q37" t="n">
        <v>2</v>
      </c>
      <c r="R37" s="2" t="inlineStr">
        <is>
          <t>Svinrot
Grönvit nattviol</t>
        </is>
      </c>
      <c r="S37">
        <f>HYPERLINK("https://klasma.github.io/Logging_1907/artfynd/A 37800-2021 artfynd.xlsx", "A 37800-2021")</f>
        <v/>
      </c>
      <c r="T37">
        <f>HYPERLINK("https://klasma.github.io/Logging_1907/kartor/A 37800-2021 karta.png", "A 37800-2021")</f>
        <v/>
      </c>
      <c r="V37">
        <f>HYPERLINK("https://klasma.github.io/Logging_1907/klagomål/A 37800-2021 FSC-klagomål.docx", "A 37800-2021")</f>
        <v/>
      </c>
      <c r="W37">
        <f>HYPERLINK("https://klasma.github.io/Logging_1907/klagomålsmail/A 37800-2021 FSC-klagomål mail.docx", "A 37800-2021")</f>
        <v/>
      </c>
      <c r="X37">
        <f>HYPERLINK("https://klasma.github.io/Logging_1907/tillsyn/A 37800-2021 tillsynsbegäran.docx", "A 37800-2021")</f>
        <v/>
      </c>
      <c r="Y37">
        <f>HYPERLINK("https://klasma.github.io/Logging_1907/tillsynsmail/A 37800-2021 tillsynsbegäran mail.docx", "A 37800-2021")</f>
        <v/>
      </c>
    </row>
    <row r="38" ht="15" customHeight="1">
      <c r="A38" t="inlineStr">
        <is>
          <t>A 21618-2025</t>
        </is>
      </c>
      <c r="B38" s="1" t="n">
        <v>45783</v>
      </c>
      <c r="C38" s="1" t="n">
        <v>45881</v>
      </c>
      <c r="D38" t="inlineStr">
        <is>
          <t>VÄSTMANLANDS LÄN</t>
        </is>
      </c>
      <c r="E38" t="inlineStr">
        <is>
          <t>SURAHAMMAR</t>
        </is>
      </c>
      <c r="F38" t="inlineStr">
        <is>
          <t>Bergvik skog väst AB</t>
        </is>
      </c>
      <c r="G38" t="n">
        <v>1.1</v>
      </c>
      <c r="H38" t="n">
        <v>2</v>
      </c>
      <c r="I38" t="n">
        <v>1</v>
      </c>
      <c r="J38" t="n">
        <v>0</v>
      </c>
      <c r="K38" t="n">
        <v>0</v>
      </c>
      <c r="L38" t="n">
        <v>0</v>
      </c>
      <c r="M38" t="n">
        <v>0</v>
      </c>
      <c r="N38" t="n">
        <v>0</v>
      </c>
      <c r="O38" t="n">
        <v>0</v>
      </c>
      <c r="P38" t="n">
        <v>0</v>
      </c>
      <c r="Q38" t="n">
        <v>2</v>
      </c>
      <c r="R38" s="2" t="inlineStr">
        <is>
          <t>Plattlummer
Mattlummer</t>
        </is>
      </c>
      <c r="S38">
        <f>HYPERLINK("https://klasma.github.io/Logging_1907/artfynd/A 21618-2025 artfynd.xlsx", "A 21618-2025")</f>
        <v/>
      </c>
      <c r="T38">
        <f>HYPERLINK("https://klasma.github.io/Logging_1907/kartor/A 21618-2025 karta.png", "A 21618-2025")</f>
        <v/>
      </c>
      <c r="V38">
        <f>HYPERLINK("https://klasma.github.io/Logging_1907/klagomål/A 21618-2025 FSC-klagomål.docx", "A 21618-2025")</f>
        <v/>
      </c>
      <c r="W38">
        <f>HYPERLINK("https://klasma.github.io/Logging_1907/klagomålsmail/A 21618-2025 FSC-klagomål mail.docx", "A 21618-2025")</f>
        <v/>
      </c>
      <c r="X38">
        <f>HYPERLINK("https://klasma.github.io/Logging_1907/tillsyn/A 21618-2025 tillsynsbegäran.docx", "A 21618-2025")</f>
        <v/>
      </c>
      <c r="Y38">
        <f>HYPERLINK("https://klasma.github.io/Logging_1907/tillsynsmail/A 21618-2025 tillsynsbegäran mail.docx", "A 21618-2025")</f>
        <v/>
      </c>
    </row>
    <row r="39" ht="15" customHeight="1">
      <c r="A39" t="inlineStr">
        <is>
          <t>A 41204-2023</t>
        </is>
      </c>
      <c r="B39" s="1" t="n">
        <v>45174</v>
      </c>
      <c r="C39" s="1" t="n">
        <v>45881</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4082-2025</t>
        </is>
      </c>
      <c r="B40" s="1" t="n">
        <v>45684</v>
      </c>
      <c r="C40" s="1" t="n">
        <v>45881</v>
      </c>
      <c r="D40" t="inlineStr">
        <is>
          <t>VÄSTMANLANDS LÄN</t>
        </is>
      </c>
      <c r="E40" t="inlineStr">
        <is>
          <t>SURAHAMMAR</t>
        </is>
      </c>
      <c r="F40" t="inlineStr">
        <is>
          <t>Bergvik skog väst AB</t>
        </is>
      </c>
      <c r="G40" t="n">
        <v>11.6</v>
      </c>
      <c r="H40" t="n">
        <v>1</v>
      </c>
      <c r="I40" t="n">
        <v>2</v>
      </c>
      <c r="J40" t="n">
        <v>0</v>
      </c>
      <c r="K40" t="n">
        <v>0</v>
      </c>
      <c r="L40" t="n">
        <v>0</v>
      </c>
      <c r="M40" t="n">
        <v>0</v>
      </c>
      <c r="N40" t="n">
        <v>0</v>
      </c>
      <c r="O40" t="n">
        <v>0</v>
      </c>
      <c r="P40" t="n">
        <v>0</v>
      </c>
      <c r="Q40" t="n">
        <v>2</v>
      </c>
      <c r="R40" s="2" t="inlineStr">
        <is>
          <t>Grönpyrola
Plattlummer</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38170-2021</t>
        </is>
      </c>
      <c r="B41" s="1" t="n">
        <v>44405.43472222222</v>
      </c>
      <c r="C41" s="1" t="n">
        <v>45881</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45881</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45881</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45881</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45735-2024</t>
        </is>
      </c>
      <c r="B45" s="1" t="n">
        <v>45579</v>
      </c>
      <c r="C45" s="1" t="n">
        <v>45881</v>
      </c>
      <c r="D45" t="inlineStr">
        <is>
          <t>VÄSTMANLANDS LÄN</t>
        </is>
      </c>
      <c r="E45" t="inlineStr">
        <is>
          <t>SURAHAMMAR</t>
        </is>
      </c>
      <c r="F45" t="inlineStr">
        <is>
          <t>Sveaskog</t>
        </is>
      </c>
      <c r="G45" t="n">
        <v>13.5</v>
      </c>
      <c r="H45" t="n">
        <v>1</v>
      </c>
      <c r="I45" t="n">
        <v>0</v>
      </c>
      <c r="J45" t="n">
        <v>0</v>
      </c>
      <c r="K45" t="n">
        <v>0</v>
      </c>
      <c r="L45" t="n">
        <v>0</v>
      </c>
      <c r="M45" t="n">
        <v>0</v>
      </c>
      <c r="N45" t="n">
        <v>0</v>
      </c>
      <c r="O45" t="n">
        <v>0</v>
      </c>
      <c r="P45" t="n">
        <v>0</v>
      </c>
      <c r="Q45" t="n">
        <v>1</v>
      </c>
      <c r="R45" s="2" t="inlineStr">
        <is>
          <t>Revlummer</t>
        </is>
      </c>
      <c r="S45">
        <f>HYPERLINK("https://klasma.github.io/Logging_1907/artfynd/A 45735-2024 artfynd.xlsx", "A 45735-2024")</f>
        <v/>
      </c>
      <c r="T45">
        <f>HYPERLINK("https://klasma.github.io/Logging_1907/kartor/A 45735-2024 karta.png", "A 45735-2024")</f>
        <v/>
      </c>
      <c r="V45">
        <f>HYPERLINK("https://klasma.github.io/Logging_1907/klagomål/A 45735-2024 FSC-klagomål.docx", "A 45735-2024")</f>
        <v/>
      </c>
      <c r="W45">
        <f>HYPERLINK("https://klasma.github.io/Logging_1907/klagomålsmail/A 45735-2024 FSC-klagomål mail.docx", "A 45735-2024")</f>
        <v/>
      </c>
      <c r="X45">
        <f>HYPERLINK("https://klasma.github.io/Logging_1907/tillsyn/A 45735-2024 tillsynsbegäran.docx", "A 45735-2024")</f>
        <v/>
      </c>
      <c r="Y45">
        <f>HYPERLINK("https://klasma.github.io/Logging_1907/tillsynsmail/A 45735-2024 tillsynsbegäran mail.docx", "A 45735-2024")</f>
        <v/>
      </c>
    </row>
    <row r="46" ht="15" customHeight="1">
      <c r="A46" t="inlineStr">
        <is>
          <t>A 39099-2022</t>
        </is>
      </c>
      <c r="B46" s="1" t="n">
        <v>44817</v>
      </c>
      <c r="C46" s="1" t="n">
        <v>45881</v>
      </c>
      <c r="D46" t="inlineStr">
        <is>
          <t>VÄSTMANLANDS LÄN</t>
        </is>
      </c>
      <c r="E46" t="inlineStr">
        <is>
          <t>SURAHAMMAR</t>
        </is>
      </c>
      <c r="F46" t="inlineStr">
        <is>
          <t>Bergvik skog väst AB</t>
        </is>
      </c>
      <c r="G46" t="n">
        <v>7.4</v>
      </c>
      <c r="H46" t="n">
        <v>0</v>
      </c>
      <c r="I46" t="n">
        <v>1</v>
      </c>
      <c r="J46" t="n">
        <v>0</v>
      </c>
      <c r="K46" t="n">
        <v>0</v>
      </c>
      <c r="L46" t="n">
        <v>0</v>
      </c>
      <c r="M46" t="n">
        <v>0</v>
      </c>
      <c r="N46" t="n">
        <v>0</v>
      </c>
      <c r="O46" t="n">
        <v>0</v>
      </c>
      <c r="P46" t="n">
        <v>0</v>
      </c>
      <c r="Q46" t="n">
        <v>1</v>
      </c>
      <c r="R46" s="2" t="inlineStr">
        <is>
          <t>Stekelbock</t>
        </is>
      </c>
      <c r="S46">
        <f>HYPERLINK("https://klasma.github.io/Logging_1907/artfynd/A 39099-2022 artfynd.xlsx", "A 39099-2022")</f>
        <v/>
      </c>
      <c r="T46">
        <f>HYPERLINK("https://klasma.github.io/Logging_1907/kartor/A 39099-2022 karta.png", "A 39099-2022")</f>
        <v/>
      </c>
      <c r="V46">
        <f>HYPERLINK("https://klasma.github.io/Logging_1907/klagomål/A 39099-2022 FSC-klagomål.docx", "A 39099-2022")</f>
        <v/>
      </c>
      <c r="W46">
        <f>HYPERLINK("https://klasma.github.io/Logging_1907/klagomålsmail/A 39099-2022 FSC-klagomål mail.docx", "A 39099-2022")</f>
        <v/>
      </c>
      <c r="X46">
        <f>HYPERLINK("https://klasma.github.io/Logging_1907/tillsyn/A 39099-2022 tillsynsbegäran.docx", "A 39099-2022")</f>
        <v/>
      </c>
      <c r="Y46">
        <f>HYPERLINK("https://klasma.github.io/Logging_1907/tillsynsmail/A 39099-2022 tillsynsbegäran mail.docx", "A 39099-2022")</f>
        <v/>
      </c>
    </row>
    <row r="47" ht="15" customHeight="1">
      <c r="A47" t="inlineStr">
        <is>
          <t>A 44355-2024</t>
        </is>
      </c>
      <c r="B47" s="1" t="n">
        <v>45573</v>
      </c>
      <c r="C47" s="1" t="n">
        <v>45881</v>
      </c>
      <c r="D47" t="inlineStr">
        <is>
          <t>VÄSTMANLANDS LÄN</t>
        </is>
      </c>
      <c r="E47" t="inlineStr">
        <is>
          <t>SURAHAMMAR</t>
        </is>
      </c>
      <c r="F47" t="inlineStr">
        <is>
          <t>Sveaskog</t>
        </is>
      </c>
      <c r="G47" t="n">
        <v>3.5</v>
      </c>
      <c r="H47" t="n">
        <v>1</v>
      </c>
      <c r="I47" t="n">
        <v>0</v>
      </c>
      <c r="J47" t="n">
        <v>0</v>
      </c>
      <c r="K47" t="n">
        <v>0</v>
      </c>
      <c r="L47" t="n">
        <v>0</v>
      </c>
      <c r="M47" t="n">
        <v>0</v>
      </c>
      <c r="N47" t="n">
        <v>0</v>
      </c>
      <c r="O47" t="n">
        <v>0</v>
      </c>
      <c r="P47" t="n">
        <v>0</v>
      </c>
      <c r="Q47" t="n">
        <v>1</v>
      </c>
      <c r="R47" s="2" t="inlineStr">
        <is>
          <t>Revlummer</t>
        </is>
      </c>
      <c r="S47">
        <f>HYPERLINK("https://klasma.github.io/Logging_1907/artfynd/A 44355-2024 artfynd.xlsx", "A 44355-2024")</f>
        <v/>
      </c>
      <c r="T47">
        <f>HYPERLINK("https://klasma.github.io/Logging_1907/kartor/A 44355-2024 karta.png", "A 44355-2024")</f>
        <v/>
      </c>
      <c r="V47">
        <f>HYPERLINK("https://klasma.github.io/Logging_1907/klagomål/A 44355-2024 FSC-klagomål.docx", "A 44355-2024")</f>
        <v/>
      </c>
      <c r="W47">
        <f>HYPERLINK("https://klasma.github.io/Logging_1907/klagomålsmail/A 44355-2024 FSC-klagomål mail.docx", "A 44355-2024")</f>
        <v/>
      </c>
      <c r="X47">
        <f>HYPERLINK("https://klasma.github.io/Logging_1907/tillsyn/A 44355-2024 tillsynsbegäran.docx", "A 44355-2024")</f>
        <v/>
      </c>
      <c r="Y47">
        <f>HYPERLINK("https://klasma.github.io/Logging_1907/tillsynsmail/A 44355-2024 tillsynsbegäran mail.docx", "A 44355-2024")</f>
        <v/>
      </c>
    </row>
    <row r="48" ht="15" customHeight="1">
      <c r="A48" t="inlineStr">
        <is>
          <t>A 40411-2021</t>
        </is>
      </c>
      <c r="B48" s="1" t="n">
        <v>44419</v>
      </c>
      <c r="C48" s="1" t="n">
        <v>45881</v>
      </c>
      <c r="D48" t="inlineStr">
        <is>
          <t>VÄSTMANLANDS LÄN</t>
        </is>
      </c>
      <c r="E48" t="inlineStr">
        <is>
          <t>SURAHAMMAR</t>
        </is>
      </c>
      <c r="F48" t="inlineStr">
        <is>
          <t>Sveaskog</t>
        </is>
      </c>
      <c r="G48" t="n">
        <v>2.4</v>
      </c>
      <c r="H48" t="n">
        <v>1</v>
      </c>
      <c r="I48" t="n">
        <v>0</v>
      </c>
      <c r="J48" t="n">
        <v>0</v>
      </c>
      <c r="K48" t="n">
        <v>0</v>
      </c>
      <c r="L48" t="n">
        <v>0</v>
      </c>
      <c r="M48" t="n">
        <v>0</v>
      </c>
      <c r="N48" t="n">
        <v>0</v>
      </c>
      <c r="O48" t="n">
        <v>0</v>
      </c>
      <c r="P48" t="n">
        <v>0</v>
      </c>
      <c r="Q48" t="n">
        <v>1</v>
      </c>
      <c r="R48" s="2" t="inlineStr">
        <is>
          <t>Kopparödla</t>
        </is>
      </c>
      <c r="S48">
        <f>HYPERLINK("https://klasma.github.io/Logging_1907/artfynd/A 40411-2021 artfynd.xlsx", "A 40411-2021")</f>
        <v/>
      </c>
      <c r="T48">
        <f>HYPERLINK("https://klasma.github.io/Logging_1907/kartor/A 40411-2021 karta.png", "A 40411-2021")</f>
        <v/>
      </c>
      <c r="V48">
        <f>HYPERLINK("https://klasma.github.io/Logging_1907/klagomål/A 40411-2021 FSC-klagomål.docx", "A 40411-2021")</f>
        <v/>
      </c>
      <c r="W48">
        <f>HYPERLINK("https://klasma.github.io/Logging_1907/klagomålsmail/A 40411-2021 FSC-klagomål mail.docx", "A 40411-2021")</f>
        <v/>
      </c>
      <c r="X48">
        <f>HYPERLINK("https://klasma.github.io/Logging_1907/tillsyn/A 40411-2021 tillsynsbegäran.docx", "A 40411-2021")</f>
        <v/>
      </c>
      <c r="Y48">
        <f>HYPERLINK("https://klasma.github.io/Logging_1907/tillsynsmail/A 40411-2021 tillsynsbegäran mail.docx", "A 40411-2021")</f>
        <v/>
      </c>
    </row>
    <row r="49" ht="15" customHeight="1">
      <c r="A49" t="inlineStr">
        <is>
          <t>A 33231-2024</t>
        </is>
      </c>
      <c r="B49" s="1" t="n">
        <v>45518</v>
      </c>
      <c r="C49" s="1" t="n">
        <v>45881</v>
      </c>
      <c r="D49" t="inlineStr">
        <is>
          <t>VÄSTMANLANDS LÄN</t>
        </is>
      </c>
      <c r="E49" t="inlineStr">
        <is>
          <t>SURAHAMMAR</t>
        </is>
      </c>
      <c r="F49" t="inlineStr">
        <is>
          <t>Bergvik skog väst AB</t>
        </is>
      </c>
      <c r="G49" t="n">
        <v>1.5</v>
      </c>
      <c r="H49" t="n">
        <v>1</v>
      </c>
      <c r="I49" t="n">
        <v>0</v>
      </c>
      <c r="J49" t="n">
        <v>0</v>
      </c>
      <c r="K49" t="n">
        <v>0</v>
      </c>
      <c r="L49" t="n">
        <v>0</v>
      </c>
      <c r="M49" t="n">
        <v>0</v>
      </c>
      <c r="N49" t="n">
        <v>0</v>
      </c>
      <c r="O49" t="n">
        <v>0</v>
      </c>
      <c r="P49" t="n">
        <v>0</v>
      </c>
      <c r="Q49" t="n">
        <v>1</v>
      </c>
      <c r="R49" s="2" t="inlineStr">
        <is>
          <t>Mindre vattensalamander</t>
        </is>
      </c>
      <c r="S49">
        <f>HYPERLINK("https://klasma.github.io/Logging_1907/artfynd/A 33231-2024 artfynd.xlsx", "A 33231-2024")</f>
        <v/>
      </c>
      <c r="T49">
        <f>HYPERLINK("https://klasma.github.io/Logging_1907/kartor/A 33231-2024 karta.png", "A 33231-2024")</f>
        <v/>
      </c>
      <c r="V49">
        <f>HYPERLINK("https://klasma.github.io/Logging_1907/klagomål/A 33231-2024 FSC-klagomål.docx", "A 33231-2024")</f>
        <v/>
      </c>
      <c r="W49">
        <f>HYPERLINK("https://klasma.github.io/Logging_1907/klagomålsmail/A 33231-2024 FSC-klagomål mail.docx", "A 33231-2024")</f>
        <v/>
      </c>
      <c r="X49">
        <f>HYPERLINK("https://klasma.github.io/Logging_1907/tillsyn/A 33231-2024 tillsynsbegäran.docx", "A 33231-2024")</f>
        <v/>
      </c>
      <c r="Y49">
        <f>HYPERLINK("https://klasma.github.io/Logging_1907/tillsynsmail/A 33231-2024 tillsynsbegäran mail.docx", "A 33231-2024")</f>
        <v/>
      </c>
    </row>
    <row r="50" ht="15" customHeight="1">
      <c r="A50" t="inlineStr">
        <is>
          <t>A 30074-2023</t>
        </is>
      </c>
      <c r="B50" s="1" t="n">
        <v>45110</v>
      </c>
      <c r="C50" s="1" t="n">
        <v>45881</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69777-2021</t>
        </is>
      </c>
      <c r="B51" s="1" t="n">
        <v>44532</v>
      </c>
      <c r="C51" s="1" t="n">
        <v>45881</v>
      </c>
      <c r="D51" t="inlineStr">
        <is>
          <t>VÄSTMANLANDS LÄN</t>
        </is>
      </c>
      <c r="E51" t="inlineStr">
        <is>
          <t>SURAHAMMAR</t>
        </is>
      </c>
      <c r="G51" t="n">
        <v>2.3</v>
      </c>
      <c r="H51" t="n">
        <v>1</v>
      </c>
      <c r="I51" t="n">
        <v>0</v>
      </c>
      <c r="J51" t="n">
        <v>0</v>
      </c>
      <c r="K51" t="n">
        <v>1</v>
      </c>
      <c r="L51" t="n">
        <v>0</v>
      </c>
      <c r="M51" t="n">
        <v>0</v>
      </c>
      <c r="N51" t="n">
        <v>0</v>
      </c>
      <c r="O51" t="n">
        <v>1</v>
      </c>
      <c r="P51" t="n">
        <v>1</v>
      </c>
      <c r="Q51" t="n">
        <v>1</v>
      </c>
      <c r="R51" s="2" t="inlineStr">
        <is>
          <t>Bombmurkla</t>
        </is>
      </c>
      <c r="S51">
        <f>HYPERLINK("https://klasma.github.io/Logging_1907/artfynd/A 69777-2021 artfynd.xlsx", "A 69777-2021")</f>
        <v/>
      </c>
      <c r="T51">
        <f>HYPERLINK("https://klasma.github.io/Logging_1907/kartor/A 69777-2021 karta.png", "A 69777-2021")</f>
        <v/>
      </c>
      <c r="V51">
        <f>HYPERLINK("https://klasma.github.io/Logging_1907/klagomål/A 69777-2021 FSC-klagomål.docx", "A 69777-2021")</f>
        <v/>
      </c>
      <c r="W51">
        <f>HYPERLINK("https://klasma.github.io/Logging_1907/klagomålsmail/A 69777-2021 FSC-klagomål mail.docx", "A 69777-2021")</f>
        <v/>
      </c>
      <c r="X51">
        <f>HYPERLINK("https://klasma.github.io/Logging_1907/tillsyn/A 69777-2021 tillsynsbegäran.docx", "A 69777-2021")</f>
        <v/>
      </c>
      <c r="Y51">
        <f>HYPERLINK("https://klasma.github.io/Logging_1907/tillsynsmail/A 69777-2021 tillsynsbegäran mail.docx", "A 69777-2021")</f>
        <v/>
      </c>
    </row>
    <row r="52" ht="15" customHeight="1">
      <c r="A52" t="inlineStr">
        <is>
          <t>A 14001-2023</t>
        </is>
      </c>
      <c r="B52" s="1" t="n">
        <v>45007</v>
      </c>
      <c r="C52" s="1" t="n">
        <v>45881</v>
      </c>
      <c r="D52" t="inlineStr">
        <is>
          <t>VÄSTMANLANDS LÄN</t>
        </is>
      </c>
      <c r="E52" t="inlineStr">
        <is>
          <t>SURAHAMMAR</t>
        </is>
      </c>
      <c r="F52" t="inlineStr">
        <is>
          <t>Bergvik skog väst AB</t>
        </is>
      </c>
      <c r="G52" t="n">
        <v>1</v>
      </c>
      <c r="H52" t="n">
        <v>0</v>
      </c>
      <c r="I52" t="n">
        <v>0</v>
      </c>
      <c r="J52" t="n">
        <v>1</v>
      </c>
      <c r="K52" t="n">
        <v>0</v>
      </c>
      <c r="L52" t="n">
        <v>0</v>
      </c>
      <c r="M52" t="n">
        <v>0</v>
      </c>
      <c r="N52" t="n">
        <v>0</v>
      </c>
      <c r="O52" t="n">
        <v>1</v>
      </c>
      <c r="P52" t="n">
        <v>0</v>
      </c>
      <c r="Q52" t="n">
        <v>1</v>
      </c>
      <c r="R52" s="2" t="inlineStr">
        <is>
          <t>Motaggsvamp</t>
        </is>
      </c>
      <c r="S52">
        <f>HYPERLINK("https://klasma.github.io/Logging_1907/artfynd/A 14001-2023 artfynd.xlsx", "A 14001-2023")</f>
        <v/>
      </c>
      <c r="T52">
        <f>HYPERLINK("https://klasma.github.io/Logging_1907/kartor/A 14001-2023 karta.png", "A 14001-2023")</f>
        <v/>
      </c>
      <c r="V52">
        <f>HYPERLINK("https://klasma.github.io/Logging_1907/klagomål/A 14001-2023 FSC-klagomål.docx", "A 14001-2023")</f>
        <v/>
      </c>
      <c r="W52">
        <f>HYPERLINK("https://klasma.github.io/Logging_1907/klagomålsmail/A 14001-2023 FSC-klagomål mail.docx", "A 14001-2023")</f>
        <v/>
      </c>
      <c r="X52">
        <f>HYPERLINK("https://klasma.github.io/Logging_1907/tillsyn/A 14001-2023 tillsynsbegäran.docx", "A 14001-2023")</f>
        <v/>
      </c>
      <c r="Y52">
        <f>HYPERLINK("https://klasma.github.io/Logging_1907/tillsynsmail/A 14001-2023 tillsynsbegäran mail.docx", "A 14001-2023")</f>
        <v/>
      </c>
    </row>
    <row r="53" ht="15" customHeight="1">
      <c r="A53" t="inlineStr">
        <is>
          <t>A 31176-2024</t>
        </is>
      </c>
      <c r="B53" s="1" t="n">
        <v>45503</v>
      </c>
      <c r="C53" s="1" t="n">
        <v>45881</v>
      </c>
      <c r="D53" t="inlineStr">
        <is>
          <t>VÄSTMANLANDS LÄN</t>
        </is>
      </c>
      <c r="E53" t="inlineStr">
        <is>
          <t>SURAHAMMAR</t>
        </is>
      </c>
      <c r="F53" t="inlineStr">
        <is>
          <t>Allmännings- och besparingsskogar</t>
        </is>
      </c>
      <c r="G53" t="n">
        <v>10.7</v>
      </c>
      <c r="H53" t="n">
        <v>0</v>
      </c>
      <c r="I53" t="n">
        <v>0</v>
      </c>
      <c r="J53" t="n">
        <v>1</v>
      </c>
      <c r="K53" t="n">
        <v>0</v>
      </c>
      <c r="L53" t="n">
        <v>0</v>
      </c>
      <c r="M53" t="n">
        <v>0</v>
      </c>
      <c r="N53" t="n">
        <v>0</v>
      </c>
      <c r="O53" t="n">
        <v>1</v>
      </c>
      <c r="P53" t="n">
        <v>0</v>
      </c>
      <c r="Q53" t="n">
        <v>1</v>
      </c>
      <c r="R53" s="2" t="inlineStr">
        <is>
          <t>Doftskinn</t>
        </is>
      </c>
      <c r="S53">
        <f>HYPERLINK("https://klasma.github.io/Logging_1907/artfynd/A 31176-2024 artfynd.xlsx", "A 31176-2024")</f>
        <v/>
      </c>
      <c r="T53">
        <f>HYPERLINK("https://klasma.github.io/Logging_1907/kartor/A 31176-2024 karta.png", "A 31176-2024")</f>
        <v/>
      </c>
      <c r="V53">
        <f>HYPERLINK("https://klasma.github.io/Logging_1907/klagomål/A 31176-2024 FSC-klagomål.docx", "A 31176-2024")</f>
        <v/>
      </c>
      <c r="W53">
        <f>HYPERLINK("https://klasma.github.io/Logging_1907/klagomålsmail/A 31176-2024 FSC-klagomål mail.docx", "A 31176-2024")</f>
        <v/>
      </c>
      <c r="X53">
        <f>HYPERLINK("https://klasma.github.io/Logging_1907/tillsyn/A 31176-2024 tillsynsbegäran.docx", "A 31176-2024")</f>
        <v/>
      </c>
      <c r="Y53">
        <f>HYPERLINK("https://klasma.github.io/Logging_1907/tillsynsmail/A 31176-2024 tillsynsbegäran mail.docx", "A 31176-2024")</f>
        <v/>
      </c>
    </row>
    <row r="54" ht="15" customHeight="1">
      <c r="A54" t="inlineStr">
        <is>
          <t>A 43451-2024</t>
        </is>
      </c>
      <c r="B54" s="1" t="n">
        <v>45568</v>
      </c>
      <c r="C54" s="1" t="n">
        <v>45881</v>
      </c>
      <c r="D54" t="inlineStr">
        <is>
          <t>VÄSTMANLANDS LÄN</t>
        </is>
      </c>
      <c r="E54" t="inlineStr">
        <is>
          <t>SURAHAMMAR</t>
        </is>
      </c>
      <c r="F54" t="inlineStr">
        <is>
          <t>Bergvik skog väst AB</t>
        </is>
      </c>
      <c r="G54" t="n">
        <v>2.9</v>
      </c>
      <c r="H54" t="n">
        <v>0</v>
      </c>
      <c r="I54" t="n">
        <v>0</v>
      </c>
      <c r="J54" t="n">
        <v>1</v>
      </c>
      <c r="K54" t="n">
        <v>0</v>
      </c>
      <c r="L54" t="n">
        <v>0</v>
      </c>
      <c r="M54" t="n">
        <v>0</v>
      </c>
      <c r="N54" t="n">
        <v>0</v>
      </c>
      <c r="O54" t="n">
        <v>1</v>
      </c>
      <c r="P54" t="n">
        <v>0</v>
      </c>
      <c r="Q54" t="n">
        <v>1</v>
      </c>
      <c r="R54" s="2" t="inlineStr">
        <is>
          <t>Ullticka</t>
        </is>
      </c>
      <c r="S54">
        <f>HYPERLINK("https://klasma.github.io/Logging_1907/artfynd/A 43451-2024 artfynd.xlsx", "A 43451-2024")</f>
        <v/>
      </c>
      <c r="T54">
        <f>HYPERLINK("https://klasma.github.io/Logging_1907/kartor/A 43451-2024 karta.png", "A 43451-2024")</f>
        <v/>
      </c>
      <c r="V54">
        <f>HYPERLINK("https://klasma.github.io/Logging_1907/klagomål/A 43451-2024 FSC-klagomål.docx", "A 43451-2024")</f>
        <v/>
      </c>
      <c r="W54">
        <f>HYPERLINK("https://klasma.github.io/Logging_1907/klagomålsmail/A 43451-2024 FSC-klagomål mail.docx", "A 43451-2024")</f>
        <v/>
      </c>
      <c r="X54">
        <f>HYPERLINK("https://klasma.github.io/Logging_1907/tillsyn/A 43451-2024 tillsynsbegäran.docx", "A 43451-2024")</f>
        <v/>
      </c>
      <c r="Y54">
        <f>HYPERLINK("https://klasma.github.io/Logging_1907/tillsynsmail/A 43451-2024 tillsynsbegäran mail.docx", "A 43451-2024")</f>
        <v/>
      </c>
    </row>
    <row r="55" ht="15" customHeight="1">
      <c r="A55" t="inlineStr">
        <is>
          <t>A 47453-2024</t>
        </is>
      </c>
      <c r="B55" s="1" t="n">
        <v>45587.55017361111</v>
      </c>
      <c r="C55" s="1" t="n">
        <v>45881</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45881</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10819-2024</t>
        </is>
      </c>
      <c r="B57" s="1" t="n">
        <v>45369.66049768519</v>
      </c>
      <c r="C57" s="1" t="n">
        <v>45881</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62097-2024</t>
        </is>
      </c>
      <c r="B58" s="1" t="n">
        <v>45646</v>
      </c>
      <c r="C58" s="1" t="n">
        <v>45881</v>
      </c>
      <c r="D58" t="inlineStr">
        <is>
          <t>VÄSTMANLANDS LÄN</t>
        </is>
      </c>
      <c r="E58" t="inlineStr">
        <is>
          <t>SURAHAMMAR</t>
        </is>
      </c>
      <c r="F58" t="inlineStr">
        <is>
          <t>Bergvik skog väst AB</t>
        </is>
      </c>
      <c r="G58" t="n">
        <v>21.7</v>
      </c>
      <c r="H58" t="n">
        <v>1</v>
      </c>
      <c r="I58" t="n">
        <v>0</v>
      </c>
      <c r="J58" t="n">
        <v>0</v>
      </c>
      <c r="K58" t="n">
        <v>0</v>
      </c>
      <c r="L58" t="n">
        <v>0</v>
      </c>
      <c r="M58" t="n">
        <v>0</v>
      </c>
      <c r="N58" t="n">
        <v>0</v>
      </c>
      <c r="O58" t="n">
        <v>0</v>
      </c>
      <c r="P58" t="n">
        <v>0</v>
      </c>
      <c r="Q58" t="n">
        <v>1</v>
      </c>
      <c r="R58" s="2" t="inlineStr">
        <is>
          <t>Revlummer</t>
        </is>
      </c>
      <c r="S58">
        <f>HYPERLINK("https://klasma.github.io/Logging_1907/artfynd/A 62097-2024 artfynd.xlsx", "A 62097-2024")</f>
        <v/>
      </c>
      <c r="T58">
        <f>HYPERLINK("https://klasma.github.io/Logging_1907/kartor/A 62097-2024 karta.png", "A 62097-2024")</f>
        <v/>
      </c>
      <c r="V58">
        <f>HYPERLINK("https://klasma.github.io/Logging_1907/klagomål/A 62097-2024 FSC-klagomål.docx", "A 62097-2024")</f>
        <v/>
      </c>
      <c r="W58">
        <f>HYPERLINK("https://klasma.github.io/Logging_1907/klagomålsmail/A 62097-2024 FSC-klagomål mail.docx", "A 62097-2024")</f>
        <v/>
      </c>
      <c r="X58">
        <f>HYPERLINK("https://klasma.github.io/Logging_1907/tillsyn/A 62097-2024 tillsynsbegäran.docx", "A 62097-2024")</f>
        <v/>
      </c>
      <c r="Y58">
        <f>HYPERLINK("https://klasma.github.io/Logging_1907/tillsynsmail/A 62097-2024 tillsynsbegäran mail.docx", "A 62097-2024")</f>
        <v/>
      </c>
    </row>
    <row r="59" ht="15" customHeight="1">
      <c r="A59" t="inlineStr">
        <is>
          <t>A 21716-2025</t>
        </is>
      </c>
      <c r="B59" s="1" t="n">
        <v>45783.54804398148</v>
      </c>
      <c r="C59" s="1" t="n">
        <v>45881</v>
      </c>
      <c r="D59" t="inlineStr">
        <is>
          <t>VÄSTMANLANDS LÄN</t>
        </is>
      </c>
      <c r="E59" t="inlineStr">
        <is>
          <t>SURAHAMMAR</t>
        </is>
      </c>
      <c r="F59" t="inlineStr">
        <is>
          <t>Allmännings- och besparingsskogar</t>
        </is>
      </c>
      <c r="G59" t="n">
        <v>21.1</v>
      </c>
      <c r="H59" t="n">
        <v>1</v>
      </c>
      <c r="I59" t="n">
        <v>0</v>
      </c>
      <c r="J59" t="n">
        <v>1</v>
      </c>
      <c r="K59" t="n">
        <v>0</v>
      </c>
      <c r="L59" t="n">
        <v>0</v>
      </c>
      <c r="M59" t="n">
        <v>0</v>
      </c>
      <c r="N59" t="n">
        <v>0</v>
      </c>
      <c r="O59" t="n">
        <v>1</v>
      </c>
      <c r="P59" t="n">
        <v>0</v>
      </c>
      <c r="Q59" t="n">
        <v>1</v>
      </c>
      <c r="R59" s="2" t="inlineStr">
        <is>
          <t>Spillkråka</t>
        </is>
      </c>
      <c r="S59">
        <f>HYPERLINK("https://klasma.github.io/Logging_1907/artfynd/A 21716-2025 artfynd.xlsx", "A 21716-2025")</f>
        <v/>
      </c>
      <c r="T59">
        <f>HYPERLINK("https://klasma.github.io/Logging_1907/kartor/A 21716-2025 karta.png", "A 21716-2025")</f>
        <v/>
      </c>
      <c r="V59">
        <f>HYPERLINK("https://klasma.github.io/Logging_1907/klagomål/A 21716-2025 FSC-klagomål.docx", "A 21716-2025")</f>
        <v/>
      </c>
      <c r="W59">
        <f>HYPERLINK("https://klasma.github.io/Logging_1907/klagomålsmail/A 21716-2025 FSC-klagomål mail.docx", "A 21716-2025")</f>
        <v/>
      </c>
      <c r="X59">
        <f>HYPERLINK("https://klasma.github.io/Logging_1907/tillsyn/A 21716-2025 tillsynsbegäran.docx", "A 21716-2025")</f>
        <v/>
      </c>
      <c r="Y59">
        <f>HYPERLINK("https://klasma.github.io/Logging_1907/tillsynsmail/A 21716-2025 tillsynsbegäran mail.docx", "A 21716-2025")</f>
        <v/>
      </c>
      <c r="Z59">
        <f>HYPERLINK("https://klasma.github.io/Logging_1907/fåglar/A 21716-2025 prioriterade fågelarter.docx", "A 21716-2025")</f>
        <v/>
      </c>
    </row>
    <row r="60" ht="15" customHeight="1">
      <c r="A60" t="inlineStr">
        <is>
          <t>A 13971-2023</t>
        </is>
      </c>
      <c r="B60" s="1" t="n">
        <v>45007</v>
      </c>
      <c r="C60" s="1" t="n">
        <v>45881</v>
      </c>
      <c r="D60" t="inlineStr">
        <is>
          <t>VÄSTMANLANDS LÄN</t>
        </is>
      </c>
      <c r="E60" t="inlineStr">
        <is>
          <t>SURAHAMMAR</t>
        </is>
      </c>
      <c r="F60" t="inlineStr">
        <is>
          <t>Bergvik skog väst AB</t>
        </is>
      </c>
      <c r="G60" t="n">
        <v>2.9</v>
      </c>
      <c r="H60" t="n">
        <v>1</v>
      </c>
      <c r="I60" t="n">
        <v>0</v>
      </c>
      <c r="J60" t="n">
        <v>0</v>
      </c>
      <c r="K60" t="n">
        <v>0</v>
      </c>
      <c r="L60" t="n">
        <v>0</v>
      </c>
      <c r="M60" t="n">
        <v>0</v>
      </c>
      <c r="N60" t="n">
        <v>0</v>
      </c>
      <c r="O60" t="n">
        <v>0</v>
      </c>
      <c r="P60" t="n">
        <v>0</v>
      </c>
      <c r="Q60" t="n">
        <v>1</v>
      </c>
      <c r="R60" s="2" t="inlineStr">
        <is>
          <t>Fläcknycklar</t>
        </is>
      </c>
      <c r="S60">
        <f>HYPERLINK("https://klasma.github.io/Logging_1907/artfynd/A 13971-2023 artfynd.xlsx", "A 13971-2023")</f>
        <v/>
      </c>
      <c r="T60">
        <f>HYPERLINK("https://klasma.github.io/Logging_1907/kartor/A 13971-2023 karta.png", "A 13971-2023")</f>
        <v/>
      </c>
      <c r="V60">
        <f>HYPERLINK("https://klasma.github.io/Logging_1907/klagomål/A 13971-2023 FSC-klagomål.docx", "A 13971-2023")</f>
        <v/>
      </c>
      <c r="W60">
        <f>HYPERLINK("https://klasma.github.io/Logging_1907/klagomålsmail/A 13971-2023 FSC-klagomål mail.docx", "A 13971-2023")</f>
        <v/>
      </c>
      <c r="X60">
        <f>HYPERLINK("https://klasma.github.io/Logging_1907/tillsyn/A 13971-2023 tillsynsbegäran.docx", "A 13971-2023")</f>
        <v/>
      </c>
      <c r="Y60">
        <f>HYPERLINK("https://klasma.github.io/Logging_1907/tillsynsmail/A 13971-2023 tillsynsbegäran mail.docx", "A 13971-2023")</f>
        <v/>
      </c>
    </row>
    <row r="61" ht="15" customHeight="1">
      <c r="A61" t="inlineStr">
        <is>
          <t>A 42765-2022</t>
        </is>
      </c>
      <c r="B61" s="1" t="n">
        <v>44832</v>
      </c>
      <c r="C61" s="1" t="n">
        <v>45881</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44356-2024</t>
        </is>
      </c>
      <c r="B62" s="1" t="n">
        <v>45573</v>
      </c>
      <c r="C62" s="1" t="n">
        <v>45881</v>
      </c>
      <c r="D62" t="inlineStr">
        <is>
          <t>VÄSTMANLANDS LÄN</t>
        </is>
      </c>
      <c r="E62" t="inlineStr">
        <is>
          <t>SURAHAMMAR</t>
        </is>
      </c>
      <c r="F62" t="inlineStr">
        <is>
          <t>Sveaskog</t>
        </is>
      </c>
      <c r="G62" t="n">
        <v>0.7</v>
      </c>
      <c r="H62" t="n">
        <v>1</v>
      </c>
      <c r="I62" t="n">
        <v>0</v>
      </c>
      <c r="J62" t="n">
        <v>0</v>
      </c>
      <c r="K62" t="n">
        <v>0</v>
      </c>
      <c r="L62" t="n">
        <v>0</v>
      </c>
      <c r="M62" t="n">
        <v>0</v>
      </c>
      <c r="N62" t="n">
        <v>0</v>
      </c>
      <c r="O62" t="n">
        <v>0</v>
      </c>
      <c r="P62" t="n">
        <v>0</v>
      </c>
      <c r="Q62" t="n">
        <v>1</v>
      </c>
      <c r="R62" s="2" t="inlineStr">
        <is>
          <t>Revlummer</t>
        </is>
      </c>
      <c r="S62">
        <f>HYPERLINK("https://klasma.github.io/Logging_1907/artfynd/A 44356-2024 artfynd.xlsx", "A 44356-2024")</f>
        <v/>
      </c>
      <c r="T62">
        <f>HYPERLINK("https://klasma.github.io/Logging_1907/kartor/A 44356-2024 karta.png", "A 44356-2024")</f>
        <v/>
      </c>
      <c r="V62">
        <f>HYPERLINK("https://klasma.github.io/Logging_1907/klagomål/A 44356-2024 FSC-klagomål.docx", "A 44356-2024")</f>
        <v/>
      </c>
      <c r="W62">
        <f>HYPERLINK("https://klasma.github.io/Logging_1907/klagomålsmail/A 44356-2024 FSC-klagomål mail.docx", "A 44356-2024")</f>
        <v/>
      </c>
      <c r="X62">
        <f>HYPERLINK("https://klasma.github.io/Logging_1907/tillsyn/A 44356-2024 tillsynsbegäran.docx", "A 44356-2024")</f>
        <v/>
      </c>
      <c r="Y62">
        <f>HYPERLINK("https://klasma.github.io/Logging_1907/tillsynsmail/A 44356-2024 tillsynsbegäran mail.docx", "A 44356-2024")</f>
        <v/>
      </c>
    </row>
    <row r="63" ht="15" customHeight="1">
      <c r="A63" t="inlineStr">
        <is>
          <t>A 13788-2025</t>
        </is>
      </c>
      <c r="B63" s="1" t="n">
        <v>45737.45327546296</v>
      </c>
      <c r="C63" s="1" t="n">
        <v>45881</v>
      </c>
      <c r="D63" t="inlineStr">
        <is>
          <t>VÄSTMANLANDS LÄN</t>
        </is>
      </c>
      <c r="E63" t="inlineStr">
        <is>
          <t>SURAHAMMAR</t>
        </is>
      </c>
      <c r="G63" t="n">
        <v>9.699999999999999</v>
      </c>
      <c r="H63" t="n">
        <v>1</v>
      </c>
      <c r="I63" t="n">
        <v>0</v>
      </c>
      <c r="J63" t="n">
        <v>0</v>
      </c>
      <c r="K63" t="n">
        <v>0</v>
      </c>
      <c r="L63" t="n">
        <v>0</v>
      </c>
      <c r="M63" t="n">
        <v>0</v>
      </c>
      <c r="N63" t="n">
        <v>0</v>
      </c>
      <c r="O63" t="n">
        <v>0</v>
      </c>
      <c r="P63" t="n">
        <v>0</v>
      </c>
      <c r="Q63" t="n">
        <v>1</v>
      </c>
      <c r="R63" s="2" t="inlineStr">
        <is>
          <t>Sparvuggla</t>
        </is>
      </c>
      <c r="S63">
        <f>HYPERLINK("https://klasma.github.io/Logging_1907/artfynd/A 13788-2025 artfynd.xlsx", "A 13788-2025")</f>
        <v/>
      </c>
      <c r="T63">
        <f>HYPERLINK("https://klasma.github.io/Logging_1907/kartor/A 13788-2025 karta.png", "A 13788-2025")</f>
        <v/>
      </c>
      <c r="V63">
        <f>HYPERLINK("https://klasma.github.io/Logging_1907/klagomål/A 13788-2025 FSC-klagomål.docx", "A 13788-2025")</f>
        <v/>
      </c>
      <c r="W63">
        <f>HYPERLINK("https://klasma.github.io/Logging_1907/klagomålsmail/A 13788-2025 FSC-klagomål mail.docx", "A 13788-2025")</f>
        <v/>
      </c>
      <c r="X63">
        <f>HYPERLINK("https://klasma.github.io/Logging_1907/tillsyn/A 13788-2025 tillsynsbegäran.docx", "A 13788-2025")</f>
        <v/>
      </c>
      <c r="Y63">
        <f>HYPERLINK("https://klasma.github.io/Logging_1907/tillsynsmail/A 13788-2025 tillsynsbegäran mail.docx", "A 13788-2025")</f>
        <v/>
      </c>
      <c r="Z63">
        <f>HYPERLINK("https://klasma.github.io/Logging_1907/fåglar/A 13788-2025 prioriterade fågelarter.docx", "A 13788-2025")</f>
        <v/>
      </c>
    </row>
    <row r="64" ht="15" customHeight="1">
      <c r="A64" t="inlineStr">
        <is>
          <t>A 17632-2022</t>
        </is>
      </c>
      <c r="B64" s="1" t="n">
        <v>44680</v>
      </c>
      <c r="C64" s="1" t="n">
        <v>45881</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22840-2023</t>
        </is>
      </c>
      <c r="B65" s="1" t="n">
        <v>45072</v>
      </c>
      <c r="C65" s="1" t="n">
        <v>45881</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43177-2020</t>
        </is>
      </c>
      <c r="B66" s="1" t="n">
        <v>44081</v>
      </c>
      <c r="C66" s="1" t="n">
        <v>45881</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45881</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45881</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45881</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45881</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45881</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45881</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45881</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45881</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45881</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45881</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45881</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45881</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67611-2021</t>
        </is>
      </c>
      <c r="B79" s="1" t="n">
        <v>44524</v>
      </c>
      <c r="C79" s="1" t="n">
        <v>45881</v>
      </c>
      <c r="D79" t="inlineStr">
        <is>
          <t>VÄSTMANLANDS LÄN</t>
        </is>
      </c>
      <c r="E79" t="inlineStr">
        <is>
          <t>SURAHAMMAR</t>
        </is>
      </c>
      <c r="F79" t="inlineStr">
        <is>
          <t>Kommuner</t>
        </is>
      </c>
      <c r="G79" t="n">
        <v>3.8</v>
      </c>
      <c r="H79" t="n">
        <v>0</v>
      </c>
      <c r="I79" t="n">
        <v>0</v>
      </c>
      <c r="J79" t="n">
        <v>0</v>
      </c>
      <c r="K79" t="n">
        <v>0</v>
      </c>
      <c r="L79" t="n">
        <v>0</v>
      </c>
      <c r="M79" t="n">
        <v>0</v>
      </c>
      <c r="N79" t="n">
        <v>0</v>
      </c>
      <c r="O79" t="n">
        <v>0</v>
      </c>
      <c r="P79" t="n">
        <v>0</v>
      </c>
      <c r="Q79" t="n">
        <v>0</v>
      </c>
      <c r="R79" s="2" t="inlineStr"/>
    </row>
    <row r="80" ht="15" customHeight="1">
      <c r="A80" t="inlineStr">
        <is>
          <t>A 19846-2022</t>
        </is>
      </c>
      <c r="B80" s="1" t="n">
        <v>44696.89327546296</v>
      </c>
      <c r="C80" s="1" t="n">
        <v>45881</v>
      </c>
      <c r="D80" t="inlineStr">
        <is>
          <t>VÄSTMANLANDS LÄN</t>
        </is>
      </c>
      <c r="E80" t="inlineStr">
        <is>
          <t>SURAHAMMAR</t>
        </is>
      </c>
      <c r="F80" t="inlineStr">
        <is>
          <t>Kommuner</t>
        </is>
      </c>
      <c r="G80" t="n">
        <v>3.4</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45881</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45881</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45881</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66342-2021</t>
        </is>
      </c>
      <c r="B84" s="1" t="n">
        <v>44518</v>
      </c>
      <c r="C84" s="1" t="n">
        <v>45881</v>
      </c>
      <c r="D84" t="inlineStr">
        <is>
          <t>VÄSTMANLANDS LÄN</t>
        </is>
      </c>
      <c r="E84" t="inlineStr">
        <is>
          <t>SURAHAMMAR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34957-2022</t>
        </is>
      </c>
      <c r="B85" s="1" t="n">
        <v>44796.64672453704</v>
      </c>
      <c r="C85" s="1" t="n">
        <v>45881</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45881</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52076-2020</t>
        </is>
      </c>
      <c r="B87" s="1" t="n">
        <v>44117</v>
      </c>
      <c r="C87" s="1" t="n">
        <v>45881</v>
      </c>
      <c r="D87" t="inlineStr">
        <is>
          <t>VÄSTMANLANDS LÄN</t>
        </is>
      </c>
      <c r="E87" t="inlineStr">
        <is>
          <t>SURAHAMMAR</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45881</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59543-2020</t>
        </is>
      </c>
      <c r="B89" s="1" t="n">
        <v>44148</v>
      </c>
      <c r="C89" s="1" t="n">
        <v>45881</v>
      </c>
      <c r="D89" t="inlineStr">
        <is>
          <t>VÄSTMANLANDS LÄN</t>
        </is>
      </c>
      <c r="E89" t="inlineStr">
        <is>
          <t>SURAHAMMAR</t>
        </is>
      </c>
      <c r="G89" t="n">
        <v>1.3</v>
      </c>
      <c r="H89" t="n">
        <v>0</v>
      </c>
      <c r="I89" t="n">
        <v>0</v>
      </c>
      <c r="J89" t="n">
        <v>0</v>
      </c>
      <c r="K89" t="n">
        <v>0</v>
      </c>
      <c r="L89" t="n">
        <v>0</v>
      </c>
      <c r="M89" t="n">
        <v>0</v>
      </c>
      <c r="N89" t="n">
        <v>0</v>
      </c>
      <c r="O89" t="n">
        <v>0</v>
      </c>
      <c r="P89" t="n">
        <v>0</v>
      </c>
      <c r="Q89" t="n">
        <v>0</v>
      </c>
      <c r="R89" s="2" t="inlineStr"/>
    </row>
    <row r="90" ht="15" customHeight="1">
      <c r="A90" t="inlineStr">
        <is>
          <t>A 43590-2020</t>
        </is>
      </c>
      <c r="B90" s="1" t="n">
        <v>44082</v>
      </c>
      <c r="C90" s="1" t="n">
        <v>45881</v>
      </c>
      <c r="D90" t="inlineStr">
        <is>
          <t>VÄSTMANLANDS LÄN</t>
        </is>
      </c>
      <c r="E90" t="inlineStr">
        <is>
          <t>SURAHAMMAR</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37798-2021</t>
        </is>
      </c>
      <c r="B91" s="1" t="n">
        <v>44402</v>
      </c>
      <c r="C91" s="1" t="n">
        <v>45881</v>
      </c>
      <c r="D91" t="inlineStr">
        <is>
          <t>VÄSTMANLANDS LÄN</t>
        </is>
      </c>
      <c r="E91" t="inlineStr">
        <is>
          <t>SURAHAMMAR</t>
        </is>
      </c>
      <c r="F91" t="inlineStr">
        <is>
          <t>Kommuner</t>
        </is>
      </c>
      <c r="G91" t="n">
        <v>1.2</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45881</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66350-2021</t>
        </is>
      </c>
      <c r="B93" s="1" t="n">
        <v>44518</v>
      </c>
      <c r="C93" s="1" t="n">
        <v>45881</v>
      </c>
      <c r="D93" t="inlineStr">
        <is>
          <t>VÄSTMANLANDS LÄN</t>
        </is>
      </c>
      <c r="E93" t="inlineStr">
        <is>
          <t>SURAHAMMAR</t>
        </is>
      </c>
      <c r="F93" t="inlineStr">
        <is>
          <t>Sveaskog</t>
        </is>
      </c>
      <c r="G93" t="n">
        <v>3.5</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45881</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45881</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45881</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48205-2023</t>
        </is>
      </c>
      <c r="B97" s="1" t="n">
        <v>45205</v>
      </c>
      <c r="C97" s="1" t="n">
        <v>45881</v>
      </c>
      <c r="D97" t="inlineStr">
        <is>
          <t>VÄSTMANLANDS LÄN</t>
        </is>
      </c>
      <c r="E97" t="inlineStr">
        <is>
          <t>SURAHAMMAR</t>
        </is>
      </c>
      <c r="F97" t="inlineStr">
        <is>
          <t>Allmännings- och besparingsskogar</t>
        </is>
      </c>
      <c r="G97" t="n">
        <v>7.6</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45881</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13796-2025</t>
        </is>
      </c>
      <c r="B99" s="1" t="n">
        <v>45737.47846064815</v>
      </c>
      <c r="C99" s="1" t="n">
        <v>45881</v>
      </c>
      <c r="D99" t="inlineStr">
        <is>
          <t>VÄSTMANLANDS LÄN</t>
        </is>
      </c>
      <c r="E99" t="inlineStr">
        <is>
          <t>SURAHAMMAR</t>
        </is>
      </c>
      <c r="G99" t="n">
        <v>3.3</v>
      </c>
      <c r="H99" t="n">
        <v>0</v>
      </c>
      <c r="I99" t="n">
        <v>0</v>
      </c>
      <c r="J99" t="n">
        <v>0</v>
      </c>
      <c r="K99" t="n">
        <v>0</v>
      </c>
      <c r="L99" t="n">
        <v>0</v>
      </c>
      <c r="M99" t="n">
        <v>0</v>
      </c>
      <c r="N99" t="n">
        <v>0</v>
      </c>
      <c r="O99" t="n">
        <v>0</v>
      </c>
      <c r="P99" t="n">
        <v>0</v>
      </c>
      <c r="Q99" t="n">
        <v>0</v>
      </c>
      <c r="R99" s="2" t="inlineStr"/>
    </row>
    <row r="100" ht="15" customHeight="1">
      <c r="A100" t="inlineStr">
        <is>
          <t>A 15743-2023</t>
        </is>
      </c>
      <c r="B100" s="1" t="n">
        <v>45021</v>
      </c>
      <c r="C100" s="1" t="n">
        <v>45881</v>
      </c>
      <c r="D100" t="inlineStr">
        <is>
          <t>VÄSTMANLANDS LÄN</t>
        </is>
      </c>
      <c r="E100" t="inlineStr">
        <is>
          <t>SURAHAMMAR</t>
        </is>
      </c>
      <c r="G100" t="n">
        <v>0.5</v>
      </c>
      <c r="H100" t="n">
        <v>0</v>
      </c>
      <c r="I100" t="n">
        <v>0</v>
      </c>
      <c r="J100" t="n">
        <v>0</v>
      </c>
      <c r="K100" t="n">
        <v>0</v>
      </c>
      <c r="L100" t="n">
        <v>0</v>
      </c>
      <c r="M100" t="n">
        <v>0</v>
      </c>
      <c r="N100" t="n">
        <v>0</v>
      </c>
      <c r="O100" t="n">
        <v>0</v>
      </c>
      <c r="P100" t="n">
        <v>0</v>
      </c>
      <c r="Q100" t="n">
        <v>0</v>
      </c>
      <c r="R100" s="2" t="inlineStr"/>
    </row>
    <row r="101" ht="15" customHeight="1">
      <c r="A101" t="inlineStr">
        <is>
          <t>A 33931-2022</t>
        </is>
      </c>
      <c r="B101" s="1" t="n">
        <v>44790.65153935185</v>
      </c>
      <c r="C101" s="1" t="n">
        <v>45881</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44358-2024</t>
        </is>
      </c>
      <c r="B102" s="1" t="n">
        <v>45573</v>
      </c>
      <c r="C102" s="1" t="n">
        <v>45881</v>
      </c>
      <c r="D102" t="inlineStr">
        <is>
          <t>VÄSTMANLANDS LÄN</t>
        </is>
      </c>
      <c r="E102" t="inlineStr">
        <is>
          <t>SURAHAMMAR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44359-2024</t>
        </is>
      </c>
      <c r="B103" s="1" t="n">
        <v>45573</v>
      </c>
      <c r="C103" s="1" t="n">
        <v>45881</v>
      </c>
      <c r="D103" t="inlineStr">
        <is>
          <t>VÄSTMANLANDS LÄN</t>
        </is>
      </c>
      <c r="E103" t="inlineStr">
        <is>
          <t>SURAHAMMAR</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22662-2023</t>
        </is>
      </c>
      <c r="B104" s="1" t="n">
        <v>45071</v>
      </c>
      <c r="C104" s="1" t="n">
        <v>45881</v>
      </c>
      <c r="D104" t="inlineStr">
        <is>
          <t>VÄSTMANLANDS LÄN</t>
        </is>
      </c>
      <c r="E104" t="inlineStr">
        <is>
          <t>SURAHAMMAR</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15637-2022</t>
        </is>
      </c>
      <c r="B105" s="1" t="n">
        <v>44662.89638888889</v>
      </c>
      <c r="C105" s="1" t="n">
        <v>45881</v>
      </c>
      <c r="D105" t="inlineStr">
        <is>
          <t>VÄSTMANLANDS LÄN</t>
        </is>
      </c>
      <c r="E105" t="inlineStr">
        <is>
          <t>SURAHAMMAR</t>
        </is>
      </c>
      <c r="G105" t="n">
        <v>2.2</v>
      </c>
      <c r="H105" t="n">
        <v>0</v>
      </c>
      <c r="I105" t="n">
        <v>0</v>
      </c>
      <c r="J105" t="n">
        <v>0</v>
      </c>
      <c r="K105" t="n">
        <v>0</v>
      </c>
      <c r="L105" t="n">
        <v>0</v>
      </c>
      <c r="M105" t="n">
        <v>0</v>
      </c>
      <c r="N105" t="n">
        <v>0</v>
      </c>
      <c r="O105" t="n">
        <v>0</v>
      </c>
      <c r="P105" t="n">
        <v>0</v>
      </c>
      <c r="Q105" t="n">
        <v>0</v>
      </c>
      <c r="R105" s="2" t="inlineStr"/>
    </row>
    <row r="106" ht="15" customHeight="1">
      <c r="A106" t="inlineStr">
        <is>
          <t>A 32808-2024</t>
        </is>
      </c>
      <c r="B106" s="1" t="n">
        <v>45516</v>
      </c>
      <c r="C106" s="1" t="n">
        <v>45881</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19786-2023</t>
        </is>
      </c>
      <c r="B107" s="1" t="n">
        <v>45050</v>
      </c>
      <c r="C107" s="1" t="n">
        <v>45881</v>
      </c>
      <c r="D107" t="inlineStr">
        <is>
          <t>VÄSTMANLANDS LÄN</t>
        </is>
      </c>
      <c r="E107" t="inlineStr">
        <is>
          <t>SURAHAMMAR</t>
        </is>
      </c>
      <c r="F107" t="inlineStr">
        <is>
          <t>Bergvik skog väst AB</t>
        </is>
      </c>
      <c r="G107" t="n">
        <v>8.1</v>
      </c>
      <c r="H107" t="n">
        <v>0</v>
      </c>
      <c r="I107" t="n">
        <v>0</v>
      </c>
      <c r="J107" t="n">
        <v>0</v>
      </c>
      <c r="K107" t="n">
        <v>0</v>
      </c>
      <c r="L107" t="n">
        <v>0</v>
      </c>
      <c r="M107" t="n">
        <v>0</v>
      </c>
      <c r="N107" t="n">
        <v>0</v>
      </c>
      <c r="O107" t="n">
        <v>0</v>
      </c>
      <c r="P107" t="n">
        <v>0</v>
      </c>
      <c r="Q107" t="n">
        <v>0</v>
      </c>
      <c r="R107" s="2" t="inlineStr"/>
    </row>
    <row r="108" ht="15" customHeight="1">
      <c r="A108" t="inlineStr">
        <is>
          <t>A 30076-2023</t>
        </is>
      </c>
      <c r="B108" s="1" t="n">
        <v>45110</v>
      </c>
      <c r="C108" s="1" t="n">
        <v>45881</v>
      </c>
      <c r="D108" t="inlineStr">
        <is>
          <t>VÄSTMANLANDS LÄN</t>
        </is>
      </c>
      <c r="E108" t="inlineStr">
        <is>
          <t>SURAHAMMAR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3818-2022</t>
        </is>
      </c>
      <c r="B109" s="1" t="n">
        <v>44587</v>
      </c>
      <c r="C109" s="1" t="n">
        <v>45881</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44353-2024</t>
        </is>
      </c>
      <c r="B110" s="1" t="n">
        <v>45573</v>
      </c>
      <c r="C110" s="1" t="n">
        <v>45881</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47785-2021</t>
        </is>
      </c>
      <c r="B111" s="1" t="n">
        <v>44448</v>
      </c>
      <c r="C111" s="1" t="n">
        <v>45881</v>
      </c>
      <c r="D111" t="inlineStr">
        <is>
          <t>VÄSTMANLANDS LÄN</t>
        </is>
      </c>
      <c r="E111" t="inlineStr">
        <is>
          <t>SURAHAMMAR</t>
        </is>
      </c>
      <c r="F111" t="inlineStr">
        <is>
          <t>Kommuner</t>
        </is>
      </c>
      <c r="G111" t="n">
        <v>3.3</v>
      </c>
      <c r="H111" t="n">
        <v>0</v>
      </c>
      <c r="I111" t="n">
        <v>0</v>
      </c>
      <c r="J111" t="n">
        <v>0</v>
      </c>
      <c r="K111" t="n">
        <v>0</v>
      </c>
      <c r="L111" t="n">
        <v>0</v>
      </c>
      <c r="M111" t="n">
        <v>0</v>
      </c>
      <c r="N111" t="n">
        <v>0</v>
      </c>
      <c r="O111" t="n">
        <v>0</v>
      </c>
      <c r="P111" t="n">
        <v>0</v>
      </c>
      <c r="Q111" t="n">
        <v>0</v>
      </c>
      <c r="R111" s="2" t="inlineStr"/>
    </row>
    <row r="112" ht="15" customHeight="1">
      <c r="A112" t="inlineStr">
        <is>
          <t>A 13119-2022</t>
        </is>
      </c>
      <c r="B112" s="1" t="n">
        <v>44643</v>
      </c>
      <c r="C112" s="1" t="n">
        <v>45881</v>
      </c>
      <c r="D112" t="inlineStr">
        <is>
          <t>VÄSTMANLANDS LÄN</t>
        </is>
      </c>
      <c r="E112" t="inlineStr">
        <is>
          <t>SURAHAMMAR</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19782-2023</t>
        </is>
      </c>
      <c r="B113" s="1" t="n">
        <v>45050</v>
      </c>
      <c r="C113" s="1" t="n">
        <v>45881</v>
      </c>
      <c r="D113" t="inlineStr">
        <is>
          <t>VÄSTMANLANDS LÄN</t>
        </is>
      </c>
      <c r="E113" t="inlineStr">
        <is>
          <t>SURAHAMMAR</t>
        </is>
      </c>
      <c r="F113" t="inlineStr">
        <is>
          <t>Bergvik skog väst AB</t>
        </is>
      </c>
      <c r="G113" t="n">
        <v>5.2</v>
      </c>
      <c r="H113" t="n">
        <v>0</v>
      </c>
      <c r="I113" t="n">
        <v>0</v>
      </c>
      <c r="J113" t="n">
        <v>0</v>
      </c>
      <c r="K113" t="n">
        <v>0</v>
      </c>
      <c r="L113" t="n">
        <v>0</v>
      </c>
      <c r="M113" t="n">
        <v>0</v>
      </c>
      <c r="N113" t="n">
        <v>0</v>
      </c>
      <c r="O113" t="n">
        <v>0</v>
      </c>
      <c r="P113" t="n">
        <v>0</v>
      </c>
      <c r="Q113" t="n">
        <v>0</v>
      </c>
      <c r="R113" s="2" t="inlineStr"/>
    </row>
    <row r="114" ht="15" customHeight="1">
      <c r="A114" t="inlineStr">
        <is>
          <t>A 14626-2023</t>
        </is>
      </c>
      <c r="B114" s="1" t="n">
        <v>45012</v>
      </c>
      <c r="C114" s="1" t="n">
        <v>45881</v>
      </c>
      <c r="D114" t="inlineStr">
        <is>
          <t>VÄSTMANLANDS LÄN</t>
        </is>
      </c>
      <c r="E114" t="inlineStr">
        <is>
          <t>SURAHAMMAR</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25417-2024</t>
        </is>
      </c>
      <c r="B115" s="1" t="n">
        <v>45463</v>
      </c>
      <c r="C115" s="1" t="n">
        <v>45881</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25450-2024</t>
        </is>
      </c>
      <c r="B116" s="1" t="n">
        <v>45463</v>
      </c>
      <c r="C116" s="1" t="n">
        <v>45881</v>
      </c>
      <c r="D116" t="inlineStr">
        <is>
          <t>VÄSTMANLANDS LÄN</t>
        </is>
      </c>
      <c r="E116" t="inlineStr">
        <is>
          <t>SURAHAMMAR</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8553-2023</t>
        </is>
      </c>
      <c r="B117" s="1" t="n">
        <v>44977</v>
      </c>
      <c r="C117" s="1" t="n">
        <v>45881</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10396-2025</t>
        </is>
      </c>
      <c r="B118" s="1" t="n">
        <v>45720.60721064815</v>
      </c>
      <c r="C118" s="1" t="n">
        <v>45881</v>
      </c>
      <c r="D118" t="inlineStr">
        <is>
          <t>VÄSTMANLANDS LÄN</t>
        </is>
      </c>
      <c r="E118" t="inlineStr">
        <is>
          <t>SURAHAMMAR</t>
        </is>
      </c>
      <c r="F118" t="inlineStr">
        <is>
          <t>Allmännings- och besparingsskogar</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56378-2023</t>
        </is>
      </c>
      <c r="B119" s="1" t="n">
        <v>45236</v>
      </c>
      <c r="C119" s="1" t="n">
        <v>45881</v>
      </c>
      <c r="D119" t="inlineStr">
        <is>
          <t>VÄSTMANLANDS LÄN</t>
        </is>
      </c>
      <c r="E119" t="inlineStr">
        <is>
          <t>SURAHAMMAR</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10883-2023</t>
        </is>
      </c>
      <c r="B120" s="1" t="n">
        <v>44991</v>
      </c>
      <c r="C120" s="1" t="n">
        <v>45881</v>
      </c>
      <c r="D120" t="inlineStr">
        <is>
          <t>VÄSTMANLANDS LÄN</t>
        </is>
      </c>
      <c r="E120" t="inlineStr">
        <is>
          <t>SURAHAMMAR</t>
        </is>
      </c>
      <c r="F120" t="inlineStr">
        <is>
          <t>Övriga Aktiebolag</t>
        </is>
      </c>
      <c r="G120" t="n">
        <v>12.5</v>
      </c>
      <c r="H120" t="n">
        <v>0</v>
      </c>
      <c r="I120" t="n">
        <v>0</v>
      </c>
      <c r="J120" t="n">
        <v>0</v>
      </c>
      <c r="K120" t="n">
        <v>0</v>
      </c>
      <c r="L120" t="n">
        <v>0</v>
      </c>
      <c r="M120" t="n">
        <v>0</v>
      </c>
      <c r="N120" t="n">
        <v>0</v>
      </c>
      <c r="O120" t="n">
        <v>0</v>
      </c>
      <c r="P120" t="n">
        <v>0</v>
      </c>
      <c r="Q120" t="n">
        <v>0</v>
      </c>
      <c r="R120" s="2" t="inlineStr"/>
    </row>
    <row r="121" ht="15" customHeight="1">
      <c r="A121" t="inlineStr">
        <is>
          <t>A 7787-2024</t>
        </is>
      </c>
      <c r="B121" s="1" t="n">
        <v>45348</v>
      </c>
      <c r="C121" s="1" t="n">
        <v>45881</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45881</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45881</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45881</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11501-2023</t>
        </is>
      </c>
      <c r="B125" s="1" t="n">
        <v>44991</v>
      </c>
      <c r="C125" s="1" t="n">
        <v>45881</v>
      </c>
      <c r="D125" t="inlineStr">
        <is>
          <t>VÄSTMANLANDS LÄN</t>
        </is>
      </c>
      <c r="E125" t="inlineStr">
        <is>
          <t>SURAHAMMAR</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16013-2023</t>
        </is>
      </c>
      <c r="B126" s="1" t="n">
        <v>45026</v>
      </c>
      <c r="C126" s="1" t="n">
        <v>45881</v>
      </c>
      <c r="D126" t="inlineStr">
        <is>
          <t>VÄSTMANLANDS LÄN</t>
        </is>
      </c>
      <c r="E126" t="inlineStr">
        <is>
          <t>SURAHAMMAR</t>
        </is>
      </c>
      <c r="G126" t="n">
        <v>3.9</v>
      </c>
      <c r="H126" t="n">
        <v>0</v>
      </c>
      <c r="I126" t="n">
        <v>0</v>
      </c>
      <c r="J126" t="n">
        <v>0</v>
      </c>
      <c r="K126" t="n">
        <v>0</v>
      </c>
      <c r="L126" t="n">
        <v>0</v>
      </c>
      <c r="M126" t="n">
        <v>0</v>
      </c>
      <c r="N126" t="n">
        <v>0</v>
      </c>
      <c r="O126" t="n">
        <v>0</v>
      </c>
      <c r="P126" t="n">
        <v>0</v>
      </c>
      <c r="Q126" t="n">
        <v>0</v>
      </c>
      <c r="R126" s="2" t="inlineStr"/>
    </row>
    <row r="127" ht="15" customHeight="1">
      <c r="A127" t="inlineStr">
        <is>
          <t>A 20904-2023</t>
        </is>
      </c>
      <c r="B127" s="1" t="n">
        <v>45060</v>
      </c>
      <c r="C127" s="1" t="n">
        <v>45881</v>
      </c>
      <c r="D127" t="inlineStr">
        <is>
          <t>VÄSTMANLANDS LÄN</t>
        </is>
      </c>
      <c r="E127" t="inlineStr">
        <is>
          <t>SURAHAMMAR</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42829-2022</t>
        </is>
      </c>
      <c r="B128" s="1" t="n">
        <v>44832</v>
      </c>
      <c r="C128" s="1" t="n">
        <v>45881</v>
      </c>
      <c r="D128" t="inlineStr">
        <is>
          <t>VÄSTMANLANDS LÄN</t>
        </is>
      </c>
      <c r="E128" t="inlineStr">
        <is>
          <t>SURAHAMMAR</t>
        </is>
      </c>
      <c r="G128" t="n">
        <v>1.6</v>
      </c>
      <c r="H128" t="n">
        <v>0</v>
      </c>
      <c r="I128" t="n">
        <v>0</v>
      </c>
      <c r="J128" t="n">
        <v>0</v>
      </c>
      <c r="K128" t="n">
        <v>0</v>
      </c>
      <c r="L128" t="n">
        <v>0</v>
      </c>
      <c r="M128" t="n">
        <v>0</v>
      </c>
      <c r="N128" t="n">
        <v>0</v>
      </c>
      <c r="O128" t="n">
        <v>0</v>
      </c>
      <c r="P128" t="n">
        <v>0</v>
      </c>
      <c r="Q128" t="n">
        <v>0</v>
      </c>
      <c r="R128" s="2" t="inlineStr"/>
    </row>
    <row r="129" ht="15" customHeight="1">
      <c r="A129" t="inlineStr">
        <is>
          <t>A 72367-2021</t>
        </is>
      </c>
      <c r="B129" s="1" t="n">
        <v>44545</v>
      </c>
      <c r="C129" s="1" t="n">
        <v>45881</v>
      </c>
      <c r="D129" t="inlineStr">
        <is>
          <t>VÄSTMANLANDS LÄN</t>
        </is>
      </c>
      <c r="E129" t="inlineStr">
        <is>
          <t>SURAHAMMAR</t>
        </is>
      </c>
      <c r="G129" t="n">
        <v>2.5</v>
      </c>
      <c r="H129" t="n">
        <v>0</v>
      </c>
      <c r="I129" t="n">
        <v>0</v>
      </c>
      <c r="J129" t="n">
        <v>0</v>
      </c>
      <c r="K129" t="n">
        <v>0</v>
      </c>
      <c r="L129" t="n">
        <v>0</v>
      </c>
      <c r="M129" t="n">
        <v>0</v>
      </c>
      <c r="N129" t="n">
        <v>0</v>
      </c>
      <c r="O129" t="n">
        <v>0</v>
      </c>
      <c r="P129" t="n">
        <v>0</v>
      </c>
      <c r="Q129" t="n">
        <v>0</v>
      </c>
      <c r="R129" s="2" t="inlineStr"/>
    </row>
    <row r="130" ht="15" customHeight="1">
      <c r="A130" t="inlineStr">
        <is>
          <t>A 44357-2024</t>
        </is>
      </c>
      <c r="B130" s="1" t="n">
        <v>45573</v>
      </c>
      <c r="C130" s="1" t="n">
        <v>45881</v>
      </c>
      <c r="D130" t="inlineStr">
        <is>
          <t>VÄSTMANLANDS LÄN</t>
        </is>
      </c>
      <c r="E130" t="inlineStr">
        <is>
          <t>SURAHAMMAR</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34955-2022</t>
        </is>
      </c>
      <c r="B131" s="1" t="n">
        <v>44796</v>
      </c>
      <c r="C131" s="1" t="n">
        <v>45881</v>
      </c>
      <c r="D131" t="inlineStr">
        <is>
          <t>VÄSTMANLANDS LÄN</t>
        </is>
      </c>
      <c r="E131" t="inlineStr">
        <is>
          <t>SURAHAMMAR</t>
        </is>
      </c>
      <c r="F131" t="inlineStr">
        <is>
          <t>Sveaskog</t>
        </is>
      </c>
      <c r="G131" t="n">
        <v>4.6</v>
      </c>
      <c r="H131" t="n">
        <v>0</v>
      </c>
      <c r="I131" t="n">
        <v>0</v>
      </c>
      <c r="J131" t="n">
        <v>0</v>
      </c>
      <c r="K131" t="n">
        <v>0</v>
      </c>
      <c r="L131" t="n">
        <v>0</v>
      </c>
      <c r="M131" t="n">
        <v>0</v>
      </c>
      <c r="N131" t="n">
        <v>0</v>
      </c>
      <c r="O131" t="n">
        <v>0</v>
      </c>
      <c r="P131" t="n">
        <v>0</v>
      </c>
      <c r="Q131" t="n">
        <v>0</v>
      </c>
      <c r="R131" s="2" t="inlineStr"/>
    </row>
    <row r="132" ht="15" customHeight="1">
      <c r="A132" t="inlineStr">
        <is>
          <t>A 42714-2022</t>
        </is>
      </c>
      <c r="B132" s="1" t="n">
        <v>44832</v>
      </c>
      <c r="C132" s="1" t="n">
        <v>45881</v>
      </c>
      <c r="D132" t="inlineStr">
        <is>
          <t>VÄSTMANLANDS LÄN</t>
        </is>
      </c>
      <c r="E132" t="inlineStr">
        <is>
          <t>SURAHAMMAR</t>
        </is>
      </c>
      <c r="G132" t="n">
        <v>1.1</v>
      </c>
      <c r="H132" t="n">
        <v>0</v>
      </c>
      <c r="I132" t="n">
        <v>0</v>
      </c>
      <c r="J132" t="n">
        <v>0</v>
      </c>
      <c r="K132" t="n">
        <v>0</v>
      </c>
      <c r="L132" t="n">
        <v>0</v>
      </c>
      <c r="M132" t="n">
        <v>0</v>
      </c>
      <c r="N132" t="n">
        <v>0</v>
      </c>
      <c r="O132" t="n">
        <v>0</v>
      </c>
      <c r="P132" t="n">
        <v>0</v>
      </c>
      <c r="Q132" t="n">
        <v>0</v>
      </c>
      <c r="R132" s="2" t="inlineStr"/>
    </row>
    <row r="133" ht="15" customHeight="1">
      <c r="A133" t="inlineStr">
        <is>
          <t>A 37287-2023</t>
        </is>
      </c>
      <c r="B133" s="1" t="n">
        <v>45156</v>
      </c>
      <c r="C133" s="1" t="n">
        <v>45881</v>
      </c>
      <c r="D133" t="inlineStr">
        <is>
          <t>VÄSTMANLANDS LÄN</t>
        </is>
      </c>
      <c r="E133" t="inlineStr">
        <is>
          <t>SURAHAMMAR</t>
        </is>
      </c>
      <c r="G133" t="n">
        <v>0.6</v>
      </c>
      <c r="H133" t="n">
        <v>0</v>
      </c>
      <c r="I133" t="n">
        <v>0</v>
      </c>
      <c r="J133" t="n">
        <v>0</v>
      </c>
      <c r="K133" t="n">
        <v>0</v>
      </c>
      <c r="L133" t="n">
        <v>0</v>
      </c>
      <c r="M133" t="n">
        <v>0</v>
      </c>
      <c r="N133" t="n">
        <v>0</v>
      </c>
      <c r="O133" t="n">
        <v>0</v>
      </c>
      <c r="P133" t="n">
        <v>0</v>
      </c>
      <c r="Q133" t="n">
        <v>0</v>
      </c>
      <c r="R133" s="2" t="inlineStr"/>
    </row>
    <row r="134" ht="15" customHeight="1">
      <c r="A134" t="inlineStr">
        <is>
          <t>A 49058-2024</t>
        </is>
      </c>
      <c r="B134" s="1" t="n">
        <v>45594</v>
      </c>
      <c r="C134" s="1" t="n">
        <v>45881</v>
      </c>
      <c r="D134" t="inlineStr">
        <is>
          <t>VÄSTMANLANDS LÄN</t>
        </is>
      </c>
      <c r="E134" t="inlineStr">
        <is>
          <t>SURAHAMMAR</t>
        </is>
      </c>
      <c r="F134" t="inlineStr">
        <is>
          <t>Sveaskog</t>
        </is>
      </c>
      <c r="G134" t="n">
        <v>11.4</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45881</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15739-2023</t>
        </is>
      </c>
      <c r="B136" s="1" t="n">
        <v>45021</v>
      </c>
      <c r="C136" s="1" t="n">
        <v>45881</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19099-2022</t>
        </is>
      </c>
      <c r="B137" s="1" t="n">
        <v>44691</v>
      </c>
      <c r="C137" s="1" t="n">
        <v>45881</v>
      </c>
      <c r="D137" t="inlineStr">
        <is>
          <t>VÄSTMANLANDS LÄN</t>
        </is>
      </c>
      <c r="E137" t="inlineStr">
        <is>
          <t>SURAHAMMAR</t>
        </is>
      </c>
      <c r="F137" t="inlineStr">
        <is>
          <t>Övriga Aktiebolag</t>
        </is>
      </c>
      <c r="G137" t="n">
        <v>3.4</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44405.42373842592</v>
      </c>
      <c r="C138" s="1" t="n">
        <v>45881</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25780-2023</t>
        </is>
      </c>
      <c r="B139" s="1" t="n">
        <v>45090.47523148148</v>
      </c>
      <c r="C139" s="1" t="n">
        <v>45881</v>
      </c>
      <c r="D139" t="inlineStr">
        <is>
          <t>VÄSTMANLANDS LÄN</t>
        </is>
      </c>
      <c r="E139" t="inlineStr">
        <is>
          <t>SURAHAMMAR</t>
        </is>
      </c>
      <c r="G139" t="n">
        <v>2.8</v>
      </c>
      <c r="H139" t="n">
        <v>0</v>
      </c>
      <c r="I139" t="n">
        <v>0</v>
      </c>
      <c r="J139" t="n">
        <v>0</v>
      </c>
      <c r="K139" t="n">
        <v>0</v>
      </c>
      <c r="L139" t="n">
        <v>0</v>
      </c>
      <c r="M139" t="n">
        <v>0</v>
      </c>
      <c r="N139" t="n">
        <v>0</v>
      </c>
      <c r="O139" t="n">
        <v>0</v>
      </c>
      <c r="P139" t="n">
        <v>0</v>
      </c>
      <c r="Q139" t="n">
        <v>0</v>
      </c>
      <c r="R139" s="2" t="inlineStr"/>
    </row>
    <row r="140" ht="15" customHeight="1">
      <c r="A140" t="inlineStr">
        <is>
          <t>A 13386-2025</t>
        </is>
      </c>
      <c r="B140" s="1" t="n">
        <v>45735</v>
      </c>
      <c r="C140" s="1" t="n">
        <v>45881</v>
      </c>
      <c r="D140" t="inlineStr">
        <is>
          <t>VÄSTMANLANDS LÄN</t>
        </is>
      </c>
      <c r="E140" t="inlineStr">
        <is>
          <t>SURAHAMMAR</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35682-2022</t>
        </is>
      </c>
      <c r="B141" s="1" t="n">
        <v>44799.60422453703</v>
      </c>
      <c r="C141" s="1" t="n">
        <v>45881</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2867-2024</t>
        </is>
      </c>
      <c r="B142" s="1" t="n">
        <v>45315</v>
      </c>
      <c r="C142" s="1" t="n">
        <v>45881</v>
      </c>
      <c r="D142" t="inlineStr">
        <is>
          <t>VÄSTMANLANDS LÄN</t>
        </is>
      </c>
      <c r="E142" t="inlineStr">
        <is>
          <t>SURAHAMMAR</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34582-2025</t>
        </is>
      </c>
      <c r="B143" s="1" t="n">
        <v>45846</v>
      </c>
      <c r="C143" s="1" t="n">
        <v>45881</v>
      </c>
      <c r="D143" t="inlineStr">
        <is>
          <t>VÄSTMANLANDS LÄN</t>
        </is>
      </c>
      <c r="E143" t="inlineStr">
        <is>
          <t>SURAHAMMAR</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34584-2025</t>
        </is>
      </c>
      <c r="B144" s="1" t="n">
        <v>45846</v>
      </c>
      <c r="C144" s="1" t="n">
        <v>45881</v>
      </c>
      <c r="D144" t="inlineStr">
        <is>
          <t>VÄSTMANLANDS LÄN</t>
        </is>
      </c>
      <c r="E144" t="inlineStr">
        <is>
          <t>SURAHAMMAR</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45881</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41555-2022</t>
        </is>
      </c>
      <c r="B146" s="1" t="n">
        <v>44826</v>
      </c>
      <c r="C146" s="1" t="n">
        <v>45881</v>
      </c>
      <c r="D146" t="inlineStr">
        <is>
          <t>VÄSTMANLANDS LÄN</t>
        </is>
      </c>
      <c r="E146" t="inlineStr">
        <is>
          <t>SURAHAMMAR</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45881</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41576-2022</t>
        </is>
      </c>
      <c r="B148" s="1" t="n">
        <v>44826</v>
      </c>
      <c r="C148" s="1" t="n">
        <v>45881</v>
      </c>
      <c r="D148" t="inlineStr">
        <is>
          <t>VÄSTMANLANDS LÄN</t>
        </is>
      </c>
      <c r="E148" t="inlineStr">
        <is>
          <t>SURAHAMMAR</t>
        </is>
      </c>
      <c r="F148" t="inlineStr">
        <is>
          <t>Bergvik skog väst AB</t>
        </is>
      </c>
      <c r="G148" t="n">
        <v>6.4</v>
      </c>
      <c r="H148" t="n">
        <v>0</v>
      </c>
      <c r="I148" t="n">
        <v>0</v>
      </c>
      <c r="J148" t="n">
        <v>0</v>
      </c>
      <c r="K148" t="n">
        <v>0</v>
      </c>
      <c r="L148" t="n">
        <v>0</v>
      </c>
      <c r="M148" t="n">
        <v>0</v>
      </c>
      <c r="N148" t="n">
        <v>0</v>
      </c>
      <c r="O148" t="n">
        <v>0</v>
      </c>
      <c r="P148" t="n">
        <v>0</v>
      </c>
      <c r="Q148" t="n">
        <v>0</v>
      </c>
      <c r="R148" s="2" t="inlineStr"/>
    </row>
    <row r="149" ht="15" customHeight="1">
      <c r="A149" t="inlineStr">
        <is>
          <t>A 52074-2020</t>
        </is>
      </c>
      <c r="B149" s="1" t="n">
        <v>44117</v>
      </c>
      <c r="C149" s="1" t="n">
        <v>45881</v>
      </c>
      <c r="D149" t="inlineStr">
        <is>
          <t>VÄSTMANLANDS LÄN</t>
        </is>
      </c>
      <c r="E149" t="inlineStr">
        <is>
          <t>SURAHAMMAR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45881</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37013-2025</t>
        </is>
      </c>
      <c r="B151" s="1" t="n">
        <v>45874</v>
      </c>
      <c r="C151" s="1" t="n">
        <v>45881</v>
      </c>
      <c r="D151" t="inlineStr">
        <is>
          <t>VÄSTMANLANDS LÄN</t>
        </is>
      </c>
      <c r="E151" t="inlineStr">
        <is>
          <t>SURAHAMMAR</t>
        </is>
      </c>
      <c r="F151" t="inlineStr">
        <is>
          <t>Bergvik skog väst AB</t>
        </is>
      </c>
      <c r="G151" t="n">
        <v>10.7</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45881</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c r="A153" t="inlineStr">
        <is>
          <t>A 16608-2022</t>
        </is>
      </c>
      <c r="B153" s="1" t="n">
        <v>44672</v>
      </c>
      <c r="C153" s="1" t="n">
        <v>45881</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2025-08-12T08:26:11Z</dcterms:created>
  <dcterms:modified xmlns:dcterms="http://purl.org/dc/terms/" xmlns:xsi="http://www.w3.org/2001/XMLSchema-instance" xsi:type="dcterms:W3CDTF">2025-08-12T08:26:11Z</dcterms:modified>
</cp:coreProperties>
</file>