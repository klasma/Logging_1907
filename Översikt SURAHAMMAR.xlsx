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45701</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45701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45701</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45701</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45701</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45701</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45701</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45701</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45701</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45701</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45701</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45701</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45701</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45701</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45701</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45701</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45701</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45701</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45701</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45701</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13994-2023</t>
        </is>
      </c>
      <c r="B24" s="1" t="n">
        <v>45007</v>
      </c>
      <c r="C24" s="1" t="n">
        <v>45701</v>
      </c>
      <c r="D24" t="inlineStr">
        <is>
          <t>VÄSTMANLANDS LÄN</t>
        </is>
      </c>
      <c r="E24" t="inlineStr">
        <is>
          <t>SURAHAMMAR</t>
        </is>
      </c>
      <c r="F24" t="inlineStr">
        <is>
          <t>Bergvik skog väst AB</t>
        </is>
      </c>
      <c r="G24" t="n">
        <v>14.2</v>
      </c>
      <c r="H24" t="n">
        <v>3</v>
      </c>
      <c r="I24" t="n">
        <v>2</v>
      </c>
      <c r="J24" t="n">
        <v>2</v>
      </c>
      <c r="K24" t="n">
        <v>1</v>
      </c>
      <c r="L24" t="n">
        <v>0</v>
      </c>
      <c r="M24" t="n">
        <v>0</v>
      </c>
      <c r="N24" t="n">
        <v>0</v>
      </c>
      <c r="O24" t="n">
        <v>3</v>
      </c>
      <c r="P24" t="n">
        <v>1</v>
      </c>
      <c r="Q24" t="n">
        <v>6</v>
      </c>
      <c r="R24" s="2" t="inlineStr">
        <is>
          <t>Knärot
Spillkråka
Tallticka
Mindre märgborre
Vedticka
Mattlummer</t>
        </is>
      </c>
      <c r="S24">
        <f>HYPERLINK("https://klasma.github.io/Logging_1907/artfynd/A 13994-2023 artfynd.xlsx", "A 13994-2023")</f>
        <v/>
      </c>
      <c r="T24">
        <f>HYPERLINK("https://klasma.github.io/Logging_1907/kartor/A 13994-2023 karta.png", "A 13994-2023")</f>
        <v/>
      </c>
      <c r="U24">
        <f>HYPERLINK("https://klasma.github.io/Logging_1907/knärot/A 13994-2023 karta knärot.png", "A 13994-2023")</f>
        <v/>
      </c>
      <c r="V24">
        <f>HYPERLINK("https://klasma.github.io/Logging_1907/klagomål/A 13994-2023 FSC-klagomål.docx", "A 13994-2023")</f>
        <v/>
      </c>
      <c r="W24">
        <f>HYPERLINK("https://klasma.github.io/Logging_1907/klagomålsmail/A 13994-2023 FSC-klagomål mail.docx", "A 13994-2023")</f>
        <v/>
      </c>
      <c r="X24">
        <f>HYPERLINK("https://klasma.github.io/Logging_1907/tillsyn/A 13994-2023 tillsynsbegäran.docx", "A 13994-2023")</f>
        <v/>
      </c>
      <c r="Y24">
        <f>HYPERLINK("https://klasma.github.io/Logging_1907/tillsynsmail/A 13994-2023 tillsynsbegäran mail.docx", "A 13994-2023")</f>
        <v/>
      </c>
      <c r="Z24">
        <f>HYPERLINK("https://klasma.github.io/Logging_1907/fåglar/A 13994-2023 prioriterade fågelarter.docx", "A 13994-2023")</f>
        <v/>
      </c>
    </row>
    <row r="25" ht="15" customHeight="1">
      <c r="A25" t="inlineStr">
        <is>
          <t>A 7791-2024</t>
        </is>
      </c>
      <c r="B25" s="1" t="n">
        <v>45348</v>
      </c>
      <c r="C25" s="1" t="n">
        <v>45701</v>
      </c>
      <c r="D25" t="inlineStr">
        <is>
          <t>VÄSTMANLANDS LÄN</t>
        </is>
      </c>
      <c r="E25" t="inlineStr">
        <is>
          <t>SURAHAMMAR</t>
        </is>
      </c>
      <c r="G25" t="n">
        <v>9.6</v>
      </c>
      <c r="H25" t="n">
        <v>2</v>
      </c>
      <c r="I25" t="n">
        <v>4</v>
      </c>
      <c r="J25" t="n">
        <v>1</v>
      </c>
      <c r="K25" t="n">
        <v>0</v>
      </c>
      <c r="L25" t="n">
        <v>0</v>
      </c>
      <c r="M25" t="n">
        <v>0</v>
      </c>
      <c r="N25" t="n">
        <v>0</v>
      </c>
      <c r="O25" t="n">
        <v>1</v>
      </c>
      <c r="P25" t="n">
        <v>0</v>
      </c>
      <c r="Q25" t="n">
        <v>6</v>
      </c>
      <c r="R25" s="2" t="inlineStr">
        <is>
          <t>Talltita
Blomkålssvamp
Bronshjon
Mörk vedstrit
Vedticka
Tjäder</t>
        </is>
      </c>
      <c r="S25">
        <f>HYPERLINK("https://klasma.github.io/Logging_1907/artfynd/A 7791-2024 artfynd.xlsx", "A 7791-2024")</f>
        <v/>
      </c>
      <c r="T25">
        <f>HYPERLINK("https://klasma.github.io/Logging_1907/kartor/A 7791-2024 karta.png", "A 7791-2024")</f>
        <v/>
      </c>
      <c r="V25">
        <f>HYPERLINK("https://klasma.github.io/Logging_1907/klagomål/A 7791-2024 FSC-klagomål.docx", "A 7791-2024")</f>
        <v/>
      </c>
      <c r="W25">
        <f>HYPERLINK("https://klasma.github.io/Logging_1907/klagomålsmail/A 7791-2024 FSC-klagomål mail.docx", "A 7791-2024")</f>
        <v/>
      </c>
      <c r="X25">
        <f>HYPERLINK("https://klasma.github.io/Logging_1907/tillsyn/A 7791-2024 tillsynsbegäran.docx", "A 7791-2024")</f>
        <v/>
      </c>
      <c r="Y25">
        <f>HYPERLINK("https://klasma.github.io/Logging_1907/tillsynsmail/A 7791-2024 tillsynsbegäran mail.docx", "A 7791-2024")</f>
        <v/>
      </c>
      <c r="Z25">
        <f>HYPERLINK("https://klasma.github.io/Logging_1907/fåglar/A 7791-2024 prioriterade fågelarter.docx", "A 7791-2024")</f>
        <v/>
      </c>
    </row>
    <row r="26" ht="15" customHeight="1">
      <c r="A26" t="inlineStr">
        <is>
          <t>A 44798-2024</t>
        </is>
      </c>
      <c r="B26" s="1" t="n">
        <v>45574</v>
      </c>
      <c r="C26" s="1" t="n">
        <v>45701</v>
      </c>
      <c r="D26" t="inlineStr">
        <is>
          <t>VÄSTMANLANDS LÄN</t>
        </is>
      </c>
      <c r="E26" t="inlineStr">
        <is>
          <t>SURAHAMMAR</t>
        </is>
      </c>
      <c r="F26" t="inlineStr">
        <is>
          <t>Bergvik skog väst AB</t>
        </is>
      </c>
      <c r="G26" t="n">
        <v>4.4</v>
      </c>
      <c r="H26" t="n">
        <v>0</v>
      </c>
      <c r="I26" t="n">
        <v>1</v>
      </c>
      <c r="J26" t="n">
        <v>4</v>
      </c>
      <c r="K26" t="n">
        <v>1</v>
      </c>
      <c r="L26" t="n">
        <v>0</v>
      </c>
      <c r="M26" t="n">
        <v>0</v>
      </c>
      <c r="N26" t="n">
        <v>0</v>
      </c>
      <c r="O26" t="n">
        <v>5</v>
      </c>
      <c r="P26" t="n">
        <v>1</v>
      </c>
      <c r="Q26" t="n">
        <v>6</v>
      </c>
      <c r="R26" s="2" t="inlineStr">
        <is>
          <t>Rosetticka
Brunklöver
Persiljespindling
Svinrot
Ullticka
Brandticka</t>
        </is>
      </c>
      <c r="S26">
        <f>HYPERLINK("https://klasma.github.io/Logging_1907/artfynd/A 44798-2024 artfynd.xlsx", "A 44798-2024")</f>
        <v/>
      </c>
      <c r="T26">
        <f>HYPERLINK("https://klasma.github.io/Logging_1907/kartor/A 44798-2024 karta.png", "A 44798-2024")</f>
        <v/>
      </c>
      <c r="V26">
        <f>HYPERLINK("https://klasma.github.io/Logging_1907/klagomål/A 44798-2024 FSC-klagomål.docx", "A 44798-2024")</f>
        <v/>
      </c>
      <c r="W26">
        <f>HYPERLINK("https://klasma.github.io/Logging_1907/klagomålsmail/A 44798-2024 FSC-klagomål mail.docx", "A 44798-2024")</f>
        <v/>
      </c>
      <c r="X26">
        <f>HYPERLINK("https://klasma.github.io/Logging_1907/tillsyn/A 44798-2024 tillsynsbegäran.docx", "A 44798-2024")</f>
        <v/>
      </c>
      <c r="Y26">
        <f>HYPERLINK("https://klasma.github.io/Logging_1907/tillsynsmail/A 44798-2024 tillsynsbegäran mail.docx", "A 44798-2024")</f>
        <v/>
      </c>
    </row>
    <row r="27" ht="15" customHeight="1">
      <c r="A27" t="inlineStr">
        <is>
          <t>A 56299-2021</t>
        </is>
      </c>
      <c r="B27" s="1" t="n">
        <v>44477</v>
      </c>
      <c r="C27" s="1" t="n">
        <v>45701</v>
      </c>
      <c r="D27" t="inlineStr">
        <is>
          <t>VÄSTMANLANDS LÄN</t>
        </is>
      </c>
      <c r="E27" t="inlineStr">
        <is>
          <t>SURAHAMMAR</t>
        </is>
      </c>
      <c r="F27" t="inlineStr">
        <is>
          <t>Bergvik skog väst AB</t>
        </is>
      </c>
      <c r="G27" t="n">
        <v>8</v>
      </c>
      <c r="H27" t="n">
        <v>1</v>
      </c>
      <c r="I27" t="n">
        <v>3</v>
      </c>
      <c r="J27" t="n">
        <v>2</v>
      </c>
      <c r="K27" t="n">
        <v>0</v>
      </c>
      <c r="L27" t="n">
        <v>0</v>
      </c>
      <c r="M27" t="n">
        <v>0</v>
      </c>
      <c r="N27" t="n">
        <v>0</v>
      </c>
      <c r="O27" t="n">
        <v>2</v>
      </c>
      <c r="P27" t="n">
        <v>0</v>
      </c>
      <c r="Q27" t="n">
        <v>5</v>
      </c>
      <c r="R27" s="2" t="inlineStr">
        <is>
          <t>Större flatbagge
Tretåig hackspett
Björksplintborre
Korallblylav
Skinnlav</t>
        </is>
      </c>
      <c r="S27">
        <f>HYPERLINK("https://klasma.github.io/Logging_1907/artfynd/A 56299-2021 artfynd.xlsx", "A 56299-2021")</f>
        <v/>
      </c>
      <c r="T27">
        <f>HYPERLINK("https://klasma.github.io/Logging_1907/kartor/A 56299-2021 karta.png", "A 56299-2021")</f>
        <v/>
      </c>
      <c r="V27">
        <f>HYPERLINK("https://klasma.github.io/Logging_1907/klagomål/A 56299-2021 FSC-klagomål.docx", "A 56299-2021")</f>
        <v/>
      </c>
      <c r="W27">
        <f>HYPERLINK("https://klasma.github.io/Logging_1907/klagomålsmail/A 56299-2021 FSC-klagomål mail.docx", "A 56299-2021")</f>
        <v/>
      </c>
      <c r="X27">
        <f>HYPERLINK("https://klasma.github.io/Logging_1907/tillsyn/A 56299-2021 tillsynsbegäran.docx", "A 56299-2021")</f>
        <v/>
      </c>
      <c r="Y27">
        <f>HYPERLINK("https://klasma.github.io/Logging_1907/tillsynsmail/A 56299-2021 tillsynsbegäran mail.docx", "A 56299-2021")</f>
        <v/>
      </c>
      <c r="Z27">
        <f>HYPERLINK("https://klasma.github.io/Logging_1907/fåglar/A 56299-2021 prioriterade fågelarter.docx", "A 56299-2021")</f>
        <v/>
      </c>
    </row>
    <row r="28" ht="15" customHeight="1">
      <c r="A28" t="inlineStr">
        <is>
          <t>A 22033-2020</t>
        </is>
      </c>
      <c r="B28" s="1" t="n">
        <v>43959</v>
      </c>
      <c r="C28" s="1" t="n">
        <v>45701</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45701</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45701</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45701</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45701</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45701</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45701</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45701</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45701</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45701</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45701</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45701</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45701</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45701</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45701</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45701</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45701</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45701</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45701</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45701</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45701</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45701</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45701</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45701</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45701</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45701</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45701</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45701</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45701</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45701</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45701</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45701</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45701</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45701</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45701</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45701</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45701</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45701</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45701</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45701</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45701</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45701</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45701</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45701</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45701</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45701</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45701</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45701</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45701</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45701</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45701</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45701</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45701</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45701</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45701</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45701</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45701</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45701</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45701</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45701</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45701</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45701</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45701</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45701</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45701</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45701</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45701</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45701</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45701</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45701</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45701</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45701</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45701</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45701</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45701</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45701</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45701</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45701</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45701</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45701</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45701</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45701</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45701</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45701</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45701</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45701</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45701</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45701</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45701</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45701</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45701</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45701</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45701</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45701</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45701</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45701</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45701</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45701</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45701</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45701</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45701</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45701</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45701</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45701</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45701</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45701</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45701</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45701</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45701</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45701</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45701</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45701</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45701</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45701</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45701</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45701</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45701</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45701</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45701</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45701</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45701</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45701</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45701</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45701</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45701</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45701</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45701</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45701</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45701</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45701</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45701</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45701</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45701</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45701</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45701</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45701</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45701</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45701</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45701</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45701</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45701</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45701</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45701</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45701</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45701</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45701</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45701</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45701</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45701</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45701</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45701</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45701</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45701</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45701</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45701</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45701</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45701</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45701</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45701</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45701</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45701</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45701</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45701</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45701</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45701</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45701</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45701</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45701</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45701</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45701</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45701</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45701</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45701</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45701</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45701</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45701</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45701</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45701</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45701</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45701</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45701</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45701</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45701</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45701</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45701</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45701</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45701</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45701</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45701</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45701</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45701</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45701</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45701</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45701</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45701</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45701</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45701</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45701</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45701</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45701</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45701</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45701</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45701</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45701</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45701</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45701</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45701</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45701</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45701</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45701</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45701</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45701</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45701</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45701</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45701</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45701</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45701</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45701</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45701</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45701</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45701</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45701</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45701</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45701</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45701</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45701</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45701</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45701</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45701</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45701</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45701</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45701</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45701</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45701</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45701</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45701</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45701</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45701</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45701</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45701</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45701</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45701</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45701</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45701</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45701</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45701</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45701</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45701</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45701</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45701</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45701</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45701</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45701</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45701</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45701</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45701</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45701</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45701</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45701</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45701</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45701</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45701</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45701</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45701</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45701</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45701</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45701</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45701</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2025-02-13T16:28:28Z</dcterms:created>
  <dcterms:modified xmlns:dcterms="http://purl.org/dc/terms/" xmlns:xsi="http://www.w3.org/2001/XMLSchema-instance" xsi:type="dcterms:W3CDTF">2025-02-13T16:28:28Z</dcterms:modified>
</cp:coreProperties>
</file>