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46134</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46134</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46134</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46134</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46134</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46134</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46134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46134</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46134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46134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46134</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46134</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46134</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46134</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46134</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46134</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46134</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46134</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46134</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10236-2026</t>
        </is>
      </c>
      <c r="B26" s="1" t="n">
        <v>46076.54277777778</v>
      </c>
      <c r="C26" s="1" t="n">
        <v>46134</v>
      </c>
      <c r="D26" t="inlineStr">
        <is>
          <t>VÄSTMANLANDS LÄN</t>
        </is>
      </c>
      <c r="E26" t="inlineStr">
        <is>
          <t>SURAHAMMAR</t>
        </is>
      </c>
      <c r="F26" t="inlineStr">
        <is>
          <t>Allmännings- och besparingsskogar</t>
        </is>
      </c>
      <c r="G26" t="n">
        <v>2.8</v>
      </c>
      <c r="H26" t="n">
        <v>2</v>
      </c>
      <c r="I26" t="n">
        <v>1</v>
      </c>
      <c r="J26" t="n">
        <v>0</v>
      </c>
      <c r="K26" t="n">
        <v>1</v>
      </c>
      <c r="L26" t="n">
        <v>0</v>
      </c>
      <c r="M26" t="n">
        <v>0</v>
      </c>
      <c r="N26" t="n">
        <v>0</v>
      </c>
      <c r="O26" t="n">
        <v>1</v>
      </c>
      <c r="P26" t="n">
        <v>1</v>
      </c>
      <c r="Q26" t="n">
        <v>4</v>
      </c>
      <c r="R26" s="2" t="inlineStr">
        <is>
          <t>Vågticka
Brandticka
Lopplummer (aggregat)
Revlummer</t>
        </is>
      </c>
      <c r="S26">
        <f>HYPERLINK("https://klasma.github.io/Logging_1907/artfynd/A 10236-2026 artfynd.xlsx", "A 10236-2026")</f>
        <v/>
      </c>
      <c r="T26">
        <f>HYPERLINK("https://klasma.github.io/Logging_1907/kartor/A 10236-2026 karta.png", "A 10236-2026")</f>
        <v/>
      </c>
      <c r="V26">
        <f>HYPERLINK("https://klasma.github.io/Logging_1907/klagomål/A 10236-2026 FSC-klagomål.docx", "A 10236-2026")</f>
        <v/>
      </c>
      <c r="W26">
        <f>HYPERLINK("https://klasma.github.io/Logging_1907/klagomålsmail/A 10236-2026 FSC-klagomål mail.docx", "A 10236-2026")</f>
        <v/>
      </c>
      <c r="X26">
        <f>HYPERLINK("https://klasma.github.io/Logging_1907/tillsyn/A 10236-2026 tillsynsbegäran.docx", "A 10236-2026")</f>
        <v/>
      </c>
      <c r="Y26">
        <f>HYPERLINK("https://klasma.github.io/Logging_1907/tillsynsmail/A 10236-2026 tillsynsbegäran mail.docx", "A 10236-2026")</f>
        <v/>
      </c>
    </row>
    <row r="27" ht="15" customHeight="1">
      <c r="A27" t="inlineStr">
        <is>
          <t>A 42853-2022</t>
        </is>
      </c>
      <c r="B27" s="1" t="n">
        <v>44832</v>
      </c>
      <c r="C27" s="1" t="n">
        <v>46134</v>
      </c>
      <c r="D27" t="inlineStr">
        <is>
          <t>VÄSTMANLANDS LÄN</t>
        </is>
      </c>
      <c r="E27" t="inlineStr">
        <is>
          <t>SURAHAMMAR</t>
        </is>
      </c>
      <c r="G27" t="n">
        <v>7.4</v>
      </c>
      <c r="H27" t="n">
        <v>2</v>
      </c>
      <c r="I27" t="n">
        <v>1</v>
      </c>
      <c r="J27" t="n">
        <v>2</v>
      </c>
      <c r="K27" t="n">
        <v>0</v>
      </c>
      <c r="L27" t="n">
        <v>1</v>
      </c>
      <c r="M27" t="n">
        <v>0</v>
      </c>
      <c r="N27" t="n">
        <v>0</v>
      </c>
      <c r="O27" t="n">
        <v>3</v>
      </c>
      <c r="P27" t="n">
        <v>1</v>
      </c>
      <c r="Q27" t="n">
        <v>4</v>
      </c>
      <c r="R27" s="2" t="inlineStr">
        <is>
          <t>Ask
Kandelabersvamp
Mindre hackspett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c r="Z27">
        <f>HYPERLINK("https://klasma.github.io/Logging_1907/fåglar/A 42853-2022 prioriterade fågelarter.docx", "A 42853-2022")</f>
        <v/>
      </c>
    </row>
    <row r="28" ht="15" customHeight="1">
      <c r="A28" t="inlineStr">
        <is>
          <t>A 21716-2025</t>
        </is>
      </c>
      <c r="B28" s="1" t="n">
        <v>45783.54804398148</v>
      </c>
      <c r="C28" s="1" t="n">
        <v>46134</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25548-2024</t>
        </is>
      </c>
      <c r="B29" s="1" t="n">
        <v>45463</v>
      </c>
      <c r="C29" s="1" t="n">
        <v>46134</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42860-2022</t>
        </is>
      </c>
      <c r="B30" s="1" t="n">
        <v>44832</v>
      </c>
      <c r="C30" s="1" t="n">
        <v>46134</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46134</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46134</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39694-2025</t>
        </is>
      </c>
      <c r="B33" s="1" t="n">
        <v>45890</v>
      </c>
      <c r="C33" s="1" t="n">
        <v>46134</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29707-2025</t>
        </is>
      </c>
      <c r="B34" s="1" t="n">
        <v>45825.56100694444</v>
      </c>
      <c r="C34" s="1" t="n">
        <v>46134</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49718-2023</t>
        </is>
      </c>
      <c r="B35" s="1" t="n">
        <v>45212</v>
      </c>
      <c r="C35" s="1" t="n">
        <v>46134</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48128-2023</t>
        </is>
      </c>
      <c r="B36" s="1" t="n">
        <v>45205</v>
      </c>
      <c r="C36" s="1" t="n">
        <v>46134</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46134</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46134</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46134</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46134</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46134</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46134</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46134</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46134</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46134</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46134</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46134</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46134</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46134</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46134</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46134</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46134</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46134</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13788-2025</t>
        </is>
      </c>
      <c r="B54" s="1" t="n">
        <v>45737.45327546296</v>
      </c>
      <c r="C54" s="1" t="n">
        <v>46134</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34582-2025</t>
        </is>
      </c>
      <c r="B55" s="1" t="n">
        <v>45846</v>
      </c>
      <c r="C55" s="1" t="n">
        <v>46134</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69777-2021</t>
        </is>
      </c>
      <c r="B56" s="1" t="n">
        <v>44532</v>
      </c>
      <c r="C56" s="1" t="n">
        <v>46134</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14001-2023</t>
        </is>
      </c>
      <c r="B57" s="1" t="n">
        <v>45007</v>
      </c>
      <c r="C57" s="1" t="n">
        <v>46134</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42089-2025</t>
        </is>
      </c>
      <c r="B58" s="1" t="n">
        <v>45902</v>
      </c>
      <c r="C58" s="1" t="n">
        <v>46134</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47453-2024</t>
        </is>
      </c>
      <c r="B59" s="1" t="n">
        <v>45587.55017361111</v>
      </c>
      <c r="C59" s="1" t="n">
        <v>46134</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10819-2024</t>
        </is>
      </c>
      <c r="B60" s="1" t="n">
        <v>45369.66049768519</v>
      </c>
      <c r="C60" s="1" t="n">
        <v>46134</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55042-2025</t>
        </is>
      </c>
      <c r="B61" s="1" t="n">
        <v>45967.65858796296</v>
      </c>
      <c r="C61" s="1" t="n">
        <v>46134</v>
      </c>
      <c r="D61" t="inlineStr">
        <is>
          <t>VÄSTMANLANDS LÄN</t>
        </is>
      </c>
      <c r="E61" t="inlineStr">
        <is>
          <t>SURAHAMMAR</t>
        </is>
      </c>
      <c r="F61" t="inlineStr">
        <is>
          <t>Sveaskog</t>
        </is>
      </c>
      <c r="G61" t="n">
        <v>7.2</v>
      </c>
      <c r="H61" t="n">
        <v>0</v>
      </c>
      <c r="I61" t="n">
        <v>0</v>
      </c>
      <c r="J61" t="n">
        <v>1</v>
      </c>
      <c r="K61" t="n">
        <v>0</v>
      </c>
      <c r="L61" t="n">
        <v>0</v>
      </c>
      <c r="M61" t="n">
        <v>0</v>
      </c>
      <c r="N61" t="n">
        <v>0</v>
      </c>
      <c r="O61" t="n">
        <v>1</v>
      </c>
      <c r="P61" t="n">
        <v>0</v>
      </c>
      <c r="Q61" t="n">
        <v>1</v>
      </c>
      <c r="R61" s="2" t="inlineStr">
        <is>
          <t>Motaggsvamp</t>
        </is>
      </c>
      <c r="S61">
        <f>HYPERLINK("https://klasma.github.io/Logging_1907/artfynd/A 55042-2025 artfynd.xlsx", "A 55042-2025")</f>
        <v/>
      </c>
      <c r="T61">
        <f>HYPERLINK("https://klasma.github.io/Logging_1907/kartor/A 55042-2025 karta.png", "A 55042-2025")</f>
        <v/>
      </c>
      <c r="V61">
        <f>HYPERLINK("https://klasma.github.io/Logging_1907/klagomål/A 55042-2025 FSC-klagomål.docx", "A 55042-2025")</f>
        <v/>
      </c>
      <c r="W61">
        <f>HYPERLINK("https://klasma.github.io/Logging_1907/klagomålsmail/A 55042-2025 FSC-klagomål mail.docx", "A 55042-2025")</f>
        <v/>
      </c>
      <c r="X61">
        <f>HYPERLINK("https://klasma.github.io/Logging_1907/tillsyn/A 55042-2025 tillsynsbegäran.docx", "A 55042-2025")</f>
        <v/>
      </c>
      <c r="Y61">
        <f>HYPERLINK("https://klasma.github.io/Logging_1907/tillsynsmail/A 55042-2025 tillsynsbegäran mail.docx", "A 55042-2025")</f>
        <v/>
      </c>
    </row>
    <row r="62" ht="15" customHeight="1">
      <c r="A62" t="inlineStr">
        <is>
          <t>A 55871-2025</t>
        </is>
      </c>
      <c r="B62" s="1" t="n">
        <v>45973.35452546296</v>
      </c>
      <c r="C62" s="1" t="n">
        <v>46134</v>
      </c>
      <c r="D62" t="inlineStr">
        <is>
          <t>VÄSTMANLANDS LÄN</t>
        </is>
      </c>
      <c r="E62" t="inlineStr">
        <is>
          <t>SURAHAMMAR</t>
        </is>
      </c>
      <c r="F62" t="inlineStr">
        <is>
          <t>Sveaskog</t>
        </is>
      </c>
      <c r="G62" t="n">
        <v>1.4</v>
      </c>
      <c r="H62" t="n">
        <v>1</v>
      </c>
      <c r="I62" t="n">
        <v>0</v>
      </c>
      <c r="J62" t="n">
        <v>0</v>
      </c>
      <c r="K62" t="n">
        <v>0</v>
      </c>
      <c r="L62" t="n">
        <v>0</v>
      </c>
      <c r="M62" t="n">
        <v>0</v>
      </c>
      <c r="N62" t="n">
        <v>0</v>
      </c>
      <c r="O62" t="n">
        <v>0</v>
      </c>
      <c r="P62" t="n">
        <v>0</v>
      </c>
      <c r="Q62" t="n">
        <v>1</v>
      </c>
      <c r="R62" s="2" t="inlineStr">
        <is>
          <t>Lopplummer (aggregat)</t>
        </is>
      </c>
      <c r="S62">
        <f>HYPERLINK("https://klasma.github.io/Logging_1907/artfynd/A 55871-2025 artfynd.xlsx", "A 55871-2025")</f>
        <v/>
      </c>
      <c r="T62">
        <f>HYPERLINK("https://klasma.github.io/Logging_1907/kartor/A 55871-2025 karta.png", "A 55871-2025")</f>
        <v/>
      </c>
      <c r="V62">
        <f>HYPERLINK("https://klasma.github.io/Logging_1907/klagomål/A 55871-2025 FSC-klagomål.docx", "A 55871-2025")</f>
        <v/>
      </c>
      <c r="W62">
        <f>HYPERLINK("https://klasma.github.io/Logging_1907/klagomålsmail/A 55871-2025 FSC-klagomål mail.docx", "A 55871-2025")</f>
        <v/>
      </c>
      <c r="X62">
        <f>HYPERLINK("https://klasma.github.io/Logging_1907/tillsyn/A 55871-2025 tillsynsbegäran.docx", "A 55871-2025")</f>
        <v/>
      </c>
      <c r="Y62">
        <f>HYPERLINK("https://klasma.github.io/Logging_1907/tillsynsmail/A 55871-2025 tillsynsbegäran mail.docx", "A 55871-2025")</f>
        <v/>
      </c>
    </row>
    <row r="63" ht="15" customHeight="1">
      <c r="A63" t="inlineStr">
        <is>
          <t>A 56768-2025</t>
        </is>
      </c>
      <c r="B63" s="1" t="n">
        <v>45978</v>
      </c>
      <c r="C63" s="1" t="n">
        <v>46134</v>
      </c>
      <c r="D63" t="inlineStr">
        <is>
          <t>VÄSTMANLANDS LÄN</t>
        </is>
      </c>
      <c r="E63" t="inlineStr">
        <is>
          <t>SURAHAMMAR</t>
        </is>
      </c>
      <c r="F63" t="inlineStr">
        <is>
          <t>Sveaskog</t>
        </is>
      </c>
      <c r="G63" t="n">
        <v>3.8</v>
      </c>
      <c r="H63" t="n">
        <v>0</v>
      </c>
      <c r="I63" t="n">
        <v>0</v>
      </c>
      <c r="J63" t="n">
        <v>1</v>
      </c>
      <c r="K63" t="n">
        <v>0</v>
      </c>
      <c r="L63" t="n">
        <v>0</v>
      </c>
      <c r="M63" t="n">
        <v>0</v>
      </c>
      <c r="N63" t="n">
        <v>0</v>
      </c>
      <c r="O63" t="n">
        <v>1</v>
      </c>
      <c r="P63" t="n">
        <v>0</v>
      </c>
      <c r="Q63" t="n">
        <v>1</v>
      </c>
      <c r="R63" s="2" t="inlineStr">
        <is>
          <t>Motaggsvamp</t>
        </is>
      </c>
      <c r="S63">
        <f>HYPERLINK("https://klasma.github.io/Logging_1907/artfynd/A 56768-2025 artfynd.xlsx", "A 56768-2025")</f>
        <v/>
      </c>
      <c r="T63">
        <f>HYPERLINK("https://klasma.github.io/Logging_1907/kartor/A 56768-2025 karta.png", "A 56768-2025")</f>
        <v/>
      </c>
      <c r="V63">
        <f>HYPERLINK("https://klasma.github.io/Logging_1907/klagomål/A 56768-2025 FSC-klagomål.docx", "A 56768-2025")</f>
        <v/>
      </c>
      <c r="W63">
        <f>HYPERLINK("https://klasma.github.io/Logging_1907/klagomålsmail/A 56768-2025 FSC-klagomål mail.docx", "A 56768-2025")</f>
        <v/>
      </c>
      <c r="X63">
        <f>HYPERLINK("https://klasma.github.io/Logging_1907/tillsyn/A 56768-2025 tillsynsbegäran.docx", "A 56768-2025")</f>
        <v/>
      </c>
      <c r="Y63">
        <f>HYPERLINK("https://klasma.github.io/Logging_1907/tillsynsmail/A 56768-2025 tillsynsbegäran mail.docx", "A 56768-2025")</f>
        <v/>
      </c>
    </row>
    <row r="64" ht="15" customHeight="1">
      <c r="A64" t="inlineStr">
        <is>
          <t>A 40411-2021</t>
        </is>
      </c>
      <c r="B64" s="1" t="n">
        <v>44419</v>
      </c>
      <c r="C64" s="1" t="n">
        <v>46134</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33231-2024</t>
        </is>
      </c>
      <c r="B65" s="1" t="n">
        <v>45518</v>
      </c>
      <c r="C65" s="1" t="n">
        <v>46134</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30074-2023</t>
        </is>
      </c>
      <c r="B66" s="1" t="n">
        <v>45110</v>
      </c>
      <c r="C66" s="1" t="n">
        <v>46134</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30074-2023 artfynd.xlsx", "A 30074-2023")</f>
        <v/>
      </c>
      <c r="T66">
        <f>HYPERLINK("https://klasma.github.io/Logging_1907/kartor/A 30074-2023 karta.png", "A 30074-2023")</f>
        <v/>
      </c>
      <c r="V66">
        <f>HYPERLINK("https://klasma.github.io/Logging_1907/klagomål/A 30074-2023 FSC-klagomål.docx", "A 30074-2023")</f>
        <v/>
      </c>
      <c r="W66">
        <f>HYPERLINK("https://klasma.github.io/Logging_1907/klagomålsmail/A 30074-2023 FSC-klagomål mail.docx", "A 30074-2023")</f>
        <v/>
      </c>
      <c r="X66">
        <f>HYPERLINK("https://klasma.github.io/Logging_1907/tillsyn/A 30074-2023 tillsynsbegäran.docx", "A 30074-2023")</f>
        <v/>
      </c>
      <c r="Y66">
        <f>HYPERLINK("https://klasma.github.io/Logging_1907/tillsynsmail/A 30074-2023 tillsynsbegäran mail.docx", "A 30074-2023")</f>
        <v/>
      </c>
    </row>
    <row r="67" ht="15" customHeight="1">
      <c r="A67" t="inlineStr">
        <is>
          <t>A 31176-2024</t>
        </is>
      </c>
      <c r="B67" s="1" t="n">
        <v>45503</v>
      </c>
      <c r="C67" s="1" t="n">
        <v>46134</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63145-2025</t>
        </is>
      </c>
      <c r="B68" s="1" t="n">
        <v>46009</v>
      </c>
      <c r="C68" s="1" t="n">
        <v>46134</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25583-2024</t>
        </is>
      </c>
      <c r="B69" s="1" t="n">
        <v>45463</v>
      </c>
      <c r="C69" s="1" t="n">
        <v>46134</v>
      </c>
      <c r="D69" t="inlineStr">
        <is>
          <t>VÄSTMANLANDS LÄN</t>
        </is>
      </c>
      <c r="E69" t="inlineStr">
        <is>
          <t>SURAHAMMAR</t>
        </is>
      </c>
      <c r="F69" t="inlineStr">
        <is>
          <t>Bergvik skog väst AB</t>
        </is>
      </c>
      <c r="G69" t="n">
        <v>7.8</v>
      </c>
      <c r="H69" t="n">
        <v>1</v>
      </c>
      <c r="I69" t="n">
        <v>0</v>
      </c>
      <c r="J69" t="n">
        <v>0</v>
      </c>
      <c r="K69" t="n">
        <v>0</v>
      </c>
      <c r="L69" t="n">
        <v>0</v>
      </c>
      <c r="M69" t="n">
        <v>0</v>
      </c>
      <c r="N69" t="n">
        <v>0</v>
      </c>
      <c r="O69" t="n">
        <v>0</v>
      </c>
      <c r="P69" t="n">
        <v>0</v>
      </c>
      <c r="Q69" t="n">
        <v>1</v>
      </c>
      <c r="R69" s="2" t="inlineStr">
        <is>
          <t>Blåsippa</t>
        </is>
      </c>
      <c r="S69">
        <f>HYPERLINK("https://klasma.github.io/Logging_1907/artfynd/A 25583-2024 artfynd.xlsx", "A 25583-2024")</f>
        <v/>
      </c>
      <c r="T69">
        <f>HYPERLINK("https://klasma.github.io/Logging_1907/kartor/A 25583-2024 karta.png", "A 25583-2024")</f>
        <v/>
      </c>
      <c r="V69">
        <f>HYPERLINK("https://klasma.github.io/Logging_1907/klagomål/A 25583-2024 FSC-klagomål.docx", "A 25583-2024")</f>
        <v/>
      </c>
      <c r="W69">
        <f>HYPERLINK("https://klasma.github.io/Logging_1907/klagomålsmail/A 25583-2024 FSC-klagomål mail.docx", "A 25583-2024")</f>
        <v/>
      </c>
      <c r="X69">
        <f>HYPERLINK("https://klasma.github.io/Logging_1907/tillsyn/A 25583-2024 tillsynsbegäran.docx", "A 25583-2024")</f>
        <v/>
      </c>
      <c r="Y69">
        <f>HYPERLINK("https://klasma.github.io/Logging_1907/tillsynsmail/A 25583-2024 tillsynsbegäran mail.docx", "A 25583-2024")</f>
        <v/>
      </c>
    </row>
    <row r="70" ht="15" customHeight="1">
      <c r="A70" t="inlineStr">
        <is>
          <t>A 13971-2023</t>
        </is>
      </c>
      <c r="B70" s="1" t="n">
        <v>45007</v>
      </c>
      <c r="C70" s="1" t="n">
        <v>46134</v>
      </c>
      <c r="D70" t="inlineStr">
        <is>
          <t>VÄSTMANLANDS LÄN</t>
        </is>
      </c>
      <c r="E70" t="inlineStr">
        <is>
          <t>SURAHAMMAR</t>
        </is>
      </c>
      <c r="F70" t="inlineStr">
        <is>
          <t>Bergvik skog väst AB</t>
        </is>
      </c>
      <c r="G70" t="n">
        <v>2.9</v>
      </c>
      <c r="H70" t="n">
        <v>1</v>
      </c>
      <c r="I70" t="n">
        <v>0</v>
      </c>
      <c r="J70" t="n">
        <v>0</v>
      </c>
      <c r="K70" t="n">
        <v>0</v>
      </c>
      <c r="L70" t="n">
        <v>0</v>
      </c>
      <c r="M70" t="n">
        <v>0</v>
      </c>
      <c r="N70" t="n">
        <v>0</v>
      </c>
      <c r="O70" t="n">
        <v>0</v>
      </c>
      <c r="P70" t="n">
        <v>0</v>
      </c>
      <c r="Q70" t="n">
        <v>1</v>
      </c>
      <c r="R70" s="2" t="inlineStr">
        <is>
          <t>Fläcknycklar</t>
        </is>
      </c>
      <c r="S70">
        <f>HYPERLINK("https://klasma.github.io/Logging_1907/artfynd/A 13971-2023 artfynd.xlsx", "A 13971-2023")</f>
        <v/>
      </c>
      <c r="T70">
        <f>HYPERLINK("https://klasma.github.io/Logging_1907/kartor/A 13971-2023 karta.png", "A 13971-2023")</f>
        <v/>
      </c>
      <c r="V70">
        <f>HYPERLINK("https://klasma.github.io/Logging_1907/klagomål/A 13971-2023 FSC-klagomål.docx", "A 13971-2023")</f>
        <v/>
      </c>
      <c r="W70">
        <f>HYPERLINK("https://klasma.github.io/Logging_1907/klagomålsmail/A 13971-2023 FSC-klagomål mail.docx", "A 13971-2023")</f>
        <v/>
      </c>
      <c r="X70">
        <f>HYPERLINK("https://klasma.github.io/Logging_1907/tillsyn/A 13971-2023 tillsynsbegäran.docx", "A 13971-2023")</f>
        <v/>
      </c>
      <c r="Y70">
        <f>HYPERLINK("https://klasma.github.io/Logging_1907/tillsynsmail/A 13971-2023 tillsynsbegäran mail.docx", "A 13971-2023")</f>
        <v/>
      </c>
    </row>
    <row r="71" ht="15" customHeight="1">
      <c r="A71" t="inlineStr">
        <is>
          <t>A 42765-2022</t>
        </is>
      </c>
      <c r="B71" s="1" t="n">
        <v>44832</v>
      </c>
      <c r="C71" s="1" t="n">
        <v>46134</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44356-2024</t>
        </is>
      </c>
      <c r="B72" s="1" t="n">
        <v>45573</v>
      </c>
      <c r="C72" s="1" t="n">
        <v>46134</v>
      </c>
      <c r="D72" t="inlineStr">
        <is>
          <t>VÄSTMANLANDS LÄN</t>
        </is>
      </c>
      <c r="E72" t="inlineStr">
        <is>
          <t>SURAHAMMAR</t>
        </is>
      </c>
      <c r="F72" t="inlineStr">
        <is>
          <t>Sveaskog</t>
        </is>
      </c>
      <c r="G72" t="n">
        <v>0.7</v>
      </c>
      <c r="H72" t="n">
        <v>1</v>
      </c>
      <c r="I72" t="n">
        <v>0</v>
      </c>
      <c r="J72" t="n">
        <v>0</v>
      </c>
      <c r="K72" t="n">
        <v>0</v>
      </c>
      <c r="L72" t="n">
        <v>0</v>
      </c>
      <c r="M72" t="n">
        <v>0</v>
      </c>
      <c r="N72" t="n">
        <v>0</v>
      </c>
      <c r="O72" t="n">
        <v>0</v>
      </c>
      <c r="P72" t="n">
        <v>0</v>
      </c>
      <c r="Q72" t="n">
        <v>1</v>
      </c>
      <c r="R72" s="2" t="inlineStr">
        <is>
          <t>Revlummer</t>
        </is>
      </c>
      <c r="S72">
        <f>HYPERLINK("https://klasma.github.io/Logging_1907/artfynd/A 44356-2024 artfynd.xlsx", "A 44356-2024")</f>
        <v/>
      </c>
      <c r="T72">
        <f>HYPERLINK("https://klasma.github.io/Logging_1907/kartor/A 44356-2024 karta.png", "A 44356-2024")</f>
        <v/>
      </c>
      <c r="V72">
        <f>HYPERLINK("https://klasma.github.io/Logging_1907/klagomål/A 44356-2024 FSC-klagomål.docx", "A 44356-2024")</f>
        <v/>
      </c>
      <c r="W72">
        <f>HYPERLINK("https://klasma.github.io/Logging_1907/klagomålsmail/A 44356-2024 FSC-klagomål mail.docx", "A 44356-2024")</f>
        <v/>
      </c>
      <c r="X72">
        <f>HYPERLINK("https://klasma.github.io/Logging_1907/tillsyn/A 44356-2024 tillsynsbegäran.docx", "A 44356-2024")</f>
        <v/>
      </c>
      <c r="Y72">
        <f>HYPERLINK("https://klasma.github.io/Logging_1907/tillsynsmail/A 44356-2024 tillsynsbegäran mail.docx", "A 44356-2024")</f>
        <v/>
      </c>
    </row>
    <row r="73" ht="15" customHeight="1">
      <c r="A73" t="inlineStr">
        <is>
          <t>A 17632-2022</t>
        </is>
      </c>
      <c r="B73" s="1" t="n">
        <v>44680</v>
      </c>
      <c r="C73" s="1" t="n">
        <v>46134</v>
      </c>
      <c r="D73" t="inlineStr">
        <is>
          <t>VÄSTMANLANDS LÄN</t>
        </is>
      </c>
      <c r="E73" t="inlineStr">
        <is>
          <t>SURAHAMMAR</t>
        </is>
      </c>
      <c r="G73" t="n">
        <v>5.2</v>
      </c>
      <c r="H73" t="n">
        <v>0</v>
      </c>
      <c r="I73" t="n">
        <v>1</v>
      </c>
      <c r="J73" t="n">
        <v>0</v>
      </c>
      <c r="K73" t="n">
        <v>0</v>
      </c>
      <c r="L73" t="n">
        <v>0</v>
      </c>
      <c r="M73" t="n">
        <v>0</v>
      </c>
      <c r="N73" t="n">
        <v>0</v>
      </c>
      <c r="O73" t="n">
        <v>0</v>
      </c>
      <c r="P73" t="n">
        <v>0</v>
      </c>
      <c r="Q73" t="n">
        <v>1</v>
      </c>
      <c r="R73" s="2" t="inlineStr">
        <is>
          <t>Blodticka</t>
        </is>
      </c>
      <c r="S73">
        <f>HYPERLINK("https://klasma.github.io/Logging_1907/artfynd/A 17632-2022 artfynd.xlsx", "A 17632-2022")</f>
        <v/>
      </c>
      <c r="T73">
        <f>HYPERLINK("https://klasma.github.io/Logging_1907/kartor/A 17632-2022 karta.png", "A 17632-2022")</f>
        <v/>
      </c>
      <c r="V73">
        <f>HYPERLINK("https://klasma.github.io/Logging_1907/klagomål/A 17632-2022 FSC-klagomål.docx", "A 17632-2022")</f>
        <v/>
      </c>
      <c r="W73">
        <f>HYPERLINK("https://klasma.github.io/Logging_1907/klagomålsmail/A 17632-2022 FSC-klagomål mail.docx", "A 17632-2022")</f>
        <v/>
      </c>
      <c r="X73">
        <f>HYPERLINK("https://klasma.github.io/Logging_1907/tillsyn/A 17632-2022 tillsynsbegäran.docx", "A 17632-2022")</f>
        <v/>
      </c>
      <c r="Y73">
        <f>HYPERLINK("https://klasma.github.io/Logging_1907/tillsynsmail/A 17632-2022 tillsynsbegäran mail.docx", "A 17632-2022")</f>
        <v/>
      </c>
    </row>
    <row r="74" ht="15" customHeight="1">
      <c r="A74" t="inlineStr">
        <is>
          <t>A 22840-2023</t>
        </is>
      </c>
      <c r="B74" s="1" t="n">
        <v>45072</v>
      </c>
      <c r="C74" s="1" t="n">
        <v>46134</v>
      </c>
      <c r="D74" t="inlineStr">
        <is>
          <t>VÄSTMANLANDS LÄN</t>
        </is>
      </c>
      <c r="E74" t="inlineStr">
        <is>
          <t>SURAHAMMAR</t>
        </is>
      </c>
      <c r="G74" t="n">
        <v>4.3</v>
      </c>
      <c r="H74" t="n">
        <v>1</v>
      </c>
      <c r="I74" t="n">
        <v>0</v>
      </c>
      <c r="J74" t="n">
        <v>0</v>
      </c>
      <c r="K74" t="n">
        <v>0</v>
      </c>
      <c r="L74" t="n">
        <v>0</v>
      </c>
      <c r="M74" t="n">
        <v>0</v>
      </c>
      <c r="N74" t="n">
        <v>0</v>
      </c>
      <c r="O74" t="n">
        <v>0</v>
      </c>
      <c r="P74" t="n">
        <v>0</v>
      </c>
      <c r="Q74" t="n">
        <v>1</v>
      </c>
      <c r="R74" s="2" t="inlineStr">
        <is>
          <t>Fläcknycklar</t>
        </is>
      </c>
      <c r="S74">
        <f>HYPERLINK("https://klasma.github.io/Logging_1907/artfynd/A 22840-2023 artfynd.xlsx", "A 22840-2023")</f>
        <v/>
      </c>
      <c r="T74">
        <f>HYPERLINK("https://klasma.github.io/Logging_1907/kartor/A 22840-2023 karta.png", "A 22840-2023")</f>
        <v/>
      </c>
      <c r="V74">
        <f>HYPERLINK("https://klasma.github.io/Logging_1907/klagomål/A 22840-2023 FSC-klagomål.docx", "A 22840-2023")</f>
        <v/>
      </c>
      <c r="W74">
        <f>HYPERLINK("https://klasma.github.io/Logging_1907/klagomålsmail/A 22840-2023 FSC-klagomål mail.docx", "A 22840-2023")</f>
        <v/>
      </c>
      <c r="X74">
        <f>HYPERLINK("https://klasma.github.io/Logging_1907/tillsyn/A 22840-2023 tillsynsbegäran.docx", "A 22840-2023")</f>
        <v/>
      </c>
      <c r="Y74">
        <f>HYPERLINK("https://klasma.github.io/Logging_1907/tillsynsmail/A 22840-2023 tillsynsbegäran mail.docx", "A 22840-2023")</f>
        <v/>
      </c>
    </row>
    <row r="75" ht="15" customHeight="1">
      <c r="A75" t="inlineStr">
        <is>
          <t>A 43451-2024</t>
        </is>
      </c>
      <c r="B75" s="1" t="n">
        <v>45568</v>
      </c>
      <c r="C75" s="1" t="n">
        <v>46134</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46134</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46134</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46134</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46134</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46134</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46134</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46134</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46134</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46134</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46134</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46134</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46134</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46134</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46134</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46134</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46134</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46134</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46134</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46134</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46134</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46134</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46134</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46134</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43255-2025</t>
        </is>
      </c>
      <c r="B99" s="1" t="n">
        <v>45910.55325231481</v>
      </c>
      <c r="C99" s="1" t="n">
        <v>46134</v>
      </c>
      <c r="D99" t="inlineStr">
        <is>
          <t>VÄSTMANLANDS LÄN</t>
        </is>
      </c>
      <c r="E99" t="inlineStr">
        <is>
          <t>SURAHAMMAR</t>
        </is>
      </c>
      <c r="G99" t="n">
        <v>1.9</v>
      </c>
      <c r="H99" t="n">
        <v>0</v>
      </c>
      <c r="I99" t="n">
        <v>0</v>
      </c>
      <c r="J99" t="n">
        <v>0</v>
      </c>
      <c r="K99" t="n">
        <v>0</v>
      </c>
      <c r="L99" t="n">
        <v>0</v>
      </c>
      <c r="M99" t="n">
        <v>0</v>
      </c>
      <c r="N99" t="n">
        <v>0</v>
      </c>
      <c r="O99" t="n">
        <v>0</v>
      </c>
      <c r="P99" t="n">
        <v>0</v>
      </c>
      <c r="Q99" t="n">
        <v>0</v>
      </c>
      <c r="R99" s="2" t="inlineStr"/>
    </row>
    <row r="100" ht="15" customHeight="1">
      <c r="A100" t="inlineStr">
        <is>
          <t>A 31107-2025</t>
        </is>
      </c>
      <c r="B100" s="1" t="n">
        <v>45831</v>
      </c>
      <c r="C100" s="1" t="n">
        <v>46134</v>
      </c>
      <c r="D100" t="inlineStr">
        <is>
          <t>VÄSTMANLANDS LÄN</t>
        </is>
      </c>
      <c r="E100" t="inlineStr">
        <is>
          <t>SURAHAMMAR</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43249-2025</t>
        </is>
      </c>
      <c r="B101" s="1" t="n">
        <v>45910.55059027778</v>
      </c>
      <c r="C101" s="1" t="n">
        <v>46134</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46134</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19782-2023</t>
        </is>
      </c>
      <c r="B103" s="1" t="n">
        <v>45050</v>
      </c>
      <c r="C103" s="1" t="n">
        <v>46134</v>
      </c>
      <c r="D103" t="inlineStr">
        <is>
          <t>VÄSTMANLANDS LÄN</t>
        </is>
      </c>
      <c r="E103" t="inlineStr">
        <is>
          <t>SURAHAMMAR</t>
        </is>
      </c>
      <c r="F103" t="inlineStr">
        <is>
          <t>Bergvik skog väst AB</t>
        </is>
      </c>
      <c r="G103" t="n">
        <v>5.2</v>
      </c>
      <c r="H103" t="n">
        <v>0</v>
      </c>
      <c r="I103" t="n">
        <v>0</v>
      </c>
      <c r="J103" t="n">
        <v>0</v>
      </c>
      <c r="K103" t="n">
        <v>0</v>
      </c>
      <c r="L103" t="n">
        <v>0</v>
      </c>
      <c r="M103" t="n">
        <v>0</v>
      </c>
      <c r="N103" t="n">
        <v>0</v>
      </c>
      <c r="O103" t="n">
        <v>0</v>
      </c>
      <c r="P103" t="n">
        <v>0</v>
      </c>
      <c r="Q103" t="n">
        <v>0</v>
      </c>
      <c r="R103" s="2" t="inlineStr"/>
    </row>
    <row r="104" ht="15" customHeight="1">
      <c r="A104" t="inlineStr">
        <is>
          <t>A 14626-2023</t>
        </is>
      </c>
      <c r="B104" s="1" t="n">
        <v>45012</v>
      </c>
      <c r="C104" s="1" t="n">
        <v>46134</v>
      </c>
      <c r="D104" t="inlineStr">
        <is>
          <t>VÄSTMANLANDS LÄN</t>
        </is>
      </c>
      <c r="E104" t="inlineStr">
        <is>
          <t>SURAHAMMAR</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8553-2023</t>
        </is>
      </c>
      <c r="B105" s="1" t="n">
        <v>44977</v>
      </c>
      <c r="C105" s="1" t="n">
        <v>46134</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56378-2023</t>
        </is>
      </c>
      <c r="B106" s="1" t="n">
        <v>45236</v>
      </c>
      <c r="C106" s="1" t="n">
        <v>46134</v>
      </c>
      <c r="D106" t="inlineStr">
        <is>
          <t>VÄSTMANLANDS LÄN</t>
        </is>
      </c>
      <c r="E106" t="inlineStr">
        <is>
          <t>SURAHAMMAR</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11728-2023</t>
        </is>
      </c>
      <c r="B107" s="1" t="n">
        <v>44993</v>
      </c>
      <c r="C107" s="1" t="n">
        <v>46134</v>
      </c>
      <c r="D107" t="inlineStr">
        <is>
          <t>VÄSTMANLANDS LÄN</t>
        </is>
      </c>
      <c r="E107" t="inlineStr">
        <is>
          <t>SURAHAMMAR</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46134</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32910-2025</t>
        </is>
      </c>
      <c r="B109" s="1" t="n">
        <v>45839</v>
      </c>
      <c r="C109" s="1" t="n">
        <v>46134</v>
      </c>
      <c r="D109" t="inlineStr">
        <is>
          <t>VÄSTMANLANDS LÄN</t>
        </is>
      </c>
      <c r="E109" t="inlineStr">
        <is>
          <t>SURAHAMMAR</t>
        </is>
      </c>
      <c r="F109" t="inlineStr">
        <is>
          <t>Kommuner</t>
        </is>
      </c>
      <c r="G109" t="n">
        <v>1.1</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46134</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4724-2026</t>
        </is>
      </c>
      <c r="B111" s="1" t="n">
        <v>46048</v>
      </c>
      <c r="C111" s="1" t="n">
        <v>46134</v>
      </c>
      <c r="D111" t="inlineStr">
        <is>
          <t>VÄSTMANLANDS LÄN</t>
        </is>
      </c>
      <c r="E111" t="inlineStr">
        <is>
          <t>SURAHAMMAR</t>
        </is>
      </c>
      <c r="G111" t="n">
        <v>1.7</v>
      </c>
      <c r="H111" t="n">
        <v>0</v>
      </c>
      <c r="I111" t="n">
        <v>0</v>
      </c>
      <c r="J111" t="n">
        <v>0</v>
      </c>
      <c r="K111" t="n">
        <v>0</v>
      </c>
      <c r="L111" t="n">
        <v>0</v>
      </c>
      <c r="M111" t="n">
        <v>0</v>
      </c>
      <c r="N111" t="n">
        <v>0</v>
      </c>
      <c r="O111" t="n">
        <v>0</v>
      </c>
      <c r="P111" t="n">
        <v>0</v>
      </c>
      <c r="Q111" t="n">
        <v>0</v>
      </c>
      <c r="R111" s="2" t="inlineStr"/>
    </row>
    <row r="112" ht="15" customHeight="1">
      <c r="A112" t="inlineStr">
        <is>
          <t>A 4734-2026</t>
        </is>
      </c>
      <c r="B112" s="1" t="n">
        <v>46048</v>
      </c>
      <c r="C112" s="1" t="n">
        <v>46134</v>
      </c>
      <c r="D112" t="inlineStr">
        <is>
          <t>VÄSTMANLANDS LÄN</t>
        </is>
      </c>
      <c r="E112" t="inlineStr">
        <is>
          <t>SURAHAMMAR</t>
        </is>
      </c>
      <c r="G112" t="n">
        <v>0.7</v>
      </c>
      <c r="H112" t="n">
        <v>0</v>
      </c>
      <c r="I112" t="n">
        <v>0</v>
      </c>
      <c r="J112" t="n">
        <v>0</v>
      </c>
      <c r="K112" t="n">
        <v>0</v>
      </c>
      <c r="L112" t="n">
        <v>0</v>
      </c>
      <c r="M112" t="n">
        <v>0</v>
      </c>
      <c r="N112" t="n">
        <v>0</v>
      </c>
      <c r="O112" t="n">
        <v>0</v>
      </c>
      <c r="P112" t="n">
        <v>0</v>
      </c>
      <c r="Q112" t="n">
        <v>0</v>
      </c>
      <c r="R112" s="2" t="inlineStr"/>
    </row>
    <row r="113" ht="15" customHeight="1">
      <c r="A113" t="inlineStr">
        <is>
          <t>A 11501-2023</t>
        </is>
      </c>
      <c r="B113" s="1" t="n">
        <v>44991</v>
      </c>
      <c r="C113" s="1" t="n">
        <v>46134</v>
      </c>
      <c r="D113" t="inlineStr">
        <is>
          <t>VÄSTMANLANDS LÄN</t>
        </is>
      </c>
      <c r="E113" t="inlineStr">
        <is>
          <t>SURAHAMMAR</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16013-2023</t>
        </is>
      </c>
      <c r="B114" s="1" t="n">
        <v>45026</v>
      </c>
      <c r="C114" s="1" t="n">
        <v>46134</v>
      </c>
      <c r="D114" t="inlineStr">
        <is>
          <t>VÄSTMANLANDS LÄN</t>
        </is>
      </c>
      <c r="E114" t="inlineStr">
        <is>
          <t>SURAHAMMAR</t>
        </is>
      </c>
      <c r="G114" t="n">
        <v>3.9</v>
      </c>
      <c r="H114" t="n">
        <v>0</v>
      </c>
      <c r="I114" t="n">
        <v>0</v>
      </c>
      <c r="J114" t="n">
        <v>0</v>
      </c>
      <c r="K114" t="n">
        <v>0</v>
      </c>
      <c r="L114" t="n">
        <v>0</v>
      </c>
      <c r="M114" t="n">
        <v>0</v>
      </c>
      <c r="N114" t="n">
        <v>0</v>
      </c>
      <c r="O114" t="n">
        <v>0</v>
      </c>
      <c r="P114" t="n">
        <v>0</v>
      </c>
      <c r="Q114" t="n">
        <v>0</v>
      </c>
      <c r="R114" s="2" t="inlineStr"/>
    </row>
    <row r="115" ht="15" customHeight="1">
      <c r="A115" t="inlineStr">
        <is>
          <t>A 20904-2023</t>
        </is>
      </c>
      <c r="B115" s="1" t="n">
        <v>45060</v>
      </c>
      <c r="C115" s="1" t="n">
        <v>46134</v>
      </c>
      <c r="D115" t="inlineStr">
        <is>
          <t>VÄSTMANLANDS LÄN</t>
        </is>
      </c>
      <c r="E115" t="inlineStr">
        <is>
          <t>SURAHAMMAR</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42829-2022</t>
        </is>
      </c>
      <c r="B116" s="1" t="n">
        <v>44832</v>
      </c>
      <c r="C116" s="1" t="n">
        <v>46134</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46134</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34955-2022</t>
        </is>
      </c>
      <c r="B118" s="1" t="n">
        <v>44796</v>
      </c>
      <c r="C118" s="1" t="n">
        <v>46134</v>
      </c>
      <c r="D118" t="inlineStr">
        <is>
          <t>VÄSTMANLANDS LÄN</t>
        </is>
      </c>
      <c r="E118" t="inlineStr">
        <is>
          <t>SURAHAMMAR</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46134</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5698-2026</t>
        </is>
      </c>
      <c r="B120" s="1" t="n">
        <v>46051.50196759259</v>
      </c>
      <c r="C120" s="1" t="n">
        <v>46134</v>
      </c>
      <c r="D120" t="inlineStr">
        <is>
          <t>VÄSTMANLANDS LÄN</t>
        </is>
      </c>
      <c r="E120" t="inlineStr">
        <is>
          <t>SURAHAMMAR</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5696-2026</t>
        </is>
      </c>
      <c r="B121" s="1" t="n">
        <v>46051.4975</v>
      </c>
      <c r="C121" s="1" t="n">
        <v>46134</v>
      </c>
      <c r="D121" t="inlineStr">
        <is>
          <t>VÄSTMANLANDS LÄN</t>
        </is>
      </c>
      <c r="E121" t="inlineStr">
        <is>
          <t>SURAHAMMAR</t>
        </is>
      </c>
      <c r="F121" t="inlineStr">
        <is>
          <t>Sveaskog</t>
        </is>
      </c>
      <c r="G121" t="n">
        <v>10.4</v>
      </c>
      <c r="H121" t="n">
        <v>0</v>
      </c>
      <c r="I121" t="n">
        <v>0</v>
      </c>
      <c r="J121" t="n">
        <v>0</v>
      </c>
      <c r="K121" t="n">
        <v>0</v>
      </c>
      <c r="L121" t="n">
        <v>0</v>
      </c>
      <c r="M121" t="n">
        <v>0</v>
      </c>
      <c r="N121" t="n">
        <v>0</v>
      </c>
      <c r="O121" t="n">
        <v>0</v>
      </c>
      <c r="P121" t="n">
        <v>0</v>
      </c>
      <c r="Q121" t="n">
        <v>0</v>
      </c>
      <c r="R121" s="2" t="inlineStr"/>
    </row>
    <row r="122" ht="15" customHeight="1">
      <c r="A122" t="inlineStr">
        <is>
          <t>A 5697-2026</t>
        </is>
      </c>
      <c r="B122" s="1" t="n">
        <v>46051.50020833333</v>
      </c>
      <c r="C122" s="1" t="n">
        <v>46134</v>
      </c>
      <c r="D122" t="inlineStr">
        <is>
          <t>VÄSTMANLANDS LÄN</t>
        </is>
      </c>
      <c r="E122" t="inlineStr">
        <is>
          <t>SURAHAMMAR</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37798-2021</t>
        </is>
      </c>
      <c r="B123" s="1" t="n">
        <v>44402</v>
      </c>
      <c r="C123" s="1" t="n">
        <v>46134</v>
      </c>
      <c r="D123" t="inlineStr">
        <is>
          <t>VÄSTMANLANDS LÄN</t>
        </is>
      </c>
      <c r="E123" t="inlineStr">
        <is>
          <t>SURAHAMMAR</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48205-2023</t>
        </is>
      </c>
      <c r="B124" s="1" t="n">
        <v>45205</v>
      </c>
      <c r="C124" s="1" t="n">
        <v>46134</v>
      </c>
      <c r="D124" t="inlineStr">
        <is>
          <t>VÄSTMANLANDS LÄN</t>
        </is>
      </c>
      <c r="E124" t="inlineStr">
        <is>
          <t>SURAHAMMAR</t>
        </is>
      </c>
      <c r="F124" t="inlineStr">
        <is>
          <t>Allmännings- och besparingsskogar</t>
        </is>
      </c>
      <c r="G124" t="n">
        <v>7.6</v>
      </c>
      <c r="H124" t="n">
        <v>0</v>
      </c>
      <c r="I124" t="n">
        <v>0</v>
      </c>
      <c r="J124" t="n">
        <v>0</v>
      </c>
      <c r="K124" t="n">
        <v>0</v>
      </c>
      <c r="L124" t="n">
        <v>0</v>
      </c>
      <c r="M124" t="n">
        <v>0</v>
      </c>
      <c r="N124" t="n">
        <v>0</v>
      </c>
      <c r="O124" t="n">
        <v>0</v>
      </c>
      <c r="P124" t="n">
        <v>0</v>
      </c>
      <c r="Q124" t="n">
        <v>0</v>
      </c>
      <c r="R124" s="2" t="inlineStr"/>
    </row>
    <row r="125" ht="15" customHeight="1">
      <c r="A125" t="inlineStr">
        <is>
          <t>A 33931-2022</t>
        </is>
      </c>
      <c r="B125" s="1" t="n">
        <v>44790.65153935185</v>
      </c>
      <c r="C125" s="1" t="n">
        <v>46134</v>
      </c>
      <c r="D125" t="inlineStr">
        <is>
          <t>VÄSTMANLANDS LÄN</t>
        </is>
      </c>
      <c r="E125" t="inlineStr">
        <is>
          <t>SURAHAMMAR</t>
        </is>
      </c>
      <c r="G125" t="n">
        <v>2.2</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46134</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55874-2025</t>
        </is>
      </c>
      <c r="B127" s="1" t="n">
        <v>45973.3569212963</v>
      </c>
      <c r="C127" s="1" t="n">
        <v>46134</v>
      </c>
      <c r="D127" t="inlineStr">
        <is>
          <t>VÄSTMANLANDS LÄN</t>
        </is>
      </c>
      <c r="E127" t="inlineStr">
        <is>
          <t>SURAHAMMAR</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55873-2025</t>
        </is>
      </c>
      <c r="B128" s="1" t="n">
        <v>45973.35608796297</v>
      </c>
      <c r="C128" s="1" t="n">
        <v>46134</v>
      </c>
      <c r="D128" t="inlineStr">
        <is>
          <t>VÄSTMANLANDS LÄN</t>
        </is>
      </c>
      <c r="E128" t="inlineStr">
        <is>
          <t>SURAHAMMAR</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22662-2023</t>
        </is>
      </c>
      <c r="B129" s="1" t="n">
        <v>45071</v>
      </c>
      <c r="C129" s="1" t="n">
        <v>46134</v>
      </c>
      <c r="D129" t="inlineStr">
        <is>
          <t>VÄSTMANLANDS LÄN</t>
        </is>
      </c>
      <c r="E129" t="inlineStr">
        <is>
          <t>SURAHAMMAR</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56543-2025</t>
        </is>
      </c>
      <c r="B130" s="1" t="n">
        <v>45975</v>
      </c>
      <c r="C130" s="1" t="n">
        <v>46134</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59399-2025</t>
        </is>
      </c>
      <c r="B131" s="1" t="n">
        <v>45989</v>
      </c>
      <c r="C131" s="1" t="n">
        <v>46134</v>
      </c>
      <c r="D131" t="inlineStr">
        <is>
          <t>VÄSTMANLANDS LÄN</t>
        </is>
      </c>
      <c r="E131" t="inlineStr">
        <is>
          <t>SURAHAMMAR</t>
        </is>
      </c>
      <c r="F131" t="inlineStr">
        <is>
          <t>Kommuner</t>
        </is>
      </c>
      <c r="G131" t="n">
        <v>2.1</v>
      </c>
      <c r="H131" t="n">
        <v>0</v>
      </c>
      <c r="I131" t="n">
        <v>0</v>
      </c>
      <c r="J131" t="n">
        <v>0</v>
      </c>
      <c r="K131" t="n">
        <v>0</v>
      </c>
      <c r="L131" t="n">
        <v>0</v>
      </c>
      <c r="M131" t="n">
        <v>0</v>
      </c>
      <c r="N131" t="n">
        <v>0</v>
      </c>
      <c r="O131" t="n">
        <v>0</v>
      </c>
      <c r="P131" t="n">
        <v>0</v>
      </c>
      <c r="Q131" t="n">
        <v>0</v>
      </c>
      <c r="R131" s="2" t="inlineStr"/>
    </row>
    <row r="132" ht="15" customHeight="1">
      <c r="A132" t="inlineStr">
        <is>
          <t>A 30076-2023</t>
        </is>
      </c>
      <c r="B132" s="1" t="n">
        <v>45110</v>
      </c>
      <c r="C132" s="1" t="n">
        <v>46134</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56541-2025</t>
        </is>
      </c>
      <c r="B133" s="1" t="n">
        <v>45975</v>
      </c>
      <c r="C133" s="1" t="n">
        <v>46134</v>
      </c>
      <c r="D133" t="inlineStr">
        <is>
          <t>VÄSTMANLANDS LÄN</t>
        </is>
      </c>
      <c r="E133" t="inlineStr">
        <is>
          <t>SURAHAMMAR</t>
        </is>
      </c>
      <c r="F133" t="inlineStr">
        <is>
          <t>Sveaskog</t>
        </is>
      </c>
      <c r="G133" t="n">
        <v>7.6</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46134</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63138-2025</t>
        </is>
      </c>
      <c r="B135" s="1" t="n">
        <v>46009</v>
      </c>
      <c r="C135" s="1" t="n">
        <v>46134</v>
      </c>
      <c r="D135" t="inlineStr">
        <is>
          <t>VÄSTMANLANDS LÄN</t>
        </is>
      </c>
      <c r="E135" t="inlineStr">
        <is>
          <t>SURAHAMMAR</t>
        </is>
      </c>
      <c r="F135" t="inlineStr">
        <is>
          <t>Bergvik skog väst AB</t>
        </is>
      </c>
      <c r="G135" t="n">
        <v>2.5</v>
      </c>
      <c r="H135" t="n">
        <v>0</v>
      </c>
      <c r="I135" t="n">
        <v>0</v>
      </c>
      <c r="J135" t="n">
        <v>0</v>
      </c>
      <c r="K135" t="n">
        <v>0</v>
      </c>
      <c r="L135" t="n">
        <v>0</v>
      </c>
      <c r="M135" t="n">
        <v>0</v>
      </c>
      <c r="N135" t="n">
        <v>0</v>
      </c>
      <c r="O135" t="n">
        <v>0</v>
      </c>
      <c r="P135" t="n">
        <v>0</v>
      </c>
      <c r="Q135" t="n">
        <v>0</v>
      </c>
      <c r="R135" s="2" t="inlineStr"/>
    </row>
    <row r="136" ht="15" customHeight="1">
      <c r="A136" t="inlineStr">
        <is>
          <t>A 25450-2024</t>
        </is>
      </c>
      <c r="B136" s="1" t="n">
        <v>45463</v>
      </c>
      <c r="C136" s="1" t="n">
        <v>46134</v>
      </c>
      <c r="D136" t="inlineStr">
        <is>
          <t>VÄSTMANLANDS LÄN</t>
        </is>
      </c>
      <c r="E136" t="inlineStr">
        <is>
          <t>SURAHAMMAR</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10883-2023</t>
        </is>
      </c>
      <c r="B137" s="1" t="n">
        <v>44991</v>
      </c>
      <c r="C137" s="1" t="n">
        <v>46134</v>
      </c>
      <c r="D137" t="inlineStr">
        <is>
          <t>VÄSTMANLANDS LÄN</t>
        </is>
      </c>
      <c r="E137" t="inlineStr">
        <is>
          <t>SURAHAMMAR</t>
        </is>
      </c>
      <c r="F137" t="inlineStr">
        <is>
          <t>Övriga Aktiebolag</t>
        </is>
      </c>
      <c r="G137" t="n">
        <v>12.5</v>
      </c>
      <c r="H137" t="n">
        <v>0</v>
      </c>
      <c r="I137" t="n">
        <v>0</v>
      </c>
      <c r="J137" t="n">
        <v>0</v>
      </c>
      <c r="K137" t="n">
        <v>0</v>
      </c>
      <c r="L137" t="n">
        <v>0</v>
      </c>
      <c r="M137" t="n">
        <v>0</v>
      </c>
      <c r="N137" t="n">
        <v>0</v>
      </c>
      <c r="O137" t="n">
        <v>0</v>
      </c>
      <c r="P137" t="n">
        <v>0</v>
      </c>
      <c r="Q137" t="n">
        <v>0</v>
      </c>
      <c r="R137" s="2" t="inlineStr"/>
    </row>
    <row r="138" ht="15" customHeight="1">
      <c r="A138" t="inlineStr">
        <is>
          <t>A 24665-2023</t>
        </is>
      </c>
      <c r="B138" s="1" t="n">
        <v>45084.48592592592</v>
      </c>
      <c r="C138" s="1" t="n">
        <v>46134</v>
      </c>
      <c r="D138" t="inlineStr">
        <is>
          <t>VÄSTMANLANDS LÄN</t>
        </is>
      </c>
      <c r="E138" t="inlineStr">
        <is>
          <t>SURAHAMMAR</t>
        </is>
      </c>
      <c r="G138" t="n">
        <v>0.9</v>
      </c>
      <c r="H138" t="n">
        <v>0</v>
      </c>
      <c r="I138" t="n">
        <v>0</v>
      </c>
      <c r="J138" t="n">
        <v>0</v>
      </c>
      <c r="K138" t="n">
        <v>0</v>
      </c>
      <c r="L138" t="n">
        <v>0</v>
      </c>
      <c r="M138" t="n">
        <v>0</v>
      </c>
      <c r="N138" t="n">
        <v>0</v>
      </c>
      <c r="O138" t="n">
        <v>0</v>
      </c>
      <c r="P138" t="n">
        <v>0</v>
      </c>
      <c r="Q138" t="n">
        <v>0</v>
      </c>
      <c r="R138" s="2" t="inlineStr"/>
    </row>
    <row r="139" ht="15" customHeight="1">
      <c r="A139" t="inlineStr">
        <is>
          <t>A 24167-2024</t>
        </is>
      </c>
      <c r="B139" s="1" t="n">
        <v>45456</v>
      </c>
      <c r="C139" s="1" t="n">
        <v>46134</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46134</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10244-2026</t>
        </is>
      </c>
      <c r="B141" s="1" t="n">
        <v>46076.55032407407</v>
      </c>
      <c r="C141" s="1" t="n">
        <v>46134</v>
      </c>
      <c r="D141" t="inlineStr">
        <is>
          <t>VÄSTMANLANDS LÄN</t>
        </is>
      </c>
      <c r="E141" t="inlineStr">
        <is>
          <t>SURAHAMMAR</t>
        </is>
      </c>
      <c r="F141" t="inlineStr">
        <is>
          <t>Allmännings- och besparingsskogar</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10512-2026</t>
        </is>
      </c>
      <c r="B142" s="1" t="n">
        <v>46077.56861111111</v>
      </c>
      <c r="C142" s="1" t="n">
        <v>46134</v>
      </c>
      <c r="D142" t="inlineStr">
        <is>
          <t>VÄSTMANLANDS LÄN</t>
        </is>
      </c>
      <c r="E142" t="inlineStr">
        <is>
          <t>SURAHAMMAR</t>
        </is>
      </c>
      <c r="F142" t="inlineStr">
        <is>
          <t>Övriga Aktiebolag</t>
        </is>
      </c>
      <c r="G142" t="n">
        <v>4.3</v>
      </c>
      <c r="H142" t="n">
        <v>0</v>
      </c>
      <c r="I142" t="n">
        <v>0</v>
      </c>
      <c r="J142" t="n">
        <v>0</v>
      </c>
      <c r="K142" t="n">
        <v>0</v>
      </c>
      <c r="L142" t="n">
        <v>0</v>
      </c>
      <c r="M142" t="n">
        <v>0</v>
      </c>
      <c r="N142" t="n">
        <v>0</v>
      </c>
      <c r="O142" t="n">
        <v>0</v>
      </c>
      <c r="P142" t="n">
        <v>0</v>
      </c>
      <c r="Q142" t="n">
        <v>0</v>
      </c>
      <c r="R142" s="2" t="inlineStr"/>
    </row>
    <row r="143" ht="15" customHeight="1">
      <c r="A143" t="inlineStr">
        <is>
          <t>A 10249-2026</t>
        </is>
      </c>
      <c r="B143" s="1" t="n">
        <v>46076.55456018518</v>
      </c>
      <c r="C143" s="1" t="n">
        <v>46134</v>
      </c>
      <c r="D143" t="inlineStr">
        <is>
          <t>VÄSTMANLANDS LÄN</t>
        </is>
      </c>
      <c r="E143" t="inlineStr">
        <is>
          <t>SURAHAMMAR</t>
        </is>
      </c>
      <c r="F143" t="inlineStr">
        <is>
          <t>Allmännings- och besparingsskogar</t>
        </is>
      </c>
      <c r="G143" t="n">
        <v>4.8</v>
      </c>
      <c r="H143" t="n">
        <v>0</v>
      </c>
      <c r="I143" t="n">
        <v>0</v>
      </c>
      <c r="J143" t="n">
        <v>0</v>
      </c>
      <c r="K143" t="n">
        <v>0</v>
      </c>
      <c r="L143" t="n">
        <v>0</v>
      </c>
      <c r="M143" t="n">
        <v>0</v>
      </c>
      <c r="N143" t="n">
        <v>0</v>
      </c>
      <c r="O143" t="n">
        <v>0</v>
      </c>
      <c r="P143" t="n">
        <v>0</v>
      </c>
      <c r="Q143" t="n">
        <v>0</v>
      </c>
      <c r="R143" s="2" t="inlineStr"/>
    </row>
    <row r="144" ht="15" customHeight="1">
      <c r="A144" t="inlineStr">
        <is>
          <t>A 10562-2026</t>
        </is>
      </c>
      <c r="B144" s="1" t="n">
        <v>46077.64043981482</v>
      </c>
      <c r="C144" s="1" t="n">
        <v>46134</v>
      </c>
      <c r="D144" t="inlineStr">
        <is>
          <t>VÄSTMANLANDS LÄN</t>
        </is>
      </c>
      <c r="E144" t="inlineStr">
        <is>
          <t>SURAHAMMAR</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42714-2022</t>
        </is>
      </c>
      <c r="B145" s="1" t="n">
        <v>44832</v>
      </c>
      <c r="C145" s="1" t="n">
        <v>46134</v>
      </c>
      <c r="D145" t="inlineStr">
        <is>
          <t>VÄSTMANLANDS LÄN</t>
        </is>
      </c>
      <c r="E145" t="inlineStr">
        <is>
          <t>SURAHAMMAR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37287-2023</t>
        </is>
      </c>
      <c r="B146" s="1" t="n">
        <v>45156</v>
      </c>
      <c r="C146" s="1" t="n">
        <v>46134</v>
      </c>
      <c r="D146" t="inlineStr">
        <is>
          <t>VÄSTMANLANDS LÄN</t>
        </is>
      </c>
      <c r="E146" t="inlineStr">
        <is>
          <t>SURAHAMMAR</t>
        </is>
      </c>
      <c r="G146" t="n">
        <v>0.6</v>
      </c>
      <c r="H146" t="n">
        <v>0</v>
      </c>
      <c r="I146" t="n">
        <v>0</v>
      </c>
      <c r="J146" t="n">
        <v>0</v>
      </c>
      <c r="K146" t="n">
        <v>0</v>
      </c>
      <c r="L146" t="n">
        <v>0</v>
      </c>
      <c r="M146" t="n">
        <v>0</v>
      </c>
      <c r="N146" t="n">
        <v>0</v>
      </c>
      <c r="O146" t="n">
        <v>0</v>
      </c>
      <c r="P146" t="n">
        <v>0</v>
      </c>
      <c r="Q146" t="n">
        <v>0</v>
      </c>
      <c r="R146" s="2" t="inlineStr"/>
    </row>
    <row r="147" ht="15" customHeight="1">
      <c r="A147" t="inlineStr">
        <is>
          <t>A 49058-2024</t>
        </is>
      </c>
      <c r="B147" s="1" t="n">
        <v>45594</v>
      </c>
      <c r="C147" s="1" t="n">
        <v>46134</v>
      </c>
      <c r="D147" t="inlineStr">
        <is>
          <t>VÄSTMANLANDS LÄN</t>
        </is>
      </c>
      <c r="E147" t="inlineStr">
        <is>
          <t>SURAHAMMAR</t>
        </is>
      </c>
      <c r="F147" t="inlineStr">
        <is>
          <t>Sveaskog</t>
        </is>
      </c>
      <c r="G147" t="n">
        <v>11.4</v>
      </c>
      <c r="H147" t="n">
        <v>0</v>
      </c>
      <c r="I147" t="n">
        <v>0</v>
      </c>
      <c r="J147" t="n">
        <v>0</v>
      </c>
      <c r="K147" t="n">
        <v>0</v>
      </c>
      <c r="L147" t="n">
        <v>0</v>
      </c>
      <c r="M147" t="n">
        <v>0</v>
      </c>
      <c r="N147" t="n">
        <v>0</v>
      </c>
      <c r="O147" t="n">
        <v>0</v>
      </c>
      <c r="P147" t="n">
        <v>0</v>
      </c>
      <c r="Q147" t="n">
        <v>0</v>
      </c>
      <c r="R147" s="2" t="inlineStr"/>
    </row>
    <row r="148" ht="15" customHeight="1">
      <c r="A148" t="inlineStr">
        <is>
          <t>A 49060-2024</t>
        </is>
      </c>
      <c r="B148" s="1" t="n">
        <v>45594</v>
      </c>
      <c r="C148" s="1" t="n">
        <v>46134</v>
      </c>
      <c r="D148" t="inlineStr">
        <is>
          <t>VÄSTMANLANDS LÄN</t>
        </is>
      </c>
      <c r="E148" t="inlineStr">
        <is>
          <t>SURAHAMMAR</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10347-2026</t>
        </is>
      </c>
      <c r="B149" s="1" t="n">
        <v>46076.69101851852</v>
      </c>
      <c r="C149" s="1" t="n">
        <v>46134</v>
      </c>
      <c r="D149" t="inlineStr">
        <is>
          <t>VÄSTMANLANDS LÄN</t>
        </is>
      </c>
      <c r="E149" t="inlineStr">
        <is>
          <t>SURAHAMMAR</t>
        </is>
      </c>
      <c r="F149" t="inlineStr">
        <is>
          <t>Allmännings- och besparingsskogar</t>
        </is>
      </c>
      <c r="G149" t="n">
        <v>3</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46134</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19246-2026</t>
        </is>
      </c>
      <c r="B151" s="1" t="n">
        <v>46132.66501157408</v>
      </c>
      <c r="C151" s="1" t="n">
        <v>46134</v>
      </c>
      <c r="D151" t="inlineStr">
        <is>
          <t>VÄSTMANLANDS LÄN</t>
        </is>
      </c>
      <c r="E151" t="inlineStr">
        <is>
          <t>SURAHAMMAR</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12841-2026</t>
        </is>
      </c>
      <c r="B152" s="1" t="n">
        <v>46091</v>
      </c>
      <c r="C152" s="1" t="n">
        <v>46134</v>
      </c>
      <c r="D152" t="inlineStr">
        <is>
          <t>VÄSTMANLANDS LÄN</t>
        </is>
      </c>
      <c r="E152" t="inlineStr">
        <is>
          <t>SURAHAMMAR</t>
        </is>
      </c>
      <c r="F152" t="inlineStr">
        <is>
          <t>Bergvik skog väst AB</t>
        </is>
      </c>
      <c r="G152" t="n">
        <v>4.3</v>
      </c>
      <c r="H152" t="n">
        <v>0</v>
      </c>
      <c r="I152" t="n">
        <v>0</v>
      </c>
      <c r="J152" t="n">
        <v>0</v>
      </c>
      <c r="K152" t="n">
        <v>0</v>
      </c>
      <c r="L152" t="n">
        <v>0</v>
      </c>
      <c r="M152" t="n">
        <v>0</v>
      </c>
      <c r="N152" t="n">
        <v>0</v>
      </c>
      <c r="O152" t="n">
        <v>0</v>
      </c>
      <c r="P152" t="n">
        <v>0</v>
      </c>
      <c r="Q152" t="n">
        <v>0</v>
      </c>
      <c r="R152" s="2" t="inlineStr"/>
    </row>
    <row r="153" ht="15" customHeight="1">
      <c r="A153" t="inlineStr">
        <is>
          <t>A 25780-2023</t>
        </is>
      </c>
      <c r="B153" s="1" t="n">
        <v>45090.47523148148</v>
      </c>
      <c r="C153" s="1" t="n">
        <v>46134</v>
      </c>
      <c r="D153" t="inlineStr">
        <is>
          <t>VÄSTMANLANDS LÄN</t>
        </is>
      </c>
      <c r="E153" t="inlineStr">
        <is>
          <t>SURAHAMMAR</t>
        </is>
      </c>
      <c r="G153" t="n">
        <v>2.8</v>
      </c>
      <c r="H153" t="n">
        <v>0</v>
      </c>
      <c r="I153" t="n">
        <v>0</v>
      </c>
      <c r="J153" t="n">
        <v>0</v>
      </c>
      <c r="K153" t="n">
        <v>0</v>
      </c>
      <c r="L153" t="n">
        <v>0</v>
      </c>
      <c r="M153" t="n">
        <v>0</v>
      </c>
      <c r="N153" t="n">
        <v>0</v>
      </c>
      <c r="O153" t="n">
        <v>0</v>
      </c>
      <c r="P153" t="n">
        <v>0</v>
      </c>
      <c r="Q153" t="n">
        <v>0</v>
      </c>
      <c r="R153" s="2" t="inlineStr"/>
    </row>
    <row r="154" ht="15" customHeight="1">
      <c r="A154" t="inlineStr">
        <is>
          <t>A 13386-2025</t>
        </is>
      </c>
      <c r="B154" s="1" t="n">
        <v>45735</v>
      </c>
      <c r="C154" s="1" t="n">
        <v>46134</v>
      </c>
      <c r="D154" t="inlineStr">
        <is>
          <t>VÄSTMANLANDS LÄN</t>
        </is>
      </c>
      <c r="E154" t="inlineStr">
        <is>
          <t>SURAHAMMAR</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35682-2022</t>
        </is>
      </c>
      <c r="B155" s="1" t="n">
        <v>44799.60422453703</v>
      </c>
      <c r="C155" s="1" t="n">
        <v>46134</v>
      </c>
      <c r="D155" t="inlineStr">
        <is>
          <t>VÄSTMANLANDS LÄN</t>
        </is>
      </c>
      <c r="E155" t="inlineStr">
        <is>
          <t>SURAHAMMAR</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2867-2024</t>
        </is>
      </c>
      <c r="B156" s="1" t="n">
        <v>45315</v>
      </c>
      <c r="C156" s="1" t="n">
        <v>46134</v>
      </c>
      <c r="D156" t="inlineStr">
        <is>
          <t>VÄSTMANLANDS LÄN</t>
        </is>
      </c>
      <c r="E156" t="inlineStr">
        <is>
          <t>SURAHAMMAR</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2660-2024</t>
        </is>
      </c>
      <c r="B157" s="1" t="n">
        <v>45310</v>
      </c>
      <c r="C157" s="1" t="n">
        <v>46134</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41555-2022</t>
        </is>
      </c>
      <c r="B158" s="1" t="n">
        <v>44826</v>
      </c>
      <c r="C158" s="1" t="n">
        <v>46134</v>
      </c>
      <c r="D158" t="inlineStr">
        <is>
          <t>VÄSTMANLANDS LÄN</t>
        </is>
      </c>
      <c r="E158" t="inlineStr">
        <is>
          <t>SURAHAMMAR</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5567-2022</t>
        </is>
      </c>
      <c r="B159" s="1" t="n">
        <v>44595</v>
      </c>
      <c r="C159" s="1" t="n">
        <v>46134</v>
      </c>
      <c r="D159" t="inlineStr">
        <is>
          <t>VÄSTMANLANDS LÄN</t>
        </is>
      </c>
      <c r="E159" t="inlineStr">
        <is>
          <t>SURAHAMMAR</t>
        </is>
      </c>
      <c r="G159" t="n">
        <v>1.3</v>
      </c>
      <c r="H159" t="n">
        <v>0</v>
      </c>
      <c r="I159" t="n">
        <v>0</v>
      </c>
      <c r="J159" t="n">
        <v>0</v>
      </c>
      <c r="K159" t="n">
        <v>0</v>
      </c>
      <c r="L159" t="n">
        <v>0</v>
      </c>
      <c r="M159" t="n">
        <v>0</v>
      </c>
      <c r="N159" t="n">
        <v>0</v>
      </c>
      <c r="O159" t="n">
        <v>0</v>
      </c>
      <c r="P159" t="n">
        <v>0</v>
      </c>
      <c r="Q159" t="n">
        <v>0</v>
      </c>
      <c r="R159" s="2" t="inlineStr"/>
    </row>
    <row r="160" ht="15" customHeight="1">
      <c r="A160" t="inlineStr">
        <is>
          <t>A 3085-2023</t>
        </is>
      </c>
      <c r="B160" s="1" t="n">
        <v>44946</v>
      </c>
      <c r="C160" s="1" t="n">
        <v>46134</v>
      </c>
      <c r="D160" t="inlineStr">
        <is>
          <t>VÄSTMANLANDS LÄN</t>
        </is>
      </c>
      <c r="E160" t="inlineStr">
        <is>
          <t>SURAHAMMAR</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44608.58400462963</v>
      </c>
      <c r="C161" s="1" t="n">
        <v>46134</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46134</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15743-2023</t>
        </is>
      </c>
      <c r="B163" s="1" t="n">
        <v>45021</v>
      </c>
      <c r="C163" s="1" t="n">
        <v>46134</v>
      </c>
      <c r="D163" t="inlineStr">
        <is>
          <t>VÄSTMANLANDS LÄN</t>
        </is>
      </c>
      <c r="E163" t="inlineStr">
        <is>
          <t>SURAHAMMAR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44662.89638888889</v>
      </c>
      <c r="C164" s="1" t="n">
        <v>46134</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19786-2023</t>
        </is>
      </c>
      <c r="B165" s="1" t="n">
        <v>45050</v>
      </c>
      <c r="C165" s="1" t="n">
        <v>46134</v>
      </c>
      <c r="D165" t="inlineStr">
        <is>
          <t>VÄSTMANLANDS LÄN</t>
        </is>
      </c>
      <c r="E165" t="inlineStr">
        <is>
          <t>SURAHAMMAR</t>
        </is>
      </c>
      <c r="F165" t="inlineStr">
        <is>
          <t>Bergvik skog väst AB</t>
        </is>
      </c>
      <c r="G165" t="n">
        <v>8.1</v>
      </c>
      <c r="H165" t="n">
        <v>0</v>
      </c>
      <c r="I165" t="n">
        <v>0</v>
      </c>
      <c r="J165" t="n">
        <v>0</v>
      </c>
      <c r="K165" t="n">
        <v>0</v>
      </c>
      <c r="L165" t="n">
        <v>0</v>
      </c>
      <c r="M165" t="n">
        <v>0</v>
      </c>
      <c r="N165" t="n">
        <v>0</v>
      </c>
      <c r="O165" t="n">
        <v>0</v>
      </c>
      <c r="P165" t="n">
        <v>0</v>
      </c>
      <c r="Q165" t="n">
        <v>0</v>
      </c>
      <c r="R165" s="2" t="inlineStr"/>
    </row>
    <row r="166" ht="15" customHeight="1">
      <c r="A166" t="inlineStr">
        <is>
          <t>A 7787-2024</t>
        </is>
      </c>
      <c r="B166" s="1" t="n">
        <v>45348</v>
      </c>
      <c r="C166" s="1" t="n">
        <v>46134</v>
      </c>
      <c r="D166" t="inlineStr">
        <is>
          <t>VÄSTMANLANDS LÄN</t>
        </is>
      </c>
      <c r="E166" t="inlineStr">
        <is>
          <t>SURAHAMMAR</t>
        </is>
      </c>
      <c r="G166" t="n">
        <v>1</v>
      </c>
      <c r="H166" t="n">
        <v>0</v>
      </c>
      <c r="I166" t="n">
        <v>0</v>
      </c>
      <c r="J166" t="n">
        <v>0</v>
      </c>
      <c r="K166" t="n">
        <v>0</v>
      </c>
      <c r="L166" t="n">
        <v>0</v>
      </c>
      <c r="M166" t="n">
        <v>0</v>
      </c>
      <c r="N166" t="n">
        <v>0</v>
      </c>
      <c r="O166" t="n">
        <v>0</v>
      </c>
      <c r="P166" t="n">
        <v>0</v>
      </c>
      <c r="Q166" t="n">
        <v>0</v>
      </c>
      <c r="R166" s="2" t="inlineStr"/>
    </row>
    <row r="167" ht="15" customHeight="1">
      <c r="A167" t="inlineStr">
        <is>
          <t>A 15739-2023</t>
        </is>
      </c>
      <c r="B167" s="1" t="n">
        <v>45021</v>
      </c>
      <c r="C167" s="1" t="n">
        <v>46134</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c r="A168" t="inlineStr">
        <is>
          <t>A 38154-2021</t>
        </is>
      </c>
      <c r="B168" s="1" t="n">
        <v>44405.42373842592</v>
      </c>
      <c r="C168" s="1" t="n">
        <v>46134</v>
      </c>
      <c r="D168" t="inlineStr">
        <is>
          <t>VÄSTMANLANDS LÄN</t>
        </is>
      </c>
      <c r="E168" t="inlineStr">
        <is>
          <t>SURAHAMMAR</t>
        </is>
      </c>
      <c r="F168" t="inlineStr">
        <is>
          <t>Sveaskog</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2026-04-22T10:51:40Z</dcterms:created>
  <dcterms:modified xmlns:dcterms="http://purl.org/dc/terms/" xmlns:xsi="http://www.w3.org/2001/XMLSchema-instance" xsi:type="dcterms:W3CDTF">2026-04-22T10:51:41Z</dcterms:modified>
</cp:coreProperties>
</file>