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46031</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46031</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46031</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46031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46031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46031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46031</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46031</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46031</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46031</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25548-2024</t>
        </is>
      </c>
      <c r="B22" s="1" t="n">
        <v>45463</v>
      </c>
      <c r="C22" s="1" t="n">
        <v>46031</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46031</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46031</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46031</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4105-2025</t>
        </is>
      </c>
      <c r="B26" s="1" t="n">
        <v>45684</v>
      </c>
      <c r="C26" s="1" t="n">
        <v>46031</v>
      </c>
      <c r="D26" t="inlineStr">
        <is>
          <t>VÄSTMANLANDS LÄN</t>
        </is>
      </c>
      <c r="E26" t="inlineStr">
        <is>
          <t>SURAHAMMAR</t>
        </is>
      </c>
      <c r="F26" t="inlineStr">
        <is>
          <t>Bergvik skog väst AB</t>
        </is>
      </c>
      <c r="G26" t="n">
        <v>14.7</v>
      </c>
      <c r="H26" t="n">
        <v>3</v>
      </c>
      <c r="I26" t="n">
        <v>0</v>
      </c>
      <c r="J26" t="n">
        <v>2</v>
      </c>
      <c r="K26" t="n">
        <v>1</v>
      </c>
      <c r="L26" t="n">
        <v>0</v>
      </c>
      <c r="M26" t="n">
        <v>0</v>
      </c>
      <c r="N26" t="n">
        <v>0</v>
      </c>
      <c r="O26" t="n">
        <v>3</v>
      </c>
      <c r="P26" t="n">
        <v>1</v>
      </c>
      <c r="Q26" t="n">
        <v>4</v>
      </c>
      <c r="R26" s="2" t="inlineStr">
        <is>
          <t>Knärot
Havsörn
Ullticka
Revlummer</t>
        </is>
      </c>
      <c r="S26">
        <f>HYPERLINK("https://klasma.github.io/Logging_1907/artfynd/A 4105-2025 artfynd.xlsx", "A 4105-2025")</f>
        <v/>
      </c>
      <c r="T26">
        <f>HYPERLINK("https://klasma.github.io/Logging_1907/kartor/A 4105-2025 karta.png", "A 4105-2025")</f>
        <v/>
      </c>
      <c r="U26">
        <f>HYPERLINK("https://klasma.github.io/Logging_1907/knärot/A 4105-2025 karta knärot.png", "A 4105-2025")</f>
        <v/>
      </c>
      <c r="V26">
        <f>HYPERLINK("https://klasma.github.io/Logging_1907/klagomål/A 4105-2025 FSC-klagomål.docx", "A 4105-2025")</f>
        <v/>
      </c>
      <c r="W26">
        <f>HYPERLINK("https://klasma.github.io/Logging_1907/klagomålsmail/A 4105-2025 FSC-klagomål mail.docx", "A 4105-2025")</f>
        <v/>
      </c>
      <c r="X26">
        <f>HYPERLINK("https://klasma.github.io/Logging_1907/tillsyn/A 4105-2025 tillsynsbegäran.docx", "A 4105-2025")</f>
        <v/>
      </c>
      <c r="Y26">
        <f>HYPERLINK("https://klasma.github.io/Logging_1907/tillsynsmail/A 4105-2025 tillsynsbegäran mail.docx", "A 4105-2025")</f>
        <v/>
      </c>
      <c r="Z26">
        <f>HYPERLINK("https://klasma.github.io/Logging_1907/fåglar/A 4105-2025 prioriterade fågelarter.docx", "A 4105-2025")</f>
        <v/>
      </c>
    </row>
    <row r="27" ht="15" customHeight="1">
      <c r="A27" t="inlineStr">
        <is>
          <t>A 21716-2025</t>
        </is>
      </c>
      <c r="B27" s="1" t="n">
        <v>45783.54804398148</v>
      </c>
      <c r="C27" s="1" t="n">
        <v>46031</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42860-2022</t>
        </is>
      </c>
      <c r="B28" s="1" t="n">
        <v>44832</v>
      </c>
      <c r="C28" s="1" t="n">
        <v>46031</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46031</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46031</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46031</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46031</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48128-2023</t>
        </is>
      </c>
      <c r="B33" s="1" t="n">
        <v>45205</v>
      </c>
      <c r="C33" s="1" t="n">
        <v>46031</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8552-2022</t>
        </is>
      </c>
      <c r="B34" s="1" t="n">
        <v>44613</v>
      </c>
      <c r="C34" s="1" t="n">
        <v>46031</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29707-2025</t>
        </is>
      </c>
      <c r="B35" s="1" t="n">
        <v>45825.56100694444</v>
      </c>
      <c r="C35" s="1" t="n">
        <v>46031</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42708-2022</t>
        </is>
      </c>
      <c r="B36" s="1" t="n">
        <v>44832</v>
      </c>
      <c r="C36" s="1" t="n">
        <v>46031</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46031</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46031</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46031</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46031</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46031</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63146-2025</t>
        </is>
      </c>
      <c r="B42" s="1" t="n">
        <v>46009</v>
      </c>
      <c r="C42" s="1" t="n">
        <v>46031</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4082-2025</t>
        </is>
      </c>
      <c r="B43" s="1" t="n">
        <v>45684</v>
      </c>
      <c r="C43" s="1" t="n">
        <v>46031</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46031</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46031</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46031</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46031</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46031</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46031</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56768-2025</t>
        </is>
      </c>
      <c r="B50" s="1" t="n">
        <v>45978</v>
      </c>
      <c r="C50" s="1" t="n">
        <v>46031</v>
      </c>
      <c r="D50" t="inlineStr">
        <is>
          <t>VÄSTMANLANDS LÄN</t>
        </is>
      </c>
      <c r="E50" t="inlineStr">
        <is>
          <t>SURAHAMMAR</t>
        </is>
      </c>
      <c r="F50" t="inlineStr">
        <is>
          <t>Sveaskog</t>
        </is>
      </c>
      <c r="G50" t="n">
        <v>3.8</v>
      </c>
      <c r="H50" t="n">
        <v>0</v>
      </c>
      <c r="I50" t="n">
        <v>0</v>
      </c>
      <c r="J50" t="n">
        <v>1</v>
      </c>
      <c r="K50" t="n">
        <v>0</v>
      </c>
      <c r="L50" t="n">
        <v>0</v>
      </c>
      <c r="M50" t="n">
        <v>0</v>
      </c>
      <c r="N50" t="n">
        <v>0</v>
      </c>
      <c r="O50" t="n">
        <v>1</v>
      </c>
      <c r="P50" t="n">
        <v>0</v>
      </c>
      <c r="Q50" t="n">
        <v>1</v>
      </c>
      <c r="R50" s="2" t="inlineStr">
        <is>
          <t>Motaggsvamp</t>
        </is>
      </c>
      <c r="S50">
        <f>HYPERLINK("https://klasma.github.io/Logging_1907/artfynd/A 56768-2025 artfynd.xlsx", "A 56768-2025")</f>
        <v/>
      </c>
      <c r="T50">
        <f>HYPERLINK("https://klasma.github.io/Logging_1907/kartor/A 56768-2025 karta.png", "A 56768-2025")</f>
        <v/>
      </c>
      <c r="V50">
        <f>HYPERLINK("https://klasma.github.io/Logging_1907/klagomål/A 56768-2025 FSC-klagomål.docx", "A 56768-2025")</f>
        <v/>
      </c>
      <c r="W50">
        <f>HYPERLINK("https://klasma.github.io/Logging_1907/klagomålsmail/A 56768-2025 FSC-klagomål mail.docx", "A 56768-2025")</f>
        <v/>
      </c>
      <c r="X50">
        <f>HYPERLINK("https://klasma.github.io/Logging_1907/tillsyn/A 56768-2025 tillsynsbegäran.docx", "A 56768-2025")</f>
        <v/>
      </c>
      <c r="Y50">
        <f>HYPERLINK("https://klasma.github.io/Logging_1907/tillsynsmail/A 56768-2025 tillsynsbegäran mail.docx", "A 56768-2025")</f>
        <v/>
      </c>
    </row>
    <row r="51" ht="15" customHeight="1">
      <c r="A51" t="inlineStr">
        <is>
          <t>A 56362-2023</t>
        </is>
      </c>
      <c r="B51" s="1" t="n">
        <v>45236</v>
      </c>
      <c r="C51" s="1" t="n">
        <v>46031</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46031</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42089-2025</t>
        </is>
      </c>
      <c r="B53" s="1" t="n">
        <v>45902</v>
      </c>
      <c r="C53" s="1" t="n">
        <v>46031</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13788-2025</t>
        </is>
      </c>
      <c r="B54" s="1" t="n">
        <v>45737.45327546296</v>
      </c>
      <c r="C54" s="1" t="n">
        <v>46031</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69777-2021</t>
        </is>
      </c>
      <c r="B55" s="1" t="n">
        <v>44532</v>
      </c>
      <c r="C55" s="1" t="n">
        <v>46031</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46031</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47453-2024</t>
        </is>
      </c>
      <c r="B57" s="1" t="n">
        <v>45587.55017361111</v>
      </c>
      <c r="C57" s="1" t="n">
        <v>46031</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46031</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55042-2025</t>
        </is>
      </c>
      <c r="B59" s="1" t="n">
        <v>45967.65858796296</v>
      </c>
      <c r="C59" s="1" t="n">
        <v>46031</v>
      </c>
      <c r="D59" t="inlineStr">
        <is>
          <t>VÄSTMANLANDS LÄN</t>
        </is>
      </c>
      <c r="E59" t="inlineStr">
        <is>
          <t>SURAHAMMAR</t>
        </is>
      </c>
      <c r="F59" t="inlineStr">
        <is>
          <t>Sveaskog</t>
        </is>
      </c>
      <c r="G59" t="n">
        <v>7.2</v>
      </c>
      <c r="H59" t="n">
        <v>0</v>
      </c>
      <c r="I59" t="n">
        <v>0</v>
      </c>
      <c r="J59" t="n">
        <v>1</v>
      </c>
      <c r="K59" t="n">
        <v>0</v>
      </c>
      <c r="L59" t="n">
        <v>0</v>
      </c>
      <c r="M59" t="n">
        <v>0</v>
      </c>
      <c r="N59" t="n">
        <v>0</v>
      </c>
      <c r="O59" t="n">
        <v>1</v>
      </c>
      <c r="P59" t="n">
        <v>0</v>
      </c>
      <c r="Q59" t="n">
        <v>1</v>
      </c>
      <c r="R59" s="2" t="inlineStr">
        <is>
          <t>Motaggsvamp</t>
        </is>
      </c>
      <c r="S59">
        <f>HYPERLINK("https://klasma.github.io/Logging_1907/artfynd/A 55042-2025 artfynd.xlsx", "A 55042-2025")</f>
        <v/>
      </c>
      <c r="T59">
        <f>HYPERLINK("https://klasma.github.io/Logging_1907/kartor/A 55042-2025 karta.png", "A 55042-2025")</f>
        <v/>
      </c>
      <c r="V59">
        <f>HYPERLINK("https://klasma.github.io/Logging_1907/klagomål/A 55042-2025 FSC-klagomål.docx", "A 55042-2025")</f>
        <v/>
      </c>
      <c r="W59">
        <f>HYPERLINK("https://klasma.github.io/Logging_1907/klagomålsmail/A 55042-2025 FSC-klagomål mail.docx", "A 55042-2025")</f>
        <v/>
      </c>
      <c r="X59">
        <f>HYPERLINK("https://klasma.github.io/Logging_1907/tillsyn/A 55042-2025 tillsynsbegäran.docx", "A 55042-2025")</f>
        <v/>
      </c>
      <c r="Y59">
        <f>HYPERLINK("https://klasma.github.io/Logging_1907/tillsynsmail/A 55042-2025 tillsynsbegäran mail.docx", "A 55042-2025")</f>
        <v/>
      </c>
    </row>
    <row r="60" ht="15" customHeight="1">
      <c r="A60" t="inlineStr">
        <is>
          <t>A 63145-2025</t>
        </is>
      </c>
      <c r="B60" s="1" t="n">
        <v>46009</v>
      </c>
      <c r="C60" s="1" t="n">
        <v>46031</v>
      </c>
      <c r="D60" t="inlineStr">
        <is>
          <t>VÄSTMANLANDS LÄN</t>
        </is>
      </c>
      <c r="E60" t="inlineStr">
        <is>
          <t>SURAHAMMAR</t>
        </is>
      </c>
      <c r="F60" t="inlineStr">
        <is>
          <t>Bergvik skog väst AB</t>
        </is>
      </c>
      <c r="G60" t="n">
        <v>40.5</v>
      </c>
      <c r="H60" t="n">
        <v>0</v>
      </c>
      <c r="I60" t="n">
        <v>1</v>
      </c>
      <c r="J60" t="n">
        <v>0</v>
      </c>
      <c r="K60" t="n">
        <v>0</v>
      </c>
      <c r="L60" t="n">
        <v>0</v>
      </c>
      <c r="M60" t="n">
        <v>0</v>
      </c>
      <c r="N60" t="n">
        <v>0</v>
      </c>
      <c r="O60" t="n">
        <v>0</v>
      </c>
      <c r="P60" t="n">
        <v>0</v>
      </c>
      <c r="Q60" t="n">
        <v>1</v>
      </c>
      <c r="R60" s="2" t="inlineStr">
        <is>
          <t>Svart trolldruva</t>
        </is>
      </c>
      <c r="S60">
        <f>HYPERLINK("https://klasma.github.io/Logging_1907/artfynd/A 63145-2025 artfynd.xlsx", "A 63145-2025")</f>
        <v/>
      </c>
      <c r="T60">
        <f>HYPERLINK("https://klasma.github.io/Logging_1907/kartor/A 63145-2025 karta.png", "A 63145-2025")</f>
        <v/>
      </c>
      <c r="V60">
        <f>HYPERLINK("https://klasma.github.io/Logging_1907/klagomål/A 63145-2025 FSC-klagomål.docx", "A 63145-2025")</f>
        <v/>
      </c>
      <c r="W60">
        <f>HYPERLINK("https://klasma.github.io/Logging_1907/klagomålsmail/A 63145-2025 FSC-klagomål mail.docx", "A 63145-2025")</f>
        <v/>
      </c>
      <c r="X60">
        <f>HYPERLINK("https://klasma.github.io/Logging_1907/tillsyn/A 63145-2025 tillsynsbegäran.docx", "A 63145-2025")</f>
        <v/>
      </c>
      <c r="Y60">
        <f>HYPERLINK("https://klasma.github.io/Logging_1907/tillsynsmail/A 63145-2025 tillsynsbegäran mail.docx", "A 63145-2025")</f>
        <v/>
      </c>
    </row>
    <row r="61" ht="15" customHeight="1">
      <c r="A61" t="inlineStr">
        <is>
          <t>A 40411-2021</t>
        </is>
      </c>
      <c r="B61" s="1" t="n">
        <v>44419</v>
      </c>
      <c r="C61" s="1" t="n">
        <v>46031</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46031</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46031</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31176-2024</t>
        </is>
      </c>
      <c r="B64" s="1" t="n">
        <v>45503</v>
      </c>
      <c r="C64" s="1" t="n">
        <v>46031</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25583-2024</t>
        </is>
      </c>
      <c r="B65" s="1" t="n">
        <v>45463</v>
      </c>
      <c r="C65" s="1" t="n">
        <v>46031</v>
      </c>
      <c r="D65" t="inlineStr">
        <is>
          <t>VÄSTMANLANDS LÄN</t>
        </is>
      </c>
      <c r="E65" t="inlineStr">
        <is>
          <t>SURAHAMMAR</t>
        </is>
      </c>
      <c r="F65" t="inlineStr">
        <is>
          <t>Bergvik skog väst AB</t>
        </is>
      </c>
      <c r="G65" t="n">
        <v>7.8</v>
      </c>
      <c r="H65" t="n">
        <v>1</v>
      </c>
      <c r="I65" t="n">
        <v>0</v>
      </c>
      <c r="J65" t="n">
        <v>0</v>
      </c>
      <c r="K65" t="n">
        <v>0</v>
      </c>
      <c r="L65" t="n">
        <v>0</v>
      </c>
      <c r="M65" t="n">
        <v>0</v>
      </c>
      <c r="N65" t="n">
        <v>0</v>
      </c>
      <c r="O65" t="n">
        <v>0</v>
      </c>
      <c r="P65" t="n">
        <v>0</v>
      </c>
      <c r="Q65" t="n">
        <v>1</v>
      </c>
      <c r="R65" s="2" t="inlineStr">
        <is>
          <t>Blåsippa</t>
        </is>
      </c>
      <c r="S65">
        <f>HYPERLINK("https://klasma.github.io/Logging_1907/artfynd/A 25583-2024 artfynd.xlsx", "A 25583-2024")</f>
        <v/>
      </c>
      <c r="T65">
        <f>HYPERLINK("https://klasma.github.io/Logging_1907/kartor/A 25583-2024 karta.png", "A 25583-2024")</f>
        <v/>
      </c>
      <c r="V65">
        <f>HYPERLINK("https://klasma.github.io/Logging_1907/klagomål/A 25583-2024 FSC-klagomål.docx", "A 25583-2024")</f>
        <v/>
      </c>
      <c r="W65">
        <f>HYPERLINK("https://klasma.github.io/Logging_1907/klagomålsmail/A 25583-2024 FSC-klagomål mail.docx", "A 25583-2024")</f>
        <v/>
      </c>
      <c r="X65">
        <f>HYPERLINK("https://klasma.github.io/Logging_1907/tillsyn/A 25583-2024 tillsynsbegäran.docx", "A 25583-2024")</f>
        <v/>
      </c>
      <c r="Y65">
        <f>HYPERLINK("https://klasma.github.io/Logging_1907/tillsynsmail/A 25583-2024 tillsynsbegäran mail.docx", "A 25583-2024")</f>
        <v/>
      </c>
    </row>
    <row r="66" ht="15" customHeight="1">
      <c r="A66" t="inlineStr">
        <is>
          <t>A 13971-2023</t>
        </is>
      </c>
      <c r="B66" s="1" t="n">
        <v>45007</v>
      </c>
      <c r="C66" s="1" t="n">
        <v>46031</v>
      </c>
      <c r="D66" t="inlineStr">
        <is>
          <t>VÄSTMANLANDS LÄN</t>
        </is>
      </c>
      <c r="E66" t="inlineStr">
        <is>
          <t>SURAHAMMAR</t>
        </is>
      </c>
      <c r="F66" t="inlineStr">
        <is>
          <t>Bergvik skog väst AB</t>
        </is>
      </c>
      <c r="G66" t="n">
        <v>2.9</v>
      </c>
      <c r="H66" t="n">
        <v>1</v>
      </c>
      <c r="I66" t="n">
        <v>0</v>
      </c>
      <c r="J66" t="n">
        <v>0</v>
      </c>
      <c r="K66" t="n">
        <v>0</v>
      </c>
      <c r="L66" t="n">
        <v>0</v>
      </c>
      <c r="M66" t="n">
        <v>0</v>
      </c>
      <c r="N66" t="n">
        <v>0</v>
      </c>
      <c r="O66" t="n">
        <v>0</v>
      </c>
      <c r="P66" t="n">
        <v>0</v>
      </c>
      <c r="Q66" t="n">
        <v>1</v>
      </c>
      <c r="R66" s="2" t="inlineStr">
        <is>
          <t>Fläcknycklar</t>
        </is>
      </c>
      <c r="S66">
        <f>HYPERLINK("https://klasma.github.io/Logging_1907/artfynd/A 13971-2023 artfynd.xlsx", "A 13971-2023")</f>
        <v/>
      </c>
      <c r="T66">
        <f>HYPERLINK("https://klasma.github.io/Logging_1907/kartor/A 13971-2023 karta.png", "A 13971-2023")</f>
        <v/>
      </c>
      <c r="V66">
        <f>HYPERLINK("https://klasma.github.io/Logging_1907/klagomål/A 13971-2023 FSC-klagomål.docx", "A 13971-2023")</f>
        <v/>
      </c>
      <c r="W66">
        <f>HYPERLINK("https://klasma.github.io/Logging_1907/klagomålsmail/A 13971-2023 FSC-klagomål mail.docx", "A 13971-2023")</f>
        <v/>
      </c>
      <c r="X66">
        <f>HYPERLINK("https://klasma.github.io/Logging_1907/tillsyn/A 13971-2023 tillsynsbegäran.docx", "A 13971-2023")</f>
        <v/>
      </c>
      <c r="Y66">
        <f>HYPERLINK("https://klasma.github.io/Logging_1907/tillsynsmail/A 13971-2023 tillsynsbegäran mail.docx", "A 13971-2023")</f>
        <v/>
      </c>
    </row>
    <row r="67" ht="15" customHeight="1">
      <c r="A67" t="inlineStr">
        <is>
          <t>A 42765-2022</t>
        </is>
      </c>
      <c r="B67" s="1" t="n">
        <v>44832</v>
      </c>
      <c r="C67" s="1" t="n">
        <v>46031</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44356-2024</t>
        </is>
      </c>
      <c r="B68" s="1" t="n">
        <v>45573</v>
      </c>
      <c r="C68" s="1" t="n">
        <v>46031</v>
      </c>
      <c r="D68" t="inlineStr">
        <is>
          <t>VÄSTMANLANDS LÄN</t>
        </is>
      </c>
      <c r="E68" t="inlineStr">
        <is>
          <t>SURAHAMMAR</t>
        </is>
      </c>
      <c r="F68" t="inlineStr">
        <is>
          <t>Sveaskog</t>
        </is>
      </c>
      <c r="G68" t="n">
        <v>0.7</v>
      </c>
      <c r="H68" t="n">
        <v>1</v>
      </c>
      <c r="I68" t="n">
        <v>0</v>
      </c>
      <c r="J68" t="n">
        <v>0</v>
      </c>
      <c r="K68" t="n">
        <v>0</v>
      </c>
      <c r="L68" t="n">
        <v>0</v>
      </c>
      <c r="M68" t="n">
        <v>0</v>
      </c>
      <c r="N68" t="n">
        <v>0</v>
      </c>
      <c r="O68" t="n">
        <v>0</v>
      </c>
      <c r="P68" t="n">
        <v>0</v>
      </c>
      <c r="Q68" t="n">
        <v>1</v>
      </c>
      <c r="R68" s="2" t="inlineStr">
        <is>
          <t>Revlummer</t>
        </is>
      </c>
      <c r="S68">
        <f>HYPERLINK("https://klasma.github.io/Logging_1907/artfynd/A 44356-2024 artfynd.xlsx", "A 44356-2024")</f>
        <v/>
      </c>
      <c r="T68">
        <f>HYPERLINK("https://klasma.github.io/Logging_1907/kartor/A 44356-2024 karta.png", "A 44356-2024")</f>
        <v/>
      </c>
      <c r="V68">
        <f>HYPERLINK("https://klasma.github.io/Logging_1907/klagomål/A 44356-2024 FSC-klagomål.docx", "A 44356-2024")</f>
        <v/>
      </c>
      <c r="W68">
        <f>HYPERLINK("https://klasma.github.io/Logging_1907/klagomålsmail/A 44356-2024 FSC-klagomål mail.docx", "A 44356-2024")</f>
        <v/>
      </c>
      <c r="X68">
        <f>HYPERLINK("https://klasma.github.io/Logging_1907/tillsyn/A 44356-2024 tillsynsbegäran.docx", "A 44356-2024")</f>
        <v/>
      </c>
      <c r="Y68">
        <f>HYPERLINK("https://klasma.github.io/Logging_1907/tillsynsmail/A 44356-2024 tillsynsbegäran mail.docx", "A 44356-2024")</f>
        <v/>
      </c>
    </row>
    <row r="69" ht="15" customHeight="1">
      <c r="A69" t="inlineStr">
        <is>
          <t>A 17632-2022</t>
        </is>
      </c>
      <c r="B69" s="1" t="n">
        <v>44680</v>
      </c>
      <c r="C69" s="1" t="n">
        <v>46031</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22840-2023</t>
        </is>
      </c>
      <c r="B70" s="1" t="n">
        <v>45072</v>
      </c>
      <c r="C70" s="1" t="n">
        <v>46031</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43451-2024</t>
        </is>
      </c>
      <c r="B71" s="1" t="n">
        <v>45568</v>
      </c>
      <c r="C71" s="1" t="n">
        <v>46031</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1492-2021</t>
        </is>
      </c>
      <c r="B72" s="1" t="n">
        <v>44209</v>
      </c>
      <c r="C72" s="1" t="n">
        <v>46031</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64073-2021</t>
        </is>
      </c>
      <c r="B73" s="1" t="n">
        <v>44509</v>
      </c>
      <c r="C73" s="1" t="n">
        <v>46031</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46031</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46031</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46031</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46031</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46031</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46031</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46031</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46031</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46031</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46031</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46031</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46031</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46031</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46031</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46031</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46031</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46031</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46031</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42832-2022</t>
        </is>
      </c>
      <c r="B92" s="1" t="n">
        <v>44832</v>
      </c>
      <c r="C92" s="1" t="n">
        <v>46031</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42841-2022</t>
        </is>
      </c>
      <c r="B93" s="1" t="n">
        <v>44832</v>
      </c>
      <c r="C93" s="1" t="n">
        <v>46031</v>
      </c>
      <c r="D93" t="inlineStr">
        <is>
          <t>VÄSTMANLANDS LÄN</t>
        </is>
      </c>
      <c r="E93" t="inlineStr">
        <is>
          <t>SURAHAMMAR</t>
        </is>
      </c>
      <c r="G93" t="n">
        <v>1.8</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46031</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56543-2025</t>
        </is>
      </c>
      <c r="B95" s="1" t="n">
        <v>45975</v>
      </c>
      <c r="C95" s="1" t="n">
        <v>46031</v>
      </c>
      <c r="D95" t="inlineStr">
        <is>
          <t>VÄSTMANLANDS LÄN</t>
        </is>
      </c>
      <c r="E95" t="inlineStr">
        <is>
          <t>SURAHAMMAR</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15739-2023</t>
        </is>
      </c>
      <c r="B96" s="1" t="n">
        <v>45021</v>
      </c>
      <c r="C96" s="1" t="n">
        <v>46031</v>
      </c>
      <c r="D96" t="inlineStr">
        <is>
          <t>VÄSTMANLANDS LÄN</t>
        </is>
      </c>
      <c r="E96" t="inlineStr">
        <is>
          <t>SURAHAMMAR</t>
        </is>
      </c>
      <c r="G96" t="n">
        <v>1.3</v>
      </c>
      <c r="H96" t="n">
        <v>0</v>
      </c>
      <c r="I96" t="n">
        <v>0</v>
      </c>
      <c r="J96" t="n">
        <v>0</v>
      </c>
      <c r="K96" t="n">
        <v>0</v>
      </c>
      <c r="L96" t="n">
        <v>0</v>
      </c>
      <c r="M96" t="n">
        <v>0</v>
      </c>
      <c r="N96" t="n">
        <v>0</v>
      </c>
      <c r="O96" t="n">
        <v>0</v>
      </c>
      <c r="P96" t="n">
        <v>0</v>
      </c>
      <c r="Q96" t="n">
        <v>0</v>
      </c>
      <c r="R96" s="2" t="inlineStr"/>
    </row>
    <row r="97" ht="15" customHeight="1">
      <c r="A97" t="inlineStr">
        <is>
          <t>A 38154-2021</t>
        </is>
      </c>
      <c r="B97" s="1" t="n">
        <v>44405.42373842592</v>
      </c>
      <c r="C97" s="1" t="n">
        <v>46031</v>
      </c>
      <c r="D97" t="inlineStr">
        <is>
          <t>VÄSTMANLANDS LÄN</t>
        </is>
      </c>
      <c r="E97" t="inlineStr">
        <is>
          <t>SURAHAMMAR</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34582-2025</t>
        </is>
      </c>
      <c r="B98" s="1" t="n">
        <v>45846</v>
      </c>
      <c r="C98" s="1" t="n">
        <v>46031</v>
      </c>
      <c r="D98" t="inlineStr">
        <is>
          <t>VÄSTMANLANDS LÄN</t>
        </is>
      </c>
      <c r="E98" t="inlineStr">
        <is>
          <t>SURAHAMMAR</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46031</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32808-2024</t>
        </is>
      </c>
      <c r="B100" s="1" t="n">
        <v>45516</v>
      </c>
      <c r="C100" s="1" t="n">
        <v>46031</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43255-2025</t>
        </is>
      </c>
      <c r="B101" s="1" t="n">
        <v>45910.55325231481</v>
      </c>
      <c r="C101" s="1" t="n">
        <v>46031</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31107-2025</t>
        </is>
      </c>
      <c r="B102" s="1" t="n">
        <v>45831</v>
      </c>
      <c r="C102" s="1" t="n">
        <v>46031</v>
      </c>
      <c r="D102" t="inlineStr">
        <is>
          <t>VÄSTMANLANDS LÄN</t>
        </is>
      </c>
      <c r="E102" t="inlineStr">
        <is>
          <t>SURAHAMMAR</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43249-2025</t>
        </is>
      </c>
      <c r="B103" s="1" t="n">
        <v>45910.55059027778</v>
      </c>
      <c r="C103" s="1" t="n">
        <v>46031</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3818-2022</t>
        </is>
      </c>
      <c r="B104" s="1" t="n">
        <v>44587</v>
      </c>
      <c r="C104" s="1" t="n">
        <v>46031</v>
      </c>
      <c r="D104" t="inlineStr">
        <is>
          <t>VÄSTMANLANDS LÄN</t>
        </is>
      </c>
      <c r="E104" t="inlineStr">
        <is>
          <t>SURAHAMMAR</t>
        </is>
      </c>
      <c r="G104" t="n">
        <v>2.6</v>
      </c>
      <c r="H104" t="n">
        <v>0</v>
      </c>
      <c r="I104" t="n">
        <v>0</v>
      </c>
      <c r="J104" t="n">
        <v>0</v>
      </c>
      <c r="K104" t="n">
        <v>0</v>
      </c>
      <c r="L104" t="n">
        <v>0</v>
      </c>
      <c r="M104" t="n">
        <v>0</v>
      </c>
      <c r="N104" t="n">
        <v>0</v>
      </c>
      <c r="O104" t="n">
        <v>0</v>
      </c>
      <c r="P104" t="n">
        <v>0</v>
      </c>
      <c r="Q104" t="n">
        <v>0</v>
      </c>
      <c r="R104" s="2" t="inlineStr"/>
    </row>
    <row r="105" ht="15" customHeight="1">
      <c r="A105" t="inlineStr">
        <is>
          <t>A 13119-2022</t>
        </is>
      </c>
      <c r="B105" s="1" t="n">
        <v>44643</v>
      </c>
      <c r="C105" s="1" t="n">
        <v>46031</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46031</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14626-2023</t>
        </is>
      </c>
      <c r="B107" s="1" t="n">
        <v>45012</v>
      </c>
      <c r="C107" s="1" t="n">
        <v>46031</v>
      </c>
      <c r="D107" t="inlineStr">
        <is>
          <t>VÄSTMANLANDS LÄN</t>
        </is>
      </c>
      <c r="E107" t="inlineStr">
        <is>
          <t>SURAHAMMAR</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8553-2023</t>
        </is>
      </c>
      <c r="B108" s="1" t="n">
        <v>44977</v>
      </c>
      <c r="C108" s="1" t="n">
        <v>46031</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46031</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11728-2023</t>
        </is>
      </c>
      <c r="B110" s="1" t="n">
        <v>44993</v>
      </c>
      <c r="C110" s="1" t="n">
        <v>46031</v>
      </c>
      <c r="D110" t="inlineStr">
        <is>
          <t>VÄSTMANLANDS LÄN</t>
        </is>
      </c>
      <c r="E110" t="inlineStr">
        <is>
          <t>SURAHAMMAR</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46031</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46031</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46031</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59399-2025</t>
        </is>
      </c>
      <c r="B114" s="1" t="n">
        <v>45989</v>
      </c>
      <c r="C114" s="1" t="n">
        <v>46031</v>
      </c>
      <c r="D114" t="inlineStr">
        <is>
          <t>VÄSTMANLANDS LÄN</t>
        </is>
      </c>
      <c r="E114" t="inlineStr">
        <is>
          <t>SURAHAMMAR</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42829-2022</t>
        </is>
      </c>
      <c r="B115" s="1" t="n">
        <v>44832</v>
      </c>
      <c r="C115" s="1" t="n">
        <v>46031</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46031</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34584-2025</t>
        </is>
      </c>
      <c r="B117" s="1" t="n">
        <v>45846</v>
      </c>
      <c r="C117" s="1" t="n">
        <v>46031</v>
      </c>
      <c r="D117" t="inlineStr">
        <is>
          <t>VÄSTMANLANDS LÄN</t>
        </is>
      </c>
      <c r="E117" t="inlineStr">
        <is>
          <t>SURAHAMMAR</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46031</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46031</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46031</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32916-2025</t>
        </is>
      </c>
      <c r="B121" s="1" t="n">
        <v>45839</v>
      </c>
      <c r="C121" s="1" t="n">
        <v>46031</v>
      </c>
      <c r="D121" t="inlineStr">
        <is>
          <t>VÄSTMANLANDS LÄN</t>
        </is>
      </c>
      <c r="E121" t="inlineStr">
        <is>
          <t>SURAHAMMAR</t>
        </is>
      </c>
      <c r="F121" t="inlineStr">
        <is>
          <t>Kommuner</t>
        </is>
      </c>
      <c r="G121" t="n">
        <v>4.9</v>
      </c>
      <c r="H121" t="n">
        <v>0</v>
      </c>
      <c r="I121" t="n">
        <v>0</v>
      </c>
      <c r="J121" t="n">
        <v>0</v>
      </c>
      <c r="K121" t="n">
        <v>0</v>
      </c>
      <c r="L121" t="n">
        <v>0</v>
      </c>
      <c r="M121" t="n">
        <v>0</v>
      </c>
      <c r="N121" t="n">
        <v>0</v>
      </c>
      <c r="O121" t="n">
        <v>0</v>
      </c>
      <c r="P121" t="n">
        <v>0</v>
      </c>
      <c r="Q121" t="n">
        <v>0</v>
      </c>
      <c r="R121" s="2" t="inlineStr"/>
    </row>
    <row r="122" ht="15" customHeight="1">
      <c r="A122" t="inlineStr">
        <is>
          <t>A 63138-2025</t>
        </is>
      </c>
      <c r="B122" s="1" t="n">
        <v>46009</v>
      </c>
      <c r="C122" s="1" t="n">
        <v>46031</v>
      </c>
      <c r="D122" t="inlineStr">
        <is>
          <t>VÄSTMANLANDS LÄN</t>
        </is>
      </c>
      <c r="E122" t="inlineStr">
        <is>
          <t>SURAHAMMAR</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33931-2022</t>
        </is>
      </c>
      <c r="B123" s="1" t="n">
        <v>44790.65153935185</v>
      </c>
      <c r="C123" s="1" t="n">
        <v>46031</v>
      </c>
      <c r="D123" t="inlineStr">
        <is>
          <t>VÄSTMANLANDS LÄN</t>
        </is>
      </c>
      <c r="E123" t="inlineStr">
        <is>
          <t>SURAHAMMAR</t>
        </is>
      </c>
      <c r="G123" t="n">
        <v>2.2</v>
      </c>
      <c r="H123" t="n">
        <v>0</v>
      </c>
      <c r="I123" t="n">
        <v>0</v>
      </c>
      <c r="J123" t="n">
        <v>0</v>
      </c>
      <c r="K123" t="n">
        <v>0</v>
      </c>
      <c r="L123" t="n">
        <v>0</v>
      </c>
      <c r="M123" t="n">
        <v>0</v>
      </c>
      <c r="N123" t="n">
        <v>0</v>
      </c>
      <c r="O123" t="n">
        <v>0</v>
      </c>
      <c r="P123" t="n">
        <v>0</v>
      </c>
      <c r="Q123" t="n">
        <v>0</v>
      </c>
      <c r="R123" s="2" t="inlineStr"/>
    </row>
    <row r="124" ht="15" customHeight="1">
      <c r="A124" t="inlineStr">
        <is>
          <t>A 22662-2023</t>
        </is>
      </c>
      <c r="B124" s="1" t="n">
        <v>45071</v>
      </c>
      <c r="C124" s="1" t="n">
        <v>46031</v>
      </c>
      <c r="D124" t="inlineStr">
        <is>
          <t>VÄSTMANLANDS LÄN</t>
        </is>
      </c>
      <c r="E124" t="inlineStr">
        <is>
          <t>SURAHAMMAR</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46031</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46031</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55871-2025</t>
        </is>
      </c>
      <c r="B127" s="1" t="n">
        <v>45973.35452546296</v>
      </c>
      <c r="C127" s="1" t="n">
        <v>46031</v>
      </c>
      <c r="D127" t="inlineStr">
        <is>
          <t>VÄSTMANLANDS LÄN</t>
        </is>
      </c>
      <c r="E127" t="inlineStr">
        <is>
          <t>SURAHAMMAR</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55873-2025</t>
        </is>
      </c>
      <c r="B128" s="1" t="n">
        <v>45973.35608796297</v>
      </c>
      <c r="C128" s="1" t="n">
        <v>46031</v>
      </c>
      <c r="D128" t="inlineStr">
        <is>
          <t>VÄSTMANLANDS LÄN</t>
        </is>
      </c>
      <c r="E128" t="inlineStr">
        <is>
          <t>SURAHAMMAR</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46031</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37013-2025</t>
        </is>
      </c>
      <c r="B130" s="1" t="n">
        <v>45874</v>
      </c>
      <c r="C130" s="1" t="n">
        <v>46031</v>
      </c>
      <c r="D130" t="inlineStr">
        <is>
          <t>VÄSTMANLANDS LÄN</t>
        </is>
      </c>
      <c r="E130" t="inlineStr">
        <is>
          <t>SURAHAMMAR</t>
        </is>
      </c>
      <c r="F130" t="inlineStr">
        <is>
          <t>Bergvik skog väst AB</t>
        </is>
      </c>
      <c r="G130" t="n">
        <v>10.7</v>
      </c>
      <c r="H130" t="n">
        <v>0</v>
      </c>
      <c r="I130" t="n">
        <v>0</v>
      </c>
      <c r="J130" t="n">
        <v>0</v>
      </c>
      <c r="K130" t="n">
        <v>0</v>
      </c>
      <c r="L130" t="n">
        <v>0</v>
      </c>
      <c r="M130" t="n">
        <v>0</v>
      </c>
      <c r="N130" t="n">
        <v>0</v>
      </c>
      <c r="O130" t="n">
        <v>0</v>
      </c>
      <c r="P130" t="n">
        <v>0</v>
      </c>
      <c r="Q130" t="n">
        <v>0</v>
      </c>
      <c r="R130" s="2" t="inlineStr"/>
    </row>
    <row r="131" ht="15" customHeight="1">
      <c r="A131" t="inlineStr">
        <is>
          <t>A 30076-2023</t>
        </is>
      </c>
      <c r="B131" s="1" t="n">
        <v>45110</v>
      </c>
      <c r="C131" s="1" t="n">
        <v>46031</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37954-2025</t>
        </is>
      </c>
      <c r="B132" s="1" t="n">
        <v>45881</v>
      </c>
      <c r="C132" s="1" t="n">
        <v>46031</v>
      </c>
      <c r="D132" t="inlineStr">
        <is>
          <t>VÄSTMANLANDS LÄN</t>
        </is>
      </c>
      <c r="E132" t="inlineStr">
        <is>
          <t>SURAHAMMAR</t>
        </is>
      </c>
      <c r="G132" t="n">
        <v>9.5</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46031</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46031</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46031</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46031</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46031</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46031</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42714-2022</t>
        </is>
      </c>
      <c r="B139" s="1" t="n">
        <v>44832</v>
      </c>
      <c r="C139" s="1" t="n">
        <v>46031</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37287-2023</t>
        </is>
      </c>
      <c r="B140" s="1" t="n">
        <v>45156</v>
      </c>
      <c r="C140" s="1" t="n">
        <v>46031</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46031</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46031</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19099-2022</t>
        </is>
      </c>
      <c r="B143" s="1" t="n">
        <v>44691</v>
      </c>
      <c r="C143" s="1" t="n">
        <v>46031</v>
      </c>
      <c r="D143" t="inlineStr">
        <is>
          <t>VÄSTMANLANDS LÄN</t>
        </is>
      </c>
      <c r="E143" t="inlineStr">
        <is>
          <t>SURAHAMMAR</t>
        </is>
      </c>
      <c r="F143" t="inlineStr">
        <is>
          <t>Övriga Aktiebolag</t>
        </is>
      </c>
      <c r="G143" t="n">
        <v>3.4</v>
      </c>
      <c r="H143" t="n">
        <v>0</v>
      </c>
      <c r="I143" t="n">
        <v>0</v>
      </c>
      <c r="J143" t="n">
        <v>0</v>
      </c>
      <c r="K143" t="n">
        <v>0</v>
      </c>
      <c r="L143" t="n">
        <v>0</v>
      </c>
      <c r="M143" t="n">
        <v>0</v>
      </c>
      <c r="N143" t="n">
        <v>0</v>
      </c>
      <c r="O143" t="n">
        <v>0</v>
      </c>
      <c r="P143" t="n">
        <v>0</v>
      </c>
      <c r="Q143" t="n">
        <v>0</v>
      </c>
      <c r="R143" s="2" t="inlineStr"/>
    </row>
    <row r="144" ht="15" customHeight="1">
      <c r="A144" t="inlineStr">
        <is>
          <t>A 25780-2023</t>
        </is>
      </c>
      <c r="B144" s="1" t="n">
        <v>45090.47523148148</v>
      </c>
      <c r="C144" s="1" t="n">
        <v>46031</v>
      </c>
      <c r="D144" t="inlineStr">
        <is>
          <t>VÄSTMANLANDS LÄN</t>
        </is>
      </c>
      <c r="E144" t="inlineStr">
        <is>
          <t>SURAHAMMAR</t>
        </is>
      </c>
      <c r="G144" t="n">
        <v>2.8</v>
      </c>
      <c r="H144" t="n">
        <v>0</v>
      </c>
      <c r="I144" t="n">
        <v>0</v>
      </c>
      <c r="J144" t="n">
        <v>0</v>
      </c>
      <c r="K144" t="n">
        <v>0</v>
      </c>
      <c r="L144" t="n">
        <v>0</v>
      </c>
      <c r="M144" t="n">
        <v>0</v>
      </c>
      <c r="N144" t="n">
        <v>0</v>
      </c>
      <c r="O144" t="n">
        <v>0</v>
      </c>
      <c r="P144" t="n">
        <v>0</v>
      </c>
      <c r="Q144" t="n">
        <v>0</v>
      </c>
      <c r="R144" s="2" t="inlineStr"/>
    </row>
    <row r="145" ht="15" customHeight="1">
      <c r="A145" t="inlineStr">
        <is>
          <t>A 13386-2025</t>
        </is>
      </c>
      <c r="B145" s="1" t="n">
        <v>45735</v>
      </c>
      <c r="C145" s="1" t="n">
        <v>46031</v>
      </c>
      <c r="D145" t="inlineStr">
        <is>
          <t>VÄSTMANLANDS LÄN</t>
        </is>
      </c>
      <c r="E145" t="inlineStr">
        <is>
          <t>SURAHAMMAR</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35682-2022</t>
        </is>
      </c>
      <c r="B146" s="1" t="n">
        <v>44799.60422453703</v>
      </c>
      <c r="C146" s="1" t="n">
        <v>46031</v>
      </c>
      <c r="D146" t="inlineStr">
        <is>
          <t>VÄSTMANLANDS LÄN</t>
        </is>
      </c>
      <c r="E146" t="inlineStr">
        <is>
          <t>SURAHAMMAR</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2867-2024</t>
        </is>
      </c>
      <c r="B147" s="1" t="n">
        <v>45315</v>
      </c>
      <c r="C147" s="1" t="n">
        <v>46031</v>
      </c>
      <c r="D147" t="inlineStr">
        <is>
          <t>VÄSTMANLANDS LÄN</t>
        </is>
      </c>
      <c r="E147" t="inlineStr">
        <is>
          <t>SURAHAMMAR</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46031</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41555-2022</t>
        </is>
      </c>
      <c r="B149" s="1" t="n">
        <v>44826</v>
      </c>
      <c r="C149" s="1" t="n">
        <v>46031</v>
      </c>
      <c r="D149" t="inlineStr">
        <is>
          <t>VÄSTMANLANDS LÄN</t>
        </is>
      </c>
      <c r="E149" t="inlineStr">
        <is>
          <t>SURAHAMMAR</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5567-2022</t>
        </is>
      </c>
      <c r="B150" s="1" t="n">
        <v>44595</v>
      </c>
      <c r="C150" s="1" t="n">
        <v>46031</v>
      </c>
      <c r="D150" t="inlineStr">
        <is>
          <t>VÄSTMANLANDS LÄN</t>
        </is>
      </c>
      <c r="E150" t="inlineStr">
        <is>
          <t>SURAHAMMAR</t>
        </is>
      </c>
      <c r="G150" t="n">
        <v>1.3</v>
      </c>
      <c r="H150" t="n">
        <v>0</v>
      </c>
      <c r="I150" t="n">
        <v>0</v>
      </c>
      <c r="J150" t="n">
        <v>0</v>
      </c>
      <c r="K150" t="n">
        <v>0</v>
      </c>
      <c r="L150" t="n">
        <v>0</v>
      </c>
      <c r="M150" t="n">
        <v>0</v>
      </c>
      <c r="N150" t="n">
        <v>0</v>
      </c>
      <c r="O150" t="n">
        <v>0</v>
      </c>
      <c r="P150" t="n">
        <v>0</v>
      </c>
      <c r="Q150" t="n">
        <v>0</v>
      </c>
      <c r="R150" s="2" t="inlineStr"/>
    </row>
    <row r="151" ht="15" customHeight="1">
      <c r="A151" t="inlineStr">
        <is>
          <t>A 41576-2022</t>
        </is>
      </c>
      <c r="B151" s="1" t="n">
        <v>44826</v>
      </c>
      <c r="C151" s="1" t="n">
        <v>46031</v>
      </c>
      <c r="D151" t="inlineStr">
        <is>
          <t>VÄSTMANLANDS LÄN</t>
        </is>
      </c>
      <c r="E151" t="inlineStr">
        <is>
          <t>SURAHAMMAR</t>
        </is>
      </c>
      <c r="F151" t="inlineStr">
        <is>
          <t>Bergvik skog väst AB</t>
        </is>
      </c>
      <c r="G151" t="n">
        <v>6.4</v>
      </c>
      <c r="H151" t="n">
        <v>0</v>
      </c>
      <c r="I151" t="n">
        <v>0</v>
      </c>
      <c r="J151" t="n">
        <v>0</v>
      </c>
      <c r="K151" t="n">
        <v>0</v>
      </c>
      <c r="L151" t="n">
        <v>0</v>
      </c>
      <c r="M151" t="n">
        <v>0</v>
      </c>
      <c r="N151" t="n">
        <v>0</v>
      </c>
      <c r="O151" t="n">
        <v>0</v>
      </c>
      <c r="P151" t="n">
        <v>0</v>
      </c>
      <c r="Q151" t="n">
        <v>0</v>
      </c>
      <c r="R151" s="2" t="inlineStr"/>
    </row>
    <row r="152" ht="15" customHeight="1">
      <c r="A152" t="inlineStr">
        <is>
          <t>A 3085-2023</t>
        </is>
      </c>
      <c r="B152" s="1" t="n">
        <v>44946</v>
      </c>
      <c r="C152" s="1" t="n">
        <v>46031</v>
      </c>
      <c r="D152" t="inlineStr">
        <is>
          <t>VÄSTMANLANDS LÄN</t>
        </is>
      </c>
      <c r="E152" t="inlineStr">
        <is>
          <t>SURAHAMMAR</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7848-2022</t>
        </is>
      </c>
      <c r="B153" s="1" t="n">
        <v>44608.58400462963</v>
      </c>
      <c r="C153" s="1" t="n">
        <v>46031</v>
      </c>
      <c r="D153" t="inlineStr">
        <is>
          <t>VÄSTMANLANDS LÄN</t>
        </is>
      </c>
      <c r="E153" t="inlineStr">
        <is>
          <t>SURAHAMMAR</t>
        </is>
      </c>
      <c r="G153" t="n">
        <v>2.1</v>
      </c>
      <c r="H153" t="n">
        <v>0</v>
      </c>
      <c r="I153" t="n">
        <v>0</v>
      </c>
      <c r="J153" t="n">
        <v>0</v>
      </c>
      <c r="K153" t="n">
        <v>0</v>
      </c>
      <c r="L153" t="n">
        <v>0</v>
      </c>
      <c r="M153" t="n">
        <v>0</v>
      </c>
      <c r="N153" t="n">
        <v>0</v>
      </c>
      <c r="O153" t="n">
        <v>0</v>
      </c>
      <c r="P153" t="n">
        <v>0</v>
      </c>
      <c r="Q153" t="n">
        <v>0</v>
      </c>
      <c r="R153" s="2" t="inlineStr"/>
    </row>
    <row r="154" ht="15" customHeight="1">
      <c r="A154" t="inlineStr">
        <is>
          <t>A 16608-2022</t>
        </is>
      </c>
      <c r="B154" s="1" t="n">
        <v>44672</v>
      </c>
      <c r="C154" s="1" t="n">
        <v>46031</v>
      </c>
      <c r="D154" t="inlineStr">
        <is>
          <t>VÄSTMANLANDS LÄN</t>
        </is>
      </c>
      <c r="E154" t="inlineStr">
        <is>
          <t>SURAHAMMAR</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15743-2023</t>
        </is>
      </c>
      <c r="B155" s="1" t="n">
        <v>45021</v>
      </c>
      <c r="C155" s="1" t="n">
        <v>46031</v>
      </c>
      <c r="D155" t="inlineStr">
        <is>
          <t>VÄSTMANLANDS LÄN</t>
        </is>
      </c>
      <c r="E155" t="inlineStr">
        <is>
          <t>SURAHAMMAR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15637-2022</t>
        </is>
      </c>
      <c r="B156" s="1" t="n">
        <v>44662.89638888889</v>
      </c>
      <c r="C156" s="1" t="n">
        <v>46031</v>
      </c>
      <c r="D156" t="inlineStr">
        <is>
          <t>VÄSTMANLANDS LÄN</t>
        </is>
      </c>
      <c r="E156" t="inlineStr">
        <is>
          <t>SURAHAMMAR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19786-2023</t>
        </is>
      </c>
      <c r="B157" s="1" t="n">
        <v>45050</v>
      </c>
      <c r="C157" s="1" t="n">
        <v>46031</v>
      </c>
      <c r="D157" t="inlineStr">
        <is>
          <t>VÄSTMANLANDS LÄN</t>
        </is>
      </c>
      <c r="E157" t="inlineStr">
        <is>
          <t>SURAHAMMAR</t>
        </is>
      </c>
      <c r="F157" t="inlineStr">
        <is>
          <t>Bergvik skog väst AB</t>
        </is>
      </c>
      <c r="G157" t="n">
        <v>8.1</v>
      </c>
      <c r="H157" t="n">
        <v>0</v>
      </c>
      <c r="I157" t="n">
        <v>0</v>
      </c>
      <c r="J157" t="n">
        <v>0</v>
      </c>
      <c r="K157" t="n">
        <v>0</v>
      </c>
      <c r="L157" t="n">
        <v>0</v>
      </c>
      <c r="M157" t="n">
        <v>0</v>
      </c>
      <c r="N157" t="n">
        <v>0</v>
      </c>
      <c r="O157" t="n">
        <v>0</v>
      </c>
      <c r="P157" t="n">
        <v>0</v>
      </c>
      <c r="Q157" t="n">
        <v>0</v>
      </c>
      <c r="R157" s="2" t="inlineStr"/>
    </row>
    <row r="158">
      <c r="A158" t="inlineStr">
        <is>
          <t>A 7787-2024</t>
        </is>
      </c>
      <c r="B158" s="1" t="n">
        <v>45348</v>
      </c>
      <c r="C158" s="1" t="n">
        <v>46031</v>
      </c>
      <c r="D158" t="inlineStr">
        <is>
          <t>VÄSTMANLANDS LÄN</t>
        </is>
      </c>
      <c r="E158" t="inlineStr">
        <is>
          <t>SURAHAMMAR</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2026-01-09T10:49:40Z</dcterms:created>
  <dcterms:modified xmlns:dcterms="http://purl.org/dc/terms/" xmlns:xsi="http://www.w3.org/2001/XMLSchema-instance" xsi:type="dcterms:W3CDTF">2026-01-09T10:49:40Z</dcterms:modified>
</cp:coreProperties>
</file>