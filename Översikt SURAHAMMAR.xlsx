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46088</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46088</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46088</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46088</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46088</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46088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46088</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46088</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46088</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46088</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46088</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46088</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46088</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46088</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38172-2024</t>
        </is>
      </c>
      <c r="B21" s="1" t="n">
        <v>45545</v>
      </c>
      <c r="C21" s="1" t="n">
        <v>46088</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46088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46088</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46088</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10236-2026</t>
        </is>
      </c>
      <c r="B25" s="1" t="n">
        <v>46076.54277777778</v>
      </c>
      <c r="C25" s="1" t="n">
        <v>46088</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48891-2023</t>
        </is>
      </c>
      <c r="B26" s="1" t="n">
        <v>45203</v>
      </c>
      <c r="C26" s="1" t="n">
        <v>46088</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46088</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46088</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46088</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46088</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42708-2022</t>
        </is>
      </c>
      <c r="B31" s="1" t="n">
        <v>44832</v>
      </c>
      <c r="C31" s="1" t="n">
        <v>46088</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39694-2025</t>
        </is>
      </c>
      <c r="B32" s="1" t="n">
        <v>45890</v>
      </c>
      <c r="C32" s="1" t="n">
        <v>46088</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46088</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46088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46088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46088</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46088</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4082-2025</t>
        </is>
      </c>
      <c r="B38" s="1" t="n">
        <v>45684</v>
      </c>
      <c r="C38" s="1" t="n">
        <v>46088</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46088</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46088</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46088</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46088</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41576-2022</t>
        </is>
      </c>
      <c r="B43" s="1" t="n">
        <v>44826</v>
      </c>
      <c r="C43" s="1" t="n">
        <v>46088</v>
      </c>
      <c r="D43" t="inlineStr">
        <is>
          <t>VÄSTMANLANDS LÄN</t>
        </is>
      </c>
      <c r="E43" t="inlineStr">
        <is>
          <t>SURAHAMMAR</t>
        </is>
      </c>
      <c r="F43" t="inlineStr">
        <is>
          <t>Bergvik skog väst AB</t>
        </is>
      </c>
      <c r="G43" t="n">
        <v>6.4</v>
      </c>
      <c r="H43" t="n">
        <v>2</v>
      </c>
      <c r="I43" t="n">
        <v>0</v>
      </c>
      <c r="J43" t="n">
        <v>1</v>
      </c>
      <c r="K43" t="n">
        <v>0</v>
      </c>
      <c r="L43" t="n">
        <v>0</v>
      </c>
      <c r="M43" t="n">
        <v>0</v>
      </c>
      <c r="N43" t="n">
        <v>0</v>
      </c>
      <c r="O43" t="n">
        <v>1</v>
      </c>
      <c r="P43" t="n">
        <v>0</v>
      </c>
      <c r="Q43" t="n">
        <v>2</v>
      </c>
      <c r="R43" s="2" t="inlineStr">
        <is>
          <t>Talltita
Kungsfågel</t>
        </is>
      </c>
      <c r="S43">
        <f>HYPERLINK("https://klasma.github.io/Logging_1907/artfynd/A 41576-2022 artfynd.xlsx", "A 41576-2022")</f>
        <v/>
      </c>
      <c r="T43">
        <f>HYPERLINK("https://klasma.github.io/Logging_1907/kartor/A 41576-2022 karta.png", "A 41576-2022")</f>
        <v/>
      </c>
      <c r="V43">
        <f>HYPERLINK("https://klasma.github.io/Logging_1907/klagomål/A 41576-2022 FSC-klagomål.docx", "A 41576-2022")</f>
        <v/>
      </c>
      <c r="W43">
        <f>HYPERLINK("https://klasma.github.io/Logging_1907/klagomålsmail/A 41576-2022 FSC-klagomål mail.docx", "A 41576-2022")</f>
        <v/>
      </c>
      <c r="X43">
        <f>HYPERLINK("https://klasma.github.io/Logging_1907/tillsyn/A 41576-2022 tillsynsbegäran.docx", "A 41576-2022")</f>
        <v/>
      </c>
      <c r="Y43">
        <f>HYPERLINK("https://klasma.github.io/Logging_1907/tillsynsmail/A 41576-2022 tillsynsbegäran mail.docx", "A 41576-2022")</f>
        <v/>
      </c>
      <c r="Z43">
        <f>HYPERLINK("https://klasma.github.io/Logging_1907/fåglar/A 41576-2022 prioriterade fågelarter.docx", "A 41576-2022")</f>
        <v/>
      </c>
    </row>
    <row r="44" ht="15" customHeight="1">
      <c r="A44" t="inlineStr">
        <is>
          <t>A 62097-2024</t>
        </is>
      </c>
      <c r="B44" s="1" t="n">
        <v>45646</v>
      </c>
      <c r="C44" s="1" t="n">
        <v>46088</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63146-2025</t>
        </is>
      </c>
      <c r="B45" s="1" t="n">
        <v>46009</v>
      </c>
      <c r="C45" s="1" t="n">
        <v>46088</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37800-2021</t>
        </is>
      </c>
      <c r="B46" s="1" t="n">
        <v>44402</v>
      </c>
      <c r="C46" s="1" t="n">
        <v>46088</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46088</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46088</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46088</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46088</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46088</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46088</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46088</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13788-2025</t>
        </is>
      </c>
      <c r="B54" s="1" t="n">
        <v>45737.45327546296</v>
      </c>
      <c r="C54" s="1" t="n">
        <v>46088</v>
      </c>
      <c r="D54" t="inlineStr">
        <is>
          <t>VÄSTMANLANDS LÄN</t>
        </is>
      </c>
      <c r="E54" t="inlineStr">
        <is>
          <t>SURAHAMMAR</t>
        </is>
      </c>
      <c r="G54" t="n">
        <v>9.699999999999999</v>
      </c>
      <c r="H54" t="n">
        <v>1</v>
      </c>
      <c r="I54" t="n">
        <v>0</v>
      </c>
      <c r="J54" t="n">
        <v>0</v>
      </c>
      <c r="K54" t="n">
        <v>0</v>
      </c>
      <c r="L54" t="n">
        <v>0</v>
      </c>
      <c r="M54" t="n">
        <v>0</v>
      </c>
      <c r="N54" t="n">
        <v>0</v>
      </c>
      <c r="O54" t="n">
        <v>0</v>
      </c>
      <c r="P54" t="n">
        <v>0</v>
      </c>
      <c r="Q54" t="n">
        <v>1</v>
      </c>
      <c r="R54" s="2" t="inlineStr">
        <is>
          <t>Sparvuggla</t>
        </is>
      </c>
      <c r="S54">
        <f>HYPERLINK("https://klasma.github.io/Logging_1907/artfynd/A 13788-2025 artfynd.xlsx", "A 13788-2025")</f>
        <v/>
      </c>
      <c r="T54">
        <f>HYPERLINK("https://klasma.github.io/Logging_1907/kartor/A 13788-2025 karta.png", "A 13788-2025")</f>
        <v/>
      </c>
      <c r="V54">
        <f>HYPERLINK("https://klasma.github.io/Logging_1907/klagomål/A 13788-2025 FSC-klagomål.docx", "A 13788-2025")</f>
        <v/>
      </c>
      <c r="W54">
        <f>HYPERLINK("https://klasma.github.io/Logging_1907/klagomålsmail/A 13788-2025 FSC-klagomål mail.docx", "A 13788-2025")</f>
        <v/>
      </c>
      <c r="X54">
        <f>HYPERLINK("https://klasma.github.io/Logging_1907/tillsyn/A 13788-2025 tillsynsbegäran.docx", "A 13788-2025")</f>
        <v/>
      </c>
      <c r="Y54">
        <f>HYPERLINK("https://klasma.github.io/Logging_1907/tillsynsmail/A 13788-2025 tillsynsbegäran mail.docx", "A 13788-2025")</f>
        <v/>
      </c>
      <c r="Z54">
        <f>HYPERLINK("https://klasma.github.io/Logging_1907/fåglar/A 13788-2025 prioriterade fågelarter.docx", "A 13788-2025")</f>
        <v/>
      </c>
    </row>
    <row r="55" ht="15" customHeight="1">
      <c r="A55" t="inlineStr">
        <is>
          <t>A 34582-2025</t>
        </is>
      </c>
      <c r="B55" s="1" t="n">
        <v>45846</v>
      </c>
      <c r="C55" s="1" t="n">
        <v>46088</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56362-2023</t>
        </is>
      </c>
      <c r="B56" s="1" t="n">
        <v>45236</v>
      </c>
      <c r="C56" s="1" t="n">
        <v>46088</v>
      </c>
      <c r="D56" t="inlineStr">
        <is>
          <t>VÄSTMANLANDS LÄN</t>
        </is>
      </c>
      <c r="E56" t="inlineStr">
        <is>
          <t>SURAHAMMAR</t>
        </is>
      </c>
      <c r="F56" t="inlineStr">
        <is>
          <t>Bergvik skog väst AB</t>
        </is>
      </c>
      <c r="G56" t="n">
        <v>15.2</v>
      </c>
      <c r="H56" t="n">
        <v>0</v>
      </c>
      <c r="I56" t="n">
        <v>1</v>
      </c>
      <c r="J56" t="n">
        <v>0</v>
      </c>
      <c r="K56" t="n">
        <v>0</v>
      </c>
      <c r="L56" t="n">
        <v>0</v>
      </c>
      <c r="M56" t="n">
        <v>0</v>
      </c>
      <c r="N56" t="n">
        <v>0</v>
      </c>
      <c r="O56" t="n">
        <v>0</v>
      </c>
      <c r="P56" t="n">
        <v>0</v>
      </c>
      <c r="Q56" t="n">
        <v>1</v>
      </c>
      <c r="R56" s="2" t="inlineStr">
        <is>
          <t>Grönpyrola</t>
        </is>
      </c>
      <c r="S56">
        <f>HYPERLINK("https://klasma.github.io/Logging_1907/artfynd/A 56362-2023 artfynd.xlsx", "A 56362-2023")</f>
        <v/>
      </c>
      <c r="T56">
        <f>HYPERLINK("https://klasma.github.io/Logging_1907/kartor/A 56362-2023 karta.png", "A 56362-2023")</f>
        <v/>
      </c>
      <c r="V56">
        <f>HYPERLINK("https://klasma.github.io/Logging_1907/klagomål/A 56362-2023 FSC-klagomål.docx", "A 56362-2023")</f>
        <v/>
      </c>
      <c r="W56">
        <f>HYPERLINK("https://klasma.github.io/Logging_1907/klagomålsmail/A 56362-2023 FSC-klagomål mail.docx", "A 56362-2023")</f>
        <v/>
      </c>
      <c r="X56">
        <f>HYPERLINK("https://klasma.github.io/Logging_1907/tillsyn/A 56362-2023 tillsynsbegäran.docx", "A 56362-2023")</f>
        <v/>
      </c>
      <c r="Y56">
        <f>HYPERLINK("https://klasma.github.io/Logging_1907/tillsynsmail/A 56362-2023 tillsynsbegäran mail.docx", "A 56362-2023")</f>
        <v/>
      </c>
    </row>
    <row r="57" ht="15" customHeight="1">
      <c r="A57" t="inlineStr">
        <is>
          <t>A 47453-2024</t>
        </is>
      </c>
      <c r="B57" s="1" t="n">
        <v>45587.55017361111</v>
      </c>
      <c r="C57" s="1" t="n">
        <v>46088</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42089-2025</t>
        </is>
      </c>
      <c r="B58" s="1" t="n">
        <v>45902</v>
      </c>
      <c r="C58" s="1" t="n">
        <v>46088</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25583-2024</t>
        </is>
      </c>
      <c r="B59" s="1" t="n">
        <v>45463</v>
      </c>
      <c r="C59" s="1" t="n">
        <v>46088</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46088</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42765-2022</t>
        </is>
      </c>
      <c r="B61" s="1" t="n">
        <v>44832</v>
      </c>
      <c r="C61" s="1" t="n">
        <v>46088</v>
      </c>
      <c r="D61" t="inlineStr">
        <is>
          <t>VÄSTMANLANDS LÄN</t>
        </is>
      </c>
      <c r="E61" t="inlineStr">
        <is>
          <t>SURAHAMMAR</t>
        </is>
      </c>
      <c r="G61" t="n">
        <v>1.8</v>
      </c>
      <c r="H61" t="n">
        <v>1</v>
      </c>
      <c r="I61" t="n">
        <v>0</v>
      </c>
      <c r="J61" t="n">
        <v>0</v>
      </c>
      <c r="K61" t="n">
        <v>0</v>
      </c>
      <c r="L61" t="n">
        <v>0</v>
      </c>
      <c r="M61" t="n">
        <v>0</v>
      </c>
      <c r="N61" t="n">
        <v>0</v>
      </c>
      <c r="O61" t="n">
        <v>0</v>
      </c>
      <c r="P61" t="n">
        <v>0</v>
      </c>
      <c r="Q61" t="n">
        <v>1</v>
      </c>
      <c r="R61" s="2" t="inlineStr">
        <is>
          <t>Blåsippa</t>
        </is>
      </c>
      <c r="S61">
        <f>HYPERLINK("https://klasma.github.io/Logging_1907/artfynd/A 42765-2022 artfynd.xlsx", "A 42765-2022")</f>
        <v/>
      </c>
      <c r="T61">
        <f>HYPERLINK("https://klasma.github.io/Logging_1907/kartor/A 42765-2022 karta.png", "A 42765-2022")</f>
        <v/>
      </c>
      <c r="V61">
        <f>HYPERLINK("https://klasma.github.io/Logging_1907/klagomål/A 42765-2022 FSC-klagomål.docx", "A 42765-2022")</f>
        <v/>
      </c>
      <c r="W61">
        <f>HYPERLINK("https://klasma.github.io/Logging_1907/klagomålsmail/A 42765-2022 FSC-klagomål mail.docx", "A 42765-2022")</f>
        <v/>
      </c>
      <c r="X61">
        <f>HYPERLINK("https://klasma.github.io/Logging_1907/tillsyn/A 42765-2022 tillsynsbegäran.docx", "A 42765-2022")</f>
        <v/>
      </c>
      <c r="Y61">
        <f>HYPERLINK("https://klasma.github.io/Logging_1907/tillsynsmail/A 42765-2022 tillsynsbegäran mail.docx", "A 42765-2022")</f>
        <v/>
      </c>
    </row>
    <row r="62" ht="15" customHeight="1">
      <c r="A62" t="inlineStr">
        <is>
          <t>A 10819-2024</t>
        </is>
      </c>
      <c r="B62" s="1" t="n">
        <v>45369.66049768519</v>
      </c>
      <c r="C62" s="1" t="n">
        <v>46088</v>
      </c>
      <c r="D62" t="inlineStr">
        <is>
          <t>VÄSTMANLANDS LÄN</t>
        </is>
      </c>
      <c r="E62" t="inlineStr">
        <is>
          <t>SURAHAMMAR</t>
        </is>
      </c>
      <c r="G62" t="n">
        <v>2</v>
      </c>
      <c r="H62" t="n">
        <v>0</v>
      </c>
      <c r="I62" t="n">
        <v>1</v>
      </c>
      <c r="J62" t="n">
        <v>0</v>
      </c>
      <c r="K62" t="n">
        <v>0</v>
      </c>
      <c r="L62" t="n">
        <v>0</v>
      </c>
      <c r="M62" t="n">
        <v>0</v>
      </c>
      <c r="N62" t="n">
        <v>0</v>
      </c>
      <c r="O62" t="n">
        <v>0</v>
      </c>
      <c r="P62" t="n">
        <v>0</v>
      </c>
      <c r="Q62" t="n">
        <v>1</v>
      </c>
      <c r="R62" s="2" t="inlineStr">
        <is>
          <t>Tibast</t>
        </is>
      </c>
      <c r="S62">
        <f>HYPERLINK("https://klasma.github.io/Logging_1907/artfynd/A 10819-2024 artfynd.xlsx", "A 10819-2024")</f>
        <v/>
      </c>
      <c r="T62">
        <f>HYPERLINK("https://klasma.github.io/Logging_1907/kartor/A 10819-2024 karta.png", "A 10819-2024")</f>
        <v/>
      </c>
      <c r="V62">
        <f>HYPERLINK("https://klasma.github.io/Logging_1907/klagomål/A 10819-2024 FSC-klagomål.docx", "A 10819-2024")</f>
        <v/>
      </c>
      <c r="W62">
        <f>HYPERLINK("https://klasma.github.io/Logging_1907/klagomålsmail/A 10819-2024 FSC-klagomål mail.docx", "A 10819-2024")</f>
        <v/>
      </c>
      <c r="X62">
        <f>HYPERLINK("https://klasma.github.io/Logging_1907/tillsyn/A 10819-2024 tillsynsbegäran.docx", "A 10819-2024")</f>
        <v/>
      </c>
      <c r="Y62">
        <f>HYPERLINK("https://klasma.github.io/Logging_1907/tillsynsmail/A 10819-2024 tillsynsbegäran mail.docx", "A 10819-2024")</f>
        <v/>
      </c>
    </row>
    <row r="63" ht="15" customHeight="1">
      <c r="A63" t="inlineStr">
        <is>
          <t>A 69777-2021</t>
        </is>
      </c>
      <c r="B63" s="1" t="n">
        <v>44532</v>
      </c>
      <c r="C63" s="1" t="n">
        <v>46088</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55042-2025</t>
        </is>
      </c>
      <c r="B64" s="1" t="n">
        <v>45967.65858796296</v>
      </c>
      <c r="C64" s="1" t="n">
        <v>46088</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55871-2025</t>
        </is>
      </c>
      <c r="B65" s="1" t="n">
        <v>45973.35452546296</v>
      </c>
      <c r="C65" s="1" t="n">
        <v>46088</v>
      </c>
      <c r="D65" t="inlineStr">
        <is>
          <t>VÄSTMANLANDS LÄN</t>
        </is>
      </c>
      <c r="E65" t="inlineStr">
        <is>
          <t>SURAHAMMAR</t>
        </is>
      </c>
      <c r="F65" t="inlineStr">
        <is>
          <t>Sveaskog</t>
        </is>
      </c>
      <c r="G65" t="n">
        <v>1.4</v>
      </c>
      <c r="H65" t="n">
        <v>1</v>
      </c>
      <c r="I65" t="n">
        <v>0</v>
      </c>
      <c r="J65" t="n">
        <v>0</v>
      </c>
      <c r="K65" t="n">
        <v>0</v>
      </c>
      <c r="L65" t="n">
        <v>0</v>
      </c>
      <c r="M65" t="n">
        <v>0</v>
      </c>
      <c r="N65" t="n">
        <v>0</v>
      </c>
      <c r="O65" t="n">
        <v>0</v>
      </c>
      <c r="P65" t="n">
        <v>0</v>
      </c>
      <c r="Q65" t="n">
        <v>1</v>
      </c>
      <c r="R65" s="2" t="inlineStr">
        <is>
          <t>Lopplummer (aggregat)</t>
        </is>
      </c>
      <c r="S65">
        <f>HYPERLINK("https://klasma.github.io/Logging_1907/artfynd/A 55871-2025 artfynd.xlsx", "A 55871-2025")</f>
        <v/>
      </c>
      <c r="T65">
        <f>HYPERLINK("https://klasma.github.io/Logging_1907/kartor/A 55871-2025 karta.png", "A 55871-2025")</f>
        <v/>
      </c>
      <c r="V65">
        <f>HYPERLINK("https://klasma.github.io/Logging_1907/klagomål/A 55871-2025 FSC-klagomål.docx", "A 55871-2025")</f>
        <v/>
      </c>
      <c r="W65">
        <f>HYPERLINK("https://klasma.github.io/Logging_1907/klagomålsmail/A 55871-2025 FSC-klagomål mail.docx", "A 55871-2025")</f>
        <v/>
      </c>
      <c r="X65">
        <f>HYPERLINK("https://klasma.github.io/Logging_1907/tillsyn/A 55871-2025 tillsynsbegäran.docx", "A 55871-2025")</f>
        <v/>
      </c>
      <c r="Y65">
        <f>HYPERLINK("https://klasma.github.io/Logging_1907/tillsynsmail/A 55871-2025 tillsynsbegäran mail.docx", "A 55871-2025")</f>
        <v/>
      </c>
    </row>
    <row r="66" ht="15" customHeight="1">
      <c r="A66" t="inlineStr">
        <is>
          <t>A 56768-2025</t>
        </is>
      </c>
      <c r="B66" s="1" t="n">
        <v>45978</v>
      </c>
      <c r="C66" s="1" t="n">
        <v>46088</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17632-2022</t>
        </is>
      </c>
      <c r="B67" s="1" t="n">
        <v>44680</v>
      </c>
      <c r="C67" s="1" t="n">
        <v>46088</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63145-2025</t>
        </is>
      </c>
      <c r="B68" s="1" t="n">
        <v>46009</v>
      </c>
      <c r="C68" s="1" t="n">
        <v>46088</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44356-2024</t>
        </is>
      </c>
      <c r="B69" s="1" t="n">
        <v>45573</v>
      </c>
      <c r="C69" s="1" t="n">
        <v>46088</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46088</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46088</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46088</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46088</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46088</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46088</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46088</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46088</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46088</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46088</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46088</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46088</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46088</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46088</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46088</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46088</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46088</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46088</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46088</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46088</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46088</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46088</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46088</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46088</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48205-2023</t>
        </is>
      </c>
      <c r="B94" s="1" t="n">
        <v>45205</v>
      </c>
      <c r="C94" s="1" t="n">
        <v>46088</v>
      </c>
      <c r="D94" t="inlineStr">
        <is>
          <t>VÄSTMANLANDS LÄN</t>
        </is>
      </c>
      <c r="E94" t="inlineStr">
        <is>
          <t>SURAHAMMAR</t>
        </is>
      </c>
      <c r="F94" t="inlineStr">
        <is>
          <t>Allmännings- och besparingsskogar</t>
        </is>
      </c>
      <c r="G94" t="n">
        <v>7.6</v>
      </c>
      <c r="H94" t="n">
        <v>0</v>
      </c>
      <c r="I94" t="n">
        <v>0</v>
      </c>
      <c r="J94" t="n">
        <v>0</v>
      </c>
      <c r="K94" t="n">
        <v>0</v>
      </c>
      <c r="L94" t="n">
        <v>0</v>
      </c>
      <c r="M94" t="n">
        <v>0</v>
      </c>
      <c r="N94" t="n">
        <v>0</v>
      </c>
      <c r="O94" t="n">
        <v>0</v>
      </c>
      <c r="P94" t="n">
        <v>0</v>
      </c>
      <c r="Q94" t="n">
        <v>0</v>
      </c>
      <c r="R94" s="2" t="inlineStr"/>
    </row>
    <row r="95" ht="15" customHeight="1">
      <c r="A95" t="inlineStr">
        <is>
          <t>A 15743-2023</t>
        </is>
      </c>
      <c r="B95" s="1" t="n">
        <v>45021</v>
      </c>
      <c r="C95" s="1" t="n">
        <v>46088</v>
      </c>
      <c r="D95" t="inlineStr">
        <is>
          <t>VÄSTMANLANDS LÄN</t>
        </is>
      </c>
      <c r="E95" t="inlineStr">
        <is>
          <t>SURAHAMMAR</t>
        </is>
      </c>
      <c r="G95" t="n">
        <v>0.5</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46088</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30076-2023</t>
        </is>
      </c>
      <c r="B97" s="1" t="n">
        <v>45110</v>
      </c>
      <c r="C97" s="1" t="n">
        <v>46088</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15637-2022</t>
        </is>
      </c>
      <c r="B98" s="1" t="n">
        <v>44662.89638888889</v>
      </c>
      <c r="C98" s="1" t="n">
        <v>46088</v>
      </c>
      <c r="D98" t="inlineStr">
        <is>
          <t>VÄSTMANLANDS LÄN</t>
        </is>
      </c>
      <c r="E98" t="inlineStr">
        <is>
          <t>SURAHAMMAR</t>
        </is>
      </c>
      <c r="G98" t="n">
        <v>2.2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46088</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13119-2022</t>
        </is>
      </c>
      <c r="B100" s="1" t="n">
        <v>44643</v>
      </c>
      <c r="C100" s="1" t="n">
        <v>46088</v>
      </c>
      <c r="D100" t="inlineStr">
        <is>
          <t>VÄSTMANLANDS LÄN</t>
        </is>
      </c>
      <c r="E100" t="inlineStr">
        <is>
          <t>SURAHAMMAR</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46088</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46088</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38154-2021</t>
        </is>
      </c>
      <c r="B103" s="1" t="n">
        <v>44405.42373842592</v>
      </c>
      <c r="C103" s="1" t="n">
        <v>46088</v>
      </c>
      <c r="D103" t="inlineStr">
        <is>
          <t>VÄSTMANLANDS LÄN</t>
        </is>
      </c>
      <c r="E103" t="inlineStr">
        <is>
          <t>SURAHAMMAR</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37287-2023</t>
        </is>
      </c>
      <c r="B104" s="1" t="n">
        <v>45156</v>
      </c>
      <c r="C104" s="1" t="n">
        <v>46088</v>
      </c>
      <c r="D104" t="inlineStr">
        <is>
          <t>VÄSTMANLANDS LÄN</t>
        </is>
      </c>
      <c r="E104" t="inlineStr">
        <is>
          <t>SURAHAMMAR</t>
        </is>
      </c>
      <c r="G104" t="n">
        <v>0.6</v>
      </c>
      <c r="H104" t="n">
        <v>0</v>
      </c>
      <c r="I104" t="n">
        <v>0</v>
      </c>
      <c r="J104" t="n">
        <v>0</v>
      </c>
      <c r="K104" t="n">
        <v>0</v>
      </c>
      <c r="L104" t="n">
        <v>0</v>
      </c>
      <c r="M104" t="n">
        <v>0</v>
      </c>
      <c r="N104" t="n">
        <v>0</v>
      </c>
      <c r="O104" t="n">
        <v>0</v>
      </c>
      <c r="P104" t="n">
        <v>0</v>
      </c>
      <c r="Q104" t="n">
        <v>0</v>
      </c>
      <c r="R104" s="2" t="inlineStr"/>
    </row>
    <row r="105" ht="15" customHeight="1">
      <c r="A105" t="inlineStr">
        <is>
          <t>A 42088-2025</t>
        </is>
      </c>
      <c r="B105" s="1" t="n">
        <v>45902</v>
      </c>
      <c r="C105" s="1" t="n">
        <v>46088</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31107-2025</t>
        </is>
      </c>
      <c r="B106" s="1" t="n">
        <v>45831</v>
      </c>
      <c r="C106" s="1" t="n">
        <v>46088</v>
      </c>
      <c r="D106" t="inlineStr">
        <is>
          <t>VÄSTMANLANDS LÄN</t>
        </is>
      </c>
      <c r="E106" t="inlineStr">
        <is>
          <t>SURAHAMMAR</t>
        </is>
      </c>
      <c r="F106" t="inlineStr">
        <is>
          <t>Kommuner</t>
        </is>
      </c>
      <c r="G106" t="n">
        <v>1.7</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46088</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46088</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46088</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46088</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46088</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34584-2025</t>
        </is>
      </c>
      <c r="B112" s="1" t="n">
        <v>45846</v>
      </c>
      <c r="C112" s="1" t="n">
        <v>46088</v>
      </c>
      <c r="D112" t="inlineStr">
        <is>
          <t>VÄSTMANLANDS LÄN</t>
        </is>
      </c>
      <c r="E112" t="inlineStr">
        <is>
          <t>SURAHAMMAR</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46088</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46088</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32910-2025</t>
        </is>
      </c>
      <c r="B115" s="1" t="n">
        <v>45839</v>
      </c>
      <c r="C115" s="1" t="n">
        <v>46088</v>
      </c>
      <c r="D115" t="inlineStr">
        <is>
          <t>VÄSTMANLANDS LÄN</t>
        </is>
      </c>
      <c r="E115" t="inlineStr">
        <is>
          <t>SURAHAMMAR</t>
        </is>
      </c>
      <c r="F115" t="inlineStr">
        <is>
          <t>Kommuner</t>
        </is>
      </c>
      <c r="G115" t="n">
        <v>1.1</v>
      </c>
      <c r="H115" t="n">
        <v>0</v>
      </c>
      <c r="I115" t="n">
        <v>0</v>
      </c>
      <c r="J115" t="n">
        <v>0</v>
      </c>
      <c r="K115" t="n">
        <v>0</v>
      </c>
      <c r="L115" t="n">
        <v>0</v>
      </c>
      <c r="M115" t="n">
        <v>0</v>
      </c>
      <c r="N115" t="n">
        <v>0</v>
      </c>
      <c r="O115" t="n">
        <v>0</v>
      </c>
      <c r="P115" t="n">
        <v>0</v>
      </c>
      <c r="Q115" t="n">
        <v>0</v>
      </c>
      <c r="R115" s="2" t="inlineStr"/>
    </row>
    <row r="116" ht="15" customHeight="1">
      <c r="A116" t="inlineStr">
        <is>
          <t>A 35682-2022</t>
        </is>
      </c>
      <c r="B116" s="1" t="n">
        <v>44799.60422453703</v>
      </c>
      <c r="C116" s="1" t="n">
        <v>46088</v>
      </c>
      <c r="D116" t="inlineStr">
        <is>
          <t>VÄSTMANLANDS LÄN</t>
        </is>
      </c>
      <c r="E116" t="inlineStr">
        <is>
          <t>SURAHAMMAR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11728-2023</t>
        </is>
      </c>
      <c r="B117" s="1" t="n">
        <v>44993</v>
      </c>
      <c r="C117" s="1" t="n">
        <v>46088</v>
      </c>
      <c r="D117" t="inlineStr">
        <is>
          <t>VÄSTMANLANDS LÄN</t>
        </is>
      </c>
      <c r="E117" t="inlineStr">
        <is>
          <t>SURAHAMMAR</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5567-2022</t>
        </is>
      </c>
      <c r="B118" s="1" t="n">
        <v>44595</v>
      </c>
      <c r="C118" s="1" t="n">
        <v>46088</v>
      </c>
      <c r="D118" t="inlineStr">
        <is>
          <t>VÄSTMANLANDS LÄN</t>
        </is>
      </c>
      <c r="E118" t="inlineStr">
        <is>
          <t>SURAHAMMAR</t>
        </is>
      </c>
      <c r="G118" t="n">
        <v>1.3</v>
      </c>
      <c r="H118" t="n">
        <v>0</v>
      </c>
      <c r="I118" t="n">
        <v>0</v>
      </c>
      <c r="J118" t="n">
        <v>0</v>
      </c>
      <c r="K118" t="n">
        <v>0</v>
      </c>
      <c r="L118" t="n">
        <v>0</v>
      </c>
      <c r="M118" t="n">
        <v>0</v>
      </c>
      <c r="N118" t="n">
        <v>0</v>
      </c>
      <c r="O118" t="n">
        <v>0</v>
      </c>
      <c r="P118" t="n">
        <v>0</v>
      </c>
      <c r="Q118" t="n">
        <v>0</v>
      </c>
      <c r="R118" s="2" t="inlineStr"/>
    </row>
    <row r="119" ht="15" customHeight="1">
      <c r="A119" t="inlineStr">
        <is>
          <t>A 42832-2022</t>
        </is>
      </c>
      <c r="B119" s="1" t="n">
        <v>44832</v>
      </c>
      <c r="C119" s="1" t="n">
        <v>46088</v>
      </c>
      <c r="D119" t="inlineStr">
        <is>
          <t>VÄSTMANLANDS LÄN</t>
        </is>
      </c>
      <c r="E119" t="inlineStr">
        <is>
          <t>SURAHAMMAR</t>
        </is>
      </c>
      <c r="G119" t="n">
        <v>1.1</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46088</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4734-2026</t>
        </is>
      </c>
      <c r="B121" s="1" t="n">
        <v>46048</v>
      </c>
      <c r="C121" s="1" t="n">
        <v>46088</v>
      </c>
      <c r="D121" t="inlineStr">
        <is>
          <t>VÄSTMANLANDS LÄN</t>
        </is>
      </c>
      <c r="E121" t="inlineStr">
        <is>
          <t>SURAHAMMAR</t>
        </is>
      </c>
      <c r="G121" t="n">
        <v>0.7</v>
      </c>
      <c r="H121" t="n">
        <v>0</v>
      </c>
      <c r="I121" t="n">
        <v>0</v>
      </c>
      <c r="J121" t="n">
        <v>0</v>
      </c>
      <c r="K121" t="n">
        <v>0</v>
      </c>
      <c r="L121" t="n">
        <v>0</v>
      </c>
      <c r="M121" t="n">
        <v>0</v>
      </c>
      <c r="N121" t="n">
        <v>0</v>
      </c>
      <c r="O121" t="n">
        <v>0</v>
      </c>
      <c r="P121" t="n">
        <v>0</v>
      </c>
      <c r="Q121" t="n">
        <v>0</v>
      </c>
      <c r="R121" s="2" t="inlineStr"/>
    </row>
    <row r="122" ht="15" customHeight="1">
      <c r="A122" t="inlineStr">
        <is>
          <t>A 24665-2023</t>
        </is>
      </c>
      <c r="B122" s="1" t="n">
        <v>45084.48592592592</v>
      </c>
      <c r="C122" s="1" t="n">
        <v>46088</v>
      </c>
      <c r="D122" t="inlineStr">
        <is>
          <t>VÄSTMANLANDS LÄN</t>
        </is>
      </c>
      <c r="E122" t="inlineStr">
        <is>
          <t>SURAHAMMAR</t>
        </is>
      </c>
      <c r="G122" t="n">
        <v>0.9</v>
      </c>
      <c r="H122" t="n">
        <v>0</v>
      </c>
      <c r="I122" t="n">
        <v>0</v>
      </c>
      <c r="J122" t="n">
        <v>0</v>
      </c>
      <c r="K122" t="n">
        <v>0</v>
      </c>
      <c r="L122" t="n">
        <v>0</v>
      </c>
      <c r="M122" t="n">
        <v>0</v>
      </c>
      <c r="N122" t="n">
        <v>0</v>
      </c>
      <c r="O122" t="n">
        <v>0</v>
      </c>
      <c r="P122" t="n">
        <v>0</v>
      </c>
      <c r="Q122" t="n">
        <v>0</v>
      </c>
      <c r="R122" s="2" t="inlineStr"/>
    </row>
    <row r="123" ht="15" customHeight="1">
      <c r="A123" t="inlineStr">
        <is>
          <t>A 32808-2024</t>
        </is>
      </c>
      <c r="B123" s="1" t="n">
        <v>45516</v>
      </c>
      <c r="C123" s="1" t="n">
        <v>46088</v>
      </c>
      <c r="D123" t="inlineStr">
        <is>
          <t>VÄSTMANLANDS LÄN</t>
        </is>
      </c>
      <c r="E123" t="inlineStr">
        <is>
          <t>SURAHAMMAR</t>
        </is>
      </c>
      <c r="F123" t="inlineStr">
        <is>
          <t>Övriga Aktiebolag</t>
        </is>
      </c>
      <c r="G123" t="n">
        <v>1.9</v>
      </c>
      <c r="H123" t="n">
        <v>0</v>
      </c>
      <c r="I123" t="n">
        <v>0</v>
      </c>
      <c r="J123" t="n">
        <v>0</v>
      </c>
      <c r="K123" t="n">
        <v>0</v>
      </c>
      <c r="L123" t="n">
        <v>0</v>
      </c>
      <c r="M123" t="n">
        <v>0</v>
      </c>
      <c r="N123" t="n">
        <v>0</v>
      </c>
      <c r="O123" t="n">
        <v>0</v>
      </c>
      <c r="P123" t="n">
        <v>0</v>
      </c>
      <c r="Q123" t="n">
        <v>0</v>
      </c>
      <c r="R123" s="2" t="inlineStr"/>
    </row>
    <row r="124" ht="15" customHeight="1">
      <c r="A124" t="inlineStr">
        <is>
          <t>A 4724-2026</t>
        </is>
      </c>
      <c r="B124" s="1" t="n">
        <v>46048</v>
      </c>
      <c r="C124" s="1" t="n">
        <v>46088</v>
      </c>
      <c r="D124" t="inlineStr">
        <is>
          <t>VÄSTMANLANDS LÄN</t>
        </is>
      </c>
      <c r="E124" t="inlineStr">
        <is>
          <t>SURAHAMMAR</t>
        </is>
      </c>
      <c r="G124" t="n">
        <v>1.7</v>
      </c>
      <c r="H124" t="n">
        <v>0</v>
      </c>
      <c r="I124" t="n">
        <v>0</v>
      </c>
      <c r="J124" t="n">
        <v>0</v>
      </c>
      <c r="K124" t="n">
        <v>0</v>
      </c>
      <c r="L124" t="n">
        <v>0</v>
      </c>
      <c r="M124" t="n">
        <v>0</v>
      </c>
      <c r="N124" t="n">
        <v>0</v>
      </c>
      <c r="O124" t="n">
        <v>0</v>
      </c>
      <c r="P124" t="n">
        <v>0</v>
      </c>
      <c r="Q124" t="n">
        <v>0</v>
      </c>
      <c r="R124" s="2" t="inlineStr"/>
    </row>
    <row r="125" ht="15" customHeight="1">
      <c r="A125" t="inlineStr">
        <is>
          <t>A 37954-2025</t>
        </is>
      </c>
      <c r="B125" s="1" t="n">
        <v>45881</v>
      </c>
      <c r="C125" s="1" t="n">
        <v>46088</v>
      </c>
      <c r="D125" t="inlineStr">
        <is>
          <t>VÄSTMANLANDS LÄN</t>
        </is>
      </c>
      <c r="E125" t="inlineStr">
        <is>
          <t>SURAHAMMAR</t>
        </is>
      </c>
      <c r="G125" t="n">
        <v>9.5</v>
      </c>
      <c r="H125" t="n">
        <v>0</v>
      </c>
      <c r="I125" t="n">
        <v>0</v>
      </c>
      <c r="J125" t="n">
        <v>0</v>
      </c>
      <c r="K125" t="n">
        <v>0</v>
      </c>
      <c r="L125" t="n">
        <v>0</v>
      </c>
      <c r="M125" t="n">
        <v>0</v>
      </c>
      <c r="N125" t="n">
        <v>0</v>
      </c>
      <c r="O125" t="n">
        <v>0</v>
      </c>
      <c r="P125" t="n">
        <v>0</v>
      </c>
      <c r="Q125" t="n">
        <v>0</v>
      </c>
      <c r="R125" s="2" t="inlineStr"/>
    </row>
    <row r="126" ht="15" customHeight="1">
      <c r="A126" t="inlineStr">
        <is>
          <t>A 42841-2022</t>
        </is>
      </c>
      <c r="B126" s="1" t="n">
        <v>44832</v>
      </c>
      <c r="C126" s="1" t="n">
        <v>46088</v>
      </c>
      <c r="D126" t="inlineStr">
        <is>
          <t>VÄSTMANLANDS LÄN</t>
        </is>
      </c>
      <c r="E126" t="inlineStr">
        <is>
          <t>SURAHAMMAR</t>
        </is>
      </c>
      <c r="G126" t="n">
        <v>1.8</v>
      </c>
      <c r="H126" t="n">
        <v>0</v>
      </c>
      <c r="I126" t="n">
        <v>0</v>
      </c>
      <c r="J126" t="n">
        <v>0</v>
      </c>
      <c r="K126" t="n">
        <v>0</v>
      </c>
      <c r="L126" t="n">
        <v>0</v>
      </c>
      <c r="M126" t="n">
        <v>0</v>
      </c>
      <c r="N126" t="n">
        <v>0</v>
      </c>
      <c r="O126" t="n">
        <v>0</v>
      </c>
      <c r="P126" t="n">
        <v>0</v>
      </c>
      <c r="Q126" t="n">
        <v>0</v>
      </c>
      <c r="R126" s="2" t="inlineStr"/>
    </row>
    <row r="127" ht="15" customHeight="1">
      <c r="A127" t="inlineStr">
        <is>
          <t>A 42829-2022</t>
        </is>
      </c>
      <c r="B127" s="1" t="n">
        <v>44832</v>
      </c>
      <c r="C127" s="1" t="n">
        <v>46088</v>
      </c>
      <c r="D127" t="inlineStr">
        <is>
          <t>VÄSTMANLANDS LÄN</t>
        </is>
      </c>
      <c r="E127" t="inlineStr">
        <is>
          <t>SURAHAMMAR</t>
        </is>
      </c>
      <c r="G127" t="n">
        <v>1.6</v>
      </c>
      <c r="H127" t="n">
        <v>0</v>
      </c>
      <c r="I127" t="n">
        <v>0</v>
      </c>
      <c r="J127" t="n">
        <v>0</v>
      </c>
      <c r="K127" t="n">
        <v>0</v>
      </c>
      <c r="L127" t="n">
        <v>0</v>
      </c>
      <c r="M127" t="n">
        <v>0</v>
      </c>
      <c r="N127" t="n">
        <v>0</v>
      </c>
      <c r="O127" t="n">
        <v>0</v>
      </c>
      <c r="P127" t="n">
        <v>0</v>
      </c>
      <c r="Q127" t="n">
        <v>0</v>
      </c>
      <c r="R127" s="2" t="inlineStr"/>
    </row>
    <row r="128" ht="15" customHeight="1">
      <c r="A128" t="inlineStr">
        <is>
          <t>A 10244-2026</t>
        </is>
      </c>
      <c r="B128" s="1" t="n">
        <v>46076.55032407407</v>
      </c>
      <c r="C128" s="1" t="n">
        <v>46088</v>
      </c>
      <c r="D128" t="inlineStr">
        <is>
          <t>VÄSTMANLANDS LÄN</t>
        </is>
      </c>
      <c r="E128" t="inlineStr">
        <is>
          <t>SURAHAMMAR</t>
        </is>
      </c>
      <c r="F128" t="inlineStr">
        <is>
          <t>Allmännings- och besparingsskogar</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10249-2026</t>
        </is>
      </c>
      <c r="B129" s="1" t="n">
        <v>46076.55456018518</v>
      </c>
      <c r="C129" s="1" t="n">
        <v>46088</v>
      </c>
      <c r="D129" t="inlineStr">
        <is>
          <t>VÄSTMANLANDS LÄN</t>
        </is>
      </c>
      <c r="E129" t="inlineStr">
        <is>
          <t>SURAHAMMAR</t>
        </is>
      </c>
      <c r="F129" t="inlineStr">
        <is>
          <t>Allmännings- och besparingsskogar</t>
        </is>
      </c>
      <c r="G129" t="n">
        <v>4.8</v>
      </c>
      <c r="H129" t="n">
        <v>0</v>
      </c>
      <c r="I129" t="n">
        <v>0</v>
      </c>
      <c r="J129" t="n">
        <v>0</v>
      </c>
      <c r="K129" t="n">
        <v>0</v>
      </c>
      <c r="L129" t="n">
        <v>0</v>
      </c>
      <c r="M129" t="n">
        <v>0</v>
      </c>
      <c r="N129" t="n">
        <v>0</v>
      </c>
      <c r="O129" t="n">
        <v>0</v>
      </c>
      <c r="P129" t="n">
        <v>0</v>
      </c>
      <c r="Q129" t="n">
        <v>0</v>
      </c>
      <c r="R129" s="2" t="inlineStr"/>
    </row>
    <row r="130" ht="15" customHeight="1">
      <c r="A130" t="inlineStr">
        <is>
          <t>A 10562-2026</t>
        </is>
      </c>
      <c r="B130" s="1" t="n">
        <v>46077.64043981482</v>
      </c>
      <c r="C130" s="1" t="n">
        <v>46088</v>
      </c>
      <c r="D130" t="inlineStr">
        <is>
          <t>VÄSTMANLANDS LÄN</t>
        </is>
      </c>
      <c r="E130" t="inlineStr">
        <is>
          <t>SURAHAMMAR</t>
        </is>
      </c>
      <c r="F130" t="inlineStr">
        <is>
          <t>Övriga Aktiebolag</t>
        </is>
      </c>
      <c r="G130" t="n">
        <v>2.3</v>
      </c>
      <c r="H130" t="n">
        <v>0</v>
      </c>
      <c r="I130" t="n">
        <v>0</v>
      </c>
      <c r="J130" t="n">
        <v>0</v>
      </c>
      <c r="K130" t="n">
        <v>0</v>
      </c>
      <c r="L130" t="n">
        <v>0</v>
      </c>
      <c r="M130" t="n">
        <v>0</v>
      </c>
      <c r="N130" t="n">
        <v>0</v>
      </c>
      <c r="O130" t="n">
        <v>0</v>
      </c>
      <c r="P130" t="n">
        <v>0</v>
      </c>
      <c r="Q130" t="n">
        <v>0</v>
      </c>
      <c r="R130" s="2" t="inlineStr"/>
    </row>
    <row r="131" ht="15" customHeight="1">
      <c r="A131" t="inlineStr">
        <is>
          <t>A 55868-2025</t>
        </is>
      </c>
      <c r="B131" s="1" t="n">
        <v>45973.35263888889</v>
      </c>
      <c r="C131" s="1" t="n">
        <v>46088</v>
      </c>
      <c r="D131" t="inlineStr">
        <is>
          <t>VÄSTMANLANDS LÄN</t>
        </is>
      </c>
      <c r="E131" t="inlineStr">
        <is>
          <t>SURAHAMMAR</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55874-2025</t>
        </is>
      </c>
      <c r="B132" s="1" t="n">
        <v>45973.3569212963</v>
      </c>
      <c r="C132" s="1" t="n">
        <v>46088</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55873-2025</t>
        </is>
      </c>
      <c r="B133" s="1" t="n">
        <v>45973.35608796297</v>
      </c>
      <c r="C133" s="1" t="n">
        <v>46088</v>
      </c>
      <c r="D133" t="inlineStr">
        <is>
          <t>VÄSTMANLANDS LÄN</t>
        </is>
      </c>
      <c r="E133" t="inlineStr">
        <is>
          <t>SURAHAMMAR</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46088</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10512-2026</t>
        </is>
      </c>
      <c r="B135" s="1" t="n">
        <v>46077.56861111111</v>
      </c>
      <c r="C135" s="1" t="n">
        <v>46088</v>
      </c>
      <c r="D135" t="inlineStr">
        <is>
          <t>VÄSTMANLANDS LÄN</t>
        </is>
      </c>
      <c r="E135" t="inlineStr">
        <is>
          <t>SURAHAMMAR</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56543-2025</t>
        </is>
      </c>
      <c r="B136" s="1" t="n">
        <v>45975</v>
      </c>
      <c r="C136" s="1" t="n">
        <v>46088</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3085-2023</t>
        </is>
      </c>
      <c r="B137" s="1" t="n">
        <v>44946</v>
      </c>
      <c r="C137" s="1" t="n">
        <v>46088</v>
      </c>
      <c r="D137" t="inlineStr">
        <is>
          <t>VÄSTMANLANDS LÄN</t>
        </is>
      </c>
      <c r="E137" t="inlineStr">
        <is>
          <t>SURAHAMMAR</t>
        </is>
      </c>
      <c r="F137" t="inlineStr">
        <is>
          <t>Kyrkan</t>
        </is>
      </c>
      <c r="G137" t="n">
        <v>13</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46088</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49060-2024</t>
        </is>
      </c>
      <c r="B139" s="1" t="n">
        <v>45594</v>
      </c>
      <c r="C139" s="1" t="n">
        <v>46088</v>
      </c>
      <c r="D139" t="inlineStr">
        <is>
          <t>VÄSTMANLANDS LÄN</t>
        </is>
      </c>
      <c r="E139" t="inlineStr">
        <is>
          <t>SURAHAMMAR</t>
        </is>
      </c>
      <c r="F139" t="inlineStr">
        <is>
          <t>Sveaskog</t>
        </is>
      </c>
      <c r="G139" t="n">
        <v>4.4</v>
      </c>
      <c r="H139" t="n">
        <v>0</v>
      </c>
      <c r="I139" t="n">
        <v>0</v>
      </c>
      <c r="J139" t="n">
        <v>0</v>
      </c>
      <c r="K139" t="n">
        <v>0</v>
      </c>
      <c r="L139" t="n">
        <v>0</v>
      </c>
      <c r="M139" t="n">
        <v>0</v>
      </c>
      <c r="N139" t="n">
        <v>0</v>
      </c>
      <c r="O139" t="n">
        <v>0</v>
      </c>
      <c r="P139" t="n">
        <v>0</v>
      </c>
      <c r="Q139" t="n">
        <v>0</v>
      </c>
      <c r="R139" s="2" t="inlineStr"/>
    </row>
    <row r="140" ht="15" customHeight="1">
      <c r="A140" t="inlineStr">
        <is>
          <t>A 59399-2025</t>
        </is>
      </c>
      <c r="B140" s="1" t="n">
        <v>45989</v>
      </c>
      <c r="C140" s="1" t="n">
        <v>46088</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56541-2025</t>
        </is>
      </c>
      <c r="B141" s="1" t="n">
        <v>45975</v>
      </c>
      <c r="C141" s="1" t="n">
        <v>46088</v>
      </c>
      <c r="D141" t="inlineStr">
        <is>
          <t>VÄSTMANLANDS LÄN</t>
        </is>
      </c>
      <c r="E141" t="inlineStr">
        <is>
          <t>SURAHAMMAR</t>
        </is>
      </c>
      <c r="F141" t="inlineStr">
        <is>
          <t>Sveaskog</t>
        </is>
      </c>
      <c r="G141" t="n">
        <v>7.6</v>
      </c>
      <c r="H141" t="n">
        <v>0</v>
      </c>
      <c r="I141" t="n">
        <v>0</v>
      </c>
      <c r="J141" t="n">
        <v>0</v>
      </c>
      <c r="K141" t="n">
        <v>0</v>
      </c>
      <c r="L141" t="n">
        <v>0</v>
      </c>
      <c r="M141" t="n">
        <v>0</v>
      </c>
      <c r="N141" t="n">
        <v>0</v>
      </c>
      <c r="O141" t="n">
        <v>0</v>
      </c>
      <c r="P141" t="n">
        <v>0</v>
      </c>
      <c r="Q141" t="n">
        <v>0</v>
      </c>
      <c r="R141" s="2" t="inlineStr"/>
    </row>
    <row r="142" ht="15" customHeight="1">
      <c r="A142" t="inlineStr">
        <is>
          <t>A 34955-2022</t>
        </is>
      </c>
      <c r="B142" s="1" t="n">
        <v>44796</v>
      </c>
      <c r="C142" s="1" t="n">
        <v>46088</v>
      </c>
      <c r="D142" t="inlineStr">
        <is>
          <t>VÄSTMANLANDS LÄN</t>
        </is>
      </c>
      <c r="E142" t="inlineStr">
        <is>
          <t>SURAHAMMAR</t>
        </is>
      </c>
      <c r="F142" t="inlineStr">
        <is>
          <t>Sveaskog</t>
        </is>
      </c>
      <c r="G142" t="n">
        <v>4.6</v>
      </c>
      <c r="H142" t="n">
        <v>0</v>
      </c>
      <c r="I142" t="n">
        <v>0</v>
      </c>
      <c r="J142" t="n">
        <v>0</v>
      </c>
      <c r="K142" t="n">
        <v>0</v>
      </c>
      <c r="L142" t="n">
        <v>0</v>
      </c>
      <c r="M142" t="n">
        <v>0</v>
      </c>
      <c r="N142" t="n">
        <v>0</v>
      </c>
      <c r="O142" t="n">
        <v>0</v>
      </c>
      <c r="P142" t="n">
        <v>0</v>
      </c>
      <c r="Q142" t="n">
        <v>0</v>
      </c>
      <c r="R142" s="2" t="inlineStr"/>
    </row>
    <row r="143" ht="15" customHeight="1">
      <c r="A143" t="inlineStr">
        <is>
          <t>A 20904-2023</t>
        </is>
      </c>
      <c r="B143" s="1" t="n">
        <v>45060</v>
      </c>
      <c r="C143" s="1" t="n">
        <v>46088</v>
      </c>
      <c r="D143" t="inlineStr">
        <is>
          <t>VÄSTMANLANDS LÄN</t>
        </is>
      </c>
      <c r="E143" t="inlineStr">
        <is>
          <t>SURAHAMMAR</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10883-2023</t>
        </is>
      </c>
      <c r="B144" s="1" t="n">
        <v>44991</v>
      </c>
      <c r="C144" s="1" t="n">
        <v>46088</v>
      </c>
      <c r="D144" t="inlineStr">
        <is>
          <t>VÄSTMANLANDS LÄN</t>
        </is>
      </c>
      <c r="E144" t="inlineStr">
        <is>
          <t>SURAHAMMAR</t>
        </is>
      </c>
      <c r="F144" t="inlineStr">
        <is>
          <t>Övriga Aktiebolag</t>
        </is>
      </c>
      <c r="G144" t="n">
        <v>12.5</v>
      </c>
      <c r="H144" t="n">
        <v>0</v>
      </c>
      <c r="I144" t="n">
        <v>0</v>
      </c>
      <c r="J144" t="n">
        <v>0</v>
      </c>
      <c r="K144" t="n">
        <v>0</v>
      </c>
      <c r="L144" t="n">
        <v>0</v>
      </c>
      <c r="M144" t="n">
        <v>0</v>
      </c>
      <c r="N144" t="n">
        <v>0</v>
      </c>
      <c r="O144" t="n">
        <v>0</v>
      </c>
      <c r="P144" t="n">
        <v>0</v>
      </c>
      <c r="Q144" t="n">
        <v>0</v>
      </c>
      <c r="R144" s="2" t="inlineStr"/>
    </row>
    <row r="145" ht="15" customHeight="1">
      <c r="A145" t="inlineStr">
        <is>
          <t>A 2660-2024</t>
        </is>
      </c>
      <c r="B145" s="1" t="n">
        <v>45310</v>
      </c>
      <c r="C145" s="1" t="n">
        <v>46088</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10347-2026</t>
        </is>
      </c>
      <c r="B146" s="1" t="n">
        <v>46076.69101851852</v>
      </c>
      <c r="C146" s="1" t="n">
        <v>46088</v>
      </c>
      <c r="D146" t="inlineStr">
        <is>
          <t>VÄSTMANLANDS LÄN</t>
        </is>
      </c>
      <c r="E146" t="inlineStr">
        <is>
          <t>SURAHAMMAR</t>
        </is>
      </c>
      <c r="F146" t="inlineStr">
        <is>
          <t>Allmännings- och besparingsskogar</t>
        </is>
      </c>
      <c r="G146" t="n">
        <v>3</v>
      </c>
      <c r="H146" t="n">
        <v>0</v>
      </c>
      <c r="I146" t="n">
        <v>0</v>
      </c>
      <c r="J146" t="n">
        <v>0</v>
      </c>
      <c r="K146" t="n">
        <v>0</v>
      </c>
      <c r="L146" t="n">
        <v>0</v>
      </c>
      <c r="M146" t="n">
        <v>0</v>
      </c>
      <c r="N146" t="n">
        <v>0</v>
      </c>
      <c r="O146" t="n">
        <v>0</v>
      </c>
      <c r="P146" t="n">
        <v>0</v>
      </c>
      <c r="Q146" t="n">
        <v>0</v>
      </c>
      <c r="R146" s="2" t="inlineStr"/>
    </row>
    <row r="147" ht="15" customHeight="1">
      <c r="A147" t="inlineStr">
        <is>
          <t>A 5697-2026</t>
        </is>
      </c>
      <c r="B147" s="1" t="n">
        <v>46051.50020833333</v>
      </c>
      <c r="C147" s="1" t="n">
        <v>46088</v>
      </c>
      <c r="D147" t="inlineStr">
        <is>
          <t>VÄSTMANLANDS LÄN</t>
        </is>
      </c>
      <c r="E147" t="inlineStr">
        <is>
          <t>SURAHAMMAR</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5698-2026</t>
        </is>
      </c>
      <c r="B148" s="1" t="n">
        <v>46051.50196759259</v>
      </c>
      <c r="C148" s="1" t="n">
        <v>46088</v>
      </c>
      <c r="D148" t="inlineStr">
        <is>
          <t>VÄSTMANLANDS LÄN</t>
        </is>
      </c>
      <c r="E148" t="inlineStr">
        <is>
          <t>SURAHAMMAR</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5696-2026</t>
        </is>
      </c>
      <c r="B149" s="1" t="n">
        <v>46051.4975</v>
      </c>
      <c r="C149" s="1" t="n">
        <v>46088</v>
      </c>
      <c r="D149" t="inlineStr">
        <is>
          <t>VÄSTMANLANDS LÄN</t>
        </is>
      </c>
      <c r="E149" t="inlineStr">
        <is>
          <t>SURAHAMMAR</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63138-2025</t>
        </is>
      </c>
      <c r="B150" s="1" t="n">
        <v>46009</v>
      </c>
      <c r="C150" s="1" t="n">
        <v>46088</v>
      </c>
      <c r="D150" t="inlineStr">
        <is>
          <t>VÄSTMANLANDS LÄN</t>
        </is>
      </c>
      <c r="E150" t="inlineStr">
        <is>
          <t>SURAHAMMAR</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14626-2023</t>
        </is>
      </c>
      <c r="B151" s="1" t="n">
        <v>45012</v>
      </c>
      <c r="C151" s="1" t="n">
        <v>46088</v>
      </c>
      <c r="D151" t="inlineStr">
        <is>
          <t>VÄSTMANLANDS LÄN</t>
        </is>
      </c>
      <c r="E151" t="inlineStr">
        <is>
          <t>SURAHAMMAR</t>
        </is>
      </c>
      <c r="F151" t="inlineStr">
        <is>
          <t>Bergvik skog väst AB</t>
        </is>
      </c>
      <c r="G151" t="n">
        <v>5</v>
      </c>
      <c r="H151" t="n">
        <v>0</v>
      </c>
      <c r="I151" t="n">
        <v>0</v>
      </c>
      <c r="J151" t="n">
        <v>0</v>
      </c>
      <c r="K151" t="n">
        <v>0</v>
      </c>
      <c r="L151" t="n">
        <v>0</v>
      </c>
      <c r="M151" t="n">
        <v>0</v>
      </c>
      <c r="N151" t="n">
        <v>0</v>
      </c>
      <c r="O151" t="n">
        <v>0</v>
      </c>
      <c r="P151" t="n">
        <v>0</v>
      </c>
      <c r="Q151" t="n">
        <v>0</v>
      </c>
      <c r="R151" s="2" t="inlineStr"/>
    </row>
    <row r="152" ht="15" customHeight="1">
      <c r="A152" t="inlineStr">
        <is>
          <t>A 37798-2021</t>
        </is>
      </c>
      <c r="B152" s="1" t="n">
        <v>44402</v>
      </c>
      <c r="C152" s="1" t="n">
        <v>46088</v>
      </c>
      <c r="D152" t="inlineStr">
        <is>
          <t>VÄSTMANLANDS LÄN</t>
        </is>
      </c>
      <c r="E152" t="inlineStr">
        <is>
          <t>SURAHAMMAR</t>
        </is>
      </c>
      <c r="F152" t="inlineStr">
        <is>
          <t>Kommuner</t>
        </is>
      </c>
      <c r="G152" t="n">
        <v>1.2</v>
      </c>
      <c r="H152" t="n">
        <v>0</v>
      </c>
      <c r="I152" t="n">
        <v>0</v>
      </c>
      <c r="J152" t="n">
        <v>0</v>
      </c>
      <c r="K152" t="n">
        <v>0</v>
      </c>
      <c r="L152" t="n">
        <v>0</v>
      </c>
      <c r="M152" t="n">
        <v>0</v>
      </c>
      <c r="N152" t="n">
        <v>0</v>
      </c>
      <c r="O152" t="n">
        <v>0</v>
      </c>
      <c r="P152" t="n">
        <v>0</v>
      </c>
      <c r="Q152" t="n">
        <v>0</v>
      </c>
      <c r="R152" s="2" t="inlineStr"/>
    </row>
    <row r="153" ht="15" customHeight="1">
      <c r="A153" t="inlineStr">
        <is>
          <t>A 25450-2024</t>
        </is>
      </c>
      <c r="B153" s="1" t="n">
        <v>45463</v>
      </c>
      <c r="C153" s="1" t="n">
        <v>46088</v>
      </c>
      <c r="D153" t="inlineStr">
        <is>
          <t>VÄSTMANLANDS LÄN</t>
        </is>
      </c>
      <c r="E153" t="inlineStr">
        <is>
          <t>SURAHAMMAR</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19782-2023</t>
        </is>
      </c>
      <c r="B154" s="1" t="n">
        <v>45050</v>
      </c>
      <c r="C154" s="1" t="n">
        <v>46088</v>
      </c>
      <c r="D154" t="inlineStr">
        <is>
          <t>VÄSTMANLANDS LÄN</t>
        </is>
      </c>
      <c r="E154" t="inlineStr">
        <is>
          <t>SURAHAMMAR</t>
        </is>
      </c>
      <c r="F154" t="inlineStr">
        <is>
          <t>Bergvik skog väst AB</t>
        </is>
      </c>
      <c r="G154" t="n">
        <v>5.2</v>
      </c>
      <c r="H154" t="n">
        <v>0</v>
      </c>
      <c r="I154" t="n">
        <v>0</v>
      </c>
      <c r="J154" t="n">
        <v>0</v>
      </c>
      <c r="K154" t="n">
        <v>0</v>
      </c>
      <c r="L154" t="n">
        <v>0</v>
      </c>
      <c r="M154" t="n">
        <v>0</v>
      </c>
      <c r="N154" t="n">
        <v>0</v>
      </c>
      <c r="O154" t="n">
        <v>0</v>
      </c>
      <c r="P154" t="n">
        <v>0</v>
      </c>
      <c r="Q154" t="n">
        <v>0</v>
      </c>
      <c r="R154" s="2" t="inlineStr"/>
    </row>
    <row r="155" ht="15" customHeight="1">
      <c r="A155" t="inlineStr">
        <is>
          <t>A 7848-2022</t>
        </is>
      </c>
      <c r="B155" s="1" t="n">
        <v>44608.58400462963</v>
      </c>
      <c r="C155" s="1" t="n">
        <v>46088</v>
      </c>
      <c r="D155" t="inlineStr">
        <is>
          <t>VÄSTMANLANDS LÄN</t>
        </is>
      </c>
      <c r="E155" t="inlineStr">
        <is>
          <t>SURAHAMMAR</t>
        </is>
      </c>
      <c r="G155" t="n">
        <v>2.1</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46088</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56378-2023</t>
        </is>
      </c>
      <c r="B157" s="1" t="n">
        <v>45236</v>
      </c>
      <c r="C157" s="1" t="n">
        <v>46088</v>
      </c>
      <c r="D157" t="inlineStr">
        <is>
          <t>VÄSTMANLANDS LÄN</t>
        </is>
      </c>
      <c r="E157" t="inlineStr">
        <is>
          <t>SURAHAMMAR</t>
        </is>
      </c>
      <c r="F157" t="inlineStr">
        <is>
          <t>Bergvik skog väst AB</t>
        </is>
      </c>
      <c r="G157" t="n">
        <v>4.6</v>
      </c>
      <c r="H157" t="n">
        <v>0</v>
      </c>
      <c r="I157" t="n">
        <v>0</v>
      </c>
      <c r="J157" t="n">
        <v>0</v>
      </c>
      <c r="K157" t="n">
        <v>0</v>
      </c>
      <c r="L157" t="n">
        <v>0</v>
      </c>
      <c r="M157" t="n">
        <v>0</v>
      </c>
      <c r="N157" t="n">
        <v>0</v>
      </c>
      <c r="O157" t="n">
        <v>0</v>
      </c>
      <c r="P157" t="n">
        <v>0</v>
      </c>
      <c r="Q157" t="n">
        <v>0</v>
      </c>
      <c r="R157" s="2" t="inlineStr"/>
    </row>
    <row r="158" ht="15" customHeight="1">
      <c r="A158" t="inlineStr">
        <is>
          <t>A 19099-2022</t>
        </is>
      </c>
      <c r="B158" s="1" t="n">
        <v>44691</v>
      </c>
      <c r="C158" s="1" t="n">
        <v>46088</v>
      </c>
      <c r="D158" t="inlineStr">
        <is>
          <t>VÄSTMANLANDS LÄN</t>
        </is>
      </c>
      <c r="E158" t="inlineStr">
        <is>
          <t>SURAHAMMAR</t>
        </is>
      </c>
      <c r="F158" t="inlineStr">
        <is>
          <t>Övriga Aktiebolag</t>
        </is>
      </c>
      <c r="G158" t="n">
        <v>3.4</v>
      </c>
      <c r="H158" t="n">
        <v>0</v>
      </c>
      <c r="I158" t="n">
        <v>0</v>
      </c>
      <c r="J158" t="n">
        <v>0</v>
      </c>
      <c r="K158" t="n">
        <v>0</v>
      </c>
      <c r="L158" t="n">
        <v>0</v>
      </c>
      <c r="M158" t="n">
        <v>0</v>
      </c>
      <c r="N158" t="n">
        <v>0</v>
      </c>
      <c r="O158" t="n">
        <v>0</v>
      </c>
      <c r="P158" t="n">
        <v>0</v>
      </c>
      <c r="Q158" t="n">
        <v>0</v>
      </c>
      <c r="R158" s="2" t="inlineStr"/>
    </row>
    <row r="159" ht="15" customHeight="1">
      <c r="A159" t="inlineStr">
        <is>
          <t>A 11501-2023</t>
        </is>
      </c>
      <c r="B159" s="1" t="n">
        <v>44991</v>
      </c>
      <c r="C159" s="1" t="n">
        <v>46088</v>
      </c>
      <c r="D159" t="inlineStr">
        <is>
          <t>VÄSTMANLANDS LÄN</t>
        </is>
      </c>
      <c r="E159" t="inlineStr">
        <is>
          <t>SURAHAMMAR</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3818-2022</t>
        </is>
      </c>
      <c r="B160" s="1" t="n">
        <v>44587</v>
      </c>
      <c r="C160" s="1" t="n">
        <v>46088</v>
      </c>
      <c r="D160" t="inlineStr">
        <is>
          <t>VÄSTMANLANDS LÄN</t>
        </is>
      </c>
      <c r="E160" t="inlineStr">
        <is>
          <t>SURAHAMMAR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21509-2024</t>
        </is>
      </c>
      <c r="B161" s="1" t="n">
        <v>45441</v>
      </c>
      <c r="C161" s="1" t="n">
        <v>46088</v>
      </c>
      <c r="D161" t="inlineStr">
        <is>
          <t>VÄSTMANLANDS LÄN</t>
        </is>
      </c>
      <c r="E161" t="inlineStr">
        <is>
          <t>SURAHAMMAR</t>
        </is>
      </c>
      <c r="F161" t="inlineStr">
        <is>
          <t>Bergvik skog väst AB</t>
        </is>
      </c>
      <c r="G161" t="n">
        <v>3.9</v>
      </c>
      <c r="H161" t="n">
        <v>0</v>
      </c>
      <c r="I161" t="n">
        <v>0</v>
      </c>
      <c r="J161" t="n">
        <v>0</v>
      </c>
      <c r="K161" t="n">
        <v>0</v>
      </c>
      <c r="L161" t="n">
        <v>0</v>
      </c>
      <c r="M161" t="n">
        <v>0</v>
      </c>
      <c r="N161" t="n">
        <v>0</v>
      </c>
      <c r="O161" t="n">
        <v>0</v>
      </c>
      <c r="P161" t="n">
        <v>0</v>
      </c>
      <c r="Q161" t="n">
        <v>0</v>
      </c>
      <c r="R161" s="2" t="inlineStr"/>
    </row>
    <row r="162" ht="15" customHeight="1">
      <c r="A162" t="inlineStr">
        <is>
          <t>A 22662-2023</t>
        </is>
      </c>
      <c r="B162" s="1" t="n">
        <v>45071</v>
      </c>
      <c r="C162" s="1" t="n">
        <v>46088</v>
      </c>
      <c r="D162" t="inlineStr">
        <is>
          <t>VÄSTMANLANDS LÄN</t>
        </is>
      </c>
      <c r="E162" t="inlineStr">
        <is>
          <t>SURAHAMMAR</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16013-2023</t>
        </is>
      </c>
      <c r="B163" s="1" t="n">
        <v>45026</v>
      </c>
      <c r="C163" s="1" t="n">
        <v>46088</v>
      </c>
      <c r="D163" t="inlineStr">
        <is>
          <t>VÄSTMANLANDS LÄN</t>
        </is>
      </c>
      <c r="E163" t="inlineStr">
        <is>
          <t>SURAHAMMAR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41555-2022</t>
        </is>
      </c>
      <c r="B164" s="1" t="n">
        <v>44826</v>
      </c>
      <c r="C164" s="1" t="n">
        <v>46088</v>
      </c>
      <c r="D164" t="inlineStr">
        <is>
          <t>VÄSTMANLANDS LÄN</t>
        </is>
      </c>
      <c r="E164" t="inlineStr">
        <is>
          <t>SURAHAMMAR</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25780-2023</t>
        </is>
      </c>
      <c r="B165" s="1" t="n">
        <v>45090.47523148148</v>
      </c>
      <c r="C165" s="1" t="n">
        <v>46088</v>
      </c>
      <c r="D165" t="inlineStr">
        <is>
          <t>VÄSTMANLANDS LÄN</t>
        </is>
      </c>
      <c r="E165" t="inlineStr">
        <is>
          <t>SURAHAMMAR</t>
        </is>
      </c>
      <c r="G165" t="n">
        <v>2.8</v>
      </c>
      <c r="H165" t="n">
        <v>0</v>
      </c>
      <c r="I165" t="n">
        <v>0</v>
      </c>
      <c r="J165" t="n">
        <v>0</v>
      </c>
      <c r="K165" t="n">
        <v>0</v>
      </c>
      <c r="L165" t="n">
        <v>0</v>
      </c>
      <c r="M165" t="n">
        <v>0</v>
      </c>
      <c r="N165" t="n">
        <v>0</v>
      </c>
      <c r="O165" t="n">
        <v>0</v>
      </c>
      <c r="P165" t="n">
        <v>0</v>
      </c>
      <c r="Q165" t="n">
        <v>0</v>
      </c>
      <c r="R165" s="2" t="inlineStr"/>
    </row>
    <row r="166" ht="15" customHeight="1">
      <c r="A166" t="inlineStr">
        <is>
          <t>A 13386-2025</t>
        </is>
      </c>
      <c r="B166" s="1" t="n">
        <v>45735</v>
      </c>
      <c r="C166" s="1" t="n">
        <v>46088</v>
      </c>
      <c r="D166" t="inlineStr">
        <is>
          <t>VÄSTMANLANDS LÄN</t>
        </is>
      </c>
      <c r="E166" t="inlineStr">
        <is>
          <t>SURAHAMMAR</t>
        </is>
      </c>
      <c r="F166" t="inlineStr">
        <is>
          <t>Bergvik skog väst AB</t>
        </is>
      </c>
      <c r="G166" t="n">
        <v>4</v>
      </c>
      <c r="H166" t="n">
        <v>0</v>
      </c>
      <c r="I166" t="n">
        <v>0</v>
      </c>
      <c r="J166" t="n">
        <v>0</v>
      </c>
      <c r="K166" t="n">
        <v>0</v>
      </c>
      <c r="L166" t="n">
        <v>0</v>
      </c>
      <c r="M166" t="n">
        <v>0</v>
      </c>
      <c r="N166" t="n">
        <v>0</v>
      </c>
      <c r="O166" t="n">
        <v>0</v>
      </c>
      <c r="P166" t="n">
        <v>0</v>
      </c>
      <c r="Q166" t="n">
        <v>0</v>
      </c>
      <c r="R166" s="2" t="inlineStr"/>
    </row>
    <row r="167" ht="15" customHeight="1">
      <c r="A167" t="inlineStr">
        <is>
          <t>A 47785-2021</t>
        </is>
      </c>
      <c r="B167" s="1" t="n">
        <v>44448</v>
      </c>
      <c r="C167" s="1" t="n">
        <v>46088</v>
      </c>
      <c r="D167" t="inlineStr">
        <is>
          <t>VÄSTMANLANDS LÄN</t>
        </is>
      </c>
      <c r="E167" t="inlineStr">
        <is>
          <t>SURAHAMMAR</t>
        </is>
      </c>
      <c r="F167" t="inlineStr">
        <is>
          <t>Kommuner</t>
        </is>
      </c>
      <c r="G167" t="n">
        <v>3.3</v>
      </c>
      <c r="H167" t="n">
        <v>0</v>
      </c>
      <c r="I167" t="n">
        <v>0</v>
      </c>
      <c r="J167" t="n">
        <v>0</v>
      </c>
      <c r="K167" t="n">
        <v>0</v>
      </c>
      <c r="L167" t="n">
        <v>0</v>
      </c>
      <c r="M167" t="n">
        <v>0</v>
      </c>
      <c r="N167" t="n">
        <v>0</v>
      </c>
      <c r="O167" t="n">
        <v>0</v>
      </c>
      <c r="P167" t="n">
        <v>0</v>
      </c>
      <c r="Q167" t="n">
        <v>0</v>
      </c>
      <c r="R167" s="2" t="inlineStr"/>
    </row>
    <row r="168">
      <c r="A168" t="inlineStr">
        <is>
          <t>A 15739-2023</t>
        </is>
      </c>
      <c r="B168" s="1" t="n">
        <v>45021</v>
      </c>
      <c r="C168" s="1" t="n">
        <v>46088</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2026-03-07T11:26:07Z</dcterms:created>
  <dcterms:modified xmlns:dcterms="http://purl.org/dc/terms/" xmlns:xsi="http://www.w3.org/2001/XMLSchema-instance" xsi:type="dcterms:W3CDTF">2026-03-07T11:26:07Z</dcterms:modified>
</cp:coreProperties>
</file>