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45917</v>
      </c>
      <c r="D5" t="inlineStr">
        <is>
          <t>VÄSTMANLANDS LÄN</t>
        </is>
      </c>
      <c r="E5" t="inlineStr">
        <is>
          <t>SURAHAMMAR</t>
        </is>
      </c>
      <c r="F5" t="inlineStr">
        <is>
          <t>Bergvik skog väst AB</t>
        </is>
      </c>
      <c r="G5" t="n">
        <v>25.7</v>
      </c>
      <c r="H5" t="n">
        <v>14</v>
      </c>
      <c r="I5" t="n">
        <v>5</v>
      </c>
      <c r="J5" t="n">
        <v>5</v>
      </c>
      <c r="K5" t="n">
        <v>1</v>
      </c>
      <c r="L5" t="n">
        <v>1</v>
      </c>
      <c r="M5" t="n">
        <v>0</v>
      </c>
      <c r="N5" t="n">
        <v>0</v>
      </c>
      <c r="O5" t="n">
        <v>7</v>
      </c>
      <c r="P5" t="n">
        <v>2</v>
      </c>
      <c r="Q5" t="n">
        <v>21</v>
      </c>
      <c r="R5" s="2" t="inlineStr">
        <is>
          <t>Grönfink
Knärot
Järpe
Motaggsvamp
Skogshare
Spillkråka
Talltita
Dropptaggsvamp
Fjällig taggsvamp s.str.
Mindre märgborre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45917</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45917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45917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45917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45917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45917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45917</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45917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45917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45917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45917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44798-2024</t>
        </is>
      </c>
      <c r="B17" s="1" t="n">
        <v>45574</v>
      </c>
      <c r="C17" s="1" t="n">
        <v>45917</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7791-2024</t>
        </is>
      </c>
      <c r="B18" s="1" t="n">
        <v>45348</v>
      </c>
      <c r="C18" s="1" t="n">
        <v>45917</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45917</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56299-2021</t>
        </is>
      </c>
      <c r="B20" s="1" t="n">
        <v>44477</v>
      </c>
      <c r="C20" s="1" t="n">
        <v>45917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45917</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45917</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45917</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45917</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45917</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45917</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45917</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45917</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42708-2022</t>
        </is>
      </c>
      <c r="B29" s="1" t="n">
        <v>44832</v>
      </c>
      <c r="C29" s="1" t="n">
        <v>45917</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20391-2024</t>
        </is>
      </c>
      <c r="B30" s="1" t="n">
        <v>45435</v>
      </c>
      <c r="C30" s="1" t="n">
        <v>45917</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45917</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45917</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45917</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45917</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48128-2023</t>
        </is>
      </c>
      <c r="B35" s="1" t="n">
        <v>45205</v>
      </c>
      <c r="C35" s="1" t="n">
        <v>45917</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42853-2022</t>
        </is>
      </c>
      <c r="B36" s="1" t="n">
        <v>44832</v>
      </c>
      <c r="C36" s="1" t="n">
        <v>45917</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39594-2025</t>
        </is>
      </c>
      <c r="B37" s="1" t="n">
        <v>45890</v>
      </c>
      <c r="C37" s="1" t="n">
        <v>45917</v>
      </c>
      <c r="D37" t="inlineStr">
        <is>
          <t>VÄSTMANLANDS LÄN</t>
        </is>
      </c>
      <c r="E37" t="inlineStr">
        <is>
          <t>SURAHAMMAR</t>
        </is>
      </c>
      <c r="F37" t="inlineStr">
        <is>
          <t>Bergvik skog väst AB</t>
        </is>
      </c>
      <c r="G37" t="n">
        <v>7</v>
      </c>
      <c r="H37" t="n">
        <v>0</v>
      </c>
      <c r="I37" t="n">
        <v>2</v>
      </c>
      <c r="J37" t="n">
        <v>1</v>
      </c>
      <c r="K37" t="n">
        <v>0</v>
      </c>
      <c r="L37" t="n">
        <v>0</v>
      </c>
      <c r="M37" t="n">
        <v>0</v>
      </c>
      <c r="N37" t="n">
        <v>0</v>
      </c>
      <c r="O37" t="n">
        <v>1</v>
      </c>
      <c r="P37" t="n">
        <v>0</v>
      </c>
      <c r="Q37" t="n">
        <v>3</v>
      </c>
      <c r="R37" s="2" t="inlineStr">
        <is>
          <t>Gropticka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row>
    <row r="38" ht="15" customHeight="1">
      <c r="A38" t="inlineStr">
        <is>
          <t>A 37801-2021</t>
        </is>
      </c>
      <c r="B38" s="1" t="n">
        <v>44402</v>
      </c>
      <c r="C38" s="1" t="n">
        <v>45917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45917</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45917</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45917</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45917</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45917</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45917</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45917</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45917</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56362-2023</t>
        </is>
      </c>
      <c r="B47" s="1" t="n">
        <v>45236</v>
      </c>
      <c r="C47" s="1" t="n">
        <v>45917</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69777-2021</t>
        </is>
      </c>
      <c r="B48" s="1" t="n">
        <v>44532</v>
      </c>
      <c r="C48" s="1" t="n">
        <v>45917</v>
      </c>
      <c r="D48" t="inlineStr">
        <is>
          <t>VÄSTMANLANDS LÄN</t>
        </is>
      </c>
      <c r="E48" t="inlineStr">
        <is>
          <t>SURAHAMMAR</t>
        </is>
      </c>
      <c r="G48" t="n">
        <v>2.3</v>
      </c>
      <c r="H48" t="n">
        <v>1</v>
      </c>
      <c r="I48" t="n">
        <v>0</v>
      </c>
      <c r="J48" t="n">
        <v>0</v>
      </c>
      <c r="K48" t="n">
        <v>1</v>
      </c>
      <c r="L48" t="n">
        <v>0</v>
      </c>
      <c r="M48" t="n">
        <v>0</v>
      </c>
      <c r="N48" t="n">
        <v>0</v>
      </c>
      <c r="O48" t="n">
        <v>1</v>
      </c>
      <c r="P48" t="n">
        <v>1</v>
      </c>
      <c r="Q48" t="n">
        <v>1</v>
      </c>
      <c r="R48" s="2" t="inlineStr">
        <is>
          <t>Bombmurkla</t>
        </is>
      </c>
      <c r="S48">
        <f>HYPERLINK("https://klasma.github.io/Logging_1907/artfynd/A 69777-2021 artfynd.xlsx", "A 69777-2021")</f>
        <v/>
      </c>
      <c r="T48">
        <f>HYPERLINK("https://klasma.github.io/Logging_1907/kartor/A 69777-2021 karta.png", "A 69777-2021")</f>
        <v/>
      </c>
      <c r="V48">
        <f>HYPERLINK("https://klasma.github.io/Logging_1907/klagomål/A 69777-2021 FSC-klagomål.docx", "A 69777-2021")</f>
        <v/>
      </c>
      <c r="W48">
        <f>HYPERLINK("https://klasma.github.io/Logging_1907/klagomålsmail/A 69777-2021 FSC-klagomål mail.docx", "A 69777-2021")</f>
        <v/>
      </c>
      <c r="X48">
        <f>HYPERLINK("https://klasma.github.io/Logging_1907/tillsyn/A 69777-2021 tillsynsbegäran.docx", "A 69777-2021")</f>
        <v/>
      </c>
      <c r="Y48">
        <f>HYPERLINK("https://klasma.github.io/Logging_1907/tillsynsmail/A 69777-2021 tillsynsbegäran mail.docx", "A 69777-2021")</f>
        <v/>
      </c>
    </row>
    <row r="49" ht="15" customHeight="1">
      <c r="A49" t="inlineStr">
        <is>
          <t>A 14001-2023</t>
        </is>
      </c>
      <c r="B49" s="1" t="n">
        <v>45007</v>
      </c>
      <c r="C49" s="1" t="n">
        <v>45917</v>
      </c>
      <c r="D49" t="inlineStr">
        <is>
          <t>VÄSTMANLANDS LÄN</t>
        </is>
      </c>
      <c r="E49" t="inlineStr">
        <is>
          <t>SURAHAMMAR</t>
        </is>
      </c>
      <c r="F49" t="inlineStr">
        <is>
          <t>Bergvik skog väst AB</t>
        </is>
      </c>
      <c r="G49" t="n">
        <v>1</v>
      </c>
      <c r="H49" t="n">
        <v>0</v>
      </c>
      <c r="I49" t="n">
        <v>0</v>
      </c>
      <c r="J49" t="n">
        <v>1</v>
      </c>
      <c r="K49" t="n">
        <v>0</v>
      </c>
      <c r="L49" t="n">
        <v>0</v>
      </c>
      <c r="M49" t="n">
        <v>0</v>
      </c>
      <c r="N49" t="n">
        <v>0</v>
      </c>
      <c r="O49" t="n">
        <v>1</v>
      </c>
      <c r="P49" t="n">
        <v>0</v>
      </c>
      <c r="Q49" t="n">
        <v>1</v>
      </c>
      <c r="R49" s="2" t="inlineStr">
        <is>
          <t>Motaggsvamp</t>
        </is>
      </c>
      <c r="S49">
        <f>HYPERLINK("https://klasma.github.io/Logging_1907/artfynd/A 14001-2023 artfynd.xlsx", "A 14001-2023")</f>
        <v/>
      </c>
      <c r="T49">
        <f>HYPERLINK("https://klasma.github.io/Logging_1907/kartor/A 14001-2023 karta.png", "A 14001-2023")</f>
        <v/>
      </c>
      <c r="V49">
        <f>HYPERLINK("https://klasma.github.io/Logging_1907/klagomål/A 14001-2023 FSC-klagomål.docx", "A 14001-2023")</f>
        <v/>
      </c>
      <c r="W49">
        <f>HYPERLINK("https://klasma.github.io/Logging_1907/klagomålsmail/A 14001-2023 FSC-klagomål mail.docx", "A 14001-2023")</f>
        <v/>
      </c>
      <c r="X49">
        <f>HYPERLINK("https://klasma.github.io/Logging_1907/tillsyn/A 14001-2023 tillsynsbegäran.docx", "A 14001-2023")</f>
        <v/>
      </c>
      <c r="Y49">
        <f>HYPERLINK("https://klasma.github.io/Logging_1907/tillsynsmail/A 14001-2023 tillsynsbegäran mail.docx", "A 14001-2023")</f>
        <v/>
      </c>
    </row>
    <row r="50" ht="15" customHeight="1">
      <c r="A50" t="inlineStr">
        <is>
          <t>A 39099-2022</t>
        </is>
      </c>
      <c r="B50" s="1" t="n">
        <v>44817</v>
      </c>
      <c r="C50" s="1" t="n">
        <v>45917</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17632-2022</t>
        </is>
      </c>
      <c r="B51" s="1" t="n">
        <v>44680</v>
      </c>
      <c r="C51" s="1" t="n">
        <v>45917</v>
      </c>
      <c r="D51" t="inlineStr">
        <is>
          <t>VÄSTMANLANDS LÄN</t>
        </is>
      </c>
      <c r="E51" t="inlineStr">
        <is>
          <t>SURAHAMMAR</t>
        </is>
      </c>
      <c r="G51" t="n">
        <v>5.2</v>
      </c>
      <c r="H51" t="n">
        <v>0</v>
      </c>
      <c r="I51" t="n">
        <v>1</v>
      </c>
      <c r="J51" t="n">
        <v>0</v>
      </c>
      <c r="K51" t="n">
        <v>0</v>
      </c>
      <c r="L51" t="n">
        <v>0</v>
      </c>
      <c r="M51" t="n">
        <v>0</v>
      </c>
      <c r="N51" t="n">
        <v>0</v>
      </c>
      <c r="O51" t="n">
        <v>0</v>
      </c>
      <c r="P51" t="n">
        <v>0</v>
      </c>
      <c r="Q51" t="n">
        <v>1</v>
      </c>
      <c r="R51" s="2" t="inlineStr">
        <is>
          <t>Blodticka</t>
        </is>
      </c>
      <c r="S51">
        <f>HYPERLINK("https://klasma.github.io/Logging_1907/artfynd/A 17632-2022 artfynd.xlsx", "A 17632-2022")</f>
        <v/>
      </c>
      <c r="T51">
        <f>HYPERLINK("https://klasma.github.io/Logging_1907/kartor/A 17632-2022 karta.png", "A 17632-2022")</f>
        <v/>
      </c>
      <c r="V51">
        <f>HYPERLINK("https://klasma.github.io/Logging_1907/klagomål/A 17632-2022 FSC-klagomål.docx", "A 17632-2022")</f>
        <v/>
      </c>
      <c r="W51">
        <f>HYPERLINK("https://klasma.github.io/Logging_1907/klagomålsmail/A 17632-2022 FSC-klagomål mail.docx", "A 17632-2022")</f>
        <v/>
      </c>
      <c r="X51">
        <f>HYPERLINK("https://klasma.github.io/Logging_1907/tillsyn/A 17632-2022 tillsynsbegäran.docx", "A 17632-2022")</f>
        <v/>
      </c>
      <c r="Y51">
        <f>HYPERLINK("https://klasma.github.io/Logging_1907/tillsynsmail/A 17632-2022 tillsynsbegäran mail.docx", "A 17632-2022")</f>
        <v/>
      </c>
    </row>
    <row r="52" ht="15" customHeight="1">
      <c r="A52" t="inlineStr">
        <is>
          <t>A 47453-2024</t>
        </is>
      </c>
      <c r="B52" s="1" t="n">
        <v>45587.55017361111</v>
      </c>
      <c r="C52" s="1" t="n">
        <v>45917</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22840-2023</t>
        </is>
      </c>
      <c r="B53" s="1" t="n">
        <v>45072</v>
      </c>
      <c r="C53" s="1" t="n">
        <v>45917</v>
      </c>
      <c r="D53" t="inlineStr">
        <is>
          <t>VÄSTMANLANDS LÄN</t>
        </is>
      </c>
      <c r="E53" t="inlineStr">
        <is>
          <t>SURAHAMMAR</t>
        </is>
      </c>
      <c r="G53" t="n">
        <v>4.3</v>
      </c>
      <c r="H53" t="n">
        <v>1</v>
      </c>
      <c r="I53" t="n">
        <v>0</v>
      </c>
      <c r="J53" t="n">
        <v>0</v>
      </c>
      <c r="K53" t="n">
        <v>0</v>
      </c>
      <c r="L53" t="n">
        <v>0</v>
      </c>
      <c r="M53" t="n">
        <v>0</v>
      </c>
      <c r="N53" t="n">
        <v>0</v>
      </c>
      <c r="O53" t="n">
        <v>0</v>
      </c>
      <c r="P53" t="n">
        <v>0</v>
      </c>
      <c r="Q53" t="n">
        <v>1</v>
      </c>
      <c r="R53" s="2" t="inlineStr">
        <is>
          <t>Fläcknycklar</t>
        </is>
      </c>
      <c r="S53">
        <f>HYPERLINK("https://klasma.github.io/Logging_1907/artfynd/A 22840-2023 artfynd.xlsx", "A 22840-2023")</f>
        <v/>
      </c>
      <c r="T53">
        <f>HYPERLINK("https://klasma.github.io/Logging_1907/kartor/A 22840-2023 karta.png", "A 22840-2023")</f>
        <v/>
      </c>
      <c r="V53">
        <f>HYPERLINK("https://klasma.github.io/Logging_1907/klagomål/A 22840-2023 FSC-klagomål.docx", "A 22840-2023")</f>
        <v/>
      </c>
      <c r="W53">
        <f>HYPERLINK("https://klasma.github.io/Logging_1907/klagomålsmail/A 22840-2023 FSC-klagomål mail.docx", "A 22840-2023")</f>
        <v/>
      </c>
      <c r="X53">
        <f>HYPERLINK("https://klasma.github.io/Logging_1907/tillsyn/A 22840-2023 tillsynsbegäran.docx", "A 22840-2023")</f>
        <v/>
      </c>
      <c r="Y53">
        <f>HYPERLINK("https://klasma.github.io/Logging_1907/tillsynsmail/A 22840-2023 tillsynsbegäran mail.docx", "A 22840-2023")</f>
        <v/>
      </c>
    </row>
    <row r="54" ht="15" customHeight="1">
      <c r="A54" t="inlineStr">
        <is>
          <t>A 10819-2024</t>
        </is>
      </c>
      <c r="B54" s="1" t="n">
        <v>45369.66049768519</v>
      </c>
      <c r="C54" s="1" t="n">
        <v>45917</v>
      </c>
      <c r="D54" t="inlineStr">
        <is>
          <t>VÄSTMANLANDS LÄN</t>
        </is>
      </c>
      <c r="E54" t="inlineStr">
        <is>
          <t>SURAHAMMAR</t>
        </is>
      </c>
      <c r="G54" t="n">
        <v>2</v>
      </c>
      <c r="H54" t="n">
        <v>0</v>
      </c>
      <c r="I54" t="n">
        <v>1</v>
      </c>
      <c r="J54" t="n">
        <v>0</v>
      </c>
      <c r="K54" t="n">
        <v>0</v>
      </c>
      <c r="L54" t="n">
        <v>0</v>
      </c>
      <c r="M54" t="n">
        <v>0</v>
      </c>
      <c r="N54" t="n">
        <v>0</v>
      </c>
      <c r="O54" t="n">
        <v>0</v>
      </c>
      <c r="P54" t="n">
        <v>0</v>
      </c>
      <c r="Q54" t="n">
        <v>1</v>
      </c>
      <c r="R54" s="2" t="inlineStr">
        <is>
          <t>Tibast</t>
        </is>
      </c>
      <c r="S54">
        <f>HYPERLINK("https://klasma.github.io/Logging_1907/artfynd/A 10819-2024 artfynd.xlsx", "A 10819-2024")</f>
        <v/>
      </c>
      <c r="T54">
        <f>HYPERLINK("https://klasma.github.io/Logging_1907/kartor/A 10819-2024 karta.png", "A 10819-2024")</f>
        <v/>
      </c>
      <c r="V54">
        <f>HYPERLINK("https://klasma.github.io/Logging_1907/klagomål/A 10819-2024 FSC-klagomål.docx", "A 10819-2024")</f>
        <v/>
      </c>
      <c r="W54">
        <f>HYPERLINK("https://klasma.github.io/Logging_1907/klagomålsmail/A 10819-2024 FSC-klagomål mail.docx", "A 10819-2024")</f>
        <v/>
      </c>
      <c r="X54">
        <f>HYPERLINK("https://klasma.github.io/Logging_1907/tillsyn/A 10819-2024 tillsynsbegäran.docx", "A 10819-2024")</f>
        <v/>
      </c>
      <c r="Y54">
        <f>HYPERLINK("https://klasma.github.io/Logging_1907/tillsynsmail/A 10819-2024 tillsynsbegäran mail.docx", "A 10819-2024")</f>
        <v/>
      </c>
    </row>
    <row r="55" ht="15" customHeight="1">
      <c r="A55" t="inlineStr">
        <is>
          <t>A 40403-2025</t>
        </is>
      </c>
      <c r="B55" s="1" t="n">
        <v>45895</v>
      </c>
      <c r="C55" s="1" t="n">
        <v>45917</v>
      </c>
      <c r="D55" t="inlineStr">
        <is>
          <t>VÄSTMANLANDS LÄN</t>
        </is>
      </c>
      <c r="E55" t="inlineStr">
        <is>
          <t>SURAHAMMAR</t>
        </is>
      </c>
      <c r="F55" t="inlineStr">
        <is>
          <t>Kommuner</t>
        </is>
      </c>
      <c r="G55" t="n">
        <v>3.9</v>
      </c>
      <c r="H55" t="n">
        <v>0</v>
      </c>
      <c r="I55" t="n">
        <v>0</v>
      </c>
      <c r="J55" t="n">
        <v>1</v>
      </c>
      <c r="K55" t="n">
        <v>0</v>
      </c>
      <c r="L55" t="n">
        <v>0</v>
      </c>
      <c r="M55" t="n">
        <v>0</v>
      </c>
      <c r="N55" t="n">
        <v>0</v>
      </c>
      <c r="O55" t="n">
        <v>1</v>
      </c>
      <c r="P55" t="n">
        <v>0</v>
      </c>
      <c r="Q55" t="n">
        <v>1</v>
      </c>
      <c r="R55" s="2" t="inlineStr">
        <is>
          <t>Igelkott</t>
        </is>
      </c>
      <c r="S55">
        <f>HYPERLINK("https://klasma.github.io/Logging_1907/artfynd/A 40403-2025 artfynd.xlsx", "A 40403-2025")</f>
        <v/>
      </c>
      <c r="T55">
        <f>HYPERLINK("https://klasma.github.io/Logging_1907/kartor/A 40403-2025 karta.png", "A 40403-2025")</f>
        <v/>
      </c>
      <c r="V55">
        <f>HYPERLINK("https://klasma.github.io/Logging_1907/klagomål/A 40403-2025 FSC-klagomål.docx", "A 40403-2025")</f>
        <v/>
      </c>
      <c r="W55">
        <f>HYPERLINK("https://klasma.github.io/Logging_1907/klagomålsmail/A 40403-2025 FSC-klagomål mail.docx", "A 40403-2025")</f>
        <v/>
      </c>
      <c r="X55">
        <f>HYPERLINK("https://klasma.github.io/Logging_1907/tillsyn/A 40403-2025 tillsynsbegäran.docx", "A 40403-2025")</f>
        <v/>
      </c>
      <c r="Y55">
        <f>HYPERLINK("https://klasma.github.io/Logging_1907/tillsynsmail/A 40403-2025 tillsynsbegäran mail.docx", "A 40403-2025")</f>
        <v/>
      </c>
    </row>
    <row r="56" ht="15" customHeight="1">
      <c r="A56" t="inlineStr">
        <is>
          <t>A 62097-2024</t>
        </is>
      </c>
      <c r="B56" s="1" t="n">
        <v>45646</v>
      </c>
      <c r="C56" s="1" t="n">
        <v>45917</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42089-2025</t>
        </is>
      </c>
      <c r="B57" s="1" t="n">
        <v>45902</v>
      </c>
      <c r="C57" s="1" t="n">
        <v>45917</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39694-2025</t>
        </is>
      </c>
      <c r="B58" s="1" t="n">
        <v>45890</v>
      </c>
      <c r="C58" s="1" t="n">
        <v>45917</v>
      </c>
      <c r="D58" t="inlineStr">
        <is>
          <t>VÄSTMANLANDS LÄN</t>
        </is>
      </c>
      <c r="E58" t="inlineStr">
        <is>
          <t>SURAHAMMAR</t>
        </is>
      </c>
      <c r="F58" t="inlineStr">
        <is>
          <t>Bergvik skog väst AB</t>
        </is>
      </c>
      <c r="G58" t="n">
        <v>2.9</v>
      </c>
      <c r="H58" t="n">
        <v>0</v>
      </c>
      <c r="I58" t="n">
        <v>1</v>
      </c>
      <c r="J58" t="n">
        <v>0</v>
      </c>
      <c r="K58" t="n">
        <v>0</v>
      </c>
      <c r="L58" t="n">
        <v>0</v>
      </c>
      <c r="M58" t="n">
        <v>0</v>
      </c>
      <c r="N58" t="n">
        <v>0</v>
      </c>
      <c r="O58" t="n">
        <v>0</v>
      </c>
      <c r="P58" t="n">
        <v>0</v>
      </c>
      <c r="Q58" t="n">
        <v>1</v>
      </c>
      <c r="R58" s="2" t="inlineStr">
        <is>
          <t>Mindre märgborre</t>
        </is>
      </c>
      <c r="S58">
        <f>HYPERLINK("https://klasma.github.io/Logging_1907/artfynd/A 39694-2025 artfynd.xlsx", "A 39694-2025")</f>
        <v/>
      </c>
      <c r="T58">
        <f>HYPERLINK("https://klasma.github.io/Logging_1907/kartor/A 39694-2025 karta.png", "A 39694-2025")</f>
        <v/>
      </c>
      <c r="V58">
        <f>HYPERLINK("https://klasma.github.io/Logging_1907/klagomål/A 39694-2025 FSC-klagomål.docx", "A 39694-2025")</f>
        <v/>
      </c>
      <c r="W58">
        <f>HYPERLINK("https://klasma.github.io/Logging_1907/klagomålsmail/A 39694-2025 FSC-klagomål mail.docx", "A 39694-2025")</f>
        <v/>
      </c>
      <c r="X58">
        <f>HYPERLINK("https://klasma.github.io/Logging_1907/tillsyn/A 39694-2025 tillsynsbegäran.docx", "A 39694-2025")</f>
        <v/>
      </c>
      <c r="Y58">
        <f>HYPERLINK("https://klasma.github.io/Logging_1907/tillsynsmail/A 39694-2025 tillsynsbegäran mail.docx", "A 39694-2025")</f>
        <v/>
      </c>
    </row>
    <row r="59" ht="15" customHeight="1">
      <c r="A59" t="inlineStr">
        <is>
          <t>A 40411-2021</t>
        </is>
      </c>
      <c r="B59" s="1" t="n">
        <v>44419</v>
      </c>
      <c r="C59" s="1" t="n">
        <v>45917</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45917</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43451-2024</t>
        </is>
      </c>
      <c r="B61" s="1" t="n">
        <v>45568</v>
      </c>
      <c r="C61" s="1" t="n">
        <v>45917</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30074-2023</t>
        </is>
      </c>
      <c r="B62" s="1" t="n">
        <v>45110</v>
      </c>
      <c r="C62" s="1" t="n">
        <v>45917</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45917</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45917</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13971-2023</t>
        </is>
      </c>
      <c r="B65" s="1" t="n">
        <v>45007</v>
      </c>
      <c r="C65" s="1" t="n">
        <v>45917</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45917</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45917</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13788-2025</t>
        </is>
      </c>
      <c r="B68" s="1" t="n">
        <v>45737.45327546296</v>
      </c>
      <c r="C68" s="1" t="n">
        <v>45917</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1492-2021</t>
        </is>
      </c>
      <c r="B69" s="1" t="n">
        <v>44209</v>
      </c>
      <c r="C69" s="1" t="n">
        <v>45917</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45917</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45917</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45917</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45917</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45917</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45917</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45917</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45917</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45917</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45917</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45917</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45917</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45917</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45917</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45917</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45917</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45917</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45917</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45917</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45917</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45917</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19846-2022</t>
        </is>
      </c>
      <c r="B91" s="1" t="n">
        <v>44696.89327546296</v>
      </c>
      <c r="C91" s="1" t="n">
        <v>45917</v>
      </c>
      <c r="D91" t="inlineStr">
        <is>
          <t>VÄSTMANLANDS LÄN</t>
        </is>
      </c>
      <c r="E91" t="inlineStr">
        <is>
          <t>SURAHAMMAR</t>
        </is>
      </c>
      <c r="F91" t="inlineStr">
        <is>
          <t>Kommuner</t>
        </is>
      </c>
      <c r="G91" t="n">
        <v>3.4</v>
      </c>
      <c r="H91" t="n">
        <v>0</v>
      </c>
      <c r="I91" t="n">
        <v>0</v>
      </c>
      <c r="J91" t="n">
        <v>0</v>
      </c>
      <c r="K91" t="n">
        <v>0</v>
      </c>
      <c r="L91" t="n">
        <v>0</v>
      </c>
      <c r="M91" t="n">
        <v>0</v>
      </c>
      <c r="N91" t="n">
        <v>0</v>
      </c>
      <c r="O91" t="n">
        <v>0</v>
      </c>
      <c r="P91" t="n">
        <v>0</v>
      </c>
      <c r="Q91" t="n">
        <v>0</v>
      </c>
      <c r="R91" s="2" t="inlineStr"/>
    </row>
    <row r="92" ht="15" customHeight="1">
      <c r="A92" t="inlineStr">
        <is>
          <t>A 66342-2021</t>
        </is>
      </c>
      <c r="B92" s="1" t="n">
        <v>44518</v>
      </c>
      <c r="C92" s="1" t="n">
        <v>45917</v>
      </c>
      <c r="D92" t="inlineStr">
        <is>
          <t>VÄSTMANLANDS LÄN</t>
        </is>
      </c>
      <c r="E92" t="inlineStr">
        <is>
          <t>SURAHAMMAR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35682-2022</t>
        </is>
      </c>
      <c r="B93" s="1" t="n">
        <v>44799.60422453703</v>
      </c>
      <c r="C93" s="1" t="n">
        <v>45917</v>
      </c>
      <c r="D93" t="inlineStr">
        <is>
          <t>VÄSTMANLANDS LÄN</t>
        </is>
      </c>
      <c r="E93" t="inlineStr">
        <is>
          <t>SURAHAMMAR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32808-2024</t>
        </is>
      </c>
      <c r="B94" s="1" t="n">
        <v>45516</v>
      </c>
      <c r="C94" s="1" t="n">
        <v>45917</v>
      </c>
      <c r="D94" t="inlineStr">
        <is>
          <t>VÄSTMANLANDS LÄN</t>
        </is>
      </c>
      <c r="E94" t="inlineStr">
        <is>
          <t>SURAHAMMAR</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45917</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45917</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45917</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45917</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2867-2024</t>
        </is>
      </c>
      <c r="B99" s="1" t="n">
        <v>45315</v>
      </c>
      <c r="C99" s="1" t="n">
        <v>45917</v>
      </c>
      <c r="D99" t="inlineStr">
        <is>
          <t>VÄSTMANLANDS LÄN</t>
        </is>
      </c>
      <c r="E99" t="inlineStr">
        <is>
          <t>SURAHAMMAR</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2660-2024</t>
        </is>
      </c>
      <c r="B100" s="1" t="n">
        <v>45310</v>
      </c>
      <c r="C100" s="1" t="n">
        <v>45917</v>
      </c>
      <c r="D100" t="inlineStr">
        <is>
          <t>VÄSTMANLANDS LÄN</t>
        </is>
      </c>
      <c r="E100" t="inlineStr">
        <is>
          <t>SURAHAMMAR</t>
        </is>
      </c>
      <c r="G100" t="n">
        <v>2.1</v>
      </c>
      <c r="H100" t="n">
        <v>0</v>
      </c>
      <c r="I100" t="n">
        <v>0</v>
      </c>
      <c r="J100" t="n">
        <v>0</v>
      </c>
      <c r="K100" t="n">
        <v>0</v>
      </c>
      <c r="L100" t="n">
        <v>0</v>
      </c>
      <c r="M100" t="n">
        <v>0</v>
      </c>
      <c r="N100" t="n">
        <v>0</v>
      </c>
      <c r="O100" t="n">
        <v>0</v>
      </c>
      <c r="P100" t="n">
        <v>0</v>
      </c>
      <c r="Q100" t="n">
        <v>0</v>
      </c>
      <c r="R100" s="2" t="inlineStr"/>
    </row>
    <row r="101" ht="15" customHeight="1">
      <c r="A101" t="inlineStr">
        <is>
          <t>A 3818-2022</t>
        </is>
      </c>
      <c r="B101" s="1" t="n">
        <v>44587</v>
      </c>
      <c r="C101" s="1" t="n">
        <v>45917</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41555-2022</t>
        </is>
      </c>
      <c r="B102" s="1" t="n">
        <v>44826</v>
      </c>
      <c r="C102" s="1" t="n">
        <v>45917</v>
      </c>
      <c r="D102" t="inlineStr">
        <is>
          <t>VÄSTMANLANDS LÄN</t>
        </is>
      </c>
      <c r="E102" t="inlineStr">
        <is>
          <t>SURAHAMMAR</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44358-2024</t>
        </is>
      </c>
      <c r="B103" s="1" t="n">
        <v>45573</v>
      </c>
      <c r="C103" s="1" t="n">
        <v>45917</v>
      </c>
      <c r="D103" t="inlineStr">
        <is>
          <t>VÄSTMANLANDS LÄN</t>
        </is>
      </c>
      <c r="E103" t="inlineStr">
        <is>
          <t>SURAHAMMAR</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5567-2022</t>
        </is>
      </c>
      <c r="B104" s="1" t="n">
        <v>44595</v>
      </c>
      <c r="C104" s="1" t="n">
        <v>45917</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41576-2022</t>
        </is>
      </c>
      <c r="B105" s="1" t="n">
        <v>44826</v>
      </c>
      <c r="C105" s="1" t="n">
        <v>45917</v>
      </c>
      <c r="D105" t="inlineStr">
        <is>
          <t>VÄSTMANLANDS LÄN</t>
        </is>
      </c>
      <c r="E105" t="inlineStr">
        <is>
          <t>SURAHAMMAR</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45917</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45917</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45917</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37954-2025</t>
        </is>
      </c>
      <c r="B109" s="1" t="n">
        <v>45881</v>
      </c>
      <c r="C109" s="1" t="n">
        <v>45917</v>
      </c>
      <c r="D109" t="inlineStr">
        <is>
          <t>VÄSTMANLANDS LÄN</t>
        </is>
      </c>
      <c r="E109" t="inlineStr">
        <is>
          <t>SURAHAMMAR</t>
        </is>
      </c>
      <c r="G109" t="n">
        <v>9.5</v>
      </c>
      <c r="H109" t="n">
        <v>0</v>
      </c>
      <c r="I109" t="n">
        <v>0</v>
      </c>
      <c r="J109" t="n">
        <v>0</v>
      </c>
      <c r="K109" t="n">
        <v>0</v>
      </c>
      <c r="L109" t="n">
        <v>0</v>
      </c>
      <c r="M109" t="n">
        <v>0</v>
      </c>
      <c r="N109" t="n">
        <v>0</v>
      </c>
      <c r="O109" t="n">
        <v>0</v>
      </c>
      <c r="P109" t="n">
        <v>0</v>
      </c>
      <c r="Q109" t="n">
        <v>0</v>
      </c>
      <c r="R109" s="2" t="inlineStr"/>
    </row>
    <row r="110" ht="15" customHeight="1">
      <c r="A110" t="inlineStr">
        <is>
          <t>A 8553-2023</t>
        </is>
      </c>
      <c r="B110" s="1" t="n">
        <v>44977</v>
      </c>
      <c r="C110" s="1" t="n">
        <v>45917</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45917</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3085-2023</t>
        </is>
      </c>
      <c r="B112" s="1" t="n">
        <v>44946</v>
      </c>
      <c r="C112" s="1" t="n">
        <v>45917</v>
      </c>
      <c r="D112" t="inlineStr">
        <is>
          <t>VÄSTMANLANDS LÄN</t>
        </is>
      </c>
      <c r="E112" t="inlineStr">
        <is>
          <t>SURAHAMMAR</t>
        </is>
      </c>
      <c r="F112" t="inlineStr">
        <is>
          <t>Kyrkan</t>
        </is>
      </c>
      <c r="G112" t="n">
        <v>13</v>
      </c>
      <c r="H112" t="n">
        <v>0</v>
      </c>
      <c r="I112" t="n">
        <v>0</v>
      </c>
      <c r="J112" t="n">
        <v>0</v>
      </c>
      <c r="K112" t="n">
        <v>0</v>
      </c>
      <c r="L112" t="n">
        <v>0</v>
      </c>
      <c r="M112" t="n">
        <v>0</v>
      </c>
      <c r="N112" t="n">
        <v>0</v>
      </c>
      <c r="O112" t="n">
        <v>0</v>
      </c>
      <c r="P112" t="n">
        <v>0</v>
      </c>
      <c r="Q112" t="n">
        <v>0</v>
      </c>
      <c r="R112" s="2" t="inlineStr"/>
    </row>
    <row r="113" ht="15" customHeight="1">
      <c r="A113" t="inlineStr">
        <is>
          <t>A 56378-2023</t>
        </is>
      </c>
      <c r="B113" s="1" t="n">
        <v>45236</v>
      </c>
      <c r="C113" s="1" t="n">
        <v>45917</v>
      </c>
      <c r="D113" t="inlineStr">
        <is>
          <t>VÄSTMANLANDS LÄN</t>
        </is>
      </c>
      <c r="E113" t="inlineStr">
        <is>
          <t>SURAHAMMAR</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34584-2025</t>
        </is>
      </c>
      <c r="B114" s="1" t="n">
        <v>45846</v>
      </c>
      <c r="C114" s="1" t="n">
        <v>45917</v>
      </c>
      <c r="D114" t="inlineStr">
        <is>
          <t>VÄSTMANLANDS LÄN</t>
        </is>
      </c>
      <c r="E114" t="inlineStr">
        <is>
          <t>SURAHAMMAR</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11728-2023</t>
        </is>
      </c>
      <c r="B115" s="1" t="n">
        <v>44993</v>
      </c>
      <c r="C115" s="1" t="n">
        <v>45917</v>
      </c>
      <c r="D115" t="inlineStr">
        <is>
          <t>VÄSTMANLANDS LÄN</t>
        </is>
      </c>
      <c r="E115" t="inlineStr">
        <is>
          <t>SURAHAMMAR</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34582-2025</t>
        </is>
      </c>
      <c r="B116" s="1" t="n">
        <v>45846</v>
      </c>
      <c r="C116" s="1" t="n">
        <v>45917</v>
      </c>
      <c r="D116" t="inlineStr">
        <is>
          <t>VÄSTMANLANDS LÄN</t>
        </is>
      </c>
      <c r="E116" t="inlineStr">
        <is>
          <t>SURAHAMMAR</t>
        </is>
      </c>
      <c r="F116" t="inlineStr">
        <is>
          <t>Bergvik skog väst AB</t>
        </is>
      </c>
      <c r="G116" t="n">
        <v>2.6</v>
      </c>
      <c r="H116" t="n">
        <v>0</v>
      </c>
      <c r="I116" t="n">
        <v>0</v>
      </c>
      <c r="J116" t="n">
        <v>0</v>
      </c>
      <c r="K116" t="n">
        <v>0</v>
      </c>
      <c r="L116" t="n">
        <v>0</v>
      </c>
      <c r="M116" t="n">
        <v>0</v>
      </c>
      <c r="N116" t="n">
        <v>0</v>
      </c>
      <c r="O116" t="n">
        <v>0</v>
      </c>
      <c r="P116" t="n">
        <v>0</v>
      </c>
      <c r="Q116" t="n">
        <v>0</v>
      </c>
      <c r="R116" s="2" t="inlineStr"/>
    </row>
    <row r="117" ht="15" customHeight="1">
      <c r="A117" t="inlineStr">
        <is>
          <t>A 7848-2022</t>
        </is>
      </c>
      <c r="B117" s="1" t="n">
        <v>44608.58400462963</v>
      </c>
      <c r="C117" s="1" t="n">
        <v>45917</v>
      </c>
      <c r="D117" t="inlineStr">
        <is>
          <t>VÄSTMANLANDS LÄN</t>
        </is>
      </c>
      <c r="E117" t="inlineStr">
        <is>
          <t>SURAHAMMAR</t>
        </is>
      </c>
      <c r="G117" t="n">
        <v>2.1</v>
      </c>
      <c r="H117" t="n">
        <v>0</v>
      </c>
      <c r="I117" t="n">
        <v>0</v>
      </c>
      <c r="J117" t="n">
        <v>0</v>
      </c>
      <c r="K117" t="n">
        <v>0</v>
      </c>
      <c r="L117" t="n">
        <v>0</v>
      </c>
      <c r="M117" t="n">
        <v>0</v>
      </c>
      <c r="N117" t="n">
        <v>0</v>
      </c>
      <c r="O117" t="n">
        <v>0</v>
      </c>
      <c r="P117" t="n">
        <v>0</v>
      </c>
      <c r="Q117" t="n">
        <v>0</v>
      </c>
      <c r="R117" s="2" t="inlineStr"/>
    </row>
    <row r="118" ht="15" customHeight="1">
      <c r="A118" t="inlineStr">
        <is>
          <t>A 11501-2023</t>
        </is>
      </c>
      <c r="B118" s="1" t="n">
        <v>44991</v>
      </c>
      <c r="C118" s="1" t="n">
        <v>45917</v>
      </c>
      <c r="D118" t="inlineStr">
        <is>
          <t>VÄSTMANLANDS LÄN</t>
        </is>
      </c>
      <c r="E118" t="inlineStr">
        <is>
          <t>SURAHAMMAR</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32910-2025</t>
        </is>
      </c>
      <c r="B119" s="1" t="n">
        <v>45839</v>
      </c>
      <c r="C119" s="1" t="n">
        <v>45917</v>
      </c>
      <c r="D119" t="inlineStr">
        <is>
          <t>VÄSTMANLANDS LÄN</t>
        </is>
      </c>
      <c r="E119" t="inlineStr">
        <is>
          <t>SURAHAMMAR</t>
        </is>
      </c>
      <c r="F119" t="inlineStr">
        <is>
          <t>Kommuner</t>
        </is>
      </c>
      <c r="G119" t="n">
        <v>1.1</v>
      </c>
      <c r="H119" t="n">
        <v>0</v>
      </c>
      <c r="I119" t="n">
        <v>0</v>
      </c>
      <c r="J119" t="n">
        <v>0</v>
      </c>
      <c r="K119" t="n">
        <v>0</v>
      </c>
      <c r="L119" t="n">
        <v>0</v>
      </c>
      <c r="M119" t="n">
        <v>0</v>
      </c>
      <c r="N119" t="n">
        <v>0</v>
      </c>
      <c r="O119" t="n">
        <v>0</v>
      </c>
      <c r="P119" t="n">
        <v>0</v>
      </c>
      <c r="Q119" t="n">
        <v>0</v>
      </c>
      <c r="R119" s="2" t="inlineStr"/>
    </row>
    <row r="120" ht="15" customHeight="1">
      <c r="A120" t="inlineStr">
        <is>
          <t>A 16013-2023</t>
        </is>
      </c>
      <c r="B120" s="1" t="n">
        <v>45026</v>
      </c>
      <c r="C120" s="1" t="n">
        <v>45917</v>
      </c>
      <c r="D120" t="inlineStr">
        <is>
          <t>VÄSTMANLANDS LÄN</t>
        </is>
      </c>
      <c r="E120" t="inlineStr">
        <is>
          <t>SURAHAMMAR</t>
        </is>
      </c>
      <c r="G120" t="n">
        <v>3.9</v>
      </c>
      <c r="H120" t="n">
        <v>0</v>
      </c>
      <c r="I120" t="n">
        <v>0</v>
      </c>
      <c r="J120" t="n">
        <v>0</v>
      </c>
      <c r="K120" t="n">
        <v>0</v>
      </c>
      <c r="L120" t="n">
        <v>0</v>
      </c>
      <c r="M120" t="n">
        <v>0</v>
      </c>
      <c r="N120" t="n">
        <v>0</v>
      </c>
      <c r="O120" t="n">
        <v>0</v>
      </c>
      <c r="P120" t="n">
        <v>0</v>
      </c>
      <c r="Q120" t="n">
        <v>0</v>
      </c>
      <c r="R120" s="2" t="inlineStr"/>
    </row>
    <row r="121" ht="15" customHeight="1">
      <c r="A121" t="inlineStr">
        <is>
          <t>A 16608-2022</t>
        </is>
      </c>
      <c r="B121" s="1" t="n">
        <v>44672</v>
      </c>
      <c r="C121" s="1" t="n">
        <v>45917</v>
      </c>
      <c r="D121" t="inlineStr">
        <is>
          <t>VÄSTMANLANDS LÄN</t>
        </is>
      </c>
      <c r="E121" t="inlineStr">
        <is>
          <t>SURAHAMMAR</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32916-2025</t>
        </is>
      </c>
      <c r="B122" s="1" t="n">
        <v>45839</v>
      </c>
      <c r="C122" s="1" t="n">
        <v>45917</v>
      </c>
      <c r="D122" t="inlineStr">
        <is>
          <t>VÄSTMANLANDS LÄN</t>
        </is>
      </c>
      <c r="E122" t="inlineStr">
        <is>
          <t>SURAHAMMAR</t>
        </is>
      </c>
      <c r="F122" t="inlineStr">
        <is>
          <t>Kommuner</t>
        </is>
      </c>
      <c r="G122" t="n">
        <v>4.9</v>
      </c>
      <c r="H122" t="n">
        <v>0</v>
      </c>
      <c r="I122" t="n">
        <v>0</v>
      </c>
      <c r="J122" t="n">
        <v>0</v>
      </c>
      <c r="K122" t="n">
        <v>0</v>
      </c>
      <c r="L122" t="n">
        <v>0</v>
      </c>
      <c r="M122" t="n">
        <v>0</v>
      </c>
      <c r="N122" t="n">
        <v>0</v>
      </c>
      <c r="O122" t="n">
        <v>0</v>
      </c>
      <c r="P122" t="n">
        <v>0</v>
      </c>
      <c r="Q122" t="n">
        <v>0</v>
      </c>
      <c r="R122" s="2" t="inlineStr"/>
    </row>
    <row r="123" ht="15" customHeight="1">
      <c r="A123" t="inlineStr">
        <is>
          <t>A 20904-2023</t>
        </is>
      </c>
      <c r="B123" s="1" t="n">
        <v>45060</v>
      </c>
      <c r="C123" s="1" t="n">
        <v>45917</v>
      </c>
      <c r="D123" t="inlineStr">
        <is>
          <t>VÄSTMANLANDS LÄN</t>
        </is>
      </c>
      <c r="E123" t="inlineStr">
        <is>
          <t>SURAHAMMAR</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42829-2022</t>
        </is>
      </c>
      <c r="B124" s="1" t="n">
        <v>44832</v>
      </c>
      <c r="C124" s="1" t="n">
        <v>45917</v>
      </c>
      <c r="D124" t="inlineStr">
        <is>
          <t>VÄSTMANLANDS LÄN</t>
        </is>
      </c>
      <c r="E124" t="inlineStr">
        <is>
          <t>SURAHAMMAR</t>
        </is>
      </c>
      <c r="G124" t="n">
        <v>1.6</v>
      </c>
      <c r="H124" t="n">
        <v>0</v>
      </c>
      <c r="I124" t="n">
        <v>0</v>
      </c>
      <c r="J124" t="n">
        <v>0</v>
      </c>
      <c r="K124" t="n">
        <v>0</v>
      </c>
      <c r="L124" t="n">
        <v>0</v>
      </c>
      <c r="M124" t="n">
        <v>0</v>
      </c>
      <c r="N124" t="n">
        <v>0</v>
      </c>
      <c r="O124" t="n">
        <v>0</v>
      </c>
      <c r="P124" t="n">
        <v>0</v>
      </c>
      <c r="Q124" t="n">
        <v>0</v>
      </c>
      <c r="R124" s="2" t="inlineStr"/>
    </row>
    <row r="125" ht="15" customHeight="1">
      <c r="A125" t="inlineStr">
        <is>
          <t>A 34955-2022</t>
        </is>
      </c>
      <c r="B125" s="1" t="n">
        <v>44796</v>
      </c>
      <c r="C125" s="1" t="n">
        <v>45917</v>
      </c>
      <c r="D125" t="inlineStr">
        <is>
          <t>VÄSTMANLANDS LÄN</t>
        </is>
      </c>
      <c r="E125" t="inlineStr">
        <is>
          <t>SURAHAMMAR</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42088-2025</t>
        </is>
      </c>
      <c r="B126" s="1" t="n">
        <v>45902</v>
      </c>
      <c r="C126" s="1" t="n">
        <v>45917</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15743-2023</t>
        </is>
      </c>
      <c r="B127" s="1" t="n">
        <v>45021</v>
      </c>
      <c r="C127" s="1" t="n">
        <v>45917</v>
      </c>
      <c r="D127" t="inlineStr">
        <is>
          <t>VÄSTMANLANDS LÄN</t>
        </is>
      </c>
      <c r="E127" t="inlineStr">
        <is>
          <t>SURAHAMMAR</t>
        </is>
      </c>
      <c r="G127" t="n">
        <v>0.5</v>
      </c>
      <c r="H127" t="n">
        <v>0</v>
      </c>
      <c r="I127" t="n">
        <v>0</v>
      </c>
      <c r="J127" t="n">
        <v>0</v>
      </c>
      <c r="K127" t="n">
        <v>0</v>
      </c>
      <c r="L127" t="n">
        <v>0</v>
      </c>
      <c r="M127" t="n">
        <v>0</v>
      </c>
      <c r="N127" t="n">
        <v>0</v>
      </c>
      <c r="O127" t="n">
        <v>0</v>
      </c>
      <c r="P127" t="n">
        <v>0</v>
      </c>
      <c r="Q127" t="n">
        <v>0</v>
      </c>
      <c r="R127" s="2" t="inlineStr"/>
    </row>
    <row r="128" ht="15" customHeight="1">
      <c r="A128" t="inlineStr">
        <is>
          <t>A 43249-2025</t>
        </is>
      </c>
      <c r="B128" s="1" t="n">
        <v>45910.55059027778</v>
      </c>
      <c r="C128" s="1" t="n">
        <v>45917</v>
      </c>
      <c r="D128" t="inlineStr">
        <is>
          <t>VÄSTMANLANDS LÄN</t>
        </is>
      </c>
      <c r="E128" t="inlineStr">
        <is>
          <t>SURAHAMMAR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43255-2025</t>
        </is>
      </c>
      <c r="B129" s="1" t="n">
        <v>45910.55325231481</v>
      </c>
      <c r="C129" s="1" t="n">
        <v>45917</v>
      </c>
      <c r="D129" t="inlineStr">
        <is>
          <t>VÄSTMANLANDS LÄN</t>
        </is>
      </c>
      <c r="E129" t="inlineStr">
        <is>
          <t>SURAHAMMAR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37798-2021</t>
        </is>
      </c>
      <c r="B130" s="1" t="n">
        <v>44402</v>
      </c>
      <c r="C130" s="1" t="n">
        <v>45917</v>
      </c>
      <c r="D130" t="inlineStr">
        <is>
          <t>VÄSTMANLANDS LÄN</t>
        </is>
      </c>
      <c r="E130" t="inlineStr">
        <is>
          <t>SURAHAMMAR</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48205-2023</t>
        </is>
      </c>
      <c r="B131" s="1" t="n">
        <v>45205</v>
      </c>
      <c r="C131" s="1" t="n">
        <v>45917</v>
      </c>
      <c r="D131" t="inlineStr">
        <is>
          <t>VÄSTMANLANDS LÄN</t>
        </is>
      </c>
      <c r="E131" t="inlineStr">
        <is>
          <t>SURAHAMMAR</t>
        </is>
      </c>
      <c r="F131" t="inlineStr">
        <is>
          <t>Allmännings- och besparingsskogar</t>
        </is>
      </c>
      <c r="G131" t="n">
        <v>7.6</v>
      </c>
      <c r="H131" t="n">
        <v>0</v>
      </c>
      <c r="I131" t="n">
        <v>0</v>
      </c>
      <c r="J131" t="n">
        <v>0</v>
      </c>
      <c r="K131" t="n">
        <v>0</v>
      </c>
      <c r="L131" t="n">
        <v>0</v>
      </c>
      <c r="M131" t="n">
        <v>0</v>
      </c>
      <c r="N131" t="n">
        <v>0</v>
      </c>
      <c r="O131" t="n">
        <v>0</v>
      </c>
      <c r="P131" t="n">
        <v>0</v>
      </c>
      <c r="Q131" t="n">
        <v>0</v>
      </c>
      <c r="R131" s="2" t="inlineStr"/>
    </row>
    <row r="132" ht="15" customHeight="1">
      <c r="A132" t="inlineStr">
        <is>
          <t>A 15637-2022</t>
        </is>
      </c>
      <c r="B132" s="1" t="n">
        <v>44662.89638888889</v>
      </c>
      <c r="C132" s="1" t="n">
        <v>45917</v>
      </c>
      <c r="D132" t="inlineStr">
        <is>
          <t>VÄSTMANLANDS LÄN</t>
        </is>
      </c>
      <c r="E132" t="inlineStr">
        <is>
          <t>SURAHAMMAR</t>
        </is>
      </c>
      <c r="G132" t="n">
        <v>2.2</v>
      </c>
      <c r="H132" t="n">
        <v>0</v>
      </c>
      <c r="I132" t="n">
        <v>0</v>
      </c>
      <c r="J132" t="n">
        <v>0</v>
      </c>
      <c r="K132" t="n">
        <v>0</v>
      </c>
      <c r="L132" t="n">
        <v>0</v>
      </c>
      <c r="M132" t="n">
        <v>0</v>
      </c>
      <c r="N132" t="n">
        <v>0</v>
      </c>
      <c r="O132" t="n">
        <v>0</v>
      </c>
      <c r="P132" t="n">
        <v>0</v>
      </c>
      <c r="Q132" t="n">
        <v>0</v>
      </c>
      <c r="R132" s="2" t="inlineStr"/>
    </row>
    <row r="133" ht="15" customHeight="1">
      <c r="A133" t="inlineStr">
        <is>
          <t>A 19786-2023</t>
        </is>
      </c>
      <c r="B133" s="1" t="n">
        <v>45050</v>
      </c>
      <c r="C133" s="1" t="n">
        <v>45917</v>
      </c>
      <c r="D133" t="inlineStr">
        <is>
          <t>VÄSTMANLANDS LÄN</t>
        </is>
      </c>
      <c r="E133" t="inlineStr">
        <is>
          <t>SURAHAMMAR</t>
        </is>
      </c>
      <c r="F133" t="inlineStr">
        <is>
          <t>Bergvik skog väst AB</t>
        </is>
      </c>
      <c r="G133" t="n">
        <v>8.1</v>
      </c>
      <c r="H133" t="n">
        <v>0</v>
      </c>
      <c r="I133" t="n">
        <v>0</v>
      </c>
      <c r="J133" t="n">
        <v>0</v>
      </c>
      <c r="K133" t="n">
        <v>0</v>
      </c>
      <c r="L133" t="n">
        <v>0</v>
      </c>
      <c r="M133" t="n">
        <v>0</v>
      </c>
      <c r="N133" t="n">
        <v>0</v>
      </c>
      <c r="O133" t="n">
        <v>0</v>
      </c>
      <c r="P133" t="n">
        <v>0</v>
      </c>
      <c r="Q133" t="n">
        <v>0</v>
      </c>
      <c r="R133" s="2" t="inlineStr"/>
    </row>
    <row r="134" ht="15" customHeight="1">
      <c r="A134" t="inlineStr">
        <is>
          <t>A 37013-2025</t>
        </is>
      </c>
      <c r="B134" s="1" t="n">
        <v>45874</v>
      </c>
      <c r="C134" s="1" t="n">
        <v>45917</v>
      </c>
      <c r="D134" t="inlineStr">
        <is>
          <t>VÄSTMANLANDS LÄN</t>
        </is>
      </c>
      <c r="E134" t="inlineStr">
        <is>
          <t>SURAHAMMAR</t>
        </is>
      </c>
      <c r="F134" t="inlineStr">
        <is>
          <t>Bergvik skog väst AB</t>
        </is>
      </c>
      <c r="G134" t="n">
        <v>10.7</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45917</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22662-2023</t>
        </is>
      </c>
      <c r="B136" s="1" t="n">
        <v>45071</v>
      </c>
      <c r="C136" s="1" t="n">
        <v>45917</v>
      </c>
      <c r="D136" t="inlineStr">
        <is>
          <t>VÄSTMANLANDS LÄN</t>
        </is>
      </c>
      <c r="E136" t="inlineStr">
        <is>
          <t>SURAHAMMAR</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30076-2023</t>
        </is>
      </c>
      <c r="B137" s="1" t="n">
        <v>45110</v>
      </c>
      <c r="C137" s="1" t="n">
        <v>45917</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10396-2025</t>
        </is>
      </c>
      <c r="B138" s="1" t="n">
        <v>45720.60721064815</v>
      </c>
      <c r="C138" s="1" t="n">
        <v>45917</v>
      </c>
      <c r="D138" t="inlineStr">
        <is>
          <t>VÄSTMANLANDS LÄN</t>
        </is>
      </c>
      <c r="E138" t="inlineStr">
        <is>
          <t>SURAHAMMAR</t>
        </is>
      </c>
      <c r="F138" t="inlineStr">
        <is>
          <t>Allmännings- och besparingsskogar</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7787-2024</t>
        </is>
      </c>
      <c r="B139" s="1" t="n">
        <v>45348</v>
      </c>
      <c r="C139" s="1" t="n">
        <v>45917</v>
      </c>
      <c r="D139" t="inlineStr">
        <is>
          <t>VÄSTMANLANDS LÄN</t>
        </is>
      </c>
      <c r="E139" t="inlineStr">
        <is>
          <t>SURAHAMMAR</t>
        </is>
      </c>
      <c r="G139" t="n">
        <v>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45917</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25417-2024</t>
        </is>
      </c>
      <c r="B141" s="1" t="n">
        <v>45463</v>
      </c>
      <c r="C141" s="1" t="n">
        <v>45917</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25450-2024</t>
        </is>
      </c>
      <c r="B142" s="1" t="n">
        <v>45463</v>
      </c>
      <c r="C142" s="1" t="n">
        <v>45917</v>
      </c>
      <c r="D142" t="inlineStr">
        <is>
          <t>VÄSTMANLANDS LÄN</t>
        </is>
      </c>
      <c r="E142" t="inlineStr">
        <is>
          <t>SURAHAMMAR</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10883-2023</t>
        </is>
      </c>
      <c r="B143" s="1" t="n">
        <v>44991</v>
      </c>
      <c r="C143" s="1" t="n">
        <v>45917</v>
      </c>
      <c r="D143" t="inlineStr">
        <is>
          <t>VÄSTMANLANDS LÄN</t>
        </is>
      </c>
      <c r="E143" t="inlineStr">
        <is>
          <t>SURAHAMMAR</t>
        </is>
      </c>
      <c r="F143" t="inlineStr">
        <is>
          <t>Övriga Aktiebolag</t>
        </is>
      </c>
      <c r="G143" t="n">
        <v>12.5</v>
      </c>
      <c r="H143" t="n">
        <v>0</v>
      </c>
      <c r="I143" t="n">
        <v>0</v>
      </c>
      <c r="J143" t="n">
        <v>0</v>
      </c>
      <c r="K143" t="n">
        <v>0</v>
      </c>
      <c r="L143" t="n">
        <v>0</v>
      </c>
      <c r="M143" t="n">
        <v>0</v>
      </c>
      <c r="N143" t="n">
        <v>0</v>
      </c>
      <c r="O143" t="n">
        <v>0</v>
      </c>
      <c r="P143" t="n">
        <v>0</v>
      </c>
      <c r="Q143" t="n">
        <v>0</v>
      </c>
      <c r="R143" s="2" t="inlineStr"/>
    </row>
    <row r="144" ht="15" customHeight="1">
      <c r="A144" t="inlineStr">
        <is>
          <t>A 24665-2023</t>
        </is>
      </c>
      <c r="B144" s="1" t="n">
        <v>45084.48592592592</v>
      </c>
      <c r="C144" s="1" t="n">
        <v>45917</v>
      </c>
      <c r="D144" t="inlineStr">
        <is>
          <t>VÄSTMANLANDS LÄN</t>
        </is>
      </c>
      <c r="E144" t="inlineStr">
        <is>
          <t>SURAHAMMAR</t>
        </is>
      </c>
      <c r="G144" t="n">
        <v>0.9</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45917</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15739-2023</t>
        </is>
      </c>
      <c r="B146" s="1" t="n">
        <v>45021</v>
      </c>
      <c r="C146" s="1" t="n">
        <v>45917</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72367-2021</t>
        </is>
      </c>
      <c r="B147" s="1" t="n">
        <v>44545</v>
      </c>
      <c r="C147" s="1" t="n">
        <v>45917</v>
      </c>
      <c r="D147" t="inlineStr">
        <is>
          <t>VÄSTMANLANDS LÄN</t>
        </is>
      </c>
      <c r="E147" t="inlineStr">
        <is>
          <t>SURAHAMMAR</t>
        </is>
      </c>
      <c r="G147" t="n">
        <v>2.5</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44405.42373842592</v>
      </c>
      <c r="C148" s="1" t="n">
        <v>45917</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42714-2022</t>
        </is>
      </c>
      <c r="B149" s="1" t="n">
        <v>44832</v>
      </c>
      <c r="C149" s="1" t="n">
        <v>45917</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37287-2023</t>
        </is>
      </c>
      <c r="B150" s="1" t="n">
        <v>45156</v>
      </c>
      <c r="C150" s="1" t="n">
        <v>45917</v>
      </c>
      <c r="D150" t="inlineStr">
        <is>
          <t>VÄSTMANLANDS LÄN</t>
        </is>
      </c>
      <c r="E150" t="inlineStr">
        <is>
          <t>SURAHAMMAR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49058-2024</t>
        </is>
      </c>
      <c r="B151" s="1" t="n">
        <v>45594</v>
      </c>
      <c r="C151" s="1" t="n">
        <v>45917</v>
      </c>
      <c r="D151" t="inlineStr">
        <is>
          <t>VÄSTMANLANDS LÄN</t>
        </is>
      </c>
      <c r="E151" t="inlineStr">
        <is>
          <t>SURAHAMMAR</t>
        </is>
      </c>
      <c r="F151" t="inlineStr">
        <is>
          <t>Sveaskog</t>
        </is>
      </c>
      <c r="G151" t="n">
        <v>11.4</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45917</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45917</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45917</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c r="A155" t="inlineStr">
        <is>
          <t>A 13386-2025</t>
        </is>
      </c>
      <c r="B155" s="1" t="n">
        <v>45735</v>
      </c>
      <c r="C155" s="1" t="n">
        <v>45917</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2025-09-17T09:02:10Z</dcterms:created>
  <dcterms:modified xmlns:dcterms="http://purl.org/dc/terms/" xmlns:xsi="http://www.w3.org/2001/XMLSchema-instance" xsi:type="dcterms:W3CDTF">2025-09-17T09:02:10Z</dcterms:modified>
</cp:coreProperties>
</file>