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45910</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45910</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45910</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45910</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45910</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45910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45910</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45910</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45910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45910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45910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45910</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45910</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45910</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45910</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45910</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45910</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25548-2024</t>
        </is>
      </c>
      <c r="B21" s="1" t="n">
        <v>45463</v>
      </c>
      <c r="C21" s="1" t="n">
        <v>45910</v>
      </c>
      <c r="D21" t="inlineStr">
        <is>
          <t>VÄSTMANLANDS LÄN</t>
        </is>
      </c>
      <c r="E21" t="inlineStr">
        <is>
          <t>SURAHAMMAR</t>
        </is>
      </c>
      <c r="F21" t="inlineStr">
        <is>
          <t>Bergvik skog väst AB</t>
        </is>
      </c>
      <c r="G21" t="n">
        <v>5.1</v>
      </c>
      <c r="H21" t="n">
        <v>3</v>
      </c>
      <c r="I21" t="n">
        <v>1</v>
      </c>
      <c r="J21" t="n">
        <v>0</v>
      </c>
      <c r="K21" t="n">
        <v>1</v>
      </c>
      <c r="L21" t="n">
        <v>0</v>
      </c>
      <c r="M21" t="n">
        <v>0</v>
      </c>
      <c r="N21" t="n">
        <v>0</v>
      </c>
      <c r="O21" t="n">
        <v>1</v>
      </c>
      <c r="P21" t="n">
        <v>1</v>
      </c>
      <c r="Q21" t="n">
        <v>4</v>
      </c>
      <c r="R21" s="2" t="inlineStr">
        <is>
          <t>Knärot
Vedticka
Fläcknycklar
Nattviol</t>
        </is>
      </c>
      <c r="S21">
        <f>HYPERLINK("https://klasma.github.io/Logging_1907/artfynd/A 25548-2024 artfynd.xlsx", "A 25548-2024")</f>
        <v/>
      </c>
      <c r="T21">
        <f>HYPERLINK("https://klasma.github.io/Logging_1907/kartor/A 25548-2024 karta.png", "A 25548-2024")</f>
        <v/>
      </c>
      <c r="U21">
        <f>HYPERLINK("https://klasma.github.io/Logging_1907/knärot/A 25548-2024 karta knärot.png", "A 25548-2024")</f>
        <v/>
      </c>
      <c r="V21">
        <f>HYPERLINK("https://klasma.github.io/Logging_1907/klagomål/A 25548-2024 FSC-klagomål.docx", "A 25548-2024")</f>
        <v/>
      </c>
      <c r="W21">
        <f>HYPERLINK("https://klasma.github.io/Logging_1907/klagomålsmail/A 25548-2024 FSC-klagomål mail.docx", "A 25548-2024")</f>
        <v/>
      </c>
      <c r="X21">
        <f>HYPERLINK("https://klasma.github.io/Logging_1907/tillsyn/A 25548-2024 tillsynsbegäran.docx", "A 25548-2024")</f>
        <v/>
      </c>
      <c r="Y21">
        <f>HYPERLINK("https://klasma.github.io/Logging_1907/tillsynsmail/A 25548-2024 tillsynsbegäran mail.docx", "A 25548-2024")</f>
        <v/>
      </c>
    </row>
    <row r="22" ht="15" customHeight="1">
      <c r="A22" t="inlineStr">
        <is>
          <t>A 38172-2024</t>
        </is>
      </c>
      <c r="B22" s="1" t="n">
        <v>45545</v>
      </c>
      <c r="C22" s="1" t="n">
        <v>45910</v>
      </c>
      <c r="D22" t="inlineStr">
        <is>
          <t>VÄSTMANLANDS LÄN</t>
        </is>
      </c>
      <c r="E22" t="inlineStr">
        <is>
          <t>SURAHAMMAR</t>
        </is>
      </c>
      <c r="F22" t="inlineStr">
        <is>
          <t>Sveaskog</t>
        </is>
      </c>
      <c r="G22" t="n">
        <v>5.2</v>
      </c>
      <c r="H22" t="n">
        <v>2</v>
      </c>
      <c r="I22" t="n">
        <v>0</v>
      </c>
      <c r="J22" t="n">
        <v>2</v>
      </c>
      <c r="K22" t="n">
        <v>1</v>
      </c>
      <c r="L22" t="n">
        <v>0</v>
      </c>
      <c r="M22" t="n">
        <v>0</v>
      </c>
      <c r="N22" t="n">
        <v>0</v>
      </c>
      <c r="O22" t="n">
        <v>3</v>
      </c>
      <c r="P22" t="n">
        <v>1</v>
      </c>
      <c r="Q22" t="n">
        <v>4</v>
      </c>
      <c r="R22" s="2" t="inlineStr">
        <is>
          <t>Knärot
Gropticka
Vedtrappmossa
Revlummer</t>
        </is>
      </c>
      <c r="S22">
        <f>HYPERLINK("https://klasma.github.io/Logging_1907/artfynd/A 38172-2024 artfynd.xlsx", "A 38172-2024")</f>
        <v/>
      </c>
      <c r="T22">
        <f>HYPERLINK("https://klasma.github.io/Logging_1907/kartor/A 38172-2024 karta.png", "A 38172-2024")</f>
        <v/>
      </c>
      <c r="U22">
        <f>HYPERLINK("https://klasma.github.io/Logging_1907/knärot/A 38172-2024 karta knärot.png", "A 38172-2024")</f>
        <v/>
      </c>
      <c r="V22">
        <f>HYPERLINK("https://klasma.github.io/Logging_1907/klagomål/A 38172-2024 FSC-klagomål.docx", "A 38172-2024")</f>
        <v/>
      </c>
      <c r="W22">
        <f>HYPERLINK("https://klasma.github.io/Logging_1907/klagomålsmail/A 38172-2024 FSC-klagomål mail.docx", "A 38172-2024")</f>
        <v/>
      </c>
      <c r="X22">
        <f>HYPERLINK("https://klasma.github.io/Logging_1907/tillsyn/A 38172-2024 tillsynsbegäran.docx", "A 38172-2024")</f>
        <v/>
      </c>
      <c r="Y22">
        <f>HYPERLINK("https://klasma.github.io/Logging_1907/tillsynsmail/A 38172-2024 tillsynsbegäran mail.docx", "A 38172-2024")</f>
        <v/>
      </c>
    </row>
    <row r="23" ht="15" customHeight="1">
      <c r="A23" t="inlineStr">
        <is>
          <t>A 65024-2023</t>
        </is>
      </c>
      <c r="B23" s="1" t="n">
        <v>45282</v>
      </c>
      <c r="C23" s="1" t="n">
        <v>45910</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45910</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59550-2020</t>
        </is>
      </c>
      <c r="B25" s="1" t="n">
        <v>44148</v>
      </c>
      <c r="C25" s="1" t="n">
        <v>45910</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20391-2024</t>
        </is>
      </c>
      <c r="B26" s="1" t="n">
        <v>45435</v>
      </c>
      <c r="C26" s="1" t="n">
        <v>45910</v>
      </c>
      <c r="D26" t="inlineStr">
        <is>
          <t>VÄSTMANLANDS LÄN</t>
        </is>
      </c>
      <c r="E26" t="inlineStr">
        <is>
          <t>SURAHAMMAR</t>
        </is>
      </c>
      <c r="G26" t="n">
        <v>1.5</v>
      </c>
      <c r="H26" t="n">
        <v>0</v>
      </c>
      <c r="I26" t="n">
        <v>2</v>
      </c>
      <c r="J26" t="n">
        <v>1</v>
      </c>
      <c r="K26" t="n">
        <v>0</v>
      </c>
      <c r="L26" t="n">
        <v>0</v>
      </c>
      <c r="M26" t="n">
        <v>0</v>
      </c>
      <c r="N26" t="n">
        <v>0</v>
      </c>
      <c r="O26" t="n">
        <v>1</v>
      </c>
      <c r="P26" t="n">
        <v>0</v>
      </c>
      <c r="Q26" t="n">
        <v>3</v>
      </c>
      <c r="R26" s="2" t="inlineStr">
        <is>
          <t>Vedtrappmossa
Kattfotslav
Stubbspretmossa</t>
        </is>
      </c>
      <c r="S26">
        <f>HYPERLINK("https://klasma.github.io/Logging_1907/artfynd/A 20391-2024 artfynd.xlsx", "A 20391-2024")</f>
        <v/>
      </c>
      <c r="T26">
        <f>HYPERLINK("https://klasma.github.io/Logging_1907/kartor/A 20391-2024 karta.png", "A 20391-2024")</f>
        <v/>
      </c>
      <c r="V26">
        <f>HYPERLINK("https://klasma.github.io/Logging_1907/klagomål/A 20391-2024 FSC-klagomål.docx", "A 20391-2024")</f>
        <v/>
      </c>
      <c r="W26">
        <f>HYPERLINK("https://klasma.github.io/Logging_1907/klagomålsmail/A 20391-2024 FSC-klagomål mail.docx", "A 20391-2024")</f>
        <v/>
      </c>
      <c r="X26">
        <f>HYPERLINK("https://klasma.github.io/Logging_1907/tillsyn/A 20391-2024 tillsynsbegäran.docx", "A 20391-2024")</f>
        <v/>
      </c>
      <c r="Y26">
        <f>HYPERLINK("https://klasma.github.io/Logging_1907/tillsynsmail/A 20391-2024 tillsynsbegäran mail.docx", "A 20391-2024")</f>
        <v/>
      </c>
    </row>
    <row r="27" ht="15" customHeight="1">
      <c r="A27" t="inlineStr">
        <is>
          <t>A 48128-2023</t>
        </is>
      </c>
      <c r="B27" s="1" t="n">
        <v>45205</v>
      </c>
      <c r="C27" s="1" t="n">
        <v>45910</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42860-2022</t>
        </is>
      </c>
      <c r="B28" s="1" t="n">
        <v>44832</v>
      </c>
      <c r="C28" s="1" t="n">
        <v>45910</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42853-2022</t>
        </is>
      </c>
      <c r="B29" s="1" t="n">
        <v>44832</v>
      </c>
      <c r="C29" s="1" t="n">
        <v>45910</v>
      </c>
      <c r="D29" t="inlineStr">
        <is>
          <t>VÄSTMANLANDS LÄN</t>
        </is>
      </c>
      <c r="E29" t="inlineStr">
        <is>
          <t>SURAHAMMAR</t>
        </is>
      </c>
      <c r="G29" t="n">
        <v>7.4</v>
      </c>
      <c r="H29" t="n">
        <v>1</v>
      </c>
      <c r="I29" t="n">
        <v>1</v>
      </c>
      <c r="J29" t="n">
        <v>1</v>
      </c>
      <c r="K29" t="n">
        <v>0</v>
      </c>
      <c r="L29" t="n">
        <v>1</v>
      </c>
      <c r="M29" t="n">
        <v>0</v>
      </c>
      <c r="N29" t="n">
        <v>0</v>
      </c>
      <c r="O29" t="n">
        <v>2</v>
      </c>
      <c r="P29" t="n">
        <v>1</v>
      </c>
      <c r="Q29" t="n">
        <v>3</v>
      </c>
      <c r="R29" s="2" t="inlineStr">
        <is>
          <t>Ask
Kandelabersvamp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row>
    <row r="30" ht="15" customHeight="1">
      <c r="A30" t="inlineStr">
        <is>
          <t>A 42708-2022</t>
        </is>
      </c>
      <c r="B30" s="1" t="n">
        <v>44832</v>
      </c>
      <c r="C30" s="1" t="n">
        <v>45910</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38200-2021</t>
        </is>
      </c>
      <c r="B31" s="1" t="n">
        <v>44405</v>
      </c>
      <c r="C31" s="1" t="n">
        <v>45910</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45910</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45910</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45910</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37801-2021</t>
        </is>
      </c>
      <c r="B35" s="1" t="n">
        <v>44402</v>
      </c>
      <c r="C35" s="1" t="n">
        <v>45910</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45910</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45910</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45910</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45910</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45910</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45910</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45910</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45910</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40411-2021</t>
        </is>
      </c>
      <c r="B44" s="1" t="n">
        <v>44419</v>
      </c>
      <c r="C44" s="1" t="n">
        <v>45910</v>
      </c>
      <c r="D44" t="inlineStr">
        <is>
          <t>VÄSTMANLANDS LÄN</t>
        </is>
      </c>
      <c r="E44" t="inlineStr">
        <is>
          <t>SURAHAMMAR</t>
        </is>
      </c>
      <c r="F44" t="inlineStr">
        <is>
          <t>Sveaskog</t>
        </is>
      </c>
      <c r="G44" t="n">
        <v>2.4</v>
      </c>
      <c r="H44" t="n">
        <v>1</v>
      </c>
      <c r="I44" t="n">
        <v>0</v>
      </c>
      <c r="J44" t="n">
        <v>0</v>
      </c>
      <c r="K44" t="n">
        <v>0</v>
      </c>
      <c r="L44" t="n">
        <v>0</v>
      </c>
      <c r="M44" t="n">
        <v>0</v>
      </c>
      <c r="N44" t="n">
        <v>0</v>
      </c>
      <c r="O44" t="n">
        <v>0</v>
      </c>
      <c r="P44" t="n">
        <v>0</v>
      </c>
      <c r="Q44" t="n">
        <v>1</v>
      </c>
      <c r="R44" s="2" t="inlineStr">
        <is>
          <t>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30074-2023</t>
        </is>
      </c>
      <c r="B45" s="1" t="n">
        <v>45110</v>
      </c>
      <c r="C45" s="1" t="n">
        <v>45910</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21716-2025</t>
        </is>
      </c>
      <c r="B46" s="1" t="n">
        <v>45783.54804398148</v>
      </c>
      <c r="C46" s="1" t="n">
        <v>45910</v>
      </c>
      <c r="D46" t="inlineStr">
        <is>
          <t>VÄSTMANLANDS LÄN</t>
        </is>
      </c>
      <c r="E46" t="inlineStr">
        <is>
          <t>SURAHAMMAR</t>
        </is>
      </c>
      <c r="F46" t="inlineStr">
        <is>
          <t>Allmännings- och besparingsskogar</t>
        </is>
      </c>
      <c r="G46" t="n">
        <v>21.1</v>
      </c>
      <c r="H46" t="n">
        <v>1</v>
      </c>
      <c r="I46" t="n">
        <v>0</v>
      </c>
      <c r="J46" t="n">
        <v>1</v>
      </c>
      <c r="K46" t="n">
        <v>0</v>
      </c>
      <c r="L46" t="n">
        <v>0</v>
      </c>
      <c r="M46" t="n">
        <v>0</v>
      </c>
      <c r="N46" t="n">
        <v>0</v>
      </c>
      <c r="O46" t="n">
        <v>1</v>
      </c>
      <c r="P46" t="n">
        <v>0</v>
      </c>
      <c r="Q46" t="n">
        <v>1</v>
      </c>
      <c r="R46" s="2" t="inlineStr">
        <is>
          <t>Spillkråka</t>
        </is>
      </c>
      <c r="S46">
        <f>HYPERLINK("https://klasma.github.io/Logging_1907/artfynd/A 21716-2025 artfynd.xlsx", "A 21716-2025")</f>
        <v/>
      </c>
      <c r="T46">
        <f>HYPERLINK("https://klasma.github.io/Logging_1907/kartor/A 21716-2025 karta.png", "A 21716-2025")</f>
        <v/>
      </c>
      <c r="V46">
        <f>HYPERLINK("https://klasma.github.io/Logging_1907/klagomål/A 21716-2025 FSC-klagomål.docx", "A 21716-2025")</f>
        <v/>
      </c>
      <c r="W46">
        <f>HYPERLINK("https://klasma.github.io/Logging_1907/klagomålsmail/A 21716-2025 FSC-klagomål mail.docx", "A 21716-2025")</f>
        <v/>
      </c>
      <c r="X46">
        <f>HYPERLINK("https://klasma.github.io/Logging_1907/tillsyn/A 21716-2025 tillsynsbegäran.docx", "A 21716-2025")</f>
        <v/>
      </c>
      <c r="Y46">
        <f>HYPERLINK("https://klasma.github.io/Logging_1907/tillsynsmail/A 21716-2025 tillsynsbegäran mail.docx", "A 21716-2025")</f>
        <v/>
      </c>
      <c r="Z46">
        <f>HYPERLINK("https://klasma.github.io/Logging_1907/fåglar/A 21716-2025 prioriterade fågelarter.docx", "A 21716-2025")</f>
        <v/>
      </c>
    </row>
    <row r="47" ht="15" customHeight="1">
      <c r="A47" t="inlineStr">
        <is>
          <t>A 44356-2024</t>
        </is>
      </c>
      <c r="B47" s="1" t="n">
        <v>45573</v>
      </c>
      <c r="C47" s="1" t="n">
        <v>45910</v>
      </c>
      <c r="D47" t="inlineStr">
        <is>
          <t>VÄSTMANLANDS LÄN</t>
        </is>
      </c>
      <c r="E47" t="inlineStr">
        <is>
          <t>SURAHAMMAR</t>
        </is>
      </c>
      <c r="F47" t="inlineStr">
        <is>
          <t>Sveaskog</t>
        </is>
      </c>
      <c r="G47" t="n">
        <v>0.7</v>
      </c>
      <c r="H47" t="n">
        <v>1</v>
      </c>
      <c r="I47" t="n">
        <v>0</v>
      </c>
      <c r="J47" t="n">
        <v>0</v>
      </c>
      <c r="K47" t="n">
        <v>0</v>
      </c>
      <c r="L47" t="n">
        <v>0</v>
      </c>
      <c r="M47" t="n">
        <v>0</v>
      </c>
      <c r="N47" t="n">
        <v>0</v>
      </c>
      <c r="O47" t="n">
        <v>0</v>
      </c>
      <c r="P47" t="n">
        <v>0</v>
      </c>
      <c r="Q47" t="n">
        <v>1</v>
      </c>
      <c r="R47" s="2" t="inlineStr">
        <is>
          <t>Revlummer</t>
        </is>
      </c>
      <c r="S47">
        <f>HYPERLINK("https://klasma.github.io/Logging_1907/artfynd/A 44356-2024 artfynd.xlsx", "A 44356-2024")</f>
        <v/>
      </c>
      <c r="T47">
        <f>HYPERLINK("https://klasma.github.io/Logging_1907/kartor/A 44356-2024 karta.png", "A 44356-2024")</f>
        <v/>
      </c>
      <c r="V47">
        <f>HYPERLINK("https://klasma.github.io/Logging_1907/klagomål/A 44356-2024 FSC-klagomål.docx", "A 44356-2024")</f>
        <v/>
      </c>
      <c r="W47">
        <f>HYPERLINK("https://klasma.github.io/Logging_1907/klagomålsmail/A 44356-2024 FSC-klagomål mail.docx", "A 44356-2024")</f>
        <v/>
      </c>
      <c r="X47">
        <f>HYPERLINK("https://klasma.github.io/Logging_1907/tillsyn/A 44356-2024 tillsynsbegäran.docx", "A 44356-2024")</f>
        <v/>
      </c>
      <c r="Y47">
        <f>HYPERLINK("https://klasma.github.io/Logging_1907/tillsynsmail/A 44356-2024 tillsynsbegäran mail.docx", "A 44356-2024")</f>
        <v/>
      </c>
    </row>
    <row r="48" ht="15" customHeight="1">
      <c r="A48" t="inlineStr">
        <is>
          <t>A 22840-2023</t>
        </is>
      </c>
      <c r="B48" s="1" t="n">
        <v>45072</v>
      </c>
      <c r="C48" s="1" t="n">
        <v>45910</v>
      </c>
      <c r="D48" t="inlineStr">
        <is>
          <t>VÄSTMANLANDS LÄN</t>
        </is>
      </c>
      <c r="E48" t="inlineStr">
        <is>
          <t>SURAHAMMAR</t>
        </is>
      </c>
      <c r="G48" t="n">
        <v>4.3</v>
      </c>
      <c r="H48" t="n">
        <v>1</v>
      </c>
      <c r="I48" t="n">
        <v>0</v>
      </c>
      <c r="J48" t="n">
        <v>0</v>
      </c>
      <c r="K48" t="n">
        <v>0</v>
      </c>
      <c r="L48" t="n">
        <v>0</v>
      </c>
      <c r="M48" t="n">
        <v>0</v>
      </c>
      <c r="N48" t="n">
        <v>0</v>
      </c>
      <c r="O48" t="n">
        <v>0</v>
      </c>
      <c r="P48" t="n">
        <v>0</v>
      </c>
      <c r="Q48" t="n">
        <v>1</v>
      </c>
      <c r="R48" s="2" t="inlineStr">
        <is>
          <t>Fläcknycklar</t>
        </is>
      </c>
      <c r="S48">
        <f>HYPERLINK("https://klasma.github.io/Logging_1907/artfynd/A 22840-2023 artfynd.xlsx", "A 22840-2023")</f>
        <v/>
      </c>
      <c r="T48">
        <f>HYPERLINK("https://klasma.github.io/Logging_1907/kartor/A 22840-2023 karta.png", "A 22840-2023")</f>
        <v/>
      </c>
      <c r="V48">
        <f>HYPERLINK("https://klasma.github.io/Logging_1907/klagomål/A 22840-2023 FSC-klagomål.docx", "A 22840-2023")</f>
        <v/>
      </c>
      <c r="W48">
        <f>HYPERLINK("https://klasma.github.io/Logging_1907/klagomålsmail/A 22840-2023 FSC-klagomål mail.docx", "A 22840-2023")</f>
        <v/>
      </c>
      <c r="X48">
        <f>HYPERLINK("https://klasma.github.io/Logging_1907/tillsyn/A 22840-2023 tillsynsbegäran.docx", "A 22840-2023")</f>
        <v/>
      </c>
      <c r="Y48">
        <f>HYPERLINK("https://klasma.github.io/Logging_1907/tillsynsmail/A 22840-2023 tillsynsbegäran mail.docx", "A 22840-2023")</f>
        <v/>
      </c>
    </row>
    <row r="49" ht="15" customHeight="1">
      <c r="A49" t="inlineStr">
        <is>
          <t>A 33231-2024</t>
        </is>
      </c>
      <c r="B49" s="1" t="n">
        <v>45518</v>
      </c>
      <c r="C49" s="1" t="n">
        <v>45910</v>
      </c>
      <c r="D49" t="inlineStr">
        <is>
          <t>VÄSTMANLANDS LÄN</t>
        </is>
      </c>
      <c r="E49" t="inlineStr">
        <is>
          <t>SURAHAMMAR</t>
        </is>
      </c>
      <c r="F49" t="inlineStr">
        <is>
          <t>Bergvik skog väst AB</t>
        </is>
      </c>
      <c r="G49" t="n">
        <v>1.5</v>
      </c>
      <c r="H49" t="n">
        <v>1</v>
      </c>
      <c r="I49" t="n">
        <v>0</v>
      </c>
      <c r="J49" t="n">
        <v>0</v>
      </c>
      <c r="K49" t="n">
        <v>0</v>
      </c>
      <c r="L49" t="n">
        <v>0</v>
      </c>
      <c r="M49" t="n">
        <v>0</v>
      </c>
      <c r="N49" t="n">
        <v>0</v>
      </c>
      <c r="O49" t="n">
        <v>0</v>
      </c>
      <c r="P49" t="n">
        <v>0</v>
      </c>
      <c r="Q49" t="n">
        <v>1</v>
      </c>
      <c r="R49" s="2" t="inlineStr">
        <is>
          <t>Mindre vattensalamander</t>
        </is>
      </c>
      <c r="S49">
        <f>HYPERLINK("https://klasma.github.io/Logging_1907/artfynd/A 33231-2024 artfynd.xlsx", "A 33231-2024")</f>
        <v/>
      </c>
      <c r="T49">
        <f>HYPERLINK("https://klasma.github.io/Logging_1907/kartor/A 33231-2024 karta.png", "A 33231-2024")</f>
        <v/>
      </c>
      <c r="V49">
        <f>HYPERLINK("https://klasma.github.io/Logging_1907/klagomål/A 33231-2024 FSC-klagomål.docx", "A 33231-2024")</f>
        <v/>
      </c>
      <c r="W49">
        <f>HYPERLINK("https://klasma.github.io/Logging_1907/klagomålsmail/A 33231-2024 FSC-klagomål mail.docx", "A 33231-2024")</f>
        <v/>
      </c>
      <c r="X49">
        <f>HYPERLINK("https://klasma.github.io/Logging_1907/tillsyn/A 33231-2024 tillsynsbegäran.docx", "A 33231-2024")</f>
        <v/>
      </c>
      <c r="Y49">
        <f>HYPERLINK("https://klasma.github.io/Logging_1907/tillsynsmail/A 33231-2024 tillsynsbegäran mail.docx", "A 33231-2024")</f>
        <v/>
      </c>
    </row>
    <row r="50" ht="15" customHeight="1">
      <c r="A50" t="inlineStr">
        <is>
          <t>A 56362-2023</t>
        </is>
      </c>
      <c r="B50" s="1" t="n">
        <v>45236</v>
      </c>
      <c r="C50" s="1" t="n">
        <v>45910</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13788-2025</t>
        </is>
      </c>
      <c r="B51" s="1" t="n">
        <v>45737.45327546296</v>
      </c>
      <c r="C51" s="1" t="n">
        <v>45910</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47453-2024</t>
        </is>
      </c>
      <c r="B52" s="1" t="n">
        <v>45587.55017361111</v>
      </c>
      <c r="C52" s="1" t="n">
        <v>45910</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25583-2024</t>
        </is>
      </c>
      <c r="B53" s="1" t="n">
        <v>45463</v>
      </c>
      <c r="C53" s="1" t="n">
        <v>45910</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62097-2024</t>
        </is>
      </c>
      <c r="B54" s="1" t="n">
        <v>45646</v>
      </c>
      <c r="C54" s="1" t="n">
        <v>45910</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39099-2022</t>
        </is>
      </c>
      <c r="B55" s="1" t="n">
        <v>44817</v>
      </c>
      <c r="C55" s="1" t="n">
        <v>45910</v>
      </c>
      <c r="D55" t="inlineStr">
        <is>
          <t>VÄSTMANLANDS LÄN</t>
        </is>
      </c>
      <c r="E55" t="inlineStr">
        <is>
          <t>SURAHAMMAR</t>
        </is>
      </c>
      <c r="F55" t="inlineStr">
        <is>
          <t>Bergvik skog väst AB</t>
        </is>
      </c>
      <c r="G55" t="n">
        <v>7.4</v>
      </c>
      <c r="H55" t="n">
        <v>0</v>
      </c>
      <c r="I55" t="n">
        <v>1</v>
      </c>
      <c r="J55" t="n">
        <v>0</v>
      </c>
      <c r="K55" t="n">
        <v>0</v>
      </c>
      <c r="L55" t="n">
        <v>0</v>
      </c>
      <c r="M55" t="n">
        <v>0</v>
      </c>
      <c r="N55" t="n">
        <v>0</v>
      </c>
      <c r="O55" t="n">
        <v>0</v>
      </c>
      <c r="P55" t="n">
        <v>0</v>
      </c>
      <c r="Q55" t="n">
        <v>1</v>
      </c>
      <c r="R55" s="2" t="inlineStr">
        <is>
          <t>Stekelbock</t>
        </is>
      </c>
      <c r="S55">
        <f>HYPERLINK("https://klasma.github.io/Logging_1907/artfynd/A 39099-2022 artfynd.xlsx", "A 39099-2022")</f>
        <v/>
      </c>
      <c r="T55">
        <f>HYPERLINK("https://klasma.github.io/Logging_1907/kartor/A 39099-2022 karta.png", "A 39099-2022")</f>
        <v/>
      </c>
      <c r="V55">
        <f>HYPERLINK("https://klasma.github.io/Logging_1907/klagomål/A 39099-2022 FSC-klagomål.docx", "A 39099-2022")</f>
        <v/>
      </c>
      <c r="W55">
        <f>HYPERLINK("https://klasma.github.io/Logging_1907/klagomålsmail/A 39099-2022 FSC-klagomål mail.docx", "A 39099-2022")</f>
        <v/>
      </c>
      <c r="X55">
        <f>HYPERLINK("https://klasma.github.io/Logging_1907/tillsyn/A 39099-2022 tillsynsbegäran.docx", "A 39099-2022")</f>
        <v/>
      </c>
      <c r="Y55">
        <f>HYPERLINK("https://klasma.github.io/Logging_1907/tillsynsmail/A 39099-2022 tillsynsbegäran mail.docx", "A 39099-2022")</f>
        <v/>
      </c>
    </row>
    <row r="56" ht="15" customHeight="1">
      <c r="A56" t="inlineStr">
        <is>
          <t>A 14001-2023</t>
        </is>
      </c>
      <c r="B56" s="1" t="n">
        <v>45007</v>
      </c>
      <c r="C56" s="1" t="n">
        <v>45910</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42765-2022</t>
        </is>
      </c>
      <c r="B57" s="1" t="n">
        <v>44832</v>
      </c>
      <c r="C57" s="1" t="n">
        <v>45910</v>
      </c>
      <c r="D57" t="inlineStr">
        <is>
          <t>VÄSTMANLANDS LÄN</t>
        </is>
      </c>
      <c r="E57" t="inlineStr">
        <is>
          <t>SURAHAMMAR</t>
        </is>
      </c>
      <c r="G57" t="n">
        <v>1.8</v>
      </c>
      <c r="H57" t="n">
        <v>1</v>
      </c>
      <c r="I57" t="n">
        <v>0</v>
      </c>
      <c r="J57" t="n">
        <v>0</v>
      </c>
      <c r="K57" t="n">
        <v>0</v>
      </c>
      <c r="L57" t="n">
        <v>0</v>
      </c>
      <c r="M57" t="n">
        <v>0</v>
      </c>
      <c r="N57" t="n">
        <v>0</v>
      </c>
      <c r="O57" t="n">
        <v>0</v>
      </c>
      <c r="P57" t="n">
        <v>0</v>
      </c>
      <c r="Q57" t="n">
        <v>1</v>
      </c>
      <c r="R57" s="2" t="inlineStr">
        <is>
          <t>Blåsippa</t>
        </is>
      </c>
      <c r="S57">
        <f>HYPERLINK("https://klasma.github.io/Logging_1907/artfynd/A 42765-2022 artfynd.xlsx", "A 42765-2022")</f>
        <v/>
      </c>
      <c r="T57">
        <f>HYPERLINK("https://klasma.github.io/Logging_1907/kartor/A 42765-2022 karta.png", "A 42765-2022")</f>
        <v/>
      </c>
      <c r="V57">
        <f>HYPERLINK("https://klasma.github.io/Logging_1907/klagomål/A 42765-2022 FSC-klagomål.docx", "A 42765-2022")</f>
        <v/>
      </c>
      <c r="W57">
        <f>HYPERLINK("https://klasma.github.io/Logging_1907/klagomålsmail/A 42765-2022 FSC-klagomål mail.docx", "A 42765-2022")</f>
        <v/>
      </c>
      <c r="X57">
        <f>HYPERLINK("https://klasma.github.io/Logging_1907/tillsyn/A 42765-2022 tillsynsbegäran.docx", "A 42765-2022")</f>
        <v/>
      </c>
      <c r="Y57">
        <f>HYPERLINK("https://klasma.github.io/Logging_1907/tillsynsmail/A 42765-2022 tillsynsbegäran mail.docx", "A 42765-2022")</f>
        <v/>
      </c>
    </row>
    <row r="58" ht="15" customHeight="1">
      <c r="A58" t="inlineStr">
        <is>
          <t>A 10819-2024</t>
        </is>
      </c>
      <c r="B58" s="1" t="n">
        <v>45369.66049768519</v>
      </c>
      <c r="C58" s="1" t="n">
        <v>45910</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40403-2025</t>
        </is>
      </c>
      <c r="B59" s="1" t="n">
        <v>45895</v>
      </c>
      <c r="C59" s="1" t="n">
        <v>45910</v>
      </c>
      <c r="D59" t="inlineStr">
        <is>
          <t>VÄSTMANLANDS LÄN</t>
        </is>
      </c>
      <c r="E59" t="inlineStr">
        <is>
          <t>SURAHAMMAR</t>
        </is>
      </c>
      <c r="F59" t="inlineStr">
        <is>
          <t>Kommuner</t>
        </is>
      </c>
      <c r="G59" t="n">
        <v>3.9</v>
      </c>
      <c r="H59" t="n">
        <v>0</v>
      </c>
      <c r="I59" t="n">
        <v>0</v>
      </c>
      <c r="J59" t="n">
        <v>1</v>
      </c>
      <c r="K59" t="n">
        <v>0</v>
      </c>
      <c r="L59" t="n">
        <v>0</v>
      </c>
      <c r="M59" t="n">
        <v>0</v>
      </c>
      <c r="N59" t="n">
        <v>0</v>
      </c>
      <c r="O59" t="n">
        <v>1</v>
      </c>
      <c r="P59" t="n">
        <v>0</v>
      </c>
      <c r="Q59" t="n">
        <v>1</v>
      </c>
      <c r="R59" s="2" t="inlineStr">
        <is>
          <t>Igelkott</t>
        </is>
      </c>
      <c r="S59">
        <f>HYPERLINK("https://klasma.github.io/Logging_1907/artfynd/A 40403-2025 artfynd.xlsx", "A 40403-2025")</f>
        <v/>
      </c>
      <c r="T59">
        <f>HYPERLINK("https://klasma.github.io/Logging_1907/kartor/A 40403-2025 karta.png", "A 40403-2025")</f>
        <v/>
      </c>
      <c r="V59">
        <f>HYPERLINK("https://klasma.github.io/Logging_1907/klagomål/A 40403-2025 FSC-klagomål.docx", "A 40403-2025")</f>
        <v/>
      </c>
      <c r="W59">
        <f>HYPERLINK("https://klasma.github.io/Logging_1907/klagomålsmail/A 40403-2025 FSC-klagomål mail.docx", "A 40403-2025")</f>
        <v/>
      </c>
      <c r="X59">
        <f>HYPERLINK("https://klasma.github.io/Logging_1907/tillsyn/A 40403-2025 tillsynsbegäran.docx", "A 40403-2025")</f>
        <v/>
      </c>
      <c r="Y59">
        <f>HYPERLINK("https://klasma.github.io/Logging_1907/tillsynsmail/A 40403-2025 tillsynsbegäran mail.docx", "A 40403-2025")</f>
        <v/>
      </c>
    </row>
    <row r="60" ht="15" customHeight="1">
      <c r="A60" t="inlineStr">
        <is>
          <t>A 42089-2025</t>
        </is>
      </c>
      <c r="B60" s="1" t="n">
        <v>45902</v>
      </c>
      <c r="C60" s="1" t="n">
        <v>45910</v>
      </c>
      <c r="D60" t="inlineStr">
        <is>
          <t>VÄSTMANLANDS LÄN</t>
        </is>
      </c>
      <c r="E60" t="inlineStr">
        <is>
          <t>SURAHAMMAR</t>
        </is>
      </c>
      <c r="G60" t="n">
        <v>2.2</v>
      </c>
      <c r="H60" t="n">
        <v>0</v>
      </c>
      <c r="I60" t="n">
        <v>0</v>
      </c>
      <c r="J60" t="n">
        <v>1</v>
      </c>
      <c r="K60" t="n">
        <v>0</v>
      </c>
      <c r="L60" t="n">
        <v>0</v>
      </c>
      <c r="M60" t="n">
        <v>0</v>
      </c>
      <c r="N60" t="n">
        <v>0</v>
      </c>
      <c r="O60" t="n">
        <v>1</v>
      </c>
      <c r="P60" t="n">
        <v>0</v>
      </c>
      <c r="Q60" t="n">
        <v>1</v>
      </c>
      <c r="R60" s="2" t="inlineStr">
        <is>
          <t>Motaggsvamp</t>
        </is>
      </c>
      <c r="S60">
        <f>HYPERLINK("https://klasma.github.io/Logging_1907/artfynd/A 42089-2025 artfynd.xlsx", "A 42089-2025")</f>
        <v/>
      </c>
      <c r="T60">
        <f>HYPERLINK("https://klasma.github.io/Logging_1907/kartor/A 42089-2025 karta.png", "A 42089-2025")</f>
        <v/>
      </c>
      <c r="V60">
        <f>HYPERLINK("https://klasma.github.io/Logging_1907/klagomål/A 42089-2025 FSC-klagomål.docx", "A 42089-2025")</f>
        <v/>
      </c>
      <c r="W60">
        <f>HYPERLINK("https://klasma.github.io/Logging_1907/klagomålsmail/A 42089-2025 FSC-klagomål mail.docx", "A 42089-2025")</f>
        <v/>
      </c>
      <c r="X60">
        <f>HYPERLINK("https://klasma.github.io/Logging_1907/tillsyn/A 42089-2025 tillsynsbegäran.docx", "A 42089-2025")</f>
        <v/>
      </c>
      <c r="Y60">
        <f>HYPERLINK("https://klasma.github.io/Logging_1907/tillsynsmail/A 42089-2025 tillsynsbegäran mail.docx", "A 42089-2025")</f>
        <v/>
      </c>
    </row>
    <row r="61" ht="15" customHeight="1">
      <c r="A61" t="inlineStr">
        <is>
          <t>A 13971-2023</t>
        </is>
      </c>
      <c r="B61" s="1" t="n">
        <v>45007</v>
      </c>
      <c r="C61" s="1" t="n">
        <v>45910</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45910</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45910</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31176-2024</t>
        </is>
      </c>
      <c r="B64" s="1" t="n">
        <v>45503</v>
      </c>
      <c r="C64" s="1" t="n">
        <v>45910</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43451-2024</t>
        </is>
      </c>
      <c r="B65" s="1" t="n">
        <v>45568</v>
      </c>
      <c r="C65" s="1" t="n">
        <v>45910</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1492-2021</t>
        </is>
      </c>
      <c r="B66" s="1" t="n">
        <v>44209</v>
      </c>
      <c r="C66" s="1" t="n">
        <v>45910</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45910</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45910</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45910</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45910</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45910</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45910</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45910</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45910</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45910</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45910</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21839-2021</t>
        </is>
      </c>
      <c r="B77" s="1" t="n">
        <v>44322</v>
      </c>
      <c r="C77" s="1" t="n">
        <v>45910</v>
      </c>
      <c r="D77" t="inlineStr">
        <is>
          <t>VÄSTMANLANDS LÄN</t>
        </is>
      </c>
      <c r="E77" t="inlineStr">
        <is>
          <t>SURAHAMMAR</t>
        </is>
      </c>
      <c r="G77" t="n">
        <v>1.6</v>
      </c>
      <c r="H77" t="n">
        <v>0</v>
      </c>
      <c r="I77" t="n">
        <v>0</v>
      </c>
      <c r="J77" t="n">
        <v>0</v>
      </c>
      <c r="K77" t="n">
        <v>0</v>
      </c>
      <c r="L77" t="n">
        <v>0</v>
      </c>
      <c r="M77" t="n">
        <v>0</v>
      </c>
      <c r="N77" t="n">
        <v>0</v>
      </c>
      <c r="O77" t="n">
        <v>0</v>
      </c>
      <c r="P77" t="n">
        <v>0</v>
      </c>
      <c r="Q77" t="n">
        <v>0</v>
      </c>
      <c r="R77" s="2" t="inlineStr"/>
    </row>
    <row r="78" ht="15" customHeight="1">
      <c r="A78" t="inlineStr">
        <is>
          <t>A 31468-2021</t>
        </is>
      </c>
      <c r="B78" s="1" t="n">
        <v>44369</v>
      </c>
      <c r="C78" s="1" t="n">
        <v>45910</v>
      </c>
      <c r="D78" t="inlineStr">
        <is>
          <t>VÄSTMANLANDS LÄN</t>
        </is>
      </c>
      <c r="E78" t="inlineStr">
        <is>
          <t>SURAHAMMAR</t>
        </is>
      </c>
      <c r="G78" t="n">
        <v>1.1</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45910</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45910</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45910</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45910</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45910</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52076-2020</t>
        </is>
      </c>
      <c r="B84" s="1" t="n">
        <v>44117</v>
      </c>
      <c r="C84" s="1" t="n">
        <v>45910</v>
      </c>
      <c r="D84" t="inlineStr">
        <is>
          <t>VÄSTMANLANDS LÄN</t>
        </is>
      </c>
      <c r="E84" t="inlineStr">
        <is>
          <t>SURAHAMMAR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45910</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59543-2020</t>
        </is>
      </c>
      <c r="B86" s="1" t="n">
        <v>44148</v>
      </c>
      <c r="C86" s="1" t="n">
        <v>45910</v>
      </c>
      <c r="D86" t="inlineStr">
        <is>
          <t>VÄSTMANLANDS LÄN</t>
        </is>
      </c>
      <c r="E86" t="inlineStr">
        <is>
          <t>SURAHAMMAR</t>
        </is>
      </c>
      <c r="G86" t="n">
        <v>1.3</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45910</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45910</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45910</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16608-2022</t>
        </is>
      </c>
      <c r="B90" s="1" t="n">
        <v>44672</v>
      </c>
      <c r="C90" s="1" t="n">
        <v>45910</v>
      </c>
      <c r="D90" t="inlineStr">
        <is>
          <t>VÄSTMANLANDS LÄN</t>
        </is>
      </c>
      <c r="E90" t="inlineStr">
        <is>
          <t>SURAHAMMAR</t>
        </is>
      </c>
      <c r="F90" t="inlineStr">
        <is>
          <t>Bergvik skog väst AB</t>
        </is>
      </c>
      <c r="G90" t="n">
        <v>2</v>
      </c>
      <c r="H90" t="n">
        <v>0</v>
      </c>
      <c r="I90" t="n">
        <v>0</v>
      </c>
      <c r="J90" t="n">
        <v>0</v>
      </c>
      <c r="K90" t="n">
        <v>0</v>
      </c>
      <c r="L90" t="n">
        <v>0</v>
      </c>
      <c r="M90" t="n">
        <v>0</v>
      </c>
      <c r="N90" t="n">
        <v>0</v>
      </c>
      <c r="O90" t="n">
        <v>0</v>
      </c>
      <c r="P90" t="n">
        <v>0</v>
      </c>
      <c r="Q90" t="n">
        <v>0</v>
      </c>
      <c r="R90" s="2" t="inlineStr"/>
    </row>
    <row r="91" ht="15" customHeight="1">
      <c r="A91" t="inlineStr">
        <is>
          <t>A 15637-2022</t>
        </is>
      </c>
      <c r="B91" s="1" t="n">
        <v>44662.89638888889</v>
      </c>
      <c r="C91" s="1" t="n">
        <v>45910</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47785-2021</t>
        </is>
      </c>
      <c r="B92" s="1" t="n">
        <v>44448</v>
      </c>
      <c r="C92" s="1" t="n">
        <v>45910</v>
      </c>
      <c r="D92" t="inlineStr">
        <is>
          <t>VÄSTMANLANDS LÄN</t>
        </is>
      </c>
      <c r="E92" t="inlineStr">
        <is>
          <t>SURAHAMMAR</t>
        </is>
      </c>
      <c r="F92" t="inlineStr">
        <is>
          <t>Kommuner</t>
        </is>
      </c>
      <c r="G92" t="n">
        <v>3.3</v>
      </c>
      <c r="H92" t="n">
        <v>0</v>
      </c>
      <c r="I92" t="n">
        <v>0</v>
      </c>
      <c r="J92" t="n">
        <v>0</v>
      </c>
      <c r="K92" t="n">
        <v>0</v>
      </c>
      <c r="L92" t="n">
        <v>0</v>
      </c>
      <c r="M92" t="n">
        <v>0</v>
      </c>
      <c r="N92" t="n">
        <v>0</v>
      </c>
      <c r="O92" t="n">
        <v>0</v>
      </c>
      <c r="P92" t="n">
        <v>0</v>
      </c>
      <c r="Q92" t="n">
        <v>0</v>
      </c>
      <c r="R92" s="2" t="inlineStr"/>
    </row>
    <row r="93" ht="15" customHeight="1">
      <c r="A93" t="inlineStr">
        <is>
          <t>A 13119-2022</t>
        </is>
      </c>
      <c r="B93" s="1" t="n">
        <v>44643</v>
      </c>
      <c r="C93" s="1" t="n">
        <v>45910</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45910</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45910</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45910</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45910</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45910</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15739-2023</t>
        </is>
      </c>
      <c r="B99" s="1" t="n">
        <v>45021</v>
      </c>
      <c r="C99" s="1" t="n">
        <v>45910</v>
      </c>
      <c r="D99" t="inlineStr">
        <is>
          <t>VÄSTMANLANDS LÄN</t>
        </is>
      </c>
      <c r="E99" t="inlineStr">
        <is>
          <t>SURAHAMMAR</t>
        </is>
      </c>
      <c r="G99" t="n">
        <v>1.3</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45910</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45910</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38154-2021</t>
        </is>
      </c>
      <c r="B102" s="1" t="n">
        <v>44405.42373842592</v>
      </c>
      <c r="C102" s="1" t="n">
        <v>45910</v>
      </c>
      <c r="D102" t="inlineStr">
        <is>
          <t>VÄSTMANLANDS LÄN</t>
        </is>
      </c>
      <c r="E102" t="inlineStr">
        <is>
          <t>SURAHAMMAR</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37798-2021</t>
        </is>
      </c>
      <c r="B103" s="1" t="n">
        <v>44402</v>
      </c>
      <c r="C103" s="1" t="n">
        <v>45910</v>
      </c>
      <c r="D103" t="inlineStr">
        <is>
          <t>VÄSTMANLANDS LÄN</t>
        </is>
      </c>
      <c r="E103" t="inlineStr">
        <is>
          <t>SURAHAMMAR</t>
        </is>
      </c>
      <c r="F103" t="inlineStr">
        <is>
          <t>Kommuner</t>
        </is>
      </c>
      <c r="G103" t="n">
        <v>1.2</v>
      </c>
      <c r="H103" t="n">
        <v>0</v>
      </c>
      <c r="I103" t="n">
        <v>0</v>
      </c>
      <c r="J103" t="n">
        <v>0</v>
      </c>
      <c r="K103" t="n">
        <v>0</v>
      </c>
      <c r="L103" t="n">
        <v>0</v>
      </c>
      <c r="M103" t="n">
        <v>0</v>
      </c>
      <c r="N103" t="n">
        <v>0</v>
      </c>
      <c r="O103" t="n">
        <v>0</v>
      </c>
      <c r="P103" t="n">
        <v>0</v>
      </c>
      <c r="Q103" t="n">
        <v>0</v>
      </c>
      <c r="R103" s="2" t="inlineStr"/>
    </row>
    <row r="104" ht="15" customHeight="1">
      <c r="A104" t="inlineStr">
        <is>
          <t>A 25450-2024</t>
        </is>
      </c>
      <c r="B104" s="1" t="n">
        <v>45463</v>
      </c>
      <c r="C104" s="1" t="n">
        <v>45910</v>
      </c>
      <c r="D104" t="inlineStr">
        <is>
          <t>VÄSTMANLANDS LÄN</t>
        </is>
      </c>
      <c r="E104" t="inlineStr">
        <is>
          <t>SURAHAMMAR</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37287-2023</t>
        </is>
      </c>
      <c r="B105" s="1" t="n">
        <v>45156</v>
      </c>
      <c r="C105" s="1" t="n">
        <v>45910</v>
      </c>
      <c r="D105" t="inlineStr">
        <is>
          <t>VÄSTMANLANDS LÄN</t>
        </is>
      </c>
      <c r="E105" t="inlineStr">
        <is>
          <t>SURAHAMMAR</t>
        </is>
      </c>
      <c r="G105" t="n">
        <v>0.6</v>
      </c>
      <c r="H105" t="n">
        <v>0</v>
      </c>
      <c r="I105" t="n">
        <v>0</v>
      </c>
      <c r="J105" t="n">
        <v>0</v>
      </c>
      <c r="K105" t="n">
        <v>0</v>
      </c>
      <c r="L105" t="n">
        <v>0</v>
      </c>
      <c r="M105" t="n">
        <v>0</v>
      </c>
      <c r="N105" t="n">
        <v>0</v>
      </c>
      <c r="O105" t="n">
        <v>0</v>
      </c>
      <c r="P105" t="n">
        <v>0</v>
      </c>
      <c r="Q105" t="n">
        <v>0</v>
      </c>
      <c r="R105" s="2" t="inlineStr"/>
    </row>
    <row r="106" ht="15" customHeight="1">
      <c r="A106" t="inlineStr">
        <is>
          <t>A 41576-2022</t>
        </is>
      </c>
      <c r="B106" s="1" t="n">
        <v>44826</v>
      </c>
      <c r="C106" s="1" t="n">
        <v>45910</v>
      </c>
      <c r="D106" t="inlineStr">
        <is>
          <t>VÄSTMANLANDS LÄN</t>
        </is>
      </c>
      <c r="E106" t="inlineStr">
        <is>
          <t>SURAHAMMAR</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45910</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7848-2022</t>
        </is>
      </c>
      <c r="B108" s="1" t="n">
        <v>44608.58400462963</v>
      </c>
      <c r="C108" s="1" t="n">
        <v>45910</v>
      </c>
      <c r="D108" t="inlineStr">
        <is>
          <t>VÄSTMANLANDS LÄN</t>
        </is>
      </c>
      <c r="E108" t="inlineStr">
        <is>
          <t>SURAHAMMAR</t>
        </is>
      </c>
      <c r="G108" t="n">
        <v>2.1</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45910</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45910</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45910</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45910</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45910</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45910</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19099-2022</t>
        </is>
      </c>
      <c r="B115" s="1" t="n">
        <v>44691</v>
      </c>
      <c r="C115" s="1" t="n">
        <v>45910</v>
      </c>
      <c r="D115" t="inlineStr">
        <is>
          <t>VÄSTMANLANDS LÄN</t>
        </is>
      </c>
      <c r="E115" t="inlineStr">
        <is>
          <t>SURAHAMMAR</t>
        </is>
      </c>
      <c r="F115" t="inlineStr">
        <is>
          <t>Övriga Aktiebolag</t>
        </is>
      </c>
      <c r="G115" t="n">
        <v>3.4</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45910</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24158-2023</t>
        </is>
      </c>
      <c r="B117" s="1" t="n">
        <v>45079</v>
      </c>
      <c r="C117" s="1" t="n">
        <v>45910</v>
      </c>
      <c r="D117" t="inlineStr">
        <is>
          <t>VÄSTMANLANDS LÄN</t>
        </is>
      </c>
      <c r="E117" t="inlineStr">
        <is>
          <t>SURAHAMMAR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10396-2025</t>
        </is>
      </c>
      <c r="B118" s="1" t="n">
        <v>45720.60721064815</v>
      </c>
      <c r="C118" s="1" t="n">
        <v>45910</v>
      </c>
      <c r="D118" t="inlineStr">
        <is>
          <t>VÄSTMANLANDS LÄN</t>
        </is>
      </c>
      <c r="E118" t="inlineStr">
        <is>
          <t>SURAHAMMAR</t>
        </is>
      </c>
      <c r="F118" t="inlineStr">
        <is>
          <t>Allmännings- och besparingsskogar</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45910</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42714-2022</t>
        </is>
      </c>
      <c r="B120" s="1" t="n">
        <v>44832</v>
      </c>
      <c r="C120" s="1" t="n">
        <v>45910</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34582-2025</t>
        </is>
      </c>
      <c r="B121" s="1" t="n">
        <v>45846</v>
      </c>
      <c r="C121" s="1" t="n">
        <v>45910</v>
      </c>
      <c r="D121" t="inlineStr">
        <is>
          <t>VÄSTMANLANDS LÄN</t>
        </is>
      </c>
      <c r="E121" t="inlineStr">
        <is>
          <t>SURAHAMMAR</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3818-2022</t>
        </is>
      </c>
      <c r="B122" s="1" t="n">
        <v>44587</v>
      </c>
      <c r="C122" s="1" t="n">
        <v>45910</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34584-2025</t>
        </is>
      </c>
      <c r="B123" s="1" t="n">
        <v>45846</v>
      </c>
      <c r="C123" s="1" t="n">
        <v>45910</v>
      </c>
      <c r="D123" t="inlineStr">
        <is>
          <t>VÄSTMANLANDS LÄN</t>
        </is>
      </c>
      <c r="E123" t="inlineStr">
        <is>
          <t>SURAHAMMAR</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35682-2022</t>
        </is>
      </c>
      <c r="B124" s="1" t="n">
        <v>44799.60422453703</v>
      </c>
      <c r="C124" s="1" t="n">
        <v>45910</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11728-2023</t>
        </is>
      </c>
      <c r="B125" s="1" t="n">
        <v>44993</v>
      </c>
      <c r="C125" s="1" t="n">
        <v>45910</v>
      </c>
      <c r="D125" t="inlineStr">
        <is>
          <t>VÄSTMANLANDS LÄN</t>
        </is>
      </c>
      <c r="E125" t="inlineStr">
        <is>
          <t>SURAHAMMAR</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45910</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42832-2022</t>
        </is>
      </c>
      <c r="B127" s="1" t="n">
        <v>44832</v>
      </c>
      <c r="C127" s="1" t="n">
        <v>45910</v>
      </c>
      <c r="D127" t="inlineStr">
        <is>
          <t>VÄSTMANLANDS LÄN</t>
        </is>
      </c>
      <c r="E127" t="inlineStr">
        <is>
          <t>SURAHAMMAR</t>
        </is>
      </c>
      <c r="G127" t="n">
        <v>1.1</v>
      </c>
      <c r="H127" t="n">
        <v>0</v>
      </c>
      <c r="I127" t="n">
        <v>0</v>
      </c>
      <c r="J127" t="n">
        <v>0</v>
      </c>
      <c r="K127" t="n">
        <v>0</v>
      </c>
      <c r="L127" t="n">
        <v>0</v>
      </c>
      <c r="M127" t="n">
        <v>0</v>
      </c>
      <c r="N127" t="n">
        <v>0</v>
      </c>
      <c r="O127" t="n">
        <v>0</v>
      </c>
      <c r="P127" t="n">
        <v>0</v>
      </c>
      <c r="Q127" t="n">
        <v>0</v>
      </c>
      <c r="R127" s="2" t="inlineStr"/>
    </row>
    <row r="128" ht="15" customHeight="1">
      <c r="A128" t="inlineStr">
        <is>
          <t>A 32916-2025</t>
        </is>
      </c>
      <c r="B128" s="1" t="n">
        <v>45839</v>
      </c>
      <c r="C128" s="1" t="n">
        <v>45910</v>
      </c>
      <c r="D128" t="inlineStr">
        <is>
          <t>VÄSTMANLANDS LÄN</t>
        </is>
      </c>
      <c r="E128" t="inlineStr">
        <is>
          <t>SURAHAMMAR</t>
        </is>
      </c>
      <c r="F128" t="inlineStr">
        <is>
          <t>Kommuner</t>
        </is>
      </c>
      <c r="G128" t="n">
        <v>4.9</v>
      </c>
      <c r="H128" t="n">
        <v>0</v>
      </c>
      <c r="I128" t="n">
        <v>0</v>
      </c>
      <c r="J128" t="n">
        <v>0</v>
      </c>
      <c r="K128" t="n">
        <v>0</v>
      </c>
      <c r="L128" t="n">
        <v>0</v>
      </c>
      <c r="M128" t="n">
        <v>0</v>
      </c>
      <c r="N128" t="n">
        <v>0</v>
      </c>
      <c r="O128" t="n">
        <v>0</v>
      </c>
      <c r="P128" t="n">
        <v>0</v>
      </c>
      <c r="Q128" t="n">
        <v>0</v>
      </c>
      <c r="R128" s="2" t="inlineStr"/>
    </row>
    <row r="129" ht="15" customHeight="1">
      <c r="A129" t="inlineStr">
        <is>
          <t>A 32910-2025</t>
        </is>
      </c>
      <c r="B129" s="1" t="n">
        <v>45839</v>
      </c>
      <c r="C129" s="1" t="n">
        <v>45910</v>
      </c>
      <c r="D129" t="inlineStr">
        <is>
          <t>VÄSTMANLANDS LÄN</t>
        </is>
      </c>
      <c r="E129" t="inlineStr">
        <is>
          <t>SURAHAMMAR</t>
        </is>
      </c>
      <c r="F129" t="inlineStr">
        <is>
          <t>Kommuner</t>
        </is>
      </c>
      <c r="G129" t="n">
        <v>1.1</v>
      </c>
      <c r="H129" t="n">
        <v>0</v>
      </c>
      <c r="I129" t="n">
        <v>0</v>
      </c>
      <c r="J129" t="n">
        <v>0</v>
      </c>
      <c r="K129" t="n">
        <v>0</v>
      </c>
      <c r="L129" t="n">
        <v>0</v>
      </c>
      <c r="M129" t="n">
        <v>0</v>
      </c>
      <c r="N129" t="n">
        <v>0</v>
      </c>
      <c r="O129" t="n">
        <v>0</v>
      </c>
      <c r="P129" t="n">
        <v>0</v>
      </c>
      <c r="Q129" t="n">
        <v>0</v>
      </c>
      <c r="R129" s="2" t="inlineStr"/>
    </row>
    <row r="130" ht="15" customHeight="1">
      <c r="A130" t="inlineStr">
        <is>
          <t>A 24665-2023</t>
        </is>
      </c>
      <c r="B130" s="1" t="n">
        <v>45084.48592592592</v>
      </c>
      <c r="C130" s="1" t="n">
        <v>45910</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32808-2024</t>
        </is>
      </c>
      <c r="B131" s="1" t="n">
        <v>45516</v>
      </c>
      <c r="C131" s="1" t="n">
        <v>45910</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25417-2024</t>
        </is>
      </c>
      <c r="B132" s="1" t="n">
        <v>45463</v>
      </c>
      <c r="C132" s="1" t="n">
        <v>45910</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42088-2025</t>
        </is>
      </c>
      <c r="B133" s="1" t="n">
        <v>45902</v>
      </c>
      <c r="C133" s="1" t="n">
        <v>45910</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42841-2022</t>
        </is>
      </c>
      <c r="B134" s="1" t="n">
        <v>44832</v>
      </c>
      <c r="C134" s="1" t="n">
        <v>45910</v>
      </c>
      <c r="D134" t="inlineStr">
        <is>
          <t>VÄSTMANLANDS LÄN</t>
        </is>
      </c>
      <c r="E134" t="inlineStr">
        <is>
          <t>SURAHAMMAR</t>
        </is>
      </c>
      <c r="G134" t="n">
        <v>1.8</v>
      </c>
      <c r="H134" t="n">
        <v>0</v>
      </c>
      <c r="I134" t="n">
        <v>0</v>
      </c>
      <c r="J134" t="n">
        <v>0</v>
      </c>
      <c r="K134" t="n">
        <v>0</v>
      </c>
      <c r="L134" t="n">
        <v>0</v>
      </c>
      <c r="M134" t="n">
        <v>0</v>
      </c>
      <c r="N134" t="n">
        <v>0</v>
      </c>
      <c r="O134" t="n">
        <v>0</v>
      </c>
      <c r="P134" t="n">
        <v>0</v>
      </c>
      <c r="Q134" t="n">
        <v>0</v>
      </c>
      <c r="R134" s="2" t="inlineStr"/>
    </row>
    <row r="135" ht="15" customHeight="1">
      <c r="A135" t="inlineStr">
        <is>
          <t>A 42829-2022</t>
        </is>
      </c>
      <c r="B135" s="1" t="n">
        <v>44832</v>
      </c>
      <c r="C135" s="1" t="n">
        <v>45910</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2867-2024</t>
        </is>
      </c>
      <c r="B136" s="1" t="n">
        <v>45315</v>
      </c>
      <c r="C136" s="1" t="n">
        <v>45910</v>
      </c>
      <c r="D136" t="inlineStr">
        <is>
          <t>VÄSTMANLANDS LÄN</t>
        </is>
      </c>
      <c r="E136" t="inlineStr">
        <is>
          <t>SURAHAMMAR</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44358-2024</t>
        </is>
      </c>
      <c r="B137" s="1" t="n">
        <v>45573</v>
      </c>
      <c r="C137" s="1" t="n">
        <v>45910</v>
      </c>
      <c r="D137" t="inlineStr">
        <is>
          <t>VÄSTMANLANDS LÄN</t>
        </is>
      </c>
      <c r="E137" t="inlineStr">
        <is>
          <t>SURAHAMMAR</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44359-2024</t>
        </is>
      </c>
      <c r="B138" s="1" t="n">
        <v>45573</v>
      </c>
      <c r="C138" s="1" t="n">
        <v>45910</v>
      </c>
      <c r="D138" t="inlineStr">
        <is>
          <t>VÄSTMANLANDS LÄN</t>
        </is>
      </c>
      <c r="E138" t="inlineStr">
        <is>
          <t>SURAHAMMAR</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3085-2023</t>
        </is>
      </c>
      <c r="B139" s="1" t="n">
        <v>44946</v>
      </c>
      <c r="C139" s="1" t="n">
        <v>45910</v>
      </c>
      <c r="D139" t="inlineStr">
        <is>
          <t>VÄSTMANLANDS LÄN</t>
        </is>
      </c>
      <c r="E139" t="inlineStr">
        <is>
          <t>SURAHAMMAR</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21509-2024</t>
        </is>
      </c>
      <c r="B140" s="1" t="n">
        <v>45441</v>
      </c>
      <c r="C140" s="1" t="n">
        <v>45910</v>
      </c>
      <c r="D140" t="inlineStr">
        <is>
          <t>VÄSTMANLANDS LÄN</t>
        </is>
      </c>
      <c r="E140" t="inlineStr">
        <is>
          <t>SURAHAMMAR</t>
        </is>
      </c>
      <c r="F140" t="inlineStr">
        <is>
          <t>Bergvik skog väst AB</t>
        </is>
      </c>
      <c r="G140" t="n">
        <v>3.9</v>
      </c>
      <c r="H140" t="n">
        <v>0</v>
      </c>
      <c r="I140" t="n">
        <v>0</v>
      </c>
      <c r="J140" t="n">
        <v>0</v>
      </c>
      <c r="K140" t="n">
        <v>0</v>
      </c>
      <c r="L140" t="n">
        <v>0</v>
      </c>
      <c r="M140" t="n">
        <v>0</v>
      </c>
      <c r="N140" t="n">
        <v>0</v>
      </c>
      <c r="O140" t="n">
        <v>0</v>
      </c>
      <c r="P140" t="n">
        <v>0</v>
      </c>
      <c r="Q140" t="n">
        <v>0</v>
      </c>
      <c r="R140" s="2" t="inlineStr"/>
    </row>
    <row r="141" ht="15" customHeight="1">
      <c r="A141" t="inlineStr">
        <is>
          <t>A 22662-2023</t>
        </is>
      </c>
      <c r="B141" s="1" t="n">
        <v>45071</v>
      </c>
      <c r="C141" s="1" t="n">
        <v>45910</v>
      </c>
      <c r="D141" t="inlineStr">
        <is>
          <t>VÄSTMANLANDS LÄN</t>
        </is>
      </c>
      <c r="E141" t="inlineStr">
        <is>
          <t>SURAHAMMAR</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16013-2023</t>
        </is>
      </c>
      <c r="B142" s="1" t="n">
        <v>45026</v>
      </c>
      <c r="C142" s="1" t="n">
        <v>45910</v>
      </c>
      <c r="D142" t="inlineStr">
        <is>
          <t>VÄSTMANLANDS LÄN</t>
        </is>
      </c>
      <c r="E142" t="inlineStr">
        <is>
          <t>SURAHAMMAR</t>
        </is>
      </c>
      <c r="G142" t="n">
        <v>3.9</v>
      </c>
      <c r="H142" t="n">
        <v>0</v>
      </c>
      <c r="I142" t="n">
        <v>0</v>
      </c>
      <c r="J142" t="n">
        <v>0</v>
      </c>
      <c r="K142" t="n">
        <v>0</v>
      </c>
      <c r="L142" t="n">
        <v>0</v>
      </c>
      <c r="M142" t="n">
        <v>0</v>
      </c>
      <c r="N142" t="n">
        <v>0</v>
      </c>
      <c r="O142" t="n">
        <v>0</v>
      </c>
      <c r="P142" t="n">
        <v>0</v>
      </c>
      <c r="Q142" t="n">
        <v>0</v>
      </c>
      <c r="R142" s="2" t="inlineStr"/>
    </row>
    <row r="143" ht="15" customHeight="1">
      <c r="A143" t="inlineStr">
        <is>
          <t>A 49058-2024</t>
        </is>
      </c>
      <c r="B143" s="1" t="n">
        <v>45594</v>
      </c>
      <c r="C143" s="1" t="n">
        <v>45910</v>
      </c>
      <c r="D143" t="inlineStr">
        <is>
          <t>VÄSTMANLANDS LÄN</t>
        </is>
      </c>
      <c r="E143" t="inlineStr">
        <is>
          <t>SURAHAMMAR</t>
        </is>
      </c>
      <c r="F143" t="inlineStr">
        <is>
          <t>Sveaskog</t>
        </is>
      </c>
      <c r="G143" t="n">
        <v>11.4</v>
      </c>
      <c r="H143" t="n">
        <v>0</v>
      </c>
      <c r="I143" t="n">
        <v>0</v>
      </c>
      <c r="J143" t="n">
        <v>0</v>
      </c>
      <c r="K143" t="n">
        <v>0</v>
      </c>
      <c r="L143" t="n">
        <v>0</v>
      </c>
      <c r="M143" t="n">
        <v>0</v>
      </c>
      <c r="N143" t="n">
        <v>0</v>
      </c>
      <c r="O143" t="n">
        <v>0</v>
      </c>
      <c r="P143" t="n">
        <v>0</v>
      </c>
      <c r="Q143" t="n">
        <v>0</v>
      </c>
      <c r="R143" s="2" t="inlineStr"/>
    </row>
    <row r="144" ht="15" customHeight="1">
      <c r="A144" t="inlineStr">
        <is>
          <t>A 49060-2024</t>
        </is>
      </c>
      <c r="B144" s="1" t="n">
        <v>45594</v>
      </c>
      <c r="C144" s="1" t="n">
        <v>45910</v>
      </c>
      <c r="D144" t="inlineStr">
        <is>
          <t>VÄSTMANLANDS LÄN</t>
        </is>
      </c>
      <c r="E144" t="inlineStr">
        <is>
          <t>SURAHAMMAR</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45910</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34955-2022</t>
        </is>
      </c>
      <c r="B146" s="1" t="n">
        <v>44796</v>
      </c>
      <c r="C146" s="1" t="n">
        <v>45910</v>
      </c>
      <c r="D146" t="inlineStr">
        <is>
          <t>VÄSTMANLANDS LÄN</t>
        </is>
      </c>
      <c r="E146" t="inlineStr">
        <is>
          <t>SURAHAMMAR</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20904-2023</t>
        </is>
      </c>
      <c r="B147" s="1" t="n">
        <v>45060</v>
      </c>
      <c r="C147" s="1" t="n">
        <v>45910</v>
      </c>
      <c r="D147" t="inlineStr">
        <is>
          <t>VÄSTMANLANDS LÄN</t>
        </is>
      </c>
      <c r="E147" t="inlineStr">
        <is>
          <t>SURAHAMMAR</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45910</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10883-2023</t>
        </is>
      </c>
      <c r="B149" s="1" t="n">
        <v>44991</v>
      </c>
      <c r="C149" s="1" t="n">
        <v>45910</v>
      </c>
      <c r="D149" t="inlineStr">
        <is>
          <t>VÄSTMANLANDS LÄN</t>
        </is>
      </c>
      <c r="E149" t="inlineStr">
        <is>
          <t>SURAHAMMAR</t>
        </is>
      </c>
      <c r="F149" t="inlineStr">
        <is>
          <t>Övriga Aktiebolag</t>
        </is>
      </c>
      <c r="G149" t="n">
        <v>12.5</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45910</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c r="A151" t="inlineStr">
        <is>
          <t>A 13386-2025</t>
        </is>
      </c>
      <c r="B151" s="1" t="n">
        <v>45735</v>
      </c>
      <c r="C151" s="1" t="n">
        <v>45910</v>
      </c>
      <c r="D151" t="inlineStr">
        <is>
          <t>VÄSTMANLANDS LÄN</t>
        </is>
      </c>
      <c r="E151" t="inlineStr">
        <is>
          <t>SURAHAMMAR</t>
        </is>
      </c>
      <c r="F151" t="inlineStr">
        <is>
          <t>Bergvik skog väst AB</t>
        </is>
      </c>
      <c r="G151" t="n">
        <v>4</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2025-09-10T18:17:58Z</dcterms:created>
  <dcterms:modified xmlns:dcterms="http://purl.org/dc/terms/" xmlns:xsi="http://www.w3.org/2001/XMLSchema-instance" xsi:type="dcterms:W3CDTF">2025-09-10T18:17:59Z</dcterms:modified>
</cp:coreProperties>
</file>