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45825</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45825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45825</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45825</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45825</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45825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45825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45825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45825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45825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45825</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45825</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45825</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45825</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45825</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45825</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45825</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45825</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45825</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45825</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45825</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45825</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45825</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45825</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45825</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45825</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45825</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45825</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45825</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45825</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45825</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45825</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45825</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45825</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45825</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45825</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45825</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45825</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45825</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45825</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45825</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45825</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45825</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45825</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45825</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45825</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45825</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45825</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45825</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45825</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45825</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45825</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45825</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45825</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45825</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45825</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45825</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45825</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45825</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45825</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45825</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45825</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45825</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45825</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45825</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45825</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45825</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45825</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45825</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45825</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45825</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45825</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45825</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45825</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45825</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45825</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45825</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45825</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45825</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45825</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45825</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26700-2022</t>
        </is>
      </c>
      <c r="B85" s="1" t="n">
        <v>44739</v>
      </c>
      <c r="C85" s="1" t="n">
        <v>45825</v>
      </c>
      <c r="D85" t="inlineStr">
        <is>
          <t>VÄSTMANLANDS LÄN</t>
        </is>
      </c>
      <c r="E85" t="inlineStr">
        <is>
          <t>SURAHAMMAR</t>
        </is>
      </c>
      <c r="F85" t="inlineStr">
        <is>
          <t>Kommuner</t>
        </is>
      </c>
      <c r="G85" t="n">
        <v>3.1</v>
      </c>
      <c r="H85" t="n">
        <v>1</v>
      </c>
      <c r="I85" t="n">
        <v>0</v>
      </c>
      <c r="J85" t="n">
        <v>0</v>
      </c>
      <c r="K85" t="n">
        <v>0</v>
      </c>
      <c r="L85" t="n">
        <v>0</v>
      </c>
      <c r="M85" t="n">
        <v>0</v>
      </c>
      <c r="N85" t="n">
        <v>0</v>
      </c>
      <c r="O85" t="n">
        <v>0</v>
      </c>
      <c r="P85" t="n">
        <v>0</v>
      </c>
      <c r="Q85" t="n">
        <v>1</v>
      </c>
      <c r="R85" s="2" t="inlineStr">
        <is>
          <t>Fläcknycklar</t>
        </is>
      </c>
      <c r="S85">
        <f>HYPERLINK("https://klasma.github.io/Logging_1907/artfynd/A 26700-2022 artfynd.xlsx", "A 26700-2022")</f>
        <v/>
      </c>
      <c r="T85">
        <f>HYPERLINK("https://klasma.github.io/Logging_1907/kartor/A 26700-2022 karta.png", "A 26700-2022")</f>
        <v/>
      </c>
      <c r="V85">
        <f>HYPERLINK("https://klasma.github.io/Logging_1907/klagomål/A 26700-2022 FSC-klagomål.docx", "A 26700-2022")</f>
        <v/>
      </c>
      <c r="W85">
        <f>HYPERLINK("https://klasma.github.io/Logging_1907/klagomålsmail/A 26700-2022 FSC-klagomål mail.docx", "A 26700-2022")</f>
        <v/>
      </c>
      <c r="X85">
        <f>HYPERLINK("https://klasma.github.io/Logging_1907/tillsyn/A 26700-2022 tillsynsbegäran.docx", "A 26700-2022")</f>
        <v/>
      </c>
      <c r="Y85">
        <f>HYPERLINK("https://klasma.github.io/Logging_1907/tillsynsmail/A 26700-2022 tillsynsbegäran mail.docx", "A 26700-2022")</f>
        <v/>
      </c>
    </row>
    <row r="86" ht="15" customHeight="1">
      <c r="A86" t="inlineStr">
        <is>
          <t>A 39099-2022</t>
        </is>
      </c>
      <c r="B86" s="1" t="n">
        <v>44817</v>
      </c>
      <c r="C86" s="1" t="n">
        <v>45825</v>
      </c>
      <c r="D86" t="inlineStr">
        <is>
          <t>VÄSTMANLANDS LÄN</t>
        </is>
      </c>
      <c r="E86" t="inlineStr">
        <is>
          <t>SURAHAMMAR</t>
        </is>
      </c>
      <c r="F86" t="inlineStr">
        <is>
          <t>Bergvik skog väst AB</t>
        </is>
      </c>
      <c r="G86" t="n">
        <v>7.4</v>
      </c>
      <c r="H86" t="n">
        <v>0</v>
      </c>
      <c r="I86" t="n">
        <v>1</v>
      </c>
      <c r="J86" t="n">
        <v>0</v>
      </c>
      <c r="K86" t="n">
        <v>0</v>
      </c>
      <c r="L86" t="n">
        <v>0</v>
      </c>
      <c r="M86" t="n">
        <v>0</v>
      </c>
      <c r="N86" t="n">
        <v>0</v>
      </c>
      <c r="O86" t="n">
        <v>0</v>
      </c>
      <c r="P86" t="n">
        <v>0</v>
      </c>
      <c r="Q86" t="n">
        <v>1</v>
      </c>
      <c r="R86" s="2" t="inlineStr">
        <is>
          <t>Stekelbock</t>
        </is>
      </c>
      <c r="S86">
        <f>HYPERLINK("https://klasma.github.io/Logging_1907/artfynd/A 39099-2022 artfynd.xlsx", "A 39099-2022")</f>
        <v/>
      </c>
      <c r="T86">
        <f>HYPERLINK("https://klasma.github.io/Logging_1907/kartor/A 39099-2022 karta.png", "A 39099-2022")</f>
        <v/>
      </c>
      <c r="V86">
        <f>HYPERLINK("https://klasma.github.io/Logging_1907/klagomål/A 39099-2022 FSC-klagomål.docx", "A 39099-2022")</f>
        <v/>
      </c>
      <c r="W86">
        <f>HYPERLINK("https://klasma.github.io/Logging_1907/klagomålsmail/A 39099-2022 FSC-klagomål mail.docx", "A 39099-2022")</f>
        <v/>
      </c>
      <c r="X86">
        <f>HYPERLINK("https://klasma.github.io/Logging_1907/tillsyn/A 39099-2022 tillsynsbegäran.docx", "A 39099-2022")</f>
        <v/>
      </c>
      <c r="Y86">
        <f>HYPERLINK("https://klasma.github.io/Logging_1907/tillsynsmail/A 39099-2022 tillsynsbegäran mail.docx", "A 39099-2022")</f>
        <v/>
      </c>
    </row>
    <row r="87" ht="15" customHeight="1">
      <c r="A87" t="inlineStr">
        <is>
          <t>A 42765-2022</t>
        </is>
      </c>
      <c r="B87" s="1" t="n">
        <v>44832</v>
      </c>
      <c r="C87" s="1" t="n">
        <v>45825</v>
      </c>
      <c r="D87" t="inlineStr">
        <is>
          <t>VÄSTMANLANDS LÄN</t>
        </is>
      </c>
      <c r="E87" t="inlineStr">
        <is>
          <t>SURAHAMMAR</t>
        </is>
      </c>
      <c r="G87" t="n">
        <v>1.8</v>
      </c>
      <c r="H87" t="n">
        <v>1</v>
      </c>
      <c r="I87" t="n">
        <v>0</v>
      </c>
      <c r="J87" t="n">
        <v>0</v>
      </c>
      <c r="K87" t="n">
        <v>0</v>
      </c>
      <c r="L87" t="n">
        <v>0</v>
      </c>
      <c r="M87" t="n">
        <v>0</v>
      </c>
      <c r="N87" t="n">
        <v>0</v>
      </c>
      <c r="O87" t="n">
        <v>0</v>
      </c>
      <c r="P87" t="n">
        <v>0</v>
      </c>
      <c r="Q87" t="n">
        <v>1</v>
      </c>
      <c r="R87" s="2" t="inlineStr">
        <is>
          <t>Blåsippa</t>
        </is>
      </c>
      <c r="S87">
        <f>HYPERLINK("https://klasma.github.io/Logging_1907/artfynd/A 42765-2022 artfynd.xlsx", "A 42765-2022")</f>
        <v/>
      </c>
      <c r="T87">
        <f>HYPERLINK("https://klasma.github.io/Logging_1907/kartor/A 42765-2022 karta.png", "A 42765-2022")</f>
        <v/>
      </c>
      <c r="V87">
        <f>HYPERLINK("https://klasma.github.io/Logging_1907/klagomål/A 42765-2022 FSC-klagomål.docx", "A 42765-2022")</f>
        <v/>
      </c>
      <c r="W87">
        <f>HYPERLINK("https://klasma.github.io/Logging_1907/klagomålsmail/A 42765-2022 FSC-klagomål mail.docx", "A 42765-2022")</f>
        <v/>
      </c>
      <c r="X87">
        <f>HYPERLINK("https://klasma.github.io/Logging_1907/tillsyn/A 42765-2022 tillsynsbegäran.docx", "A 42765-2022")</f>
        <v/>
      </c>
      <c r="Y87">
        <f>HYPERLINK("https://klasma.github.io/Logging_1907/tillsynsmail/A 42765-2022 tillsynsbegäran mail.docx", "A 42765-2022")</f>
        <v/>
      </c>
    </row>
    <row r="88" ht="15" customHeight="1">
      <c r="A88" t="inlineStr">
        <is>
          <t>A 47207-2022</t>
        </is>
      </c>
      <c r="B88" s="1" t="n">
        <v>44852</v>
      </c>
      <c r="C88" s="1" t="n">
        <v>45825</v>
      </c>
      <c r="D88" t="inlineStr">
        <is>
          <t>VÄSTMANLANDS LÄN</t>
        </is>
      </c>
      <c r="E88" t="inlineStr">
        <is>
          <t>SURAHAMMAR</t>
        </is>
      </c>
      <c r="G88" t="n">
        <v>3.2</v>
      </c>
      <c r="H88" t="n">
        <v>0</v>
      </c>
      <c r="I88" t="n">
        <v>0</v>
      </c>
      <c r="J88" t="n">
        <v>1</v>
      </c>
      <c r="K88" t="n">
        <v>0</v>
      </c>
      <c r="L88" t="n">
        <v>0</v>
      </c>
      <c r="M88" t="n">
        <v>0</v>
      </c>
      <c r="N88" t="n">
        <v>0</v>
      </c>
      <c r="O88" t="n">
        <v>1</v>
      </c>
      <c r="P88" t="n">
        <v>0</v>
      </c>
      <c r="Q88" t="n">
        <v>1</v>
      </c>
      <c r="R88" s="2" t="inlineStr">
        <is>
          <t>Veckticka</t>
        </is>
      </c>
      <c r="S88">
        <f>HYPERLINK("https://klasma.github.io/Logging_1907/artfynd/A 47207-2022 artfynd.xlsx", "A 47207-2022")</f>
        <v/>
      </c>
      <c r="T88">
        <f>HYPERLINK("https://klasma.github.io/Logging_1907/kartor/A 47207-2022 karta.png", "A 47207-2022")</f>
        <v/>
      </c>
      <c r="V88">
        <f>HYPERLINK("https://klasma.github.io/Logging_1907/klagomål/A 47207-2022 FSC-klagomål.docx", "A 47207-2022")</f>
        <v/>
      </c>
      <c r="W88">
        <f>HYPERLINK("https://klasma.github.io/Logging_1907/klagomålsmail/A 47207-2022 FSC-klagomål mail.docx", "A 47207-2022")</f>
        <v/>
      </c>
      <c r="X88">
        <f>HYPERLINK("https://klasma.github.io/Logging_1907/tillsyn/A 47207-2022 tillsynsbegäran.docx", "A 47207-2022")</f>
        <v/>
      </c>
      <c r="Y88">
        <f>HYPERLINK("https://klasma.github.io/Logging_1907/tillsynsmail/A 47207-2022 tillsynsbegäran mail.docx", "A 47207-2022")</f>
        <v/>
      </c>
    </row>
    <row r="89" ht="15" customHeight="1">
      <c r="A89" t="inlineStr">
        <is>
          <t>A 11259-2023</t>
        </is>
      </c>
      <c r="B89" s="1" t="n">
        <v>44991</v>
      </c>
      <c r="C89" s="1" t="n">
        <v>45825</v>
      </c>
      <c r="D89" t="inlineStr">
        <is>
          <t>VÄSTMANLANDS LÄN</t>
        </is>
      </c>
      <c r="E89" t="inlineStr">
        <is>
          <t>SURAHAMMAR</t>
        </is>
      </c>
      <c r="G89" t="n">
        <v>2.4</v>
      </c>
      <c r="H89" t="n">
        <v>1</v>
      </c>
      <c r="I89" t="n">
        <v>0</v>
      </c>
      <c r="J89" t="n">
        <v>1</v>
      </c>
      <c r="K89" t="n">
        <v>0</v>
      </c>
      <c r="L89" t="n">
        <v>0</v>
      </c>
      <c r="M89" t="n">
        <v>0</v>
      </c>
      <c r="N89" t="n">
        <v>0</v>
      </c>
      <c r="O89" t="n">
        <v>1</v>
      </c>
      <c r="P89" t="n">
        <v>0</v>
      </c>
      <c r="Q89" t="n">
        <v>1</v>
      </c>
      <c r="R89" s="2" t="inlineStr">
        <is>
          <t>Spillkråka</t>
        </is>
      </c>
      <c r="S89">
        <f>HYPERLINK("https://klasma.github.io/Logging_1907/artfynd/A 11259-2023 artfynd.xlsx", "A 11259-2023")</f>
        <v/>
      </c>
      <c r="T89">
        <f>HYPERLINK("https://klasma.github.io/Logging_1907/kartor/A 11259-2023 karta.png", "A 11259-2023")</f>
        <v/>
      </c>
      <c r="V89">
        <f>HYPERLINK("https://klasma.github.io/Logging_1907/klagomål/A 11259-2023 FSC-klagomål.docx", "A 11259-2023")</f>
        <v/>
      </c>
      <c r="W89">
        <f>HYPERLINK("https://klasma.github.io/Logging_1907/klagomålsmail/A 11259-2023 FSC-klagomål mail.docx", "A 11259-2023")</f>
        <v/>
      </c>
      <c r="X89">
        <f>HYPERLINK("https://klasma.github.io/Logging_1907/tillsyn/A 11259-2023 tillsynsbegäran.docx", "A 11259-2023")</f>
        <v/>
      </c>
      <c r="Y89">
        <f>HYPERLINK("https://klasma.github.io/Logging_1907/tillsynsmail/A 11259-2023 tillsynsbegäran mail.docx", "A 11259-2023")</f>
        <v/>
      </c>
      <c r="Z89">
        <f>HYPERLINK("https://klasma.github.io/Logging_1907/fåglar/A 11259-2023 prioriterade fågelarter.docx", "A 11259-2023")</f>
        <v/>
      </c>
    </row>
    <row r="90" ht="15" customHeight="1">
      <c r="A90" t="inlineStr">
        <is>
          <t>A 13971-2023</t>
        </is>
      </c>
      <c r="B90" s="1" t="n">
        <v>45007</v>
      </c>
      <c r="C90" s="1" t="n">
        <v>45825</v>
      </c>
      <c r="D90" t="inlineStr">
        <is>
          <t>VÄSTMANLANDS LÄN</t>
        </is>
      </c>
      <c r="E90" t="inlineStr">
        <is>
          <t>SURAHAMMAR</t>
        </is>
      </c>
      <c r="F90" t="inlineStr">
        <is>
          <t>Bergvik skog väst AB</t>
        </is>
      </c>
      <c r="G90" t="n">
        <v>2.9</v>
      </c>
      <c r="H90" t="n">
        <v>1</v>
      </c>
      <c r="I90" t="n">
        <v>0</v>
      </c>
      <c r="J90" t="n">
        <v>0</v>
      </c>
      <c r="K90" t="n">
        <v>0</v>
      </c>
      <c r="L90" t="n">
        <v>0</v>
      </c>
      <c r="M90" t="n">
        <v>0</v>
      </c>
      <c r="N90" t="n">
        <v>0</v>
      </c>
      <c r="O90" t="n">
        <v>0</v>
      </c>
      <c r="P90" t="n">
        <v>0</v>
      </c>
      <c r="Q90" t="n">
        <v>1</v>
      </c>
      <c r="R90" s="2" t="inlineStr">
        <is>
          <t>Fläcknycklar</t>
        </is>
      </c>
      <c r="S90">
        <f>HYPERLINK("https://klasma.github.io/Logging_1907/artfynd/A 13971-2023 artfynd.xlsx", "A 13971-2023")</f>
        <v/>
      </c>
      <c r="T90">
        <f>HYPERLINK("https://klasma.github.io/Logging_1907/kartor/A 13971-2023 karta.png", "A 13971-2023")</f>
        <v/>
      </c>
      <c r="V90">
        <f>HYPERLINK("https://klasma.github.io/Logging_1907/klagomål/A 13971-2023 FSC-klagomål.docx", "A 13971-2023")</f>
        <v/>
      </c>
      <c r="W90">
        <f>HYPERLINK("https://klasma.github.io/Logging_1907/klagomålsmail/A 13971-2023 FSC-klagomål mail.docx", "A 13971-2023")</f>
        <v/>
      </c>
      <c r="X90">
        <f>HYPERLINK("https://klasma.github.io/Logging_1907/tillsyn/A 13971-2023 tillsynsbegäran.docx", "A 13971-2023")</f>
        <v/>
      </c>
      <c r="Y90">
        <f>HYPERLINK("https://klasma.github.io/Logging_1907/tillsynsmail/A 13971-2023 tillsynsbegäran mail.docx", "A 13971-2023")</f>
        <v/>
      </c>
    </row>
    <row r="91" ht="15" customHeight="1">
      <c r="A91" t="inlineStr">
        <is>
          <t>A 14001-2023</t>
        </is>
      </c>
      <c r="B91" s="1" t="n">
        <v>45007</v>
      </c>
      <c r="C91" s="1" t="n">
        <v>45825</v>
      </c>
      <c r="D91" t="inlineStr">
        <is>
          <t>VÄSTMANLANDS LÄN</t>
        </is>
      </c>
      <c r="E91" t="inlineStr">
        <is>
          <t>SURAHAMMAR</t>
        </is>
      </c>
      <c r="F91" t="inlineStr">
        <is>
          <t>Bergvik skog väst AB</t>
        </is>
      </c>
      <c r="G91" t="n">
        <v>1</v>
      </c>
      <c r="H91" t="n">
        <v>0</v>
      </c>
      <c r="I91" t="n">
        <v>0</v>
      </c>
      <c r="J91" t="n">
        <v>1</v>
      </c>
      <c r="K91" t="n">
        <v>0</v>
      </c>
      <c r="L91" t="n">
        <v>0</v>
      </c>
      <c r="M91" t="n">
        <v>0</v>
      </c>
      <c r="N91" t="n">
        <v>0</v>
      </c>
      <c r="O91" t="n">
        <v>1</v>
      </c>
      <c r="P91" t="n">
        <v>0</v>
      </c>
      <c r="Q91" t="n">
        <v>1</v>
      </c>
      <c r="R91" s="2" t="inlineStr">
        <is>
          <t>Motaggsvamp</t>
        </is>
      </c>
      <c r="S91">
        <f>HYPERLINK("https://klasma.github.io/Logging_1907/artfynd/A 14001-2023 artfynd.xlsx", "A 14001-2023")</f>
        <v/>
      </c>
      <c r="T91">
        <f>HYPERLINK("https://klasma.github.io/Logging_1907/kartor/A 14001-2023 karta.png", "A 14001-2023")</f>
        <v/>
      </c>
      <c r="V91">
        <f>HYPERLINK("https://klasma.github.io/Logging_1907/klagomål/A 14001-2023 FSC-klagomål.docx", "A 14001-2023")</f>
        <v/>
      </c>
      <c r="W91">
        <f>HYPERLINK("https://klasma.github.io/Logging_1907/klagomålsmail/A 14001-2023 FSC-klagomål mail.docx", "A 14001-2023")</f>
        <v/>
      </c>
      <c r="X91">
        <f>HYPERLINK("https://klasma.github.io/Logging_1907/tillsyn/A 14001-2023 tillsynsbegäran.docx", "A 14001-2023")</f>
        <v/>
      </c>
      <c r="Y91">
        <f>HYPERLINK("https://klasma.github.io/Logging_1907/tillsynsmail/A 14001-2023 tillsynsbegäran mail.docx", "A 14001-2023")</f>
        <v/>
      </c>
    </row>
    <row r="92" ht="15" customHeight="1">
      <c r="A92" t="inlineStr">
        <is>
          <t>A 16219-2023</t>
        </is>
      </c>
      <c r="B92" s="1" t="n">
        <v>45022</v>
      </c>
      <c r="C92" s="1" t="n">
        <v>45825</v>
      </c>
      <c r="D92" t="inlineStr">
        <is>
          <t>VÄSTMANLANDS LÄN</t>
        </is>
      </c>
      <c r="E92" t="inlineStr">
        <is>
          <t>SURAHAMMAR</t>
        </is>
      </c>
      <c r="G92" t="n">
        <v>5.9</v>
      </c>
      <c r="H92" t="n">
        <v>1</v>
      </c>
      <c r="I92" t="n">
        <v>0</v>
      </c>
      <c r="J92" t="n">
        <v>1</v>
      </c>
      <c r="K92" t="n">
        <v>0</v>
      </c>
      <c r="L92" t="n">
        <v>0</v>
      </c>
      <c r="M92" t="n">
        <v>0</v>
      </c>
      <c r="N92" t="n">
        <v>0</v>
      </c>
      <c r="O92" t="n">
        <v>1</v>
      </c>
      <c r="P92" t="n">
        <v>0</v>
      </c>
      <c r="Q92" t="n">
        <v>1</v>
      </c>
      <c r="R92" s="2" t="inlineStr">
        <is>
          <t>Talltita</t>
        </is>
      </c>
      <c r="S92">
        <f>HYPERLINK("https://klasma.github.io/Logging_1907/artfynd/A 16219-2023 artfynd.xlsx", "A 16219-2023")</f>
        <v/>
      </c>
      <c r="T92">
        <f>HYPERLINK("https://klasma.github.io/Logging_1907/kartor/A 16219-2023 karta.png", "A 16219-2023")</f>
        <v/>
      </c>
      <c r="V92">
        <f>HYPERLINK("https://klasma.github.io/Logging_1907/klagomål/A 16219-2023 FSC-klagomål.docx", "A 16219-2023")</f>
        <v/>
      </c>
      <c r="W92">
        <f>HYPERLINK("https://klasma.github.io/Logging_1907/klagomålsmail/A 16219-2023 FSC-klagomål mail.docx", "A 16219-2023")</f>
        <v/>
      </c>
      <c r="X92">
        <f>HYPERLINK("https://klasma.github.io/Logging_1907/tillsyn/A 16219-2023 tillsynsbegäran.docx", "A 16219-2023")</f>
        <v/>
      </c>
      <c r="Y92">
        <f>HYPERLINK("https://klasma.github.io/Logging_1907/tillsynsmail/A 16219-2023 tillsynsbegäran mail.docx", "A 16219-2023")</f>
        <v/>
      </c>
      <c r="Z92">
        <f>HYPERLINK("https://klasma.github.io/Logging_1907/fåglar/A 16219-2023 prioriterade fågelarter.docx", "A 16219-2023")</f>
        <v/>
      </c>
    </row>
    <row r="93" ht="15" customHeight="1">
      <c r="A93" t="inlineStr">
        <is>
          <t>A 22840-2023</t>
        </is>
      </c>
      <c r="B93" s="1" t="n">
        <v>45072</v>
      </c>
      <c r="C93" s="1" t="n">
        <v>45825</v>
      </c>
      <c r="D93" t="inlineStr">
        <is>
          <t>VÄSTMANLANDS LÄN</t>
        </is>
      </c>
      <c r="E93" t="inlineStr">
        <is>
          <t>SURAHAMMAR</t>
        </is>
      </c>
      <c r="G93" t="n">
        <v>4.3</v>
      </c>
      <c r="H93" t="n">
        <v>1</v>
      </c>
      <c r="I93" t="n">
        <v>0</v>
      </c>
      <c r="J93" t="n">
        <v>0</v>
      </c>
      <c r="K93" t="n">
        <v>0</v>
      </c>
      <c r="L93" t="n">
        <v>0</v>
      </c>
      <c r="M93" t="n">
        <v>0</v>
      </c>
      <c r="N93" t="n">
        <v>0</v>
      </c>
      <c r="O93" t="n">
        <v>0</v>
      </c>
      <c r="P93" t="n">
        <v>0</v>
      </c>
      <c r="Q93" t="n">
        <v>1</v>
      </c>
      <c r="R93" s="2" t="inlineStr">
        <is>
          <t>Fläcknycklar</t>
        </is>
      </c>
      <c r="S93">
        <f>HYPERLINK("https://klasma.github.io/Logging_1907/artfynd/A 22840-2023 artfynd.xlsx", "A 22840-2023")</f>
        <v/>
      </c>
      <c r="T93">
        <f>HYPERLINK("https://klasma.github.io/Logging_1907/kartor/A 22840-2023 karta.png", "A 22840-2023")</f>
        <v/>
      </c>
      <c r="V93">
        <f>HYPERLINK("https://klasma.github.io/Logging_1907/klagomål/A 22840-2023 FSC-klagomål.docx", "A 22840-2023")</f>
        <v/>
      </c>
      <c r="W93">
        <f>HYPERLINK("https://klasma.github.io/Logging_1907/klagomålsmail/A 22840-2023 FSC-klagomål mail.docx", "A 22840-2023")</f>
        <v/>
      </c>
      <c r="X93">
        <f>HYPERLINK("https://klasma.github.io/Logging_1907/tillsyn/A 22840-2023 tillsynsbegäran.docx", "A 22840-2023")</f>
        <v/>
      </c>
      <c r="Y93">
        <f>HYPERLINK("https://klasma.github.io/Logging_1907/tillsynsmail/A 22840-2023 tillsynsbegäran mail.docx", "A 22840-2023")</f>
        <v/>
      </c>
    </row>
    <row r="94" ht="15" customHeight="1">
      <c r="A94" t="inlineStr">
        <is>
          <t>A 24920-2023</t>
        </is>
      </c>
      <c r="B94" s="1" t="n">
        <v>45085</v>
      </c>
      <c r="C94" s="1" t="n">
        <v>45825</v>
      </c>
      <c r="D94" t="inlineStr">
        <is>
          <t>VÄSTMANLANDS LÄN</t>
        </is>
      </c>
      <c r="E94" t="inlineStr">
        <is>
          <t>SURAHAMMAR</t>
        </is>
      </c>
      <c r="F94" t="inlineStr">
        <is>
          <t>Allmännings- och besparingsskogar</t>
        </is>
      </c>
      <c r="G94" t="n">
        <v>16.2</v>
      </c>
      <c r="H94" t="n">
        <v>1</v>
      </c>
      <c r="I94" t="n">
        <v>0</v>
      </c>
      <c r="J94" t="n">
        <v>1</v>
      </c>
      <c r="K94" t="n">
        <v>0</v>
      </c>
      <c r="L94" t="n">
        <v>0</v>
      </c>
      <c r="M94" t="n">
        <v>0</v>
      </c>
      <c r="N94" t="n">
        <v>0</v>
      </c>
      <c r="O94" t="n">
        <v>1</v>
      </c>
      <c r="P94" t="n">
        <v>0</v>
      </c>
      <c r="Q94" t="n">
        <v>1</v>
      </c>
      <c r="R94" s="2" t="inlineStr">
        <is>
          <t>Talltita</t>
        </is>
      </c>
      <c r="S94">
        <f>HYPERLINK("https://klasma.github.io/Logging_1907/artfynd/A 24920-2023 artfynd.xlsx", "A 24920-2023")</f>
        <v/>
      </c>
      <c r="T94">
        <f>HYPERLINK("https://klasma.github.io/Logging_1907/kartor/A 24920-2023 karta.png", "A 24920-2023")</f>
        <v/>
      </c>
      <c r="V94">
        <f>HYPERLINK("https://klasma.github.io/Logging_1907/klagomål/A 24920-2023 FSC-klagomål.docx", "A 24920-2023")</f>
        <v/>
      </c>
      <c r="W94">
        <f>HYPERLINK("https://klasma.github.io/Logging_1907/klagomålsmail/A 24920-2023 FSC-klagomål mail.docx", "A 24920-2023")</f>
        <v/>
      </c>
      <c r="X94">
        <f>HYPERLINK("https://klasma.github.io/Logging_1907/tillsyn/A 24920-2023 tillsynsbegäran.docx", "A 24920-2023")</f>
        <v/>
      </c>
      <c r="Y94">
        <f>HYPERLINK("https://klasma.github.io/Logging_1907/tillsynsmail/A 24920-2023 tillsynsbegäran mail.docx", "A 24920-2023")</f>
        <v/>
      </c>
      <c r="Z94">
        <f>HYPERLINK("https://klasma.github.io/Logging_1907/fåglar/A 24920-2023 prioriterade fågelarter.docx", "A 24920-2023")</f>
        <v/>
      </c>
    </row>
    <row r="95" ht="15" customHeight="1">
      <c r="A95" t="inlineStr">
        <is>
          <t>A 27170-2023</t>
        </is>
      </c>
      <c r="B95" s="1" t="n">
        <v>45096</v>
      </c>
      <c r="C95" s="1" t="n">
        <v>45825</v>
      </c>
      <c r="D95" t="inlineStr">
        <is>
          <t>VÄSTMANLANDS LÄN</t>
        </is>
      </c>
      <c r="E95" t="inlineStr">
        <is>
          <t>SURAHAMMAR</t>
        </is>
      </c>
      <c r="F95" t="inlineStr">
        <is>
          <t>Sveaskog</t>
        </is>
      </c>
      <c r="G95" t="n">
        <v>11.3</v>
      </c>
      <c r="H95" t="n">
        <v>0</v>
      </c>
      <c r="I95" t="n">
        <v>1</v>
      </c>
      <c r="J95" t="n">
        <v>0</v>
      </c>
      <c r="K95" t="n">
        <v>0</v>
      </c>
      <c r="L95" t="n">
        <v>0</v>
      </c>
      <c r="M95" t="n">
        <v>0</v>
      </c>
      <c r="N95" t="n">
        <v>0</v>
      </c>
      <c r="O95" t="n">
        <v>0</v>
      </c>
      <c r="P95" t="n">
        <v>0</v>
      </c>
      <c r="Q95" t="n">
        <v>1</v>
      </c>
      <c r="R95" s="2" t="inlineStr">
        <is>
          <t>Vedticka</t>
        </is>
      </c>
      <c r="S95">
        <f>HYPERLINK("https://klasma.github.io/Logging_1907/artfynd/A 27170-2023 artfynd.xlsx", "A 27170-2023")</f>
        <v/>
      </c>
      <c r="T95">
        <f>HYPERLINK("https://klasma.github.io/Logging_1907/kartor/A 27170-2023 karta.png", "A 27170-2023")</f>
        <v/>
      </c>
      <c r="V95">
        <f>HYPERLINK("https://klasma.github.io/Logging_1907/klagomål/A 27170-2023 FSC-klagomål.docx", "A 27170-2023")</f>
        <v/>
      </c>
      <c r="W95">
        <f>HYPERLINK("https://klasma.github.io/Logging_1907/klagomålsmail/A 27170-2023 FSC-klagomål mail.docx", "A 27170-2023")</f>
        <v/>
      </c>
      <c r="X95">
        <f>HYPERLINK("https://klasma.github.io/Logging_1907/tillsyn/A 27170-2023 tillsynsbegäran.docx", "A 27170-2023")</f>
        <v/>
      </c>
      <c r="Y95">
        <f>HYPERLINK("https://klasma.github.io/Logging_1907/tillsynsmail/A 27170-2023 tillsynsbegäran mail.docx", "A 27170-2023")</f>
        <v/>
      </c>
    </row>
    <row r="96" ht="15" customHeight="1">
      <c r="A96" t="inlineStr">
        <is>
          <t>A 30074-2023</t>
        </is>
      </c>
      <c r="B96" s="1" t="n">
        <v>45110</v>
      </c>
      <c r="C96" s="1" t="n">
        <v>45825</v>
      </c>
      <c r="D96" t="inlineStr">
        <is>
          <t>VÄSTMANLANDS LÄN</t>
        </is>
      </c>
      <c r="E96" t="inlineStr">
        <is>
          <t>SURAHAMMAR</t>
        </is>
      </c>
      <c r="F96" t="inlineStr">
        <is>
          <t>Sveaskog</t>
        </is>
      </c>
      <c r="G96" t="n">
        <v>1.1</v>
      </c>
      <c r="H96" t="n">
        <v>1</v>
      </c>
      <c r="I96" t="n">
        <v>0</v>
      </c>
      <c r="J96" t="n">
        <v>0</v>
      </c>
      <c r="K96" t="n">
        <v>0</v>
      </c>
      <c r="L96" t="n">
        <v>0</v>
      </c>
      <c r="M96" t="n">
        <v>0</v>
      </c>
      <c r="N96" t="n">
        <v>0</v>
      </c>
      <c r="O96" t="n">
        <v>0</v>
      </c>
      <c r="P96" t="n">
        <v>0</v>
      </c>
      <c r="Q96" t="n">
        <v>1</v>
      </c>
      <c r="R96" s="2" t="inlineStr">
        <is>
          <t>Revlummer</t>
        </is>
      </c>
      <c r="S96">
        <f>HYPERLINK("https://klasma.github.io/Logging_1907/artfynd/A 30074-2023 artfynd.xlsx", "A 30074-2023")</f>
        <v/>
      </c>
      <c r="T96">
        <f>HYPERLINK("https://klasma.github.io/Logging_1907/kartor/A 30074-2023 karta.png", "A 30074-2023")</f>
        <v/>
      </c>
      <c r="V96">
        <f>HYPERLINK("https://klasma.github.io/Logging_1907/klagomål/A 30074-2023 FSC-klagomål.docx", "A 30074-2023")</f>
        <v/>
      </c>
      <c r="W96">
        <f>HYPERLINK("https://klasma.github.io/Logging_1907/klagomålsmail/A 30074-2023 FSC-klagomål mail.docx", "A 30074-2023")</f>
        <v/>
      </c>
      <c r="X96">
        <f>HYPERLINK("https://klasma.github.io/Logging_1907/tillsyn/A 30074-2023 tillsynsbegäran.docx", "A 30074-2023")</f>
        <v/>
      </c>
      <c r="Y96">
        <f>HYPERLINK("https://klasma.github.io/Logging_1907/tillsynsmail/A 30074-2023 tillsynsbegäran mail.docx", "A 30074-2023")</f>
        <v/>
      </c>
    </row>
    <row r="97" ht="15" customHeight="1">
      <c r="A97" t="inlineStr">
        <is>
          <t>A 30073-2023</t>
        </is>
      </c>
      <c r="B97" s="1" t="n">
        <v>45110</v>
      </c>
      <c r="C97" s="1" t="n">
        <v>45825</v>
      </c>
      <c r="D97" t="inlineStr">
        <is>
          <t>VÄSTMANLANDS LÄN</t>
        </is>
      </c>
      <c r="E97" t="inlineStr">
        <is>
          <t>SURAHAMMAR</t>
        </is>
      </c>
      <c r="F97" t="inlineStr">
        <is>
          <t>Sveaskog</t>
        </is>
      </c>
      <c r="G97" t="n">
        <v>4.7</v>
      </c>
      <c r="H97" t="n">
        <v>0</v>
      </c>
      <c r="I97" t="n">
        <v>1</v>
      </c>
      <c r="J97" t="n">
        <v>0</v>
      </c>
      <c r="K97" t="n">
        <v>0</v>
      </c>
      <c r="L97" t="n">
        <v>0</v>
      </c>
      <c r="M97" t="n">
        <v>0</v>
      </c>
      <c r="N97" t="n">
        <v>0</v>
      </c>
      <c r="O97" t="n">
        <v>0</v>
      </c>
      <c r="P97" t="n">
        <v>0</v>
      </c>
      <c r="Q97" t="n">
        <v>1</v>
      </c>
      <c r="R97" s="2" t="inlineStr">
        <is>
          <t>Grönpyrola</t>
        </is>
      </c>
      <c r="S97">
        <f>HYPERLINK("https://klasma.github.io/Logging_1907/artfynd/A 30073-2023 artfynd.xlsx", "A 30073-2023")</f>
        <v/>
      </c>
      <c r="T97">
        <f>HYPERLINK("https://klasma.github.io/Logging_1907/kartor/A 30073-2023 karta.png", "A 30073-2023")</f>
        <v/>
      </c>
      <c r="V97">
        <f>HYPERLINK("https://klasma.github.io/Logging_1907/klagomål/A 30073-2023 FSC-klagomål.docx", "A 30073-2023")</f>
        <v/>
      </c>
      <c r="W97">
        <f>HYPERLINK("https://klasma.github.io/Logging_1907/klagomålsmail/A 30073-2023 FSC-klagomål mail.docx", "A 30073-2023")</f>
        <v/>
      </c>
      <c r="X97">
        <f>HYPERLINK("https://klasma.github.io/Logging_1907/tillsyn/A 30073-2023 tillsynsbegäran.docx", "A 30073-2023")</f>
        <v/>
      </c>
      <c r="Y97">
        <f>HYPERLINK("https://klasma.github.io/Logging_1907/tillsynsmail/A 30073-2023 tillsynsbegäran mail.docx", "A 30073-2023")</f>
        <v/>
      </c>
    </row>
    <row r="98" ht="15" customHeight="1">
      <c r="A98" t="inlineStr">
        <is>
          <t>A 37277-2023</t>
        </is>
      </c>
      <c r="B98" s="1" t="n">
        <v>45156</v>
      </c>
      <c r="C98" s="1" t="n">
        <v>45825</v>
      </c>
      <c r="D98" t="inlineStr">
        <is>
          <t>VÄSTMANLANDS LÄN</t>
        </is>
      </c>
      <c r="E98" t="inlineStr">
        <is>
          <t>SURAHAMMAR</t>
        </is>
      </c>
      <c r="G98" t="n">
        <v>4.3</v>
      </c>
      <c r="H98" t="n">
        <v>1</v>
      </c>
      <c r="I98" t="n">
        <v>0</v>
      </c>
      <c r="J98" t="n">
        <v>0</v>
      </c>
      <c r="K98" t="n">
        <v>1</v>
      </c>
      <c r="L98" t="n">
        <v>0</v>
      </c>
      <c r="M98" t="n">
        <v>0</v>
      </c>
      <c r="N98" t="n">
        <v>0</v>
      </c>
      <c r="O98" t="n">
        <v>1</v>
      </c>
      <c r="P98" t="n">
        <v>1</v>
      </c>
      <c r="Q98" t="n">
        <v>1</v>
      </c>
      <c r="R98" s="2" t="inlineStr">
        <is>
          <t>Bombmurkla</t>
        </is>
      </c>
      <c r="S98">
        <f>HYPERLINK("https://klasma.github.io/Logging_1907/artfynd/A 37277-2023 artfynd.xlsx", "A 37277-2023")</f>
        <v/>
      </c>
      <c r="T98">
        <f>HYPERLINK("https://klasma.github.io/Logging_1907/kartor/A 37277-2023 karta.png", "A 37277-2023")</f>
        <v/>
      </c>
      <c r="V98">
        <f>HYPERLINK("https://klasma.github.io/Logging_1907/klagomål/A 37277-2023 FSC-klagomål.docx", "A 37277-2023")</f>
        <v/>
      </c>
      <c r="W98">
        <f>HYPERLINK("https://klasma.github.io/Logging_1907/klagomålsmail/A 37277-2023 FSC-klagomål mail.docx", "A 37277-2023")</f>
        <v/>
      </c>
      <c r="X98">
        <f>HYPERLINK("https://klasma.github.io/Logging_1907/tillsyn/A 37277-2023 tillsynsbegäran.docx", "A 37277-2023")</f>
        <v/>
      </c>
      <c r="Y98">
        <f>HYPERLINK("https://klasma.github.io/Logging_1907/tillsynsmail/A 37277-2023 tillsynsbegäran mail.docx", "A 37277-2023")</f>
        <v/>
      </c>
    </row>
    <row r="99" ht="15" customHeight="1">
      <c r="A99" t="inlineStr">
        <is>
          <t>A 41622-2023</t>
        </is>
      </c>
      <c r="B99" s="1" t="n">
        <v>45175</v>
      </c>
      <c r="C99" s="1" t="n">
        <v>45825</v>
      </c>
      <c r="D99" t="inlineStr">
        <is>
          <t>VÄSTMANLANDS LÄN</t>
        </is>
      </c>
      <c r="E99" t="inlineStr">
        <is>
          <t>SURAHAMMAR</t>
        </is>
      </c>
      <c r="G99" t="n">
        <v>0.6</v>
      </c>
      <c r="H99" t="n">
        <v>1</v>
      </c>
      <c r="I99" t="n">
        <v>0</v>
      </c>
      <c r="J99" t="n">
        <v>0</v>
      </c>
      <c r="K99" t="n">
        <v>1</v>
      </c>
      <c r="L99" t="n">
        <v>0</v>
      </c>
      <c r="M99" t="n">
        <v>0</v>
      </c>
      <c r="N99" t="n">
        <v>0</v>
      </c>
      <c r="O99" t="n">
        <v>1</v>
      </c>
      <c r="P99" t="n">
        <v>1</v>
      </c>
      <c r="Q99" t="n">
        <v>1</v>
      </c>
      <c r="R99" s="2" t="inlineStr">
        <is>
          <t>Knärot</t>
        </is>
      </c>
      <c r="S99">
        <f>HYPERLINK("https://klasma.github.io/Logging_1907/artfynd/A 41622-2023 artfynd.xlsx", "A 41622-2023")</f>
        <v/>
      </c>
      <c r="T99">
        <f>HYPERLINK("https://klasma.github.io/Logging_1907/kartor/A 41622-2023 karta.png", "A 41622-2023")</f>
        <v/>
      </c>
      <c r="U99">
        <f>HYPERLINK("https://klasma.github.io/Logging_1907/knärot/A 41622-2023 karta knärot.png", "A 41622-2023")</f>
        <v/>
      </c>
      <c r="V99">
        <f>HYPERLINK("https://klasma.github.io/Logging_1907/klagomål/A 41622-2023 FSC-klagomål.docx", "A 41622-2023")</f>
        <v/>
      </c>
      <c r="W99">
        <f>HYPERLINK("https://klasma.github.io/Logging_1907/klagomålsmail/A 41622-2023 FSC-klagomål mail.docx", "A 41622-2023")</f>
        <v/>
      </c>
      <c r="X99">
        <f>HYPERLINK("https://klasma.github.io/Logging_1907/tillsyn/A 41622-2023 tillsynsbegäran.docx", "A 41622-2023")</f>
        <v/>
      </c>
      <c r="Y99">
        <f>HYPERLINK("https://klasma.github.io/Logging_1907/tillsynsmail/A 41622-2023 tillsynsbegäran mail.docx", "A 41622-2023")</f>
        <v/>
      </c>
    </row>
    <row r="100" ht="15" customHeight="1">
      <c r="A100" t="inlineStr">
        <is>
          <t>A 56362-2023</t>
        </is>
      </c>
      <c r="B100" s="1" t="n">
        <v>45236</v>
      </c>
      <c r="C100" s="1" t="n">
        <v>45825</v>
      </c>
      <c r="D100" t="inlineStr">
        <is>
          <t>VÄSTMANLANDS LÄN</t>
        </is>
      </c>
      <c r="E100" t="inlineStr">
        <is>
          <t>SURAHAMMAR</t>
        </is>
      </c>
      <c r="F100" t="inlineStr">
        <is>
          <t>Bergvik skog väst AB</t>
        </is>
      </c>
      <c r="G100" t="n">
        <v>15.2</v>
      </c>
      <c r="H100" t="n">
        <v>0</v>
      </c>
      <c r="I100" t="n">
        <v>1</v>
      </c>
      <c r="J100" t="n">
        <v>0</v>
      </c>
      <c r="K100" t="n">
        <v>0</v>
      </c>
      <c r="L100" t="n">
        <v>0</v>
      </c>
      <c r="M100" t="n">
        <v>0</v>
      </c>
      <c r="N100" t="n">
        <v>0</v>
      </c>
      <c r="O100" t="n">
        <v>0</v>
      </c>
      <c r="P100" t="n">
        <v>0</v>
      </c>
      <c r="Q100" t="n">
        <v>1</v>
      </c>
      <c r="R100" s="2" t="inlineStr">
        <is>
          <t>Grönpyrola</t>
        </is>
      </c>
      <c r="S100">
        <f>HYPERLINK("https://klasma.github.io/Logging_1907/artfynd/A 56362-2023 artfynd.xlsx", "A 56362-2023")</f>
        <v/>
      </c>
      <c r="T100">
        <f>HYPERLINK("https://klasma.github.io/Logging_1907/kartor/A 56362-2023 karta.png", "A 56362-2023")</f>
        <v/>
      </c>
      <c r="V100">
        <f>HYPERLINK("https://klasma.github.io/Logging_1907/klagomål/A 56362-2023 FSC-klagomål.docx", "A 56362-2023")</f>
        <v/>
      </c>
      <c r="W100">
        <f>HYPERLINK("https://klasma.github.io/Logging_1907/klagomålsmail/A 56362-2023 FSC-klagomål mail.docx", "A 56362-2023")</f>
        <v/>
      </c>
      <c r="X100">
        <f>HYPERLINK("https://klasma.github.io/Logging_1907/tillsyn/A 56362-2023 tillsynsbegäran.docx", "A 56362-2023")</f>
        <v/>
      </c>
      <c r="Y100">
        <f>HYPERLINK("https://klasma.github.io/Logging_1907/tillsynsmail/A 56362-2023 tillsynsbegäran mail.docx", "A 56362-2023")</f>
        <v/>
      </c>
    </row>
    <row r="101" ht="15" customHeight="1">
      <c r="A101" t="inlineStr">
        <is>
          <t>A 3649-2024</t>
        </is>
      </c>
      <c r="B101" s="1" t="n">
        <v>45321</v>
      </c>
      <c r="C101" s="1" t="n">
        <v>45825</v>
      </c>
      <c r="D101" t="inlineStr">
        <is>
          <t>VÄSTMANLANDS LÄN</t>
        </is>
      </c>
      <c r="E101" t="inlineStr">
        <is>
          <t>SURAHAMMAR</t>
        </is>
      </c>
      <c r="F101" t="inlineStr">
        <is>
          <t>Övriga Aktiebolag</t>
        </is>
      </c>
      <c r="G101" t="n">
        <v>9.300000000000001</v>
      </c>
      <c r="H101" t="n">
        <v>1</v>
      </c>
      <c r="I101" t="n">
        <v>0</v>
      </c>
      <c r="J101" t="n">
        <v>0</v>
      </c>
      <c r="K101" t="n">
        <v>1</v>
      </c>
      <c r="L101" t="n">
        <v>0</v>
      </c>
      <c r="M101" t="n">
        <v>0</v>
      </c>
      <c r="N101" t="n">
        <v>0</v>
      </c>
      <c r="O101" t="n">
        <v>1</v>
      </c>
      <c r="P101" t="n">
        <v>1</v>
      </c>
      <c r="Q101" t="n">
        <v>1</v>
      </c>
      <c r="R101" s="2" t="inlineStr">
        <is>
          <t>Väddnätfjäril</t>
        </is>
      </c>
      <c r="S101">
        <f>HYPERLINK("https://klasma.github.io/Logging_1907/artfynd/A 3649-2024 artfynd.xlsx", "A 3649-2024")</f>
        <v/>
      </c>
      <c r="T101">
        <f>HYPERLINK("https://klasma.github.io/Logging_1907/kartor/A 3649-2024 karta.png", "A 3649-2024")</f>
        <v/>
      </c>
      <c r="V101">
        <f>HYPERLINK("https://klasma.github.io/Logging_1907/klagomål/A 3649-2024 FSC-klagomål.docx", "A 3649-2024")</f>
        <v/>
      </c>
      <c r="W101">
        <f>HYPERLINK("https://klasma.github.io/Logging_1907/klagomålsmail/A 3649-2024 FSC-klagomål mail.docx", "A 3649-2024")</f>
        <v/>
      </c>
      <c r="X101">
        <f>HYPERLINK("https://klasma.github.io/Logging_1907/tillsyn/A 3649-2024 tillsynsbegäran.docx", "A 3649-2024")</f>
        <v/>
      </c>
      <c r="Y101">
        <f>HYPERLINK("https://klasma.github.io/Logging_1907/tillsynsmail/A 3649-2024 tillsynsbegäran mail.docx", "A 3649-2024")</f>
        <v/>
      </c>
    </row>
    <row r="102" ht="15" customHeight="1">
      <c r="A102" t="inlineStr">
        <is>
          <t>A 5168-2024</t>
        </is>
      </c>
      <c r="B102" s="1" t="n">
        <v>45330</v>
      </c>
      <c r="C102" s="1" t="n">
        <v>45825</v>
      </c>
      <c r="D102" t="inlineStr">
        <is>
          <t>VÄSTMANLANDS LÄN</t>
        </is>
      </c>
      <c r="E102" t="inlineStr">
        <is>
          <t>SURAHAMMAR</t>
        </is>
      </c>
      <c r="F102" t="inlineStr">
        <is>
          <t>Övriga Aktiebolag</t>
        </is>
      </c>
      <c r="G102" t="n">
        <v>3.4</v>
      </c>
      <c r="H102" t="n">
        <v>1</v>
      </c>
      <c r="I102" t="n">
        <v>0</v>
      </c>
      <c r="J102" t="n">
        <v>0</v>
      </c>
      <c r="K102" t="n">
        <v>0</v>
      </c>
      <c r="L102" t="n">
        <v>0</v>
      </c>
      <c r="M102" t="n">
        <v>0</v>
      </c>
      <c r="N102" t="n">
        <v>0</v>
      </c>
      <c r="O102" t="n">
        <v>0</v>
      </c>
      <c r="P102" t="n">
        <v>0</v>
      </c>
      <c r="Q102" t="n">
        <v>1</v>
      </c>
      <c r="R102" s="2" t="inlineStr">
        <is>
          <t>Göktyta</t>
        </is>
      </c>
      <c r="S102">
        <f>HYPERLINK("https://klasma.github.io/Logging_1907/artfynd/A 5168-2024 artfynd.xlsx", "A 5168-2024")</f>
        <v/>
      </c>
      <c r="T102">
        <f>HYPERLINK("https://klasma.github.io/Logging_1907/kartor/A 5168-2024 karta.png", "A 5168-2024")</f>
        <v/>
      </c>
      <c r="V102">
        <f>HYPERLINK("https://klasma.github.io/Logging_1907/klagomål/A 5168-2024 FSC-klagomål.docx", "A 5168-2024")</f>
        <v/>
      </c>
      <c r="W102">
        <f>HYPERLINK("https://klasma.github.io/Logging_1907/klagomålsmail/A 5168-2024 FSC-klagomål mail.docx", "A 5168-2024")</f>
        <v/>
      </c>
      <c r="X102">
        <f>HYPERLINK("https://klasma.github.io/Logging_1907/tillsyn/A 5168-2024 tillsynsbegäran.docx", "A 5168-2024")</f>
        <v/>
      </c>
      <c r="Y102">
        <f>HYPERLINK("https://klasma.github.io/Logging_1907/tillsynsmail/A 5168-2024 tillsynsbegäran mail.docx", "A 5168-2024")</f>
        <v/>
      </c>
      <c r="Z102">
        <f>HYPERLINK("https://klasma.github.io/Logging_1907/fåglar/A 5168-2024 prioriterade fågelarter.docx", "A 5168-2024")</f>
        <v/>
      </c>
    </row>
    <row r="103" ht="15" customHeight="1">
      <c r="A103" t="inlineStr">
        <is>
          <t>A 10819-2024</t>
        </is>
      </c>
      <c r="B103" s="1" t="n">
        <v>45369</v>
      </c>
      <c r="C103" s="1" t="n">
        <v>45825</v>
      </c>
      <c r="D103" t="inlineStr">
        <is>
          <t>VÄSTMANLANDS LÄN</t>
        </is>
      </c>
      <c r="E103" t="inlineStr">
        <is>
          <t>SURAHAMMAR</t>
        </is>
      </c>
      <c r="G103" t="n">
        <v>2</v>
      </c>
      <c r="H103" t="n">
        <v>0</v>
      </c>
      <c r="I103" t="n">
        <v>1</v>
      </c>
      <c r="J103" t="n">
        <v>0</v>
      </c>
      <c r="K103" t="n">
        <v>0</v>
      </c>
      <c r="L103" t="n">
        <v>0</v>
      </c>
      <c r="M103" t="n">
        <v>0</v>
      </c>
      <c r="N103" t="n">
        <v>0</v>
      </c>
      <c r="O103" t="n">
        <v>0</v>
      </c>
      <c r="P103" t="n">
        <v>0</v>
      </c>
      <c r="Q103" t="n">
        <v>1</v>
      </c>
      <c r="R103" s="2" t="inlineStr">
        <is>
          <t>Tibast</t>
        </is>
      </c>
      <c r="S103">
        <f>HYPERLINK("https://klasma.github.io/Logging_1907/artfynd/A 10819-2024 artfynd.xlsx", "A 10819-2024")</f>
        <v/>
      </c>
      <c r="T103">
        <f>HYPERLINK("https://klasma.github.io/Logging_1907/kartor/A 10819-2024 karta.png", "A 10819-2024")</f>
        <v/>
      </c>
      <c r="V103">
        <f>HYPERLINK("https://klasma.github.io/Logging_1907/klagomål/A 10819-2024 FSC-klagomål.docx", "A 10819-2024")</f>
        <v/>
      </c>
      <c r="W103">
        <f>HYPERLINK("https://klasma.github.io/Logging_1907/klagomålsmail/A 10819-2024 FSC-klagomål mail.docx", "A 10819-2024")</f>
        <v/>
      </c>
      <c r="X103">
        <f>HYPERLINK("https://klasma.github.io/Logging_1907/tillsyn/A 10819-2024 tillsynsbegäran.docx", "A 10819-2024")</f>
        <v/>
      </c>
      <c r="Y103">
        <f>HYPERLINK("https://klasma.github.io/Logging_1907/tillsynsmail/A 10819-2024 tillsynsbegäran mail.docx", "A 10819-2024")</f>
        <v/>
      </c>
    </row>
    <row r="104" ht="15" customHeight="1">
      <c r="A104" t="inlineStr">
        <is>
          <t>A 25583-2024</t>
        </is>
      </c>
      <c r="B104" s="1" t="n">
        <v>45463</v>
      </c>
      <c r="C104" s="1" t="n">
        <v>45825</v>
      </c>
      <c r="D104" t="inlineStr">
        <is>
          <t>VÄSTMANLANDS LÄN</t>
        </is>
      </c>
      <c r="E104" t="inlineStr">
        <is>
          <t>SURAHAMMAR</t>
        </is>
      </c>
      <c r="F104" t="inlineStr">
        <is>
          <t>Bergvik skog väst AB</t>
        </is>
      </c>
      <c r="G104" t="n">
        <v>7.8</v>
      </c>
      <c r="H104" t="n">
        <v>1</v>
      </c>
      <c r="I104" t="n">
        <v>0</v>
      </c>
      <c r="J104" t="n">
        <v>0</v>
      </c>
      <c r="K104" t="n">
        <v>0</v>
      </c>
      <c r="L104" t="n">
        <v>0</v>
      </c>
      <c r="M104" t="n">
        <v>0</v>
      </c>
      <c r="N104" t="n">
        <v>0</v>
      </c>
      <c r="O104" t="n">
        <v>0</v>
      </c>
      <c r="P104" t="n">
        <v>0</v>
      </c>
      <c r="Q104" t="n">
        <v>1</v>
      </c>
      <c r="R104" s="2" t="inlineStr">
        <is>
          <t>Blåsippa</t>
        </is>
      </c>
      <c r="S104">
        <f>HYPERLINK("https://klasma.github.io/Logging_1907/artfynd/A 25583-2024 artfynd.xlsx", "A 25583-2024")</f>
        <v/>
      </c>
      <c r="T104">
        <f>HYPERLINK("https://klasma.github.io/Logging_1907/kartor/A 25583-2024 karta.png", "A 25583-2024")</f>
        <v/>
      </c>
      <c r="V104">
        <f>HYPERLINK("https://klasma.github.io/Logging_1907/klagomål/A 25583-2024 FSC-klagomål.docx", "A 25583-2024")</f>
        <v/>
      </c>
      <c r="W104">
        <f>HYPERLINK("https://klasma.github.io/Logging_1907/klagomålsmail/A 25583-2024 FSC-klagomål mail.docx", "A 25583-2024")</f>
        <v/>
      </c>
      <c r="X104">
        <f>HYPERLINK("https://klasma.github.io/Logging_1907/tillsyn/A 25583-2024 tillsynsbegäran.docx", "A 25583-2024")</f>
        <v/>
      </c>
      <c r="Y104">
        <f>HYPERLINK("https://klasma.github.io/Logging_1907/tillsynsmail/A 25583-2024 tillsynsbegäran mail.docx", "A 25583-2024")</f>
        <v/>
      </c>
    </row>
    <row r="105" ht="15" customHeight="1">
      <c r="A105" t="inlineStr">
        <is>
          <t>A 27957-2024</t>
        </is>
      </c>
      <c r="B105" s="1" t="n">
        <v>45476</v>
      </c>
      <c r="C105" s="1" t="n">
        <v>45825</v>
      </c>
      <c r="D105" t="inlineStr">
        <is>
          <t>VÄSTMANLANDS LÄN</t>
        </is>
      </c>
      <c r="E105" t="inlineStr">
        <is>
          <t>SURAHAMMAR</t>
        </is>
      </c>
      <c r="F105" t="inlineStr">
        <is>
          <t>Sveaskog</t>
        </is>
      </c>
      <c r="G105" t="n">
        <v>14.4</v>
      </c>
      <c r="H105" t="n">
        <v>1</v>
      </c>
      <c r="I105" t="n">
        <v>0</v>
      </c>
      <c r="J105" t="n">
        <v>0</v>
      </c>
      <c r="K105" t="n">
        <v>0</v>
      </c>
      <c r="L105" t="n">
        <v>0</v>
      </c>
      <c r="M105" t="n">
        <v>0</v>
      </c>
      <c r="N105" t="n">
        <v>0</v>
      </c>
      <c r="O105" t="n">
        <v>0</v>
      </c>
      <c r="P105" t="n">
        <v>0</v>
      </c>
      <c r="Q105" t="n">
        <v>1</v>
      </c>
      <c r="R105" s="2" t="inlineStr">
        <is>
          <t>Fläcknycklar</t>
        </is>
      </c>
      <c r="S105">
        <f>HYPERLINK("https://klasma.github.io/Logging_1907/artfynd/A 27957-2024 artfynd.xlsx", "A 27957-2024")</f>
        <v/>
      </c>
      <c r="T105">
        <f>HYPERLINK("https://klasma.github.io/Logging_1907/kartor/A 27957-2024 karta.png", "A 27957-2024")</f>
        <v/>
      </c>
      <c r="V105">
        <f>HYPERLINK("https://klasma.github.io/Logging_1907/klagomål/A 27957-2024 FSC-klagomål.docx", "A 27957-2024")</f>
        <v/>
      </c>
      <c r="W105">
        <f>HYPERLINK("https://klasma.github.io/Logging_1907/klagomålsmail/A 27957-2024 FSC-klagomål mail.docx", "A 27957-2024")</f>
        <v/>
      </c>
      <c r="X105">
        <f>HYPERLINK("https://klasma.github.io/Logging_1907/tillsyn/A 27957-2024 tillsynsbegäran.docx", "A 27957-2024")</f>
        <v/>
      </c>
      <c r="Y105">
        <f>HYPERLINK("https://klasma.github.io/Logging_1907/tillsynsmail/A 27957-2024 tillsynsbegäran mail.docx", "A 27957-2024")</f>
        <v/>
      </c>
    </row>
    <row r="106" ht="15" customHeight="1">
      <c r="A106" t="inlineStr">
        <is>
          <t>A 29156-2024</t>
        </is>
      </c>
      <c r="B106" s="1" t="n">
        <v>45482</v>
      </c>
      <c r="C106" s="1" t="n">
        <v>45825</v>
      </c>
      <c r="D106" t="inlineStr">
        <is>
          <t>VÄSTMANLANDS LÄN</t>
        </is>
      </c>
      <c r="E106" t="inlineStr">
        <is>
          <t>SURAHAMMAR</t>
        </is>
      </c>
      <c r="F106" t="inlineStr">
        <is>
          <t>Sveaskog</t>
        </is>
      </c>
      <c r="G106" t="n">
        <v>2.6</v>
      </c>
      <c r="H106" t="n">
        <v>0</v>
      </c>
      <c r="I106" t="n">
        <v>1</v>
      </c>
      <c r="J106" t="n">
        <v>0</v>
      </c>
      <c r="K106" t="n">
        <v>0</v>
      </c>
      <c r="L106" t="n">
        <v>0</v>
      </c>
      <c r="M106" t="n">
        <v>0</v>
      </c>
      <c r="N106" t="n">
        <v>0</v>
      </c>
      <c r="O106" t="n">
        <v>0</v>
      </c>
      <c r="P106" t="n">
        <v>0</v>
      </c>
      <c r="Q106" t="n">
        <v>1</v>
      </c>
      <c r="R106" s="2" t="inlineStr">
        <is>
          <t>Fjällig taggsvamp s.str.</t>
        </is>
      </c>
      <c r="S106">
        <f>HYPERLINK("https://klasma.github.io/Logging_1907/artfynd/A 29156-2024 artfynd.xlsx", "A 29156-2024")</f>
        <v/>
      </c>
      <c r="T106">
        <f>HYPERLINK("https://klasma.github.io/Logging_1907/kartor/A 29156-2024 karta.png", "A 29156-2024")</f>
        <v/>
      </c>
      <c r="V106">
        <f>HYPERLINK("https://klasma.github.io/Logging_1907/klagomål/A 29156-2024 FSC-klagomål.docx", "A 29156-2024")</f>
        <v/>
      </c>
      <c r="W106">
        <f>HYPERLINK("https://klasma.github.io/Logging_1907/klagomålsmail/A 29156-2024 FSC-klagomål mail.docx", "A 29156-2024")</f>
        <v/>
      </c>
      <c r="X106">
        <f>HYPERLINK("https://klasma.github.io/Logging_1907/tillsyn/A 29156-2024 tillsynsbegäran.docx", "A 29156-2024")</f>
        <v/>
      </c>
      <c r="Y106">
        <f>HYPERLINK("https://klasma.github.io/Logging_1907/tillsynsmail/A 29156-2024 tillsynsbegäran mail.docx", "A 29156-2024")</f>
        <v/>
      </c>
    </row>
    <row r="107" ht="15" customHeight="1">
      <c r="A107" t="inlineStr">
        <is>
          <t>A 31176-2024</t>
        </is>
      </c>
      <c r="B107" s="1" t="n">
        <v>45503</v>
      </c>
      <c r="C107" s="1" t="n">
        <v>45825</v>
      </c>
      <c r="D107" t="inlineStr">
        <is>
          <t>VÄSTMANLANDS LÄN</t>
        </is>
      </c>
      <c r="E107" t="inlineStr">
        <is>
          <t>SURAHAMMAR</t>
        </is>
      </c>
      <c r="F107" t="inlineStr">
        <is>
          <t>Allmännings- och besparingsskogar</t>
        </is>
      </c>
      <c r="G107" t="n">
        <v>10.7</v>
      </c>
      <c r="H107" t="n">
        <v>0</v>
      </c>
      <c r="I107" t="n">
        <v>0</v>
      </c>
      <c r="J107" t="n">
        <v>1</v>
      </c>
      <c r="K107" t="n">
        <v>0</v>
      </c>
      <c r="L107" t="n">
        <v>0</v>
      </c>
      <c r="M107" t="n">
        <v>0</v>
      </c>
      <c r="N107" t="n">
        <v>0</v>
      </c>
      <c r="O107" t="n">
        <v>1</v>
      </c>
      <c r="P107" t="n">
        <v>0</v>
      </c>
      <c r="Q107" t="n">
        <v>1</v>
      </c>
      <c r="R107" s="2" t="inlineStr">
        <is>
          <t>Doftskinn</t>
        </is>
      </c>
      <c r="S107">
        <f>HYPERLINK("https://klasma.github.io/Logging_1907/artfynd/A 31176-2024 artfynd.xlsx", "A 31176-2024")</f>
        <v/>
      </c>
      <c r="T107">
        <f>HYPERLINK("https://klasma.github.io/Logging_1907/kartor/A 31176-2024 karta.png", "A 31176-2024")</f>
        <v/>
      </c>
      <c r="V107">
        <f>HYPERLINK("https://klasma.github.io/Logging_1907/klagomål/A 31176-2024 FSC-klagomål.docx", "A 31176-2024")</f>
        <v/>
      </c>
      <c r="W107">
        <f>HYPERLINK("https://klasma.github.io/Logging_1907/klagomålsmail/A 31176-2024 FSC-klagomål mail.docx", "A 31176-2024")</f>
        <v/>
      </c>
      <c r="X107">
        <f>HYPERLINK("https://klasma.github.io/Logging_1907/tillsyn/A 31176-2024 tillsynsbegäran.docx", "A 31176-2024")</f>
        <v/>
      </c>
      <c r="Y107">
        <f>HYPERLINK("https://klasma.github.io/Logging_1907/tillsynsmail/A 31176-2024 tillsynsbegäran mail.docx", "A 31176-2024")</f>
        <v/>
      </c>
    </row>
    <row r="108" ht="15" customHeight="1">
      <c r="A108" t="inlineStr">
        <is>
          <t>A 33231-2024</t>
        </is>
      </c>
      <c r="B108" s="1" t="n">
        <v>45518</v>
      </c>
      <c r="C108" s="1" t="n">
        <v>45825</v>
      </c>
      <c r="D108" t="inlineStr">
        <is>
          <t>VÄSTMANLANDS LÄN</t>
        </is>
      </c>
      <c r="E108" t="inlineStr">
        <is>
          <t>SURAHAMMAR</t>
        </is>
      </c>
      <c r="F108" t="inlineStr">
        <is>
          <t>Bergvik skog väst AB</t>
        </is>
      </c>
      <c r="G108" t="n">
        <v>1.5</v>
      </c>
      <c r="H108" t="n">
        <v>1</v>
      </c>
      <c r="I108" t="n">
        <v>0</v>
      </c>
      <c r="J108" t="n">
        <v>0</v>
      </c>
      <c r="K108" t="n">
        <v>0</v>
      </c>
      <c r="L108" t="n">
        <v>0</v>
      </c>
      <c r="M108" t="n">
        <v>0</v>
      </c>
      <c r="N108" t="n">
        <v>0</v>
      </c>
      <c r="O108" t="n">
        <v>0</v>
      </c>
      <c r="P108" t="n">
        <v>0</v>
      </c>
      <c r="Q108" t="n">
        <v>1</v>
      </c>
      <c r="R108" s="2" t="inlineStr">
        <is>
          <t>Mindre vattensalamander</t>
        </is>
      </c>
      <c r="S108">
        <f>HYPERLINK("https://klasma.github.io/Logging_1907/artfynd/A 33231-2024 artfynd.xlsx", "A 33231-2024")</f>
        <v/>
      </c>
      <c r="T108">
        <f>HYPERLINK("https://klasma.github.io/Logging_1907/kartor/A 33231-2024 karta.png", "A 33231-2024")</f>
        <v/>
      </c>
      <c r="V108">
        <f>HYPERLINK("https://klasma.github.io/Logging_1907/klagomål/A 33231-2024 FSC-klagomål.docx", "A 33231-2024")</f>
        <v/>
      </c>
      <c r="W108">
        <f>HYPERLINK("https://klasma.github.io/Logging_1907/klagomålsmail/A 33231-2024 FSC-klagomål mail.docx", "A 33231-2024")</f>
        <v/>
      </c>
      <c r="X108">
        <f>HYPERLINK("https://klasma.github.io/Logging_1907/tillsyn/A 33231-2024 tillsynsbegäran.docx", "A 33231-2024")</f>
        <v/>
      </c>
      <c r="Y108">
        <f>HYPERLINK("https://klasma.github.io/Logging_1907/tillsynsmail/A 33231-2024 tillsynsbegäran mail.docx", "A 33231-2024")</f>
        <v/>
      </c>
    </row>
    <row r="109" ht="15" customHeight="1">
      <c r="A109" t="inlineStr">
        <is>
          <t>A 43451-2024</t>
        </is>
      </c>
      <c r="B109" s="1" t="n">
        <v>45568</v>
      </c>
      <c r="C109" s="1" t="n">
        <v>45825</v>
      </c>
      <c r="D109" t="inlineStr">
        <is>
          <t>VÄSTMANLANDS LÄN</t>
        </is>
      </c>
      <c r="E109" t="inlineStr">
        <is>
          <t>SURAHAMMAR</t>
        </is>
      </c>
      <c r="F109" t="inlineStr">
        <is>
          <t>Bergvik skog väst AB</t>
        </is>
      </c>
      <c r="G109" t="n">
        <v>2.9</v>
      </c>
      <c r="H109" t="n">
        <v>0</v>
      </c>
      <c r="I109" t="n">
        <v>0</v>
      </c>
      <c r="J109" t="n">
        <v>1</v>
      </c>
      <c r="K109" t="n">
        <v>0</v>
      </c>
      <c r="L109" t="n">
        <v>0</v>
      </c>
      <c r="M109" t="n">
        <v>0</v>
      </c>
      <c r="N109" t="n">
        <v>0</v>
      </c>
      <c r="O109" t="n">
        <v>1</v>
      </c>
      <c r="P109" t="n">
        <v>0</v>
      </c>
      <c r="Q109" t="n">
        <v>1</v>
      </c>
      <c r="R109" s="2" t="inlineStr">
        <is>
          <t>Ullticka</t>
        </is>
      </c>
      <c r="S109">
        <f>HYPERLINK("https://klasma.github.io/Logging_1907/artfynd/A 43451-2024 artfynd.xlsx", "A 43451-2024")</f>
        <v/>
      </c>
      <c r="T109">
        <f>HYPERLINK("https://klasma.github.io/Logging_1907/kartor/A 43451-2024 karta.png", "A 43451-2024")</f>
        <v/>
      </c>
      <c r="V109">
        <f>HYPERLINK("https://klasma.github.io/Logging_1907/klagomål/A 43451-2024 FSC-klagomål.docx", "A 43451-2024")</f>
        <v/>
      </c>
      <c r="W109">
        <f>HYPERLINK("https://klasma.github.io/Logging_1907/klagomålsmail/A 43451-2024 FSC-klagomål mail.docx", "A 43451-2024")</f>
        <v/>
      </c>
      <c r="X109">
        <f>HYPERLINK("https://klasma.github.io/Logging_1907/tillsyn/A 43451-2024 tillsynsbegäran.docx", "A 43451-2024")</f>
        <v/>
      </c>
      <c r="Y109">
        <f>HYPERLINK("https://klasma.github.io/Logging_1907/tillsynsmail/A 43451-2024 tillsynsbegäran mail.docx", "A 43451-2024")</f>
        <v/>
      </c>
    </row>
    <row r="110" ht="15" customHeight="1">
      <c r="A110" t="inlineStr">
        <is>
          <t>A 44356-2024</t>
        </is>
      </c>
      <c r="B110" s="1" t="n">
        <v>45573</v>
      </c>
      <c r="C110" s="1" t="n">
        <v>45825</v>
      </c>
      <c r="D110" t="inlineStr">
        <is>
          <t>VÄSTMANLANDS LÄN</t>
        </is>
      </c>
      <c r="E110" t="inlineStr">
        <is>
          <t>SURAHAMMAR</t>
        </is>
      </c>
      <c r="F110" t="inlineStr">
        <is>
          <t>Sveaskog</t>
        </is>
      </c>
      <c r="G110" t="n">
        <v>0.7</v>
      </c>
      <c r="H110" t="n">
        <v>1</v>
      </c>
      <c r="I110" t="n">
        <v>0</v>
      </c>
      <c r="J110" t="n">
        <v>0</v>
      </c>
      <c r="K110" t="n">
        <v>0</v>
      </c>
      <c r="L110" t="n">
        <v>0</v>
      </c>
      <c r="M110" t="n">
        <v>0</v>
      </c>
      <c r="N110" t="n">
        <v>0</v>
      </c>
      <c r="O110" t="n">
        <v>0</v>
      </c>
      <c r="P110" t="n">
        <v>0</v>
      </c>
      <c r="Q110" t="n">
        <v>1</v>
      </c>
      <c r="R110" s="2" t="inlineStr">
        <is>
          <t>Revlummer</t>
        </is>
      </c>
      <c r="S110">
        <f>HYPERLINK("https://klasma.github.io/Logging_1907/artfynd/A 44356-2024 artfynd.xlsx", "A 44356-2024")</f>
        <v/>
      </c>
      <c r="T110">
        <f>HYPERLINK("https://klasma.github.io/Logging_1907/kartor/A 44356-2024 karta.png", "A 44356-2024")</f>
        <v/>
      </c>
      <c r="V110">
        <f>HYPERLINK("https://klasma.github.io/Logging_1907/klagomål/A 44356-2024 FSC-klagomål.docx", "A 44356-2024")</f>
        <v/>
      </c>
      <c r="W110">
        <f>HYPERLINK("https://klasma.github.io/Logging_1907/klagomålsmail/A 44356-2024 FSC-klagomål mail.docx", "A 44356-2024")</f>
        <v/>
      </c>
      <c r="X110">
        <f>HYPERLINK("https://klasma.github.io/Logging_1907/tillsyn/A 44356-2024 tillsynsbegäran.docx", "A 44356-2024")</f>
        <v/>
      </c>
      <c r="Y110">
        <f>HYPERLINK("https://klasma.github.io/Logging_1907/tillsynsmail/A 44356-2024 tillsynsbegäran mail.docx", "A 44356-2024")</f>
        <v/>
      </c>
    </row>
    <row r="111" ht="15" customHeight="1">
      <c r="A111" t="inlineStr">
        <is>
          <t>A 44355-2024</t>
        </is>
      </c>
      <c r="B111" s="1" t="n">
        <v>45573</v>
      </c>
      <c r="C111" s="1" t="n">
        <v>45825</v>
      </c>
      <c r="D111" t="inlineStr">
        <is>
          <t>VÄSTMANLANDS LÄN</t>
        </is>
      </c>
      <c r="E111" t="inlineStr">
        <is>
          <t>SURAHAMMAR</t>
        </is>
      </c>
      <c r="F111" t="inlineStr">
        <is>
          <t>Sveaskog</t>
        </is>
      </c>
      <c r="G111" t="n">
        <v>3.5</v>
      </c>
      <c r="H111" t="n">
        <v>1</v>
      </c>
      <c r="I111" t="n">
        <v>0</v>
      </c>
      <c r="J111" t="n">
        <v>0</v>
      </c>
      <c r="K111" t="n">
        <v>0</v>
      </c>
      <c r="L111" t="n">
        <v>0</v>
      </c>
      <c r="M111" t="n">
        <v>0</v>
      </c>
      <c r="N111" t="n">
        <v>0</v>
      </c>
      <c r="O111" t="n">
        <v>0</v>
      </c>
      <c r="P111" t="n">
        <v>0</v>
      </c>
      <c r="Q111" t="n">
        <v>1</v>
      </c>
      <c r="R111" s="2" t="inlineStr">
        <is>
          <t>Revlummer</t>
        </is>
      </c>
      <c r="S111">
        <f>HYPERLINK("https://klasma.github.io/Logging_1907/artfynd/A 44355-2024 artfynd.xlsx", "A 44355-2024")</f>
        <v/>
      </c>
      <c r="T111">
        <f>HYPERLINK("https://klasma.github.io/Logging_1907/kartor/A 44355-2024 karta.png", "A 44355-2024")</f>
        <v/>
      </c>
      <c r="V111">
        <f>HYPERLINK("https://klasma.github.io/Logging_1907/klagomål/A 44355-2024 FSC-klagomål.docx", "A 44355-2024")</f>
        <v/>
      </c>
      <c r="W111">
        <f>HYPERLINK("https://klasma.github.io/Logging_1907/klagomålsmail/A 44355-2024 FSC-klagomål mail.docx", "A 44355-2024")</f>
        <v/>
      </c>
      <c r="X111">
        <f>HYPERLINK("https://klasma.github.io/Logging_1907/tillsyn/A 44355-2024 tillsynsbegäran.docx", "A 44355-2024")</f>
        <v/>
      </c>
      <c r="Y111">
        <f>HYPERLINK("https://klasma.github.io/Logging_1907/tillsynsmail/A 44355-2024 tillsynsbegäran mail.docx", "A 44355-2024")</f>
        <v/>
      </c>
    </row>
    <row r="112" ht="15" customHeight="1">
      <c r="A112" t="inlineStr">
        <is>
          <t>A 45735-2024</t>
        </is>
      </c>
      <c r="B112" s="1" t="n">
        <v>45579</v>
      </c>
      <c r="C112" s="1" t="n">
        <v>45825</v>
      </c>
      <c r="D112" t="inlineStr">
        <is>
          <t>VÄSTMANLANDS LÄN</t>
        </is>
      </c>
      <c r="E112" t="inlineStr">
        <is>
          <t>SURAHAMMAR</t>
        </is>
      </c>
      <c r="F112" t="inlineStr">
        <is>
          <t>Sveaskog</t>
        </is>
      </c>
      <c r="G112" t="n">
        <v>13.5</v>
      </c>
      <c r="H112" t="n">
        <v>1</v>
      </c>
      <c r="I112" t="n">
        <v>0</v>
      </c>
      <c r="J112" t="n">
        <v>0</v>
      </c>
      <c r="K112" t="n">
        <v>0</v>
      </c>
      <c r="L112" t="n">
        <v>0</v>
      </c>
      <c r="M112" t="n">
        <v>0</v>
      </c>
      <c r="N112" t="n">
        <v>0</v>
      </c>
      <c r="O112" t="n">
        <v>0</v>
      </c>
      <c r="P112" t="n">
        <v>0</v>
      </c>
      <c r="Q112" t="n">
        <v>1</v>
      </c>
      <c r="R112" s="2" t="inlineStr">
        <is>
          <t>Revlummer</t>
        </is>
      </c>
      <c r="S112">
        <f>HYPERLINK("https://klasma.github.io/Logging_1907/artfynd/A 45735-2024 artfynd.xlsx", "A 45735-2024")</f>
        <v/>
      </c>
      <c r="T112">
        <f>HYPERLINK("https://klasma.github.io/Logging_1907/kartor/A 45735-2024 karta.png", "A 45735-2024")</f>
        <v/>
      </c>
      <c r="V112">
        <f>HYPERLINK("https://klasma.github.io/Logging_1907/klagomål/A 45735-2024 FSC-klagomål.docx", "A 45735-2024")</f>
        <v/>
      </c>
      <c r="W112">
        <f>HYPERLINK("https://klasma.github.io/Logging_1907/klagomålsmail/A 45735-2024 FSC-klagomål mail.docx", "A 45735-2024")</f>
        <v/>
      </c>
      <c r="X112">
        <f>HYPERLINK("https://klasma.github.io/Logging_1907/tillsyn/A 45735-2024 tillsynsbegäran.docx", "A 45735-2024")</f>
        <v/>
      </c>
      <c r="Y112">
        <f>HYPERLINK("https://klasma.github.io/Logging_1907/tillsynsmail/A 45735-2024 tillsynsbegäran mail.docx", "A 45735-2024")</f>
        <v/>
      </c>
    </row>
    <row r="113" ht="15" customHeight="1">
      <c r="A113" t="inlineStr">
        <is>
          <t>A 47453-2024</t>
        </is>
      </c>
      <c r="B113" s="1" t="n">
        <v>45587</v>
      </c>
      <c r="C113" s="1" t="n">
        <v>45825</v>
      </c>
      <c r="D113" t="inlineStr">
        <is>
          <t>VÄSTMANLANDS LÄN</t>
        </is>
      </c>
      <c r="E113" t="inlineStr">
        <is>
          <t>SURAHAMMAR</t>
        </is>
      </c>
      <c r="G113" t="n">
        <v>5.1</v>
      </c>
      <c r="H113" t="n">
        <v>1</v>
      </c>
      <c r="I113" t="n">
        <v>0</v>
      </c>
      <c r="J113" t="n">
        <v>0</v>
      </c>
      <c r="K113" t="n">
        <v>0</v>
      </c>
      <c r="L113" t="n">
        <v>0</v>
      </c>
      <c r="M113" t="n">
        <v>0</v>
      </c>
      <c r="N113" t="n">
        <v>0</v>
      </c>
      <c r="O113" t="n">
        <v>0</v>
      </c>
      <c r="P113" t="n">
        <v>0</v>
      </c>
      <c r="Q113" t="n">
        <v>1</v>
      </c>
      <c r="R113" s="2" t="inlineStr">
        <is>
          <t>Göktyta</t>
        </is>
      </c>
      <c r="S113">
        <f>HYPERLINK("https://klasma.github.io/Logging_1907/artfynd/A 47453-2024 artfynd.xlsx", "A 47453-2024")</f>
        <v/>
      </c>
      <c r="T113">
        <f>HYPERLINK("https://klasma.github.io/Logging_1907/kartor/A 47453-2024 karta.png", "A 47453-2024")</f>
        <v/>
      </c>
      <c r="V113">
        <f>HYPERLINK("https://klasma.github.io/Logging_1907/klagomål/A 47453-2024 FSC-klagomål.docx", "A 47453-2024")</f>
        <v/>
      </c>
      <c r="W113">
        <f>HYPERLINK("https://klasma.github.io/Logging_1907/klagomålsmail/A 47453-2024 FSC-klagomål mail.docx", "A 47453-2024")</f>
        <v/>
      </c>
      <c r="X113">
        <f>HYPERLINK("https://klasma.github.io/Logging_1907/tillsyn/A 47453-2024 tillsynsbegäran.docx", "A 47453-2024")</f>
        <v/>
      </c>
      <c r="Y113">
        <f>HYPERLINK("https://klasma.github.io/Logging_1907/tillsynsmail/A 47453-2024 tillsynsbegäran mail.docx", "A 47453-2024")</f>
        <v/>
      </c>
      <c r="Z113">
        <f>HYPERLINK("https://klasma.github.io/Logging_1907/fåglar/A 47453-2024 prioriterade fågelarter.docx", "A 47453-2024")</f>
        <v/>
      </c>
    </row>
    <row r="114" ht="15" customHeight="1">
      <c r="A114" t="inlineStr">
        <is>
          <t>A 62097-2024</t>
        </is>
      </c>
      <c r="B114" s="1" t="n">
        <v>45646</v>
      </c>
      <c r="C114" s="1" t="n">
        <v>45825</v>
      </c>
      <c r="D114" t="inlineStr">
        <is>
          <t>VÄSTMANLANDS LÄN</t>
        </is>
      </c>
      <c r="E114" t="inlineStr">
        <is>
          <t>SURAHAMMAR</t>
        </is>
      </c>
      <c r="F114" t="inlineStr">
        <is>
          <t>Bergvik skog väst AB</t>
        </is>
      </c>
      <c r="G114" t="n">
        <v>21.7</v>
      </c>
      <c r="H114" t="n">
        <v>1</v>
      </c>
      <c r="I114" t="n">
        <v>0</v>
      </c>
      <c r="J114" t="n">
        <v>0</v>
      </c>
      <c r="K114" t="n">
        <v>0</v>
      </c>
      <c r="L114" t="n">
        <v>0</v>
      </c>
      <c r="M114" t="n">
        <v>0</v>
      </c>
      <c r="N114" t="n">
        <v>0</v>
      </c>
      <c r="O114" t="n">
        <v>0</v>
      </c>
      <c r="P114" t="n">
        <v>0</v>
      </c>
      <c r="Q114" t="n">
        <v>1</v>
      </c>
      <c r="R114" s="2" t="inlineStr">
        <is>
          <t>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13788-2025</t>
        </is>
      </c>
      <c r="B115" s="1" t="n">
        <v>45737</v>
      </c>
      <c r="C115" s="1" t="n">
        <v>45825</v>
      </c>
      <c r="D115" t="inlineStr">
        <is>
          <t>VÄSTMANLANDS LÄN</t>
        </is>
      </c>
      <c r="E115" t="inlineStr">
        <is>
          <t>SURAHAMMAR</t>
        </is>
      </c>
      <c r="G115" t="n">
        <v>9.699999999999999</v>
      </c>
      <c r="H115" t="n">
        <v>1</v>
      </c>
      <c r="I115" t="n">
        <v>0</v>
      </c>
      <c r="J115" t="n">
        <v>0</v>
      </c>
      <c r="K115" t="n">
        <v>0</v>
      </c>
      <c r="L115" t="n">
        <v>0</v>
      </c>
      <c r="M115" t="n">
        <v>0</v>
      </c>
      <c r="N115" t="n">
        <v>0</v>
      </c>
      <c r="O115" t="n">
        <v>0</v>
      </c>
      <c r="P115" t="n">
        <v>0</v>
      </c>
      <c r="Q115" t="n">
        <v>1</v>
      </c>
      <c r="R115" s="2" t="inlineStr">
        <is>
          <t>Sparvuggla</t>
        </is>
      </c>
      <c r="S115">
        <f>HYPERLINK("https://klasma.github.io/Logging_191907/artfynd/A 13788-2025 artfynd.xlsx", "A 13788-2025")</f>
        <v/>
      </c>
      <c r="T115">
        <f>HYPERLINK("https://klasma.github.io/Logging_191907/kartor/A 13788-2025 karta.png", "A 13788-2025")</f>
        <v/>
      </c>
      <c r="V115">
        <f>HYPERLINK("https://klasma.github.io/Logging_191907/klagomål/A 13788-2025 FSC-klagomål.docx", "A 13788-2025")</f>
        <v/>
      </c>
      <c r="W115">
        <f>HYPERLINK("https://klasma.github.io/Logging_191907/klagomålsmail/A 13788-2025 FSC-klagomål mail.docx", "A 13788-2025")</f>
        <v/>
      </c>
      <c r="X115">
        <f>HYPERLINK("https://klasma.github.io/Logging_191907/tillsyn/A 13788-2025 tillsynsbegäran.docx", "A 13788-2025")</f>
        <v/>
      </c>
      <c r="Y115">
        <f>HYPERLINK("https://klasma.github.io/Logging_191907/tillsynsmail/A 13788-2025 tillsynsbegäran mail.docx", "A 13788-2025")</f>
        <v/>
      </c>
      <c r="Z115">
        <f>HYPERLINK("https://klasma.github.io/Logging_191907/fåglar/A 13788-2025 prioriterade fågelarter.docx", "A 13788-2025")</f>
        <v/>
      </c>
    </row>
    <row r="116" ht="15" customHeight="1">
      <c r="A116" t="inlineStr">
        <is>
          <t>A 21716-2025</t>
        </is>
      </c>
      <c r="B116" s="1" t="n">
        <v>45783</v>
      </c>
      <c r="C116" s="1" t="n">
        <v>45825</v>
      </c>
      <c r="D116" t="inlineStr">
        <is>
          <t>VÄSTMANLANDS LÄN</t>
        </is>
      </c>
      <c r="E116" t="inlineStr">
        <is>
          <t>SURAHAMMAR</t>
        </is>
      </c>
      <c r="F116" t="inlineStr">
        <is>
          <t>Allmännings- och besparingsskogar</t>
        </is>
      </c>
      <c r="G116" t="n">
        <v>21.1</v>
      </c>
      <c r="H116" t="n">
        <v>1</v>
      </c>
      <c r="I116" t="n">
        <v>0</v>
      </c>
      <c r="J116" t="n">
        <v>1</v>
      </c>
      <c r="K116" t="n">
        <v>0</v>
      </c>
      <c r="L116" t="n">
        <v>0</v>
      </c>
      <c r="M116" t="n">
        <v>0</v>
      </c>
      <c r="N116" t="n">
        <v>0</v>
      </c>
      <c r="O116" t="n">
        <v>1</v>
      </c>
      <c r="P116" t="n">
        <v>0</v>
      </c>
      <c r="Q116" t="n">
        <v>1</v>
      </c>
      <c r="R116" s="2" t="inlineStr">
        <is>
          <t>Spillkråka</t>
        </is>
      </c>
      <c r="S116">
        <f>HYPERLINK("https://klasma.github.io/Logging_191907/artfynd/A 21716-2025 artfynd.xlsx", "A 21716-2025")</f>
        <v/>
      </c>
      <c r="T116">
        <f>HYPERLINK("https://klasma.github.io/Logging_191907/kartor/A 21716-2025 karta.png", "A 21716-2025")</f>
        <v/>
      </c>
      <c r="V116">
        <f>HYPERLINK("https://klasma.github.io/Logging_191907/klagomål/A 21716-2025 FSC-klagomål.docx", "A 21716-2025")</f>
        <v/>
      </c>
      <c r="W116">
        <f>HYPERLINK("https://klasma.github.io/Logging_191907/klagomålsmail/A 21716-2025 FSC-klagomål mail.docx", "A 21716-2025")</f>
        <v/>
      </c>
      <c r="X116">
        <f>HYPERLINK("https://klasma.github.io/Logging_191907/tillsyn/A 21716-2025 tillsynsbegäran.docx", "A 21716-2025")</f>
        <v/>
      </c>
      <c r="Y116">
        <f>HYPERLINK("https://klasma.github.io/Logging_191907/tillsynsmail/A 21716-2025 tillsynsbegäran mail.docx", "A 21716-2025")</f>
        <v/>
      </c>
      <c r="Z116">
        <f>HYPERLINK("https://klasma.github.io/Logging_191907/fåglar/A 21716-2025 prioriterade fågelarter.docx", "A 21716-2025")</f>
        <v/>
      </c>
    </row>
    <row r="117" ht="15" customHeight="1">
      <c r="A117" t="inlineStr">
        <is>
          <t>A 17946-2019</t>
        </is>
      </c>
      <c r="B117" s="1" t="n">
        <v>43557</v>
      </c>
      <c r="C117" s="1" t="n">
        <v>45825</v>
      </c>
      <c r="D117" t="inlineStr">
        <is>
          <t>VÄSTMANLANDS LÄN</t>
        </is>
      </c>
      <c r="E117" t="inlineStr">
        <is>
          <t>SURAHAMMAR</t>
        </is>
      </c>
      <c r="G117" t="n">
        <v>9.9</v>
      </c>
      <c r="H117" t="n">
        <v>0</v>
      </c>
      <c r="I117" t="n">
        <v>0</v>
      </c>
      <c r="J117" t="n">
        <v>0</v>
      </c>
      <c r="K117" t="n">
        <v>0</v>
      </c>
      <c r="L117" t="n">
        <v>0</v>
      </c>
      <c r="M117" t="n">
        <v>0</v>
      </c>
      <c r="N117" t="n">
        <v>0</v>
      </c>
      <c r="O117" t="n">
        <v>0</v>
      </c>
      <c r="P117" t="n">
        <v>0</v>
      </c>
      <c r="Q117" t="n">
        <v>0</v>
      </c>
      <c r="R117" s="2" t="inlineStr"/>
    </row>
    <row r="118" ht="15" customHeight="1">
      <c r="A118" t="inlineStr">
        <is>
          <t>A 18953-2019</t>
        </is>
      </c>
      <c r="B118" s="1" t="n">
        <v>43563</v>
      </c>
      <c r="C118" s="1" t="n">
        <v>45825</v>
      </c>
      <c r="D118" t="inlineStr">
        <is>
          <t>VÄSTMANLANDS LÄN</t>
        </is>
      </c>
      <c r="E118" t="inlineStr">
        <is>
          <t>SURAHAMMAR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18960-2019</t>
        </is>
      </c>
      <c r="B119" s="1" t="n">
        <v>43563</v>
      </c>
      <c r="C119" s="1" t="n">
        <v>45825</v>
      </c>
      <c r="D119" t="inlineStr">
        <is>
          <t>VÄSTMANLANDS LÄN</t>
        </is>
      </c>
      <c r="E119" t="inlineStr">
        <is>
          <t>SURAHAMMAR</t>
        </is>
      </c>
      <c r="F119" t="inlineStr">
        <is>
          <t>Övriga Aktiebolag</t>
        </is>
      </c>
      <c r="G119" t="n">
        <v>4.1</v>
      </c>
      <c r="H119" t="n">
        <v>0</v>
      </c>
      <c r="I119" t="n">
        <v>0</v>
      </c>
      <c r="J119" t="n">
        <v>0</v>
      </c>
      <c r="K119" t="n">
        <v>0</v>
      </c>
      <c r="L119" t="n">
        <v>0</v>
      </c>
      <c r="M119" t="n">
        <v>0</v>
      </c>
      <c r="N119" t="n">
        <v>0</v>
      </c>
      <c r="O119" t="n">
        <v>0</v>
      </c>
      <c r="P119" t="n">
        <v>0</v>
      </c>
      <c r="Q119" t="n">
        <v>0</v>
      </c>
      <c r="R119" s="2" t="inlineStr"/>
    </row>
    <row r="120" ht="15" customHeight="1">
      <c r="A120" t="inlineStr">
        <is>
          <t>A 19659-2019</t>
        </is>
      </c>
      <c r="B120" s="1" t="n">
        <v>43566</v>
      </c>
      <c r="C120" s="1" t="n">
        <v>45825</v>
      </c>
      <c r="D120" t="inlineStr">
        <is>
          <t>VÄSTMANLANDS LÄN</t>
        </is>
      </c>
      <c r="E120" t="inlineStr">
        <is>
          <t>SURAHAMMAR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20127-2019</t>
        </is>
      </c>
      <c r="B121" s="1" t="n">
        <v>43570</v>
      </c>
      <c r="C121" s="1" t="n">
        <v>45825</v>
      </c>
      <c r="D121" t="inlineStr">
        <is>
          <t>VÄSTMANLANDS LÄN</t>
        </is>
      </c>
      <c r="E121" t="inlineStr">
        <is>
          <t>SURAHAMMAR</t>
        </is>
      </c>
      <c r="G121" t="n">
        <v>2.6</v>
      </c>
      <c r="H121" t="n">
        <v>0</v>
      </c>
      <c r="I121" t="n">
        <v>0</v>
      </c>
      <c r="J121" t="n">
        <v>0</v>
      </c>
      <c r="K121" t="n">
        <v>0</v>
      </c>
      <c r="L121" t="n">
        <v>0</v>
      </c>
      <c r="M121" t="n">
        <v>0</v>
      </c>
      <c r="N121" t="n">
        <v>0</v>
      </c>
      <c r="O121" t="n">
        <v>0</v>
      </c>
      <c r="P121" t="n">
        <v>0</v>
      </c>
      <c r="Q121" t="n">
        <v>0</v>
      </c>
      <c r="R121" s="2" t="inlineStr"/>
    </row>
    <row r="122" ht="15" customHeight="1">
      <c r="A122" t="inlineStr">
        <is>
          <t>A 20904-2019</t>
        </is>
      </c>
      <c r="B122" s="1" t="n">
        <v>43578</v>
      </c>
      <c r="C122" s="1" t="n">
        <v>45825</v>
      </c>
      <c r="D122" t="inlineStr">
        <is>
          <t>VÄSTMANLANDS LÄN</t>
        </is>
      </c>
      <c r="E122" t="inlineStr">
        <is>
          <t>SURAHAMMAR</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22834-2019</t>
        </is>
      </c>
      <c r="B123" s="1" t="n">
        <v>43591</v>
      </c>
      <c r="C123" s="1" t="n">
        <v>45825</v>
      </c>
      <c r="D123" t="inlineStr">
        <is>
          <t>VÄSTMANLANDS LÄN</t>
        </is>
      </c>
      <c r="E123" t="inlineStr">
        <is>
          <t>SURAHAMMAR</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28274-2019</t>
        </is>
      </c>
      <c r="B124" s="1" t="n">
        <v>43623</v>
      </c>
      <c r="C124" s="1" t="n">
        <v>45825</v>
      </c>
      <c r="D124" t="inlineStr">
        <is>
          <t>VÄSTMANLANDS LÄN</t>
        </is>
      </c>
      <c r="E124" t="inlineStr">
        <is>
          <t>SURAHAMMAR</t>
        </is>
      </c>
      <c r="F124" t="inlineStr">
        <is>
          <t>Allmännings- och besparingsskogar</t>
        </is>
      </c>
      <c r="G124" t="n">
        <v>0.7</v>
      </c>
      <c r="H124" t="n">
        <v>0</v>
      </c>
      <c r="I124" t="n">
        <v>0</v>
      </c>
      <c r="J124" t="n">
        <v>0</v>
      </c>
      <c r="K124" t="n">
        <v>0</v>
      </c>
      <c r="L124" t="n">
        <v>0</v>
      </c>
      <c r="M124" t="n">
        <v>0</v>
      </c>
      <c r="N124" t="n">
        <v>0</v>
      </c>
      <c r="O124" t="n">
        <v>0</v>
      </c>
      <c r="P124" t="n">
        <v>0</v>
      </c>
      <c r="Q124" t="n">
        <v>0</v>
      </c>
      <c r="R124" s="2" t="inlineStr"/>
    </row>
    <row r="125" ht="15" customHeight="1">
      <c r="A125" t="inlineStr">
        <is>
          <t>A 29523-2019</t>
        </is>
      </c>
      <c r="B125" s="1" t="n">
        <v>43630</v>
      </c>
      <c r="C125" s="1" t="n">
        <v>45825</v>
      </c>
      <c r="D125" t="inlineStr">
        <is>
          <t>VÄSTMANLANDS LÄN</t>
        </is>
      </c>
      <c r="E125" t="inlineStr">
        <is>
          <t>SURAHAMMAR</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31008-2019</t>
        </is>
      </c>
      <c r="B126" s="1" t="n">
        <v>43640</v>
      </c>
      <c r="C126" s="1" t="n">
        <v>45825</v>
      </c>
      <c r="D126" t="inlineStr">
        <is>
          <t>VÄSTMANLANDS LÄN</t>
        </is>
      </c>
      <c r="E126" t="inlineStr">
        <is>
          <t>SURAHAMMAR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39552-2019</t>
        </is>
      </c>
      <c r="B127" s="1" t="n">
        <v>43691</v>
      </c>
      <c r="C127" s="1" t="n">
        <v>45825</v>
      </c>
      <c r="D127" t="inlineStr">
        <is>
          <t>VÄSTMANLANDS LÄN</t>
        </is>
      </c>
      <c r="E127" t="inlineStr">
        <is>
          <t>SURAHAMMAR</t>
        </is>
      </c>
      <c r="F127" t="inlineStr">
        <is>
          <t>Övriga Aktiebolag</t>
        </is>
      </c>
      <c r="G127" t="n">
        <v>4.4</v>
      </c>
      <c r="H127" t="n">
        <v>0</v>
      </c>
      <c r="I127" t="n">
        <v>0</v>
      </c>
      <c r="J127" t="n">
        <v>0</v>
      </c>
      <c r="K127" t="n">
        <v>0</v>
      </c>
      <c r="L127" t="n">
        <v>0</v>
      </c>
      <c r="M127" t="n">
        <v>0</v>
      </c>
      <c r="N127" t="n">
        <v>0</v>
      </c>
      <c r="O127" t="n">
        <v>0</v>
      </c>
      <c r="P127" t="n">
        <v>0</v>
      </c>
      <c r="Q127" t="n">
        <v>0</v>
      </c>
      <c r="R127" s="2" t="inlineStr"/>
    </row>
    <row r="128" ht="15" customHeight="1">
      <c r="A128" t="inlineStr">
        <is>
          <t>A 39754-2019</t>
        </is>
      </c>
      <c r="B128" s="1" t="n">
        <v>43692</v>
      </c>
      <c r="C128" s="1" t="n">
        <v>45825</v>
      </c>
      <c r="D128" t="inlineStr">
        <is>
          <t>VÄSTMANLANDS LÄN</t>
        </is>
      </c>
      <c r="E128" t="inlineStr">
        <is>
          <t>SURAHAMMAR</t>
        </is>
      </c>
      <c r="F128" t="inlineStr">
        <is>
          <t>Övriga Aktiebolag</t>
        </is>
      </c>
      <c r="G128" t="n">
        <v>5.7</v>
      </c>
      <c r="H128" t="n">
        <v>0</v>
      </c>
      <c r="I128" t="n">
        <v>0</v>
      </c>
      <c r="J128" t="n">
        <v>0</v>
      </c>
      <c r="K128" t="n">
        <v>0</v>
      </c>
      <c r="L128" t="n">
        <v>0</v>
      </c>
      <c r="M128" t="n">
        <v>0</v>
      </c>
      <c r="N128" t="n">
        <v>0</v>
      </c>
      <c r="O128" t="n">
        <v>0</v>
      </c>
      <c r="P128" t="n">
        <v>0</v>
      </c>
      <c r="Q128" t="n">
        <v>0</v>
      </c>
      <c r="R128" s="2" t="inlineStr"/>
    </row>
    <row r="129" ht="15" customHeight="1">
      <c r="A129" t="inlineStr">
        <is>
          <t>A 40191-2019</t>
        </is>
      </c>
      <c r="B129" s="1" t="n">
        <v>43693</v>
      </c>
      <c r="C129" s="1" t="n">
        <v>45825</v>
      </c>
      <c r="D129" t="inlineStr">
        <is>
          <t>VÄSTMANLANDS LÄN</t>
        </is>
      </c>
      <c r="E129" t="inlineStr">
        <is>
          <t>SURAHAMMAR</t>
        </is>
      </c>
      <c r="F129" t="inlineStr">
        <is>
          <t>Bergvik skog väst AB</t>
        </is>
      </c>
      <c r="G129" t="n">
        <v>3.5</v>
      </c>
      <c r="H129" t="n">
        <v>0</v>
      </c>
      <c r="I129" t="n">
        <v>0</v>
      </c>
      <c r="J129" t="n">
        <v>0</v>
      </c>
      <c r="K129" t="n">
        <v>0</v>
      </c>
      <c r="L129" t="n">
        <v>0</v>
      </c>
      <c r="M129" t="n">
        <v>0</v>
      </c>
      <c r="N129" t="n">
        <v>0</v>
      </c>
      <c r="O129" t="n">
        <v>0</v>
      </c>
      <c r="P129" t="n">
        <v>0</v>
      </c>
      <c r="Q129" t="n">
        <v>0</v>
      </c>
      <c r="R129" s="2" t="inlineStr"/>
    </row>
    <row r="130" ht="15" customHeight="1">
      <c r="A130" t="inlineStr">
        <is>
          <t>A 60343-2019</t>
        </is>
      </c>
      <c r="B130" s="1" t="n">
        <v>43780</v>
      </c>
      <c r="C130" s="1" t="n">
        <v>45825</v>
      </c>
      <c r="D130" t="inlineStr">
        <is>
          <t>VÄSTMANLANDS LÄN</t>
        </is>
      </c>
      <c r="E130" t="inlineStr">
        <is>
          <t>SURAHAMMAR</t>
        </is>
      </c>
      <c r="G130" t="n">
        <v>1.1</v>
      </c>
      <c r="H130" t="n">
        <v>0</v>
      </c>
      <c r="I130" t="n">
        <v>0</v>
      </c>
      <c r="J130" t="n">
        <v>0</v>
      </c>
      <c r="K130" t="n">
        <v>0</v>
      </c>
      <c r="L130" t="n">
        <v>0</v>
      </c>
      <c r="M130" t="n">
        <v>0</v>
      </c>
      <c r="N130" t="n">
        <v>0</v>
      </c>
      <c r="O130" t="n">
        <v>0</v>
      </c>
      <c r="P130" t="n">
        <v>0</v>
      </c>
      <c r="Q130" t="n">
        <v>0</v>
      </c>
      <c r="R130" s="2" t="inlineStr"/>
    </row>
    <row r="131" ht="15" customHeight="1">
      <c r="A131" t="inlineStr">
        <is>
          <t>A 64772-2019</t>
        </is>
      </c>
      <c r="B131" s="1" t="n">
        <v>43801</v>
      </c>
      <c r="C131" s="1" t="n">
        <v>45825</v>
      </c>
      <c r="D131" t="inlineStr">
        <is>
          <t>VÄSTMANLANDS LÄN</t>
        </is>
      </c>
      <c r="E131" t="inlineStr">
        <is>
          <t>SURAHAMMAR</t>
        </is>
      </c>
      <c r="F131" t="inlineStr">
        <is>
          <t>Övriga Aktiebolag</t>
        </is>
      </c>
      <c r="G131" t="n">
        <v>7</v>
      </c>
      <c r="H131" t="n">
        <v>0</v>
      </c>
      <c r="I131" t="n">
        <v>0</v>
      </c>
      <c r="J131" t="n">
        <v>0</v>
      </c>
      <c r="K131" t="n">
        <v>0</v>
      </c>
      <c r="L131" t="n">
        <v>0</v>
      </c>
      <c r="M131" t="n">
        <v>0</v>
      </c>
      <c r="N131" t="n">
        <v>0</v>
      </c>
      <c r="O131" t="n">
        <v>0</v>
      </c>
      <c r="P131" t="n">
        <v>0</v>
      </c>
      <c r="Q131" t="n">
        <v>0</v>
      </c>
      <c r="R131" s="2" t="inlineStr"/>
    </row>
    <row r="132" ht="15" customHeight="1">
      <c r="A132" t="inlineStr">
        <is>
          <t>A 66269-2019</t>
        </is>
      </c>
      <c r="B132" s="1" t="n">
        <v>43802</v>
      </c>
      <c r="C132" s="1" t="n">
        <v>45825</v>
      </c>
      <c r="D132" t="inlineStr">
        <is>
          <t>VÄSTMANLANDS LÄN</t>
        </is>
      </c>
      <c r="E132" t="inlineStr">
        <is>
          <t>SURAHAMMAR</t>
        </is>
      </c>
      <c r="G132" t="n">
        <v>0.9</v>
      </c>
      <c r="H132" t="n">
        <v>0</v>
      </c>
      <c r="I132" t="n">
        <v>0</v>
      </c>
      <c r="J132" t="n">
        <v>0</v>
      </c>
      <c r="K132" t="n">
        <v>0</v>
      </c>
      <c r="L132" t="n">
        <v>0</v>
      </c>
      <c r="M132" t="n">
        <v>0</v>
      </c>
      <c r="N132" t="n">
        <v>0</v>
      </c>
      <c r="O132" t="n">
        <v>0</v>
      </c>
      <c r="P132" t="n">
        <v>0</v>
      </c>
      <c r="Q132" t="n">
        <v>0</v>
      </c>
      <c r="R132" s="2" t="inlineStr"/>
    </row>
    <row r="133" ht="15" customHeight="1">
      <c r="A133" t="inlineStr">
        <is>
          <t>A 65619-2019</t>
        </is>
      </c>
      <c r="B133" s="1" t="n">
        <v>43804</v>
      </c>
      <c r="C133" s="1" t="n">
        <v>45825</v>
      </c>
      <c r="D133" t="inlineStr">
        <is>
          <t>VÄSTMANLANDS LÄN</t>
        </is>
      </c>
      <c r="E133" t="inlineStr">
        <is>
          <t>SURAHAMMAR</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2039-2020</t>
        </is>
      </c>
      <c r="B134" s="1" t="n">
        <v>43839</v>
      </c>
      <c r="C134" s="1" t="n">
        <v>45825</v>
      </c>
      <c r="D134" t="inlineStr">
        <is>
          <t>VÄSTMANLANDS LÄN</t>
        </is>
      </c>
      <c r="E134" t="inlineStr">
        <is>
          <t>SURAHAMMAR</t>
        </is>
      </c>
      <c r="G134" t="n">
        <v>1</v>
      </c>
      <c r="H134" t="n">
        <v>0</v>
      </c>
      <c r="I134" t="n">
        <v>0</v>
      </c>
      <c r="J134" t="n">
        <v>0</v>
      </c>
      <c r="K134" t="n">
        <v>0</v>
      </c>
      <c r="L134" t="n">
        <v>0</v>
      </c>
      <c r="M134" t="n">
        <v>0</v>
      </c>
      <c r="N134" t="n">
        <v>0</v>
      </c>
      <c r="O134" t="n">
        <v>0</v>
      </c>
      <c r="P134" t="n">
        <v>0</v>
      </c>
      <c r="Q134" t="n">
        <v>0</v>
      </c>
      <c r="R134" s="2" t="inlineStr"/>
    </row>
    <row r="135" ht="15" customHeight="1">
      <c r="A135" t="inlineStr">
        <is>
          <t>A 5804-2020</t>
        </is>
      </c>
      <c r="B135" s="1" t="n">
        <v>43864</v>
      </c>
      <c r="C135" s="1" t="n">
        <v>45825</v>
      </c>
      <c r="D135" t="inlineStr">
        <is>
          <t>VÄSTMANLANDS LÄN</t>
        </is>
      </c>
      <c r="E135" t="inlineStr">
        <is>
          <t>SURAHAMMAR</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8608-2020</t>
        </is>
      </c>
      <c r="B136" s="1" t="n">
        <v>43878</v>
      </c>
      <c r="C136" s="1" t="n">
        <v>45825</v>
      </c>
      <c r="D136" t="inlineStr">
        <is>
          <t>VÄSTMANLANDS LÄN</t>
        </is>
      </c>
      <c r="E136" t="inlineStr">
        <is>
          <t>SURAHAMMAR</t>
        </is>
      </c>
      <c r="F136" t="inlineStr">
        <is>
          <t>Övriga Aktiebolag</t>
        </is>
      </c>
      <c r="G136" t="n">
        <v>20.2</v>
      </c>
      <c r="H136" t="n">
        <v>0</v>
      </c>
      <c r="I136" t="n">
        <v>0</v>
      </c>
      <c r="J136" t="n">
        <v>0</v>
      </c>
      <c r="K136" t="n">
        <v>0</v>
      </c>
      <c r="L136" t="n">
        <v>0</v>
      </c>
      <c r="M136" t="n">
        <v>0</v>
      </c>
      <c r="N136" t="n">
        <v>0</v>
      </c>
      <c r="O136" t="n">
        <v>0</v>
      </c>
      <c r="P136" t="n">
        <v>0</v>
      </c>
      <c r="Q136" t="n">
        <v>0</v>
      </c>
      <c r="R136" s="2" t="inlineStr"/>
    </row>
    <row r="137" ht="15" customHeight="1">
      <c r="A137" t="inlineStr">
        <is>
          <t>A 40660-2020</t>
        </is>
      </c>
      <c r="B137" s="1" t="n">
        <v>44069</v>
      </c>
      <c r="C137" s="1" t="n">
        <v>45825</v>
      </c>
      <c r="D137" t="inlineStr">
        <is>
          <t>VÄSTMANLANDS LÄN</t>
        </is>
      </c>
      <c r="E137" t="inlineStr">
        <is>
          <t>SURAHAMMAR</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43171-2020</t>
        </is>
      </c>
      <c r="B138" s="1" t="n">
        <v>44081</v>
      </c>
      <c r="C138" s="1" t="n">
        <v>45825</v>
      </c>
      <c r="D138" t="inlineStr">
        <is>
          <t>VÄSTMANLANDS LÄN</t>
        </is>
      </c>
      <c r="E138" t="inlineStr">
        <is>
          <t>SURAHAMMAR</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43174-2020</t>
        </is>
      </c>
      <c r="B139" s="1" t="n">
        <v>44081</v>
      </c>
      <c r="C139" s="1" t="n">
        <v>45825</v>
      </c>
      <c r="D139" t="inlineStr">
        <is>
          <t>VÄSTMANLANDS LÄN</t>
        </is>
      </c>
      <c r="E139" t="inlineStr">
        <is>
          <t>SURAHAMMAR</t>
        </is>
      </c>
      <c r="F139" t="inlineStr">
        <is>
          <t>Sveaskog</t>
        </is>
      </c>
      <c r="G139" t="n">
        <v>0.8</v>
      </c>
      <c r="H139" t="n">
        <v>0</v>
      </c>
      <c r="I139" t="n">
        <v>0</v>
      </c>
      <c r="J139" t="n">
        <v>0</v>
      </c>
      <c r="K139" t="n">
        <v>0</v>
      </c>
      <c r="L139" t="n">
        <v>0</v>
      </c>
      <c r="M139" t="n">
        <v>0</v>
      </c>
      <c r="N139" t="n">
        <v>0</v>
      </c>
      <c r="O139" t="n">
        <v>0</v>
      </c>
      <c r="P139" t="n">
        <v>0</v>
      </c>
      <c r="Q139" t="n">
        <v>0</v>
      </c>
      <c r="R139" s="2" t="inlineStr"/>
    </row>
    <row r="140" ht="15" customHeight="1">
      <c r="A140" t="inlineStr">
        <is>
          <t>A 43177-2020</t>
        </is>
      </c>
      <c r="B140" s="1" t="n">
        <v>44081</v>
      </c>
      <c r="C140" s="1" t="n">
        <v>45825</v>
      </c>
      <c r="D140" t="inlineStr">
        <is>
          <t>VÄSTMANLANDS LÄN</t>
        </is>
      </c>
      <c r="E140" t="inlineStr">
        <is>
          <t>SURAHAMMAR</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43590-2020</t>
        </is>
      </c>
      <c r="B141" s="1" t="n">
        <v>44082</v>
      </c>
      <c r="C141" s="1" t="n">
        <v>45825</v>
      </c>
      <c r="D141" t="inlineStr">
        <is>
          <t>VÄSTMANLANDS LÄN</t>
        </is>
      </c>
      <c r="E141" t="inlineStr">
        <is>
          <t>SURAHAMMAR</t>
        </is>
      </c>
      <c r="F141" t="inlineStr">
        <is>
          <t>Sveaskog</t>
        </is>
      </c>
      <c r="G141" t="n">
        <v>2.1</v>
      </c>
      <c r="H141" t="n">
        <v>0</v>
      </c>
      <c r="I141" t="n">
        <v>0</v>
      </c>
      <c r="J141" t="n">
        <v>0</v>
      </c>
      <c r="K141" t="n">
        <v>0</v>
      </c>
      <c r="L141" t="n">
        <v>0</v>
      </c>
      <c r="M141" t="n">
        <v>0</v>
      </c>
      <c r="N141" t="n">
        <v>0</v>
      </c>
      <c r="O141" t="n">
        <v>0</v>
      </c>
      <c r="P141" t="n">
        <v>0</v>
      </c>
      <c r="Q141" t="n">
        <v>0</v>
      </c>
      <c r="R141" s="2" t="inlineStr"/>
    </row>
    <row r="142" ht="15" customHeight="1">
      <c r="A142" t="inlineStr">
        <is>
          <t>A 47997-2020</t>
        </is>
      </c>
      <c r="B142" s="1" t="n">
        <v>44099</v>
      </c>
      <c r="C142" s="1" t="n">
        <v>45825</v>
      </c>
      <c r="D142" t="inlineStr">
        <is>
          <t>VÄSTMANLANDS LÄN</t>
        </is>
      </c>
      <c r="E142" t="inlineStr">
        <is>
          <t>SURAHAMMAR</t>
        </is>
      </c>
      <c r="G142" t="n">
        <v>4.8</v>
      </c>
      <c r="H142" t="n">
        <v>0</v>
      </c>
      <c r="I142" t="n">
        <v>0</v>
      </c>
      <c r="J142" t="n">
        <v>0</v>
      </c>
      <c r="K142" t="n">
        <v>0</v>
      </c>
      <c r="L142" t="n">
        <v>0</v>
      </c>
      <c r="M142" t="n">
        <v>0</v>
      </c>
      <c r="N142" t="n">
        <v>0</v>
      </c>
      <c r="O142" t="n">
        <v>0</v>
      </c>
      <c r="P142" t="n">
        <v>0</v>
      </c>
      <c r="Q142" t="n">
        <v>0</v>
      </c>
      <c r="R142" s="2" t="inlineStr"/>
    </row>
    <row r="143" ht="15" customHeight="1">
      <c r="A143" t="inlineStr">
        <is>
          <t>A 52076-2020</t>
        </is>
      </c>
      <c r="B143" s="1" t="n">
        <v>44117</v>
      </c>
      <c r="C143" s="1" t="n">
        <v>45825</v>
      </c>
      <c r="D143" t="inlineStr">
        <is>
          <t>VÄSTMANLANDS LÄN</t>
        </is>
      </c>
      <c r="E143" t="inlineStr">
        <is>
          <t>SURAHAMMAR</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52074-2020</t>
        </is>
      </c>
      <c r="B144" s="1" t="n">
        <v>44117</v>
      </c>
      <c r="C144" s="1" t="n">
        <v>45825</v>
      </c>
      <c r="D144" t="inlineStr">
        <is>
          <t>VÄSTMANLANDS LÄN</t>
        </is>
      </c>
      <c r="E144" t="inlineStr">
        <is>
          <t>SURAHAMMAR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54962-2020</t>
        </is>
      </c>
      <c r="B145" s="1" t="n">
        <v>44130</v>
      </c>
      <c r="C145" s="1" t="n">
        <v>45825</v>
      </c>
      <c r="D145" t="inlineStr">
        <is>
          <t>VÄSTMANLANDS LÄN</t>
        </is>
      </c>
      <c r="E145" t="inlineStr">
        <is>
          <t>SURAHAMMAR</t>
        </is>
      </c>
      <c r="F145" t="inlineStr">
        <is>
          <t>Sveaskog</t>
        </is>
      </c>
      <c r="G145" t="n">
        <v>4.2</v>
      </c>
      <c r="H145" t="n">
        <v>0</v>
      </c>
      <c r="I145" t="n">
        <v>0</v>
      </c>
      <c r="J145" t="n">
        <v>0</v>
      </c>
      <c r="K145" t="n">
        <v>0</v>
      </c>
      <c r="L145" t="n">
        <v>0</v>
      </c>
      <c r="M145" t="n">
        <v>0</v>
      </c>
      <c r="N145" t="n">
        <v>0</v>
      </c>
      <c r="O145" t="n">
        <v>0</v>
      </c>
      <c r="P145" t="n">
        <v>0</v>
      </c>
      <c r="Q145" t="n">
        <v>0</v>
      </c>
      <c r="R145" s="2" t="inlineStr"/>
    </row>
    <row r="146" ht="15" customHeight="1">
      <c r="A146" t="inlineStr">
        <is>
          <t>A 55397-2020</t>
        </is>
      </c>
      <c r="B146" s="1" t="n">
        <v>44131</v>
      </c>
      <c r="C146" s="1" t="n">
        <v>45825</v>
      </c>
      <c r="D146" t="inlineStr">
        <is>
          <t>VÄSTMANLANDS LÄN</t>
        </is>
      </c>
      <c r="E146" t="inlineStr">
        <is>
          <t>SURAHAMMAR</t>
        </is>
      </c>
      <c r="F146" t="inlineStr">
        <is>
          <t>Sveaskog</t>
        </is>
      </c>
      <c r="G146" t="n">
        <v>5</v>
      </c>
      <c r="H146" t="n">
        <v>0</v>
      </c>
      <c r="I146" t="n">
        <v>0</v>
      </c>
      <c r="J146" t="n">
        <v>0</v>
      </c>
      <c r="K146" t="n">
        <v>0</v>
      </c>
      <c r="L146" t="n">
        <v>0</v>
      </c>
      <c r="M146" t="n">
        <v>0</v>
      </c>
      <c r="N146" t="n">
        <v>0</v>
      </c>
      <c r="O146" t="n">
        <v>0</v>
      </c>
      <c r="P146" t="n">
        <v>0</v>
      </c>
      <c r="Q146" t="n">
        <v>0</v>
      </c>
      <c r="R146" s="2" t="inlineStr"/>
    </row>
    <row r="147" ht="15" customHeight="1">
      <c r="A147" t="inlineStr">
        <is>
          <t>A 59543-2020</t>
        </is>
      </c>
      <c r="B147" s="1" t="n">
        <v>44148</v>
      </c>
      <c r="C147" s="1" t="n">
        <v>45825</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59740-2020</t>
        </is>
      </c>
      <c r="B148" s="1" t="n">
        <v>44151</v>
      </c>
      <c r="C148" s="1" t="n">
        <v>45825</v>
      </c>
      <c r="D148" t="inlineStr">
        <is>
          <t>VÄSTMANLANDS LÄN</t>
        </is>
      </c>
      <c r="E148" t="inlineStr">
        <is>
          <t>SURAHAMMAR</t>
        </is>
      </c>
      <c r="F148" t="inlineStr">
        <is>
          <t>Sveaskog</t>
        </is>
      </c>
      <c r="G148" t="n">
        <v>3.4</v>
      </c>
      <c r="H148" t="n">
        <v>0</v>
      </c>
      <c r="I148" t="n">
        <v>0</v>
      </c>
      <c r="J148" t="n">
        <v>0</v>
      </c>
      <c r="K148" t="n">
        <v>0</v>
      </c>
      <c r="L148" t="n">
        <v>0</v>
      </c>
      <c r="M148" t="n">
        <v>0</v>
      </c>
      <c r="N148" t="n">
        <v>0</v>
      </c>
      <c r="O148" t="n">
        <v>0</v>
      </c>
      <c r="P148" t="n">
        <v>0</v>
      </c>
      <c r="Q148" t="n">
        <v>0</v>
      </c>
      <c r="R148" s="2" t="inlineStr"/>
    </row>
    <row r="149" ht="15" customHeight="1">
      <c r="A149" t="inlineStr">
        <is>
          <t>A 59727-2020</t>
        </is>
      </c>
      <c r="B149" s="1" t="n">
        <v>44151</v>
      </c>
      <c r="C149" s="1" t="n">
        <v>45825</v>
      </c>
      <c r="D149" t="inlineStr">
        <is>
          <t>VÄSTMANLANDS LÄN</t>
        </is>
      </c>
      <c r="E149" t="inlineStr">
        <is>
          <t>SURAHAMMAR</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1492-2021</t>
        </is>
      </c>
      <c r="B150" s="1" t="n">
        <v>44209</v>
      </c>
      <c r="C150" s="1" t="n">
        <v>45825</v>
      </c>
      <c r="D150" t="inlineStr">
        <is>
          <t>VÄSTMANLANDS LÄN</t>
        </is>
      </c>
      <c r="E150" t="inlineStr">
        <is>
          <t>SURAHAMMAR</t>
        </is>
      </c>
      <c r="G150" t="n">
        <v>1.2</v>
      </c>
      <c r="H150" t="n">
        <v>0</v>
      </c>
      <c r="I150" t="n">
        <v>0</v>
      </c>
      <c r="J150" t="n">
        <v>0</v>
      </c>
      <c r="K150" t="n">
        <v>0</v>
      </c>
      <c r="L150" t="n">
        <v>0</v>
      </c>
      <c r="M150" t="n">
        <v>0</v>
      </c>
      <c r="N150" t="n">
        <v>0</v>
      </c>
      <c r="O150" t="n">
        <v>0</v>
      </c>
      <c r="P150" t="n">
        <v>0</v>
      </c>
      <c r="Q150" t="n">
        <v>0</v>
      </c>
      <c r="R150" s="2" t="inlineStr"/>
    </row>
    <row r="151" ht="15" customHeight="1">
      <c r="A151" t="inlineStr">
        <is>
          <t>A 18723-2021</t>
        </is>
      </c>
      <c r="B151" s="1" t="n">
        <v>44306</v>
      </c>
      <c r="C151" s="1" t="n">
        <v>45825</v>
      </c>
      <c r="D151" t="inlineStr">
        <is>
          <t>VÄSTMANLANDS LÄN</t>
        </is>
      </c>
      <c r="E151" t="inlineStr">
        <is>
          <t>SURAHAMMAR</t>
        </is>
      </c>
      <c r="F151" t="inlineStr">
        <is>
          <t>Bergvik skog väst AB</t>
        </is>
      </c>
      <c r="G151" t="n">
        <v>3.9</v>
      </c>
      <c r="H151" t="n">
        <v>0</v>
      </c>
      <c r="I151" t="n">
        <v>0</v>
      </c>
      <c r="J151" t="n">
        <v>0</v>
      </c>
      <c r="K151" t="n">
        <v>0</v>
      </c>
      <c r="L151" t="n">
        <v>0</v>
      </c>
      <c r="M151" t="n">
        <v>0</v>
      </c>
      <c r="N151" t="n">
        <v>0</v>
      </c>
      <c r="O151" t="n">
        <v>0</v>
      </c>
      <c r="P151" t="n">
        <v>0</v>
      </c>
      <c r="Q151" t="n">
        <v>0</v>
      </c>
      <c r="R151" s="2" t="inlineStr"/>
    </row>
    <row r="152" ht="15" customHeight="1">
      <c r="A152" t="inlineStr">
        <is>
          <t>A 20478-2021</t>
        </is>
      </c>
      <c r="B152" s="1" t="n">
        <v>44315</v>
      </c>
      <c r="C152" s="1" t="n">
        <v>45825</v>
      </c>
      <c r="D152" t="inlineStr">
        <is>
          <t>VÄSTMANLANDS LÄN</t>
        </is>
      </c>
      <c r="E152" t="inlineStr">
        <is>
          <t>SURAHAMMAR</t>
        </is>
      </c>
      <c r="F152" t="inlineStr">
        <is>
          <t>Sveaskog</t>
        </is>
      </c>
      <c r="G152" t="n">
        <v>6.2</v>
      </c>
      <c r="H152" t="n">
        <v>0</v>
      </c>
      <c r="I152" t="n">
        <v>0</v>
      </c>
      <c r="J152" t="n">
        <v>0</v>
      </c>
      <c r="K152" t="n">
        <v>0</v>
      </c>
      <c r="L152" t="n">
        <v>0</v>
      </c>
      <c r="M152" t="n">
        <v>0</v>
      </c>
      <c r="N152" t="n">
        <v>0</v>
      </c>
      <c r="O152" t="n">
        <v>0</v>
      </c>
      <c r="P152" t="n">
        <v>0</v>
      </c>
      <c r="Q152" t="n">
        <v>0</v>
      </c>
      <c r="R152" s="2" t="inlineStr"/>
    </row>
    <row r="153" ht="15" customHeight="1">
      <c r="A153" t="inlineStr">
        <is>
          <t>A 21839-2021</t>
        </is>
      </c>
      <c r="B153" s="1" t="n">
        <v>44322</v>
      </c>
      <c r="C153" s="1" t="n">
        <v>45825</v>
      </c>
      <c r="D153" t="inlineStr">
        <is>
          <t>VÄSTMANLANDS LÄN</t>
        </is>
      </c>
      <c r="E153" t="inlineStr">
        <is>
          <t>SURAHAMMAR</t>
        </is>
      </c>
      <c r="G153" t="n">
        <v>1.6</v>
      </c>
      <c r="H153" t="n">
        <v>0</v>
      </c>
      <c r="I153" t="n">
        <v>0</v>
      </c>
      <c r="J153" t="n">
        <v>0</v>
      </c>
      <c r="K153" t="n">
        <v>0</v>
      </c>
      <c r="L153" t="n">
        <v>0</v>
      </c>
      <c r="M153" t="n">
        <v>0</v>
      </c>
      <c r="N153" t="n">
        <v>0</v>
      </c>
      <c r="O153" t="n">
        <v>0</v>
      </c>
      <c r="P153" t="n">
        <v>0</v>
      </c>
      <c r="Q153" t="n">
        <v>0</v>
      </c>
      <c r="R153" s="2" t="inlineStr"/>
    </row>
    <row r="154" ht="15" customHeight="1">
      <c r="A154" t="inlineStr">
        <is>
          <t>A 24804-2021</t>
        </is>
      </c>
      <c r="B154" s="1" t="n">
        <v>44340</v>
      </c>
      <c r="C154" s="1" t="n">
        <v>45825</v>
      </c>
      <c r="D154" t="inlineStr">
        <is>
          <t>VÄSTMANLANDS LÄN</t>
        </is>
      </c>
      <c r="E154" t="inlineStr">
        <is>
          <t>SURAHAMMAR</t>
        </is>
      </c>
      <c r="F154" t="inlineStr">
        <is>
          <t>Bergvik skog väst AB</t>
        </is>
      </c>
      <c r="G154" t="n">
        <v>1.6</v>
      </c>
      <c r="H154" t="n">
        <v>0</v>
      </c>
      <c r="I154" t="n">
        <v>0</v>
      </c>
      <c r="J154" t="n">
        <v>0</v>
      </c>
      <c r="K154" t="n">
        <v>0</v>
      </c>
      <c r="L154" t="n">
        <v>0</v>
      </c>
      <c r="M154" t="n">
        <v>0</v>
      </c>
      <c r="N154" t="n">
        <v>0</v>
      </c>
      <c r="O154" t="n">
        <v>0</v>
      </c>
      <c r="P154" t="n">
        <v>0</v>
      </c>
      <c r="Q154" t="n">
        <v>0</v>
      </c>
      <c r="R154" s="2" t="inlineStr"/>
    </row>
    <row r="155" ht="15" customHeight="1">
      <c r="A155" t="inlineStr">
        <is>
          <t>A 31468-2021</t>
        </is>
      </c>
      <c r="B155" s="1" t="n">
        <v>44369</v>
      </c>
      <c r="C155" s="1" t="n">
        <v>45825</v>
      </c>
      <c r="D155" t="inlineStr">
        <is>
          <t>VÄSTMANLANDS LÄN</t>
        </is>
      </c>
      <c r="E155" t="inlineStr">
        <is>
          <t>SURAHAMMAR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33998-2021</t>
        </is>
      </c>
      <c r="B156" s="1" t="n">
        <v>44378</v>
      </c>
      <c r="C156" s="1" t="n">
        <v>45825</v>
      </c>
      <c r="D156" t="inlineStr">
        <is>
          <t>VÄSTMANLANDS LÄN</t>
        </is>
      </c>
      <c r="E156" t="inlineStr">
        <is>
          <t>SURAHAMMAR</t>
        </is>
      </c>
      <c r="F156" t="inlineStr">
        <is>
          <t>Bergvik skog väst AB</t>
        </is>
      </c>
      <c r="G156" t="n">
        <v>3.2</v>
      </c>
      <c r="H156" t="n">
        <v>0</v>
      </c>
      <c r="I156" t="n">
        <v>0</v>
      </c>
      <c r="J156" t="n">
        <v>0</v>
      </c>
      <c r="K156" t="n">
        <v>0</v>
      </c>
      <c r="L156" t="n">
        <v>0</v>
      </c>
      <c r="M156" t="n">
        <v>0</v>
      </c>
      <c r="N156" t="n">
        <v>0</v>
      </c>
      <c r="O156" t="n">
        <v>0</v>
      </c>
      <c r="P156" t="n">
        <v>0</v>
      </c>
      <c r="Q156" t="n">
        <v>0</v>
      </c>
      <c r="R156" s="2" t="inlineStr"/>
    </row>
    <row r="157" ht="15" customHeight="1">
      <c r="A157" t="inlineStr">
        <is>
          <t>A 34001-2021</t>
        </is>
      </c>
      <c r="B157" s="1" t="n">
        <v>44378</v>
      </c>
      <c r="C157" s="1" t="n">
        <v>45825</v>
      </c>
      <c r="D157" t="inlineStr">
        <is>
          <t>VÄSTMANLANDS LÄN</t>
        </is>
      </c>
      <c r="E157" t="inlineStr">
        <is>
          <t>SURAHAMMAR</t>
        </is>
      </c>
      <c r="F157" t="inlineStr">
        <is>
          <t>Bergvik skog väst AB</t>
        </is>
      </c>
      <c r="G157" t="n">
        <v>1.9</v>
      </c>
      <c r="H157" t="n">
        <v>0</v>
      </c>
      <c r="I157" t="n">
        <v>0</v>
      </c>
      <c r="J157" t="n">
        <v>0</v>
      </c>
      <c r="K157" t="n">
        <v>0</v>
      </c>
      <c r="L157" t="n">
        <v>0</v>
      </c>
      <c r="M157" t="n">
        <v>0</v>
      </c>
      <c r="N157" t="n">
        <v>0</v>
      </c>
      <c r="O157" t="n">
        <v>0</v>
      </c>
      <c r="P157" t="n">
        <v>0</v>
      </c>
      <c r="Q157" t="n">
        <v>0</v>
      </c>
      <c r="R157" s="2" t="inlineStr"/>
    </row>
    <row r="158" ht="15" customHeight="1">
      <c r="A158" t="inlineStr">
        <is>
          <t>A 37798-2021</t>
        </is>
      </c>
      <c r="B158" s="1" t="n">
        <v>44402</v>
      </c>
      <c r="C158" s="1" t="n">
        <v>45825</v>
      </c>
      <c r="D158" t="inlineStr">
        <is>
          <t>VÄSTMANLANDS LÄN</t>
        </is>
      </c>
      <c r="E158" t="inlineStr">
        <is>
          <t>SURAHAMMAR</t>
        </is>
      </c>
      <c r="F158" t="inlineStr">
        <is>
          <t>Kommuner</t>
        </is>
      </c>
      <c r="G158" t="n">
        <v>1.2</v>
      </c>
      <c r="H158" t="n">
        <v>0</v>
      </c>
      <c r="I158" t="n">
        <v>0</v>
      </c>
      <c r="J158" t="n">
        <v>0</v>
      </c>
      <c r="K158" t="n">
        <v>0</v>
      </c>
      <c r="L158" t="n">
        <v>0</v>
      </c>
      <c r="M158" t="n">
        <v>0</v>
      </c>
      <c r="N158" t="n">
        <v>0</v>
      </c>
      <c r="O158" t="n">
        <v>0</v>
      </c>
      <c r="P158" t="n">
        <v>0</v>
      </c>
      <c r="Q158" t="n">
        <v>0</v>
      </c>
      <c r="R158" s="2" t="inlineStr"/>
    </row>
    <row r="159" ht="15" customHeight="1">
      <c r="A159" t="inlineStr">
        <is>
          <t>A 37799-2021</t>
        </is>
      </c>
      <c r="B159" s="1" t="n">
        <v>44402</v>
      </c>
      <c r="C159" s="1" t="n">
        <v>45825</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38150-2021</t>
        </is>
      </c>
      <c r="B160" s="1" t="n">
        <v>44405</v>
      </c>
      <c r="C160" s="1" t="n">
        <v>45825</v>
      </c>
      <c r="D160" t="inlineStr">
        <is>
          <t>VÄSTMANLANDS LÄN</t>
        </is>
      </c>
      <c r="E160" t="inlineStr">
        <is>
          <t>SURAHAMMAR</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38178-2021</t>
        </is>
      </c>
      <c r="B161" s="1" t="n">
        <v>44405</v>
      </c>
      <c r="C161" s="1" t="n">
        <v>45825</v>
      </c>
      <c r="D161" t="inlineStr">
        <is>
          <t>VÄSTMANLANDS LÄN</t>
        </is>
      </c>
      <c r="E161" t="inlineStr">
        <is>
          <t>SURAHAMMAR</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38149-2021</t>
        </is>
      </c>
      <c r="B162" s="1" t="n">
        <v>44405</v>
      </c>
      <c r="C162" s="1" t="n">
        <v>45825</v>
      </c>
      <c r="D162" t="inlineStr">
        <is>
          <t>VÄSTMANLANDS LÄN</t>
        </is>
      </c>
      <c r="E162" t="inlineStr">
        <is>
          <t>SURAHAMMAR</t>
        </is>
      </c>
      <c r="F162" t="inlineStr">
        <is>
          <t>Sveaskog</t>
        </is>
      </c>
      <c r="G162" t="n">
        <v>4.9</v>
      </c>
      <c r="H162" t="n">
        <v>0</v>
      </c>
      <c r="I162" t="n">
        <v>0</v>
      </c>
      <c r="J162" t="n">
        <v>0</v>
      </c>
      <c r="K162" t="n">
        <v>0</v>
      </c>
      <c r="L162" t="n">
        <v>0</v>
      </c>
      <c r="M162" t="n">
        <v>0</v>
      </c>
      <c r="N162" t="n">
        <v>0</v>
      </c>
      <c r="O162" t="n">
        <v>0</v>
      </c>
      <c r="P162" t="n">
        <v>0</v>
      </c>
      <c r="Q162" t="n">
        <v>0</v>
      </c>
      <c r="R162" s="2" t="inlineStr"/>
    </row>
    <row r="163" ht="15" customHeight="1">
      <c r="A163" t="inlineStr">
        <is>
          <t>A 38163-2021</t>
        </is>
      </c>
      <c r="B163" s="1" t="n">
        <v>44405</v>
      </c>
      <c r="C163" s="1" t="n">
        <v>45825</v>
      </c>
      <c r="D163" t="inlineStr">
        <is>
          <t>VÄSTMANLANDS LÄN</t>
        </is>
      </c>
      <c r="E163" t="inlineStr">
        <is>
          <t>SURAHAMMAR</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38154-2021</t>
        </is>
      </c>
      <c r="B164" s="1" t="n">
        <v>44405</v>
      </c>
      <c r="C164" s="1" t="n">
        <v>45825</v>
      </c>
      <c r="D164" t="inlineStr">
        <is>
          <t>VÄSTMANLANDS LÄN</t>
        </is>
      </c>
      <c r="E164" t="inlineStr">
        <is>
          <t>SURAHAMMAR</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47852-2021</t>
        </is>
      </c>
      <c r="B165" s="1" t="n">
        <v>44448</v>
      </c>
      <c r="C165" s="1" t="n">
        <v>45825</v>
      </c>
      <c r="D165" t="inlineStr">
        <is>
          <t>VÄSTMANLANDS LÄN</t>
        </is>
      </c>
      <c r="E165" t="inlineStr">
        <is>
          <t>SURAHAMMAR</t>
        </is>
      </c>
      <c r="G165" t="n">
        <v>4.1</v>
      </c>
      <c r="H165" t="n">
        <v>0</v>
      </c>
      <c r="I165" t="n">
        <v>0</v>
      </c>
      <c r="J165" t="n">
        <v>0</v>
      </c>
      <c r="K165" t="n">
        <v>0</v>
      </c>
      <c r="L165" t="n">
        <v>0</v>
      </c>
      <c r="M165" t="n">
        <v>0</v>
      </c>
      <c r="N165" t="n">
        <v>0</v>
      </c>
      <c r="O165" t="n">
        <v>0</v>
      </c>
      <c r="P165" t="n">
        <v>0</v>
      </c>
      <c r="Q165" t="n">
        <v>0</v>
      </c>
      <c r="R165" s="2" t="inlineStr"/>
    </row>
    <row r="166" ht="15" customHeight="1">
      <c r="A166" t="inlineStr">
        <is>
          <t>A 47785-2021</t>
        </is>
      </c>
      <c r="B166" s="1" t="n">
        <v>44448</v>
      </c>
      <c r="C166" s="1" t="n">
        <v>45825</v>
      </c>
      <c r="D166" t="inlineStr">
        <is>
          <t>VÄSTMANLANDS LÄN</t>
        </is>
      </c>
      <c r="E166" t="inlineStr">
        <is>
          <t>SURAHAMMAR</t>
        </is>
      </c>
      <c r="F166" t="inlineStr">
        <is>
          <t>Kommuner</t>
        </is>
      </c>
      <c r="G166" t="n">
        <v>3.3</v>
      </c>
      <c r="H166" t="n">
        <v>0</v>
      </c>
      <c r="I166" t="n">
        <v>0</v>
      </c>
      <c r="J166" t="n">
        <v>0</v>
      </c>
      <c r="K166" t="n">
        <v>0</v>
      </c>
      <c r="L166" t="n">
        <v>0</v>
      </c>
      <c r="M166" t="n">
        <v>0</v>
      </c>
      <c r="N166" t="n">
        <v>0</v>
      </c>
      <c r="O166" t="n">
        <v>0</v>
      </c>
      <c r="P166" t="n">
        <v>0</v>
      </c>
      <c r="Q166" t="n">
        <v>0</v>
      </c>
      <c r="R166" s="2" t="inlineStr"/>
    </row>
    <row r="167" ht="15" customHeight="1">
      <c r="A167" t="inlineStr">
        <is>
          <t>A 64073-2021</t>
        </is>
      </c>
      <c r="B167" s="1" t="n">
        <v>44509</v>
      </c>
      <c r="C167" s="1" t="n">
        <v>45825</v>
      </c>
      <c r="D167" t="inlineStr">
        <is>
          <t>VÄSTMANLANDS LÄN</t>
        </is>
      </c>
      <c r="E167" t="inlineStr">
        <is>
          <t>SURAHAMMAR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66342-2021</t>
        </is>
      </c>
      <c r="B168" s="1" t="n">
        <v>44518</v>
      </c>
      <c r="C168" s="1" t="n">
        <v>45825</v>
      </c>
      <c r="D168" t="inlineStr">
        <is>
          <t>VÄSTMANLANDS LÄN</t>
        </is>
      </c>
      <c r="E168" t="inlineStr">
        <is>
          <t>SURAHAMMAR</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66350-2021</t>
        </is>
      </c>
      <c r="B169" s="1" t="n">
        <v>44518</v>
      </c>
      <c r="C169" s="1" t="n">
        <v>45825</v>
      </c>
      <c r="D169" t="inlineStr">
        <is>
          <t>VÄSTMANLANDS LÄN</t>
        </is>
      </c>
      <c r="E169" t="inlineStr">
        <is>
          <t>SURAHAMMAR</t>
        </is>
      </c>
      <c r="F169" t="inlineStr">
        <is>
          <t>Sveaskog</t>
        </is>
      </c>
      <c r="G169" t="n">
        <v>3.5</v>
      </c>
      <c r="H169" t="n">
        <v>0</v>
      </c>
      <c r="I169" t="n">
        <v>0</v>
      </c>
      <c r="J169" t="n">
        <v>0</v>
      </c>
      <c r="K169" t="n">
        <v>0</v>
      </c>
      <c r="L169" t="n">
        <v>0</v>
      </c>
      <c r="M169" t="n">
        <v>0</v>
      </c>
      <c r="N169" t="n">
        <v>0</v>
      </c>
      <c r="O169" t="n">
        <v>0</v>
      </c>
      <c r="P169" t="n">
        <v>0</v>
      </c>
      <c r="Q169" t="n">
        <v>0</v>
      </c>
      <c r="R169" s="2" t="inlineStr"/>
    </row>
    <row r="170" ht="15" customHeight="1">
      <c r="A170" t="inlineStr">
        <is>
          <t>A 67611-2021</t>
        </is>
      </c>
      <c r="B170" s="1" t="n">
        <v>44524</v>
      </c>
      <c r="C170" s="1" t="n">
        <v>45825</v>
      </c>
      <c r="D170" t="inlineStr">
        <is>
          <t>VÄSTMANLANDS LÄN</t>
        </is>
      </c>
      <c r="E170" t="inlineStr">
        <is>
          <t>SURAHAMMAR</t>
        </is>
      </c>
      <c r="F170" t="inlineStr">
        <is>
          <t>Kommuner</t>
        </is>
      </c>
      <c r="G170" t="n">
        <v>3.8</v>
      </c>
      <c r="H170" t="n">
        <v>0</v>
      </c>
      <c r="I170" t="n">
        <v>0</v>
      </c>
      <c r="J170" t="n">
        <v>0</v>
      </c>
      <c r="K170" t="n">
        <v>0</v>
      </c>
      <c r="L170" t="n">
        <v>0</v>
      </c>
      <c r="M170" t="n">
        <v>0</v>
      </c>
      <c r="N170" t="n">
        <v>0</v>
      </c>
      <c r="O170" t="n">
        <v>0</v>
      </c>
      <c r="P170" t="n">
        <v>0</v>
      </c>
      <c r="Q170" t="n">
        <v>0</v>
      </c>
      <c r="R170" s="2" t="inlineStr"/>
    </row>
    <row r="171" ht="15" customHeight="1">
      <c r="A171" t="inlineStr">
        <is>
          <t>A 72367-2021</t>
        </is>
      </c>
      <c r="B171" s="1" t="n">
        <v>44545</v>
      </c>
      <c r="C171" s="1" t="n">
        <v>45825</v>
      </c>
      <c r="D171" t="inlineStr">
        <is>
          <t>VÄSTMANLANDS LÄN</t>
        </is>
      </c>
      <c r="E171" t="inlineStr">
        <is>
          <t>SURAHAMMAR</t>
        </is>
      </c>
      <c r="G171" t="n">
        <v>2.5</v>
      </c>
      <c r="H171" t="n">
        <v>0</v>
      </c>
      <c r="I171" t="n">
        <v>0</v>
      </c>
      <c r="J171" t="n">
        <v>0</v>
      </c>
      <c r="K171" t="n">
        <v>0</v>
      </c>
      <c r="L171" t="n">
        <v>0</v>
      </c>
      <c r="M171" t="n">
        <v>0</v>
      </c>
      <c r="N171" t="n">
        <v>0</v>
      </c>
      <c r="O171" t="n">
        <v>0</v>
      </c>
      <c r="P171" t="n">
        <v>0</v>
      </c>
      <c r="Q171" t="n">
        <v>0</v>
      </c>
      <c r="R171" s="2" t="inlineStr"/>
    </row>
    <row r="172" ht="15" customHeight="1">
      <c r="A172" t="inlineStr">
        <is>
          <t>A 73156-2021</t>
        </is>
      </c>
      <c r="B172" s="1" t="n">
        <v>44550</v>
      </c>
      <c r="C172" s="1" t="n">
        <v>45825</v>
      </c>
      <c r="D172" t="inlineStr">
        <is>
          <t>VÄSTMANLANDS LÄN</t>
        </is>
      </c>
      <c r="E172" t="inlineStr">
        <is>
          <t>SURAHAMMAR</t>
        </is>
      </c>
      <c r="F172" t="inlineStr">
        <is>
          <t>Övriga Aktiebolag</t>
        </is>
      </c>
      <c r="G172" t="n">
        <v>2.5</v>
      </c>
      <c r="H172" t="n">
        <v>0</v>
      </c>
      <c r="I172" t="n">
        <v>0</v>
      </c>
      <c r="J172" t="n">
        <v>0</v>
      </c>
      <c r="K172" t="n">
        <v>0</v>
      </c>
      <c r="L172" t="n">
        <v>0</v>
      </c>
      <c r="M172" t="n">
        <v>0</v>
      </c>
      <c r="N172" t="n">
        <v>0</v>
      </c>
      <c r="O172" t="n">
        <v>0</v>
      </c>
      <c r="P172" t="n">
        <v>0</v>
      </c>
      <c r="Q172" t="n">
        <v>0</v>
      </c>
      <c r="R172" s="2" t="inlineStr"/>
    </row>
    <row r="173" ht="15" customHeight="1">
      <c r="A173" t="inlineStr">
        <is>
          <t>A 3155-2022</t>
        </is>
      </c>
      <c r="B173" s="1" t="n">
        <v>44582</v>
      </c>
      <c r="C173" s="1" t="n">
        <v>45825</v>
      </c>
      <c r="D173" t="inlineStr">
        <is>
          <t>VÄSTMANLANDS LÄN</t>
        </is>
      </c>
      <c r="E173" t="inlineStr">
        <is>
          <t>SURAHAMMAR</t>
        </is>
      </c>
      <c r="G173" t="n">
        <v>5.5</v>
      </c>
      <c r="H173" t="n">
        <v>0</v>
      </c>
      <c r="I173" t="n">
        <v>0</v>
      </c>
      <c r="J173" t="n">
        <v>0</v>
      </c>
      <c r="K173" t="n">
        <v>0</v>
      </c>
      <c r="L173" t="n">
        <v>0</v>
      </c>
      <c r="M173" t="n">
        <v>0</v>
      </c>
      <c r="N173" t="n">
        <v>0</v>
      </c>
      <c r="O173" t="n">
        <v>0</v>
      </c>
      <c r="P173" t="n">
        <v>0</v>
      </c>
      <c r="Q173" t="n">
        <v>0</v>
      </c>
      <c r="R173" s="2" t="inlineStr"/>
    </row>
    <row r="174" ht="15" customHeight="1">
      <c r="A174" t="inlineStr">
        <is>
          <t>A 3595-2022</t>
        </is>
      </c>
      <c r="B174" s="1" t="n">
        <v>44586</v>
      </c>
      <c r="C174" s="1" t="n">
        <v>45825</v>
      </c>
      <c r="D174" t="inlineStr">
        <is>
          <t>VÄSTMANLANDS LÄN</t>
        </is>
      </c>
      <c r="E174" t="inlineStr">
        <is>
          <t>SURAHAMMAR</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3818-2022</t>
        </is>
      </c>
      <c r="B175" s="1" t="n">
        <v>44587</v>
      </c>
      <c r="C175" s="1" t="n">
        <v>45825</v>
      </c>
      <c r="D175" t="inlineStr">
        <is>
          <t>VÄSTMANLANDS LÄN</t>
        </is>
      </c>
      <c r="E175" t="inlineStr">
        <is>
          <t>SURAHAMMAR</t>
        </is>
      </c>
      <c r="G175" t="n">
        <v>2.6</v>
      </c>
      <c r="H175" t="n">
        <v>0</v>
      </c>
      <c r="I175" t="n">
        <v>0</v>
      </c>
      <c r="J175" t="n">
        <v>0</v>
      </c>
      <c r="K175" t="n">
        <v>0</v>
      </c>
      <c r="L175" t="n">
        <v>0</v>
      </c>
      <c r="M175" t="n">
        <v>0</v>
      </c>
      <c r="N175" t="n">
        <v>0</v>
      </c>
      <c r="O175" t="n">
        <v>0</v>
      </c>
      <c r="P175" t="n">
        <v>0</v>
      </c>
      <c r="Q175" t="n">
        <v>0</v>
      </c>
      <c r="R175" s="2" t="inlineStr"/>
    </row>
    <row r="176" ht="15" customHeight="1">
      <c r="A176" t="inlineStr">
        <is>
          <t>A 5567-2022</t>
        </is>
      </c>
      <c r="B176" s="1" t="n">
        <v>44595</v>
      </c>
      <c r="C176" s="1" t="n">
        <v>45825</v>
      </c>
      <c r="D176" t="inlineStr">
        <is>
          <t>VÄSTMANLANDS LÄN</t>
        </is>
      </c>
      <c r="E176" t="inlineStr">
        <is>
          <t>SURAHAMMAR</t>
        </is>
      </c>
      <c r="G176" t="n">
        <v>1.3</v>
      </c>
      <c r="H176" t="n">
        <v>0</v>
      </c>
      <c r="I176" t="n">
        <v>0</v>
      </c>
      <c r="J176" t="n">
        <v>0</v>
      </c>
      <c r="K176" t="n">
        <v>0</v>
      </c>
      <c r="L176" t="n">
        <v>0</v>
      </c>
      <c r="M176" t="n">
        <v>0</v>
      </c>
      <c r="N176" t="n">
        <v>0</v>
      </c>
      <c r="O176" t="n">
        <v>0</v>
      </c>
      <c r="P176" t="n">
        <v>0</v>
      </c>
      <c r="Q176" t="n">
        <v>0</v>
      </c>
      <c r="R176" s="2" t="inlineStr"/>
    </row>
    <row r="177" ht="15" customHeight="1">
      <c r="A177" t="inlineStr">
        <is>
          <t>A 7848-2022</t>
        </is>
      </c>
      <c r="B177" s="1" t="n">
        <v>44608</v>
      </c>
      <c r="C177" s="1" t="n">
        <v>45825</v>
      </c>
      <c r="D177" t="inlineStr">
        <is>
          <t>VÄSTMANLANDS LÄN</t>
        </is>
      </c>
      <c r="E177" t="inlineStr">
        <is>
          <t>SURAHAMMAR</t>
        </is>
      </c>
      <c r="G177" t="n">
        <v>2.1</v>
      </c>
      <c r="H177" t="n">
        <v>0</v>
      </c>
      <c r="I177" t="n">
        <v>0</v>
      </c>
      <c r="J177" t="n">
        <v>0</v>
      </c>
      <c r="K177" t="n">
        <v>0</v>
      </c>
      <c r="L177" t="n">
        <v>0</v>
      </c>
      <c r="M177" t="n">
        <v>0</v>
      </c>
      <c r="N177" t="n">
        <v>0</v>
      </c>
      <c r="O177" t="n">
        <v>0</v>
      </c>
      <c r="P177" t="n">
        <v>0</v>
      </c>
      <c r="Q177" t="n">
        <v>0</v>
      </c>
      <c r="R177" s="2" t="inlineStr"/>
    </row>
    <row r="178" ht="15" customHeight="1">
      <c r="A178" t="inlineStr">
        <is>
          <t>A 13119-2022</t>
        </is>
      </c>
      <c r="B178" s="1" t="n">
        <v>44643</v>
      </c>
      <c r="C178" s="1" t="n">
        <v>45825</v>
      </c>
      <c r="D178" t="inlineStr">
        <is>
          <t>VÄSTMANLANDS LÄN</t>
        </is>
      </c>
      <c r="E178" t="inlineStr">
        <is>
          <t>SURAHAMMAR</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13070-2022</t>
        </is>
      </c>
      <c r="B179" s="1" t="n">
        <v>44643</v>
      </c>
      <c r="C179" s="1" t="n">
        <v>45825</v>
      </c>
      <c r="D179" t="inlineStr">
        <is>
          <t>VÄSTMANLANDS LÄN</t>
        </is>
      </c>
      <c r="E179" t="inlineStr">
        <is>
          <t>SURAHAMMAR</t>
        </is>
      </c>
      <c r="F179" t="inlineStr">
        <is>
          <t>Bergvik skog väst AB</t>
        </is>
      </c>
      <c r="G179" t="n">
        <v>4.3</v>
      </c>
      <c r="H179" t="n">
        <v>0</v>
      </c>
      <c r="I179" t="n">
        <v>0</v>
      </c>
      <c r="J179" t="n">
        <v>0</v>
      </c>
      <c r="K179" t="n">
        <v>0</v>
      </c>
      <c r="L179" t="n">
        <v>0</v>
      </c>
      <c r="M179" t="n">
        <v>0</v>
      </c>
      <c r="N179" t="n">
        <v>0</v>
      </c>
      <c r="O179" t="n">
        <v>0</v>
      </c>
      <c r="P179" t="n">
        <v>0</v>
      </c>
      <c r="Q179" t="n">
        <v>0</v>
      </c>
      <c r="R179" s="2" t="inlineStr"/>
    </row>
    <row r="180" ht="15" customHeight="1">
      <c r="A180" t="inlineStr">
        <is>
          <t>A 15637-2022</t>
        </is>
      </c>
      <c r="B180" s="1" t="n">
        <v>44662</v>
      </c>
      <c r="C180" s="1" t="n">
        <v>45825</v>
      </c>
      <c r="D180" t="inlineStr">
        <is>
          <t>VÄSTMANLANDS LÄN</t>
        </is>
      </c>
      <c r="E180" t="inlineStr">
        <is>
          <t>SURAHAMMAR</t>
        </is>
      </c>
      <c r="G180" t="n">
        <v>2.2</v>
      </c>
      <c r="H180" t="n">
        <v>0</v>
      </c>
      <c r="I180" t="n">
        <v>0</v>
      </c>
      <c r="J180" t="n">
        <v>0</v>
      </c>
      <c r="K180" t="n">
        <v>0</v>
      </c>
      <c r="L180" t="n">
        <v>0</v>
      </c>
      <c r="M180" t="n">
        <v>0</v>
      </c>
      <c r="N180" t="n">
        <v>0</v>
      </c>
      <c r="O180" t="n">
        <v>0</v>
      </c>
      <c r="P180" t="n">
        <v>0</v>
      </c>
      <c r="Q180" t="n">
        <v>0</v>
      </c>
      <c r="R180" s="2" t="inlineStr"/>
    </row>
    <row r="181" ht="15" customHeight="1">
      <c r="A181" t="inlineStr">
        <is>
          <t>A 16608-2022</t>
        </is>
      </c>
      <c r="B181" s="1" t="n">
        <v>44672</v>
      </c>
      <c r="C181" s="1" t="n">
        <v>45825</v>
      </c>
      <c r="D181" t="inlineStr">
        <is>
          <t>VÄSTMANLANDS LÄN</t>
        </is>
      </c>
      <c r="E181" t="inlineStr">
        <is>
          <t>SURAHAMMAR</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19099-2022</t>
        </is>
      </c>
      <c r="B182" s="1" t="n">
        <v>44691</v>
      </c>
      <c r="C182" s="1" t="n">
        <v>45825</v>
      </c>
      <c r="D182" t="inlineStr">
        <is>
          <t>VÄSTMANLANDS LÄN</t>
        </is>
      </c>
      <c r="E182" t="inlineStr">
        <is>
          <t>SURAHAMMAR</t>
        </is>
      </c>
      <c r="F182" t="inlineStr">
        <is>
          <t>Övriga Aktiebolag</t>
        </is>
      </c>
      <c r="G182" t="n">
        <v>3.4</v>
      </c>
      <c r="H182" t="n">
        <v>0</v>
      </c>
      <c r="I182" t="n">
        <v>0</v>
      </c>
      <c r="J182" t="n">
        <v>0</v>
      </c>
      <c r="K182" t="n">
        <v>0</v>
      </c>
      <c r="L182" t="n">
        <v>0</v>
      </c>
      <c r="M182" t="n">
        <v>0</v>
      </c>
      <c r="N182" t="n">
        <v>0</v>
      </c>
      <c r="O182" t="n">
        <v>0</v>
      </c>
      <c r="P182" t="n">
        <v>0</v>
      </c>
      <c r="Q182" t="n">
        <v>0</v>
      </c>
      <c r="R182" s="2" t="inlineStr"/>
    </row>
    <row r="183" ht="15" customHeight="1">
      <c r="A183" t="inlineStr">
        <is>
          <t>A 19637-2022</t>
        </is>
      </c>
      <c r="B183" s="1" t="n">
        <v>44694</v>
      </c>
      <c r="C183" s="1" t="n">
        <v>45825</v>
      </c>
      <c r="D183" t="inlineStr">
        <is>
          <t>VÄSTMANLANDS LÄN</t>
        </is>
      </c>
      <c r="E183" t="inlineStr">
        <is>
          <t>SURAHAMMAR</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19844-2022</t>
        </is>
      </c>
      <c r="B184" s="1" t="n">
        <v>44696</v>
      </c>
      <c r="C184" s="1" t="n">
        <v>45825</v>
      </c>
      <c r="D184" t="inlineStr">
        <is>
          <t>VÄSTMANLANDS LÄN</t>
        </is>
      </c>
      <c r="E184" t="inlineStr">
        <is>
          <t>SURAHAMMAR</t>
        </is>
      </c>
      <c r="F184" t="inlineStr">
        <is>
          <t>Kommuner</t>
        </is>
      </c>
      <c r="G184" t="n">
        <v>2.1</v>
      </c>
      <c r="H184" t="n">
        <v>0</v>
      </c>
      <c r="I184" t="n">
        <v>0</v>
      </c>
      <c r="J184" t="n">
        <v>0</v>
      </c>
      <c r="K184" t="n">
        <v>0</v>
      </c>
      <c r="L184" t="n">
        <v>0</v>
      </c>
      <c r="M184" t="n">
        <v>0</v>
      </c>
      <c r="N184" t="n">
        <v>0</v>
      </c>
      <c r="O184" t="n">
        <v>0</v>
      </c>
      <c r="P184" t="n">
        <v>0</v>
      </c>
      <c r="Q184" t="n">
        <v>0</v>
      </c>
      <c r="R184" s="2" t="inlineStr"/>
    </row>
    <row r="185" ht="15" customHeight="1">
      <c r="A185" t="inlineStr">
        <is>
          <t>A 19845-2022</t>
        </is>
      </c>
      <c r="B185" s="1" t="n">
        <v>44696</v>
      </c>
      <c r="C185" s="1" t="n">
        <v>45825</v>
      </c>
      <c r="D185" t="inlineStr">
        <is>
          <t>VÄSTMANLANDS LÄN</t>
        </is>
      </c>
      <c r="E185" t="inlineStr">
        <is>
          <t>SURAHAMMAR</t>
        </is>
      </c>
      <c r="F185" t="inlineStr">
        <is>
          <t>Kommuner</t>
        </is>
      </c>
      <c r="G185" t="n">
        <v>3.3</v>
      </c>
      <c r="H185" t="n">
        <v>0</v>
      </c>
      <c r="I185" t="n">
        <v>0</v>
      </c>
      <c r="J185" t="n">
        <v>0</v>
      </c>
      <c r="K185" t="n">
        <v>0</v>
      </c>
      <c r="L185" t="n">
        <v>0</v>
      </c>
      <c r="M185" t="n">
        <v>0</v>
      </c>
      <c r="N185" t="n">
        <v>0</v>
      </c>
      <c r="O185" t="n">
        <v>0</v>
      </c>
      <c r="P185" t="n">
        <v>0</v>
      </c>
      <c r="Q185" t="n">
        <v>0</v>
      </c>
      <c r="R185" s="2" t="inlineStr"/>
    </row>
    <row r="186" ht="15" customHeight="1">
      <c r="A186" t="inlineStr">
        <is>
          <t>A 19846-2022</t>
        </is>
      </c>
      <c r="B186" s="1" t="n">
        <v>44696</v>
      </c>
      <c r="C186" s="1" t="n">
        <v>45825</v>
      </c>
      <c r="D186" t="inlineStr">
        <is>
          <t>VÄSTMANLANDS LÄN</t>
        </is>
      </c>
      <c r="E186" t="inlineStr">
        <is>
          <t>SURAHAMMAR</t>
        </is>
      </c>
      <c r="F186" t="inlineStr">
        <is>
          <t>Kommuner</t>
        </is>
      </c>
      <c r="G186" t="n">
        <v>3.4</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45825</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45825</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45825</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45825</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45825</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45825</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45825</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45825</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45825</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45825</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45825</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45825</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45825</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45825</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45825</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45825</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45825</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45825</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45825</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45825</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45825</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45825</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45825</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45825</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45825</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45825</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45825</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45825</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45825</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45825</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45825</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45825</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45825</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45825</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45825</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45825</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45825</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45825</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45825</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45825</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45825</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45825</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45825</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45825</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45825</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45825</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45825</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45825</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45825</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45825</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45825</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45825</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45825</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45825</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45825</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45825</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45825</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45825</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45825</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45825</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45825</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45825</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45825</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45825</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45825</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45825</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45825</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45825</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45825</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45825</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45825</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45825</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45825</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45825</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45825</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45825</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45825</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45825</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45825</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45825</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45825</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45825</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45825</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45825</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45825</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45825</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45825</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45825</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45825</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45825</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45825</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45825</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45825</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45825</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45825</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45825</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45825</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45825</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45825</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45825</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45825</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45825</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45825</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45825</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45825</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45825</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45825</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45825</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45825</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45825</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45825</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45825</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45825</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45825</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45825</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45825</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45825</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45825</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2025-06-17T18:47:48Z</dcterms:created>
  <dcterms:modified xmlns:dcterms="http://purl.org/dc/terms/" xmlns:xsi="http://www.w3.org/2001/XMLSchema-instance" xsi:type="dcterms:W3CDTF">2025-06-17T18:47:49Z</dcterms:modified>
</cp:coreProperties>
</file>