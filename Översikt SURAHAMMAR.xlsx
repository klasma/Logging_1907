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46126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46126</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46126</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46126</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46126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46126</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46126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46126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46126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46126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46126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46126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46126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46126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46126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46126</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46126</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39594-2025</t>
        </is>
      </c>
      <c r="B19" s="1" t="n">
        <v>45890</v>
      </c>
      <c r="C19" s="1" t="n">
        <v>46126</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14815-2025</t>
        </is>
      </c>
      <c r="B20" s="1" t="n">
        <v>45743.34931712963</v>
      </c>
      <c r="C20" s="1" t="n">
        <v>46126</v>
      </c>
      <c r="D20" t="inlineStr">
        <is>
          <t>VÄSTMANLANDS LÄN</t>
        </is>
      </c>
      <c r="E20" t="inlineStr">
        <is>
          <t>SURAHAMMAR</t>
        </is>
      </c>
      <c r="F20" t="inlineStr">
        <is>
          <t>Allmännings- och besparingsskogar</t>
        </is>
      </c>
      <c r="G20" t="n">
        <v>6.8</v>
      </c>
      <c r="H20" t="n">
        <v>2</v>
      </c>
      <c r="I20" t="n">
        <v>3</v>
      </c>
      <c r="J20" t="n">
        <v>1</v>
      </c>
      <c r="K20" t="n">
        <v>1</v>
      </c>
      <c r="L20" t="n">
        <v>0</v>
      </c>
      <c r="M20" t="n">
        <v>0</v>
      </c>
      <c r="N20" t="n">
        <v>0</v>
      </c>
      <c r="O20" t="n">
        <v>2</v>
      </c>
      <c r="P20" t="n">
        <v>1</v>
      </c>
      <c r="Q20" t="n">
        <v>6</v>
      </c>
      <c r="R20" s="2" t="inlineStr">
        <is>
          <t>Bombmurkla
Veckticka
Brandticka
Vedticka
Vårärt
Blåsippa</t>
        </is>
      </c>
      <c r="S20">
        <f>HYPERLINK("https://klasma.github.io/Logging_1907/artfynd/A 14815-2025 artfynd.xlsx", "A 14815-2025")</f>
        <v/>
      </c>
      <c r="T20">
        <f>HYPERLINK("https://klasma.github.io/Logging_1907/kartor/A 14815-2025 karta.png", "A 14815-2025")</f>
        <v/>
      </c>
      <c r="V20">
        <f>HYPERLINK("https://klasma.github.io/Logging_1907/klagomål/A 14815-2025 FSC-klagomål.docx", "A 14815-2025")</f>
        <v/>
      </c>
      <c r="W20">
        <f>HYPERLINK("https://klasma.github.io/Logging_1907/klagomålsmail/A 14815-2025 FSC-klagomål mail.docx", "A 14815-2025")</f>
        <v/>
      </c>
      <c r="X20">
        <f>HYPERLINK("https://klasma.github.io/Logging_1907/tillsyn/A 14815-2025 tillsynsbegäran.docx", "A 14815-2025")</f>
        <v/>
      </c>
      <c r="Y20">
        <f>HYPERLINK("https://klasma.github.io/Logging_1907/tillsynsmail/A 14815-2025 tillsynsbegäran mail.docx", "A 14815-2025")</f>
        <v/>
      </c>
    </row>
    <row r="21" ht="15" customHeight="1">
      <c r="A21" t="inlineStr">
        <is>
          <t>A 38172-2024</t>
        </is>
      </c>
      <c r="B21" s="1" t="n">
        <v>45545</v>
      </c>
      <c r="C21" s="1" t="n">
        <v>46126</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46126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46126</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46126</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46126</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46126</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46126</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10236-2026</t>
        </is>
      </c>
      <c r="B28" s="1" t="n">
        <v>46076.54277777778</v>
      </c>
      <c r="C28" s="1" t="n">
        <v>46126</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42853-2022</t>
        </is>
      </c>
      <c r="B29" s="1" t="n">
        <v>44832</v>
      </c>
      <c r="C29" s="1" t="n">
        <v>46126</v>
      </c>
      <c r="D29" t="inlineStr">
        <is>
          <t>VÄSTMANLANDS LÄN</t>
        </is>
      </c>
      <c r="E29" t="inlineStr">
        <is>
          <t>SURAHAMMAR</t>
        </is>
      </c>
      <c r="G29" t="n">
        <v>7.4</v>
      </c>
      <c r="H29" t="n">
        <v>2</v>
      </c>
      <c r="I29" t="n">
        <v>1</v>
      </c>
      <c r="J29" t="n">
        <v>2</v>
      </c>
      <c r="K29" t="n">
        <v>0</v>
      </c>
      <c r="L29" t="n">
        <v>1</v>
      </c>
      <c r="M29" t="n">
        <v>0</v>
      </c>
      <c r="N29" t="n">
        <v>0</v>
      </c>
      <c r="O29" t="n">
        <v>3</v>
      </c>
      <c r="P29" t="n">
        <v>1</v>
      </c>
      <c r="Q29" t="n">
        <v>4</v>
      </c>
      <c r="R29" s="2" t="inlineStr">
        <is>
          <t>Ask
Kandelabersvamp
Mindre hackspett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c r="Z29">
        <f>HYPERLINK("https://klasma.github.io/Logging_1907/fåglar/A 42853-2022 prioriterade fågelarter.docx", "A 42853-2022")</f>
        <v/>
      </c>
    </row>
    <row r="30" ht="15" customHeight="1">
      <c r="A30" t="inlineStr">
        <is>
          <t>A 42860-2022</t>
        </is>
      </c>
      <c r="B30" s="1" t="n">
        <v>44832</v>
      </c>
      <c r="C30" s="1" t="n">
        <v>46126</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46126</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46126</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46126</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46126</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46126</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46126</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29707-2025</t>
        </is>
      </c>
      <c r="B37" s="1" t="n">
        <v>45825.56100694444</v>
      </c>
      <c r="C37" s="1" t="n">
        <v>46126</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4082-2025</t>
        </is>
      </c>
      <c r="B38" s="1" t="n">
        <v>45684</v>
      </c>
      <c r="C38" s="1" t="n">
        <v>46126</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46126</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46126</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46126</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46126</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62097-2024</t>
        </is>
      </c>
      <c r="B43" s="1" t="n">
        <v>45646</v>
      </c>
      <c r="C43" s="1" t="n">
        <v>46126</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46126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40403-2025</t>
        </is>
      </c>
      <c r="B45" s="1" t="n">
        <v>45895</v>
      </c>
      <c r="C45" s="1" t="n">
        <v>46126</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21618-2025</t>
        </is>
      </c>
      <c r="B46" s="1" t="n">
        <v>45783</v>
      </c>
      <c r="C46" s="1" t="n">
        <v>46126</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63146-2025</t>
        </is>
      </c>
      <c r="B47" s="1" t="n">
        <v>46009</v>
      </c>
      <c r="C47" s="1" t="n">
        <v>46126</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41576-2022</t>
        </is>
      </c>
      <c r="B48" s="1" t="n">
        <v>44826</v>
      </c>
      <c r="C48" s="1" t="n">
        <v>46126</v>
      </c>
      <c r="D48" t="inlineStr">
        <is>
          <t>VÄSTMANLANDS LÄN</t>
        </is>
      </c>
      <c r="E48" t="inlineStr">
        <is>
          <t>SURAHAMMAR</t>
        </is>
      </c>
      <c r="F48" t="inlineStr">
        <is>
          <t>Bergvik skog väst AB</t>
        </is>
      </c>
      <c r="G48" t="n">
        <v>6.4</v>
      </c>
      <c r="H48" t="n">
        <v>2</v>
      </c>
      <c r="I48" t="n">
        <v>0</v>
      </c>
      <c r="J48" t="n">
        <v>1</v>
      </c>
      <c r="K48" t="n">
        <v>0</v>
      </c>
      <c r="L48" t="n">
        <v>0</v>
      </c>
      <c r="M48" t="n">
        <v>0</v>
      </c>
      <c r="N48" t="n">
        <v>0</v>
      </c>
      <c r="O48" t="n">
        <v>1</v>
      </c>
      <c r="P48" t="n">
        <v>0</v>
      </c>
      <c r="Q48" t="n">
        <v>2</v>
      </c>
      <c r="R48" s="2" t="inlineStr">
        <is>
          <t>Talltita
Kungsfågel</t>
        </is>
      </c>
      <c r="S48">
        <f>HYPERLINK("https://klasma.github.io/Logging_1907/artfynd/A 41576-2022 artfynd.xlsx", "A 41576-2022")</f>
        <v/>
      </c>
      <c r="T48">
        <f>HYPERLINK("https://klasma.github.io/Logging_1907/kartor/A 41576-2022 karta.png", "A 41576-2022")</f>
        <v/>
      </c>
      <c r="V48">
        <f>HYPERLINK("https://klasma.github.io/Logging_1907/klagomål/A 41576-2022 FSC-klagomål.docx", "A 41576-2022")</f>
        <v/>
      </c>
      <c r="W48">
        <f>HYPERLINK("https://klasma.github.io/Logging_1907/klagomålsmail/A 41576-2022 FSC-klagomål mail.docx", "A 41576-2022")</f>
        <v/>
      </c>
      <c r="X48">
        <f>HYPERLINK("https://klasma.github.io/Logging_1907/tillsyn/A 41576-2022 tillsynsbegäran.docx", "A 41576-2022")</f>
        <v/>
      </c>
      <c r="Y48">
        <f>HYPERLINK("https://klasma.github.io/Logging_1907/tillsynsmail/A 41576-2022 tillsynsbegäran mail.docx", "A 41576-2022")</f>
        <v/>
      </c>
      <c r="Z48">
        <f>HYPERLINK("https://klasma.github.io/Logging_1907/fåglar/A 41576-2022 prioriterade fågelarter.docx", "A 41576-2022")</f>
        <v/>
      </c>
    </row>
    <row r="49" ht="15" customHeight="1">
      <c r="A49" t="inlineStr">
        <is>
          <t>A 37800-2021</t>
        </is>
      </c>
      <c r="B49" s="1" t="n">
        <v>44402</v>
      </c>
      <c r="C49" s="1" t="n">
        <v>46126</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38170-2021</t>
        </is>
      </c>
      <c r="B50" s="1" t="n">
        <v>44405.43472222222</v>
      </c>
      <c r="C50" s="1" t="n">
        <v>46126</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46126</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46126</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56362-2023</t>
        </is>
      </c>
      <c r="B53" s="1" t="n">
        <v>45236</v>
      </c>
      <c r="C53" s="1" t="n">
        <v>46126</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39099-2022</t>
        </is>
      </c>
      <c r="B54" s="1" t="n">
        <v>44817</v>
      </c>
      <c r="C54" s="1" t="n">
        <v>46126</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34582-2025</t>
        </is>
      </c>
      <c r="B55" s="1" t="n">
        <v>45846</v>
      </c>
      <c r="C55" s="1" t="n">
        <v>46126</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43451-2024</t>
        </is>
      </c>
      <c r="B56" s="1" t="n">
        <v>45568</v>
      </c>
      <c r="C56" s="1" t="n">
        <v>46126</v>
      </c>
      <c r="D56" t="inlineStr">
        <is>
          <t>VÄSTMANLANDS LÄN</t>
        </is>
      </c>
      <c r="E56" t="inlineStr">
        <is>
          <t>SURAHAMMAR</t>
        </is>
      </c>
      <c r="F56" t="inlineStr">
        <is>
          <t>Bergvik skog väst AB</t>
        </is>
      </c>
      <c r="G56" t="n">
        <v>2.9</v>
      </c>
      <c r="H56" t="n">
        <v>0</v>
      </c>
      <c r="I56" t="n">
        <v>0</v>
      </c>
      <c r="J56" t="n">
        <v>1</v>
      </c>
      <c r="K56" t="n">
        <v>0</v>
      </c>
      <c r="L56" t="n">
        <v>0</v>
      </c>
      <c r="M56" t="n">
        <v>0</v>
      </c>
      <c r="N56" t="n">
        <v>0</v>
      </c>
      <c r="O56" t="n">
        <v>1</v>
      </c>
      <c r="P56" t="n">
        <v>0</v>
      </c>
      <c r="Q56" t="n">
        <v>1</v>
      </c>
      <c r="R56" s="2" t="inlineStr">
        <is>
          <t>Ullticka</t>
        </is>
      </c>
      <c r="S56">
        <f>HYPERLINK("https://klasma.github.io/Logging_1907/artfynd/A 43451-2024 artfynd.xlsx", "A 43451-2024")</f>
        <v/>
      </c>
      <c r="T56">
        <f>HYPERLINK("https://klasma.github.io/Logging_1907/kartor/A 43451-2024 karta.png", "A 43451-2024")</f>
        <v/>
      </c>
      <c r="V56">
        <f>HYPERLINK("https://klasma.github.io/Logging_1907/klagomål/A 43451-2024 FSC-klagomål.docx", "A 43451-2024")</f>
        <v/>
      </c>
      <c r="W56">
        <f>HYPERLINK("https://klasma.github.io/Logging_1907/klagomålsmail/A 43451-2024 FSC-klagomål mail.docx", "A 43451-2024")</f>
        <v/>
      </c>
      <c r="X56">
        <f>HYPERLINK("https://klasma.github.io/Logging_1907/tillsyn/A 43451-2024 tillsynsbegäran.docx", "A 43451-2024")</f>
        <v/>
      </c>
      <c r="Y56">
        <f>HYPERLINK("https://klasma.github.io/Logging_1907/tillsynsmail/A 43451-2024 tillsynsbegäran mail.docx", "A 43451-2024")</f>
        <v/>
      </c>
    </row>
    <row r="57" ht="15" customHeight="1">
      <c r="A57" t="inlineStr">
        <is>
          <t>A 42089-2025</t>
        </is>
      </c>
      <c r="B57" s="1" t="n">
        <v>45902</v>
      </c>
      <c r="C57" s="1" t="n">
        <v>46126</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69777-2021</t>
        </is>
      </c>
      <c r="B58" s="1" t="n">
        <v>44532</v>
      </c>
      <c r="C58" s="1" t="n">
        <v>46126</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46126</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47453-2024</t>
        </is>
      </c>
      <c r="B60" s="1" t="n">
        <v>45587.55017361111</v>
      </c>
      <c r="C60" s="1" t="n">
        <v>46126</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13788-2025</t>
        </is>
      </c>
      <c r="B61" s="1" t="n">
        <v>45737.45327546296</v>
      </c>
      <c r="C61" s="1" t="n">
        <v>46126</v>
      </c>
      <c r="D61" t="inlineStr">
        <is>
          <t>VÄSTMANLANDS LÄN</t>
        </is>
      </c>
      <c r="E61" t="inlineStr">
        <is>
          <t>SURAHAMMAR</t>
        </is>
      </c>
      <c r="G61" t="n">
        <v>9.699999999999999</v>
      </c>
      <c r="H61" t="n">
        <v>1</v>
      </c>
      <c r="I61" t="n">
        <v>0</v>
      </c>
      <c r="J61" t="n">
        <v>0</v>
      </c>
      <c r="K61" t="n">
        <v>0</v>
      </c>
      <c r="L61" t="n">
        <v>0</v>
      </c>
      <c r="M61" t="n">
        <v>0</v>
      </c>
      <c r="N61" t="n">
        <v>0</v>
      </c>
      <c r="O61" t="n">
        <v>0</v>
      </c>
      <c r="P61" t="n">
        <v>0</v>
      </c>
      <c r="Q61" t="n">
        <v>1</v>
      </c>
      <c r="R61" s="2" t="inlineStr">
        <is>
          <t>Sparvuggla</t>
        </is>
      </c>
      <c r="S61">
        <f>HYPERLINK("https://klasma.github.io/Logging_1907/artfynd/A 13788-2025 artfynd.xlsx", "A 13788-2025")</f>
        <v/>
      </c>
      <c r="T61">
        <f>HYPERLINK("https://klasma.github.io/Logging_1907/kartor/A 13788-2025 karta.png", "A 13788-2025")</f>
        <v/>
      </c>
      <c r="V61">
        <f>HYPERLINK("https://klasma.github.io/Logging_1907/klagomål/A 13788-2025 FSC-klagomål.docx", "A 13788-2025")</f>
        <v/>
      </c>
      <c r="W61">
        <f>HYPERLINK("https://klasma.github.io/Logging_1907/klagomålsmail/A 13788-2025 FSC-klagomål mail.docx", "A 13788-2025")</f>
        <v/>
      </c>
      <c r="X61">
        <f>HYPERLINK("https://klasma.github.io/Logging_1907/tillsyn/A 13788-2025 tillsynsbegäran.docx", "A 13788-2025")</f>
        <v/>
      </c>
      <c r="Y61">
        <f>HYPERLINK("https://klasma.github.io/Logging_1907/tillsynsmail/A 13788-2025 tillsynsbegäran mail.docx", "A 13788-2025")</f>
        <v/>
      </c>
      <c r="Z61">
        <f>HYPERLINK("https://klasma.github.io/Logging_1907/fåglar/A 13788-2025 prioriterade fågelarter.docx", "A 13788-2025")</f>
        <v/>
      </c>
    </row>
    <row r="62" ht="15" customHeight="1">
      <c r="A62" t="inlineStr">
        <is>
          <t>A 10819-2024</t>
        </is>
      </c>
      <c r="B62" s="1" t="n">
        <v>45369.66049768519</v>
      </c>
      <c r="C62" s="1" t="n">
        <v>46126</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55042-2025</t>
        </is>
      </c>
      <c r="B63" s="1" t="n">
        <v>45967.65858796296</v>
      </c>
      <c r="C63" s="1" t="n">
        <v>46126</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55871-2025</t>
        </is>
      </c>
      <c r="B64" s="1" t="n">
        <v>45973.35452546296</v>
      </c>
      <c r="C64" s="1" t="n">
        <v>46126</v>
      </c>
      <c r="D64" t="inlineStr">
        <is>
          <t>VÄSTMANLANDS LÄN</t>
        </is>
      </c>
      <c r="E64" t="inlineStr">
        <is>
          <t>SURAHAMMAR</t>
        </is>
      </c>
      <c r="F64" t="inlineStr">
        <is>
          <t>Sveaskog</t>
        </is>
      </c>
      <c r="G64" t="n">
        <v>1.4</v>
      </c>
      <c r="H64" t="n">
        <v>1</v>
      </c>
      <c r="I64" t="n">
        <v>0</v>
      </c>
      <c r="J64" t="n">
        <v>0</v>
      </c>
      <c r="K64" t="n">
        <v>0</v>
      </c>
      <c r="L64" t="n">
        <v>0</v>
      </c>
      <c r="M64" t="n">
        <v>0</v>
      </c>
      <c r="N64" t="n">
        <v>0</v>
      </c>
      <c r="O64" t="n">
        <v>0</v>
      </c>
      <c r="P64" t="n">
        <v>0</v>
      </c>
      <c r="Q64" t="n">
        <v>1</v>
      </c>
      <c r="R64" s="2" t="inlineStr">
        <is>
          <t>Lopplummer (aggregat)</t>
        </is>
      </c>
      <c r="S64">
        <f>HYPERLINK("https://klasma.github.io/Logging_1907/artfynd/A 55871-2025 artfynd.xlsx", "A 55871-2025")</f>
        <v/>
      </c>
      <c r="T64">
        <f>HYPERLINK("https://klasma.github.io/Logging_1907/kartor/A 55871-2025 karta.png", "A 55871-2025")</f>
        <v/>
      </c>
      <c r="V64">
        <f>HYPERLINK("https://klasma.github.io/Logging_1907/klagomål/A 55871-2025 FSC-klagomål.docx", "A 55871-2025")</f>
        <v/>
      </c>
      <c r="W64">
        <f>HYPERLINK("https://klasma.github.io/Logging_1907/klagomålsmail/A 55871-2025 FSC-klagomål mail.docx", "A 55871-2025")</f>
        <v/>
      </c>
      <c r="X64">
        <f>HYPERLINK("https://klasma.github.io/Logging_1907/tillsyn/A 55871-2025 tillsynsbegäran.docx", "A 55871-2025")</f>
        <v/>
      </c>
      <c r="Y64">
        <f>HYPERLINK("https://klasma.github.io/Logging_1907/tillsynsmail/A 55871-2025 tillsynsbegäran mail.docx", "A 55871-2025")</f>
        <v/>
      </c>
    </row>
    <row r="65" ht="15" customHeight="1">
      <c r="A65" t="inlineStr">
        <is>
          <t>A 56768-2025</t>
        </is>
      </c>
      <c r="B65" s="1" t="n">
        <v>45978</v>
      </c>
      <c r="C65" s="1" t="n">
        <v>46126</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40411-2021</t>
        </is>
      </c>
      <c r="B66" s="1" t="n">
        <v>44419</v>
      </c>
      <c r="C66" s="1" t="n">
        <v>46126</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33231-2024</t>
        </is>
      </c>
      <c r="B67" s="1" t="n">
        <v>45518</v>
      </c>
      <c r="C67" s="1" t="n">
        <v>46126</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30074-2023</t>
        </is>
      </c>
      <c r="B68" s="1" t="n">
        <v>45110</v>
      </c>
      <c r="C68" s="1" t="n">
        <v>46126</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30074-2023 artfynd.xlsx", "A 30074-2023")</f>
        <v/>
      </c>
      <c r="T68">
        <f>HYPERLINK("https://klasma.github.io/Logging_1907/kartor/A 30074-2023 karta.png", "A 30074-2023")</f>
        <v/>
      </c>
      <c r="V68">
        <f>HYPERLINK("https://klasma.github.io/Logging_1907/klagomål/A 30074-2023 FSC-klagomål.docx", "A 30074-2023")</f>
        <v/>
      </c>
      <c r="W68">
        <f>HYPERLINK("https://klasma.github.io/Logging_1907/klagomålsmail/A 30074-2023 FSC-klagomål mail.docx", "A 30074-2023")</f>
        <v/>
      </c>
      <c r="X68">
        <f>HYPERLINK("https://klasma.github.io/Logging_1907/tillsyn/A 30074-2023 tillsynsbegäran.docx", "A 30074-2023")</f>
        <v/>
      </c>
      <c r="Y68">
        <f>HYPERLINK("https://klasma.github.io/Logging_1907/tillsynsmail/A 30074-2023 tillsynsbegäran mail.docx", "A 30074-2023")</f>
        <v/>
      </c>
    </row>
    <row r="69" ht="15" customHeight="1">
      <c r="A69" t="inlineStr">
        <is>
          <t>A 31176-2024</t>
        </is>
      </c>
      <c r="B69" s="1" t="n">
        <v>45503</v>
      </c>
      <c r="C69" s="1" t="n">
        <v>46126</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63145-2025</t>
        </is>
      </c>
      <c r="B70" s="1" t="n">
        <v>46009</v>
      </c>
      <c r="C70" s="1" t="n">
        <v>46126</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25583-2024</t>
        </is>
      </c>
      <c r="B71" s="1" t="n">
        <v>45463</v>
      </c>
      <c r="C71" s="1" t="n">
        <v>46126</v>
      </c>
      <c r="D71" t="inlineStr">
        <is>
          <t>VÄSTMANLANDS LÄN</t>
        </is>
      </c>
      <c r="E71" t="inlineStr">
        <is>
          <t>SURAHAMMAR</t>
        </is>
      </c>
      <c r="F71" t="inlineStr">
        <is>
          <t>Bergvik skog väst AB</t>
        </is>
      </c>
      <c r="G71" t="n">
        <v>7.8</v>
      </c>
      <c r="H71" t="n">
        <v>1</v>
      </c>
      <c r="I71" t="n">
        <v>0</v>
      </c>
      <c r="J71" t="n">
        <v>0</v>
      </c>
      <c r="K71" t="n">
        <v>0</v>
      </c>
      <c r="L71" t="n">
        <v>0</v>
      </c>
      <c r="M71" t="n">
        <v>0</v>
      </c>
      <c r="N71" t="n">
        <v>0</v>
      </c>
      <c r="O71" t="n">
        <v>0</v>
      </c>
      <c r="P71" t="n">
        <v>0</v>
      </c>
      <c r="Q71" t="n">
        <v>1</v>
      </c>
      <c r="R71" s="2" t="inlineStr">
        <is>
          <t>Blåsippa</t>
        </is>
      </c>
      <c r="S71">
        <f>HYPERLINK("https://klasma.github.io/Logging_1907/artfynd/A 25583-2024 artfynd.xlsx", "A 25583-2024")</f>
        <v/>
      </c>
      <c r="T71">
        <f>HYPERLINK("https://klasma.github.io/Logging_1907/kartor/A 25583-2024 karta.png", "A 25583-2024")</f>
        <v/>
      </c>
      <c r="V71">
        <f>HYPERLINK("https://klasma.github.io/Logging_1907/klagomål/A 25583-2024 FSC-klagomål.docx", "A 25583-2024")</f>
        <v/>
      </c>
      <c r="W71">
        <f>HYPERLINK("https://klasma.github.io/Logging_1907/klagomålsmail/A 25583-2024 FSC-klagomål mail.docx", "A 25583-2024")</f>
        <v/>
      </c>
      <c r="X71">
        <f>HYPERLINK("https://klasma.github.io/Logging_1907/tillsyn/A 25583-2024 tillsynsbegäran.docx", "A 25583-2024")</f>
        <v/>
      </c>
      <c r="Y71">
        <f>HYPERLINK("https://klasma.github.io/Logging_1907/tillsynsmail/A 25583-2024 tillsynsbegäran mail.docx", "A 25583-2024")</f>
        <v/>
      </c>
    </row>
    <row r="72" ht="15" customHeight="1">
      <c r="A72" t="inlineStr">
        <is>
          <t>A 13971-2023</t>
        </is>
      </c>
      <c r="B72" s="1" t="n">
        <v>45007</v>
      </c>
      <c r="C72" s="1" t="n">
        <v>46126</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42765-2022</t>
        </is>
      </c>
      <c r="B73" s="1" t="n">
        <v>44832</v>
      </c>
      <c r="C73" s="1" t="n">
        <v>46126</v>
      </c>
      <c r="D73" t="inlineStr">
        <is>
          <t>VÄSTMANLANDS LÄN</t>
        </is>
      </c>
      <c r="E73" t="inlineStr">
        <is>
          <t>SURAHAMMAR</t>
        </is>
      </c>
      <c r="G73" t="n">
        <v>1.8</v>
      </c>
      <c r="H73" t="n">
        <v>1</v>
      </c>
      <c r="I73" t="n">
        <v>0</v>
      </c>
      <c r="J73" t="n">
        <v>0</v>
      </c>
      <c r="K73" t="n">
        <v>0</v>
      </c>
      <c r="L73" t="n">
        <v>0</v>
      </c>
      <c r="M73" t="n">
        <v>0</v>
      </c>
      <c r="N73" t="n">
        <v>0</v>
      </c>
      <c r="O73" t="n">
        <v>0</v>
      </c>
      <c r="P73" t="n">
        <v>0</v>
      </c>
      <c r="Q73" t="n">
        <v>1</v>
      </c>
      <c r="R73" s="2" t="inlineStr">
        <is>
          <t>Blåsippa</t>
        </is>
      </c>
      <c r="S73">
        <f>HYPERLINK("https://klasma.github.io/Logging_1907/artfynd/A 42765-2022 artfynd.xlsx", "A 42765-2022")</f>
        <v/>
      </c>
      <c r="T73">
        <f>HYPERLINK("https://klasma.github.io/Logging_1907/kartor/A 42765-2022 karta.png", "A 42765-2022")</f>
        <v/>
      </c>
      <c r="V73">
        <f>HYPERLINK("https://klasma.github.io/Logging_1907/klagomål/A 42765-2022 FSC-klagomål.docx", "A 42765-2022")</f>
        <v/>
      </c>
      <c r="W73">
        <f>HYPERLINK("https://klasma.github.io/Logging_1907/klagomålsmail/A 42765-2022 FSC-klagomål mail.docx", "A 42765-2022")</f>
        <v/>
      </c>
      <c r="X73">
        <f>HYPERLINK("https://klasma.github.io/Logging_1907/tillsyn/A 42765-2022 tillsynsbegäran.docx", "A 42765-2022")</f>
        <v/>
      </c>
      <c r="Y73">
        <f>HYPERLINK("https://klasma.github.io/Logging_1907/tillsynsmail/A 42765-2022 tillsynsbegäran mail.docx", "A 42765-2022")</f>
        <v/>
      </c>
    </row>
    <row r="74" ht="15" customHeight="1">
      <c r="A74" t="inlineStr">
        <is>
          <t>A 44356-2024</t>
        </is>
      </c>
      <c r="B74" s="1" t="n">
        <v>45573</v>
      </c>
      <c r="C74" s="1" t="n">
        <v>46126</v>
      </c>
      <c r="D74" t="inlineStr">
        <is>
          <t>VÄSTMANLANDS LÄN</t>
        </is>
      </c>
      <c r="E74" t="inlineStr">
        <is>
          <t>SURAHAMMAR</t>
        </is>
      </c>
      <c r="F74" t="inlineStr">
        <is>
          <t>Sveaskog</t>
        </is>
      </c>
      <c r="G74" t="n">
        <v>0.7</v>
      </c>
      <c r="H74" t="n">
        <v>1</v>
      </c>
      <c r="I74" t="n">
        <v>0</v>
      </c>
      <c r="J74" t="n">
        <v>0</v>
      </c>
      <c r="K74" t="n">
        <v>0</v>
      </c>
      <c r="L74" t="n">
        <v>0</v>
      </c>
      <c r="M74" t="n">
        <v>0</v>
      </c>
      <c r="N74" t="n">
        <v>0</v>
      </c>
      <c r="O74" t="n">
        <v>0</v>
      </c>
      <c r="P74" t="n">
        <v>0</v>
      </c>
      <c r="Q74" t="n">
        <v>1</v>
      </c>
      <c r="R74" s="2" t="inlineStr">
        <is>
          <t>Revlummer</t>
        </is>
      </c>
      <c r="S74">
        <f>HYPERLINK("https://klasma.github.io/Logging_1907/artfynd/A 44356-2024 artfynd.xlsx", "A 44356-2024")</f>
        <v/>
      </c>
      <c r="T74">
        <f>HYPERLINK("https://klasma.github.io/Logging_1907/kartor/A 44356-2024 karta.png", "A 44356-2024")</f>
        <v/>
      </c>
      <c r="V74">
        <f>HYPERLINK("https://klasma.github.io/Logging_1907/klagomål/A 44356-2024 FSC-klagomål.docx", "A 44356-2024")</f>
        <v/>
      </c>
      <c r="W74">
        <f>HYPERLINK("https://klasma.github.io/Logging_1907/klagomålsmail/A 44356-2024 FSC-klagomål mail.docx", "A 44356-2024")</f>
        <v/>
      </c>
      <c r="X74">
        <f>HYPERLINK("https://klasma.github.io/Logging_1907/tillsyn/A 44356-2024 tillsynsbegäran.docx", "A 44356-2024")</f>
        <v/>
      </c>
      <c r="Y74">
        <f>HYPERLINK("https://klasma.github.io/Logging_1907/tillsynsmail/A 44356-2024 tillsynsbegäran mail.docx", "A 44356-2024")</f>
        <v/>
      </c>
    </row>
    <row r="75" ht="15" customHeight="1">
      <c r="A75" t="inlineStr">
        <is>
          <t>A 17632-2022</t>
        </is>
      </c>
      <c r="B75" s="1" t="n">
        <v>44680</v>
      </c>
      <c r="C75" s="1" t="n">
        <v>46126</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22840-2023</t>
        </is>
      </c>
      <c r="B76" s="1" t="n">
        <v>45072</v>
      </c>
      <c r="C76" s="1" t="n">
        <v>46126</v>
      </c>
      <c r="D76" t="inlineStr">
        <is>
          <t>VÄSTMANLANDS LÄN</t>
        </is>
      </c>
      <c r="E76" t="inlineStr">
        <is>
          <t>SURAHAMMAR</t>
        </is>
      </c>
      <c r="G76" t="n">
        <v>4.3</v>
      </c>
      <c r="H76" t="n">
        <v>1</v>
      </c>
      <c r="I76" t="n">
        <v>0</v>
      </c>
      <c r="J76" t="n">
        <v>0</v>
      </c>
      <c r="K76" t="n">
        <v>0</v>
      </c>
      <c r="L76" t="n">
        <v>0</v>
      </c>
      <c r="M76" t="n">
        <v>0</v>
      </c>
      <c r="N76" t="n">
        <v>0</v>
      </c>
      <c r="O76" t="n">
        <v>0</v>
      </c>
      <c r="P76" t="n">
        <v>0</v>
      </c>
      <c r="Q76" t="n">
        <v>1</v>
      </c>
      <c r="R76" s="2" t="inlineStr">
        <is>
          <t>Fläcknycklar</t>
        </is>
      </c>
      <c r="S76">
        <f>HYPERLINK("https://klasma.github.io/Logging_1907/artfynd/A 22840-2023 artfynd.xlsx", "A 22840-2023")</f>
        <v/>
      </c>
      <c r="T76">
        <f>HYPERLINK("https://klasma.github.io/Logging_1907/kartor/A 22840-2023 karta.png", "A 22840-2023")</f>
        <v/>
      </c>
      <c r="V76">
        <f>HYPERLINK("https://klasma.github.io/Logging_1907/klagomål/A 22840-2023 FSC-klagomål.docx", "A 22840-2023")</f>
        <v/>
      </c>
      <c r="W76">
        <f>HYPERLINK("https://klasma.github.io/Logging_1907/klagomålsmail/A 22840-2023 FSC-klagomål mail.docx", "A 22840-2023")</f>
        <v/>
      </c>
      <c r="X76">
        <f>HYPERLINK("https://klasma.github.io/Logging_1907/tillsyn/A 22840-2023 tillsynsbegäran.docx", "A 22840-2023")</f>
        <v/>
      </c>
      <c r="Y76">
        <f>HYPERLINK("https://klasma.github.io/Logging_1907/tillsynsmail/A 22840-2023 tillsynsbegäran mail.docx", "A 22840-2023")</f>
        <v/>
      </c>
    </row>
    <row r="77" ht="15" customHeight="1">
      <c r="A77" t="inlineStr">
        <is>
          <t>A 64073-2021</t>
        </is>
      </c>
      <c r="B77" s="1" t="n">
        <v>44509</v>
      </c>
      <c r="C77" s="1" t="n">
        <v>46126</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46126</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46126</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46126</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46126</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46126</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46126</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46126</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46126</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46126</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46126</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46126</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46126</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46126</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11501-2023</t>
        </is>
      </c>
      <c r="B91" s="1" t="n">
        <v>44991</v>
      </c>
      <c r="C91" s="1" t="n">
        <v>46126</v>
      </c>
      <c r="D91" t="inlineStr">
        <is>
          <t>VÄSTMANLANDS LÄN</t>
        </is>
      </c>
      <c r="E91" t="inlineStr">
        <is>
          <t>SURAHAMMAR</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16013-2023</t>
        </is>
      </c>
      <c r="B92" s="1" t="n">
        <v>45026</v>
      </c>
      <c r="C92" s="1" t="n">
        <v>46126</v>
      </c>
      <c r="D92" t="inlineStr">
        <is>
          <t>VÄSTMANLANDS LÄN</t>
        </is>
      </c>
      <c r="E92" t="inlineStr">
        <is>
          <t>SURAHAMMAR</t>
        </is>
      </c>
      <c r="G92" t="n">
        <v>3.9</v>
      </c>
      <c r="H92" t="n">
        <v>0</v>
      </c>
      <c r="I92" t="n">
        <v>0</v>
      </c>
      <c r="J92" t="n">
        <v>0</v>
      </c>
      <c r="K92" t="n">
        <v>0</v>
      </c>
      <c r="L92" t="n">
        <v>0</v>
      </c>
      <c r="M92" t="n">
        <v>0</v>
      </c>
      <c r="N92" t="n">
        <v>0</v>
      </c>
      <c r="O92" t="n">
        <v>0</v>
      </c>
      <c r="P92" t="n">
        <v>0</v>
      </c>
      <c r="Q92" t="n">
        <v>0</v>
      </c>
      <c r="R92" s="2" t="inlineStr"/>
    </row>
    <row r="93" ht="15" customHeight="1">
      <c r="A93" t="inlineStr">
        <is>
          <t>A 19637-2022</t>
        </is>
      </c>
      <c r="B93" s="1" t="n">
        <v>44694</v>
      </c>
      <c r="C93" s="1" t="n">
        <v>46126</v>
      </c>
      <c r="D93" t="inlineStr">
        <is>
          <t>VÄSTMANLANDS LÄN</t>
        </is>
      </c>
      <c r="E93" t="inlineStr">
        <is>
          <t>SURAHAMMAR</t>
        </is>
      </c>
      <c r="F93" t="inlineStr">
        <is>
          <t>Bergvik skog väst AB</t>
        </is>
      </c>
      <c r="G93" t="n">
        <v>0.7</v>
      </c>
      <c r="H93" t="n">
        <v>0</v>
      </c>
      <c r="I93" t="n">
        <v>0</v>
      </c>
      <c r="J93" t="n">
        <v>0</v>
      </c>
      <c r="K93" t="n">
        <v>0</v>
      </c>
      <c r="L93" t="n">
        <v>0</v>
      </c>
      <c r="M93" t="n">
        <v>0</v>
      </c>
      <c r="N93" t="n">
        <v>0</v>
      </c>
      <c r="O93" t="n">
        <v>0</v>
      </c>
      <c r="P93" t="n">
        <v>0</v>
      </c>
      <c r="Q93" t="n">
        <v>0</v>
      </c>
      <c r="R93" s="2" t="inlineStr"/>
    </row>
    <row r="94" ht="15" customHeight="1">
      <c r="A94" t="inlineStr">
        <is>
          <t>A 20904-2023</t>
        </is>
      </c>
      <c r="B94" s="1" t="n">
        <v>45060</v>
      </c>
      <c r="C94" s="1" t="n">
        <v>46126</v>
      </c>
      <c r="D94" t="inlineStr">
        <is>
          <t>VÄSTMANLANDS LÄN</t>
        </is>
      </c>
      <c r="E94" t="inlineStr">
        <is>
          <t>SURAHAMMAR</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18723-2021</t>
        </is>
      </c>
      <c r="B95" s="1" t="n">
        <v>44306</v>
      </c>
      <c r="C95" s="1" t="n">
        <v>46126</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34957-2022</t>
        </is>
      </c>
      <c r="B96" s="1" t="n">
        <v>44796.64672453704</v>
      </c>
      <c r="C96" s="1" t="n">
        <v>46126</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42829-2022</t>
        </is>
      </c>
      <c r="B97" s="1" t="n">
        <v>44832</v>
      </c>
      <c r="C97" s="1" t="n">
        <v>46126</v>
      </c>
      <c r="D97" t="inlineStr">
        <is>
          <t>VÄSTMANLANDS LÄN</t>
        </is>
      </c>
      <c r="E97" t="inlineStr">
        <is>
          <t>SURAHAMMAR</t>
        </is>
      </c>
      <c r="G97" t="n">
        <v>1.6</v>
      </c>
      <c r="H97" t="n">
        <v>0</v>
      </c>
      <c r="I97" t="n">
        <v>0</v>
      </c>
      <c r="J97" t="n">
        <v>0</v>
      </c>
      <c r="K97" t="n">
        <v>0</v>
      </c>
      <c r="L97" t="n">
        <v>0</v>
      </c>
      <c r="M97" t="n">
        <v>0</v>
      </c>
      <c r="N97" t="n">
        <v>0</v>
      </c>
      <c r="O97" t="n">
        <v>0</v>
      </c>
      <c r="P97" t="n">
        <v>0</v>
      </c>
      <c r="Q97" t="n">
        <v>0</v>
      </c>
      <c r="R97" s="2" t="inlineStr"/>
    </row>
    <row r="98" ht="15" customHeight="1">
      <c r="A98" t="inlineStr">
        <is>
          <t>A 15637-2022</t>
        </is>
      </c>
      <c r="B98" s="1" t="n">
        <v>44662.89638888889</v>
      </c>
      <c r="C98" s="1" t="n">
        <v>46126</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46126</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46126</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21509-2024</t>
        </is>
      </c>
      <c r="B101" s="1" t="n">
        <v>45441</v>
      </c>
      <c r="C101" s="1" t="n">
        <v>46126</v>
      </c>
      <c r="D101" t="inlineStr">
        <is>
          <t>VÄSTMANLANDS LÄN</t>
        </is>
      </c>
      <c r="E101" t="inlineStr">
        <is>
          <t>SURAHAMMAR</t>
        </is>
      </c>
      <c r="F101" t="inlineStr">
        <is>
          <t>Bergvik skog väst AB</t>
        </is>
      </c>
      <c r="G101" t="n">
        <v>3.9</v>
      </c>
      <c r="H101" t="n">
        <v>0</v>
      </c>
      <c r="I101" t="n">
        <v>0</v>
      </c>
      <c r="J101" t="n">
        <v>0</v>
      </c>
      <c r="K101" t="n">
        <v>0</v>
      </c>
      <c r="L101" t="n">
        <v>0</v>
      </c>
      <c r="M101" t="n">
        <v>0</v>
      </c>
      <c r="N101" t="n">
        <v>0</v>
      </c>
      <c r="O101" t="n">
        <v>0</v>
      </c>
      <c r="P101" t="n">
        <v>0</v>
      </c>
      <c r="Q101" t="n">
        <v>0</v>
      </c>
      <c r="R101" s="2" t="inlineStr"/>
    </row>
    <row r="102" ht="15" customHeight="1">
      <c r="A102" t="inlineStr">
        <is>
          <t>A 42832-2022</t>
        </is>
      </c>
      <c r="B102" s="1" t="n">
        <v>44832</v>
      </c>
      <c r="C102" s="1" t="n">
        <v>46126</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42841-2022</t>
        </is>
      </c>
      <c r="B103" s="1" t="n">
        <v>44832</v>
      </c>
      <c r="C103" s="1" t="n">
        <v>46126</v>
      </c>
      <c r="D103" t="inlineStr">
        <is>
          <t>VÄSTMANLANDS LÄN</t>
        </is>
      </c>
      <c r="E103" t="inlineStr">
        <is>
          <t>SURAHAMMAR</t>
        </is>
      </c>
      <c r="G103" t="n">
        <v>1.8</v>
      </c>
      <c r="H103" t="n">
        <v>0</v>
      </c>
      <c r="I103" t="n">
        <v>0</v>
      </c>
      <c r="J103" t="n">
        <v>0</v>
      </c>
      <c r="K103" t="n">
        <v>0</v>
      </c>
      <c r="L103" t="n">
        <v>0</v>
      </c>
      <c r="M103" t="n">
        <v>0</v>
      </c>
      <c r="N103" t="n">
        <v>0</v>
      </c>
      <c r="O103" t="n">
        <v>0</v>
      </c>
      <c r="P103" t="n">
        <v>0</v>
      </c>
      <c r="Q103" t="n">
        <v>0</v>
      </c>
      <c r="R103" s="2" t="inlineStr"/>
    </row>
    <row r="104" ht="15" customHeight="1">
      <c r="A104" t="inlineStr">
        <is>
          <t>A 24158-2023</t>
        </is>
      </c>
      <c r="B104" s="1" t="n">
        <v>45079</v>
      </c>
      <c r="C104" s="1" t="n">
        <v>46126</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46126</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7787-2024</t>
        </is>
      </c>
      <c r="B106" s="1" t="n">
        <v>45348</v>
      </c>
      <c r="C106" s="1" t="n">
        <v>46126</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46126</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46126</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31107-2025</t>
        </is>
      </c>
      <c r="B109" s="1" t="n">
        <v>45831</v>
      </c>
      <c r="C109" s="1" t="n">
        <v>46126</v>
      </c>
      <c r="D109" t="inlineStr">
        <is>
          <t>VÄSTMANLANDS LÄN</t>
        </is>
      </c>
      <c r="E109" t="inlineStr">
        <is>
          <t>SURAHAMMAR</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46126</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37798-2021</t>
        </is>
      </c>
      <c r="B111" s="1" t="n">
        <v>44402</v>
      </c>
      <c r="C111" s="1" t="n">
        <v>46126</v>
      </c>
      <c r="D111" t="inlineStr">
        <is>
          <t>VÄSTMANLANDS LÄN</t>
        </is>
      </c>
      <c r="E111" t="inlineStr">
        <is>
          <t>SURAHAMMAR</t>
        </is>
      </c>
      <c r="F111" t="inlineStr">
        <is>
          <t>Kommuner</t>
        </is>
      </c>
      <c r="G111" t="n">
        <v>1.2</v>
      </c>
      <c r="H111" t="n">
        <v>0</v>
      </c>
      <c r="I111" t="n">
        <v>0</v>
      </c>
      <c r="J111" t="n">
        <v>0</v>
      </c>
      <c r="K111" t="n">
        <v>0</v>
      </c>
      <c r="L111" t="n">
        <v>0</v>
      </c>
      <c r="M111" t="n">
        <v>0</v>
      </c>
      <c r="N111" t="n">
        <v>0</v>
      </c>
      <c r="O111" t="n">
        <v>0</v>
      </c>
      <c r="P111" t="n">
        <v>0</v>
      </c>
      <c r="Q111" t="n">
        <v>0</v>
      </c>
      <c r="R111" s="2" t="inlineStr"/>
    </row>
    <row r="112" ht="15" customHeight="1">
      <c r="A112" t="inlineStr">
        <is>
          <t>A 3818-2022</t>
        </is>
      </c>
      <c r="B112" s="1" t="n">
        <v>44587</v>
      </c>
      <c r="C112" s="1" t="n">
        <v>46126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15739-2023</t>
        </is>
      </c>
      <c r="B113" s="1" t="n">
        <v>45021</v>
      </c>
      <c r="C113" s="1" t="n">
        <v>46126</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38154-2021</t>
        </is>
      </c>
      <c r="B114" s="1" t="n">
        <v>44405.42373842592</v>
      </c>
      <c r="C114" s="1" t="n">
        <v>46126</v>
      </c>
      <c r="D114" t="inlineStr">
        <is>
          <t>VÄSTMANLANDS LÄN</t>
        </is>
      </c>
      <c r="E114" t="inlineStr">
        <is>
          <t>SURAHAMMAR</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13119-2022</t>
        </is>
      </c>
      <c r="B115" s="1" t="n">
        <v>44643</v>
      </c>
      <c r="C115" s="1" t="n">
        <v>46126</v>
      </c>
      <c r="D115" t="inlineStr">
        <is>
          <t>VÄSTMANLANDS LÄN</t>
        </is>
      </c>
      <c r="E115" t="inlineStr">
        <is>
          <t>SURAHAMMAR</t>
        </is>
      </c>
      <c r="F115" t="inlineStr">
        <is>
          <t>Bergvik skog väst AB</t>
        </is>
      </c>
      <c r="G115" t="n">
        <v>2</v>
      </c>
      <c r="H115" t="n">
        <v>0</v>
      </c>
      <c r="I115" t="n">
        <v>0</v>
      </c>
      <c r="J115" t="n">
        <v>0</v>
      </c>
      <c r="K115" t="n">
        <v>0</v>
      </c>
      <c r="L115" t="n">
        <v>0</v>
      </c>
      <c r="M115" t="n">
        <v>0</v>
      </c>
      <c r="N115" t="n">
        <v>0</v>
      </c>
      <c r="O115" t="n">
        <v>0</v>
      </c>
      <c r="P115" t="n">
        <v>0</v>
      </c>
      <c r="Q115" t="n">
        <v>0</v>
      </c>
      <c r="R115" s="2" t="inlineStr"/>
    </row>
    <row r="116" ht="15" customHeight="1">
      <c r="A116" t="inlineStr">
        <is>
          <t>A 19782-2023</t>
        </is>
      </c>
      <c r="B116" s="1" t="n">
        <v>45050</v>
      </c>
      <c r="C116" s="1" t="n">
        <v>46126</v>
      </c>
      <c r="D116" t="inlineStr">
        <is>
          <t>VÄSTMANLANDS LÄN</t>
        </is>
      </c>
      <c r="E116" t="inlineStr">
        <is>
          <t>SURAHAMMAR</t>
        </is>
      </c>
      <c r="F116" t="inlineStr">
        <is>
          <t>Bergvik skog väst AB</t>
        </is>
      </c>
      <c r="G116" t="n">
        <v>5.2</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46126</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8553-2023</t>
        </is>
      </c>
      <c r="B118" s="1" t="n">
        <v>44977</v>
      </c>
      <c r="C118" s="1" t="n">
        <v>46126</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46126</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46126</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46126</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46126</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22662-2023</t>
        </is>
      </c>
      <c r="B123" s="1" t="n">
        <v>45071</v>
      </c>
      <c r="C123" s="1" t="n">
        <v>46126</v>
      </c>
      <c r="D123" t="inlineStr">
        <is>
          <t>VÄSTMANLANDS LÄN</t>
        </is>
      </c>
      <c r="E123" t="inlineStr">
        <is>
          <t>SURAHAMMAR</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55868-2025</t>
        </is>
      </c>
      <c r="B124" s="1" t="n">
        <v>45973.35263888889</v>
      </c>
      <c r="C124" s="1" t="n">
        <v>46126</v>
      </c>
      <c r="D124" t="inlineStr">
        <is>
          <t>VÄSTMANLANDS LÄN</t>
        </is>
      </c>
      <c r="E124" t="inlineStr">
        <is>
          <t>SURAHAMMAR</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55874-2025</t>
        </is>
      </c>
      <c r="B125" s="1" t="n">
        <v>45973.3569212963</v>
      </c>
      <c r="C125" s="1" t="n">
        <v>46126</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55873-2025</t>
        </is>
      </c>
      <c r="B126" s="1" t="n">
        <v>45973.35608796297</v>
      </c>
      <c r="C126" s="1" t="n">
        <v>46126</v>
      </c>
      <c r="D126" t="inlineStr">
        <is>
          <t>VÄSTMANLANDS LÄN</t>
        </is>
      </c>
      <c r="E126" t="inlineStr">
        <is>
          <t>SURAHAMMAR</t>
        </is>
      </c>
      <c r="F126" t="inlineStr">
        <is>
          <t>Sveaskog</t>
        </is>
      </c>
      <c r="G126" t="n">
        <v>0.5</v>
      </c>
      <c r="H126" t="n">
        <v>0</v>
      </c>
      <c r="I126" t="n">
        <v>0</v>
      </c>
      <c r="J126" t="n">
        <v>0</v>
      </c>
      <c r="K126" t="n">
        <v>0</v>
      </c>
      <c r="L126" t="n">
        <v>0</v>
      </c>
      <c r="M126" t="n">
        <v>0</v>
      </c>
      <c r="N126" t="n">
        <v>0</v>
      </c>
      <c r="O126" t="n">
        <v>0</v>
      </c>
      <c r="P126" t="n">
        <v>0</v>
      </c>
      <c r="Q126" t="n">
        <v>0</v>
      </c>
      <c r="R126" s="2" t="inlineStr"/>
    </row>
    <row r="127" ht="15" customHeight="1">
      <c r="A127" t="inlineStr">
        <is>
          <t>A 56543-2025</t>
        </is>
      </c>
      <c r="B127" s="1" t="n">
        <v>45975</v>
      </c>
      <c r="C127" s="1" t="n">
        <v>46126</v>
      </c>
      <c r="D127" t="inlineStr">
        <is>
          <t>VÄSTMANLANDS LÄN</t>
        </is>
      </c>
      <c r="E127" t="inlineStr">
        <is>
          <t>SURAHAMMAR</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34584-2025</t>
        </is>
      </c>
      <c r="B128" s="1" t="n">
        <v>45846</v>
      </c>
      <c r="C128" s="1" t="n">
        <v>46126</v>
      </c>
      <c r="D128" t="inlineStr">
        <is>
          <t>VÄSTMANLANDS LÄN</t>
        </is>
      </c>
      <c r="E128" t="inlineStr">
        <is>
          <t>SURAHAMMAR</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46126</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32916-2025</t>
        </is>
      </c>
      <c r="B130" s="1" t="n">
        <v>45839</v>
      </c>
      <c r="C130" s="1" t="n">
        <v>46126</v>
      </c>
      <c r="D130" t="inlineStr">
        <is>
          <t>VÄSTMANLANDS LÄN</t>
        </is>
      </c>
      <c r="E130" t="inlineStr">
        <is>
          <t>SURAHAMMAR</t>
        </is>
      </c>
      <c r="F130" t="inlineStr">
        <is>
          <t>Kommuner</t>
        </is>
      </c>
      <c r="G130" t="n">
        <v>4.9</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46126</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30076-2023</t>
        </is>
      </c>
      <c r="B132" s="1" t="n">
        <v>45110</v>
      </c>
      <c r="C132" s="1" t="n">
        <v>46126</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56541-2025</t>
        </is>
      </c>
      <c r="B133" s="1" t="n">
        <v>45975</v>
      </c>
      <c r="C133" s="1" t="n">
        <v>46126</v>
      </c>
      <c r="D133" t="inlineStr">
        <is>
          <t>VÄSTMANLANDS LÄN</t>
        </is>
      </c>
      <c r="E133" t="inlineStr">
        <is>
          <t>SURAHAMMAR</t>
        </is>
      </c>
      <c r="F133" t="inlineStr">
        <is>
          <t>Sveaskog</t>
        </is>
      </c>
      <c r="G133" t="n">
        <v>7.6</v>
      </c>
      <c r="H133" t="n">
        <v>0</v>
      </c>
      <c r="I133" t="n">
        <v>0</v>
      </c>
      <c r="J133" t="n">
        <v>0</v>
      </c>
      <c r="K133" t="n">
        <v>0</v>
      </c>
      <c r="L133" t="n">
        <v>0</v>
      </c>
      <c r="M133" t="n">
        <v>0</v>
      </c>
      <c r="N133" t="n">
        <v>0</v>
      </c>
      <c r="O133" t="n">
        <v>0</v>
      </c>
      <c r="P133" t="n">
        <v>0</v>
      </c>
      <c r="Q133" t="n">
        <v>0</v>
      </c>
      <c r="R133" s="2" t="inlineStr"/>
    </row>
    <row r="134" ht="15" customHeight="1">
      <c r="A134" t="inlineStr">
        <is>
          <t>A 37013-2025</t>
        </is>
      </c>
      <c r="B134" s="1" t="n">
        <v>45874</v>
      </c>
      <c r="C134" s="1" t="n">
        <v>46126</v>
      </c>
      <c r="D134" t="inlineStr">
        <is>
          <t>VÄSTMANLANDS LÄN</t>
        </is>
      </c>
      <c r="E134" t="inlineStr">
        <is>
          <t>SURAHAMMAR</t>
        </is>
      </c>
      <c r="F134" t="inlineStr">
        <is>
          <t>Bergvik skog väst AB</t>
        </is>
      </c>
      <c r="G134" t="n">
        <v>10.7</v>
      </c>
      <c r="H134" t="n">
        <v>0</v>
      </c>
      <c r="I134" t="n">
        <v>0</v>
      </c>
      <c r="J134" t="n">
        <v>0</v>
      </c>
      <c r="K134" t="n">
        <v>0</v>
      </c>
      <c r="L134" t="n">
        <v>0</v>
      </c>
      <c r="M134" t="n">
        <v>0</v>
      </c>
      <c r="N134" t="n">
        <v>0</v>
      </c>
      <c r="O134" t="n">
        <v>0</v>
      </c>
      <c r="P134" t="n">
        <v>0</v>
      </c>
      <c r="Q134" t="n">
        <v>0</v>
      </c>
      <c r="R134" s="2" t="inlineStr"/>
    </row>
    <row r="135" ht="15" customHeight="1">
      <c r="A135" t="inlineStr">
        <is>
          <t>A 37954-2025</t>
        </is>
      </c>
      <c r="B135" s="1" t="n">
        <v>45881</v>
      </c>
      <c r="C135" s="1" t="n">
        <v>46126</v>
      </c>
      <c r="D135" t="inlineStr">
        <is>
          <t>VÄSTMANLANDS LÄN</t>
        </is>
      </c>
      <c r="E135" t="inlineStr">
        <is>
          <t>SURAHAMMAR</t>
        </is>
      </c>
      <c r="G135" t="n">
        <v>9.5</v>
      </c>
      <c r="H135" t="n">
        <v>0</v>
      </c>
      <c r="I135" t="n">
        <v>0</v>
      </c>
      <c r="J135" t="n">
        <v>0</v>
      </c>
      <c r="K135" t="n">
        <v>0</v>
      </c>
      <c r="L135" t="n">
        <v>0</v>
      </c>
      <c r="M135" t="n">
        <v>0</v>
      </c>
      <c r="N135" t="n">
        <v>0</v>
      </c>
      <c r="O135" t="n">
        <v>0</v>
      </c>
      <c r="P135" t="n">
        <v>0</v>
      </c>
      <c r="Q135" t="n">
        <v>0</v>
      </c>
      <c r="R135" s="2" t="inlineStr"/>
    </row>
    <row r="136" ht="15" customHeight="1">
      <c r="A136" t="inlineStr">
        <is>
          <t>A 63138-2025</t>
        </is>
      </c>
      <c r="B136" s="1" t="n">
        <v>46009</v>
      </c>
      <c r="C136" s="1" t="n">
        <v>46126</v>
      </c>
      <c r="D136" t="inlineStr">
        <is>
          <t>VÄSTMANLANDS LÄN</t>
        </is>
      </c>
      <c r="E136" t="inlineStr">
        <is>
          <t>SURAHAMMAR</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47785-2021</t>
        </is>
      </c>
      <c r="B137" s="1" t="n">
        <v>44448</v>
      </c>
      <c r="C137" s="1" t="n">
        <v>46126</v>
      </c>
      <c r="D137" t="inlineStr">
        <is>
          <t>VÄSTMANLANDS LÄN</t>
        </is>
      </c>
      <c r="E137" t="inlineStr">
        <is>
          <t>SURAHAMMAR</t>
        </is>
      </c>
      <c r="F137" t="inlineStr">
        <is>
          <t>Kommuner</t>
        </is>
      </c>
      <c r="G137" t="n">
        <v>3.3</v>
      </c>
      <c r="H137" t="n">
        <v>0</v>
      </c>
      <c r="I137" t="n">
        <v>0</v>
      </c>
      <c r="J137" t="n">
        <v>0</v>
      </c>
      <c r="K137" t="n">
        <v>0</v>
      </c>
      <c r="L137" t="n">
        <v>0</v>
      </c>
      <c r="M137" t="n">
        <v>0</v>
      </c>
      <c r="N137" t="n">
        <v>0</v>
      </c>
      <c r="O137" t="n">
        <v>0</v>
      </c>
      <c r="P137" t="n">
        <v>0</v>
      </c>
      <c r="Q137" t="n">
        <v>0</v>
      </c>
      <c r="R137" s="2" t="inlineStr"/>
    </row>
    <row r="138" ht="15" customHeight="1">
      <c r="A138" t="inlineStr">
        <is>
          <t>A 25450-2024</t>
        </is>
      </c>
      <c r="B138" s="1" t="n">
        <v>45463</v>
      </c>
      <c r="C138" s="1" t="n">
        <v>46126</v>
      </c>
      <c r="D138" t="inlineStr">
        <is>
          <t>VÄSTMANLANDS LÄN</t>
        </is>
      </c>
      <c r="E138" t="inlineStr">
        <is>
          <t>SURAHAMMAR</t>
        </is>
      </c>
      <c r="F138" t="inlineStr">
        <is>
          <t>Bergvik skog väst AB</t>
        </is>
      </c>
      <c r="G138" t="n">
        <v>2.4</v>
      </c>
      <c r="H138" t="n">
        <v>0</v>
      </c>
      <c r="I138" t="n">
        <v>0</v>
      </c>
      <c r="J138" t="n">
        <v>0</v>
      </c>
      <c r="K138" t="n">
        <v>0</v>
      </c>
      <c r="L138" t="n">
        <v>0</v>
      </c>
      <c r="M138" t="n">
        <v>0</v>
      </c>
      <c r="N138" t="n">
        <v>0</v>
      </c>
      <c r="O138" t="n">
        <v>0</v>
      </c>
      <c r="P138" t="n">
        <v>0</v>
      </c>
      <c r="Q138" t="n">
        <v>0</v>
      </c>
      <c r="R138" s="2" t="inlineStr"/>
    </row>
    <row r="139" ht="15" customHeight="1">
      <c r="A139" t="inlineStr">
        <is>
          <t>A 10883-2023</t>
        </is>
      </c>
      <c r="B139" s="1" t="n">
        <v>44991</v>
      </c>
      <c r="C139" s="1" t="n">
        <v>46126</v>
      </c>
      <c r="D139" t="inlineStr">
        <is>
          <t>VÄSTMANLANDS LÄN</t>
        </is>
      </c>
      <c r="E139" t="inlineStr">
        <is>
          <t>SURAHAMMAR</t>
        </is>
      </c>
      <c r="F139" t="inlineStr">
        <is>
          <t>Övriga Aktiebolag</t>
        </is>
      </c>
      <c r="G139" t="n">
        <v>12.5</v>
      </c>
      <c r="H139" t="n">
        <v>0</v>
      </c>
      <c r="I139" t="n">
        <v>0</v>
      </c>
      <c r="J139" t="n">
        <v>0</v>
      </c>
      <c r="K139" t="n">
        <v>0</v>
      </c>
      <c r="L139" t="n">
        <v>0</v>
      </c>
      <c r="M139" t="n">
        <v>0</v>
      </c>
      <c r="N139" t="n">
        <v>0</v>
      </c>
      <c r="O139" t="n">
        <v>0</v>
      </c>
      <c r="P139" t="n">
        <v>0</v>
      </c>
      <c r="Q139" t="n">
        <v>0</v>
      </c>
      <c r="R139" s="2" t="inlineStr"/>
    </row>
    <row r="140" ht="15" customHeight="1">
      <c r="A140" t="inlineStr">
        <is>
          <t>A 24665-2023</t>
        </is>
      </c>
      <c r="B140" s="1" t="n">
        <v>45084.48592592592</v>
      </c>
      <c r="C140" s="1" t="n">
        <v>46126</v>
      </c>
      <c r="D140" t="inlineStr">
        <is>
          <t>VÄSTMANLANDS LÄN</t>
        </is>
      </c>
      <c r="E140" t="inlineStr">
        <is>
          <t>SURAHAMMAR</t>
        </is>
      </c>
      <c r="G140" t="n">
        <v>0.9</v>
      </c>
      <c r="H140" t="n">
        <v>0</v>
      </c>
      <c r="I140" t="n">
        <v>0</v>
      </c>
      <c r="J140" t="n">
        <v>0</v>
      </c>
      <c r="K140" t="n">
        <v>0</v>
      </c>
      <c r="L140" t="n">
        <v>0</v>
      </c>
      <c r="M140" t="n">
        <v>0</v>
      </c>
      <c r="N140" t="n">
        <v>0</v>
      </c>
      <c r="O140" t="n">
        <v>0</v>
      </c>
      <c r="P140" t="n">
        <v>0</v>
      </c>
      <c r="Q140" t="n">
        <v>0</v>
      </c>
      <c r="R140" s="2" t="inlineStr"/>
    </row>
    <row r="141" ht="15" customHeight="1">
      <c r="A141" t="inlineStr">
        <is>
          <t>A 24167-2024</t>
        </is>
      </c>
      <c r="B141" s="1" t="n">
        <v>45456</v>
      </c>
      <c r="C141" s="1" t="n">
        <v>46126</v>
      </c>
      <c r="D141" t="inlineStr">
        <is>
          <t>VÄSTMANLANDS LÄN</t>
        </is>
      </c>
      <c r="E141" t="inlineStr">
        <is>
          <t>SURAHAMMAR</t>
        </is>
      </c>
      <c r="G141" t="n">
        <v>0.6</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46126</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46126</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46126</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12841-2026</t>
        </is>
      </c>
      <c r="B145" s="1" t="n">
        <v>46091</v>
      </c>
      <c r="C145" s="1" t="n">
        <v>46126</v>
      </c>
      <c r="D145" t="inlineStr">
        <is>
          <t>VÄSTMANLANDS LÄN</t>
        </is>
      </c>
      <c r="E145" t="inlineStr">
        <is>
          <t>SURAHAMMAR</t>
        </is>
      </c>
      <c r="F145" t="inlineStr">
        <is>
          <t>Bergvik skog väst AB</t>
        </is>
      </c>
      <c r="G145" t="n">
        <v>4.3</v>
      </c>
      <c r="H145" t="n">
        <v>0</v>
      </c>
      <c r="I145" t="n">
        <v>0</v>
      </c>
      <c r="J145" t="n">
        <v>0</v>
      </c>
      <c r="K145" t="n">
        <v>0</v>
      </c>
      <c r="L145" t="n">
        <v>0</v>
      </c>
      <c r="M145" t="n">
        <v>0</v>
      </c>
      <c r="N145" t="n">
        <v>0</v>
      </c>
      <c r="O145" t="n">
        <v>0</v>
      </c>
      <c r="P145" t="n">
        <v>0</v>
      </c>
      <c r="Q145" t="n">
        <v>0</v>
      </c>
      <c r="R145" s="2" t="inlineStr"/>
    </row>
    <row r="146" ht="15" customHeight="1">
      <c r="A146" t="inlineStr">
        <is>
          <t>A 42714-2022</t>
        </is>
      </c>
      <c r="B146" s="1" t="n">
        <v>44832</v>
      </c>
      <c r="C146" s="1" t="n">
        <v>46126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5698-2026</t>
        </is>
      </c>
      <c r="B147" s="1" t="n">
        <v>46051.50196759259</v>
      </c>
      <c r="C147" s="1" t="n">
        <v>46126</v>
      </c>
      <c r="D147" t="inlineStr">
        <is>
          <t>VÄSTMANLANDS LÄN</t>
        </is>
      </c>
      <c r="E147" t="inlineStr">
        <is>
          <t>SURAHAMMAR</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37287-2023</t>
        </is>
      </c>
      <c r="B148" s="1" t="n">
        <v>45156</v>
      </c>
      <c r="C148" s="1" t="n">
        <v>46126</v>
      </c>
      <c r="D148" t="inlineStr">
        <is>
          <t>VÄSTMANLANDS LÄN</t>
        </is>
      </c>
      <c r="E148" t="inlineStr">
        <is>
          <t>SURAHAMMAR</t>
        </is>
      </c>
      <c r="G148" t="n">
        <v>0.6</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46126</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5697-2026</t>
        </is>
      </c>
      <c r="B150" s="1" t="n">
        <v>46051.50020833333</v>
      </c>
      <c r="C150" s="1" t="n">
        <v>46126</v>
      </c>
      <c r="D150" t="inlineStr">
        <is>
          <t>VÄSTMANLANDS LÄN</t>
        </is>
      </c>
      <c r="E150" t="inlineStr">
        <is>
          <t>SURAHAMMAR</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49058-2024</t>
        </is>
      </c>
      <c r="B151" s="1" t="n">
        <v>45594</v>
      </c>
      <c r="C151" s="1" t="n">
        <v>46126</v>
      </c>
      <c r="D151" t="inlineStr">
        <is>
          <t>VÄSTMANLANDS LÄN</t>
        </is>
      </c>
      <c r="E151" t="inlineStr">
        <is>
          <t>SURAHAMMAR</t>
        </is>
      </c>
      <c r="F151" t="inlineStr">
        <is>
          <t>Sveaskog</t>
        </is>
      </c>
      <c r="G151" t="n">
        <v>11.4</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46126</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46126</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46126</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46126</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35682-2022</t>
        </is>
      </c>
      <c r="B156" s="1" t="n">
        <v>44799.60422453703</v>
      </c>
      <c r="C156" s="1" t="n">
        <v>46126</v>
      </c>
      <c r="D156" t="inlineStr">
        <is>
          <t>VÄSTMANLANDS LÄN</t>
        </is>
      </c>
      <c r="E156" t="inlineStr">
        <is>
          <t>SURAHAMMAR</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2867-2024</t>
        </is>
      </c>
      <c r="B157" s="1" t="n">
        <v>45315</v>
      </c>
      <c r="C157" s="1" t="n">
        <v>46126</v>
      </c>
      <c r="D157" t="inlineStr">
        <is>
          <t>VÄSTMANLANDS LÄN</t>
        </is>
      </c>
      <c r="E157" t="inlineStr">
        <is>
          <t>SURAHAMMAR</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10347-2026</t>
        </is>
      </c>
      <c r="B158" s="1" t="n">
        <v>46076.69101851852</v>
      </c>
      <c r="C158" s="1" t="n">
        <v>46126</v>
      </c>
      <c r="D158" t="inlineStr">
        <is>
          <t>VÄSTMANLANDS LÄN</t>
        </is>
      </c>
      <c r="E158" t="inlineStr">
        <is>
          <t>SURAHAMMAR</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10244-2026</t>
        </is>
      </c>
      <c r="B159" s="1" t="n">
        <v>46076.55032407407</v>
      </c>
      <c r="C159" s="1" t="n">
        <v>46126</v>
      </c>
      <c r="D159" t="inlineStr">
        <is>
          <t>VÄSTMANLANDS LÄN</t>
        </is>
      </c>
      <c r="E159" t="inlineStr">
        <is>
          <t>SURAHAMMAR</t>
        </is>
      </c>
      <c r="F159" t="inlineStr">
        <is>
          <t>Allmännings- och besparingsskogar</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2660-2024</t>
        </is>
      </c>
      <c r="B160" s="1" t="n">
        <v>45310</v>
      </c>
      <c r="C160" s="1" t="n">
        <v>46126</v>
      </c>
      <c r="D160" t="inlineStr">
        <is>
          <t>VÄSTMANLANDS LÄN</t>
        </is>
      </c>
      <c r="E160" t="inlineStr">
        <is>
          <t>SURAHAMMAR</t>
        </is>
      </c>
      <c r="G160" t="n">
        <v>2.1</v>
      </c>
      <c r="H160" t="n">
        <v>0</v>
      </c>
      <c r="I160" t="n">
        <v>0</v>
      </c>
      <c r="J160" t="n">
        <v>0</v>
      </c>
      <c r="K160" t="n">
        <v>0</v>
      </c>
      <c r="L160" t="n">
        <v>0</v>
      </c>
      <c r="M160" t="n">
        <v>0</v>
      </c>
      <c r="N160" t="n">
        <v>0</v>
      </c>
      <c r="O160" t="n">
        <v>0</v>
      </c>
      <c r="P160" t="n">
        <v>0</v>
      </c>
      <c r="Q160" t="n">
        <v>0</v>
      </c>
      <c r="R160" s="2" t="inlineStr"/>
    </row>
    <row r="161" ht="15" customHeight="1">
      <c r="A161" t="inlineStr">
        <is>
          <t>A 10512-2026</t>
        </is>
      </c>
      <c r="B161" s="1" t="n">
        <v>46077.56861111111</v>
      </c>
      <c r="C161" s="1" t="n">
        <v>46126</v>
      </c>
      <c r="D161" t="inlineStr">
        <is>
          <t>VÄSTMANLANDS LÄN</t>
        </is>
      </c>
      <c r="E161" t="inlineStr">
        <is>
          <t>SURAHAMMAR</t>
        </is>
      </c>
      <c r="F161" t="inlineStr">
        <is>
          <t>Övriga Aktiebolag</t>
        </is>
      </c>
      <c r="G161" t="n">
        <v>4.3</v>
      </c>
      <c r="H161" t="n">
        <v>0</v>
      </c>
      <c r="I161" t="n">
        <v>0</v>
      </c>
      <c r="J161" t="n">
        <v>0</v>
      </c>
      <c r="K161" t="n">
        <v>0</v>
      </c>
      <c r="L161" t="n">
        <v>0</v>
      </c>
      <c r="M161" t="n">
        <v>0</v>
      </c>
      <c r="N161" t="n">
        <v>0</v>
      </c>
      <c r="O161" t="n">
        <v>0</v>
      </c>
      <c r="P161" t="n">
        <v>0</v>
      </c>
      <c r="Q161" t="n">
        <v>0</v>
      </c>
      <c r="R161" s="2" t="inlineStr"/>
    </row>
    <row r="162" ht="15" customHeight="1">
      <c r="A162" t="inlineStr">
        <is>
          <t>A 10249-2026</t>
        </is>
      </c>
      <c r="B162" s="1" t="n">
        <v>46076.55456018518</v>
      </c>
      <c r="C162" s="1" t="n">
        <v>46126</v>
      </c>
      <c r="D162" t="inlineStr">
        <is>
          <t>VÄSTMANLANDS LÄN</t>
        </is>
      </c>
      <c r="E162" t="inlineStr">
        <is>
          <t>SURAHAMMAR</t>
        </is>
      </c>
      <c r="F162" t="inlineStr">
        <is>
          <t>Allmännings- och besparingsskogar</t>
        </is>
      </c>
      <c r="G162" t="n">
        <v>4.8</v>
      </c>
      <c r="H162" t="n">
        <v>0</v>
      </c>
      <c r="I162" t="n">
        <v>0</v>
      </c>
      <c r="J162" t="n">
        <v>0</v>
      </c>
      <c r="K162" t="n">
        <v>0</v>
      </c>
      <c r="L162" t="n">
        <v>0</v>
      </c>
      <c r="M162" t="n">
        <v>0</v>
      </c>
      <c r="N162" t="n">
        <v>0</v>
      </c>
      <c r="O162" t="n">
        <v>0</v>
      </c>
      <c r="P162" t="n">
        <v>0</v>
      </c>
      <c r="Q162" t="n">
        <v>0</v>
      </c>
      <c r="R162" s="2" t="inlineStr"/>
    </row>
    <row r="163" ht="15" customHeight="1">
      <c r="A163" t="inlineStr">
        <is>
          <t>A 10562-2026</t>
        </is>
      </c>
      <c r="B163" s="1" t="n">
        <v>46077.64043981482</v>
      </c>
      <c r="C163" s="1" t="n">
        <v>46126</v>
      </c>
      <c r="D163" t="inlineStr">
        <is>
          <t>VÄSTMANLANDS LÄN</t>
        </is>
      </c>
      <c r="E163" t="inlineStr">
        <is>
          <t>SURAHAMMAR</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46126</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5567-2022</t>
        </is>
      </c>
      <c r="B165" s="1" t="n">
        <v>44595</v>
      </c>
      <c r="C165" s="1" t="n">
        <v>46126</v>
      </c>
      <c r="D165" t="inlineStr">
        <is>
          <t>VÄSTMANLANDS LÄN</t>
        </is>
      </c>
      <c r="E165" t="inlineStr">
        <is>
          <t>SURAHAMMAR</t>
        </is>
      </c>
      <c r="G165" t="n">
        <v>1.3</v>
      </c>
      <c r="H165" t="n">
        <v>0</v>
      </c>
      <c r="I165" t="n">
        <v>0</v>
      </c>
      <c r="J165" t="n">
        <v>0</v>
      </c>
      <c r="K165" t="n">
        <v>0</v>
      </c>
      <c r="L165" t="n">
        <v>0</v>
      </c>
      <c r="M165" t="n">
        <v>0</v>
      </c>
      <c r="N165" t="n">
        <v>0</v>
      </c>
      <c r="O165" t="n">
        <v>0</v>
      </c>
      <c r="P165" t="n">
        <v>0</v>
      </c>
      <c r="Q165" t="n">
        <v>0</v>
      </c>
      <c r="R165" s="2" t="inlineStr"/>
    </row>
    <row r="166" ht="15" customHeight="1">
      <c r="A166" t="inlineStr">
        <is>
          <t>A 3085-2023</t>
        </is>
      </c>
      <c r="B166" s="1" t="n">
        <v>44946</v>
      </c>
      <c r="C166" s="1" t="n">
        <v>46126</v>
      </c>
      <c r="D166" t="inlineStr">
        <is>
          <t>VÄSTMANLANDS LÄN</t>
        </is>
      </c>
      <c r="E166" t="inlineStr">
        <is>
          <t>SURAHAMMAR</t>
        </is>
      </c>
      <c r="F166" t="inlineStr">
        <is>
          <t>Kyrkan</t>
        </is>
      </c>
      <c r="G166" t="n">
        <v>13</v>
      </c>
      <c r="H166" t="n">
        <v>0</v>
      </c>
      <c r="I166" t="n">
        <v>0</v>
      </c>
      <c r="J166" t="n">
        <v>0</v>
      </c>
      <c r="K166" t="n">
        <v>0</v>
      </c>
      <c r="L166" t="n">
        <v>0</v>
      </c>
      <c r="M166" t="n">
        <v>0</v>
      </c>
      <c r="N166" t="n">
        <v>0</v>
      </c>
      <c r="O166" t="n">
        <v>0</v>
      </c>
      <c r="P166" t="n">
        <v>0</v>
      </c>
      <c r="Q166" t="n">
        <v>0</v>
      </c>
      <c r="R166" s="2" t="inlineStr"/>
    </row>
    <row r="167" ht="15" customHeight="1">
      <c r="A167" t="inlineStr">
        <is>
          <t>A 7848-2022</t>
        </is>
      </c>
      <c r="B167" s="1" t="n">
        <v>44608.58400462963</v>
      </c>
      <c r="C167" s="1" t="n">
        <v>46126</v>
      </c>
      <c r="D167" t="inlineStr">
        <is>
          <t>VÄSTMANLANDS LÄN</t>
        </is>
      </c>
      <c r="E167" t="inlineStr">
        <is>
          <t>SURAHAMMAR</t>
        </is>
      </c>
      <c r="G167" t="n">
        <v>2.1</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46126</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c r="A169" t="inlineStr">
        <is>
          <t>A 15743-2023</t>
        </is>
      </c>
      <c r="B169" s="1" t="n">
        <v>45021</v>
      </c>
      <c r="C169" s="1" t="n">
        <v>46126</v>
      </c>
      <c r="D169" t="inlineStr">
        <is>
          <t>VÄSTMANLANDS LÄN</t>
        </is>
      </c>
      <c r="E169" t="inlineStr">
        <is>
          <t>SURAHAMMAR</t>
        </is>
      </c>
      <c r="G169" t="n">
        <v>0.5</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2026-04-14T10:34:33Z</dcterms:created>
  <dcterms:modified xmlns:dcterms="http://purl.org/dc/terms/" xmlns:xsi="http://www.w3.org/2001/XMLSchema-instance" xsi:type="dcterms:W3CDTF">2026-04-14T10:34:34Z</dcterms:modified>
</cp:coreProperties>
</file>