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46253</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46253</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46253</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46253</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46253</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46253</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46253</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46253</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39594-2025</t>
        </is>
      </c>
      <c r="B18" t="inlineStr">
        <is>
          <t>avverkningsanmälan</t>
        </is>
      </c>
      <c r="C18" t="inlineStr">
        <is>
          <t>Föryngringsavverkning</t>
        </is>
      </c>
      <c r="D18" s="1" t="n">
        <v>45890</v>
      </c>
      <c r="E18" s="1" t="n">
        <v>46253</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42853-2022</t>
        </is>
      </c>
      <c r="B19" t="inlineStr">
        <is>
          <t>avverkningsanmälan</t>
        </is>
      </c>
      <c r="C19" t="inlineStr">
        <is>
          <t>Avverkning för att bevara och utveckla /försöksver</t>
        </is>
      </c>
      <c r="D19" s="1" t="n">
        <v>44832</v>
      </c>
      <c r="E19" s="1" t="n">
        <v>46253</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46253</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46253</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46253</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46253</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46253</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46253</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46253</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46253</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46253</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46253</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46253</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46253</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10236-2026</t>
        </is>
      </c>
      <c r="B32" t="inlineStr">
        <is>
          <t>avverkningsanmälan</t>
        </is>
      </c>
      <c r="C32" t="inlineStr">
        <is>
          <t>Föryngringsavverkning</t>
        </is>
      </c>
      <c r="D32" s="1" t="n">
        <v>46076</v>
      </c>
      <c r="E32" s="1" t="n">
        <v>46253</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63145-2025</t>
        </is>
      </c>
      <c r="B33" t="inlineStr">
        <is>
          <t>avverkningsanmälan</t>
        </is>
      </c>
      <c r="C33" t="inlineStr">
        <is>
          <t>Föryngringsavverkning</t>
        </is>
      </c>
      <c r="D33" s="1" t="n">
        <v>46009</v>
      </c>
      <c r="E33" s="1" t="n">
        <v>46253</v>
      </c>
      <c r="F33" t="inlineStr">
        <is>
          <t>VÄSTMANLANDS LÄN</t>
        </is>
      </c>
      <c r="G33" t="inlineStr">
        <is>
          <t>SURAHAMMAR</t>
        </is>
      </c>
      <c r="H33" t="inlineStr">
        <is>
          <t>Bergvik skog väst AB</t>
        </is>
      </c>
      <c r="I33" t="n">
        <v>40.5</v>
      </c>
      <c r="J33" t="n">
        <v>5</v>
      </c>
      <c r="K33" t="n">
        <v>1</v>
      </c>
      <c r="L33" t="n">
        <v>2</v>
      </c>
      <c r="M33" t="n">
        <v>1</v>
      </c>
      <c r="N33" t="n">
        <v>0</v>
      </c>
      <c r="O33" t="n">
        <v>0</v>
      </c>
      <c r="P33" t="n">
        <v>0</v>
      </c>
      <c r="Q33" t="n">
        <v>3</v>
      </c>
      <c r="R33" t="n">
        <v>1</v>
      </c>
      <c r="S33" t="n">
        <v>6</v>
      </c>
      <c r="T33" t="n">
        <v>13</v>
      </c>
      <c r="U33" t="n">
        <v>0</v>
      </c>
      <c r="V33" s="2" t="inlineStr">
        <is>
          <t>Väddnätfjäril
Mindre hackspett
Talltita
Svart trolldruva
Kungsfågel
Nattviol</t>
        </is>
      </c>
      <c r="W33">
        <f>HYPERLINK("https://klasma.github.io/Logging_1907/artfynd/A 63145-2025 artfynd.xlsx", "A 63145-2025")</f>
        <v/>
      </c>
      <c r="X33">
        <f>HYPERLINK("https://klasma.github.io/Logging_1907/kartor/A 63145-2025 karta.png", "A 63145-2025")</f>
        <v/>
      </c>
      <c r="Y33">
        <f>HYPERLINK("https://klasma.github.io/Logging_1907/kartor_geotiff/A 63145-2025 georefererad karta.tif", "A 63145-2025")</f>
        <v/>
      </c>
      <c r="AA33">
        <f>HYPERLINK("https://klasma.github.io/Logging_1907/klagomål/A 63145-2025 FSC-klagomål.docx", "A 63145-2025")</f>
        <v/>
      </c>
      <c r="AB33">
        <f>HYPERLINK("https://klasma.github.io/Logging_1907/klagomålsmail/A 63145-2025 FSC-klagomål mail.docx", "A 63145-2025")</f>
        <v/>
      </c>
      <c r="AC33">
        <f>HYPERLINK("https://klasma.github.io/Logging_1907/tillsyn/A 63145-2025 tillsynsbegäran.docx", "A 63145-2025")</f>
        <v/>
      </c>
      <c r="AD33">
        <f>HYPERLINK("https://klasma.github.io/Logging_1907/tillsynsmail/A 63145-2025 tillsynsbegäran mail.docx", "A 63145-2025")</f>
        <v/>
      </c>
      <c r="AE33">
        <f>HYPERLINK("https://klasma.github.io/Logging_1907/fåglar/A 63145-2025 prioriterade fågelarter.docx", "A 63145-2025")</f>
        <v/>
      </c>
    </row>
    <row r="34" ht="15" customHeight="1">
      <c r="A34" t="inlineStr">
        <is>
          <t>A 42860-2022</t>
        </is>
      </c>
      <c r="B34" t="inlineStr">
        <is>
          <t>avverkningsanmälan</t>
        </is>
      </c>
      <c r="C34" t="inlineStr">
        <is>
          <t>Avverkning för annat ändamål</t>
        </is>
      </c>
      <c r="D34" s="1" t="n">
        <v>44832</v>
      </c>
      <c r="E34" s="1" t="n">
        <v>46253</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46253</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46253</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46253</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46253</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46253</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46253</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69777-2021</t>
        </is>
      </c>
      <c r="B41" t="inlineStr">
        <is>
          <t>avverkningsanmälan</t>
        </is>
      </c>
      <c r="C41" t="inlineStr">
        <is>
          <t>Föryngringsavverkning</t>
        </is>
      </c>
      <c r="D41" s="1" t="n">
        <v>44532</v>
      </c>
      <c r="E41" s="1" t="n">
        <v>46253</v>
      </c>
      <c r="F41" t="inlineStr">
        <is>
          <t>VÄSTMANLANDS LÄN</t>
        </is>
      </c>
      <c r="G41" t="inlineStr">
        <is>
          <t>SURAHAMMAR</t>
        </is>
      </c>
      <c r="I41" t="n">
        <v>2.3</v>
      </c>
      <c r="J41" t="n">
        <v>1</v>
      </c>
      <c r="K41" t="n">
        <v>2</v>
      </c>
      <c r="L41" t="n">
        <v>0</v>
      </c>
      <c r="M41" t="n">
        <v>0</v>
      </c>
      <c r="N41" t="n">
        <v>1</v>
      </c>
      <c r="O41" t="n">
        <v>0</v>
      </c>
      <c r="P41" t="n">
        <v>0</v>
      </c>
      <c r="Q41" t="n">
        <v>1</v>
      </c>
      <c r="R41" t="n">
        <v>1</v>
      </c>
      <c r="S41" t="n">
        <v>3</v>
      </c>
      <c r="T41" t="n">
        <v>5</v>
      </c>
      <c r="U41" t="n">
        <v>0</v>
      </c>
      <c r="V41" s="2" t="inlineStr">
        <is>
          <t>Bombmurkla
Rävticka
Vedticka</t>
        </is>
      </c>
      <c r="W41">
        <f>HYPERLINK("https://klasma.github.io/Logging_1907/artfynd/A 69777-2021 artfynd.xlsx", "A 69777-2021")</f>
        <v/>
      </c>
      <c r="X41">
        <f>HYPERLINK("https://klasma.github.io/Logging_1907/kartor/A 69777-2021 karta.png", "A 69777-2021")</f>
        <v/>
      </c>
      <c r="Y41">
        <f>HYPERLINK("https://klasma.github.io/Logging_1907/kartor_geotiff/A 69777-2021 georefererad karta.tif", "A 69777-2021")</f>
        <v/>
      </c>
      <c r="AA41">
        <f>HYPERLINK("https://klasma.github.io/Logging_1907/klagomål/A 69777-2021 FSC-klagomål.docx", "A 69777-2021")</f>
        <v/>
      </c>
      <c r="AB41">
        <f>HYPERLINK("https://klasma.github.io/Logging_1907/klagomålsmail/A 69777-2021 FSC-klagomål mail.docx", "A 69777-2021")</f>
        <v/>
      </c>
      <c r="AC41">
        <f>HYPERLINK("https://klasma.github.io/Logging_1907/tillsyn/A 69777-2021 tillsynsbegäran.docx", "A 69777-2021")</f>
        <v/>
      </c>
      <c r="AD41">
        <f>HYPERLINK("https://klasma.github.io/Logging_1907/tillsynsmail/A 69777-2021 tillsynsbegäran mail.docx", "A 69777-2021")</f>
        <v/>
      </c>
    </row>
    <row r="42" ht="15" customHeight="1">
      <c r="A42" t="inlineStr">
        <is>
          <t>A 49718-2023</t>
        </is>
      </c>
      <c r="B42" t="inlineStr">
        <is>
          <t>avverkningsanmälan</t>
        </is>
      </c>
      <c r="C42" t="inlineStr">
        <is>
          <t>Föryngringsavverkning</t>
        </is>
      </c>
      <c r="D42" s="1" t="n">
        <v>45212</v>
      </c>
      <c r="E42" s="1" t="n">
        <v>46253</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39694-2025</t>
        </is>
      </c>
      <c r="B43" t="inlineStr">
        <is>
          <t>avverkningsanmälan</t>
        </is>
      </c>
      <c r="C43" t="inlineStr">
        <is>
          <t>Föryngringsavverkning</t>
        </is>
      </c>
      <c r="D43" s="1" t="n">
        <v>45890</v>
      </c>
      <c r="E43" s="1" t="n">
        <v>46253</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4082-2025</t>
        </is>
      </c>
      <c r="B44" t="inlineStr">
        <is>
          <t>avverkningsanmälan</t>
        </is>
      </c>
      <c r="C44" t="inlineStr">
        <is>
          <t>Föryngringsavverkning</t>
        </is>
      </c>
      <c r="D44" s="1" t="n">
        <v>45684</v>
      </c>
      <c r="E44" s="1" t="n">
        <v>46253</v>
      </c>
      <c r="F44" t="inlineStr">
        <is>
          <t>VÄSTMANLANDS LÄN</t>
        </is>
      </c>
      <c r="G44" t="inlineStr">
        <is>
          <t>SURAHAMMAR</t>
        </is>
      </c>
      <c r="H44" t="inlineStr">
        <is>
          <t>Bergvik skog väst AB</t>
        </is>
      </c>
      <c r="I44" t="n">
        <v>11.6</v>
      </c>
      <c r="J44" t="n">
        <v>2</v>
      </c>
      <c r="K44" t="n">
        <v>2</v>
      </c>
      <c r="L44" t="n">
        <v>0</v>
      </c>
      <c r="M44" t="n">
        <v>0</v>
      </c>
      <c r="N44" t="n">
        <v>0</v>
      </c>
      <c r="O44" t="n">
        <v>0</v>
      </c>
      <c r="P44" t="n">
        <v>0</v>
      </c>
      <c r="Q44" t="n">
        <v>0</v>
      </c>
      <c r="R44" t="n">
        <v>0</v>
      </c>
      <c r="S44" t="n">
        <v>3</v>
      </c>
      <c r="T44" t="n">
        <v>3</v>
      </c>
      <c r="U44" t="n">
        <v>1</v>
      </c>
      <c r="V44" s="2" t="inlineStr">
        <is>
          <t>Grönpyrola
Plattlummer
Lopplummer (aggregat)</t>
        </is>
      </c>
      <c r="W44">
        <f>HYPERLINK("https://klasma.github.io/Logging_1907/artfynd/A 4082-2025 artfynd.xlsx", "A 4082-2025")</f>
        <v/>
      </c>
      <c r="X44">
        <f>HYPERLINK("https://klasma.github.io/Logging_1907/kartor/A 4082-2025 karta.png", "A 4082-2025")</f>
        <v/>
      </c>
      <c r="Y44">
        <f>HYPERLINK("https://klasma.github.io/Logging_1907/kartor_geotiff/A 4082-2025 georefererad karta.tif", "A 4082-2025")</f>
        <v/>
      </c>
      <c r="AA44">
        <f>HYPERLINK("https://klasma.github.io/Logging_1907/klagomål/A 4082-2025 FSC-klagomål.docx", "A 4082-2025")</f>
        <v/>
      </c>
      <c r="AB44">
        <f>HYPERLINK("https://klasma.github.io/Logging_1907/klagomålsmail/A 4082-2025 FSC-klagomål mail.docx", "A 4082-2025")</f>
        <v/>
      </c>
      <c r="AC44">
        <f>HYPERLINK("https://klasma.github.io/Logging_1907/tillsyn/A 4082-2025 tillsynsbegäran.docx", "A 4082-2025")</f>
        <v/>
      </c>
      <c r="AD44">
        <f>HYPERLINK("https://klasma.github.io/Logging_1907/tillsynsmail/A 4082-2025 tillsynsbegäran mail.docx", "A 4082-2025")</f>
        <v/>
      </c>
    </row>
    <row r="45" ht="15" customHeight="1">
      <c r="A45" t="inlineStr">
        <is>
          <t>A 63146-2025</t>
        </is>
      </c>
      <c r="B45" t="inlineStr">
        <is>
          <t>avverkningsanmälan</t>
        </is>
      </c>
      <c r="C45" t="inlineStr">
        <is>
          <t>Föryngringsavverkning</t>
        </is>
      </c>
      <c r="D45" s="1" t="n">
        <v>46009</v>
      </c>
      <c r="E45" s="1" t="n">
        <v>46253</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48128-2023</t>
        </is>
      </c>
      <c r="B46" t="inlineStr">
        <is>
          <t>avverkningsanmälan</t>
        </is>
      </c>
      <c r="C46" t="inlineStr">
        <is>
          <t>Föryngringsavverkning</t>
        </is>
      </c>
      <c r="D46" s="1" t="n">
        <v>45205</v>
      </c>
      <c r="E46" s="1" t="n">
        <v>46253</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42765-2022</t>
        </is>
      </c>
      <c r="B47" t="inlineStr">
        <is>
          <t>avverkningsanmälan</t>
        </is>
      </c>
      <c r="C47" t="inlineStr">
        <is>
          <t>Avverkning för annat ändamål</t>
        </is>
      </c>
      <c r="D47" s="1" t="n">
        <v>44832</v>
      </c>
      <c r="E47" s="1" t="n">
        <v>46253</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32443-2026</t>
        </is>
      </c>
      <c r="B48" t="inlineStr">
        <is>
          <t>avverkningsanmälan</t>
        </is>
      </c>
      <c r="C48" t="inlineStr">
        <is>
          <t>Föryngringsavverkning</t>
        </is>
      </c>
      <c r="D48" s="1" t="n">
        <v>46239</v>
      </c>
      <c r="E48" s="1" t="n">
        <v>46253</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S 1450-2022</t>
        </is>
      </c>
      <c r="B49" t="inlineStr">
        <is>
          <t>samrådsanmälan</t>
        </is>
      </c>
      <c r="C49" t="inlineStr">
        <is>
          <t>Skogsgödsling</t>
        </is>
      </c>
      <c r="D49" s="1" t="n">
        <v>44635</v>
      </c>
      <c r="E49" s="1" t="n">
        <v>46253</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46253</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46253</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46253</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14001-2023</t>
        </is>
      </c>
      <c r="B53" t="inlineStr">
        <is>
          <t>avverkningsanmälan</t>
        </is>
      </c>
      <c r="C53" t="inlineStr">
        <is>
          <t>Föryngringsavverkning</t>
        </is>
      </c>
      <c r="D53" s="1" t="n">
        <v>45007</v>
      </c>
      <c r="E53" s="1" t="n">
        <v>46253</v>
      </c>
      <c r="F53" t="inlineStr">
        <is>
          <t>VÄSTMANLANDS LÄN</t>
        </is>
      </c>
      <c r="G53" t="inlineStr">
        <is>
          <t>SURAHAMMAR</t>
        </is>
      </c>
      <c r="H53" t="inlineStr">
        <is>
          <t>Bergvik skog väst AB</t>
        </is>
      </c>
      <c r="I53" t="n">
        <v>1</v>
      </c>
      <c r="J53" t="n">
        <v>0</v>
      </c>
      <c r="K53" t="n">
        <v>0</v>
      </c>
      <c r="L53" t="n">
        <v>1</v>
      </c>
      <c r="M53" t="n">
        <v>1</v>
      </c>
      <c r="N53" t="n">
        <v>0</v>
      </c>
      <c r="O53" t="n">
        <v>0</v>
      </c>
      <c r="P53" t="n">
        <v>0</v>
      </c>
      <c r="Q53" t="n">
        <v>2</v>
      </c>
      <c r="R53" t="n">
        <v>1</v>
      </c>
      <c r="S53" t="n">
        <v>2</v>
      </c>
      <c r="T53" t="n">
        <v>2</v>
      </c>
      <c r="U53" t="n">
        <v>0</v>
      </c>
      <c r="V53" s="2" t="inlineStr">
        <is>
          <t>Garnlav
Motaggsvamp</t>
        </is>
      </c>
      <c r="W53">
        <f>HYPERLINK("https://klasma.github.io/Logging_1907/artfynd/A 14001-2023 artfynd.xlsx", "A 14001-2023")</f>
        <v/>
      </c>
      <c r="X53">
        <f>HYPERLINK("https://klasma.github.io/Logging_1907/kartor/A 14001-2023 karta.png", "A 14001-2023")</f>
        <v/>
      </c>
      <c r="Y53">
        <f>HYPERLINK("https://klasma.github.io/Logging_1907/kartor_geotiff/A 14001-2023 georefererad karta.tif", "A 14001-2023")</f>
        <v/>
      </c>
      <c r="AA53">
        <f>HYPERLINK("https://klasma.github.io/Logging_1907/klagomål/A 14001-2023 FSC-klagomål.docx", "A 14001-2023")</f>
        <v/>
      </c>
      <c r="AB53">
        <f>HYPERLINK("https://klasma.github.io/Logging_1907/klagomålsmail/A 14001-2023 FSC-klagomål mail.docx", "A 14001-2023")</f>
        <v/>
      </c>
      <c r="AC53">
        <f>HYPERLINK("https://klasma.github.io/Logging_1907/tillsyn/A 14001-2023 tillsynsbegäran.docx", "A 14001-2023")</f>
        <v/>
      </c>
      <c r="AD53">
        <f>HYPERLINK("https://klasma.github.io/Logging_1907/tillsynsmail/A 14001-2023 tillsynsbegäran mail.docx", "A 14001-2023")</f>
        <v/>
      </c>
    </row>
    <row r="54" ht="15" customHeight="1">
      <c r="A54" t="inlineStr">
        <is>
          <t>A 47453-2024</t>
        </is>
      </c>
      <c r="B54" t="inlineStr">
        <is>
          <t>avverkningsanmälan</t>
        </is>
      </c>
      <c r="C54" t="inlineStr">
        <is>
          <t>Föryngringsavverkning</t>
        </is>
      </c>
      <c r="D54" s="1" t="n">
        <v>45587</v>
      </c>
      <c r="E54" s="1" t="n">
        <v>46253</v>
      </c>
      <c r="F54" t="inlineStr">
        <is>
          <t>VÄSTMANLANDS LÄN</t>
        </is>
      </c>
      <c r="G54" t="inlineStr">
        <is>
          <t>SURAHAMMAR</t>
        </is>
      </c>
      <c r="I54" t="n">
        <v>5.1</v>
      </c>
      <c r="J54" t="n">
        <v>2</v>
      </c>
      <c r="K54" t="n">
        <v>0</v>
      </c>
      <c r="L54" t="n">
        <v>1</v>
      </c>
      <c r="M54" t="n">
        <v>0</v>
      </c>
      <c r="N54" t="n">
        <v>0</v>
      </c>
      <c r="O54" t="n">
        <v>0</v>
      </c>
      <c r="P54" t="n">
        <v>0</v>
      </c>
      <c r="Q54" t="n">
        <v>1</v>
      </c>
      <c r="R54" t="n">
        <v>0</v>
      </c>
      <c r="S54" t="n">
        <v>2</v>
      </c>
      <c r="T54" t="n">
        <v>2</v>
      </c>
      <c r="U54" t="n">
        <v>1</v>
      </c>
      <c r="V54" s="2" t="inlineStr">
        <is>
          <t>Göktyta
Gröngöling</t>
        </is>
      </c>
      <c r="W54">
        <f>HYPERLINK("https://klasma.github.io/Logging_1907/artfynd/A 47453-2024 artfynd.xlsx", "A 47453-2024")</f>
        <v/>
      </c>
      <c r="X54">
        <f>HYPERLINK("https://klasma.github.io/Logging_1907/kartor/A 47453-2024 karta.png", "A 47453-2024")</f>
        <v/>
      </c>
      <c r="Y54">
        <f>HYPERLINK("https://klasma.github.io/Logging_1907/kartor_geotiff/A 47453-2024 georefererad karta.tif", "A 47453-2024")</f>
        <v/>
      </c>
      <c r="AA54">
        <f>HYPERLINK("https://klasma.github.io/Logging_1907/klagomål/A 47453-2024 FSC-klagomål.docx", "A 47453-2024")</f>
        <v/>
      </c>
      <c r="AB54">
        <f>HYPERLINK("https://klasma.github.io/Logging_1907/klagomålsmail/A 47453-2024 FSC-klagomål mail.docx", "A 47453-2024")</f>
        <v/>
      </c>
      <c r="AC54">
        <f>HYPERLINK("https://klasma.github.io/Logging_1907/tillsyn/A 47453-2024 tillsynsbegäran.docx", "A 47453-2024")</f>
        <v/>
      </c>
      <c r="AD54">
        <f>HYPERLINK("https://klasma.github.io/Logging_1907/tillsynsmail/A 47453-2024 tillsynsbegäran mail.docx", "A 47453-2024")</f>
        <v/>
      </c>
      <c r="AE54">
        <f>HYPERLINK("https://klasma.github.io/Logging_1907/fåglar/A 47453-2024 prioriterade fågelarter.docx", "A 47453-2024")</f>
        <v/>
      </c>
    </row>
    <row r="55" ht="15" customHeight="1">
      <c r="A55" t="inlineStr">
        <is>
          <t>A 40403-2025</t>
        </is>
      </c>
      <c r="B55" t="inlineStr">
        <is>
          <t>avverkningsanmälan</t>
        </is>
      </c>
      <c r="C55" t="inlineStr">
        <is>
          <t>Föryngringsavverkning</t>
        </is>
      </c>
      <c r="D55" s="1" t="n">
        <v>45895</v>
      </c>
      <c r="E55" s="1" t="n">
        <v>46253</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11501-2023</t>
        </is>
      </c>
      <c r="B56" t="inlineStr">
        <is>
          <t>avverkningsanmälan</t>
        </is>
      </c>
      <c r="C56" t="inlineStr">
        <is>
          <t>Föryngringsavverkning</t>
        </is>
      </c>
      <c r="D56" s="1" t="n">
        <v>44991</v>
      </c>
      <c r="E56" s="1" t="n">
        <v>46253</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41204-2023</t>
        </is>
      </c>
      <c r="B57" t="inlineStr">
        <is>
          <t>avverkningsanmälan</t>
        </is>
      </c>
      <c r="C57" t="inlineStr">
        <is>
          <t>Föryngringsavverkning</t>
        </is>
      </c>
      <c r="D57" s="1" t="n">
        <v>45174</v>
      </c>
      <c r="E57" s="1" t="n">
        <v>46253</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37013-2025</t>
        </is>
      </c>
      <c r="B58" t="inlineStr">
        <is>
          <t>avverkningsanmälan</t>
        </is>
      </c>
      <c r="C58" t="inlineStr">
        <is>
          <t>Föryngringsavverkning</t>
        </is>
      </c>
      <c r="D58" s="1" t="n">
        <v>45874</v>
      </c>
      <c r="E58" s="1" t="n">
        <v>46253</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30074-2023</t>
        </is>
      </c>
      <c r="B59" t="inlineStr">
        <is>
          <t>avverkningsanmälan</t>
        </is>
      </c>
      <c r="C59" t="inlineStr">
        <is>
          <t>Föryngringsavverkning</t>
        </is>
      </c>
      <c r="D59" s="1" t="n">
        <v>45110</v>
      </c>
      <c r="E59" s="1" t="n">
        <v>46253</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63138-2025</t>
        </is>
      </c>
      <c r="B60" t="inlineStr">
        <is>
          <t>avverkningsanmälan</t>
        </is>
      </c>
      <c r="C60" t="inlineStr">
        <is>
          <t>Föryngringsavverkning</t>
        </is>
      </c>
      <c r="D60" s="1" t="n">
        <v>46009</v>
      </c>
      <c r="E60" s="1" t="n">
        <v>46253</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13971-2023</t>
        </is>
      </c>
      <c r="B61" t="inlineStr">
        <is>
          <t>avverkningsanmälan</t>
        </is>
      </c>
      <c r="C61" t="inlineStr">
        <is>
          <t>Föryngringsavverkning</t>
        </is>
      </c>
      <c r="D61" s="1" t="n">
        <v>45007</v>
      </c>
      <c r="E61" s="1" t="n">
        <v>46253</v>
      </c>
      <c r="F61" t="inlineStr">
        <is>
          <t>VÄSTMANLANDS LÄN</t>
        </is>
      </c>
      <c r="G61" t="inlineStr">
        <is>
          <t>SURAHAMMAR</t>
        </is>
      </c>
      <c r="H61" t="inlineStr">
        <is>
          <t>Bergvik skog väst AB</t>
        </is>
      </c>
      <c r="I61" t="n">
        <v>2.9</v>
      </c>
      <c r="J61" t="n">
        <v>2</v>
      </c>
      <c r="K61" t="n">
        <v>0</v>
      </c>
      <c r="L61" t="n">
        <v>0</v>
      </c>
      <c r="M61" t="n">
        <v>0</v>
      </c>
      <c r="N61" t="n">
        <v>0</v>
      </c>
      <c r="O61" t="n">
        <v>0</v>
      </c>
      <c r="P61" t="n">
        <v>0</v>
      </c>
      <c r="Q61" t="n">
        <v>0</v>
      </c>
      <c r="R61" t="n">
        <v>0</v>
      </c>
      <c r="S61" t="n">
        <v>2</v>
      </c>
      <c r="T61" t="n">
        <v>3</v>
      </c>
      <c r="U61" t="n">
        <v>0</v>
      </c>
      <c r="V61" s="2" t="inlineStr">
        <is>
          <t>Dubbelnycklar
Fläcknycklar</t>
        </is>
      </c>
      <c r="W61">
        <f>HYPERLINK("https://klasma.github.io/Logging_1907/artfynd/A 13971-2023 artfynd.xlsx", "A 13971-2023")</f>
        <v/>
      </c>
      <c r="X61">
        <f>HYPERLINK("https://klasma.github.io/Logging_1907/kartor/A 13971-2023 karta.png", "A 13971-2023")</f>
        <v/>
      </c>
      <c r="Y61">
        <f>HYPERLINK("https://klasma.github.io/Logging_1907/kartor_geotiff/A 13971-2023 georefererad karta.tif", "A 13971-2023")</f>
        <v/>
      </c>
      <c r="AA61">
        <f>HYPERLINK("https://klasma.github.io/Logging_1907/klagomål/A 13971-2023 FSC-klagomål.docx", "A 13971-2023")</f>
        <v/>
      </c>
      <c r="AB61">
        <f>HYPERLINK("https://klasma.github.io/Logging_1907/klagomålsmail/A 13971-2023 FSC-klagomål mail.docx", "A 13971-2023")</f>
        <v/>
      </c>
      <c r="AC61">
        <f>HYPERLINK("https://klasma.github.io/Logging_1907/tillsyn/A 13971-2023 tillsynsbegäran.docx", "A 13971-2023")</f>
        <v/>
      </c>
      <c r="AD61">
        <f>HYPERLINK("https://klasma.github.io/Logging_1907/tillsynsmail/A 13971-2023 tillsynsbegäran mail.docx", "A 13971-2023")</f>
        <v/>
      </c>
    </row>
    <row r="62" ht="15" customHeight="1">
      <c r="A62" t="inlineStr">
        <is>
          <t>A 13788-2025</t>
        </is>
      </c>
      <c r="B62" t="inlineStr">
        <is>
          <t>avverkningsanmälan</t>
        </is>
      </c>
      <c r="C62" t="inlineStr">
        <is>
          <t>Föryngringsavverkning</t>
        </is>
      </c>
      <c r="D62" s="1" t="n">
        <v>45737</v>
      </c>
      <c r="E62" s="1" t="n">
        <v>46253</v>
      </c>
      <c r="F62" t="inlineStr">
        <is>
          <t>VÄSTMANLANDS LÄN</t>
        </is>
      </c>
      <c r="G62" t="inlineStr">
        <is>
          <t>SURAHAMMAR</t>
        </is>
      </c>
      <c r="I62" t="n">
        <v>9.699999999999999</v>
      </c>
      <c r="J62" t="n">
        <v>2</v>
      </c>
      <c r="K62" t="n">
        <v>0</v>
      </c>
      <c r="L62" t="n">
        <v>1</v>
      </c>
      <c r="M62" t="n">
        <v>0</v>
      </c>
      <c r="N62" t="n">
        <v>0</v>
      </c>
      <c r="O62" t="n">
        <v>0</v>
      </c>
      <c r="P62" t="n">
        <v>0</v>
      </c>
      <c r="Q62" t="n">
        <v>1</v>
      </c>
      <c r="R62" t="n">
        <v>0</v>
      </c>
      <c r="S62" t="n">
        <v>2</v>
      </c>
      <c r="T62" t="n">
        <v>2</v>
      </c>
      <c r="U62" t="n">
        <v>2</v>
      </c>
      <c r="V62" s="2" t="inlineStr">
        <is>
          <t>Sparvuggla
Nattskärra</t>
        </is>
      </c>
      <c r="W62">
        <f>HYPERLINK("https://klasma.github.io/Logging_1907/artfynd/A 13788-2025 artfynd.xlsx", "A 13788-2025")</f>
        <v/>
      </c>
      <c r="X62">
        <f>HYPERLINK("https://klasma.github.io/Logging_1907/kartor/A 13788-2025 karta.png", "A 13788-2025")</f>
        <v/>
      </c>
      <c r="Y62">
        <f>HYPERLINK("https://klasma.github.io/Logging_1907/kartor_geotiff/A 13788-2025 georefererad karta.tif", "A 13788-2025")</f>
        <v/>
      </c>
      <c r="AA62">
        <f>HYPERLINK("https://klasma.github.io/Logging_1907/klagomål/A 13788-2025 FSC-klagomål.docx", "A 13788-2025")</f>
        <v/>
      </c>
      <c r="AB62">
        <f>HYPERLINK("https://klasma.github.io/Logging_1907/klagomålsmail/A 13788-2025 FSC-klagomål mail.docx", "A 13788-2025")</f>
        <v/>
      </c>
      <c r="AC62">
        <f>HYPERLINK("https://klasma.github.io/Logging_1907/tillsyn/A 13788-2025 tillsynsbegäran.docx", "A 13788-2025")</f>
        <v/>
      </c>
      <c r="AD62">
        <f>HYPERLINK("https://klasma.github.io/Logging_1907/tillsynsmail/A 13788-2025 tillsynsbegäran mail.docx", "A 13788-2025")</f>
        <v/>
      </c>
      <c r="AE62">
        <f>HYPERLINK("https://klasma.github.io/Logging_1907/fåglar/A 13788-2025 prioriterade fågelarter.docx", "A 13788-2025")</f>
        <v/>
      </c>
    </row>
    <row r="63" ht="15" customHeight="1">
      <c r="A63" t="inlineStr">
        <is>
          <t>S 703-2025</t>
        </is>
      </c>
      <c r="B63" t="inlineStr">
        <is>
          <t>samrådsanmälan</t>
        </is>
      </c>
      <c r="C63" t="inlineStr">
        <is>
          <t>Skogsgödsling</t>
        </is>
      </c>
      <c r="D63" s="1" t="n">
        <v>45720</v>
      </c>
      <c r="E63" s="1" t="n">
        <v>46253</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46253</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46253</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46253</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46253</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46253</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8553-2023</t>
        </is>
      </c>
      <c r="B69" t="inlineStr">
        <is>
          <t>avverkningsanmälan</t>
        </is>
      </c>
      <c r="C69" t="inlineStr">
        <is>
          <t>Avverkning för att bevara och utveckla /försöksver</t>
        </is>
      </c>
      <c r="D69" s="1" t="n">
        <v>44977</v>
      </c>
      <c r="E69" s="1" t="n">
        <v>46253</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16013-2023</t>
        </is>
      </c>
      <c r="B70" t="inlineStr">
        <is>
          <t>avverkningsanmälan</t>
        </is>
      </c>
      <c r="C70" t="inlineStr">
        <is>
          <t>Föryngringsavverkning</t>
        </is>
      </c>
      <c r="D70" s="1" t="n">
        <v>45026</v>
      </c>
      <c r="E70" s="1" t="n">
        <v>46253</v>
      </c>
      <c r="F70" t="inlineStr">
        <is>
          <t>VÄSTMANLANDS LÄN</t>
        </is>
      </c>
      <c r="G70" t="inlineStr">
        <is>
          <t>SURAHAMMAR</t>
        </is>
      </c>
      <c r="I70" t="n">
        <v>3.9</v>
      </c>
      <c r="J70" t="n">
        <v>0</v>
      </c>
      <c r="K70" t="n">
        <v>0</v>
      </c>
      <c r="L70" t="n">
        <v>0</v>
      </c>
      <c r="M70" t="n">
        <v>1</v>
      </c>
      <c r="N70" t="n">
        <v>0</v>
      </c>
      <c r="O70" t="n">
        <v>0</v>
      </c>
      <c r="P70" t="n">
        <v>0</v>
      </c>
      <c r="Q70" t="n">
        <v>1</v>
      </c>
      <c r="R70" t="n">
        <v>1</v>
      </c>
      <c r="S70" t="n">
        <v>1</v>
      </c>
      <c r="T70" t="n">
        <v>1</v>
      </c>
      <c r="U70" t="n">
        <v>0</v>
      </c>
      <c r="V70" s="2" t="inlineStr">
        <is>
          <t>Garnlav</t>
        </is>
      </c>
      <c r="W70">
        <f>HYPERLINK("https://klasma.github.io/Logging_1907/artfynd/A 16013-2023 artfynd.xlsx", "A 16013-2023")</f>
        <v/>
      </c>
      <c r="X70">
        <f>HYPERLINK("https://klasma.github.io/Logging_1907/kartor/A 16013-2023 karta.png", "A 16013-2023")</f>
        <v/>
      </c>
      <c r="Y70">
        <f>HYPERLINK("https://klasma.github.io/Logging_1907/kartor_geotiff/A 16013-2023 georefererad karta.tif", "A 16013-2023")</f>
        <v/>
      </c>
      <c r="AA70">
        <f>HYPERLINK("https://klasma.github.io/Logging_1907/klagomål/A 16013-2023 FSC-klagomål.docx", "A 16013-2023")</f>
        <v/>
      </c>
      <c r="AB70">
        <f>HYPERLINK("https://klasma.github.io/Logging_1907/klagomålsmail/A 16013-2023 FSC-klagomål mail.docx", "A 16013-2023")</f>
        <v/>
      </c>
      <c r="AC70">
        <f>HYPERLINK("https://klasma.github.io/Logging_1907/tillsyn/A 16013-2023 tillsynsbegäran.docx", "A 16013-2023")</f>
        <v/>
      </c>
      <c r="AD70">
        <f>HYPERLINK("https://klasma.github.io/Logging_1907/tillsynsmail/A 16013-2023 tillsynsbegäran mail.docx", "A 16013-2023")</f>
        <v/>
      </c>
    </row>
    <row r="71" ht="15" customHeight="1">
      <c r="A71" t="inlineStr">
        <is>
          <t>A 34584-2025</t>
        </is>
      </c>
      <c r="B71" t="inlineStr">
        <is>
          <t>avverkningsanmälan</t>
        </is>
      </c>
      <c r="C71" t="inlineStr">
        <is>
          <t>Föryngringsavverkning</t>
        </is>
      </c>
      <c r="D71" s="1" t="n">
        <v>45846</v>
      </c>
      <c r="E71" s="1" t="n">
        <v>46253</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34955-2022</t>
        </is>
      </c>
      <c r="B72" t="inlineStr">
        <is>
          <t>avverkningsanmälan</t>
        </is>
      </c>
      <c r="C72" t="inlineStr">
        <is>
          <t>Föryngringsavverkning</t>
        </is>
      </c>
      <c r="D72" s="1" t="n">
        <v>44796</v>
      </c>
      <c r="E72" s="1" t="n">
        <v>46253</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46253</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46253</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46253</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46253</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46253</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46253</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46253</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31589-2026</t>
        </is>
      </c>
      <c r="B80" t="inlineStr">
        <is>
          <t>avverkningsanmälan</t>
        </is>
      </c>
      <c r="C80" t="inlineStr">
        <is>
          <t>Föryngringsavverkning</t>
        </is>
      </c>
      <c r="D80" s="1" t="n">
        <v>46224</v>
      </c>
      <c r="E80" s="1" t="n">
        <v>46253</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17632-2022</t>
        </is>
      </c>
      <c r="B81" t="inlineStr">
        <is>
          <t>avverkningsanmälan</t>
        </is>
      </c>
      <c r="C81" t="inlineStr">
        <is>
          <t>Föryngringsavverkning</t>
        </is>
      </c>
      <c r="D81" s="1" t="n">
        <v>44680</v>
      </c>
      <c r="E81" s="1" t="n">
        <v>46253</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64073-2021</t>
        </is>
      </c>
      <c r="B82" t="inlineStr">
        <is>
          <t>avverkningsanmälan</t>
        </is>
      </c>
      <c r="C82" t="inlineStr">
        <is>
          <t>Avverkning för annat ändamål</t>
        </is>
      </c>
      <c r="D82" s="1" t="n">
        <v>44509</v>
      </c>
      <c r="E82" s="1" t="n">
        <v>46253</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46253</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46253</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46253</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46253</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46253</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46253</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46253</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46253</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21509-2024</t>
        </is>
      </c>
      <c r="B91" t="inlineStr">
        <is>
          <t>avverkningsanmälan</t>
        </is>
      </c>
      <c r="C91" t="inlineStr">
        <is>
          <t>Föryngringsavverkning</t>
        </is>
      </c>
      <c r="D91" s="1" t="n">
        <v>45441</v>
      </c>
      <c r="E91" s="1" t="n">
        <v>46253</v>
      </c>
      <c r="F91" t="inlineStr">
        <is>
          <t>VÄSTMANLANDS LÄN</t>
        </is>
      </c>
      <c r="G91" t="inlineStr">
        <is>
          <t>SURAHAMMAR</t>
        </is>
      </c>
      <c r="H91" t="inlineStr">
        <is>
          <t>Bergvik skog väst AB</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24158-2023</t>
        </is>
      </c>
      <c r="B92" t="inlineStr">
        <is>
          <t>avverkningsanmälan</t>
        </is>
      </c>
      <c r="C92" t="inlineStr">
        <is>
          <t>Föryngringsavverkning</t>
        </is>
      </c>
      <c r="D92" s="1" t="n">
        <v>45079</v>
      </c>
      <c r="E92" s="1" t="n">
        <v>46253</v>
      </c>
      <c r="F92" t="inlineStr">
        <is>
          <t>VÄSTMANLANDS LÄN</t>
        </is>
      </c>
      <c r="G92" t="inlineStr">
        <is>
          <t>SURAHAMMAR</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46253</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46253</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3818-2022</t>
        </is>
      </c>
      <c r="B95" t="inlineStr">
        <is>
          <t>avverkningsanmälan</t>
        </is>
      </c>
      <c r="C95" t="inlineStr">
        <is>
          <t>Föryngringsavverkning</t>
        </is>
      </c>
      <c r="D95" s="1" t="n">
        <v>44587</v>
      </c>
      <c r="E95" s="1" t="n">
        <v>46253</v>
      </c>
      <c r="F95" t="inlineStr">
        <is>
          <t>VÄSTMANLANDS LÄN</t>
        </is>
      </c>
      <c r="G95" t="inlineStr">
        <is>
          <t>SURAHAMMAR</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4724-2026</t>
        </is>
      </c>
      <c r="B96" t="inlineStr">
        <is>
          <t>avverkningsanmälan</t>
        </is>
      </c>
      <c r="C96" t="inlineStr">
        <is>
          <t>Föryngringsavverkning</t>
        </is>
      </c>
      <c r="D96" s="1" t="n">
        <v>46048</v>
      </c>
      <c r="E96" s="1" t="n">
        <v>46253</v>
      </c>
      <c r="F96" t="inlineStr">
        <is>
          <t>VÄSTMANLANDS LÄN</t>
        </is>
      </c>
      <c r="G96" t="inlineStr">
        <is>
          <t>SURAHAMMAR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4734-2026</t>
        </is>
      </c>
      <c r="B97" t="inlineStr">
        <is>
          <t>avverkningsanmälan</t>
        </is>
      </c>
      <c r="C97" t="inlineStr">
        <is>
          <t>Föryngringsavverkning</t>
        </is>
      </c>
      <c r="D97" s="1" t="n">
        <v>46048</v>
      </c>
      <c r="E97" s="1" t="n">
        <v>46253</v>
      </c>
      <c r="F97" t="inlineStr">
        <is>
          <t>VÄSTMANLANDS LÄN</t>
        </is>
      </c>
      <c r="G97" t="inlineStr">
        <is>
          <t>SURAHAMMAR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19782-2023</t>
        </is>
      </c>
      <c r="B98" t="inlineStr">
        <is>
          <t>avverkningsanmälan</t>
        </is>
      </c>
      <c r="C98" t="inlineStr">
        <is>
          <t>Föryngringsavverkning</t>
        </is>
      </c>
      <c r="D98" s="1" t="n">
        <v>45050</v>
      </c>
      <c r="E98" s="1" t="n">
        <v>46253</v>
      </c>
      <c r="F98" t="inlineStr">
        <is>
          <t>VÄSTMANLANDS LÄN</t>
        </is>
      </c>
      <c r="G98" t="inlineStr">
        <is>
          <t>SURAHAMMAR</t>
        </is>
      </c>
      <c r="H98" t="inlineStr">
        <is>
          <t>Bergvik skog väst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14626-2023</t>
        </is>
      </c>
      <c r="B99" t="inlineStr">
        <is>
          <t>avverkningsanmälan</t>
        </is>
      </c>
      <c r="C99" t="inlineStr">
        <is>
          <t>Föryngringsavverkning</t>
        </is>
      </c>
      <c r="D99" s="1" t="n">
        <v>45012</v>
      </c>
      <c r="E99" s="1" t="n">
        <v>46253</v>
      </c>
      <c r="F99" t="inlineStr">
        <is>
          <t>VÄSTMANLANDS LÄN</t>
        </is>
      </c>
      <c r="G99" t="inlineStr">
        <is>
          <t>SURAHAMMAR</t>
        </is>
      </c>
      <c r="H99" t="inlineStr">
        <is>
          <t>Bergvik skog väst AB</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56378-2023</t>
        </is>
      </c>
      <c r="B100" t="inlineStr">
        <is>
          <t>avverkningsanmälan</t>
        </is>
      </c>
      <c r="C100" t="inlineStr">
        <is>
          <t>Föryngringsavverkning</t>
        </is>
      </c>
      <c r="D100" s="1" t="n">
        <v>45236</v>
      </c>
      <c r="E100" s="1" t="n">
        <v>46253</v>
      </c>
      <c r="F100" t="inlineStr">
        <is>
          <t>VÄSTMANLANDS LÄN</t>
        </is>
      </c>
      <c r="G100" t="inlineStr">
        <is>
          <t>SURAHAMMAR</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11728-2023</t>
        </is>
      </c>
      <c r="B101" t="inlineStr">
        <is>
          <t>avverkningsanmälan</t>
        </is>
      </c>
      <c r="C101" t="inlineStr">
        <is>
          <t>Avverkning för att bevara och utveckla /försöksver</t>
        </is>
      </c>
      <c r="D101" s="1" t="n">
        <v>44993</v>
      </c>
      <c r="E101" s="1" t="n">
        <v>46253</v>
      </c>
      <c r="F101" t="inlineStr">
        <is>
          <t>VÄSTMANLANDS LÄN</t>
        </is>
      </c>
      <c r="G101" t="inlineStr">
        <is>
          <t>SURAHAMMAR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46253</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46253</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46253</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10347-2026</t>
        </is>
      </c>
      <c r="B105" t="inlineStr">
        <is>
          <t>avverkningsanmälan</t>
        </is>
      </c>
      <c r="C105" t="inlineStr">
        <is>
          <t>Föryngringsavverkning</t>
        </is>
      </c>
      <c r="D105" s="1" t="n">
        <v>46076</v>
      </c>
      <c r="E105" s="1" t="n">
        <v>46253</v>
      </c>
      <c r="F105" t="inlineStr">
        <is>
          <t>VÄSTMANLANDS LÄN</t>
        </is>
      </c>
      <c r="G105" t="inlineStr">
        <is>
          <t>SURAHAMMAR</t>
        </is>
      </c>
      <c r="H105" t="inlineStr">
        <is>
          <t>Allmännings- och besparingsskogar</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20904-2023</t>
        </is>
      </c>
      <c r="B106" t="inlineStr">
        <is>
          <t>avverkningsanmälan</t>
        </is>
      </c>
      <c r="C106" t="inlineStr">
        <is>
          <t>Avverkning för att bevara och utveckla /försöksver</t>
        </is>
      </c>
      <c r="D106" s="1" t="n">
        <v>45060</v>
      </c>
      <c r="E106" s="1" t="n">
        <v>46253</v>
      </c>
      <c r="F106" t="inlineStr">
        <is>
          <t>VÄSTMANLANDS LÄN</t>
        </is>
      </c>
      <c r="G106" t="inlineStr">
        <is>
          <t>SURAHAMMAR</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46253</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42829-2022</t>
        </is>
      </c>
      <c r="B108" t="inlineStr">
        <is>
          <t>avverkningsanmälan</t>
        </is>
      </c>
      <c r="C108" t="inlineStr">
        <is>
          <t>Avverkning för annat ändamål</t>
        </is>
      </c>
      <c r="D108" s="1" t="n">
        <v>44832</v>
      </c>
      <c r="E108" s="1" t="n">
        <v>46253</v>
      </c>
      <c r="F108" t="inlineStr">
        <is>
          <t>VÄSTMANLANDS LÄN</t>
        </is>
      </c>
      <c r="G108" t="inlineStr">
        <is>
          <t>SURAHAMMAR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48205-2023</t>
        </is>
      </c>
      <c r="B109" t="inlineStr">
        <is>
          <t>avverkningsanmälan</t>
        </is>
      </c>
      <c r="C109" t="inlineStr">
        <is>
          <t>Föryngringsavverkning</t>
        </is>
      </c>
      <c r="D109" s="1" t="n">
        <v>45205</v>
      </c>
      <c r="E109" s="1" t="n">
        <v>46253</v>
      </c>
      <c r="F109" t="inlineStr">
        <is>
          <t>VÄSTMANLANDS LÄN</t>
        </is>
      </c>
      <c r="G109" t="inlineStr">
        <is>
          <t>SURAHAMMAR</t>
        </is>
      </c>
      <c r="H109" t="inlineStr">
        <is>
          <t>Allmännings- och besparingsskogar</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33931-2022</t>
        </is>
      </c>
      <c r="B110" t="inlineStr">
        <is>
          <t>avverkningsanmälan</t>
        </is>
      </c>
      <c r="C110" t="inlineStr">
        <is>
          <t>Föryngringsavverkning</t>
        </is>
      </c>
      <c r="D110" s="1" t="n">
        <v>44790</v>
      </c>
      <c r="E110" s="1" t="n">
        <v>46253</v>
      </c>
      <c r="F110" t="inlineStr">
        <is>
          <t>VÄSTMANLANDS LÄN</t>
        </is>
      </c>
      <c r="G110" t="inlineStr">
        <is>
          <t>SURAHAMMAR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46253</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22662-2023</t>
        </is>
      </c>
      <c r="B112" t="inlineStr">
        <is>
          <t>avverkningsanmälan</t>
        </is>
      </c>
      <c r="C112" t="inlineStr">
        <is>
          <t>Avverkning för att bevara och utveckla /försöksver</t>
        </is>
      </c>
      <c r="D112" s="1" t="n">
        <v>45071</v>
      </c>
      <c r="E112" s="1" t="n">
        <v>46253</v>
      </c>
      <c r="F112" t="inlineStr">
        <is>
          <t>VÄSTMANLANDS LÄN</t>
        </is>
      </c>
      <c r="G112" t="inlineStr">
        <is>
          <t>SURAHAMMAR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46253</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37954-2025</t>
        </is>
      </c>
      <c r="B114" t="inlineStr">
        <is>
          <t>avverkningsanmälan</t>
        </is>
      </c>
      <c r="C114" t="inlineStr">
        <is>
          <t>Föryngringsavverkning</t>
        </is>
      </c>
      <c r="D114" s="1" t="n">
        <v>45881</v>
      </c>
      <c r="E114" s="1" t="n">
        <v>46253</v>
      </c>
      <c r="F114" t="inlineStr">
        <is>
          <t>VÄSTMANLANDS LÄN</t>
        </is>
      </c>
      <c r="G114" t="inlineStr">
        <is>
          <t>SURAHAMMAR</t>
        </is>
      </c>
      <c r="I114" t="n">
        <v>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46253</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46253</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25450-2024</t>
        </is>
      </c>
      <c r="B117" t="inlineStr">
        <is>
          <t>avverkningsanmälan</t>
        </is>
      </c>
      <c r="C117" t="inlineStr">
        <is>
          <t>Föryngringsavverkning</t>
        </is>
      </c>
      <c r="D117" s="1" t="n">
        <v>45463</v>
      </c>
      <c r="E117" s="1" t="n">
        <v>46253</v>
      </c>
      <c r="F117" t="inlineStr">
        <is>
          <t>VÄSTMANLANDS LÄN</t>
        </is>
      </c>
      <c r="G117" t="inlineStr">
        <is>
          <t>SURAHAMMAR</t>
        </is>
      </c>
      <c r="H117" t="inlineStr">
        <is>
          <t>Bergvik skog väst AB</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46253</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46253</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72367-2021</t>
        </is>
      </c>
      <c r="B120" t="inlineStr">
        <is>
          <t>avverkningsanmälan</t>
        </is>
      </c>
      <c r="C120" t="inlineStr">
        <is>
          <t>Föryngringsavverkning</t>
        </is>
      </c>
      <c r="D120" s="1" t="n">
        <v>44545</v>
      </c>
      <c r="E120" s="1" t="n">
        <v>46253</v>
      </c>
      <c r="F120" t="inlineStr">
        <is>
          <t>VÄSTMANLANDS LÄN</t>
        </is>
      </c>
      <c r="G120" t="inlineStr">
        <is>
          <t>SURAHAMMAR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42714-2022</t>
        </is>
      </c>
      <c r="B121" t="inlineStr">
        <is>
          <t>avverkningsanmälan</t>
        </is>
      </c>
      <c r="C121" t="inlineStr">
        <is>
          <t>Föryngringsavverkning</t>
        </is>
      </c>
      <c r="D121" s="1" t="n">
        <v>44832</v>
      </c>
      <c r="E121" s="1" t="n">
        <v>46253</v>
      </c>
      <c r="F121" t="inlineStr">
        <is>
          <t>VÄSTMANLANDS LÄN</t>
        </is>
      </c>
      <c r="G121" t="inlineStr">
        <is>
          <t>SURAHAMMAR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24201-2026</t>
        </is>
      </c>
      <c r="B122" t="inlineStr">
        <is>
          <t>avverkningsanmälan</t>
        </is>
      </c>
      <c r="C122" t="inlineStr">
        <is>
          <t>Föryngringsavverkning</t>
        </is>
      </c>
      <c r="D122" s="1" t="n">
        <v>46168</v>
      </c>
      <c r="E122" s="1" t="n">
        <v>46253</v>
      </c>
      <c r="F122" t="inlineStr">
        <is>
          <t>VÄSTMANLANDS LÄN</t>
        </is>
      </c>
      <c r="G122" t="inlineStr">
        <is>
          <t>SURAHAMMAR</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19099-2022</t>
        </is>
      </c>
      <c r="B123" t="inlineStr">
        <is>
          <t>avverkningsanmälan</t>
        </is>
      </c>
      <c r="C123" t="inlineStr">
        <is>
          <t>Föryngringsavverkning</t>
        </is>
      </c>
      <c r="D123" s="1" t="n">
        <v>44691</v>
      </c>
      <c r="E123" s="1" t="n">
        <v>46253</v>
      </c>
      <c r="F123" t="inlineStr">
        <is>
          <t>VÄSTMANLANDS LÄN</t>
        </is>
      </c>
      <c r="G123" t="inlineStr">
        <is>
          <t>SURAHAMMAR</t>
        </is>
      </c>
      <c r="H123" t="inlineStr">
        <is>
          <t>Övriga Aktiebolag</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31061-2026</t>
        </is>
      </c>
      <c r="B124" t="inlineStr">
        <is>
          <t>avverkningsanmälan</t>
        </is>
      </c>
      <c r="C124" t="inlineStr">
        <is>
          <t>Föryngringsavverkning</t>
        </is>
      </c>
      <c r="D124" s="1" t="n">
        <v>46215</v>
      </c>
      <c r="E124" s="1" t="n">
        <v>46253</v>
      </c>
      <c r="F124" t="inlineStr">
        <is>
          <t>VÄSTMANLANDS LÄN</t>
        </is>
      </c>
      <c r="G124" t="inlineStr">
        <is>
          <t>SURAHAMMAR</t>
        </is>
      </c>
      <c r="H124" t="inlineStr">
        <is>
          <t>Sveaskog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25780-2023</t>
        </is>
      </c>
      <c r="B125" t="inlineStr">
        <is>
          <t>avverkningsanmälan</t>
        </is>
      </c>
      <c r="C125" t="inlineStr">
        <is>
          <t>Föryngringsavverkning</t>
        </is>
      </c>
      <c r="D125" s="1" t="n">
        <v>45090</v>
      </c>
      <c r="E125" s="1" t="n">
        <v>46253</v>
      </c>
      <c r="F125" t="inlineStr">
        <is>
          <t>VÄSTMANLANDS LÄN</t>
        </is>
      </c>
      <c r="G125" t="inlineStr">
        <is>
          <t>SURAHAMMAR</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35682-2022</t>
        </is>
      </c>
      <c r="B126" t="inlineStr">
        <is>
          <t>avverkningsanmälan</t>
        </is>
      </c>
      <c r="C126" t="inlineStr">
        <is>
          <t>Föryngringsavverkning</t>
        </is>
      </c>
      <c r="D126" s="1" t="n">
        <v>44799</v>
      </c>
      <c r="E126" s="1" t="n">
        <v>46253</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2867-2024</t>
        </is>
      </c>
      <c r="B127" t="inlineStr">
        <is>
          <t>avverkningsanmälan</t>
        </is>
      </c>
      <c r="C127" t="inlineStr">
        <is>
          <t>Föryngringsavverkning</t>
        </is>
      </c>
      <c r="D127" s="1" t="n">
        <v>45315</v>
      </c>
      <c r="E127" s="1" t="n">
        <v>46253</v>
      </c>
      <c r="F127" t="inlineStr">
        <is>
          <t>VÄSTMANLANDS LÄN</t>
        </is>
      </c>
      <c r="G127" t="inlineStr">
        <is>
          <t>SURAHAMMAR</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2660-2024</t>
        </is>
      </c>
      <c r="B128" t="inlineStr">
        <is>
          <t>avverkningsanmälan</t>
        </is>
      </c>
      <c r="C128" t="inlineStr">
        <is>
          <t>Föryngringsavverkning</t>
        </is>
      </c>
      <c r="D128" s="1" t="n">
        <v>45310</v>
      </c>
      <c r="E128" s="1" t="n">
        <v>46253</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32223-2026</t>
        </is>
      </c>
      <c r="B129" t="inlineStr">
        <is>
          <t>avverkningsanmälan</t>
        </is>
      </c>
      <c r="C129" t="inlineStr">
        <is>
          <t>Föryngringsavverkning</t>
        </is>
      </c>
      <c r="D129" s="1" t="n">
        <v>46237</v>
      </c>
      <c r="E129" s="1" t="n">
        <v>46253</v>
      </c>
      <c r="F129" t="inlineStr">
        <is>
          <t>VÄSTMANLANDS LÄN</t>
        </is>
      </c>
      <c r="G129" t="inlineStr">
        <is>
          <t>SURAHAMMAR</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5567-2022</t>
        </is>
      </c>
      <c r="B130" t="inlineStr">
        <is>
          <t>avverkningsanmälan</t>
        </is>
      </c>
      <c r="C130" t="inlineStr">
        <is>
          <t>Föryngringsavverkning</t>
        </is>
      </c>
      <c r="D130" s="1" t="n">
        <v>44595</v>
      </c>
      <c r="E130" s="1" t="n">
        <v>46253</v>
      </c>
      <c r="F130" t="inlineStr">
        <is>
          <t>VÄSTMANLANDS LÄN</t>
        </is>
      </c>
      <c r="G130" t="inlineStr">
        <is>
          <t>SURAHAMMAR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46253</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46253</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3085-2023</t>
        </is>
      </c>
      <c r="B133" t="inlineStr">
        <is>
          <t>avverkningsanmälan</t>
        </is>
      </c>
      <c r="C133" t="inlineStr">
        <is>
          <t>Föryngringsavverkning</t>
        </is>
      </c>
      <c r="D133" s="1" t="n">
        <v>44946</v>
      </c>
      <c r="E133" s="1" t="n">
        <v>46253</v>
      </c>
      <c r="F133" t="inlineStr">
        <is>
          <t>VÄSTMANLANDS LÄN</t>
        </is>
      </c>
      <c r="G133" t="inlineStr">
        <is>
          <t>SURAHAMMAR</t>
        </is>
      </c>
      <c r="H133" t="inlineStr">
        <is>
          <t>Kyrkan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33933-2026</t>
        </is>
      </c>
      <c r="B134" t="inlineStr">
        <is>
          <t>avverkningsanmälan</t>
        </is>
      </c>
      <c r="C134" t="inlineStr">
        <is>
          <t>Föryngringsavverkning</t>
        </is>
      </c>
      <c r="D134" s="1" t="n">
        <v>46248</v>
      </c>
      <c r="E134" s="1" t="n">
        <v>46253</v>
      </c>
      <c r="F134" t="inlineStr">
        <is>
          <t>VÄSTMANLANDS LÄN</t>
        </is>
      </c>
      <c r="G134" t="inlineStr">
        <is>
          <t>SURAHAMMAR</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7848-2022</t>
        </is>
      </c>
      <c r="B135" t="inlineStr">
        <is>
          <t>avverkningsanmälan</t>
        </is>
      </c>
      <c r="C135" t="inlineStr">
        <is>
          <t>Föryngringsavverkning</t>
        </is>
      </c>
      <c r="D135" s="1" t="n">
        <v>44608</v>
      </c>
      <c r="E135" s="1" t="n">
        <v>46253</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15743-2023</t>
        </is>
      </c>
      <c r="B136" t="inlineStr">
        <is>
          <t>avverkningsanmälan</t>
        </is>
      </c>
      <c r="C136" t="inlineStr">
        <is>
          <t>Föryngringsavverkning</t>
        </is>
      </c>
      <c r="D136" s="1" t="n">
        <v>45021</v>
      </c>
      <c r="E136" s="1" t="n">
        <v>46253</v>
      </c>
      <c r="F136" t="inlineStr">
        <is>
          <t>VÄSTMANLANDS LÄN</t>
        </is>
      </c>
      <c r="G136" t="inlineStr">
        <is>
          <t>SURAHAMMAR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15637-2022</t>
        </is>
      </c>
      <c r="B137" t="inlineStr">
        <is>
          <t>avverkningsanmälan</t>
        </is>
      </c>
      <c r="C137" t="inlineStr">
        <is>
          <t>Föryngringsavverkning</t>
        </is>
      </c>
      <c r="D137" s="1" t="n">
        <v>44662</v>
      </c>
      <c r="E137" s="1" t="n">
        <v>46253</v>
      </c>
      <c r="F137" t="inlineStr">
        <is>
          <t>VÄSTMANLANDS LÄN</t>
        </is>
      </c>
      <c r="G137" t="inlineStr">
        <is>
          <t>SURAHAMMAR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19786-2023</t>
        </is>
      </c>
      <c r="B138" t="inlineStr">
        <is>
          <t>avverkningsanmälan</t>
        </is>
      </c>
      <c r="C138" t="inlineStr">
        <is>
          <t>Föryngringsavverkning</t>
        </is>
      </c>
      <c r="D138" s="1" t="n">
        <v>45050</v>
      </c>
      <c r="E138" s="1" t="n">
        <v>46253</v>
      </c>
      <c r="F138" t="inlineStr">
        <is>
          <t>VÄSTMANLANDS LÄN</t>
        </is>
      </c>
      <c r="G138" t="inlineStr">
        <is>
          <t>SURAHAMMAR</t>
        </is>
      </c>
      <c r="H138" t="inlineStr">
        <is>
          <t>Bergvik skog väst AB</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7787-2024</t>
        </is>
      </c>
      <c r="B139" t="inlineStr">
        <is>
          <t>avverkningsanmälan</t>
        </is>
      </c>
      <c r="C139" t="inlineStr">
        <is>
          <t>Föryngringsavverkning</t>
        </is>
      </c>
      <c r="D139" s="1" t="n">
        <v>45348</v>
      </c>
      <c r="E139" s="1" t="n">
        <v>46253</v>
      </c>
      <c r="F139" t="inlineStr">
        <is>
          <t>VÄSTMANLANDS LÄN</t>
        </is>
      </c>
      <c r="G139" t="inlineStr">
        <is>
          <t>SURAHAMMAR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15739-2023</t>
        </is>
      </c>
      <c r="B140" t="inlineStr">
        <is>
          <t>avverkningsanmälan</t>
        </is>
      </c>
      <c r="C140" t="inlineStr">
        <is>
          <t>Föryngringsavverkning</t>
        </is>
      </c>
      <c r="D140" s="1" t="n">
        <v>45021</v>
      </c>
      <c r="E140" s="1" t="n">
        <v>46253</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46253</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46253</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46253</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2026-08-19T01:45:21Z</dcterms:created>
  <dcterms:modified xmlns:dcterms="http://purl.org/dc/terms/" xmlns:xsi="http://www.w3.org/2001/XMLSchema-instance" xsi:type="dcterms:W3CDTF">2026-08-19T01:45:21Z</dcterms:modified>
</cp:coreProperties>
</file>