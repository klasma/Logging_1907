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45928</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45928</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45928</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45928</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45928</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45928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45928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45928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45928</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45928</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45928</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45928</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45928</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45928</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45928</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45928</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4105-2025</t>
        </is>
      </c>
      <c r="B22" s="1" t="n">
        <v>45684</v>
      </c>
      <c r="C22" s="1" t="n">
        <v>45928</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45928</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45928</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45928</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45928</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45928</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42860-2022</t>
        </is>
      </c>
      <c r="B28" s="1" t="n">
        <v>44832</v>
      </c>
      <c r="C28" s="1" t="n">
        <v>45928</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45928</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8552-2022</t>
        </is>
      </c>
      <c r="B30" s="1" t="n">
        <v>44613</v>
      </c>
      <c r="C30" s="1" t="n">
        <v>45928</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38200-2021</t>
        </is>
      </c>
      <c r="B31" s="1" t="n">
        <v>44405</v>
      </c>
      <c r="C31" s="1" t="n">
        <v>45928</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48128-2023</t>
        </is>
      </c>
      <c r="B32" s="1" t="n">
        <v>45205</v>
      </c>
      <c r="C32" s="1" t="n">
        <v>45928</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42853-2022</t>
        </is>
      </c>
      <c r="B33" s="1" t="n">
        <v>44832</v>
      </c>
      <c r="C33" s="1" t="n">
        <v>45928</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39594-2025</t>
        </is>
      </c>
      <c r="B34" s="1" t="n">
        <v>45890</v>
      </c>
      <c r="C34" s="1" t="n">
        <v>45928</v>
      </c>
      <c r="D34" t="inlineStr">
        <is>
          <t>VÄSTMANLANDS LÄN</t>
        </is>
      </c>
      <c r="E34" t="inlineStr">
        <is>
          <t>SURAHAMMAR</t>
        </is>
      </c>
      <c r="F34" t="inlineStr">
        <is>
          <t>Bergvik skog väst AB</t>
        </is>
      </c>
      <c r="G34" t="n">
        <v>7</v>
      </c>
      <c r="H34" t="n">
        <v>0</v>
      </c>
      <c r="I34" t="n">
        <v>2</v>
      </c>
      <c r="J34" t="n">
        <v>1</v>
      </c>
      <c r="K34" t="n">
        <v>0</v>
      </c>
      <c r="L34" t="n">
        <v>0</v>
      </c>
      <c r="M34" t="n">
        <v>0</v>
      </c>
      <c r="N34" t="n">
        <v>0</v>
      </c>
      <c r="O34" t="n">
        <v>1</v>
      </c>
      <c r="P34" t="n">
        <v>0</v>
      </c>
      <c r="Q34" t="n">
        <v>3</v>
      </c>
      <c r="R34" s="2" t="inlineStr">
        <is>
          <t>Gropticka
Gullgröppa
Vedticka</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row>
    <row r="35" ht="15" customHeight="1">
      <c r="A35" t="inlineStr">
        <is>
          <t>A 49718-2023</t>
        </is>
      </c>
      <c r="B35" s="1" t="n">
        <v>45212</v>
      </c>
      <c r="C35" s="1" t="n">
        <v>45928</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29707-2025</t>
        </is>
      </c>
      <c r="B36" s="1" t="n">
        <v>45825.56100694444</v>
      </c>
      <c r="C36" s="1" t="n">
        <v>45928</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42708-2022</t>
        </is>
      </c>
      <c r="B37" s="1" t="n">
        <v>44832</v>
      </c>
      <c r="C37" s="1" t="n">
        <v>45928</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37801-2021</t>
        </is>
      </c>
      <c r="B38" s="1" t="n">
        <v>44402</v>
      </c>
      <c r="C38" s="1" t="n">
        <v>45928</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45928</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45928</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41204-2023</t>
        </is>
      </c>
      <c r="B41" s="1" t="n">
        <v>45174</v>
      </c>
      <c r="C41" s="1" t="n">
        <v>45928</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21618-2025</t>
        </is>
      </c>
      <c r="B42" s="1" t="n">
        <v>45783</v>
      </c>
      <c r="C42" s="1" t="n">
        <v>45928</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4082-2025</t>
        </is>
      </c>
      <c r="B43" s="1" t="n">
        <v>45684</v>
      </c>
      <c r="C43" s="1" t="n">
        <v>45928</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38170-2021</t>
        </is>
      </c>
      <c r="B44" s="1" t="n">
        <v>44405.43472222222</v>
      </c>
      <c r="C44" s="1" t="n">
        <v>45928</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45928</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45928</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56362-2023</t>
        </is>
      </c>
      <c r="B47" s="1" t="n">
        <v>45236</v>
      </c>
      <c r="C47" s="1" t="n">
        <v>45928</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47453-2024</t>
        </is>
      </c>
      <c r="B48" s="1" t="n">
        <v>45587.55017361111</v>
      </c>
      <c r="C48" s="1" t="n">
        <v>45928</v>
      </c>
      <c r="D48" t="inlineStr">
        <is>
          <t>VÄSTMANLANDS LÄN</t>
        </is>
      </c>
      <c r="E48" t="inlineStr">
        <is>
          <t>SURAHAMMAR</t>
        </is>
      </c>
      <c r="G48" t="n">
        <v>5.1</v>
      </c>
      <c r="H48" t="n">
        <v>1</v>
      </c>
      <c r="I48" t="n">
        <v>0</v>
      </c>
      <c r="J48" t="n">
        <v>0</v>
      </c>
      <c r="K48" t="n">
        <v>0</v>
      </c>
      <c r="L48" t="n">
        <v>0</v>
      </c>
      <c r="M48" t="n">
        <v>0</v>
      </c>
      <c r="N48" t="n">
        <v>0</v>
      </c>
      <c r="O48" t="n">
        <v>0</v>
      </c>
      <c r="P48" t="n">
        <v>0</v>
      </c>
      <c r="Q48" t="n">
        <v>1</v>
      </c>
      <c r="R48" s="2" t="inlineStr">
        <is>
          <t>Göktyta</t>
        </is>
      </c>
      <c r="S48">
        <f>HYPERLINK("https://klasma.github.io/Logging_1907/artfynd/A 47453-2024 artfynd.xlsx", "A 47453-2024")</f>
        <v/>
      </c>
      <c r="T48">
        <f>HYPERLINK("https://klasma.github.io/Logging_1907/kartor/A 47453-2024 karta.png", "A 47453-2024")</f>
        <v/>
      </c>
      <c r="V48">
        <f>HYPERLINK("https://klasma.github.io/Logging_1907/klagomål/A 47453-2024 FSC-klagomål.docx", "A 47453-2024")</f>
        <v/>
      </c>
      <c r="W48">
        <f>HYPERLINK("https://klasma.github.io/Logging_1907/klagomålsmail/A 47453-2024 FSC-klagomål mail.docx", "A 47453-2024")</f>
        <v/>
      </c>
      <c r="X48">
        <f>HYPERLINK("https://klasma.github.io/Logging_1907/tillsyn/A 47453-2024 tillsynsbegäran.docx", "A 47453-2024")</f>
        <v/>
      </c>
      <c r="Y48">
        <f>HYPERLINK("https://klasma.github.io/Logging_1907/tillsynsmail/A 47453-2024 tillsynsbegäran mail.docx", "A 47453-2024")</f>
        <v/>
      </c>
      <c r="Z48">
        <f>HYPERLINK("https://klasma.github.io/Logging_1907/fåglar/A 47453-2024 prioriterade fågelarter.docx", "A 47453-2024")</f>
        <v/>
      </c>
    </row>
    <row r="49" ht="15" customHeight="1">
      <c r="A49" t="inlineStr">
        <is>
          <t>A 40403-2025</t>
        </is>
      </c>
      <c r="B49" s="1" t="n">
        <v>45895</v>
      </c>
      <c r="C49" s="1" t="n">
        <v>45928</v>
      </c>
      <c r="D49" t="inlineStr">
        <is>
          <t>VÄSTMANLANDS LÄN</t>
        </is>
      </c>
      <c r="E49" t="inlineStr">
        <is>
          <t>SURAHAMMAR</t>
        </is>
      </c>
      <c r="F49" t="inlineStr">
        <is>
          <t>Kommuner</t>
        </is>
      </c>
      <c r="G49" t="n">
        <v>3.9</v>
      </c>
      <c r="H49" t="n">
        <v>0</v>
      </c>
      <c r="I49" t="n">
        <v>0</v>
      </c>
      <c r="J49" t="n">
        <v>1</v>
      </c>
      <c r="K49" t="n">
        <v>0</v>
      </c>
      <c r="L49" t="n">
        <v>0</v>
      </c>
      <c r="M49" t="n">
        <v>0</v>
      </c>
      <c r="N49" t="n">
        <v>0</v>
      </c>
      <c r="O49" t="n">
        <v>1</v>
      </c>
      <c r="P49" t="n">
        <v>0</v>
      </c>
      <c r="Q49" t="n">
        <v>1</v>
      </c>
      <c r="R49" s="2" t="inlineStr">
        <is>
          <t>Igelkott</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row>
    <row r="50" ht="15" customHeight="1">
      <c r="A50" t="inlineStr">
        <is>
          <t>A 39099-2022</t>
        </is>
      </c>
      <c r="B50" s="1" t="n">
        <v>44817</v>
      </c>
      <c r="C50" s="1" t="n">
        <v>45928</v>
      </c>
      <c r="D50" t="inlineStr">
        <is>
          <t>VÄSTMANLANDS LÄN</t>
        </is>
      </c>
      <c r="E50" t="inlineStr">
        <is>
          <t>SURAHAMMAR</t>
        </is>
      </c>
      <c r="F50" t="inlineStr">
        <is>
          <t>Bergvik skog väst AB</t>
        </is>
      </c>
      <c r="G50" t="n">
        <v>7.4</v>
      </c>
      <c r="H50" t="n">
        <v>0</v>
      </c>
      <c r="I50" t="n">
        <v>1</v>
      </c>
      <c r="J50" t="n">
        <v>0</v>
      </c>
      <c r="K50" t="n">
        <v>0</v>
      </c>
      <c r="L50" t="n">
        <v>0</v>
      </c>
      <c r="M50" t="n">
        <v>0</v>
      </c>
      <c r="N50" t="n">
        <v>0</v>
      </c>
      <c r="O50" t="n">
        <v>0</v>
      </c>
      <c r="P50" t="n">
        <v>0</v>
      </c>
      <c r="Q50" t="n">
        <v>1</v>
      </c>
      <c r="R50" s="2" t="inlineStr">
        <is>
          <t>Stekelbock</t>
        </is>
      </c>
      <c r="S50">
        <f>HYPERLINK("https://klasma.github.io/Logging_1907/artfynd/A 39099-2022 artfynd.xlsx", "A 39099-2022")</f>
        <v/>
      </c>
      <c r="T50">
        <f>HYPERLINK("https://klasma.github.io/Logging_1907/kartor/A 39099-2022 karta.png", "A 39099-2022")</f>
        <v/>
      </c>
      <c r="V50">
        <f>HYPERLINK("https://klasma.github.io/Logging_1907/klagomål/A 39099-2022 FSC-klagomål.docx", "A 39099-2022")</f>
        <v/>
      </c>
      <c r="W50">
        <f>HYPERLINK("https://klasma.github.io/Logging_1907/klagomålsmail/A 39099-2022 FSC-klagomål mail.docx", "A 39099-2022")</f>
        <v/>
      </c>
      <c r="X50">
        <f>HYPERLINK("https://klasma.github.io/Logging_1907/tillsyn/A 39099-2022 tillsynsbegäran.docx", "A 39099-2022")</f>
        <v/>
      </c>
      <c r="Y50">
        <f>HYPERLINK("https://klasma.github.io/Logging_1907/tillsynsmail/A 39099-2022 tillsynsbegäran mail.docx", "A 39099-2022")</f>
        <v/>
      </c>
    </row>
    <row r="51" ht="15" customHeight="1">
      <c r="A51" t="inlineStr">
        <is>
          <t>A 42089-2025</t>
        </is>
      </c>
      <c r="B51" s="1" t="n">
        <v>45902</v>
      </c>
      <c r="C51" s="1" t="n">
        <v>45928</v>
      </c>
      <c r="D51" t="inlineStr">
        <is>
          <t>VÄSTMANLANDS LÄN</t>
        </is>
      </c>
      <c r="E51" t="inlineStr">
        <is>
          <t>SURAHAMMAR</t>
        </is>
      </c>
      <c r="G51" t="n">
        <v>2.2</v>
      </c>
      <c r="H51" t="n">
        <v>0</v>
      </c>
      <c r="I51" t="n">
        <v>0</v>
      </c>
      <c r="J51" t="n">
        <v>1</v>
      </c>
      <c r="K51" t="n">
        <v>0</v>
      </c>
      <c r="L51" t="n">
        <v>0</v>
      </c>
      <c r="M51" t="n">
        <v>0</v>
      </c>
      <c r="N51" t="n">
        <v>0</v>
      </c>
      <c r="O51" t="n">
        <v>1</v>
      </c>
      <c r="P51" t="n">
        <v>0</v>
      </c>
      <c r="Q51" t="n">
        <v>1</v>
      </c>
      <c r="R51" s="2" t="inlineStr">
        <is>
          <t>Motaggsvamp</t>
        </is>
      </c>
      <c r="S51">
        <f>HYPERLINK("https://klasma.github.io/Logging_1907/artfynd/A 42089-2025 artfynd.xlsx", "A 42089-2025")</f>
        <v/>
      </c>
      <c r="T51">
        <f>HYPERLINK("https://klasma.github.io/Logging_1907/kartor/A 42089-2025 karta.png", "A 42089-2025")</f>
        <v/>
      </c>
      <c r="V51">
        <f>HYPERLINK("https://klasma.github.io/Logging_1907/klagomål/A 42089-2025 FSC-klagomål.docx", "A 42089-2025")</f>
        <v/>
      </c>
      <c r="W51">
        <f>HYPERLINK("https://klasma.github.io/Logging_1907/klagomålsmail/A 42089-2025 FSC-klagomål mail.docx", "A 42089-2025")</f>
        <v/>
      </c>
      <c r="X51">
        <f>HYPERLINK("https://klasma.github.io/Logging_1907/tillsyn/A 42089-2025 tillsynsbegäran.docx", "A 42089-2025")</f>
        <v/>
      </c>
      <c r="Y51">
        <f>HYPERLINK("https://klasma.github.io/Logging_1907/tillsynsmail/A 42089-2025 tillsynsbegäran mail.docx", "A 42089-2025")</f>
        <v/>
      </c>
    </row>
    <row r="52" ht="15" customHeight="1">
      <c r="A52" t="inlineStr">
        <is>
          <t>A 22840-2023</t>
        </is>
      </c>
      <c r="B52" s="1" t="n">
        <v>45072</v>
      </c>
      <c r="C52" s="1" t="n">
        <v>45928</v>
      </c>
      <c r="D52" t="inlineStr">
        <is>
          <t>VÄSTMANLANDS LÄN</t>
        </is>
      </c>
      <c r="E52" t="inlineStr">
        <is>
          <t>SURAHAMMAR</t>
        </is>
      </c>
      <c r="G52" t="n">
        <v>4.3</v>
      </c>
      <c r="H52" t="n">
        <v>1</v>
      </c>
      <c r="I52" t="n">
        <v>0</v>
      </c>
      <c r="J52" t="n">
        <v>0</v>
      </c>
      <c r="K52" t="n">
        <v>0</v>
      </c>
      <c r="L52" t="n">
        <v>0</v>
      </c>
      <c r="M52" t="n">
        <v>0</v>
      </c>
      <c r="N52" t="n">
        <v>0</v>
      </c>
      <c r="O52" t="n">
        <v>0</v>
      </c>
      <c r="P52" t="n">
        <v>0</v>
      </c>
      <c r="Q52" t="n">
        <v>1</v>
      </c>
      <c r="R52" s="2" t="inlineStr">
        <is>
          <t>Fläcknycklar</t>
        </is>
      </c>
      <c r="S52">
        <f>HYPERLINK("https://klasma.github.io/Logging_1907/artfynd/A 22840-2023 artfynd.xlsx", "A 22840-2023")</f>
        <v/>
      </c>
      <c r="T52">
        <f>HYPERLINK("https://klasma.github.io/Logging_1907/kartor/A 22840-2023 karta.png", "A 22840-2023")</f>
        <v/>
      </c>
      <c r="V52">
        <f>HYPERLINK("https://klasma.github.io/Logging_1907/klagomål/A 22840-2023 FSC-klagomål.docx", "A 22840-2023")</f>
        <v/>
      </c>
      <c r="W52">
        <f>HYPERLINK("https://klasma.github.io/Logging_1907/klagomålsmail/A 22840-2023 FSC-klagomål mail.docx", "A 22840-2023")</f>
        <v/>
      </c>
      <c r="X52">
        <f>HYPERLINK("https://klasma.github.io/Logging_1907/tillsyn/A 22840-2023 tillsynsbegäran.docx", "A 22840-2023")</f>
        <v/>
      </c>
      <c r="Y52">
        <f>HYPERLINK("https://klasma.github.io/Logging_1907/tillsynsmail/A 22840-2023 tillsynsbegäran mail.docx", "A 22840-2023")</f>
        <v/>
      </c>
    </row>
    <row r="53" ht="15" customHeight="1">
      <c r="A53" t="inlineStr">
        <is>
          <t>A 10819-2024</t>
        </is>
      </c>
      <c r="B53" s="1" t="n">
        <v>45369.66049768519</v>
      </c>
      <c r="C53" s="1" t="n">
        <v>45928</v>
      </c>
      <c r="D53" t="inlineStr">
        <is>
          <t>VÄSTMANLANDS LÄN</t>
        </is>
      </c>
      <c r="E53" t="inlineStr">
        <is>
          <t>SURAHAMMAR</t>
        </is>
      </c>
      <c r="G53" t="n">
        <v>2</v>
      </c>
      <c r="H53" t="n">
        <v>0</v>
      </c>
      <c r="I53" t="n">
        <v>1</v>
      </c>
      <c r="J53" t="n">
        <v>0</v>
      </c>
      <c r="K53" t="n">
        <v>0</v>
      </c>
      <c r="L53" t="n">
        <v>0</v>
      </c>
      <c r="M53" t="n">
        <v>0</v>
      </c>
      <c r="N53" t="n">
        <v>0</v>
      </c>
      <c r="O53" t="n">
        <v>0</v>
      </c>
      <c r="P53" t="n">
        <v>0</v>
      </c>
      <c r="Q53" t="n">
        <v>1</v>
      </c>
      <c r="R53" s="2" t="inlineStr">
        <is>
          <t>Tibast</t>
        </is>
      </c>
      <c r="S53">
        <f>HYPERLINK("https://klasma.github.io/Logging_1907/artfynd/A 10819-2024 artfynd.xlsx", "A 10819-2024")</f>
        <v/>
      </c>
      <c r="T53">
        <f>HYPERLINK("https://klasma.github.io/Logging_1907/kartor/A 10819-2024 karta.png", "A 10819-2024")</f>
        <v/>
      </c>
      <c r="V53">
        <f>HYPERLINK("https://klasma.github.io/Logging_1907/klagomål/A 10819-2024 FSC-klagomål.docx", "A 10819-2024")</f>
        <v/>
      </c>
      <c r="W53">
        <f>HYPERLINK("https://klasma.github.io/Logging_1907/klagomålsmail/A 10819-2024 FSC-klagomål mail.docx", "A 10819-2024")</f>
        <v/>
      </c>
      <c r="X53">
        <f>HYPERLINK("https://klasma.github.io/Logging_1907/tillsyn/A 10819-2024 tillsynsbegäran.docx", "A 10819-2024")</f>
        <v/>
      </c>
      <c r="Y53">
        <f>HYPERLINK("https://klasma.github.io/Logging_1907/tillsynsmail/A 10819-2024 tillsynsbegäran mail.docx", "A 10819-2024")</f>
        <v/>
      </c>
    </row>
    <row r="54" ht="15" customHeight="1">
      <c r="A54" t="inlineStr">
        <is>
          <t>A 39694-2025</t>
        </is>
      </c>
      <c r="B54" s="1" t="n">
        <v>45890</v>
      </c>
      <c r="C54" s="1" t="n">
        <v>45928</v>
      </c>
      <c r="D54" t="inlineStr">
        <is>
          <t>VÄSTMANLANDS LÄN</t>
        </is>
      </c>
      <c r="E54" t="inlineStr">
        <is>
          <t>SURAHAMMAR</t>
        </is>
      </c>
      <c r="F54" t="inlineStr">
        <is>
          <t>Bergvik skog väst AB</t>
        </is>
      </c>
      <c r="G54" t="n">
        <v>2.9</v>
      </c>
      <c r="H54" t="n">
        <v>0</v>
      </c>
      <c r="I54" t="n">
        <v>1</v>
      </c>
      <c r="J54" t="n">
        <v>0</v>
      </c>
      <c r="K54" t="n">
        <v>0</v>
      </c>
      <c r="L54" t="n">
        <v>0</v>
      </c>
      <c r="M54" t="n">
        <v>0</v>
      </c>
      <c r="N54" t="n">
        <v>0</v>
      </c>
      <c r="O54" t="n">
        <v>0</v>
      </c>
      <c r="P54" t="n">
        <v>0</v>
      </c>
      <c r="Q54" t="n">
        <v>1</v>
      </c>
      <c r="R54" s="2" t="inlineStr">
        <is>
          <t>Mindre märgborre</t>
        </is>
      </c>
      <c r="S54">
        <f>HYPERLINK("https://klasma.github.io/Logging_1907/artfynd/A 39694-2025 artfynd.xlsx", "A 39694-2025")</f>
        <v/>
      </c>
      <c r="T54">
        <f>HYPERLINK("https://klasma.github.io/Logging_1907/kartor/A 39694-2025 karta.png", "A 39694-2025")</f>
        <v/>
      </c>
      <c r="V54">
        <f>HYPERLINK("https://klasma.github.io/Logging_1907/klagomål/A 39694-2025 FSC-klagomål.docx", "A 39694-2025")</f>
        <v/>
      </c>
      <c r="W54">
        <f>HYPERLINK("https://klasma.github.io/Logging_1907/klagomålsmail/A 39694-2025 FSC-klagomål mail.docx", "A 39694-2025")</f>
        <v/>
      </c>
      <c r="X54">
        <f>HYPERLINK("https://klasma.github.io/Logging_1907/tillsyn/A 39694-2025 tillsynsbegäran.docx", "A 39694-2025")</f>
        <v/>
      </c>
      <c r="Y54">
        <f>HYPERLINK("https://klasma.github.io/Logging_1907/tillsynsmail/A 39694-2025 tillsynsbegäran mail.docx", "A 39694-2025")</f>
        <v/>
      </c>
    </row>
    <row r="55" ht="15" customHeight="1">
      <c r="A55" t="inlineStr">
        <is>
          <t>A 62097-2024</t>
        </is>
      </c>
      <c r="B55" s="1" t="n">
        <v>45646</v>
      </c>
      <c r="C55" s="1" t="n">
        <v>45928</v>
      </c>
      <c r="D55" t="inlineStr">
        <is>
          <t>VÄSTMANLANDS LÄN</t>
        </is>
      </c>
      <c r="E55" t="inlineStr">
        <is>
          <t>SURAHAMMAR</t>
        </is>
      </c>
      <c r="F55" t="inlineStr">
        <is>
          <t>Bergvik skog väst AB</t>
        </is>
      </c>
      <c r="G55" t="n">
        <v>21.7</v>
      </c>
      <c r="H55" t="n">
        <v>1</v>
      </c>
      <c r="I55" t="n">
        <v>0</v>
      </c>
      <c r="J55" t="n">
        <v>0</v>
      </c>
      <c r="K55" t="n">
        <v>0</v>
      </c>
      <c r="L55" t="n">
        <v>0</v>
      </c>
      <c r="M55" t="n">
        <v>0</v>
      </c>
      <c r="N55" t="n">
        <v>0</v>
      </c>
      <c r="O55" t="n">
        <v>0</v>
      </c>
      <c r="P55" t="n">
        <v>0</v>
      </c>
      <c r="Q55" t="n">
        <v>1</v>
      </c>
      <c r="R55" s="2" t="inlineStr">
        <is>
          <t>Revlummer</t>
        </is>
      </c>
      <c r="S55">
        <f>HYPERLINK("https://klasma.github.io/Logging_1907/artfynd/A 62097-2024 artfynd.xlsx", "A 62097-2024")</f>
        <v/>
      </c>
      <c r="T55">
        <f>HYPERLINK("https://klasma.github.io/Logging_1907/kartor/A 62097-2024 karta.png", "A 62097-2024")</f>
        <v/>
      </c>
      <c r="V55">
        <f>HYPERLINK("https://klasma.github.io/Logging_1907/klagomål/A 62097-2024 FSC-klagomål.docx", "A 62097-2024")</f>
        <v/>
      </c>
      <c r="W55">
        <f>HYPERLINK("https://klasma.github.io/Logging_1907/klagomålsmail/A 62097-2024 FSC-klagomål mail.docx", "A 62097-2024")</f>
        <v/>
      </c>
      <c r="X55">
        <f>HYPERLINK("https://klasma.github.io/Logging_1907/tillsyn/A 62097-2024 tillsynsbegäran.docx", "A 62097-2024")</f>
        <v/>
      </c>
      <c r="Y55">
        <f>HYPERLINK("https://klasma.github.io/Logging_1907/tillsynsmail/A 62097-2024 tillsynsbegäran mail.docx", "A 62097-2024")</f>
        <v/>
      </c>
    </row>
    <row r="56" ht="15" customHeight="1">
      <c r="A56" t="inlineStr">
        <is>
          <t>A 69777-2021</t>
        </is>
      </c>
      <c r="B56" s="1" t="n">
        <v>44532</v>
      </c>
      <c r="C56" s="1" t="n">
        <v>45928</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45928</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43451-2024</t>
        </is>
      </c>
      <c r="B58" s="1" t="n">
        <v>45568</v>
      </c>
      <c r="C58" s="1" t="n">
        <v>45928</v>
      </c>
      <c r="D58" t="inlineStr">
        <is>
          <t>VÄSTMANLANDS LÄN</t>
        </is>
      </c>
      <c r="E58" t="inlineStr">
        <is>
          <t>SURAHAMMAR</t>
        </is>
      </c>
      <c r="F58" t="inlineStr">
        <is>
          <t>Bergvik skog väst AB</t>
        </is>
      </c>
      <c r="G58" t="n">
        <v>2.9</v>
      </c>
      <c r="H58" t="n">
        <v>0</v>
      </c>
      <c r="I58" t="n">
        <v>0</v>
      </c>
      <c r="J58" t="n">
        <v>1</v>
      </c>
      <c r="K58" t="n">
        <v>0</v>
      </c>
      <c r="L58" t="n">
        <v>0</v>
      </c>
      <c r="M58" t="n">
        <v>0</v>
      </c>
      <c r="N58" t="n">
        <v>0</v>
      </c>
      <c r="O58" t="n">
        <v>1</v>
      </c>
      <c r="P58" t="n">
        <v>0</v>
      </c>
      <c r="Q58" t="n">
        <v>1</v>
      </c>
      <c r="R58" s="2" t="inlineStr">
        <is>
          <t>Ullticka</t>
        </is>
      </c>
      <c r="S58">
        <f>HYPERLINK("https://klasma.github.io/Logging_1907/artfynd/A 43451-2024 artfynd.xlsx", "A 43451-2024")</f>
        <v/>
      </c>
      <c r="T58">
        <f>HYPERLINK("https://klasma.github.io/Logging_1907/kartor/A 43451-2024 karta.png", "A 43451-2024")</f>
        <v/>
      </c>
      <c r="V58">
        <f>HYPERLINK("https://klasma.github.io/Logging_1907/klagomål/A 43451-2024 FSC-klagomål.docx", "A 43451-2024")</f>
        <v/>
      </c>
      <c r="W58">
        <f>HYPERLINK("https://klasma.github.io/Logging_1907/klagomålsmail/A 43451-2024 FSC-klagomål mail.docx", "A 43451-2024")</f>
        <v/>
      </c>
      <c r="X58">
        <f>HYPERLINK("https://klasma.github.io/Logging_1907/tillsyn/A 43451-2024 tillsynsbegäran.docx", "A 43451-2024")</f>
        <v/>
      </c>
      <c r="Y58">
        <f>HYPERLINK("https://klasma.github.io/Logging_1907/tillsynsmail/A 43451-2024 tillsynsbegäran mail.docx", "A 43451-2024")</f>
        <v/>
      </c>
    </row>
    <row r="59" ht="15" customHeight="1">
      <c r="A59" t="inlineStr">
        <is>
          <t>A 40411-2021</t>
        </is>
      </c>
      <c r="B59" s="1" t="n">
        <v>44419</v>
      </c>
      <c r="C59" s="1" t="n">
        <v>45928</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45928</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45928</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45928</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45928</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13788-2025</t>
        </is>
      </c>
      <c r="B64" s="1" t="n">
        <v>45737.45327546296</v>
      </c>
      <c r="C64" s="1" t="n">
        <v>45928</v>
      </c>
      <c r="D64" t="inlineStr">
        <is>
          <t>VÄSTMANLANDS LÄN</t>
        </is>
      </c>
      <c r="E64" t="inlineStr">
        <is>
          <t>SURAHAMMAR</t>
        </is>
      </c>
      <c r="G64" t="n">
        <v>9.699999999999999</v>
      </c>
      <c r="H64" t="n">
        <v>1</v>
      </c>
      <c r="I64" t="n">
        <v>0</v>
      </c>
      <c r="J64" t="n">
        <v>0</v>
      </c>
      <c r="K64" t="n">
        <v>0</v>
      </c>
      <c r="L64" t="n">
        <v>0</v>
      </c>
      <c r="M64" t="n">
        <v>0</v>
      </c>
      <c r="N64" t="n">
        <v>0</v>
      </c>
      <c r="O64" t="n">
        <v>0</v>
      </c>
      <c r="P64" t="n">
        <v>0</v>
      </c>
      <c r="Q64" t="n">
        <v>1</v>
      </c>
      <c r="R64" s="2" t="inlineStr">
        <is>
          <t>Sparvuggla</t>
        </is>
      </c>
      <c r="S64">
        <f>HYPERLINK("https://klasma.github.io/Logging_1907/artfynd/A 13788-2025 artfynd.xlsx", "A 13788-2025")</f>
        <v/>
      </c>
      <c r="T64">
        <f>HYPERLINK("https://klasma.github.io/Logging_1907/kartor/A 13788-2025 karta.png", "A 13788-2025")</f>
        <v/>
      </c>
      <c r="V64">
        <f>HYPERLINK("https://klasma.github.io/Logging_1907/klagomål/A 13788-2025 FSC-klagomål.docx", "A 13788-2025")</f>
        <v/>
      </c>
      <c r="W64">
        <f>HYPERLINK("https://klasma.github.io/Logging_1907/klagomålsmail/A 13788-2025 FSC-klagomål mail.docx", "A 13788-2025")</f>
        <v/>
      </c>
      <c r="X64">
        <f>HYPERLINK("https://klasma.github.io/Logging_1907/tillsyn/A 13788-2025 tillsynsbegäran.docx", "A 13788-2025")</f>
        <v/>
      </c>
      <c r="Y64">
        <f>HYPERLINK("https://klasma.github.io/Logging_1907/tillsynsmail/A 13788-2025 tillsynsbegäran mail.docx", "A 13788-2025")</f>
        <v/>
      </c>
      <c r="Z64">
        <f>HYPERLINK("https://klasma.github.io/Logging_1907/fåglar/A 13788-2025 prioriterade fågelarter.docx", "A 13788-2025")</f>
        <v/>
      </c>
    </row>
    <row r="65" ht="15" customHeight="1">
      <c r="A65" t="inlineStr">
        <is>
          <t>A 13971-2023</t>
        </is>
      </c>
      <c r="B65" s="1" t="n">
        <v>45007</v>
      </c>
      <c r="C65" s="1" t="n">
        <v>45928</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42765-2022</t>
        </is>
      </c>
      <c r="B66" s="1" t="n">
        <v>44832</v>
      </c>
      <c r="C66" s="1" t="n">
        <v>45928</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45928</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17632-2022</t>
        </is>
      </c>
      <c r="B68" s="1" t="n">
        <v>44680</v>
      </c>
      <c r="C68" s="1" t="n">
        <v>45928</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1492-2021</t>
        </is>
      </c>
      <c r="B69" s="1" t="n">
        <v>44209</v>
      </c>
      <c r="C69" s="1" t="n">
        <v>45928</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45928</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45928</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45928</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45928</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45928</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45928</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45928</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45928</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45928</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45928</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45928</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45928</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52076-2020</t>
        </is>
      </c>
      <c r="B82" s="1" t="n">
        <v>44117</v>
      </c>
      <c r="C82" s="1" t="n">
        <v>45928</v>
      </c>
      <c r="D82" t="inlineStr">
        <is>
          <t>VÄSTMANLANDS LÄN</t>
        </is>
      </c>
      <c r="E82" t="inlineStr">
        <is>
          <t>SURAHAMMAR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45928</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59543-2020</t>
        </is>
      </c>
      <c r="B84" s="1" t="n">
        <v>44148</v>
      </c>
      <c r="C84" s="1" t="n">
        <v>45928</v>
      </c>
      <c r="D84" t="inlineStr">
        <is>
          <t>VÄSTMANLANDS LÄN</t>
        </is>
      </c>
      <c r="E84" t="inlineStr">
        <is>
          <t>SURAHAMMAR</t>
        </is>
      </c>
      <c r="G84" t="n">
        <v>1.3</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45928</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45928</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45928</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45928</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45928</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21509-2024</t>
        </is>
      </c>
      <c r="B90" s="1" t="n">
        <v>45441</v>
      </c>
      <c r="C90" s="1" t="n">
        <v>45928</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42832-2022</t>
        </is>
      </c>
      <c r="B91" s="1" t="n">
        <v>44832</v>
      </c>
      <c r="C91" s="1" t="n">
        <v>45928</v>
      </c>
      <c r="D91" t="inlineStr">
        <is>
          <t>VÄSTMANLANDS LÄN</t>
        </is>
      </c>
      <c r="E91" t="inlineStr">
        <is>
          <t>SURAHAMMAR</t>
        </is>
      </c>
      <c r="G91" t="n">
        <v>1.1</v>
      </c>
      <c r="H91" t="n">
        <v>0</v>
      </c>
      <c r="I91" t="n">
        <v>0</v>
      </c>
      <c r="J91" t="n">
        <v>0</v>
      </c>
      <c r="K91" t="n">
        <v>0</v>
      </c>
      <c r="L91" t="n">
        <v>0</v>
      </c>
      <c r="M91" t="n">
        <v>0</v>
      </c>
      <c r="N91" t="n">
        <v>0</v>
      </c>
      <c r="O91" t="n">
        <v>0</v>
      </c>
      <c r="P91" t="n">
        <v>0</v>
      </c>
      <c r="Q91" t="n">
        <v>0</v>
      </c>
      <c r="R91" s="2" t="inlineStr"/>
    </row>
    <row r="92" ht="15" customHeight="1">
      <c r="A92" t="inlineStr">
        <is>
          <t>A 42841-2022</t>
        </is>
      </c>
      <c r="B92" s="1" t="n">
        <v>44832</v>
      </c>
      <c r="C92" s="1" t="n">
        <v>45928</v>
      </c>
      <c r="D92" t="inlineStr">
        <is>
          <t>VÄSTMANLANDS LÄN</t>
        </is>
      </c>
      <c r="E92" t="inlineStr">
        <is>
          <t>SURAHAMMAR</t>
        </is>
      </c>
      <c r="G92" t="n">
        <v>1.8</v>
      </c>
      <c r="H92" t="n">
        <v>0</v>
      </c>
      <c r="I92" t="n">
        <v>0</v>
      </c>
      <c r="J92" t="n">
        <v>0</v>
      </c>
      <c r="K92" t="n">
        <v>0</v>
      </c>
      <c r="L92" t="n">
        <v>0</v>
      </c>
      <c r="M92" t="n">
        <v>0</v>
      </c>
      <c r="N92" t="n">
        <v>0</v>
      </c>
      <c r="O92" t="n">
        <v>0</v>
      </c>
      <c r="P92" t="n">
        <v>0</v>
      </c>
      <c r="Q92" t="n">
        <v>0</v>
      </c>
      <c r="R92" s="2" t="inlineStr"/>
    </row>
    <row r="93" ht="15" customHeight="1">
      <c r="A93" t="inlineStr">
        <is>
          <t>A 24158-2023</t>
        </is>
      </c>
      <c r="B93" s="1" t="n">
        <v>45079</v>
      </c>
      <c r="C93" s="1" t="n">
        <v>45928</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45928</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19782-2023</t>
        </is>
      </c>
      <c r="B95" s="1" t="n">
        <v>45050</v>
      </c>
      <c r="C95" s="1" t="n">
        <v>45928</v>
      </c>
      <c r="D95" t="inlineStr">
        <is>
          <t>VÄSTMANLANDS LÄN</t>
        </is>
      </c>
      <c r="E95" t="inlineStr">
        <is>
          <t>SURAHAMMAR</t>
        </is>
      </c>
      <c r="F95" t="inlineStr">
        <is>
          <t>Bergvik skog väst AB</t>
        </is>
      </c>
      <c r="G95" t="n">
        <v>5.2</v>
      </c>
      <c r="H95" t="n">
        <v>0</v>
      </c>
      <c r="I95" t="n">
        <v>0</v>
      </c>
      <c r="J95" t="n">
        <v>0</v>
      </c>
      <c r="K95" t="n">
        <v>0</v>
      </c>
      <c r="L95" t="n">
        <v>0</v>
      </c>
      <c r="M95" t="n">
        <v>0</v>
      </c>
      <c r="N95" t="n">
        <v>0</v>
      </c>
      <c r="O95" t="n">
        <v>0</v>
      </c>
      <c r="P95" t="n">
        <v>0</v>
      </c>
      <c r="Q95" t="n">
        <v>0</v>
      </c>
      <c r="R95" s="2" t="inlineStr"/>
    </row>
    <row r="96" ht="15" customHeight="1">
      <c r="A96" t="inlineStr">
        <is>
          <t>A 66342-2021</t>
        </is>
      </c>
      <c r="B96" s="1" t="n">
        <v>44518</v>
      </c>
      <c r="C96" s="1" t="n">
        <v>45928</v>
      </c>
      <c r="D96" t="inlineStr">
        <is>
          <t>VÄSTMANLANDS LÄN</t>
        </is>
      </c>
      <c r="E96" t="inlineStr">
        <is>
          <t>SURAHAMMAR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19637-2022</t>
        </is>
      </c>
      <c r="B97" s="1" t="n">
        <v>44694</v>
      </c>
      <c r="C97" s="1" t="n">
        <v>45928</v>
      </c>
      <c r="D97" t="inlineStr">
        <is>
          <t>VÄSTMANLANDS LÄN</t>
        </is>
      </c>
      <c r="E97" t="inlineStr">
        <is>
          <t>SURAHAMMAR</t>
        </is>
      </c>
      <c r="F97" t="inlineStr">
        <is>
          <t>Bergvik skog väst AB</t>
        </is>
      </c>
      <c r="G97" t="n">
        <v>0.7</v>
      </c>
      <c r="H97" t="n">
        <v>0</v>
      </c>
      <c r="I97" t="n">
        <v>0</v>
      </c>
      <c r="J97" t="n">
        <v>0</v>
      </c>
      <c r="K97" t="n">
        <v>0</v>
      </c>
      <c r="L97" t="n">
        <v>0</v>
      </c>
      <c r="M97" t="n">
        <v>0</v>
      </c>
      <c r="N97" t="n">
        <v>0</v>
      </c>
      <c r="O97" t="n">
        <v>0</v>
      </c>
      <c r="P97" t="n">
        <v>0</v>
      </c>
      <c r="Q97" t="n">
        <v>0</v>
      </c>
      <c r="R97" s="2" t="inlineStr"/>
    </row>
    <row r="98" ht="15" customHeight="1">
      <c r="A98" t="inlineStr">
        <is>
          <t>A 32910-2025</t>
        </is>
      </c>
      <c r="B98" s="1" t="n">
        <v>45839</v>
      </c>
      <c r="C98" s="1" t="n">
        <v>45928</v>
      </c>
      <c r="D98" t="inlineStr">
        <is>
          <t>VÄSTMANLANDS LÄN</t>
        </is>
      </c>
      <c r="E98" t="inlineStr">
        <is>
          <t>SURAHAMMAR</t>
        </is>
      </c>
      <c r="F98" t="inlineStr">
        <is>
          <t>Kommuner</t>
        </is>
      </c>
      <c r="G98" t="n">
        <v>1.1</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45928</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32916-2025</t>
        </is>
      </c>
      <c r="B100" s="1" t="n">
        <v>45839</v>
      </c>
      <c r="C100" s="1" t="n">
        <v>45928</v>
      </c>
      <c r="D100" t="inlineStr">
        <is>
          <t>VÄSTMANLANDS LÄN</t>
        </is>
      </c>
      <c r="E100" t="inlineStr">
        <is>
          <t>SURAHAMMAR</t>
        </is>
      </c>
      <c r="F100" t="inlineStr">
        <is>
          <t>Kommuner</t>
        </is>
      </c>
      <c r="G100" t="n">
        <v>4.9</v>
      </c>
      <c r="H100" t="n">
        <v>0</v>
      </c>
      <c r="I100" t="n">
        <v>0</v>
      </c>
      <c r="J100" t="n">
        <v>0</v>
      </c>
      <c r="K100" t="n">
        <v>0</v>
      </c>
      <c r="L100" t="n">
        <v>0</v>
      </c>
      <c r="M100" t="n">
        <v>0</v>
      </c>
      <c r="N100" t="n">
        <v>0</v>
      </c>
      <c r="O100" t="n">
        <v>0</v>
      </c>
      <c r="P100" t="n">
        <v>0</v>
      </c>
      <c r="Q100" t="n">
        <v>0</v>
      </c>
      <c r="R100" s="2" t="inlineStr"/>
    </row>
    <row r="101" ht="15" customHeight="1">
      <c r="A101" t="inlineStr">
        <is>
          <t>A 52074-2020</t>
        </is>
      </c>
      <c r="B101" s="1" t="n">
        <v>44117</v>
      </c>
      <c r="C101" s="1" t="n">
        <v>45928</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45928</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42088-2025</t>
        </is>
      </c>
      <c r="B103" s="1" t="n">
        <v>45902</v>
      </c>
      <c r="C103" s="1" t="n">
        <v>45928</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3085-2023</t>
        </is>
      </c>
      <c r="B104" s="1" t="n">
        <v>44946</v>
      </c>
      <c r="C104" s="1" t="n">
        <v>45928</v>
      </c>
      <c r="D104" t="inlineStr">
        <is>
          <t>VÄSTMANLANDS LÄN</t>
        </is>
      </c>
      <c r="E104" t="inlineStr">
        <is>
          <t>SURAHAMMAR</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56378-2023</t>
        </is>
      </c>
      <c r="B105" s="1" t="n">
        <v>45236</v>
      </c>
      <c r="C105" s="1" t="n">
        <v>45928</v>
      </c>
      <c r="D105" t="inlineStr">
        <is>
          <t>VÄSTMANLANDS LÄN</t>
        </is>
      </c>
      <c r="E105" t="inlineStr">
        <is>
          <t>SURAHAMMAR</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11728-2023</t>
        </is>
      </c>
      <c r="B106" s="1" t="n">
        <v>44993</v>
      </c>
      <c r="C106" s="1" t="n">
        <v>45928</v>
      </c>
      <c r="D106" t="inlineStr">
        <is>
          <t>VÄSTMANLANDS LÄN</t>
        </is>
      </c>
      <c r="E106" t="inlineStr">
        <is>
          <t>SURAHAMMAR</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45928</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45928</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45928</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32808-2024</t>
        </is>
      </c>
      <c r="B110" s="1" t="n">
        <v>45516</v>
      </c>
      <c r="C110" s="1" t="n">
        <v>45928</v>
      </c>
      <c r="D110" t="inlineStr">
        <is>
          <t>VÄSTMANLANDS LÄN</t>
        </is>
      </c>
      <c r="E110" t="inlineStr">
        <is>
          <t>SURAHAMMAR</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16608-2022</t>
        </is>
      </c>
      <c r="B111" s="1" t="n">
        <v>44672</v>
      </c>
      <c r="C111" s="1" t="n">
        <v>45928</v>
      </c>
      <c r="D111" t="inlineStr">
        <is>
          <t>VÄSTMANLANDS LÄN</t>
        </is>
      </c>
      <c r="E111" t="inlineStr">
        <is>
          <t>SURAHAMMAR</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37013-2025</t>
        </is>
      </c>
      <c r="B112" s="1" t="n">
        <v>45874</v>
      </c>
      <c r="C112" s="1" t="n">
        <v>45928</v>
      </c>
      <c r="D112" t="inlineStr">
        <is>
          <t>VÄSTMANLANDS LÄN</t>
        </is>
      </c>
      <c r="E112" t="inlineStr">
        <is>
          <t>SURAHAMMAR</t>
        </is>
      </c>
      <c r="F112" t="inlineStr">
        <is>
          <t>Bergvik skog väst AB</t>
        </is>
      </c>
      <c r="G112" t="n">
        <v>10.7</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45928</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16013-2023</t>
        </is>
      </c>
      <c r="B114" s="1" t="n">
        <v>45026</v>
      </c>
      <c r="C114" s="1" t="n">
        <v>45928</v>
      </c>
      <c r="D114" t="inlineStr">
        <is>
          <t>VÄSTMANLANDS LÄN</t>
        </is>
      </c>
      <c r="E114" t="inlineStr">
        <is>
          <t>SURAHAMMAR</t>
        </is>
      </c>
      <c r="G114" t="n">
        <v>3.9</v>
      </c>
      <c r="H114" t="n">
        <v>0</v>
      </c>
      <c r="I114" t="n">
        <v>0</v>
      </c>
      <c r="J114" t="n">
        <v>0</v>
      </c>
      <c r="K114" t="n">
        <v>0</v>
      </c>
      <c r="L114" t="n">
        <v>0</v>
      </c>
      <c r="M114" t="n">
        <v>0</v>
      </c>
      <c r="N114" t="n">
        <v>0</v>
      </c>
      <c r="O114" t="n">
        <v>0</v>
      </c>
      <c r="P114" t="n">
        <v>0</v>
      </c>
      <c r="Q114" t="n">
        <v>0</v>
      </c>
      <c r="R114" s="2" t="inlineStr"/>
    </row>
    <row r="115" ht="15" customHeight="1">
      <c r="A115" t="inlineStr">
        <is>
          <t>A 20904-2023</t>
        </is>
      </c>
      <c r="B115" s="1" t="n">
        <v>45060</v>
      </c>
      <c r="C115" s="1" t="n">
        <v>45928</v>
      </c>
      <c r="D115" t="inlineStr">
        <is>
          <t>VÄSTMANLANDS LÄN</t>
        </is>
      </c>
      <c r="E115" t="inlineStr">
        <is>
          <t>SURAHAMMAR</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3818-2022</t>
        </is>
      </c>
      <c r="B116" s="1" t="n">
        <v>44587</v>
      </c>
      <c r="C116" s="1" t="n">
        <v>45928</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15743-2023</t>
        </is>
      </c>
      <c r="B117" s="1" t="n">
        <v>45021</v>
      </c>
      <c r="C117" s="1" t="n">
        <v>45928</v>
      </c>
      <c r="D117" t="inlineStr">
        <is>
          <t>VÄSTMANLANDS LÄN</t>
        </is>
      </c>
      <c r="E117" t="inlineStr">
        <is>
          <t>SURAHAMMAR</t>
        </is>
      </c>
      <c r="G117" t="n">
        <v>0.5</v>
      </c>
      <c r="H117" t="n">
        <v>0</v>
      </c>
      <c r="I117" t="n">
        <v>0</v>
      </c>
      <c r="J117" t="n">
        <v>0</v>
      </c>
      <c r="K117" t="n">
        <v>0</v>
      </c>
      <c r="L117" t="n">
        <v>0</v>
      </c>
      <c r="M117" t="n">
        <v>0</v>
      </c>
      <c r="N117" t="n">
        <v>0</v>
      </c>
      <c r="O117" t="n">
        <v>0</v>
      </c>
      <c r="P117" t="n">
        <v>0</v>
      </c>
      <c r="Q117" t="n">
        <v>0</v>
      </c>
      <c r="R117" s="2" t="inlineStr"/>
    </row>
    <row r="118" ht="15" customHeight="1">
      <c r="A118" t="inlineStr">
        <is>
          <t>A 42829-2022</t>
        </is>
      </c>
      <c r="B118" s="1" t="n">
        <v>44832</v>
      </c>
      <c r="C118" s="1" t="n">
        <v>45928</v>
      </c>
      <c r="D118" t="inlineStr">
        <is>
          <t>VÄSTMANLANDS LÄN</t>
        </is>
      </c>
      <c r="E118" t="inlineStr">
        <is>
          <t>SURAHAMMAR</t>
        </is>
      </c>
      <c r="G118" t="n">
        <v>1.6</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45928</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34955-2022</t>
        </is>
      </c>
      <c r="B120" s="1" t="n">
        <v>44796</v>
      </c>
      <c r="C120" s="1" t="n">
        <v>45928</v>
      </c>
      <c r="D120" t="inlineStr">
        <is>
          <t>VÄSTMANLANDS LÄN</t>
        </is>
      </c>
      <c r="E120" t="inlineStr">
        <is>
          <t>SURAHAMMAR</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15637-2022</t>
        </is>
      </c>
      <c r="B121" s="1" t="n">
        <v>44662.89638888889</v>
      </c>
      <c r="C121" s="1" t="n">
        <v>45928</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19786-2023</t>
        </is>
      </c>
      <c r="B122" s="1" t="n">
        <v>45050</v>
      </c>
      <c r="C122" s="1" t="n">
        <v>45928</v>
      </c>
      <c r="D122" t="inlineStr">
        <is>
          <t>VÄSTMANLANDS LÄN</t>
        </is>
      </c>
      <c r="E122" t="inlineStr">
        <is>
          <t>SURAHAMMAR</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37798-2021</t>
        </is>
      </c>
      <c r="B123" s="1" t="n">
        <v>44402</v>
      </c>
      <c r="C123" s="1" t="n">
        <v>45928</v>
      </c>
      <c r="D123" t="inlineStr">
        <is>
          <t>VÄSTMANLANDS LÄN</t>
        </is>
      </c>
      <c r="E123" t="inlineStr">
        <is>
          <t>SURAHAMMAR</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45928</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33931-2022</t>
        </is>
      </c>
      <c r="B125" s="1" t="n">
        <v>44790.65153935185</v>
      </c>
      <c r="C125" s="1" t="n">
        <v>45928</v>
      </c>
      <c r="D125" t="inlineStr">
        <is>
          <t>VÄSTMANLANDS LÄN</t>
        </is>
      </c>
      <c r="E125" t="inlineStr">
        <is>
          <t>SURAHAMMAR</t>
        </is>
      </c>
      <c r="G125" t="n">
        <v>2.2</v>
      </c>
      <c r="H125" t="n">
        <v>0</v>
      </c>
      <c r="I125" t="n">
        <v>0</v>
      </c>
      <c r="J125" t="n">
        <v>0</v>
      </c>
      <c r="K125" t="n">
        <v>0</v>
      </c>
      <c r="L125" t="n">
        <v>0</v>
      </c>
      <c r="M125" t="n">
        <v>0</v>
      </c>
      <c r="N125" t="n">
        <v>0</v>
      </c>
      <c r="O125" t="n">
        <v>0</v>
      </c>
      <c r="P125" t="n">
        <v>0</v>
      </c>
      <c r="Q125" t="n">
        <v>0</v>
      </c>
      <c r="R125" s="2" t="inlineStr"/>
    </row>
    <row r="126" ht="15" customHeight="1">
      <c r="A126" t="inlineStr">
        <is>
          <t>A 22662-2023</t>
        </is>
      </c>
      <c r="B126" s="1" t="n">
        <v>45071</v>
      </c>
      <c r="C126" s="1" t="n">
        <v>45928</v>
      </c>
      <c r="D126" t="inlineStr">
        <is>
          <t>VÄSTMANLANDS LÄN</t>
        </is>
      </c>
      <c r="E126" t="inlineStr">
        <is>
          <t>SURAHAMMAR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10396-2025</t>
        </is>
      </c>
      <c r="B127" s="1" t="n">
        <v>45720.60721064815</v>
      </c>
      <c r="C127" s="1" t="n">
        <v>45928</v>
      </c>
      <c r="D127" t="inlineStr">
        <is>
          <t>VÄSTMANLANDS LÄN</t>
        </is>
      </c>
      <c r="E127" t="inlineStr">
        <is>
          <t>SURAHAMMAR</t>
        </is>
      </c>
      <c r="F127" t="inlineStr">
        <is>
          <t>Allmännings- och besparingsskogar</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7787-2024</t>
        </is>
      </c>
      <c r="B128" s="1" t="n">
        <v>45348</v>
      </c>
      <c r="C128" s="1" t="n">
        <v>45928</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30076-2023</t>
        </is>
      </c>
      <c r="B129" s="1" t="n">
        <v>45110</v>
      </c>
      <c r="C129" s="1" t="n">
        <v>45928</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15739-2023</t>
        </is>
      </c>
      <c r="B130" s="1" t="n">
        <v>45021</v>
      </c>
      <c r="C130" s="1" t="n">
        <v>45928</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44405.42373842592</v>
      </c>
      <c r="C131" s="1" t="n">
        <v>45928</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45928</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25417-2024</t>
        </is>
      </c>
      <c r="B133" s="1" t="n">
        <v>45463</v>
      </c>
      <c r="C133" s="1" t="n">
        <v>45928</v>
      </c>
      <c r="D133" t="inlineStr">
        <is>
          <t>VÄSTMANLANDS LÄN</t>
        </is>
      </c>
      <c r="E133" t="inlineStr">
        <is>
          <t>SURAHAMMAR</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45928</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45928</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45928</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24167-2024</t>
        </is>
      </c>
      <c r="B137" s="1" t="n">
        <v>45456</v>
      </c>
      <c r="C137" s="1" t="n">
        <v>45928</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45928</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42714-2022</t>
        </is>
      </c>
      <c r="B139" s="1" t="n">
        <v>44832</v>
      </c>
      <c r="C139" s="1" t="n">
        <v>45928</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37287-2023</t>
        </is>
      </c>
      <c r="B140" s="1" t="n">
        <v>45156</v>
      </c>
      <c r="C140" s="1" t="n">
        <v>45928</v>
      </c>
      <c r="D140" t="inlineStr">
        <is>
          <t>VÄSTMANLANDS LÄN</t>
        </is>
      </c>
      <c r="E140" t="inlineStr">
        <is>
          <t>SURAHAMMAR</t>
        </is>
      </c>
      <c r="G140" t="n">
        <v>0.6</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45928</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45928</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34584-2025</t>
        </is>
      </c>
      <c r="B143" s="1" t="n">
        <v>45846</v>
      </c>
      <c r="C143" s="1" t="n">
        <v>45928</v>
      </c>
      <c r="D143" t="inlineStr">
        <is>
          <t>VÄSTMANLANDS LÄN</t>
        </is>
      </c>
      <c r="E143" t="inlineStr">
        <is>
          <t>SURAHAMMAR</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34582-2025</t>
        </is>
      </c>
      <c r="B144" s="1" t="n">
        <v>45846</v>
      </c>
      <c r="C144" s="1" t="n">
        <v>45928</v>
      </c>
      <c r="D144" t="inlineStr">
        <is>
          <t>VÄSTMANLANDS LÄN</t>
        </is>
      </c>
      <c r="E144" t="inlineStr">
        <is>
          <t>SURAHAMMAR</t>
        </is>
      </c>
      <c r="F144" t="inlineStr">
        <is>
          <t>Bergvik skog väst AB</t>
        </is>
      </c>
      <c r="G144" t="n">
        <v>2.6</v>
      </c>
      <c r="H144" t="n">
        <v>0</v>
      </c>
      <c r="I144" t="n">
        <v>0</v>
      </c>
      <c r="J144" t="n">
        <v>0</v>
      </c>
      <c r="K144" t="n">
        <v>0</v>
      </c>
      <c r="L144" t="n">
        <v>0</v>
      </c>
      <c r="M144" t="n">
        <v>0</v>
      </c>
      <c r="N144" t="n">
        <v>0</v>
      </c>
      <c r="O144" t="n">
        <v>0</v>
      </c>
      <c r="P144" t="n">
        <v>0</v>
      </c>
      <c r="Q144" t="n">
        <v>0</v>
      </c>
      <c r="R144" s="2" t="inlineStr"/>
    </row>
    <row r="145" ht="15" customHeight="1">
      <c r="A145" t="inlineStr">
        <is>
          <t>A 19099-2022</t>
        </is>
      </c>
      <c r="B145" s="1" t="n">
        <v>44691</v>
      </c>
      <c r="C145" s="1" t="n">
        <v>45928</v>
      </c>
      <c r="D145" t="inlineStr">
        <is>
          <t>VÄSTMANLANDS LÄN</t>
        </is>
      </c>
      <c r="E145" t="inlineStr">
        <is>
          <t>SURAHAMMAR</t>
        </is>
      </c>
      <c r="F145" t="inlineStr">
        <is>
          <t>Övriga Aktiebolag</t>
        </is>
      </c>
      <c r="G145" t="n">
        <v>3.4</v>
      </c>
      <c r="H145" t="n">
        <v>0</v>
      </c>
      <c r="I145" t="n">
        <v>0</v>
      </c>
      <c r="J145" t="n">
        <v>0</v>
      </c>
      <c r="K145" t="n">
        <v>0</v>
      </c>
      <c r="L145" t="n">
        <v>0</v>
      </c>
      <c r="M145" t="n">
        <v>0</v>
      </c>
      <c r="N145" t="n">
        <v>0</v>
      </c>
      <c r="O145" t="n">
        <v>0</v>
      </c>
      <c r="P145" t="n">
        <v>0</v>
      </c>
      <c r="Q145" t="n">
        <v>0</v>
      </c>
      <c r="R145" s="2" t="inlineStr"/>
    </row>
    <row r="146" ht="15" customHeight="1">
      <c r="A146" t="inlineStr">
        <is>
          <t>A 25780-2023</t>
        </is>
      </c>
      <c r="B146" s="1" t="n">
        <v>45090.47523148148</v>
      </c>
      <c r="C146" s="1" t="n">
        <v>45928</v>
      </c>
      <c r="D146" t="inlineStr">
        <is>
          <t>VÄSTMANLANDS LÄN</t>
        </is>
      </c>
      <c r="E146" t="inlineStr">
        <is>
          <t>SURAHAMMAR</t>
        </is>
      </c>
      <c r="G146" t="n">
        <v>2.8</v>
      </c>
      <c r="H146" t="n">
        <v>0</v>
      </c>
      <c r="I146" t="n">
        <v>0</v>
      </c>
      <c r="J146" t="n">
        <v>0</v>
      </c>
      <c r="K146" t="n">
        <v>0</v>
      </c>
      <c r="L146" t="n">
        <v>0</v>
      </c>
      <c r="M146" t="n">
        <v>0</v>
      </c>
      <c r="N146" t="n">
        <v>0</v>
      </c>
      <c r="O146" t="n">
        <v>0</v>
      </c>
      <c r="P146" t="n">
        <v>0</v>
      </c>
      <c r="Q146" t="n">
        <v>0</v>
      </c>
      <c r="R146" s="2" t="inlineStr"/>
    </row>
    <row r="147" ht="15" customHeight="1">
      <c r="A147" t="inlineStr">
        <is>
          <t>A 13386-2025</t>
        </is>
      </c>
      <c r="B147" s="1" t="n">
        <v>45735</v>
      </c>
      <c r="C147" s="1" t="n">
        <v>45928</v>
      </c>
      <c r="D147" t="inlineStr">
        <is>
          <t>VÄSTMANLANDS LÄN</t>
        </is>
      </c>
      <c r="E147" t="inlineStr">
        <is>
          <t>SURAHAMMAR</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35682-2022</t>
        </is>
      </c>
      <c r="B148" s="1" t="n">
        <v>44799.60422453703</v>
      </c>
      <c r="C148" s="1" t="n">
        <v>45928</v>
      </c>
      <c r="D148" t="inlineStr">
        <is>
          <t>VÄSTMANLANDS LÄN</t>
        </is>
      </c>
      <c r="E148" t="inlineStr">
        <is>
          <t>SURAHAMMAR</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2867-2024</t>
        </is>
      </c>
      <c r="B149" s="1" t="n">
        <v>45315</v>
      </c>
      <c r="C149" s="1" t="n">
        <v>45928</v>
      </c>
      <c r="D149" t="inlineStr">
        <is>
          <t>VÄSTMANLANDS LÄN</t>
        </is>
      </c>
      <c r="E149" t="inlineStr">
        <is>
          <t>SURAHAMMAR</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45928</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45928</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5567-2022</t>
        </is>
      </c>
      <c r="B152" s="1" t="n">
        <v>44595</v>
      </c>
      <c r="C152" s="1" t="n">
        <v>45928</v>
      </c>
      <c r="D152" t="inlineStr">
        <is>
          <t>VÄSTMANLANDS LÄN</t>
        </is>
      </c>
      <c r="E152" t="inlineStr">
        <is>
          <t>SURAHAMMAR</t>
        </is>
      </c>
      <c r="G152" t="n">
        <v>1.3</v>
      </c>
      <c r="H152" t="n">
        <v>0</v>
      </c>
      <c r="I152" t="n">
        <v>0</v>
      </c>
      <c r="J152" t="n">
        <v>0</v>
      </c>
      <c r="K152" t="n">
        <v>0</v>
      </c>
      <c r="L152" t="n">
        <v>0</v>
      </c>
      <c r="M152" t="n">
        <v>0</v>
      </c>
      <c r="N152" t="n">
        <v>0</v>
      </c>
      <c r="O152" t="n">
        <v>0</v>
      </c>
      <c r="P152" t="n">
        <v>0</v>
      </c>
      <c r="Q152" t="n">
        <v>0</v>
      </c>
      <c r="R152" s="2" t="inlineStr"/>
    </row>
    <row r="153">
      <c r="A153" t="inlineStr">
        <is>
          <t>A 41576-2022</t>
        </is>
      </c>
      <c r="B153" s="1" t="n">
        <v>44826</v>
      </c>
      <c r="C153" s="1" t="n">
        <v>45928</v>
      </c>
      <c r="D153" t="inlineStr">
        <is>
          <t>VÄSTMANLANDS LÄN</t>
        </is>
      </c>
      <c r="E153" t="inlineStr">
        <is>
          <t>SURAHAMMAR</t>
        </is>
      </c>
      <c r="F153" t="inlineStr">
        <is>
          <t>Bergvik skog väst AB</t>
        </is>
      </c>
      <c r="G153" t="n">
        <v>6.4</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2025-09-28T12:18:26Z</dcterms:created>
  <dcterms:modified xmlns:dcterms="http://purl.org/dc/terms/" xmlns:xsi="http://www.w3.org/2001/XMLSchema-instance" xsi:type="dcterms:W3CDTF">2025-09-28T12:18:26Z</dcterms:modified>
</cp:coreProperties>
</file>