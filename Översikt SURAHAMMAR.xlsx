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46192</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46192</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46192</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46192</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46192</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46192</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46192</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46192</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25573-2024</t>
        </is>
      </c>
      <c r="B11" s="1" t="n">
        <v>45463</v>
      </c>
      <c r="C11" s="1" t="n">
        <v>46192</v>
      </c>
      <c r="D11" t="inlineStr">
        <is>
          <t>VÄSTMANLANDS LÄN</t>
        </is>
      </c>
      <c r="E11" t="inlineStr">
        <is>
          <t>SURAHAMMAR</t>
        </is>
      </c>
      <c r="F11" t="inlineStr">
        <is>
          <t>Bergvik skog väst AB</t>
        </is>
      </c>
      <c r="G11" t="n">
        <v>20.3</v>
      </c>
      <c r="H11" t="n">
        <v>2</v>
      </c>
      <c r="I11" t="n">
        <v>5</v>
      </c>
      <c r="J11" t="n">
        <v>6</v>
      </c>
      <c r="K11" t="n">
        <v>2</v>
      </c>
      <c r="L11" t="n">
        <v>0</v>
      </c>
      <c r="M11" t="n">
        <v>0</v>
      </c>
      <c r="N11" t="n">
        <v>0</v>
      </c>
      <c r="O11" t="n">
        <v>8</v>
      </c>
      <c r="P11" t="n">
        <v>2</v>
      </c>
      <c r="Q11" t="n">
        <v>13</v>
      </c>
      <c r="R11" s="2" t="inlineStr">
        <is>
          <t>Knärot
Skrovlig taggsvamp
Dropptaggsvamp
Gropticka
Krusfrö
Motaggsvamp
Talltita
Vågticka
Blodticka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46192</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42853-2022</t>
        </is>
      </c>
      <c r="B13" s="1" t="n">
        <v>44832</v>
      </c>
      <c r="C13" s="1" t="n">
        <v>46192</v>
      </c>
      <c r="D13" t="inlineStr">
        <is>
          <t>VÄSTMANLANDS LÄN</t>
        </is>
      </c>
      <c r="E13" t="inlineStr">
        <is>
          <t>SURAHAMMAR</t>
        </is>
      </c>
      <c r="G13" t="n">
        <v>7.4</v>
      </c>
      <c r="H13" t="n">
        <v>3</v>
      </c>
      <c r="I13" t="n">
        <v>7</v>
      </c>
      <c r="J13" t="n">
        <v>2</v>
      </c>
      <c r="K13" t="n">
        <v>0</v>
      </c>
      <c r="L13" t="n">
        <v>1</v>
      </c>
      <c r="M13" t="n">
        <v>0</v>
      </c>
      <c r="N13" t="n">
        <v>0</v>
      </c>
      <c r="O13" t="n">
        <v>3</v>
      </c>
      <c r="P13" t="n">
        <v>1</v>
      </c>
      <c r="Q13" t="n">
        <v>11</v>
      </c>
      <c r="R13" s="2" t="inlineStr">
        <is>
          <t>Ask
Kandelabersvamp
Mindre hackspett
Blodvaxing
Gulvaxing
Luktvaxing
Tvåblad
Vitvaxing agg.
Ängsfingersvamp
Ängsvaxing agg.
Skogsduva</t>
        </is>
      </c>
      <c r="S13">
        <f>HYPERLINK("https://klasma.github.io/Logging_1907/artfynd/A 42853-2022 artfynd.xlsx", "A 42853-2022")</f>
        <v/>
      </c>
      <c r="T13">
        <f>HYPERLINK("https://klasma.github.io/Logging_1907/kartor/A 42853-2022 karta.png", "A 42853-2022")</f>
        <v/>
      </c>
      <c r="V13">
        <f>HYPERLINK("https://klasma.github.io/Logging_1907/klagomål/A 42853-2022 FSC-klagomål.docx", "A 42853-2022")</f>
        <v/>
      </c>
      <c r="W13">
        <f>HYPERLINK("https://klasma.github.io/Logging_1907/klagomålsmail/A 42853-2022 FSC-klagomål mail.docx", "A 42853-2022")</f>
        <v/>
      </c>
      <c r="X13">
        <f>HYPERLINK("https://klasma.github.io/Logging_1907/tillsyn/A 42853-2022 tillsynsbegäran.docx", "A 42853-2022")</f>
        <v/>
      </c>
      <c r="Y13">
        <f>HYPERLINK("https://klasma.github.io/Logging_1907/tillsynsmail/A 42853-2022 tillsynsbegäran mail.docx", "A 42853-2022")</f>
        <v/>
      </c>
      <c r="Z13">
        <f>HYPERLINK("https://klasma.github.io/Logging_1907/fåglar/A 42853-2022 prioriterade fågelarter.docx", "A 42853-2022")</f>
        <v/>
      </c>
    </row>
    <row r="14" ht="15" customHeight="1">
      <c r="A14" t="inlineStr">
        <is>
          <t>A 22907-2023</t>
        </is>
      </c>
      <c r="B14" s="1" t="n">
        <v>45070</v>
      </c>
      <c r="C14" s="1" t="n">
        <v>46192</v>
      </c>
      <c r="D14" t="inlineStr">
        <is>
          <t>VÄSTMANLANDS LÄN</t>
        </is>
      </c>
      <c r="E14" t="inlineStr">
        <is>
          <t>SURAHAMMAR</t>
        </is>
      </c>
      <c r="F14" t="inlineStr">
        <is>
          <t>Bergvik skog väst AB</t>
        </is>
      </c>
      <c r="G14" t="n">
        <v>8.300000000000001</v>
      </c>
      <c r="H14" t="n">
        <v>7</v>
      </c>
      <c r="I14" t="n">
        <v>1</v>
      </c>
      <c r="J14" t="n">
        <v>3</v>
      </c>
      <c r="K14" t="n">
        <v>0</v>
      </c>
      <c r="L14" t="n">
        <v>0</v>
      </c>
      <c r="M14" t="n">
        <v>0</v>
      </c>
      <c r="N14" t="n">
        <v>0</v>
      </c>
      <c r="O14" t="n">
        <v>3</v>
      </c>
      <c r="P14" t="n">
        <v>0</v>
      </c>
      <c r="Q14" t="n">
        <v>10</v>
      </c>
      <c r="R14" s="2" t="inlineStr">
        <is>
          <t>Slåtterfibbla
Svinrot
Talltita
Barkticka
Mattlummer
Spillkråka
Kungsfågel
Fläcknycklar
Grönvit nattviol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46192</v>
      </c>
      <c r="D15" t="inlineStr">
        <is>
          <t>VÄSTMANLANDS LÄN</t>
        </is>
      </c>
      <c r="E15" t="inlineStr">
        <is>
          <t>SURAHAMMAR</t>
        </is>
      </c>
      <c r="F15" t="inlineStr">
        <is>
          <t>Bergvik skog väst AB</t>
        </is>
      </c>
      <c r="G15" t="n">
        <v>4.4</v>
      </c>
      <c r="H15" t="n">
        <v>0</v>
      </c>
      <c r="I15" t="n">
        <v>1</v>
      </c>
      <c r="J15" t="n">
        <v>7</v>
      </c>
      <c r="K15" t="n">
        <v>1</v>
      </c>
      <c r="L15" t="n">
        <v>0</v>
      </c>
      <c r="M15" t="n">
        <v>0</v>
      </c>
      <c r="N15" t="n">
        <v>0</v>
      </c>
      <c r="O15" t="n">
        <v>8</v>
      </c>
      <c r="P15" t="n">
        <v>1</v>
      </c>
      <c r="Q15" t="n">
        <v>9</v>
      </c>
      <c r="R15" s="2" t="inlineStr">
        <is>
          <t>Rosetticka
Brunklöver
Gropticka
Persiljespindling
Scharlakansvaxing
Svinrot
Ullticka
Vågticka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39594-2025</t>
        </is>
      </c>
      <c r="B16" s="1" t="n">
        <v>45890</v>
      </c>
      <c r="C16" s="1" t="n">
        <v>46192</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20391-2024</t>
        </is>
      </c>
      <c r="B17" s="1" t="n">
        <v>45435</v>
      </c>
      <c r="C17" s="1" t="n">
        <v>46192</v>
      </c>
      <c r="D17" t="inlineStr">
        <is>
          <t>VÄSTMANLANDS LÄN</t>
        </is>
      </c>
      <c r="E17" t="inlineStr">
        <is>
          <t>SURAHAMMAR</t>
        </is>
      </c>
      <c r="G17" t="n">
        <v>1.5</v>
      </c>
      <c r="H17" t="n">
        <v>4</v>
      </c>
      <c r="I17" t="n">
        <v>1</v>
      </c>
      <c r="J17" t="n">
        <v>5</v>
      </c>
      <c r="K17" t="n">
        <v>0</v>
      </c>
      <c r="L17" t="n">
        <v>0</v>
      </c>
      <c r="M17" t="n">
        <v>0</v>
      </c>
      <c r="N17" t="n">
        <v>0</v>
      </c>
      <c r="O17" t="n">
        <v>5</v>
      </c>
      <c r="P17" t="n">
        <v>0</v>
      </c>
      <c r="Q17" t="n">
        <v>8</v>
      </c>
      <c r="R17" s="2" t="inlineStr">
        <is>
          <t>Duvhök
Kattfotslav
Talltita
Vedtrappmossa
Vitfläckig guldvinge
Stubbspretmossa
Grönsiska
Grönvit nattviol</t>
        </is>
      </c>
      <c r="S17">
        <f>HYPERLINK("https://klasma.github.io/Logging_1907/artfynd/A 20391-2024 artfynd.xlsx", "A 20391-2024")</f>
        <v/>
      </c>
      <c r="T17">
        <f>HYPERLINK("https://klasma.github.io/Logging_1907/kartor/A 20391-2024 karta.png", "A 20391-2024")</f>
        <v/>
      </c>
      <c r="V17">
        <f>HYPERLINK("https://klasma.github.io/Logging_1907/klagomål/A 20391-2024 FSC-klagomål.docx", "A 20391-2024")</f>
        <v/>
      </c>
      <c r="W17">
        <f>HYPERLINK("https://klasma.github.io/Logging_1907/klagomålsmail/A 20391-2024 FSC-klagomål mail.docx", "A 20391-2024")</f>
        <v/>
      </c>
      <c r="X17">
        <f>HYPERLINK("https://klasma.github.io/Logging_1907/tillsyn/A 20391-2024 tillsynsbegäran.docx", "A 20391-2024")</f>
        <v/>
      </c>
      <c r="Y17">
        <f>HYPERLINK("https://klasma.github.io/Logging_1907/tillsynsmail/A 20391-2024 tillsynsbegäran mail.docx", "A 20391-2024")</f>
        <v/>
      </c>
      <c r="Z17">
        <f>HYPERLINK("https://klasma.github.io/Logging_1907/fåglar/A 20391-2024 prioriterade fågelarter.docx", "A 20391-2024")</f>
        <v/>
      </c>
    </row>
    <row r="18" ht="15" customHeight="1">
      <c r="A18" t="inlineStr">
        <is>
          <t>A 56299-2021</t>
        </is>
      </c>
      <c r="B18" s="1" t="n">
        <v>44477</v>
      </c>
      <c r="C18" s="1" t="n">
        <v>46192</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38172-2024</t>
        </is>
      </c>
      <c r="B19" s="1" t="n">
        <v>45545</v>
      </c>
      <c r="C19" s="1" t="n">
        <v>46192</v>
      </c>
      <c r="D19" t="inlineStr">
        <is>
          <t>VÄSTMANLANDS LÄN</t>
        </is>
      </c>
      <c r="E19" t="inlineStr">
        <is>
          <t>SURAHAMMAR</t>
        </is>
      </c>
      <c r="F19" t="inlineStr">
        <is>
          <t>Sveaskog</t>
        </is>
      </c>
      <c r="G19" t="n">
        <v>5.2</v>
      </c>
      <c r="H19" t="n">
        <v>5</v>
      </c>
      <c r="I19" t="n">
        <v>0</v>
      </c>
      <c r="J19" t="n">
        <v>3</v>
      </c>
      <c r="K19" t="n">
        <v>1</v>
      </c>
      <c r="L19" t="n">
        <v>0</v>
      </c>
      <c r="M19" t="n">
        <v>0</v>
      </c>
      <c r="N19" t="n">
        <v>0</v>
      </c>
      <c r="O19" t="n">
        <v>4</v>
      </c>
      <c r="P19" t="n">
        <v>1</v>
      </c>
      <c r="Q19" t="n">
        <v>7</v>
      </c>
      <c r="R19" s="2" t="inlineStr">
        <is>
          <t>Knärot
Gropticka
Sädesärla
Vedtrappmossa
Stjärtmes
Lopplummer (aggregat)
Revlummer</t>
        </is>
      </c>
      <c r="S19">
        <f>HYPERLINK("https://klasma.github.io/Logging_1907/artfynd/A 38172-2024 artfynd.xlsx", "A 38172-2024")</f>
        <v/>
      </c>
      <c r="T19">
        <f>HYPERLINK("https://klasma.github.io/Logging_1907/kartor/A 38172-2024 karta.png", "A 38172-2024")</f>
        <v/>
      </c>
      <c r="U19">
        <f>HYPERLINK("https://klasma.github.io/Logging_1907/knärot/A 38172-2024 karta knärot.png", "A 38172-2024")</f>
        <v/>
      </c>
      <c r="V19">
        <f>HYPERLINK("https://klasma.github.io/Logging_1907/klagomål/A 38172-2024 FSC-klagomål.docx", "A 38172-2024")</f>
        <v/>
      </c>
      <c r="W19">
        <f>HYPERLINK("https://klasma.github.io/Logging_1907/klagomålsmail/A 38172-2024 FSC-klagomål mail.docx", "A 38172-2024")</f>
        <v/>
      </c>
      <c r="X19">
        <f>HYPERLINK("https://klasma.github.io/Logging_1907/tillsyn/A 38172-2024 tillsynsbegäran.docx", "A 38172-2024")</f>
        <v/>
      </c>
      <c r="Y19">
        <f>HYPERLINK("https://klasma.github.io/Logging_1907/tillsynsmail/A 38172-2024 tillsynsbegäran mail.docx", "A 38172-2024")</f>
        <v/>
      </c>
    </row>
    <row r="20" ht="15" customHeight="1">
      <c r="A20" t="inlineStr">
        <is>
          <t>A 48891-2023</t>
        </is>
      </c>
      <c r="B20" s="1" t="n">
        <v>45203</v>
      </c>
      <c r="C20" s="1" t="n">
        <v>46192</v>
      </c>
      <c r="D20" t="inlineStr">
        <is>
          <t>VÄSTMANLANDS LÄN</t>
        </is>
      </c>
      <c r="E20" t="inlineStr">
        <is>
          <t>SURAHAMMAR</t>
        </is>
      </c>
      <c r="F20" t="inlineStr">
        <is>
          <t>Bergvik skog väst AB</t>
        </is>
      </c>
      <c r="G20" t="n">
        <v>2.9</v>
      </c>
      <c r="H20" t="n">
        <v>3</v>
      </c>
      <c r="I20" t="n">
        <v>1</v>
      </c>
      <c r="J20" t="n">
        <v>3</v>
      </c>
      <c r="K20" t="n">
        <v>1</v>
      </c>
      <c r="L20" t="n">
        <v>0</v>
      </c>
      <c r="M20" t="n">
        <v>0</v>
      </c>
      <c r="N20" t="n">
        <v>0</v>
      </c>
      <c r="O20" t="n">
        <v>4</v>
      </c>
      <c r="P20" t="n">
        <v>1</v>
      </c>
      <c r="Q20" t="n">
        <v>7</v>
      </c>
      <c r="R20" s="2" t="inlineStr">
        <is>
          <t>Knärot
Motaggsvamp
Tallticka
Vintertagging
Flagellkvastmossa
Spillkråka
Gröngöling</t>
        </is>
      </c>
      <c r="S20">
        <f>HYPERLINK("https://klasma.github.io/Logging_1907/artfynd/A 48891-2023 artfynd.xlsx", "A 48891-2023")</f>
        <v/>
      </c>
      <c r="T20">
        <f>HYPERLINK("https://klasma.github.io/Logging_1907/kartor/A 48891-2023 karta.png", "A 48891-2023")</f>
        <v/>
      </c>
      <c r="U20">
        <f>HYPERLINK("https://klasma.github.io/Logging_1907/knärot/A 48891-2023 karta knärot.png", "A 48891-2023")</f>
        <v/>
      </c>
      <c r="V20">
        <f>HYPERLINK("https://klasma.github.io/Logging_1907/klagomål/A 48891-2023 FSC-klagomål.docx", "A 48891-2023")</f>
        <v/>
      </c>
      <c r="W20">
        <f>HYPERLINK("https://klasma.github.io/Logging_1907/klagomålsmail/A 48891-2023 FSC-klagomål mail.docx", "A 48891-2023")</f>
        <v/>
      </c>
      <c r="X20">
        <f>HYPERLINK("https://klasma.github.io/Logging_1907/tillsyn/A 48891-2023 tillsynsbegäran.docx", "A 48891-2023")</f>
        <v/>
      </c>
      <c r="Y20">
        <f>HYPERLINK("https://klasma.github.io/Logging_1907/tillsynsmail/A 48891-2023 tillsynsbegäran mail.docx", "A 48891-2023")</f>
        <v/>
      </c>
      <c r="Z20">
        <f>HYPERLINK("https://klasma.github.io/Logging_1907/fåglar/A 48891-2023 prioriterade fågelarter.docx", "A 48891-2023")</f>
        <v/>
      </c>
    </row>
    <row r="21" ht="15" customHeight="1">
      <c r="A21" t="inlineStr">
        <is>
          <t>A 66343-2021</t>
        </is>
      </c>
      <c r="B21" s="1" t="n">
        <v>44518</v>
      </c>
      <c r="C21" s="1" t="n">
        <v>46192</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63145-2025</t>
        </is>
      </c>
      <c r="B22" s="1" t="n">
        <v>46009</v>
      </c>
      <c r="C22" s="1" t="n">
        <v>46192</v>
      </c>
      <c r="D22" t="inlineStr">
        <is>
          <t>VÄSTMANLANDS LÄN</t>
        </is>
      </c>
      <c r="E22" t="inlineStr">
        <is>
          <t>SURAHAMMAR</t>
        </is>
      </c>
      <c r="F22" t="inlineStr">
        <is>
          <t>Bergvik skog väst AB</t>
        </is>
      </c>
      <c r="G22" t="n">
        <v>40.5</v>
      </c>
      <c r="H22" t="n">
        <v>5</v>
      </c>
      <c r="I22" t="n">
        <v>1</v>
      </c>
      <c r="J22" t="n">
        <v>2</v>
      </c>
      <c r="K22" t="n">
        <v>1</v>
      </c>
      <c r="L22" t="n">
        <v>0</v>
      </c>
      <c r="M22" t="n">
        <v>0</v>
      </c>
      <c r="N22" t="n">
        <v>0</v>
      </c>
      <c r="O22" t="n">
        <v>3</v>
      </c>
      <c r="P22" t="n">
        <v>1</v>
      </c>
      <c r="Q22" t="n">
        <v>6</v>
      </c>
      <c r="R22" s="2" t="inlineStr">
        <is>
          <t>Väddnätfjäril
Mindre hackspett
Talltita
Svart trolldruva
Kungsfågel
Nattviol</t>
        </is>
      </c>
      <c r="S22">
        <f>HYPERLINK("https://klasma.github.io/Logging_1907/artfynd/A 63145-2025 artfynd.xlsx", "A 63145-2025")</f>
        <v/>
      </c>
      <c r="T22">
        <f>HYPERLINK("https://klasma.github.io/Logging_1907/kartor/A 63145-2025 karta.png", "A 63145-2025")</f>
        <v/>
      </c>
      <c r="V22">
        <f>HYPERLINK("https://klasma.github.io/Logging_1907/klagomål/A 63145-2025 FSC-klagomål.docx", "A 63145-2025")</f>
        <v/>
      </c>
      <c r="W22">
        <f>HYPERLINK("https://klasma.github.io/Logging_1907/klagomålsmail/A 63145-2025 FSC-klagomål mail.docx", "A 63145-2025")</f>
        <v/>
      </c>
      <c r="X22">
        <f>HYPERLINK("https://klasma.github.io/Logging_1907/tillsyn/A 63145-2025 tillsynsbegäran.docx", "A 63145-2025")</f>
        <v/>
      </c>
      <c r="Y22">
        <f>HYPERLINK("https://klasma.github.io/Logging_1907/tillsynsmail/A 63145-2025 tillsynsbegäran mail.docx", "A 63145-2025")</f>
        <v/>
      </c>
      <c r="Z22">
        <f>HYPERLINK("https://klasma.github.io/Logging_1907/fåglar/A 63145-2025 prioriterade fågelarter.docx", "A 63145-2025")</f>
        <v/>
      </c>
    </row>
    <row r="23" ht="15" customHeight="1">
      <c r="A23" t="inlineStr">
        <is>
          <t>A 43451-2024</t>
        </is>
      </c>
      <c r="B23" s="1" t="n">
        <v>45568</v>
      </c>
      <c r="C23" s="1" t="n">
        <v>46192</v>
      </c>
      <c r="D23" t="inlineStr">
        <is>
          <t>VÄSTMANLANDS LÄN</t>
        </is>
      </c>
      <c r="E23" t="inlineStr">
        <is>
          <t>SURAHAMMAR</t>
        </is>
      </c>
      <c r="F23" t="inlineStr">
        <is>
          <t>Bergvik skog väst AB</t>
        </is>
      </c>
      <c r="G23" t="n">
        <v>2.9</v>
      </c>
      <c r="H23" t="n">
        <v>3</v>
      </c>
      <c r="I23" t="n">
        <v>0</v>
      </c>
      <c r="J23" t="n">
        <v>1</v>
      </c>
      <c r="K23" t="n">
        <v>0</v>
      </c>
      <c r="L23" t="n">
        <v>2</v>
      </c>
      <c r="M23" t="n">
        <v>0</v>
      </c>
      <c r="N23" t="n">
        <v>0</v>
      </c>
      <c r="O23" t="n">
        <v>3</v>
      </c>
      <c r="P23" t="n">
        <v>2</v>
      </c>
      <c r="Q23" t="n">
        <v>6</v>
      </c>
      <c r="R23" s="2" t="inlineStr">
        <is>
          <t>Humlesuga
Skogsalm
Ullticka
Blåsippa
Ormbär
Vanlig padda</t>
        </is>
      </c>
      <c r="S23">
        <f>HYPERLINK("https://klasma.github.io/Logging_1907/artfynd/A 43451-2024 artfynd.xlsx", "A 43451-2024")</f>
        <v/>
      </c>
      <c r="T23">
        <f>HYPERLINK("https://klasma.github.io/Logging_1907/kartor/A 43451-2024 karta.png", "A 43451-2024")</f>
        <v/>
      </c>
      <c r="V23">
        <f>HYPERLINK("https://klasma.github.io/Logging_1907/klagomål/A 43451-2024 FSC-klagomål.docx", "A 43451-2024")</f>
        <v/>
      </c>
      <c r="W23">
        <f>HYPERLINK("https://klasma.github.io/Logging_1907/klagomålsmail/A 43451-2024 FSC-klagomål mail.docx", "A 43451-2024")</f>
        <v/>
      </c>
      <c r="X23">
        <f>HYPERLINK("https://klasma.github.io/Logging_1907/tillsyn/A 43451-2024 tillsynsbegäran.docx", "A 43451-2024")</f>
        <v/>
      </c>
      <c r="Y23">
        <f>HYPERLINK("https://klasma.github.io/Logging_1907/tillsynsmail/A 43451-2024 tillsynsbegäran mail.docx", "A 43451-2024")</f>
        <v/>
      </c>
    </row>
    <row r="24" ht="15" customHeight="1">
      <c r="A24" t="inlineStr">
        <is>
          <t>A 10236-2026</t>
        </is>
      </c>
      <c r="B24" s="1" t="n">
        <v>46076</v>
      </c>
      <c r="C24" s="1" t="n">
        <v>46192</v>
      </c>
      <c r="D24" t="inlineStr">
        <is>
          <t>VÄSTMANLANDS LÄN</t>
        </is>
      </c>
      <c r="E24" t="inlineStr">
        <is>
          <t>SURAHAMMAR</t>
        </is>
      </c>
      <c r="F24" t="inlineStr">
        <is>
          <t>Allmännings- och besparingsskogar</t>
        </is>
      </c>
      <c r="G24" t="n">
        <v>2.8</v>
      </c>
      <c r="H24" t="n">
        <v>2</v>
      </c>
      <c r="I24" t="n">
        <v>2</v>
      </c>
      <c r="J24" t="n">
        <v>2</v>
      </c>
      <c r="K24" t="n">
        <v>0</v>
      </c>
      <c r="L24" t="n">
        <v>0</v>
      </c>
      <c r="M24" t="n">
        <v>0</v>
      </c>
      <c r="N24" t="n">
        <v>0</v>
      </c>
      <c r="O24" t="n">
        <v>2</v>
      </c>
      <c r="P24" t="n">
        <v>0</v>
      </c>
      <c r="Q24" t="n">
        <v>6</v>
      </c>
      <c r="R24" s="2" t="inlineStr">
        <is>
          <t>Gullpudra
Vågticka
Brandticka
Strutbräken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29707-2025</t>
        </is>
      </c>
      <c r="B25" s="1" t="n">
        <v>45825</v>
      </c>
      <c r="C25" s="1" t="n">
        <v>46192</v>
      </c>
      <c r="D25" t="inlineStr">
        <is>
          <t>VÄSTMANLANDS LÄN</t>
        </is>
      </c>
      <c r="E25" t="inlineStr">
        <is>
          <t>SURAHAMMAR</t>
        </is>
      </c>
      <c r="F25" t="inlineStr">
        <is>
          <t>Bergvik skog väst AB</t>
        </is>
      </c>
      <c r="G25" t="n">
        <v>5.1</v>
      </c>
      <c r="H25" t="n">
        <v>1</v>
      </c>
      <c r="I25" t="n">
        <v>3</v>
      </c>
      <c r="J25" t="n">
        <v>1</v>
      </c>
      <c r="K25" t="n">
        <v>0</v>
      </c>
      <c r="L25" t="n">
        <v>1</v>
      </c>
      <c r="M25" t="n">
        <v>0</v>
      </c>
      <c r="N25" t="n">
        <v>0</v>
      </c>
      <c r="O25" t="n">
        <v>2</v>
      </c>
      <c r="P25" t="n">
        <v>1</v>
      </c>
      <c r="Q25" t="n">
        <v>6</v>
      </c>
      <c r="R25" s="2" t="inlineStr">
        <is>
          <t>Skogsalm
Veckticka
Rävticka
Stor aspticka
Tibast
Blåsippa</t>
        </is>
      </c>
      <c r="S25">
        <f>HYPERLINK("https://klasma.github.io/Logging_1907/artfynd/A 29707-2025 artfynd.xlsx", "A 29707-2025")</f>
        <v/>
      </c>
      <c r="T25">
        <f>HYPERLINK("https://klasma.github.io/Logging_1907/kartor/A 29707-2025 karta.png", "A 29707-2025")</f>
        <v/>
      </c>
      <c r="V25">
        <f>HYPERLINK("https://klasma.github.io/Logging_1907/klagomål/A 29707-2025 FSC-klagomål.docx", "A 29707-2025")</f>
        <v/>
      </c>
      <c r="W25">
        <f>HYPERLINK("https://klasma.github.io/Logging_1907/klagomålsmail/A 29707-2025 FSC-klagomål mail.docx", "A 29707-2025")</f>
        <v/>
      </c>
      <c r="X25">
        <f>HYPERLINK("https://klasma.github.io/Logging_1907/tillsyn/A 29707-2025 tillsynsbegäran.docx", "A 29707-2025")</f>
        <v/>
      </c>
      <c r="Y25">
        <f>HYPERLINK("https://klasma.github.io/Logging_1907/tillsynsmail/A 29707-2025 tillsynsbegäran mail.docx", "A 29707-2025")</f>
        <v/>
      </c>
    </row>
    <row r="26" ht="15" customHeight="1">
      <c r="A26" t="inlineStr">
        <is>
          <t>A 66349-2021</t>
        </is>
      </c>
      <c r="B26" s="1" t="n">
        <v>44518</v>
      </c>
      <c r="C26" s="1" t="n">
        <v>46192</v>
      </c>
      <c r="D26" t="inlineStr">
        <is>
          <t>VÄSTMANLANDS LÄN</t>
        </is>
      </c>
      <c r="E26" t="inlineStr">
        <is>
          <t>SURAHAMMAR</t>
        </is>
      </c>
      <c r="F26" t="inlineStr">
        <is>
          <t>Sveaskog</t>
        </is>
      </c>
      <c r="G26" t="n">
        <v>6</v>
      </c>
      <c r="H26" t="n">
        <v>3</v>
      </c>
      <c r="I26" t="n">
        <v>1</v>
      </c>
      <c r="J26" t="n">
        <v>2</v>
      </c>
      <c r="K26" t="n">
        <v>0</v>
      </c>
      <c r="L26" t="n">
        <v>0</v>
      </c>
      <c r="M26" t="n">
        <v>0</v>
      </c>
      <c r="N26" t="n">
        <v>0</v>
      </c>
      <c r="O26" t="n">
        <v>2</v>
      </c>
      <c r="P26" t="n">
        <v>0</v>
      </c>
      <c r="Q26" t="n">
        <v>5</v>
      </c>
      <c r="R26" s="2" t="inlineStr">
        <is>
          <t>Järnsparv
Krusfrö
Bronshjon
Kråka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42860-2022</t>
        </is>
      </c>
      <c r="B27" s="1" t="n">
        <v>44832</v>
      </c>
      <c r="C27" s="1" t="n">
        <v>46192</v>
      </c>
      <c r="D27" t="inlineStr">
        <is>
          <t>VÄSTMANLANDS LÄN</t>
        </is>
      </c>
      <c r="E27" t="inlineStr">
        <is>
          <t>SURAHAMMAR</t>
        </is>
      </c>
      <c r="G27" t="n">
        <v>0.9</v>
      </c>
      <c r="H27" t="n">
        <v>0</v>
      </c>
      <c r="I27" t="n">
        <v>3</v>
      </c>
      <c r="J27" t="n">
        <v>0</v>
      </c>
      <c r="K27" t="n">
        <v>0</v>
      </c>
      <c r="L27" t="n">
        <v>2</v>
      </c>
      <c r="M27" t="n">
        <v>0</v>
      </c>
      <c r="N27" t="n">
        <v>0</v>
      </c>
      <c r="O27" t="n">
        <v>2</v>
      </c>
      <c r="P27" t="n">
        <v>2</v>
      </c>
      <c r="Q27" t="n">
        <v>5</v>
      </c>
      <c r="R27" s="2" t="inlineStr">
        <is>
          <t>Ask
Skogsalm
Scharlakansvårskål agg.
Toppvaxing
Vitvaxing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42708-2022</t>
        </is>
      </c>
      <c r="B28" s="1" t="n">
        <v>44832</v>
      </c>
      <c r="C28" s="1" t="n">
        <v>46192</v>
      </c>
      <c r="D28" t="inlineStr">
        <is>
          <t>VÄSTMANLANDS LÄN</t>
        </is>
      </c>
      <c r="E28" t="inlineStr">
        <is>
          <t>SURAHAMMAR</t>
        </is>
      </c>
      <c r="G28" t="n">
        <v>27.2</v>
      </c>
      <c r="H28" t="n">
        <v>5</v>
      </c>
      <c r="I28" t="n">
        <v>0</v>
      </c>
      <c r="J28" t="n">
        <v>1</v>
      </c>
      <c r="K28" t="n">
        <v>0</v>
      </c>
      <c r="L28" t="n">
        <v>0</v>
      </c>
      <c r="M28" t="n">
        <v>0</v>
      </c>
      <c r="N28" t="n">
        <v>0</v>
      </c>
      <c r="O28" t="n">
        <v>1</v>
      </c>
      <c r="P28" t="n">
        <v>0</v>
      </c>
      <c r="Q28" t="n">
        <v>5</v>
      </c>
      <c r="R28" s="2" t="inlineStr">
        <is>
          <t>Entita
Blåsippa
Spillkråka
Gröngöling
Skogsduva</t>
        </is>
      </c>
      <c r="S28">
        <f>HYPERLINK("https://klasma.github.io/Logging_1907/artfynd/A 42708-2022 artfynd.xlsx", "A 42708-2022")</f>
        <v/>
      </c>
      <c r="T28">
        <f>HYPERLINK("https://klasma.github.io/Logging_1907/kartor/A 42708-2022 karta.png", "A 42708-2022")</f>
        <v/>
      </c>
      <c r="V28">
        <f>HYPERLINK("https://klasma.github.io/Logging_1907/klagomål/A 42708-2022 FSC-klagomål.docx", "A 42708-2022")</f>
        <v/>
      </c>
      <c r="W28">
        <f>HYPERLINK("https://klasma.github.io/Logging_1907/klagomålsmail/A 42708-2022 FSC-klagomål mail.docx", "A 42708-2022")</f>
        <v/>
      </c>
      <c r="X28">
        <f>HYPERLINK("https://klasma.github.io/Logging_1907/tillsyn/A 42708-2022 tillsynsbegäran.docx", "A 42708-2022")</f>
        <v/>
      </c>
      <c r="Y28">
        <f>HYPERLINK("https://klasma.github.io/Logging_1907/tillsynsmail/A 42708-2022 tillsynsbegäran mail.docx", "A 42708-2022")</f>
        <v/>
      </c>
      <c r="Z28">
        <f>HYPERLINK("https://klasma.github.io/Logging_1907/fåglar/A 42708-2022 prioriterade fågelarter.docx", "A 42708-2022")</f>
        <v/>
      </c>
    </row>
    <row r="29" ht="15" customHeight="1">
      <c r="A29" t="inlineStr">
        <is>
          <t>A 21716-2025</t>
        </is>
      </c>
      <c r="B29" s="1" t="n">
        <v>45783</v>
      </c>
      <c r="C29" s="1" t="n">
        <v>46192</v>
      </c>
      <c r="D29" t="inlineStr">
        <is>
          <t>VÄSTMANLANDS LÄN</t>
        </is>
      </c>
      <c r="E29" t="inlineStr">
        <is>
          <t>SURAHAMMAR</t>
        </is>
      </c>
      <c r="F29" t="inlineStr">
        <is>
          <t>Allmännings- och besparingsskogar</t>
        </is>
      </c>
      <c r="G29" t="n">
        <v>21.1</v>
      </c>
      <c r="H29" t="n">
        <v>4</v>
      </c>
      <c r="I29" t="n">
        <v>1</v>
      </c>
      <c r="J29" t="n">
        <v>1</v>
      </c>
      <c r="K29" t="n">
        <v>1</v>
      </c>
      <c r="L29" t="n">
        <v>0</v>
      </c>
      <c r="M29" t="n">
        <v>0</v>
      </c>
      <c r="N29" t="n">
        <v>0</v>
      </c>
      <c r="O29" t="n">
        <v>2</v>
      </c>
      <c r="P29" t="n">
        <v>1</v>
      </c>
      <c r="Q29" t="n">
        <v>5</v>
      </c>
      <c r="R29" s="2" t="inlineStr">
        <is>
          <t>Knärot
Talltita
Vedticka
Spillkråka
Tallbit</t>
        </is>
      </c>
      <c r="S29">
        <f>HYPERLINK("https://klasma.github.io/Logging_1907/artfynd/A 21716-2025 artfynd.xlsx", "A 21716-2025")</f>
        <v/>
      </c>
      <c r="T29">
        <f>HYPERLINK("https://klasma.github.io/Logging_1907/kartor/A 21716-2025 karta.png", "A 21716-2025")</f>
        <v/>
      </c>
      <c r="U29">
        <f>HYPERLINK("https://klasma.github.io/Logging_1907/knärot/A 21716-2025 karta knärot.png", "A 21716-2025")</f>
        <v/>
      </c>
      <c r="V29">
        <f>HYPERLINK("https://klasma.github.io/Logging_1907/klagomål/A 21716-2025 FSC-klagomål.docx", "A 21716-2025")</f>
        <v/>
      </c>
      <c r="W29">
        <f>HYPERLINK("https://klasma.github.io/Logging_1907/klagomålsmail/A 21716-2025 FSC-klagomål mail.docx", "A 21716-2025")</f>
        <v/>
      </c>
      <c r="X29">
        <f>HYPERLINK("https://klasma.github.io/Logging_1907/tillsyn/A 21716-2025 tillsynsbegäran.docx", "A 21716-2025")</f>
        <v/>
      </c>
      <c r="Y29">
        <f>HYPERLINK("https://klasma.github.io/Logging_1907/tillsynsmail/A 21716-2025 tillsynsbegäran mail.docx", "A 21716-2025")</f>
        <v/>
      </c>
      <c r="Z29">
        <f>HYPERLINK("https://klasma.github.io/Logging_1907/fåglar/A 21716-2025 prioriterade fågelarter.docx", "A 21716-2025")</f>
        <v/>
      </c>
    </row>
    <row r="30" ht="15" customHeight="1">
      <c r="A30" t="inlineStr">
        <is>
          <t>A 37801-2021</t>
        </is>
      </c>
      <c r="B30" s="1" t="n">
        <v>44402</v>
      </c>
      <c r="C30" s="1" t="n">
        <v>46192</v>
      </c>
      <c r="D30" t="inlineStr">
        <is>
          <t>VÄSTMANLANDS LÄN</t>
        </is>
      </c>
      <c r="E30" t="inlineStr">
        <is>
          <t>SURAHAMMAR</t>
        </is>
      </c>
      <c r="F30" t="inlineStr">
        <is>
          <t>Kommuner</t>
        </is>
      </c>
      <c r="G30" t="n">
        <v>2.3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37801-2021 artfynd.xlsx", "A 37801-2021")</f>
        <v/>
      </c>
      <c r="T30">
        <f>HYPERLINK("https://klasma.github.io/Logging_1907/kartor/A 37801-2021 karta.png", "A 37801-2021")</f>
        <v/>
      </c>
      <c r="V30">
        <f>HYPERLINK("https://klasma.github.io/Logging_1907/klagomål/A 37801-2021 FSC-klagomål.docx", "A 37801-2021")</f>
        <v/>
      </c>
      <c r="W30">
        <f>HYPERLINK("https://klasma.github.io/Logging_1907/klagomålsmail/A 37801-2021 FSC-klagomål mail.docx", "A 37801-2021")</f>
        <v/>
      </c>
      <c r="X30">
        <f>HYPERLINK("https://klasma.github.io/Logging_1907/tillsyn/A 37801-2021 tillsynsbegäran.docx", "A 37801-2021")</f>
        <v/>
      </c>
      <c r="Y30">
        <f>HYPERLINK("https://klasma.github.io/Logging_1907/tillsynsmail/A 37801-2021 tillsynsbegäran mail.docx", "A 37801-2021")</f>
        <v/>
      </c>
    </row>
    <row r="31" ht="15" customHeight="1">
      <c r="A31" t="inlineStr">
        <is>
          <t>A 31176-2024</t>
        </is>
      </c>
      <c r="B31" s="1" t="n">
        <v>45503</v>
      </c>
      <c r="C31" s="1" t="n">
        <v>46192</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10819-2024</t>
        </is>
      </c>
      <c r="B32" s="1" t="n">
        <v>45369</v>
      </c>
      <c r="C32" s="1" t="n">
        <v>46192</v>
      </c>
      <c r="D32" t="inlineStr">
        <is>
          <t>VÄSTMANLANDS LÄN</t>
        </is>
      </c>
      <c r="E32" t="inlineStr">
        <is>
          <t>SURAHAMMAR</t>
        </is>
      </c>
      <c r="G32" t="n">
        <v>2</v>
      </c>
      <c r="H32" t="n">
        <v>2</v>
      </c>
      <c r="I32" t="n">
        <v>1</v>
      </c>
      <c r="J32" t="n">
        <v>1</v>
      </c>
      <c r="K32" t="n">
        <v>1</v>
      </c>
      <c r="L32" t="n">
        <v>0</v>
      </c>
      <c r="M32" t="n">
        <v>0</v>
      </c>
      <c r="N32" t="n">
        <v>0</v>
      </c>
      <c r="O32" t="n">
        <v>2</v>
      </c>
      <c r="P32" t="n">
        <v>1</v>
      </c>
      <c r="Q32" t="n">
        <v>4</v>
      </c>
      <c r="R32" s="2" t="inlineStr">
        <is>
          <t>Igelkott
Entita
Tibast
Näktergal</t>
        </is>
      </c>
      <c r="S32">
        <f>HYPERLINK("https://klasma.github.io/Logging_1907/artfynd/A 10819-2024 artfynd.xlsx", "A 10819-2024")</f>
        <v/>
      </c>
      <c r="T32">
        <f>HYPERLINK("https://klasma.github.io/Logging_1907/kartor/A 10819-2024 karta.png", "A 10819-2024")</f>
        <v/>
      </c>
      <c r="V32">
        <f>HYPERLINK("https://klasma.github.io/Logging_1907/klagomål/A 10819-2024 FSC-klagomål.docx", "A 10819-2024")</f>
        <v/>
      </c>
      <c r="W32">
        <f>HYPERLINK("https://klasma.github.io/Logging_1907/klagomålsmail/A 10819-2024 FSC-klagomål mail.docx", "A 10819-2024")</f>
        <v/>
      </c>
      <c r="X32">
        <f>HYPERLINK("https://klasma.github.io/Logging_1907/tillsyn/A 10819-2024 tillsynsbegäran.docx", "A 10819-2024")</f>
        <v/>
      </c>
      <c r="Y32">
        <f>HYPERLINK("https://klasma.github.io/Logging_1907/tillsynsmail/A 10819-2024 tillsynsbegäran mail.docx", "A 10819-2024")</f>
        <v/>
      </c>
      <c r="Z32">
        <f>HYPERLINK("https://klasma.github.io/Logging_1907/fåglar/A 10819-2024 prioriterade fågelarter.docx", "A 10819-2024")</f>
        <v/>
      </c>
    </row>
    <row r="33" ht="15" customHeight="1">
      <c r="A33" t="inlineStr">
        <is>
          <t>A 25548-2024</t>
        </is>
      </c>
      <c r="B33" s="1" t="n">
        <v>45463</v>
      </c>
      <c r="C33" s="1" t="n">
        <v>46192</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37800-2021</t>
        </is>
      </c>
      <c r="B34" s="1" t="n">
        <v>44402</v>
      </c>
      <c r="C34" s="1" t="n">
        <v>46192</v>
      </c>
      <c r="D34" t="inlineStr">
        <is>
          <t>VÄSTMANLANDS LÄN</t>
        </is>
      </c>
      <c r="E34" t="inlineStr">
        <is>
          <t>SURAHAMMAR</t>
        </is>
      </c>
      <c r="F34" t="inlineStr">
        <is>
          <t>Kommuner</t>
        </is>
      </c>
      <c r="G34" t="n">
        <v>1.3</v>
      </c>
      <c r="H34" t="n">
        <v>2</v>
      </c>
      <c r="I34" t="n">
        <v>0</v>
      </c>
      <c r="J34" t="n">
        <v>2</v>
      </c>
      <c r="K34" t="n">
        <v>0</v>
      </c>
      <c r="L34" t="n">
        <v>0</v>
      </c>
      <c r="M34" t="n">
        <v>0</v>
      </c>
      <c r="N34" t="n">
        <v>0</v>
      </c>
      <c r="O34" t="n">
        <v>2</v>
      </c>
      <c r="P34" t="n">
        <v>0</v>
      </c>
      <c r="Q34" t="n">
        <v>4</v>
      </c>
      <c r="R34" s="2" t="inlineStr">
        <is>
          <t>Svinrot
Veckticka
Grönvit nattviol
Nattviol</t>
        </is>
      </c>
      <c r="S34">
        <f>HYPERLINK("https://klasma.github.io/Logging_1907/artfynd/A 37800-2021 artfynd.xlsx", "A 37800-2021")</f>
        <v/>
      </c>
      <c r="T34">
        <f>HYPERLINK("https://klasma.github.io/Logging_1907/kartor/A 37800-2021 karta.png", "A 37800-2021")</f>
        <v/>
      </c>
      <c r="V34">
        <f>HYPERLINK("https://klasma.github.io/Logging_1907/klagomål/A 37800-2021 FSC-klagomål.docx", "A 37800-2021")</f>
        <v/>
      </c>
      <c r="W34">
        <f>HYPERLINK("https://klasma.github.io/Logging_1907/klagomålsmail/A 37800-2021 FSC-klagomål mail.docx", "A 37800-2021")</f>
        <v/>
      </c>
      <c r="X34">
        <f>HYPERLINK("https://klasma.github.io/Logging_1907/tillsyn/A 37800-2021 tillsynsbegäran.docx", "A 37800-2021")</f>
        <v/>
      </c>
      <c r="Y34">
        <f>HYPERLINK("https://klasma.github.io/Logging_1907/tillsynsmail/A 37800-2021 tillsynsbegäran mail.docx", "A 37800-2021")</f>
        <v/>
      </c>
    </row>
    <row r="35" ht="15" customHeight="1">
      <c r="A35" t="inlineStr">
        <is>
          <t>A 66350-2021</t>
        </is>
      </c>
      <c r="B35" s="1" t="n">
        <v>44518</v>
      </c>
      <c r="C35" s="1" t="n">
        <v>46192</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38200-2021</t>
        </is>
      </c>
      <c r="B36" s="1" t="n">
        <v>44405</v>
      </c>
      <c r="C36" s="1" t="n">
        <v>46192</v>
      </c>
      <c r="D36" t="inlineStr">
        <is>
          <t>VÄSTMANLANDS LÄN</t>
        </is>
      </c>
      <c r="E36" t="inlineStr">
        <is>
          <t>SURAHAMMAR</t>
        </is>
      </c>
      <c r="F36" t="inlineStr">
        <is>
          <t>Sveaskog</t>
        </is>
      </c>
      <c r="G36" t="n">
        <v>1.5</v>
      </c>
      <c r="H36" t="n">
        <v>1</v>
      </c>
      <c r="I36" t="n">
        <v>0</v>
      </c>
      <c r="J36" t="n">
        <v>2</v>
      </c>
      <c r="K36" t="n">
        <v>0</v>
      </c>
      <c r="L36" t="n">
        <v>0</v>
      </c>
      <c r="M36" t="n">
        <v>0</v>
      </c>
      <c r="N36" t="n">
        <v>0</v>
      </c>
      <c r="O36" t="n">
        <v>2</v>
      </c>
      <c r="P36" t="n">
        <v>0</v>
      </c>
      <c r="Q36" t="n">
        <v>3</v>
      </c>
      <c r="R36" s="2" t="inlineStr">
        <is>
          <t>Svinrot
Vågticka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48128-2023</t>
        </is>
      </c>
      <c r="B37" s="1" t="n">
        <v>45205</v>
      </c>
      <c r="C37" s="1" t="n">
        <v>46192</v>
      </c>
      <c r="D37" t="inlineStr">
        <is>
          <t>VÄSTMANLANDS LÄN</t>
        </is>
      </c>
      <c r="E37" t="inlineStr">
        <is>
          <t>SURAHAMMAR</t>
        </is>
      </c>
      <c r="F37" t="inlineStr">
        <is>
          <t>Allmännings- och besparingsskogar</t>
        </is>
      </c>
      <c r="G37" t="n">
        <v>11.8</v>
      </c>
      <c r="H37" t="n">
        <v>0</v>
      </c>
      <c r="I37" t="n">
        <v>1</v>
      </c>
      <c r="J37" t="n">
        <v>2</v>
      </c>
      <c r="K37" t="n">
        <v>0</v>
      </c>
      <c r="L37" t="n">
        <v>0</v>
      </c>
      <c r="M37" t="n">
        <v>0</v>
      </c>
      <c r="N37" t="n">
        <v>0</v>
      </c>
      <c r="O37" t="n">
        <v>2</v>
      </c>
      <c r="P37" t="n">
        <v>0</v>
      </c>
      <c r="Q37" t="n">
        <v>3</v>
      </c>
      <c r="R37" s="2" t="inlineStr">
        <is>
          <t>Jungfrulin
Svinrot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39694-2025</t>
        </is>
      </c>
      <c r="B38" s="1" t="n">
        <v>45890</v>
      </c>
      <c r="C38" s="1" t="n">
        <v>46192</v>
      </c>
      <c r="D38" t="inlineStr">
        <is>
          <t>VÄSTMANLANDS LÄN</t>
        </is>
      </c>
      <c r="E38" t="inlineStr">
        <is>
          <t>SURAHAMMAR</t>
        </is>
      </c>
      <c r="F38" t="inlineStr">
        <is>
          <t>Bergvik skog väst AB</t>
        </is>
      </c>
      <c r="G38" t="n">
        <v>2.9</v>
      </c>
      <c r="H38" t="n">
        <v>1</v>
      </c>
      <c r="I38" t="n">
        <v>1</v>
      </c>
      <c r="J38" t="n">
        <v>1</v>
      </c>
      <c r="K38" t="n">
        <v>0</v>
      </c>
      <c r="L38" t="n">
        <v>0</v>
      </c>
      <c r="M38" t="n">
        <v>0</v>
      </c>
      <c r="N38" t="n">
        <v>0</v>
      </c>
      <c r="O38" t="n">
        <v>1</v>
      </c>
      <c r="P38" t="n">
        <v>0</v>
      </c>
      <c r="Q38" t="n">
        <v>3</v>
      </c>
      <c r="R38" s="2" t="inlineStr">
        <is>
          <t>Motaggsvamp
Mindre märgborre
Tjäder</t>
        </is>
      </c>
      <c r="S38">
        <f>HYPERLINK("https://klasma.github.io/Logging_1907/artfynd/A 39694-2025 artfynd.xlsx", "A 39694-2025")</f>
        <v/>
      </c>
      <c r="T38">
        <f>HYPERLINK("https://klasma.github.io/Logging_1907/kartor/A 39694-2025 karta.png", "A 39694-2025")</f>
        <v/>
      </c>
      <c r="V38">
        <f>HYPERLINK("https://klasma.github.io/Logging_1907/klagomål/A 39694-2025 FSC-klagomål.docx", "A 39694-2025")</f>
        <v/>
      </c>
      <c r="W38">
        <f>HYPERLINK("https://klasma.github.io/Logging_1907/klagomålsmail/A 39694-2025 FSC-klagomål mail.docx", "A 39694-2025")</f>
        <v/>
      </c>
      <c r="X38">
        <f>HYPERLINK("https://klasma.github.io/Logging_1907/tillsyn/A 39694-2025 tillsynsbegäran.docx", "A 39694-2025")</f>
        <v/>
      </c>
      <c r="Y38">
        <f>HYPERLINK("https://klasma.github.io/Logging_1907/tillsynsmail/A 39694-2025 tillsynsbegäran mail.docx", "A 39694-2025")</f>
        <v/>
      </c>
      <c r="Z38">
        <f>HYPERLINK("https://klasma.github.io/Logging_1907/fåglar/A 39694-2025 prioriterade fågelarter.docx", "A 39694-2025")</f>
        <v/>
      </c>
    </row>
    <row r="39" ht="15" customHeight="1">
      <c r="A39" t="inlineStr">
        <is>
          <t>A 40411-2021</t>
        </is>
      </c>
      <c r="B39" s="1" t="n">
        <v>44419</v>
      </c>
      <c r="C39" s="1" t="n">
        <v>46192</v>
      </c>
      <c r="D39" t="inlineStr">
        <is>
          <t>VÄSTMANLANDS LÄN</t>
        </is>
      </c>
      <c r="E39" t="inlineStr">
        <is>
          <t>SURAHAMMAR</t>
        </is>
      </c>
      <c r="F39" t="inlineStr">
        <is>
          <t>Sveaskog</t>
        </is>
      </c>
      <c r="G39" t="n">
        <v>2.4</v>
      </c>
      <c r="H39" t="n">
        <v>1</v>
      </c>
      <c r="I39" t="n">
        <v>0</v>
      </c>
      <c r="J39" t="n">
        <v>1</v>
      </c>
      <c r="K39" t="n">
        <v>1</v>
      </c>
      <c r="L39" t="n">
        <v>0</v>
      </c>
      <c r="M39" t="n">
        <v>0</v>
      </c>
      <c r="N39" t="n">
        <v>0</v>
      </c>
      <c r="O39" t="n">
        <v>2</v>
      </c>
      <c r="P39" t="n">
        <v>1</v>
      </c>
      <c r="Q39" t="n">
        <v>3</v>
      </c>
      <c r="R39" s="2" t="inlineStr">
        <is>
          <t>Brunfläckig pärlemorfjäril
Pilblad
Kopparödla</t>
        </is>
      </c>
      <c r="S39">
        <f>HYPERLINK("https://klasma.github.io/Logging_1907/artfynd/A 40411-2021 artfynd.xlsx", "A 40411-2021")</f>
        <v/>
      </c>
      <c r="T39">
        <f>HYPERLINK("https://klasma.github.io/Logging_1907/kartor/A 40411-2021 karta.png", "A 40411-2021")</f>
        <v/>
      </c>
      <c r="V39">
        <f>HYPERLINK("https://klasma.github.io/Logging_1907/klagomål/A 40411-2021 FSC-klagomål.docx", "A 40411-2021")</f>
        <v/>
      </c>
      <c r="W39">
        <f>HYPERLINK("https://klasma.github.io/Logging_1907/klagomålsmail/A 40411-2021 FSC-klagomål mail.docx", "A 40411-2021")</f>
        <v/>
      </c>
      <c r="X39">
        <f>HYPERLINK("https://klasma.github.io/Logging_1907/tillsyn/A 40411-2021 tillsynsbegäran.docx", "A 40411-2021")</f>
        <v/>
      </c>
      <c r="Y39">
        <f>HYPERLINK("https://klasma.github.io/Logging_1907/tillsynsmail/A 40411-2021 tillsynsbegäran mail.docx", "A 40411-2021")</f>
        <v/>
      </c>
    </row>
    <row r="40" ht="15" customHeight="1">
      <c r="A40" t="inlineStr">
        <is>
          <t>A 63146-2025</t>
        </is>
      </c>
      <c r="B40" s="1" t="n">
        <v>46009</v>
      </c>
      <c r="C40" s="1" t="n">
        <v>46192</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49718-2023</t>
        </is>
      </c>
      <c r="B41" s="1" t="n">
        <v>45212</v>
      </c>
      <c r="C41" s="1" t="n">
        <v>46192</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42765-2022</t>
        </is>
      </c>
      <c r="B42" s="1" t="n">
        <v>44832</v>
      </c>
      <c r="C42" s="1" t="n">
        <v>46192</v>
      </c>
      <c r="D42" t="inlineStr">
        <is>
          <t>VÄSTMANLANDS LÄN</t>
        </is>
      </c>
      <c r="E42" t="inlineStr">
        <is>
          <t>SURAHAMMAR</t>
        </is>
      </c>
      <c r="G42" t="n">
        <v>1.8</v>
      </c>
      <c r="H42" t="n">
        <v>1</v>
      </c>
      <c r="I42" t="n">
        <v>1</v>
      </c>
      <c r="J42" t="n">
        <v>1</v>
      </c>
      <c r="K42" t="n">
        <v>0</v>
      </c>
      <c r="L42" t="n">
        <v>0</v>
      </c>
      <c r="M42" t="n">
        <v>0</v>
      </c>
      <c r="N42" t="n">
        <v>0</v>
      </c>
      <c r="O42" t="n">
        <v>1</v>
      </c>
      <c r="P42" t="n">
        <v>0</v>
      </c>
      <c r="Q42" t="n">
        <v>3</v>
      </c>
      <c r="R42" s="2" t="inlineStr">
        <is>
          <t>Krusfrö
Barkticka
Blåsippa</t>
        </is>
      </c>
      <c r="S42">
        <f>HYPERLINK("https://klasma.github.io/Logging_1907/artfynd/A 42765-2022 artfynd.xlsx", "A 42765-2022")</f>
        <v/>
      </c>
      <c r="T42">
        <f>HYPERLINK("https://klasma.github.io/Logging_1907/kartor/A 42765-2022 karta.png", "A 42765-2022")</f>
        <v/>
      </c>
      <c r="V42">
        <f>HYPERLINK("https://klasma.github.io/Logging_1907/klagomål/A 42765-2022 FSC-klagomål.docx", "A 42765-2022")</f>
        <v/>
      </c>
      <c r="W42">
        <f>HYPERLINK("https://klasma.github.io/Logging_1907/klagomålsmail/A 42765-2022 FSC-klagomål mail.docx", "A 42765-2022")</f>
        <v/>
      </c>
      <c r="X42">
        <f>HYPERLINK("https://klasma.github.io/Logging_1907/tillsyn/A 42765-2022 tillsynsbegäran.docx", "A 42765-2022")</f>
        <v/>
      </c>
      <c r="Y42">
        <f>HYPERLINK("https://klasma.github.io/Logging_1907/tillsynsmail/A 42765-2022 tillsynsbegäran mail.docx", "A 42765-2022")</f>
        <v/>
      </c>
    </row>
    <row r="43" ht="15" customHeight="1">
      <c r="A43" t="inlineStr">
        <is>
          <t>A 69777-2021</t>
        </is>
      </c>
      <c r="B43" s="1" t="n">
        <v>44532</v>
      </c>
      <c r="C43" s="1" t="n">
        <v>46192</v>
      </c>
      <c r="D43" t="inlineStr">
        <is>
          <t>VÄSTMANLANDS LÄN</t>
        </is>
      </c>
      <c r="E43" t="inlineStr">
        <is>
          <t>SURAHAMMAR</t>
        </is>
      </c>
      <c r="G43" t="n">
        <v>2.3</v>
      </c>
      <c r="H43" t="n">
        <v>1</v>
      </c>
      <c r="I43" t="n">
        <v>2</v>
      </c>
      <c r="J43" t="n">
        <v>0</v>
      </c>
      <c r="K43" t="n">
        <v>0</v>
      </c>
      <c r="L43" t="n">
        <v>1</v>
      </c>
      <c r="M43" t="n">
        <v>0</v>
      </c>
      <c r="N43" t="n">
        <v>0</v>
      </c>
      <c r="O43" t="n">
        <v>1</v>
      </c>
      <c r="P43" t="n">
        <v>1</v>
      </c>
      <c r="Q43" t="n">
        <v>3</v>
      </c>
      <c r="R43" s="2" t="inlineStr">
        <is>
          <t>Bombmurkla
Rävticka
Vedticka</t>
        </is>
      </c>
      <c r="S43">
        <f>HYPERLINK("https://klasma.github.io/Logging_1907/artfynd/A 69777-2021 artfynd.xlsx", "A 69777-2021")</f>
        <v/>
      </c>
      <c r="T43">
        <f>HYPERLINK("https://klasma.github.io/Logging_1907/kartor/A 69777-2021 karta.png", "A 69777-2021")</f>
        <v/>
      </c>
      <c r="V43">
        <f>HYPERLINK("https://klasma.github.io/Logging_1907/klagomål/A 69777-2021 FSC-klagomål.docx", "A 69777-2021")</f>
        <v/>
      </c>
      <c r="W43">
        <f>HYPERLINK("https://klasma.github.io/Logging_1907/klagomålsmail/A 69777-2021 FSC-klagomål mail.docx", "A 69777-2021")</f>
        <v/>
      </c>
      <c r="X43">
        <f>HYPERLINK("https://klasma.github.io/Logging_1907/tillsyn/A 69777-2021 tillsynsbegäran.docx", "A 69777-2021")</f>
        <v/>
      </c>
      <c r="Y43">
        <f>HYPERLINK("https://klasma.github.io/Logging_1907/tillsynsmail/A 69777-2021 tillsynsbegäran mail.docx", "A 69777-2021")</f>
        <v/>
      </c>
    </row>
    <row r="44" ht="15" customHeight="1">
      <c r="A44" t="inlineStr">
        <is>
          <t>A 4082-2025</t>
        </is>
      </c>
      <c r="B44" s="1" t="n">
        <v>45684</v>
      </c>
      <c r="C44" s="1" t="n">
        <v>46192</v>
      </c>
      <c r="D44" t="inlineStr">
        <is>
          <t>VÄSTMANLANDS LÄN</t>
        </is>
      </c>
      <c r="E44" t="inlineStr">
        <is>
          <t>SURAHAMMAR</t>
        </is>
      </c>
      <c r="F44" t="inlineStr">
        <is>
          <t>Bergvik skog väst AB</t>
        </is>
      </c>
      <c r="G44" t="n">
        <v>11.6</v>
      </c>
      <c r="H44" t="n">
        <v>2</v>
      </c>
      <c r="I44" t="n">
        <v>2</v>
      </c>
      <c r="J44" t="n">
        <v>0</v>
      </c>
      <c r="K44" t="n">
        <v>0</v>
      </c>
      <c r="L44" t="n">
        <v>0</v>
      </c>
      <c r="M44" t="n">
        <v>0</v>
      </c>
      <c r="N44" t="n">
        <v>0</v>
      </c>
      <c r="O44" t="n">
        <v>0</v>
      </c>
      <c r="P44" t="n">
        <v>0</v>
      </c>
      <c r="Q44" t="n">
        <v>3</v>
      </c>
      <c r="R44" s="2" t="inlineStr">
        <is>
          <t>Grönpyrola
Plattlummer
Lopplummer (aggregat)</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38170-2021</t>
        </is>
      </c>
      <c r="B45" s="1" t="n">
        <v>44405</v>
      </c>
      <c r="C45" s="1" t="n">
        <v>46192</v>
      </c>
      <c r="D45" t="inlineStr">
        <is>
          <t>VÄSTMANLANDS LÄN</t>
        </is>
      </c>
      <c r="E45" t="inlineStr">
        <is>
          <t>SURAHAMMAR</t>
        </is>
      </c>
      <c r="F45" t="inlineStr">
        <is>
          <t>Sveaskog</t>
        </is>
      </c>
      <c r="G45" t="n">
        <v>1.2</v>
      </c>
      <c r="H45" t="n">
        <v>1</v>
      </c>
      <c r="I45" t="n">
        <v>0</v>
      </c>
      <c r="J45" t="n">
        <v>1</v>
      </c>
      <c r="K45" t="n">
        <v>0</v>
      </c>
      <c r="L45" t="n">
        <v>0</v>
      </c>
      <c r="M45" t="n">
        <v>0</v>
      </c>
      <c r="N45" t="n">
        <v>0</v>
      </c>
      <c r="O45" t="n">
        <v>1</v>
      </c>
      <c r="P45" t="n">
        <v>0</v>
      </c>
      <c r="Q45" t="n">
        <v>2</v>
      </c>
      <c r="R45" s="2" t="inlineStr">
        <is>
          <t>Motaggsvamp
Revlummer</t>
        </is>
      </c>
      <c r="S45">
        <f>HYPERLINK("https://klasma.github.io/Logging_1907/artfynd/A 38170-2021 artfynd.xlsx", "A 38170-2021")</f>
        <v/>
      </c>
      <c r="T45">
        <f>HYPERLINK("https://klasma.github.io/Logging_1907/kartor/A 38170-2021 karta.png", "A 38170-2021")</f>
        <v/>
      </c>
      <c r="V45">
        <f>HYPERLINK("https://klasma.github.io/Logging_1907/klagomål/A 38170-2021 FSC-klagomål.docx", "A 38170-2021")</f>
        <v/>
      </c>
      <c r="W45">
        <f>HYPERLINK("https://klasma.github.io/Logging_1907/klagomålsmail/A 38170-2021 FSC-klagomål mail.docx", "A 38170-2021")</f>
        <v/>
      </c>
      <c r="X45">
        <f>HYPERLINK("https://klasma.github.io/Logging_1907/tillsyn/A 38170-2021 tillsynsbegäran.docx", "A 38170-2021")</f>
        <v/>
      </c>
      <c r="Y45">
        <f>HYPERLINK("https://klasma.github.io/Logging_1907/tillsynsmail/A 38170-2021 tillsynsbegäran mail.docx", "A 38170-2021")</f>
        <v/>
      </c>
    </row>
    <row r="46" ht="15" customHeight="1">
      <c r="A46" t="inlineStr">
        <is>
          <t>A 38178-2021</t>
        </is>
      </c>
      <c r="B46" s="1" t="n">
        <v>44405</v>
      </c>
      <c r="C46" s="1" t="n">
        <v>46192</v>
      </c>
      <c r="D46" t="inlineStr">
        <is>
          <t>VÄSTMANLANDS LÄN</t>
        </is>
      </c>
      <c r="E46" t="inlineStr">
        <is>
          <t>SURAHAMMAR</t>
        </is>
      </c>
      <c r="F46" t="inlineStr">
        <is>
          <t>Sveaskog</t>
        </is>
      </c>
      <c r="G46" t="n">
        <v>1.3</v>
      </c>
      <c r="H46" t="n">
        <v>0</v>
      </c>
      <c r="I46" t="n">
        <v>0</v>
      </c>
      <c r="J46" t="n">
        <v>2</v>
      </c>
      <c r="K46" t="n">
        <v>0</v>
      </c>
      <c r="L46" t="n">
        <v>0</v>
      </c>
      <c r="M46" t="n">
        <v>0</v>
      </c>
      <c r="N46" t="n">
        <v>0</v>
      </c>
      <c r="O46" t="n">
        <v>2</v>
      </c>
      <c r="P46" t="n">
        <v>0</v>
      </c>
      <c r="Q46" t="n">
        <v>2</v>
      </c>
      <c r="R46" s="2" t="inlineStr">
        <is>
          <t>Ullticka
Vaddporing</t>
        </is>
      </c>
      <c r="S46">
        <f>HYPERLINK("https://klasma.github.io/Logging_1907/artfynd/A 38178-2021 artfynd.xlsx", "A 38178-2021")</f>
        <v/>
      </c>
      <c r="T46">
        <f>HYPERLINK("https://klasma.github.io/Logging_1907/kartor/A 38178-2021 karta.png", "A 38178-2021")</f>
        <v/>
      </c>
      <c r="V46">
        <f>HYPERLINK("https://klasma.github.io/Logging_1907/klagomål/A 38178-2021 FSC-klagomål.docx", "A 38178-2021")</f>
        <v/>
      </c>
      <c r="W46">
        <f>HYPERLINK("https://klasma.github.io/Logging_1907/klagomålsmail/A 38178-2021 FSC-klagomål mail.docx", "A 38178-2021")</f>
        <v/>
      </c>
      <c r="X46">
        <f>HYPERLINK("https://klasma.github.io/Logging_1907/tillsyn/A 38178-2021 tillsynsbegäran.docx", "A 38178-2021")</f>
        <v/>
      </c>
      <c r="Y46">
        <f>HYPERLINK("https://klasma.github.io/Logging_1907/tillsynsmail/A 38178-2021 tillsynsbegäran mail.docx", "A 38178-2021")</f>
        <v/>
      </c>
    </row>
    <row r="47" ht="15" customHeight="1">
      <c r="A47" t="inlineStr">
        <is>
          <t>A 41204-2023</t>
        </is>
      </c>
      <c r="B47" s="1" t="n">
        <v>45174</v>
      </c>
      <c r="C47" s="1" t="n">
        <v>46192</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30074-2023</t>
        </is>
      </c>
      <c r="B48" s="1" t="n">
        <v>45110</v>
      </c>
      <c r="C48" s="1" t="n">
        <v>46192</v>
      </c>
      <c r="D48" t="inlineStr">
        <is>
          <t>VÄSTMANLANDS LÄN</t>
        </is>
      </c>
      <c r="E48" t="inlineStr">
        <is>
          <t>SURAHAMMAR</t>
        </is>
      </c>
      <c r="F48" t="inlineStr">
        <is>
          <t>Sveaskog</t>
        </is>
      </c>
      <c r="G48" t="n">
        <v>1.1</v>
      </c>
      <c r="H48" t="n">
        <v>1</v>
      </c>
      <c r="I48" t="n">
        <v>1</v>
      </c>
      <c r="J48" t="n">
        <v>0</v>
      </c>
      <c r="K48" t="n">
        <v>0</v>
      </c>
      <c r="L48" t="n">
        <v>0</v>
      </c>
      <c r="M48" t="n">
        <v>0</v>
      </c>
      <c r="N48" t="n">
        <v>0</v>
      </c>
      <c r="O48" t="n">
        <v>0</v>
      </c>
      <c r="P48" t="n">
        <v>0</v>
      </c>
      <c r="Q48" t="n">
        <v>2</v>
      </c>
      <c r="R48" s="2" t="inlineStr">
        <is>
          <t>Grönpyrola
Revlummer</t>
        </is>
      </c>
      <c r="S48">
        <f>HYPERLINK("https://klasma.github.io/Logging_1907/artfynd/A 30074-2023 artfynd.xlsx", "A 30074-2023")</f>
        <v/>
      </c>
      <c r="T48">
        <f>HYPERLINK("https://klasma.github.io/Logging_1907/kartor/A 30074-2023 karta.png", "A 30074-2023")</f>
        <v/>
      </c>
      <c r="V48">
        <f>HYPERLINK("https://klasma.github.io/Logging_1907/klagomål/A 30074-2023 FSC-klagomål.docx", "A 30074-2023")</f>
        <v/>
      </c>
      <c r="W48">
        <f>HYPERLINK("https://klasma.github.io/Logging_1907/klagomålsmail/A 30074-2023 FSC-klagomål mail.docx", "A 30074-2023")</f>
        <v/>
      </c>
      <c r="X48">
        <f>HYPERLINK("https://klasma.github.io/Logging_1907/tillsyn/A 30074-2023 tillsynsbegäran.docx", "A 30074-2023")</f>
        <v/>
      </c>
      <c r="Y48">
        <f>HYPERLINK("https://klasma.github.io/Logging_1907/tillsynsmail/A 30074-2023 tillsynsbegäran mail.docx", "A 30074-2023")</f>
        <v/>
      </c>
    </row>
    <row r="49" ht="15" customHeight="1">
      <c r="A49" t="inlineStr">
        <is>
          <t>A 40403-2025</t>
        </is>
      </c>
      <c r="B49" s="1" t="n">
        <v>45895</v>
      </c>
      <c r="C49" s="1" t="n">
        <v>46192</v>
      </c>
      <c r="D49" t="inlineStr">
        <is>
          <t>VÄSTMANLANDS LÄN</t>
        </is>
      </c>
      <c r="E49" t="inlineStr">
        <is>
          <t>SURAHAMMAR</t>
        </is>
      </c>
      <c r="F49" t="inlineStr">
        <is>
          <t>Kommuner</t>
        </is>
      </c>
      <c r="G49" t="n">
        <v>3.9</v>
      </c>
      <c r="H49" t="n">
        <v>1</v>
      </c>
      <c r="I49" t="n">
        <v>0</v>
      </c>
      <c r="J49" t="n">
        <v>0</v>
      </c>
      <c r="K49" t="n">
        <v>1</v>
      </c>
      <c r="L49" t="n">
        <v>0</v>
      </c>
      <c r="M49" t="n">
        <v>0</v>
      </c>
      <c r="N49" t="n">
        <v>0</v>
      </c>
      <c r="O49" t="n">
        <v>1</v>
      </c>
      <c r="P49" t="n">
        <v>1</v>
      </c>
      <c r="Q49" t="n">
        <v>2</v>
      </c>
      <c r="R49" s="2" t="inlineStr">
        <is>
          <t>Igelkott
Gröngöling</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c r="Z49">
        <f>HYPERLINK("https://klasma.github.io/Logging_1907/fåglar/A 40403-2025 prioriterade fågelarter.docx", "A 40403-2025")</f>
        <v/>
      </c>
    </row>
    <row r="50" ht="15" customHeight="1">
      <c r="A50" t="inlineStr">
        <is>
          <t>A 11501-2023</t>
        </is>
      </c>
      <c r="B50" s="1" t="n">
        <v>44991</v>
      </c>
      <c r="C50" s="1" t="n">
        <v>46192</v>
      </c>
      <c r="D50" t="inlineStr">
        <is>
          <t>VÄSTMANLANDS LÄN</t>
        </is>
      </c>
      <c r="E50" t="inlineStr">
        <is>
          <t>SURAHAMMAR</t>
        </is>
      </c>
      <c r="F50" t="inlineStr">
        <is>
          <t>Bergvik skog väst AB</t>
        </is>
      </c>
      <c r="G50" t="n">
        <v>1.1</v>
      </c>
      <c r="H50" t="n">
        <v>1</v>
      </c>
      <c r="I50" t="n">
        <v>1</v>
      </c>
      <c r="J50" t="n">
        <v>0</v>
      </c>
      <c r="K50" t="n">
        <v>0</v>
      </c>
      <c r="L50" t="n">
        <v>0</v>
      </c>
      <c r="M50" t="n">
        <v>0</v>
      </c>
      <c r="N50" t="n">
        <v>0</v>
      </c>
      <c r="O50" t="n">
        <v>0</v>
      </c>
      <c r="P50" t="n">
        <v>0</v>
      </c>
      <c r="Q50" t="n">
        <v>2</v>
      </c>
      <c r="R50" s="2" t="inlineStr">
        <is>
          <t>Svart trolldruva
Nattviol</t>
        </is>
      </c>
      <c r="S50">
        <f>HYPERLINK("https://klasma.github.io/Logging_1907/artfynd/A 11501-2023 artfynd.xlsx", "A 11501-2023")</f>
        <v/>
      </c>
      <c r="T50">
        <f>HYPERLINK("https://klasma.github.io/Logging_1907/kartor/A 11501-2023 karta.png", "A 11501-2023")</f>
        <v/>
      </c>
      <c r="V50">
        <f>HYPERLINK("https://klasma.github.io/Logging_1907/klagomål/A 11501-2023 FSC-klagomål.docx", "A 11501-2023")</f>
        <v/>
      </c>
      <c r="W50">
        <f>HYPERLINK("https://klasma.github.io/Logging_1907/klagomålsmail/A 11501-2023 FSC-klagomål mail.docx", "A 11501-2023")</f>
        <v/>
      </c>
      <c r="X50">
        <f>HYPERLINK("https://klasma.github.io/Logging_1907/tillsyn/A 11501-2023 tillsynsbegäran.docx", "A 11501-2023")</f>
        <v/>
      </c>
      <c r="Y50">
        <f>HYPERLINK("https://klasma.github.io/Logging_1907/tillsynsmail/A 11501-2023 tillsynsbegäran mail.docx", "A 11501-2023")</f>
        <v/>
      </c>
    </row>
    <row r="51" ht="15" customHeight="1">
      <c r="A51" t="inlineStr">
        <is>
          <t>A 14001-2023</t>
        </is>
      </c>
      <c r="B51" s="1" t="n">
        <v>45007</v>
      </c>
      <c r="C51" s="1" t="n">
        <v>46192</v>
      </c>
      <c r="D51" t="inlineStr">
        <is>
          <t>VÄSTMANLANDS LÄN</t>
        </is>
      </c>
      <c r="E51" t="inlineStr">
        <is>
          <t>SURAHAMMAR</t>
        </is>
      </c>
      <c r="F51" t="inlineStr">
        <is>
          <t>Bergvik skog väst AB</t>
        </is>
      </c>
      <c r="G51" t="n">
        <v>1</v>
      </c>
      <c r="H51" t="n">
        <v>0</v>
      </c>
      <c r="I51" t="n">
        <v>0</v>
      </c>
      <c r="J51" t="n">
        <v>1</v>
      </c>
      <c r="K51" t="n">
        <v>1</v>
      </c>
      <c r="L51" t="n">
        <v>0</v>
      </c>
      <c r="M51" t="n">
        <v>0</v>
      </c>
      <c r="N51" t="n">
        <v>0</v>
      </c>
      <c r="O51" t="n">
        <v>2</v>
      </c>
      <c r="P51" t="n">
        <v>1</v>
      </c>
      <c r="Q51" t="n">
        <v>2</v>
      </c>
      <c r="R51" s="2" t="inlineStr">
        <is>
          <t>Garnlav
Motaggsvamp</t>
        </is>
      </c>
      <c r="S51">
        <f>HYPERLINK("https://klasma.github.io/Logging_1907/artfynd/A 14001-2023 artfynd.xlsx", "A 14001-2023")</f>
        <v/>
      </c>
      <c r="T51">
        <f>HYPERLINK("https://klasma.github.io/Logging_1907/kartor/A 14001-2023 karta.png", "A 14001-2023")</f>
        <v/>
      </c>
      <c r="V51">
        <f>HYPERLINK("https://klasma.github.io/Logging_1907/klagomål/A 14001-2023 FSC-klagomål.docx", "A 14001-2023")</f>
        <v/>
      </c>
      <c r="W51">
        <f>HYPERLINK("https://klasma.github.io/Logging_1907/klagomålsmail/A 14001-2023 FSC-klagomål mail.docx", "A 14001-2023")</f>
        <v/>
      </c>
      <c r="X51">
        <f>HYPERLINK("https://klasma.github.io/Logging_1907/tillsyn/A 14001-2023 tillsynsbegäran.docx", "A 14001-2023")</f>
        <v/>
      </c>
      <c r="Y51">
        <f>HYPERLINK("https://klasma.github.io/Logging_1907/tillsynsmail/A 14001-2023 tillsynsbegäran mail.docx", "A 14001-2023")</f>
        <v/>
      </c>
    </row>
    <row r="52" ht="15" customHeight="1">
      <c r="A52" t="inlineStr">
        <is>
          <t>A 56362-2023</t>
        </is>
      </c>
      <c r="B52" s="1" t="n">
        <v>45236</v>
      </c>
      <c r="C52" s="1" t="n">
        <v>46192</v>
      </c>
      <c r="D52" t="inlineStr">
        <is>
          <t>VÄSTMANLANDS LÄN</t>
        </is>
      </c>
      <c r="E52" t="inlineStr">
        <is>
          <t>SURAHAMMAR</t>
        </is>
      </c>
      <c r="F52" t="inlineStr">
        <is>
          <t>Bergvik skog väst AB</t>
        </is>
      </c>
      <c r="G52" t="n">
        <v>15.2</v>
      </c>
      <c r="H52" t="n">
        <v>1</v>
      </c>
      <c r="I52" t="n">
        <v>1</v>
      </c>
      <c r="J52" t="n">
        <v>0</v>
      </c>
      <c r="K52" t="n">
        <v>1</v>
      </c>
      <c r="L52" t="n">
        <v>0</v>
      </c>
      <c r="M52" t="n">
        <v>0</v>
      </c>
      <c r="N52" t="n">
        <v>0</v>
      </c>
      <c r="O52" t="n">
        <v>1</v>
      </c>
      <c r="P52" t="n">
        <v>1</v>
      </c>
      <c r="Q52" t="n">
        <v>2</v>
      </c>
      <c r="R52" s="2" t="inlineStr">
        <is>
          <t>Väddnätfjäril
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47453-2024</t>
        </is>
      </c>
      <c r="B53" s="1" t="n">
        <v>45587</v>
      </c>
      <c r="C53" s="1" t="n">
        <v>46192</v>
      </c>
      <c r="D53" t="inlineStr">
        <is>
          <t>VÄSTMANLANDS LÄN</t>
        </is>
      </c>
      <c r="E53" t="inlineStr">
        <is>
          <t>SURAHAMMAR</t>
        </is>
      </c>
      <c r="G53" t="n">
        <v>5.1</v>
      </c>
      <c r="H53" t="n">
        <v>2</v>
      </c>
      <c r="I53" t="n">
        <v>0</v>
      </c>
      <c r="J53" t="n">
        <v>1</v>
      </c>
      <c r="K53" t="n">
        <v>0</v>
      </c>
      <c r="L53" t="n">
        <v>0</v>
      </c>
      <c r="M53" t="n">
        <v>0</v>
      </c>
      <c r="N53" t="n">
        <v>0</v>
      </c>
      <c r="O53" t="n">
        <v>1</v>
      </c>
      <c r="P53" t="n">
        <v>0</v>
      </c>
      <c r="Q53" t="n">
        <v>2</v>
      </c>
      <c r="R53" s="2" t="inlineStr">
        <is>
          <t>Göktyta
Gröngöling</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56541-2025</t>
        </is>
      </c>
      <c r="B54" s="1" t="n">
        <v>45975</v>
      </c>
      <c r="C54" s="1" t="n">
        <v>46192</v>
      </c>
      <c r="D54" t="inlineStr">
        <is>
          <t>VÄSTMANLANDS LÄN</t>
        </is>
      </c>
      <c r="E54" t="inlineStr">
        <is>
          <t>SURAHAMMAR</t>
        </is>
      </c>
      <c r="F54" t="inlineStr">
        <is>
          <t>Sveaskog</t>
        </is>
      </c>
      <c r="G54" t="n">
        <v>7.6</v>
      </c>
      <c r="H54" t="n">
        <v>2</v>
      </c>
      <c r="I54" t="n">
        <v>0</v>
      </c>
      <c r="J54" t="n">
        <v>1</v>
      </c>
      <c r="K54" t="n">
        <v>0</v>
      </c>
      <c r="L54" t="n">
        <v>0</v>
      </c>
      <c r="M54" t="n">
        <v>0</v>
      </c>
      <c r="N54" t="n">
        <v>0</v>
      </c>
      <c r="O54" t="n">
        <v>1</v>
      </c>
      <c r="P54" t="n">
        <v>0</v>
      </c>
      <c r="Q54" t="n">
        <v>2</v>
      </c>
      <c r="R54" s="2" t="inlineStr">
        <is>
          <t>Talltita
Kungsfågel</t>
        </is>
      </c>
      <c r="S54">
        <f>HYPERLINK("https://klasma.github.io/Logging_1907/artfynd/A 56541-2025 artfynd.xlsx", "A 56541-2025")</f>
        <v/>
      </c>
      <c r="T54">
        <f>HYPERLINK("https://klasma.github.io/Logging_1907/kartor/A 56541-2025 karta.png", "A 56541-2025")</f>
        <v/>
      </c>
      <c r="V54">
        <f>HYPERLINK("https://klasma.github.io/Logging_1907/klagomål/A 56541-2025 FSC-klagomål.docx", "A 56541-2025")</f>
        <v/>
      </c>
      <c r="W54">
        <f>HYPERLINK("https://klasma.github.io/Logging_1907/klagomålsmail/A 56541-2025 FSC-klagomål mail.docx", "A 56541-2025")</f>
        <v/>
      </c>
      <c r="X54">
        <f>HYPERLINK("https://klasma.github.io/Logging_1907/tillsyn/A 56541-2025 tillsynsbegäran.docx", "A 56541-2025")</f>
        <v/>
      </c>
      <c r="Y54">
        <f>HYPERLINK("https://klasma.github.io/Logging_1907/tillsynsmail/A 56541-2025 tillsynsbegäran mail.docx", "A 56541-2025")</f>
        <v/>
      </c>
      <c r="Z54">
        <f>HYPERLINK("https://klasma.github.io/Logging_1907/fåglar/A 56541-2025 prioriterade fågelarter.docx", "A 56541-2025")</f>
        <v/>
      </c>
    </row>
    <row r="55" ht="15" customHeight="1">
      <c r="A55" t="inlineStr">
        <is>
          <t>A 63138-2025</t>
        </is>
      </c>
      <c r="B55" s="1" t="n">
        <v>46009</v>
      </c>
      <c r="C55" s="1" t="n">
        <v>46192</v>
      </c>
      <c r="D55" t="inlineStr">
        <is>
          <t>VÄSTMANLANDS LÄN</t>
        </is>
      </c>
      <c r="E55" t="inlineStr">
        <is>
          <t>SURAHAMMAR</t>
        </is>
      </c>
      <c r="F55" t="inlineStr">
        <is>
          <t>Bergvik skog väst AB</t>
        </is>
      </c>
      <c r="G55" t="n">
        <v>2.5</v>
      </c>
      <c r="H55" t="n">
        <v>1</v>
      </c>
      <c r="I55" t="n">
        <v>1</v>
      </c>
      <c r="J55" t="n">
        <v>0</v>
      </c>
      <c r="K55" t="n">
        <v>0</v>
      </c>
      <c r="L55" t="n">
        <v>0</v>
      </c>
      <c r="M55" t="n">
        <v>0</v>
      </c>
      <c r="N55" t="n">
        <v>0</v>
      </c>
      <c r="O55" t="n">
        <v>0</v>
      </c>
      <c r="P55" t="n">
        <v>0</v>
      </c>
      <c r="Q55" t="n">
        <v>2</v>
      </c>
      <c r="R55" s="2" t="inlineStr">
        <is>
          <t>Mindre märgborre
Tjäder</t>
        </is>
      </c>
      <c r="S55">
        <f>HYPERLINK("https://klasma.github.io/Logging_1907/artfynd/A 63138-2025 artfynd.xlsx", "A 63138-2025")</f>
        <v/>
      </c>
      <c r="T55">
        <f>HYPERLINK("https://klasma.github.io/Logging_1907/kartor/A 63138-2025 karta.png", "A 63138-2025")</f>
        <v/>
      </c>
      <c r="V55">
        <f>HYPERLINK("https://klasma.github.io/Logging_1907/klagomål/A 63138-2025 FSC-klagomål.docx", "A 63138-2025")</f>
        <v/>
      </c>
      <c r="W55">
        <f>HYPERLINK("https://klasma.github.io/Logging_1907/klagomålsmail/A 63138-2025 FSC-klagomål mail.docx", "A 63138-2025")</f>
        <v/>
      </c>
      <c r="X55">
        <f>HYPERLINK("https://klasma.github.io/Logging_1907/tillsyn/A 63138-2025 tillsynsbegäran.docx", "A 63138-2025")</f>
        <v/>
      </c>
      <c r="Y55">
        <f>HYPERLINK("https://klasma.github.io/Logging_1907/tillsynsmail/A 63138-2025 tillsynsbegäran mail.docx", "A 63138-2025")</f>
        <v/>
      </c>
      <c r="Z55">
        <f>HYPERLINK("https://klasma.github.io/Logging_1907/fåglar/A 63138-2025 prioriterade fågelarter.docx", "A 63138-2025")</f>
        <v/>
      </c>
    </row>
    <row r="56" ht="15" customHeight="1">
      <c r="A56" t="inlineStr">
        <is>
          <t>A 13971-2023</t>
        </is>
      </c>
      <c r="B56" s="1" t="n">
        <v>45007</v>
      </c>
      <c r="C56" s="1" t="n">
        <v>46192</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13788-2025</t>
        </is>
      </c>
      <c r="B57" s="1" t="n">
        <v>45737</v>
      </c>
      <c r="C57" s="1" t="n">
        <v>46192</v>
      </c>
      <c r="D57" t="inlineStr">
        <is>
          <t>VÄSTMANLANDS LÄN</t>
        </is>
      </c>
      <c r="E57" t="inlineStr">
        <is>
          <t>SURAHAMMAR</t>
        </is>
      </c>
      <c r="G57" t="n">
        <v>9.699999999999999</v>
      </c>
      <c r="H57" t="n">
        <v>2</v>
      </c>
      <c r="I57" t="n">
        <v>0</v>
      </c>
      <c r="J57" t="n">
        <v>1</v>
      </c>
      <c r="K57" t="n">
        <v>0</v>
      </c>
      <c r="L57" t="n">
        <v>0</v>
      </c>
      <c r="M57" t="n">
        <v>0</v>
      </c>
      <c r="N57" t="n">
        <v>0</v>
      </c>
      <c r="O57" t="n">
        <v>1</v>
      </c>
      <c r="P57" t="n">
        <v>0</v>
      </c>
      <c r="Q57" t="n">
        <v>2</v>
      </c>
      <c r="R57" s="2" t="inlineStr">
        <is>
          <t>Sparvuggla
Nattskärra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37013-2025</t>
        </is>
      </c>
      <c r="B58" s="1" t="n">
        <v>45874</v>
      </c>
      <c r="C58" s="1" t="n">
        <v>46192</v>
      </c>
      <c r="D58" t="inlineStr">
        <is>
          <t>VÄSTMANLANDS LÄN</t>
        </is>
      </c>
      <c r="E58" t="inlineStr">
        <is>
          <t>SURAHAMMAR</t>
        </is>
      </c>
      <c r="F58" t="inlineStr">
        <is>
          <t>Bergvik skog väst AB</t>
        </is>
      </c>
      <c r="G58" t="n">
        <v>10.7</v>
      </c>
      <c r="H58" t="n">
        <v>0</v>
      </c>
      <c r="I58" t="n">
        <v>0</v>
      </c>
      <c r="J58" t="n">
        <v>0</v>
      </c>
      <c r="K58" t="n">
        <v>2</v>
      </c>
      <c r="L58" t="n">
        <v>0</v>
      </c>
      <c r="M58" t="n">
        <v>0</v>
      </c>
      <c r="N58" t="n">
        <v>0</v>
      </c>
      <c r="O58" t="n">
        <v>2</v>
      </c>
      <c r="P58" t="n">
        <v>2</v>
      </c>
      <c r="Q58" t="n">
        <v>2</v>
      </c>
      <c r="R58" s="2" t="inlineStr">
        <is>
          <t>Brunfläckig pärlemorfjäril
Fältgentiana</t>
        </is>
      </c>
      <c r="S58">
        <f>HYPERLINK("https://klasma.github.io/Logging_1907/artfynd/A 37013-2025 artfynd.xlsx", "A 37013-2025")</f>
        <v/>
      </c>
      <c r="T58">
        <f>HYPERLINK("https://klasma.github.io/Logging_1907/kartor/A 37013-2025 karta.png", "A 37013-2025")</f>
        <v/>
      </c>
      <c r="V58">
        <f>HYPERLINK("https://klasma.github.io/Logging_1907/klagomål/A 37013-2025 FSC-klagomål.docx", "A 37013-2025")</f>
        <v/>
      </c>
      <c r="W58">
        <f>HYPERLINK("https://klasma.github.io/Logging_1907/klagomålsmail/A 37013-2025 FSC-klagomål mail.docx", "A 37013-2025")</f>
        <v/>
      </c>
      <c r="X58">
        <f>HYPERLINK("https://klasma.github.io/Logging_1907/tillsyn/A 37013-2025 tillsynsbegäran.docx", "A 37013-2025")</f>
        <v/>
      </c>
      <c r="Y58">
        <f>HYPERLINK("https://klasma.github.io/Logging_1907/tillsynsmail/A 37013-2025 tillsynsbegäran mail.docx", "A 37013-2025")</f>
        <v/>
      </c>
    </row>
    <row r="59" ht="15" customHeight="1">
      <c r="A59" t="inlineStr">
        <is>
          <t>A 19844-2022</t>
        </is>
      </c>
      <c r="B59" s="1" t="n">
        <v>44696</v>
      </c>
      <c r="C59" s="1" t="n">
        <v>46192</v>
      </c>
      <c r="D59" t="inlineStr">
        <is>
          <t>VÄSTMANLANDS LÄN</t>
        </is>
      </c>
      <c r="E59" t="inlineStr">
        <is>
          <t>SURAHAMMAR</t>
        </is>
      </c>
      <c r="F59" t="inlineStr">
        <is>
          <t>Kommuner</t>
        </is>
      </c>
      <c r="G59" t="n">
        <v>2.1</v>
      </c>
      <c r="H59" t="n">
        <v>1</v>
      </c>
      <c r="I59" t="n">
        <v>0</v>
      </c>
      <c r="J59" t="n">
        <v>0</v>
      </c>
      <c r="K59" t="n">
        <v>0</v>
      </c>
      <c r="L59" t="n">
        <v>0</v>
      </c>
      <c r="M59" t="n">
        <v>0</v>
      </c>
      <c r="N59" t="n">
        <v>0</v>
      </c>
      <c r="O59" t="n">
        <v>0</v>
      </c>
      <c r="P59" t="n">
        <v>0</v>
      </c>
      <c r="Q59" t="n">
        <v>1</v>
      </c>
      <c r="R59" s="2" t="inlineStr">
        <is>
          <t>Revlummer</t>
        </is>
      </c>
      <c r="S59">
        <f>HYPERLINK("https://klasma.github.io/Logging_1907/artfynd/A 19844-2022 artfynd.xlsx", "A 19844-2022")</f>
        <v/>
      </c>
      <c r="T59">
        <f>HYPERLINK("https://klasma.github.io/Logging_1907/kartor/A 19844-2022 karta.png", "A 19844-2022")</f>
        <v/>
      </c>
      <c r="V59">
        <f>HYPERLINK("https://klasma.github.io/Logging_1907/klagomål/A 19844-2022 FSC-klagomål.docx", "A 19844-2022")</f>
        <v/>
      </c>
      <c r="W59">
        <f>HYPERLINK("https://klasma.github.io/Logging_1907/klagomålsmail/A 19844-2022 FSC-klagomål mail.docx", "A 19844-2022")</f>
        <v/>
      </c>
      <c r="X59">
        <f>HYPERLINK("https://klasma.github.io/Logging_1907/tillsyn/A 19844-2022 tillsynsbegäran.docx", "A 19844-2022")</f>
        <v/>
      </c>
      <c r="Y59">
        <f>HYPERLINK("https://klasma.github.io/Logging_1907/tillsynsmail/A 19844-2022 tillsynsbegäran mail.docx", "A 19844-2022")</f>
        <v/>
      </c>
    </row>
    <row r="60" ht="15" customHeight="1">
      <c r="A60" t="inlineStr">
        <is>
          <t>A 26700-2022</t>
        </is>
      </c>
      <c r="B60" s="1" t="n">
        <v>44739</v>
      </c>
      <c r="C60" s="1" t="n">
        <v>46192</v>
      </c>
      <c r="D60" t="inlineStr">
        <is>
          <t>VÄSTMANLANDS LÄN</t>
        </is>
      </c>
      <c r="E60" t="inlineStr">
        <is>
          <t>SURAHAMMAR</t>
        </is>
      </c>
      <c r="F60" t="inlineStr">
        <is>
          <t>Kommuner</t>
        </is>
      </c>
      <c r="G60" t="n">
        <v>3.1</v>
      </c>
      <c r="H60" t="n">
        <v>1</v>
      </c>
      <c r="I60" t="n">
        <v>0</v>
      </c>
      <c r="J60" t="n">
        <v>0</v>
      </c>
      <c r="K60" t="n">
        <v>0</v>
      </c>
      <c r="L60" t="n">
        <v>0</v>
      </c>
      <c r="M60" t="n">
        <v>0</v>
      </c>
      <c r="N60" t="n">
        <v>0</v>
      </c>
      <c r="O60" t="n">
        <v>0</v>
      </c>
      <c r="P60" t="n">
        <v>0</v>
      </c>
      <c r="Q60" t="n">
        <v>1</v>
      </c>
      <c r="R60" s="2" t="inlineStr">
        <is>
          <t>Fläcknycklar</t>
        </is>
      </c>
      <c r="S60">
        <f>HYPERLINK("https://klasma.github.io/Logging_1907/artfynd/A 26700-2022 artfynd.xlsx", "A 26700-2022")</f>
        <v/>
      </c>
      <c r="T60">
        <f>HYPERLINK("https://klasma.github.io/Logging_1907/kartor/A 26700-2022 karta.png", "A 26700-2022")</f>
        <v/>
      </c>
      <c r="V60">
        <f>HYPERLINK("https://klasma.github.io/Logging_1907/klagomål/A 26700-2022 FSC-klagomål.docx", "A 26700-2022")</f>
        <v/>
      </c>
      <c r="W60">
        <f>HYPERLINK("https://klasma.github.io/Logging_1907/klagomålsmail/A 26700-2022 FSC-klagomål mail.docx", "A 26700-2022")</f>
        <v/>
      </c>
      <c r="X60">
        <f>HYPERLINK("https://klasma.github.io/Logging_1907/tillsyn/A 26700-2022 tillsynsbegäran.docx", "A 26700-2022")</f>
        <v/>
      </c>
      <c r="Y60">
        <f>HYPERLINK("https://klasma.github.io/Logging_1907/tillsynsmail/A 26700-2022 tillsynsbegäran mail.docx", "A 26700-2022")</f>
        <v/>
      </c>
    </row>
    <row r="61" ht="15" customHeight="1">
      <c r="A61" t="inlineStr">
        <is>
          <t>A 67611-2021</t>
        </is>
      </c>
      <c r="B61" s="1" t="n">
        <v>44524</v>
      </c>
      <c r="C61" s="1" t="n">
        <v>46192</v>
      </c>
      <c r="D61" t="inlineStr">
        <is>
          <t>VÄSTMANLANDS LÄN</t>
        </is>
      </c>
      <c r="E61" t="inlineStr">
        <is>
          <t>SURAHAMMAR</t>
        </is>
      </c>
      <c r="F61" t="inlineStr">
        <is>
          <t>Kommuner</t>
        </is>
      </c>
      <c r="G61" t="n">
        <v>3.8</v>
      </c>
      <c r="H61" t="n">
        <v>0</v>
      </c>
      <c r="I61" t="n">
        <v>0</v>
      </c>
      <c r="J61" t="n">
        <v>1</v>
      </c>
      <c r="K61" t="n">
        <v>0</v>
      </c>
      <c r="L61" t="n">
        <v>0</v>
      </c>
      <c r="M61" t="n">
        <v>0</v>
      </c>
      <c r="N61" t="n">
        <v>0</v>
      </c>
      <c r="O61" t="n">
        <v>1</v>
      </c>
      <c r="P61" t="n">
        <v>0</v>
      </c>
      <c r="Q61" t="n">
        <v>1</v>
      </c>
      <c r="R61" s="2" t="inlineStr">
        <is>
          <t>Brödmärgsticka</t>
        </is>
      </c>
      <c r="S61">
        <f>HYPERLINK("https://klasma.github.io/Logging_1907/artfynd/A 67611-2021 artfynd.xlsx", "A 67611-2021")</f>
        <v/>
      </c>
      <c r="T61">
        <f>HYPERLINK("https://klasma.github.io/Logging_1907/kartor/A 67611-2021 karta.png", "A 67611-2021")</f>
        <v/>
      </c>
      <c r="V61">
        <f>HYPERLINK("https://klasma.github.io/Logging_1907/klagomål/A 67611-2021 FSC-klagomål.docx", "A 67611-2021")</f>
        <v/>
      </c>
      <c r="W61">
        <f>HYPERLINK("https://klasma.github.io/Logging_1907/klagomålsmail/A 67611-2021 FSC-klagomål mail.docx", "A 67611-2021")</f>
        <v/>
      </c>
      <c r="X61">
        <f>HYPERLINK("https://klasma.github.io/Logging_1907/tillsyn/A 67611-2021 tillsynsbegäran.docx", "A 67611-2021")</f>
        <v/>
      </c>
      <c r="Y61">
        <f>HYPERLINK("https://klasma.github.io/Logging_1907/tillsynsmail/A 67611-2021 tillsynsbegäran mail.docx", "A 67611-2021")</f>
        <v/>
      </c>
    </row>
    <row r="62" ht="15" customHeight="1">
      <c r="A62" t="inlineStr">
        <is>
          <t>A 19846-2022</t>
        </is>
      </c>
      <c r="B62" s="1" t="n">
        <v>44696</v>
      </c>
      <c r="C62" s="1" t="n">
        <v>46192</v>
      </c>
      <c r="D62" t="inlineStr">
        <is>
          <t>VÄSTMANLANDS LÄN</t>
        </is>
      </c>
      <c r="E62" t="inlineStr">
        <is>
          <t>SURAHAMMAR</t>
        </is>
      </c>
      <c r="F62" t="inlineStr">
        <is>
          <t>Kommuner</t>
        </is>
      </c>
      <c r="G62" t="n">
        <v>3.4</v>
      </c>
      <c r="H62" t="n">
        <v>0</v>
      </c>
      <c r="I62" t="n">
        <v>1</v>
      </c>
      <c r="J62" t="n">
        <v>0</v>
      </c>
      <c r="K62" t="n">
        <v>0</v>
      </c>
      <c r="L62" t="n">
        <v>0</v>
      </c>
      <c r="M62" t="n">
        <v>0</v>
      </c>
      <c r="N62" t="n">
        <v>0</v>
      </c>
      <c r="O62" t="n">
        <v>0</v>
      </c>
      <c r="P62" t="n">
        <v>0</v>
      </c>
      <c r="Q62" t="n">
        <v>1</v>
      </c>
      <c r="R62" s="2" t="inlineStr">
        <is>
          <t>Bronshjon</t>
        </is>
      </c>
      <c r="S62">
        <f>HYPERLINK("https://klasma.github.io/Logging_1907/artfynd/A 19846-2022 artfynd.xlsx", "A 19846-2022")</f>
        <v/>
      </c>
      <c r="T62">
        <f>HYPERLINK("https://klasma.github.io/Logging_1907/kartor/A 19846-2022 karta.png", "A 19846-2022")</f>
        <v/>
      </c>
      <c r="V62">
        <f>HYPERLINK("https://klasma.github.io/Logging_1907/klagomål/A 19846-2022 FSC-klagomål.docx", "A 19846-2022")</f>
        <v/>
      </c>
      <c r="W62">
        <f>HYPERLINK("https://klasma.github.io/Logging_1907/klagomålsmail/A 19846-2022 FSC-klagomål mail.docx", "A 19846-2022")</f>
        <v/>
      </c>
      <c r="X62">
        <f>HYPERLINK("https://klasma.github.io/Logging_1907/tillsyn/A 19846-2022 tillsynsbegäran.docx", "A 19846-2022")</f>
        <v/>
      </c>
      <c r="Y62">
        <f>HYPERLINK("https://klasma.github.io/Logging_1907/tillsynsmail/A 19846-2022 tillsynsbegäran mail.docx", "A 19846-2022")</f>
        <v/>
      </c>
    </row>
    <row r="63" ht="15" customHeight="1">
      <c r="A63" t="inlineStr">
        <is>
          <t>A 30076-2023</t>
        </is>
      </c>
      <c r="B63" s="1" t="n">
        <v>45110</v>
      </c>
      <c r="C63" s="1" t="n">
        <v>46192</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30076-2023 artfynd.xlsx", "A 30076-2023")</f>
        <v/>
      </c>
      <c r="T63">
        <f>HYPERLINK("https://klasma.github.io/Logging_1907/kartor/A 30076-2023 karta.png", "A 30076-2023")</f>
        <v/>
      </c>
      <c r="V63">
        <f>HYPERLINK("https://klasma.github.io/Logging_1907/klagomål/A 30076-2023 FSC-klagomål.docx", "A 30076-2023")</f>
        <v/>
      </c>
      <c r="W63">
        <f>HYPERLINK("https://klasma.github.io/Logging_1907/klagomålsmail/A 30076-2023 FSC-klagomål mail.docx", "A 30076-2023")</f>
        <v/>
      </c>
      <c r="X63">
        <f>HYPERLINK("https://klasma.github.io/Logging_1907/tillsyn/A 30076-2023 tillsynsbegäran.docx", "A 30076-2023")</f>
        <v/>
      </c>
      <c r="Y63">
        <f>HYPERLINK("https://klasma.github.io/Logging_1907/tillsynsmail/A 30076-2023 tillsynsbegäran mail.docx", "A 30076-2023")</f>
        <v/>
      </c>
    </row>
    <row r="64" ht="15" customHeight="1">
      <c r="A64" t="inlineStr">
        <is>
          <t>A 8553-2023</t>
        </is>
      </c>
      <c r="B64" s="1" t="n">
        <v>44977</v>
      </c>
      <c r="C64" s="1" t="n">
        <v>46192</v>
      </c>
      <c r="D64" t="inlineStr">
        <is>
          <t>VÄSTMANLANDS LÄN</t>
        </is>
      </c>
      <c r="E64" t="inlineStr">
        <is>
          <t>SURAHAMMAR</t>
        </is>
      </c>
      <c r="F64" t="inlineStr">
        <is>
          <t>Sveaskog</t>
        </is>
      </c>
      <c r="G64" t="n">
        <v>1.5</v>
      </c>
      <c r="H64" t="n">
        <v>1</v>
      </c>
      <c r="I64" t="n">
        <v>0</v>
      </c>
      <c r="J64" t="n">
        <v>0</v>
      </c>
      <c r="K64" t="n">
        <v>1</v>
      </c>
      <c r="L64" t="n">
        <v>0</v>
      </c>
      <c r="M64" t="n">
        <v>0</v>
      </c>
      <c r="N64" t="n">
        <v>0</v>
      </c>
      <c r="O64" t="n">
        <v>1</v>
      </c>
      <c r="P64" t="n">
        <v>1</v>
      </c>
      <c r="Q64" t="n">
        <v>1</v>
      </c>
      <c r="R64" s="2" t="inlineStr">
        <is>
          <t>Väddnätfjäril</t>
        </is>
      </c>
      <c r="S64">
        <f>HYPERLINK("https://klasma.github.io/Logging_1907/artfynd/A 8553-2023 artfynd.xlsx", "A 8553-2023")</f>
        <v/>
      </c>
      <c r="T64">
        <f>HYPERLINK("https://klasma.github.io/Logging_1907/kartor/A 8553-2023 karta.png", "A 8553-2023")</f>
        <v/>
      </c>
      <c r="V64">
        <f>HYPERLINK("https://klasma.github.io/Logging_1907/klagomål/A 8553-2023 FSC-klagomål.docx", "A 8553-2023")</f>
        <v/>
      </c>
      <c r="W64">
        <f>HYPERLINK("https://klasma.github.io/Logging_1907/klagomålsmail/A 8553-2023 FSC-klagomål mail.docx", "A 8553-2023")</f>
        <v/>
      </c>
      <c r="X64">
        <f>HYPERLINK("https://klasma.github.io/Logging_1907/tillsyn/A 8553-2023 tillsynsbegäran.docx", "A 8553-2023")</f>
        <v/>
      </c>
      <c r="Y64">
        <f>HYPERLINK("https://klasma.github.io/Logging_1907/tillsynsmail/A 8553-2023 tillsynsbegäran mail.docx", "A 8553-2023")</f>
        <v/>
      </c>
    </row>
    <row r="65" ht="15" customHeight="1">
      <c r="A65" t="inlineStr">
        <is>
          <t>A 24167-2024</t>
        </is>
      </c>
      <c r="B65" s="1" t="n">
        <v>45456</v>
      </c>
      <c r="C65" s="1" t="n">
        <v>46192</v>
      </c>
      <c r="D65" t="inlineStr">
        <is>
          <t>VÄSTMANLANDS LÄN</t>
        </is>
      </c>
      <c r="E65" t="inlineStr">
        <is>
          <t>SURAHAMMAR</t>
        </is>
      </c>
      <c r="G65" t="n">
        <v>0.6</v>
      </c>
      <c r="H65" t="n">
        <v>1</v>
      </c>
      <c r="I65" t="n">
        <v>0</v>
      </c>
      <c r="J65" t="n">
        <v>0</v>
      </c>
      <c r="K65" t="n">
        <v>0</v>
      </c>
      <c r="L65" t="n">
        <v>0</v>
      </c>
      <c r="M65" t="n">
        <v>0</v>
      </c>
      <c r="N65" t="n">
        <v>0</v>
      </c>
      <c r="O65" t="n">
        <v>0</v>
      </c>
      <c r="P65" t="n">
        <v>0</v>
      </c>
      <c r="Q65" t="n">
        <v>1</v>
      </c>
      <c r="R65" s="2" t="inlineStr">
        <is>
          <t>Fläcknycklar</t>
        </is>
      </c>
      <c r="S65">
        <f>HYPERLINK("https://klasma.github.io/Logging_1907/artfynd/A 24167-2024 artfynd.xlsx", "A 24167-2024")</f>
        <v/>
      </c>
      <c r="T65">
        <f>HYPERLINK("https://klasma.github.io/Logging_1907/kartor/A 24167-2024 karta.png", "A 24167-2024")</f>
        <v/>
      </c>
      <c r="V65">
        <f>HYPERLINK("https://klasma.github.io/Logging_1907/klagomål/A 24167-2024 FSC-klagomål.docx", "A 24167-2024")</f>
        <v/>
      </c>
      <c r="W65">
        <f>HYPERLINK("https://klasma.github.io/Logging_1907/klagomålsmail/A 24167-2024 FSC-klagomål mail.docx", "A 24167-2024")</f>
        <v/>
      </c>
      <c r="X65">
        <f>HYPERLINK("https://klasma.github.io/Logging_1907/tillsyn/A 24167-2024 tillsynsbegäran.docx", "A 24167-2024")</f>
        <v/>
      </c>
      <c r="Y65">
        <f>HYPERLINK("https://klasma.github.io/Logging_1907/tillsynsmail/A 24167-2024 tillsynsbegäran mail.docx", "A 24167-2024")</f>
        <v/>
      </c>
    </row>
    <row r="66" ht="15" customHeight="1">
      <c r="A66" t="inlineStr">
        <is>
          <t>A 55042-2025</t>
        </is>
      </c>
      <c r="B66" s="1" t="n">
        <v>45967</v>
      </c>
      <c r="C66" s="1" t="n">
        <v>46192</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55871-2025</t>
        </is>
      </c>
      <c r="B67" s="1" t="n">
        <v>45973</v>
      </c>
      <c r="C67" s="1" t="n">
        <v>46192</v>
      </c>
      <c r="D67" t="inlineStr">
        <is>
          <t>VÄSTMANLANDS LÄN</t>
        </is>
      </c>
      <c r="E67" t="inlineStr">
        <is>
          <t>SURAHAMMAR</t>
        </is>
      </c>
      <c r="F67" t="inlineStr">
        <is>
          <t>Sveaskog</t>
        </is>
      </c>
      <c r="G67" t="n">
        <v>1.4</v>
      </c>
      <c r="H67" t="n">
        <v>1</v>
      </c>
      <c r="I67" t="n">
        <v>0</v>
      </c>
      <c r="J67" t="n">
        <v>0</v>
      </c>
      <c r="K67" t="n">
        <v>0</v>
      </c>
      <c r="L67" t="n">
        <v>0</v>
      </c>
      <c r="M67" t="n">
        <v>0</v>
      </c>
      <c r="N67" t="n">
        <v>0</v>
      </c>
      <c r="O67" t="n">
        <v>0</v>
      </c>
      <c r="P67" t="n">
        <v>0</v>
      </c>
      <c r="Q67" t="n">
        <v>1</v>
      </c>
      <c r="R67" s="2" t="inlineStr">
        <is>
          <t>Lopplummer (aggregat)</t>
        </is>
      </c>
      <c r="S67">
        <f>HYPERLINK("https://klasma.github.io/Logging_1907/artfynd/A 55871-2025 artfynd.xlsx", "A 55871-2025")</f>
        <v/>
      </c>
      <c r="T67">
        <f>HYPERLINK("https://klasma.github.io/Logging_1907/kartor/A 55871-2025 karta.png", "A 55871-2025")</f>
        <v/>
      </c>
      <c r="V67">
        <f>HYPERLINK("https://klasma.github.io/Logging_1907/klagomål/A 55871-2025 FSC-klagomål.docx", "A 55871-2025")</f>
        <v/>
      </c>
      <c r="W67">
        <f>HYPERLINK("https://klasma.github.io/Logging_1907/klagomålsmail/A 55871-2025 FSC-klagomål mail.docx", "A 55871-2025")</f>
        <v/>
      </c>
      <c r="X67">
        <f>HYPERLINK("https://klasma.github.io/Logging_1907/tillsyn/A 55871-2025 tillsynsbegäran.docx", "A 55871-2025")</f>
        <v/>
      </c>
      <c r="Y67">
        <f>HYPERLINK("https://klasma.github.io/Logging_1907/tillsynsmail/A 55871-2025 tillsynsbegäran mail.docx", "A 55871-2025")</f>
        <v/>
      </c>
    </row>
    <row r="68" ht="15" customHeight="1">
      <c r="A68" t="inlineStr">
        <is>
          <t>A 56768-2025</t>
        </is>
      </c>
      <c r="B68" s="1" t="n">
        <v>45978</v>
      </c>
      <c r="C68" s="1" t="n">
        <v>46192</v>
      </c>
      <c r="D68" t="inlineStr">
        <is>
          <t>VÄSTMANLANDS LÄN</t>
        </is>
      </c>
      <c r="E68" t="inlineStr">
        <is>
          <t>SURAHAMMAR</t>
        </is>
      </c>
      <c r="F68" t="inlineStr">
        <is>
          <t>Sveaskog</t>
        </is>
      </c>
      <c r="G68" t="n">
        <v>3.8</v>
      </c>
      <c r="H68" t="n">
        <v>0</v>
      </c>
      <c r="I68" t="n">
        <v>0</v>
      </c>
      <c r="J68" t="n">
        <v>1</v>
      </c>
      <c r="K68" t="n">
        <v>0</v>
      </c>
      <c r="L68" t="n">
        <v>0</v>
      </c>
      <c r="M68" t="n">
        <v>0</v>
      </c>
      <c r="N68" t="n">
        <v>0</v>
      </c>
      <c r="O68" t="n">
        <v>1</v>
      </c>
      <c r="P68" t="n">
        <v>0</v>
      </c>
      <c r="Q68" t="n">
        <v>1</v>
      </c>
      <c r="R68" s="2" t="inlineStr">
        <is>
          <t>Motaggsvamp</t>
        </is>
      </c>
      <c r="S68">
        <f>HYPERLINK("https://klasma.github.io/Logging_1907/artfynd/A 56768-2025 artfynd.xlsx", "A 56768-2025")</f>
        <v/>
      </c>
      <c r="T68">
        <f>HYPERLINK("https://klasma.github.io/Logging_1907/kartor/A 56768-2025 karta.png", "A 56768-2025")</f>
        <v/>
      </c>
      <c r="V68">
        <f>HYPERLINK("https://klasma.github.io/Logging_1907/klagomål/A 56768-2025 FSC-klagomål.docx", "A 56768-2025")</f>
        <v/>
      </c>
      <c r="W68">
        <f>HYPERLINK("https://klasma.github.io/Logging_1907/klagomålsmail/A 56768-2025 FSC-klagomål mail.docx", "A 56768-2025")</f>
        <v/>
      </c>
      <c r="X68">
        <f>HYPERLINK("https://klasma.github.io/Logging_1907/tillsyn/A 56768-2025 tillsynsbegäran.docx", "A 56768-2025")</f>
        <v/>
      </c>
      <c r="Y68">
        <f>HYPERLINK("https://klasma.github.io/Logging_1907/tillsynsmail/A 56768-2025 tillsynsbegäran mail.docx", "A 56768-2025")</f>
        <v/>
      </c>
    </row>
    <row r="69" ht="15" customHeight="1">
      <c r="A69" t="inlineStr">
        <is>
          <t>A 37287-2023</t>
        </is>
      </c>
      <c r="B69" s="1" t="n">
        <v>45156</v>
      </c>
      <c r="C69" s="1" t="n">
        <v>46192</v>
      </c>
      <c r="D69" t="inlineStr">
        <is>
          <t>VÄSTMANLANDS LÄN</t>
        </is>
      </c>
      <c r="E69" t="inlineStr">
        <is>
          <t>SURAHAMMAR</t>
        </is>
      </c>
      <c r="G69" t="n">
        <v>0.6</v>
      </c>
      <c r="H69" t="n">
        <v>0</v>
      </c>
      <c r="I69" t="n">
        <v>0</v>
      </c>
      <c r="J69" t="n">
        <v>1</v>
      </c>
      <c r="K69" t="n">
        <v>0</v>
      </c>
      <c r="L69" t="n">
        <v>0</v>
      </c>
      <c r="M69" t="n">
        <v>0</v>
      </c>
      <c r="N69" t="n">
        <v>0</v>
      </c>
      <c r="O69" t="n">
        <v>1</v>
      </c>
      <c r="P69" t="n">
        <v>0</v>
      </c>
      <c r="Q69" t="n">
        <v>1</v>
      </c>
      <c r="R69" s="2" t="inlineStr">
        <is>
          <t>Mindre tåtelsmygare</t>
        </is>
      </c>
      <c r="S69">
        <f>HYPERLINK("https://klasma.github.io/Logging_1907/artfynd/A 37287-2023 artfynd.xlsx", "A 37287-2023")</f>
        <v/>
      </c>
      <c r="T69">
        <f>HYPERLINK("https://klasma.github.io/Logging_1907/kartor/A 37287-2023 karta.png", "A 37287-2023")</f>
        <v/>
      </c>
      <c r="V69">
        <f>HYPERLINK("https://klasma.github.io/Logging_1907/klagomål/A 37287-2023 FSC-klagomål.docx", "A 37287-2023")</f>
        <v/>
      </c>
      <c r="W69">
        <f>HYPERLINK("https://klasma.github.io/Logging_1907/klagomålsmail/A 37287-2023 FSC-klagomål mail.docx", "A 37287-2023")</f>
        <v/>
      </c>
      <c r="X69">
        <f>HYPERLINK("https://klasma.github.io/Logging_1907/tillsyn/A 37287-2023 tillsynsbegäran.docx", "A 37287-2023")</f>
        <v/>
      </c>
      <c r="Y69">
        <f>HYPERLINK("https://klasma.github.io/Logging_1907/tillsynsmail/A 37287-2023 tillsynsbegäran mail.docx", "A 37287-2023")</f>
        <v/>
      </c>
    </row>
    <row r="70" ht="15" customHeight="1">
      <c r="A70" t="inlineStr">
        <is>
          <t>A 16013-2023</t>
        </is>
      </c>
      <c r="B70" s="1" t="n">
        <v>45026</v>
      </c>
      <c r="C70" s="1" t="n">
        <v>46192</v>
      </c>
      <c r="D70" t="inlineStr">
        <is>
          <t>VÄSTMANLANDS LÄN</t>
        </is>
      </c>
      <c r="E70" t="inlineStr">
        <is>
          <t>SURAHAMMAR</t>
        </is>
      </c>
      <c r="G70" t="n">
        <v>3.9</v>
      </c>
      <c r="H70" t="n">
        <v>0</v>
      </c>
      <c r="I70" t="n">
        <v>0</v>
      </c>
      <c r="J70" t="n">
        <v>0</v>
      </c>
      <c r="K70" t="n">
        <v>1</v>
      </c>
      <c r="L70" t="n">
        <v>0</v>
      </c>
      <c r="M70" t="n">
        <v>0</v>
      </c>
      <c r="N70" t="n">
        <v>0</v>
      </c>
      <c r="O70" t="n">
        <v>1</v>
      </c>
      <c r="P70" t="n">
        <v>1</v>
      </c>
      <c r="Q70" t="n">
        <v>1</v>
      </c>
      <c r="R70" s="2" t="inlineStr">
        <is>
          <t>Garnlav</t>
        </is>
      </c>
      <c r="S70">
        <f>HYPERLINK("https://klasma.github.io/Logging_1907/artfynd/A 16013-2023 artfynd.xlsx", "A 16013-2023")</f>
        <v/>
      </c>
      <c r="T70">
        <f>HYPERLINK("https://klasma.github.io/Logging_1907/kartor/A 16013-2023 karta.png", "A 16013-2023")</f>
        <v/>
      </c>
      <c r="V70">
        <f>HYPERLINK("https://klasma.github.io/Logging_1907/klagomål/A 16013-2023 FSC-klagomål.docx", "A 16013-2023")</f>
        <v/>
      </c>
      <c r="W70">
        <f>HYPERLINK("https://klasma.github.io/Logging_1907/klagomålsmail/A 16013-2023 FSC-klagomål mail.docx", "A 16013-2023")</f>
        <v/>
      </c>
      <c r="X70">
        <f>HYPERLINK("https://klasma.github.io/Logging_1907/tillsyn/A 16013-2023 tillsynsbegäran.docx", "A 16013-2023")</f>
        <v/>
      </c>
      <c r="Y70">
        <f>HYPERLINK("https://klasma.github.io/Logging_1907/tillsynsmail/A 16013-2023 tillsynsbegäran mail.docx", "A 16013-2023")</f>
        <v/>
      </c>
    </row>
    <row r="71" ht="15" customHeight="1">
      <c r="A71" t="inlineStr">
        <is>
          <t>A 47785-2021</t>
        </is>
      </c>
      <c r="B71" s="1" t="n">
        <v>44448</v>
      </c>
      <c r="C71" s="1" t="n">
        <v>46192</v>
      </c>
      <c r="D71" t="inlineStr">
        <is>
          <t>VÄSTMANLANDS LÄN</t>
        </is>
      </c>
      <c r="E71" t="inlineStr">
        <is>
          <t>SURAHAMMAR</t>
        </is>
      </c>
      <c r="F71" t="inlineStr">
        <is>
          <t>Kommuner</t>
        </is>
      </c>
      <c r="G71" t="n">
        <v>3.3</v>
      </c>
      <c r="H71" t="n">
        <v>0</v>
      </c>
      <c r="I71" t="n">
        <v>0</v>
      </c>
      <c r="J71" t="n">
        <v>1</v>
      </c>
      <c r="K71" t="n">
        <v>0</v>
      </c>
      <c r="L71" t="n">
        <v>0</v>
      </c>
      <c r="M71" t="n">
        <v>0</v>
      </c>
      <c r="N71" t="n">
        <v>0</v>
      </c>
      <c r="O71" t="n">
        <v>1</v>
      </c>
      <c r="P71" t="n">
        <v>0</v>
      </c>
      <c r="Q71" t="n">
        <v>1</v>
      </c>
      <c r="R71" s="2" t="inlineStr">
        <is>
          <t>Motaggsvamp</t>
        </is>
      </c>
      <c r="S71">
        <f>HYPERLINK("https://klasma.github.io/Logging_1907/artfynd/A 47785-2021 artfynd.xlsx", "A 47785-2021")</f>
        <v/>
      </c>
      <c r="T71">
        <f>HYPERLINK("https://klasma.github.io/Logging_1907/kartor/A 47785-2021 karta.png", "A 47785-2021")</f>
        <v/>
      </c>
      <c r="V71">
        <f>HYPERLINK("https://klasma.github.io/Logging_1907/klagomål/A 47785-2021 FSC-klagomål.docx", "A 47785-2021")</f>
        <v/>
      </c>
      <c r="W71">
        <f>HYPERLINK("https://klasma.github.io/Logging_1907/klagomålsmail/A 47785-2021 FSC-klagomål mail.docx", "A 47785-2021")</f>
        <v/>
      </c>
      <c r="X71">
        <f>HYPERLINK("https://klasma.github.io/Logging_1907/tillsyn/A 47785-2021 tillsynsbegäran.docx", "A 47785-2021")</f>
        <v/>
      </c>
      <c r="Y71">
        <f>HYPERLINK("https://klasma.github.io/Logging_1907/tillsynsmail/A 47785-2021 tillsynsbegäran mail.docx", "A 47785-2021")</f>
        <v/>
      </c>
    </row>
    <row r="72" ht="15" customHeight="1">
      <c r="A72" t="inlineStr">
        <is>
          <t>A 17632-2022</t>
        </is>
      </c>
      <c r="B72" s="1" t="n">
        <v>44680</v>
      </c>
      <c r="C72" s="1" t="n">
        <v>46192</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34955-2022</t>
        </is>
      </c>
      <c r="B73" s="1" t="n">
        <v>44796</v>
      </c>
      <c r="C73" s="1" t="n">
        <v>46192</v>
      </c>
      <c r="D73" t="inlineStr">
        <is>
          <t>VÄSTMANLANDS LÄN</t>
        </is>
      </c>
      <c r="E73" t="inlineStr">
        <is>
          <t>SURAHAMMAR</t>
        </is>
      </c>
      <c r="F73" t="inlineStr">
        <is>
          <t>Sveaskog</t>
        </is>
      </c>
      <c r="G73" t="n">
        <v>4.6</v>
      </c>
      <c r="H73" t="n">
        <v>0</v>
      </c>
      <c r="I73" t="n">
        <v>0</v>
      </c>
      <c r="J73" t="n">
        <v>1</v>
      </c>
      <c r="K73" t="n">
        <v>0</v>
      </c>
      <c r="L73" t="n">
        <v>0</v>
      </c>
      <c r="M73" t="n">
        <v>0</v>
      </c>
      <c r="N73" t="n">
        <v>0</v>
      </c>
      <c r="O73" t="n">
        <v>1</v>
      </c>
      <c r="P73" t="n">
        <v>0</v>
      </c>
      <c r="Q73" t="n">
        <v>1</v>
      </c>
      <c r="R73" s="2" t="inlineStr">
        <is>
          <t>Svinrot</t>
        </is>
      </c>
      <c r="S73">
        <f>HYPERLINK("https://klasma.github.io/Logging_1907/artfynd/A 34955-2022 artfynd.xlsx", "A 34955-2022")</f>
        <v/>
      </c>
      <c r="T73">
        <f>HYPERLINK("https://klasma.github.io/Logging_1907/kartor/A 34955-2022 karta.png", "A 34955-2022")</f>
        <v/>
      </c>
      <c r="V73">
        <f>HYPERLINK("https://klasma.github.io/Logging_1907/klagomål/A 34955-2022 FSC-klagomål.docx", "A 34955-2022")</f>
        <v/>
      </c>
      <c r="W73">
        <f>HYPERLINK("https://klasma.github.io/Logging_1907/klagomålsmail/A 34955-2022 FSC-klagomål mail.docx", "A 34955-2022")</f>
        <v/>
      </c>
      <c r="X73">
        <f>HYPERLINK("https://klasma.github.io/Logging_1907/tillsyn/A 34955-2022 tillsynsbegäran.docx", "A 34955-2022")</f>
        <v/>
      </c>
      <c r="Y73">
        <f>HYPERLINK("https://klasma.github.io/Logging_1907/tillsynsmail/A 34955-2022 tillsynsbegäran mail.docx", "A 34955-2022")</f>
        <v/>
      </c>
    </row>
    <row r="74" ht="15" customHeight="1">
      <c r="A74" t="inlineStr">
        <is>
          <t>A 10883-2023</t>
        </is>
      </c>
      <c r="B74" s="1" t="n">
        <v>44991</v>
      </c>
      <c r="C74" s="1" t="n">
        <v>46192</v>
      </c>
      <c r="D74" t="inlineStr">
        <is>
          <t>VÄSTMANLANDS LÄN</t>
        </is>
      </c>
      <c r="E74" t="inlineStr">
        <is>
          <t>SURAHAMMAR</t>
        </is>
      </c>
      <c r="F74" t="inlineStr">
        <is>
          <t>Övriga Aktiebolag</t>
        </is>
      </c>
      <c r="G74" t="n">
        <v>12.5</v>
      </c>
      <c r="H74" t="n">
        <v>1</v>
      </c>
      <c r="I74" t="n">
        <v>0</v>
      </c>
      <c r="J74" t="n">
        <v>1</v>
      </c>
      <c r="K74" t="n">
        <v>0</v>
      </c>
      <c r="L74" t="n">
        <v>0</v>
      </c>
      <c r="M74" t="n">
        <v>0</v>
      </c>
      <c r="N74" t="n">
        <v>0</v>
      </c>
      <c r="O74" t="n">
        <v>1</v>
      </c>
      <c r="P74" t="n">
        <v>0</v>
      </c>
      <c r="Q74" t="n">
        <v>1</v>
      </c>
      <c r="R74" s="2" t="inlineStr">
        <is>
          <t>Talltita</t>
        </is>
      </c>
      <c r="S74">
        <f>HYPERLINK("https://klasma.github.io/Logging_1907/artfynd/A 10883-2023 artfynd.xlsx", "A 10883-2023")</f>
        <v/>
      </c>
      <c r="T74">
        <f>HYPERLINK("https://klasma.github.io/Logging_1907/kartor/A 10883-2023 karta.png", "A 10883-2023")</f>
        <v/>
      </c>
      <c r="V74">
        <f>HYPERLINK("https://klasma.github.io/Logging_1907/klagomål/A 10883-2023 FSC-klagomål.docx", "A 10883-2023")</f>
        <v/>
      </c>
      <c r="W74">
        <f>HYPERLINK("https://klasma.github.io/Logging_1907/klagomålsmail/A 10883-2023 FSC-klagomål mail.docx", "A 10883-2023")</f>
        <v/>
      </c>
      <c r="X74">
        <f>HYPERLINK("https://klasma.github.io/Logging_1907/tillsyn/A 10883-2023 tillsynsbegäran.docx", "A 10883-2023")</f>
        <v/>
      </c>
      <c r="Y74">
        <f>HYPERLINK("https://klasma.github.io/Logging_1907/tillsynsmail/A 10883-2023 tillsynsbegäran mail.docx", "A 10883-2023")</f>
        <v/>
      </c>
      <c r="Z74">
        <f>HYPERLINK("https://klasma.github.io/Logging_1907/fåglar/A 10883-2023 prioriterade fågelarter.docx", "A 10883-2023")</f>
        <v/>
      </c>
    </row>
    <row r="75" ht="15" customHeight="1">
      <c r="A75" t="inlineStr">
        <is>
          <t>A 34584-2025</t>
        </is>
      </c>
      <c r="B75" s="1" t="n">
        <v>45846</v>
      </c>
      <c r="C75" s="1" t="n">
        <v>46192</v>
      </c>
      <c r="D75" t="inlineStr">
        <is>
          <t>VÄSTMANLANDS LÄN</t>
        </is>
      </c>
      <c r="E75" t="inlineStr">
        <is>
          <t>SURAHAMMAR</t>
        </is>
      </c>
      <c r="F75" t="inlineStr">
        <is>
          <t>Bergvik skog väst AB</t>
        </is>
      </c>
      <c r="G75" t="n">
        <v>2.7</v>
      </c>
      <c r="H75" t="n">
        <v>1</v>
      </c>
      <c r="I75" t="n">
        <v>0</v>
      </c>
      <c r="J75" t="n">
        <v>0</v>
      </c>
      <c r="K75" t="n">
        <v>0</v>
      </c>
      <c r="L75" t="n">
        <v>0</v>
      </c>
      <c r="M75" t="n">
        <v>0</v>
      </c>
      <c r="N75" t="n">
        <v>0</v>
      </c>
      <c r="O75" t="n">
        <v>0</v>
      </c>
      <c r="P75" t="n">
        <v>0</v>
      </c>
      <c r="Q75" t="n">
        <v>1</v>
      </c>
      <c r="R75" s="2" t="inlineStr">
        <is>
          <t>Tjäder</t>
        </is>
      </c>
      <c r="S75">
        <f>HYPERLINK("https://klasma.github.io/Logging_1907/artfynd/A 34584-2025 artfynd.xlsx", "A 34584-2025")</f>
        <v/>
      </c>
      <c r="T75">
        <f>HYPERLINK("https://klasma.github.io/Logging_1907/kartor/A 34584-2025 karta.png", "A 34584-2025")</f>
        <v/>
      </c>
      <c r="V75">
        <f>HYPERLINK("https://klasma.github.io/Logging_1907/klagomål/A 34584-2025 FSC-klagomål.docx", "A 34584-2025")</f>
        <v/>
      </c>
      <c r="W75">
        <f>HYPERLINK("https://klasma.github.io/Logging_1907/klagomålsmail/A 34584-2025 FSC-klagomål mail.docx", "A 34584-2025")</f>
        <v/>
      </c>
      <c r="X75">
        <f>HYPERLINK("https://klasma.github.io/Logging_1907/tillsyn/A 34584-2025 tillsynsbegäran.docx", "A 34584-2025")</f>
        <v/>
      </c>
      <c r="Y75">
        <f>HYPERLINK("https://klasma.github.io/Logging_1907/tillsynsmail/A 34584-2025 tillsynsbegäran mail.docx", "A 34584-2025")</f>
        <v/>
      </c>
      <c r="Z75">
        <f>HYPERLINK("https://klasma.github.io/Logging_1907/fåglar/A 34584-2025 prioriterade fågelarter.docx", "A 34584-2025")</f>
        <v/>
      </c>
    </row>
    <row r="76" ht="15" customHeight="1">
      <c r="A76" t="inlineStr">
        <is>
          <t>A 44356-2024</t>
        </is>
      </c>
      <c r="B76" s="1" t="n">
        <v>45573</v>
      </c>
      <c r="C76" s="1" t="n">
        <v>46192</v>
      </c>
      <c r="D76" t="inlineStr">
        <is>
          <t>VÄSTMANLANDS LÄN</t>
        </is>
      </c>
      <c r="E76" t="inlineStr">
        <is>
          <t>SURAHAMMAR</t>
        </is>
      </c>
      <c r="F76" t="inlineStr">
        <is>
          <t>Sveaskog</t>
        </is>
      </c>
      <c r="G76" t="n">
        <v>0.7</v>
      </c>
      <c r="H76" t="n">
        <v>1</v>
      </c>
      <c r="I76" t="n">
        <v>0</v>
      </c>
      <c r="J76" t="n">
        <v>0</v>
      </c>
      <c r="K76" t="n">
        <v>0</v>
      </c>
      <c r="L76" t="n">
        <v>0</v>
      </c>
      <c r="M76" t="n">
        <v>0</v>
      </c>
      <c r="N76" t="n">
        <v>0</v>
      </c>
      <c r="O76" t="n">
        <v>0</v>
      </c>
      <c r="P76" t="n">
        <v>0</v>
      </c>
      <c r="Q76" t="n">
        <v>1</v>
      </c>
      <c r="R76" s="2" t="inlineStr">
        <is>
          <t>Revlummer</t>
        </is>
      </c>
      <c r="S76">
        <f>HYPERLINK("https://klasma.github.io/Logging_1907/artfynd/A 44356-2024 artfynd.xlsx", "A 44356-2024")</f>
        <v/>
      </c>
      <c r="T76">
        <f>HYPERLINK("https://klasma.github.io/Logging_1907/kartor/A 44356-2024 karta.png", "A 44356-2024")</f>
        <v/>
      </c>
      <c r="V76">
        <f>HYPERLINK("https://klasma.github.io/Logging_1907/klagomål/A 44356-2024 FSC-klagomål.docx", "A 44356-2024")</f>
        <v/>
      </c>
      <c r="W76">
        <f>HYPERLINK("https://klasma.github.io/Logging_1907/klagomålsmail/A 44356-2024 FSC-klagomål mail.docx", "A 44356-2024")</f>
        <v/>
      </c>
      <c r="X76">
        <f>HYPERLINK("https://klasma.github.io/Logging_1907/tillsyn/A 44356-2024 tillsynsbegäran.docx", "A 44356-2024")</f>
        <v/>
      </c>
      <c r="Y76">
        <f>HYPERLINK("https://klasma.github.io/Logging_1907/tillsynsmail/A 44356-2024 tillsynsbegäran mail.docx", "A 44356-2024")</f>
        <v/>
      </c>
    </row>
    <row r="77" ht="15" customHeight="1">
      <c r="A77" t="inlineStr">
        <is>
          <t>A 22840-2023</t>
        </is>
      </c>
      <c r="B77" s="1" t="n">
        <v>45072</v>
      </c>
      <c r="C77" s="1" t="n">
        <v>46192</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33231-2024</t>
        </is>
      </c>
      <c r="B78" s="1" t="n">
        <v>45518</v>
      </c>
      <c r="C78" s="1" t="n">
        <v>46192</v>
      </c>
      <c r="D78" t="inlineStr">
        <is>
          <t>VÄSTMANLANDS LÄN</t>
        </is>
      </c>
      <c r="E78" t="inlineStr">
        <is>
          <t>SURAHAMMAR</t>
        </is>
      </c>
      <c r="F78" t="inlineStr">
        <is>
          <t>Bergvik skog väst AB</t>
        </is>
      </c>
      <c r="G78" t="n">
        <v>1.5</v>
      </c>
      <c r="H78" t="n">
        <v>1</v>
      </c>
      <c r="I78" t="n">
        <v>0</v>
      </c>
      <c r="J78" t="n">
        <v>0</v>
      </c>
      <c r="K78" t="n">
        <v>0</v>
      </c>
      <c r="L78" t="n">
        <v>0</v>
      </c>
      <c r="M78" t="n">
        <v>0</v>
      </c>
      <c r="N78" t="n">
        <v>0</v>
      </c>
      <c r="O78" t="n">
        <v>0</v>
      </c>
      <c r="P78" t="n">
        <v>0</v>
      </c>
      <c r="Q78" t="n">
        <v>1</v>
      </c>
      <c r="R78" s="2" t="inlineStr">
        <is>
          <t>Mindre vattensalamander</t>
        </is>
      </c>
      <c r="S78">
        <f>HYPERLINK("https://klasma.github.io/Logging_1907/artfynd/A 33231-2024 artfynd.xlsx", "A 33231-2024")</f>
        <v/>
      </c>
      <c r="T78">
        <f>HYPERLINK("https://klasma.github.io/Logging_1907/kartor/A 33231-2024 karta.png", "A 33231-2024")</f>
        <v/>
      </c>
      <c r="V78">
        <f>HYPERLINK("https://klasma.github.io/Logging_1907/klagomål/A 33231-2024 FSC-klagomål.docx", "A 33231-2024")</f>
        <v/>
      </c>
      <c r="W78">
        <f>HYPERLINK("https://klasma.github.io/Logging_1907/klagomålsmail/A 33231-2024 FSC-klagomål mail.docx", "A 33231-2024")</f>
        <v/>
      </c>
      <c r="X78">
        <f>HYPERLINK("https://klasma.github.io/Logging_1907/tillsyn/A 33231-2024 tillsynsbegäran.docx", "A 33231-2024")</f>
        <v/>
      </c>
      <c r="Y78">
        <f>HYPERLINK("https://klasma.github.io/Logging_1907/tillsynsmail/A 33231-2024 tillsynsbegäran mail.docx", "A 33231-2024")</f>
        <v/>
      </c>
    </row>
    <row r="79" ht="15" customHeight="1">
      <c r="A79" t="inlineStr">
        <is>
          <t>A 64073-2021</t>
        </is>
      </c>
      <c r="B79" s="1" t="n">
        <v>44509</v>
      </c>
      <c r="C79" s="1" t="n">
        <v>46192</v>
      </c>
      <c r="D79" t="inlineStr">
        <is>
          <t>VÄSTMANLANDS LÄN</t>
        </is>
      </c>
      <c r="E79" t="inlineStr">
        <is>
          <t>SURAHAMMAR</t>
        </is>
      </c>
      <c r="G79" t="n">
        <v>0.4</v>
      </c>
      <c r="H79" t="n">
        <v>0</v>
      </c>
      <c r="I79" t="n">
        <v>0</v>
      </c>
      <c r="J79" t="n">
        <v>0</v>
      </c>
      <c r="K79" t="n">
        <v>0</v>
      </c>
      <c r="L79" t="n">
        <v>0</v>
      </c>
      <c r="M79" t="n">
        <v>0</v>
      </c>
      <c r="N79" t="n">
        <v>0</v>
      </c>
      <c r="O79" t="n">
        <v>0</v>
      </c>
      <c r="P79" t="n">
        <v>0</v>
      </c>
      <c r="Q79" t="n">
        <v>0</v>
      </c>
      <c r="R79" s="2" t="inlineStr"/>
    </row>
    <row r="80" ht="15" customHeight="1">
      <c r="A80" t="inlineStr">
        <is>
          <t>A 19845-2022</t>
        </is>
      </c>
      <c r="B80" s="1" t="n">
        <v>44696</v>
      </c>
      <c r="C80" s="1" t="n">
        <v>46192</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46192</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46192</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46192</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46192</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46192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46192</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46192</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46192</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25450-2024</t>
        </is>
      </c>
      <c r="B89" s="1" t="n">
        <v>45463</v>
      </c>
      <c r="C89" s="1" t="n">
        <v>46192</v>
      </c>
      <c r="D89" t="inlineStr">
        <is>
          <t>VÄSTMANLANDS LÄN</t>
        </is>
      </c>
      <c r="E89" t="inlineStr">
        <is>
          <t>SURAHAMMAR</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34957-2022</t>
        </is>
      </c>
      <c r="B90" s="1" t="n">
        <v>44796</v>
      </c>
      <c r="C90" s="1" t="n">
        <v>46192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46192</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46192</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46192</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15637-2022</t>
        </is>
      </c>
      <c r="B94" s="1" t="n">
        <v>44662</v>
      </c>
      <c r="C94" s="1" t="n">
        <v>46192</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19786-2023</t>
        </is>
      </c>
      <c r="B95" s="1" t="n">
        <v>45050</v>
      </c>
      <c r="C95" s="1" t="n">
        <v>46192</v>
      </c>
      <c r="D95" t="inlineStr">
        <is>
          <t>VÄSTMANLANDS LÄN</t>
        </is>
      </c>
      <c r="E95" t="inlineStr">
        <is>
          <t>SURAHAMMAR</t>
        </is>
      </c>
      <c r="F95" t="inlineStr">
        <is>
          <t>Bergvik skog väst AB</t>
        </is>
      </c>
      <c r="G95" t="n">
        <v>8.1</v>
      </c>
      <c r="H95" t="n">
        <v>0</v>
      </c>
      <c r="I95" t="n">
        <v>0</v>
      </c>
      <c r="J95" t="n">
        <v>0</v>
      </c>
      <c r="K95" t="n">
        <v>0</v>
      </c>
      <c r="L95" t="n">
        <v>0</v>
      </c>
      <c r="M95" t="n">
        <v>0</v>
      </c>
      <c r="N95" t="n">
        <v>0</v>
      </c>
      <c r="O95" t="n">
        <v>0</v>
      </c>
      <c r="P95" t="n">
        <v>0</v>
      </c>
      <c r="Q95" t="n">
        <v>0</v>
      </c>
      <c r="R95" s="2" t="inlineStr"/>
    </row>
    <row r="96" ht="15" customHeight="1">
      <c r="A96" t="inlineStr">
        <is>
          <t>A 7848-2022</t>
        </is>
      </c>
      <c r="B96" s="1" t="n">
        <v>44608</v>
      </c>
      <c r="C96" s="1" t="n">
        <v>46192</v>
      </c>
      <c r="D96" t="inlineStr">
        <is>
          <t>VÄSTMANLANDS LÄN</t>
        </is>
      </c>
      <c r="E96" t="inlineStr">
        <is>
          <t>SURAHAMMAR</t>
        </is>
      </c>
      <c r="G96" t="n">
        <v>2.1</v>
      </c>
      <c r="H96" t="n">
        <v>0</v>
      </c>
      <c r="I96" t="n">
        <v>0</v>
      </c>
      <c r="J96" t="n">
        <v>0</v>
      </c>
      <c r="K96" t="n">
        <v>0</v>
      </c>
      <c r="L96" t="n">
        <v>0</v>
      </c>
      <c r="M96" t="n">
        <v>0</v>
      </c>
      <c r="N96" t="n">
        <v>0</v>
      </c>
      <c r="O96" t="n">
        <v>0</v>
      </c>
      <c r="P96" t="n">
        <v>0</v>
      </c>
      <c r="Q96" t="n">
        <v>0</v>
      </c>
      <c r="R96" s="2" t="inlineStr"/>
    </row>
    <row r="97" ht="15" customHeight="1">
      <c r="A97" t="inlineStr">
        <is>
          <t>A 43249-2025</t>
        </is>
      </c>
      <c r="B97" s="1" t="n">
        <v>45910</v>
      </c>
      <c r="C97" s="1" t="n">
        <v>46192</v>
      </c>
      <c r="D97" t="inlineStr">
        <is>
          <t>VÄSTMANLANDS LÄN</t>
        </is>
      </c>
      <c r="E97" t="inlineStr">
        <is>
          <t>SURAHAMMAR</t>
        </is>
      </c>
      <c r="G97" t="n">
        <v>1.9</v>
      </c>
      <c r="H97" t="n">
        <v>0</v>
      </c>
      <c r="I97" t="n">
        <v>0</v>
      </c>
      <c r="J97" t="n">
        <v>0</v>
      </c>
      <c r="K97" t="n">
        <v>0</v>
      </c>
      <c r="L97" t="n">
        <v>0</v>
      </c>
      <c r="M97" t="n">
        <v>0</v>
      </c>
      <c r="N97" t="n">
        <v>0</v>
      </c>
      <c r="O97" t="n">
        <v>0</v>
      </c>
      <c r="P97" t="n">
        <v>0</v>
      </c>
      <c r="Q97" t="n">
        <v>0</v>
      </c>
      <c r="R97" s="2" t="inlineStr"/>
    </row>
    <row r="98" ht="15" customHeight="1">
      <c r="A98" t="inlineStr">
        <is>
          <t>A 43255-2025</t>
        </is>
      </c>
      <c r="B98" s="1" t="n">
        <v>45910</v>
      </c>
      <c r="C98" s="1" t="n">
        <v>46192</v>
      </c>
      <c r="D98" t="inlineStr">
        <is>
          <t>VÄSTMANLANDS LÄN</t>
        </is>
      </c>
      <c r="E98" t="inlineStr">
        <is>
          <t>SURAHAMMAR</t>
        </is>
      </c>
      <c r="G98" t="n">
        <v>1.9</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46192</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56378-2023</t>
        </is>
      </c>
      <c r="B100" s="1" t="n">
        <v>45236</v>
      </c>
      <c r="C100" s="1" t="n">
        <v>46192</v>
      </c>
      <c r="D100" t="inlineStr">
        <is>
          <t>VÄSTMANLANDS LÄN</t>
        </is>
      </c>
      <c r="E100" t="inlineStr">
        <is>
          <t>SURAHAMMAR</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19099-2022</t>
        </is>
      </c>
      <c r="B101" s="1" t="n">
        <v>44691</v>
      </c>
      <c r="C101" s="1" t="n">
        <v>46192</v>
      </c>
      <c r="D101" t="inlineStr">
        <is>
          <t>VÄSTMANLANDS LÄN</t>
        </is>
      </c>
      <c r="E101" t="inlineStr">
        <is>
          <t>SURAHAMMAR</t>
        </is>
      </c>
      <c r="F101" t="inlineStr">
        <is>
          <t>Övriga Aktiebolag</t>
        </is>
      </c>
      <c r="G101" t="n">
        <v>3.4</v>
      </c>
      <c r="H101" t="n">
        <v>0</v>
      </c>
      <c r="I101" t="n">
        <v>0</v>
      </c>
      <c r="J101" t="n">
        <v>0</v>
      </c>
      <c r="K101" t="n">
        <v>0</v>
      </c>
      <c r="L101" t="n">
        <v>0</v>
      </c>
      <c r="M101" t="n">
        <v>0</v>
      </c>
      <c r="N101" t="n">
        <v>0</v>
      </c>
      <c r="O101" t="n">
        <v>0</v>
      </c>
      <c r="P101" t="n">
        <v>0</v>
      </c>
      <c r="Q101" t="n">
        <v>0</v>
      </c>
      <c r="R101" s="2" t="inlineStr"/>
    </row>
    <row r="102" ht="15" customHeight="1">
      <c r="A102" t="inlineStr">
        <is>
          <t>A 55868-2025</t>
        </is>
      </c>
      <c r="B102" s="1" t="n">
        <v>45973</v>
      </c>
      <c r="C102" s="1" t="n">
        <v>46192</v>
      </c>
      <c r="D102" t="inlineStr">
        <is>
          <t>VÄSTMANLANDS LÄN</t>
        </is>
      </c>
      <c r="E102" t="inlineStr">
        <is>
          <t>SURAHAMMAR</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55874-2025</t>
        </is>
      </c>
      <c r="B103" s="1" t="n">
        <v>45973</v>
      </c>
      <c r="C103" s="1" t="n">
        <v>46192</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55873-2025</t>
        </is>
      </c>
      <c r="B104" s="1" t="n">
        <v>45973</v>
      </c>
      <c r="C104" s="1" t="n">
        <v>46192</v>
      </c>
      <c r="D104" t="inlineStr">
        <is>
          <t>VÄSTMANLANDS LÄN</t>
        </is>
      </c>
      <c r="E104" t="inlineStr">
        <is>
          <t>SURAHAMMAR</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3818-2022</t>
        </is>
      </c>
      <c r="B105" s="1" t="n">
        <v>44587</v>
      </c>
      <c r="C105" s="1" t="n">
        <v>46192</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46192</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v>
      </c>
      <c r="C107" s="1" t="n">
        <v>46192</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39099-2022</t>
        </is>
      </c>
      <c r="B108" s="1" t="n">
        <v>44817</v>
      </c>
      <c r="C108" s="1" t="n">
        <v>46192</v>
      </c>
      <c r="D108" t="inlineStr">
        <is>
          <t>VÄSTMANLANDS LÄN</t>
        </is>
      </c>
      <c r="E108" t="inlineStr">
        <is>
          <t>SURAHAMMAR</t>
        </is>
      </c>
      <c r="F108" t="inlineStr">
        <is>
          <t>Bergvik skog väst AB</t>
        </is>
      </c>
      <c r="G108" t="n">
        <v>7.4</v>
      </c>
      <c r="H108" t="n">
        <v>0</v>
      </c>
      <c r="I108" t="n">
        <v>0</v>
      </c>
      <c r="J108" t="n">
        <v>0</v>
      </c>
      <c r="K108" t="n">
        <v>0</v>
      </c>
      <c r="L108" t="n">
        <v>0</v>
      </c>
      <c r="M108" t="n">
        <v>0</v>
      </c>
      <c r="N108" t="n">
        <v>0</v>
      </c>
      <c r="O108" t="n">
        <v>0</v>
      </c>
      <c r="P108" t="n">
        <v>0</v>
      </c>
      <c r="Q108" t="n">
        <v>0</v>
      </c>
      <c r="R108" s="2" t="inlineStr"/>
    </row>
    <row r="109" ht="15" customHeight="1">
      <c r="A109" t="inlineStr">
        <is>
          <t>A 24158-2023</t>
        </is>
      </c>
      <c r="B109" s="1" t="n">
        <v>45079</v>
      </c>
      <c r="C109" s="1" t="n">
        <v>46192</v>
      </c>
      <c r="D109" t="inlineStr">
        <is>
          <t>VÄSTMANLANDS LÄN</t>
        </is>
      </c>
      <c r="E109" t="inlineStr">
        <is>
          <t>SURAHAMMAR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21509-2024</t>
        </is>
      </c>
      <c r="B110" s="1" t="n">
        <v>45441</v>
      </c>
      <c r="C110" s="1" t="n">
        <v>46192</v>
      </c>
      <c r="D110" t="inlineStr">
        <is>
          <t>VÄSTMANLANDS LÄN</t>
        </is>
      </c>
      <c r="E110" t="inlineStr">
        <is>
          <t>SURAHAMMAR</t>
        </is>
      </c>
      <c r="F110" t="inlineStr">
        <is>
          <t>Bergvik skog väst AB</t>
        </is>
      </c>
      <c r="G110" t="n">
        <v>3.9</v>
      </c>
      <c r="H110" t="n">
        <v>0</v>
      </c>
      <c r="I110" t="n">
        <v>0</v>
      </c>
      <c r="J110" t="n">
        <v>0</v>
      </c>
      <c r="K110" t="n">
        <v>0</v>
      </c>
      <c r="L110" t="n">
        <v>0</v>
      </c>
      <c r="M110" t="n">
        <v>0</v>
      </c>
      <c r="N110" t="n">
        <v>0</v>
      </c>
      <c r="O110" t="n">
        <v>0</v>
      </c>
      <c r="P110" t="n">
        <v>0</v>
      </c>
      <c r="Q110" t="n">
        <v>0</v>
      </c>
      <c r="R110" s="2" t="inlineStr"/>
    </row>
    <row r="111" ht="15" customHeight="1">
      <c r="A111" t="inlineStr">
        <is>
          <t>A 22662-2023</t>
        </is>
      </c>
      <c r="B111" s="1" t="n">
        <v>45071</v>
      </c>
      <c r="C111" s="1" t="n">
        <v>46192</v>
      </c>
      <c r="D111" t="inlineStr">
        <is>
          <t>VÄSTMANLANDS LÄN</t>
        </is>
      </c>
      <c r="E111" t="inlineStr">
        <is>
          <t>SURAHAMMAR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46192</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4724-2026</t>
        </is>
      </c>
      <c r="B113" s="1" t="n">
        <v>46048</v>
      </c>
      <c r="C113" s="1" t="n">
        <v>46192</v>
      </c>
      <c r="D113" t="inlineStr">
        <is>
          <t>VÄSTMANLANDS LÄN</t>
        </is>
      </c>
      <c r="E113" t="inlineStr">
        <is>
          <t>SURAHAMMAR</t>
        </is>
      </c>
      <c r="G113" t="n">
        <v>1.7</v>
      </c>
      <c r="H113" t="n">
        <v>0</v>
      </c>
      <c r="I113" t="n">
        <v>0</v>
      </c>
      <c r="J113" t="n">
        <v>0</v>
      </c>
      <c r="K113" t="n">
        <v>0</v>
      </c>
      <c r="L113" t="n">
        <v>0</v>
      </c>
      <c r="M113" t="n">
        <v>0</v>
      </c>
      <c r="N113" t="n">
        <v>0</v>
      </c>
      <c r="O113" t="n">
        <v>0</v>
      </c>
      <c r="P113" t="n">
        <v>0</v>
      </c>
      <c r="Q113" t="n">
        <v>0</v>
      </c>
      <c r="R113" s="2" t="inlineStr"/>
    </row>
    <row r="114" ht="15" customHeight="1">
      <c r="A114" t="inlineStr">
        <is>
          <t>A 4734-2026</t>
        </is>
      </c>
      <c r="B114" s="1" t="n">
        <v>46048</v>
      </c>
      <c r="C114" s="1" t="n">
        <v>46192</v>
      </c>
      <c r="D114" t="inlineStr">
        <is>
          <t>VÄSTMANLANDS LÄN</t>
        </is>
      </c>
      <c r="E114" t="inlineStr">
        <is>
          <t>SURAHAMMAR</t>
        </is>
      </c>
      <c r="G114" t="n">
        <v>0.7</v>
      </c>
      <c r="H114" t="n">
        <v>0</v>
      </c>
      <c r="I114" t="n">
        <v>0</v>
      </c>
      <c r="J114" t="n">
        <v>0</v>
      </c>
      <c r="K114" t="n">
        <v>0</v>
      </c>
      <c r="L114" t="n">
        <v>0</v>
      </c>
      <c r="M114" t="n">
        <v>0</v>
      </c>
      <c r="N114" t="n">
        <v>0</v>
      </c>
      <c r="O114" t="n">
        <v>0</v>
      </c>
      <c r="P114" t="n">
        <v>0</v>
      </c>
      <c r="Q114" t="n">
        <v>0</v>
      </c>
      <c r="R114" s="2" t="inlineStr"/>
    </row>
    <row r="115" ht="15" customHeight="1">
      <c r="A115" t="inlineStr">
        <is>
          <t>A 5696-2026</t>
        </is>
      </c>
      <c r="B115" s="1" t="n">
        <v>46051</v>
      </c>
      <c r="C115" s="1" t="n">
        <v>46192</v>
      </c>
      <c r="D115" t="inlineStr">
        <is>
          <t>VÄSTMANLANDS LÄN</t>
        </is>
      </c>
      <c r="E115" t="inlineStr">
        <is>
          <t>SURAHAMMAR</t>
        </is>
      </c>
      <c r="F115" t="inlineStr">
        <is>
          <t>Sveaskog</t>
        </is>
      </c>
      <c r="G115" t="n">
        <v>10.4</v>
      </c>
      <c r="H115" t="n">
        <v>0</v>
      </c>
      <c r="I115" t="n">
        <v>0</v>
      </c>
      <c r="J115" t="n">
        <v>0</v>
      </c>
      <c r="K115" t="n">
        <v>0</v>
      </c>
      <c r="L115" t="n">
        <v>0</v>
      </c>
      <c r="M115" t="n">
        <v>0</v>
      </c>
      <c r="N115" t="n">
        <v>0</v>
      </c>
      <c r="O115" t="n">
        <v>0</v>
      </c>
      <c r="P115" t="n">
        <v>0</v>
      </c>
      <c r="Q115" t="n">
        <v>0</v>
      </c>
      <c r="R115" s="2" t="inlineStr"/>
    </row>
    <row r="116" ht="15" customHeight="1">
      <c r="A116" t="inlineStr">
        <is>
          <t>A 5697-2026</t>
        </is>
      </c>
      <c r="B116" s="1" t="n">
        <v>46051</v>
      </c>
      <c r="C116" s="1" t="n">
        <v>46192</v>
      </c>
      <c r="D116" t="inlineStr">
        <is>
          <t>VÄSTMANLANDS LÄN</t>
        </is>
      </c>
      <c r="E116" t="inlineStr">
        <is>
          <t>SURAHAMMAR</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v>
      </c>
      <c r="C117" s="1" t="n">
        <v>46192</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5698-2026</t>
        </is>
      </c>
      <c r="B118" s="1" t="n">
        <v>46051</v>
      </c>
      <c r="C118" s="1" t="n">
        <v>46192</v>
      </c>
      <c r="D118" t="inlineStr">
        <is>
          <t>VÄSTMANLANDS LÄN</t>
        </is>
      </c>
      <c r="E118" t="inlineStr">
        <is>
          <t>SURAHAMMAR</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11728-2023</t>
        </is>
      </c>
      <c r="B119" s="1" t="n">
        <v>44993</v>
      </c>
      <c r="C119" s="1" t="n">
        <v>46192</v>
      </c>
      <c r="D119" t="inlineStr">
        <is>
          <t>VÄSTMANLANDS LÄN</t>
        </is>
      </c>
      <c r="E119" t="inlineStr">
        <is>
          <t>SURAHAMMAR</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25780-2023</t>
        </is>
      </c>
      <c r="B120" s="1" t="n">
        <v>45090</v>
      </c>
      <c r="C120" s="1" t="n">
        <v>46192</v>
      </c>
      <c r="D120" t="inlineStr">
        <is>
          <t>VÄSTMANLANDS LÄN</t>
        </is>
      </c>
      <c r="E120" t="inlineStr">
        <is>
          <t>SURAHAMMAR</t>
        </is>
      </c>
      <c r="G120" t="n">
        <v>2.8</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46192</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46192</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v>
      </c>
      <c r="C123" s="1" t="n">
        <v>46192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42841-2022</t>
        </is>
      </c>
      <c r="B124" s="1" t="n">
        <v>44832</v>
      </c>
      <c r="C124" s="1" t="n">
        <v>46192</v>
      </c>
      <c r="D124" t="inlineStr">
        <is>
          <t>VÄSTMANLANDS LÄN</t>
        </is>
      </c>
      <c r="E124" t="inlineStr">
        <is>
          <t>SURAHAMMAR</t>
        </is>
      </c>
      <c r="G124" t="n">
        <v>1.8</v>
      </c>
      <c r="H124" t="n">
        <v>0</v>
      </c>
      <c r="I124" t="n">
        <v>0</v>
      </c>
      <c r="J124" t="n">
        <v>0</v>
      </c>
      <c r="K124" t="n">
        <v>0</v>
      </c>
      <c r="L124" t="n">
        <v>0</v>
      </c>
      <c r="M124" t="n">
        <v>0</v>
      </c>
      <c r="N124" t="n">
        <v>0</v>
      </c>
      <c r="O124" t="n">
        <v>0</v>
      </c>
      <c r="P124" t="n">
        <v>0</v>
      </c>
      <c r="Q124" t="n">
        <v>0</v>
      </c>
      <c r="R124" s="2" t="inlineStr"/>
    </row>
    <row r="125" ht="15" customHeight="1">
      <c r="A125" t="inlineStr">
        <is>
          <t>A 42829-2022</t>
        </is>
      </c>
      <c r="B125" s="1" t="n">
        <v>44832</v>
      </c>
      <c r="C125" s="1" t="n">
        <v>46192</v>
      </c>
      <c r="D125" t="inlineStr">
        <is>
          <t>VÄSTMANLANDS LÄN</t>
        </is>
      </c>
      <c r="E125" t="inlineStr">
        <is>
          <t>SURAHAMMAR</t>
        </is>
      </c>
      <c r="G125" t="n">
        <v>1.6</v>
      </c>
      <c r="H125" t="n">
        <v>0</v>
      </c>
      <c r="I125" t="n">
        <v>0</v>
      </c>
      <c r="J125" t="n">
        <v>0</v>
      </c>
      <c r="K125" t="n">
        <v>0</v>
      </c>
      <c r="L125" t="n">
        <v>0</v>
      </c>
      <c r="M125" t="n">
        <v>0</v>
      </c>
      <c r="N125" t="n">
        <v>0</v>
      </c>
      <c r="O125" t="n">
        <v>0</v>
      </c>
      <c r="P125" t="n">
        <v>0</v>
      </c>
      <c r="Q125" t="n">
        <v>0</v>
      </c>
      <c r="R125" s="2" t="inlineStr"/>
    </row>
    <row r="126" ht="15" customHeight="1">
      <c r="A126" t="inlineStr">
        <is>
          <t>A 10249-2026</t>
        </is>
      </c>
      <c r="B126" s="1" t="n">
        <v>46076</v>
      </c>
      <c r="C126" s="1" t="n">
        <v>46192</v>
      </c>
      <c r="D126" t="inlineStr">
        <is>
          <t>VÄSTMANLANDS LÄN</t>
        </is>
      </c>
      <c r="E126" t="inlineStr">
        <is>
          <t>SURAHAMMAR</t>
        </is>
      </c>
      <c r="F126" t="inlineStr">
        <is>
          <t>Allmännings- och besparingsskogar</t>
        </is>
      </c>
      <c r="G126" t="n">
        <v>4.8</v>
      </c>
      <c r="H126" t="n">
        <v>0</v>
      </c>
      <c r="I126" t="n">
        <v>0</v>
      </c>
      <c r="J126" t="n">
        <v>0</v>
      </c>
      <c r="K126" t="n">
        <v>0</v>
      </c>
      <c r="L126" t="n">
        <v>0</v>
      </c>
      <c r="M126" t="n">
        <v>0</v>
      </c>
      <c r="N126" t="n">
        <v>0</v>
      </c>
      <c r="O126" t="n">
        <v>0</v>
      </c>
      <c r="P126" t="n">
        <v>0</v>
      </c>
      <c r="Q126" t="n">
        <v>0</v>
      </c>
      <c r="R126" s="2" t="inlineStr"/>
    </row>
    <row r="127" ht="15" customHeight="1">
      <c r="A127" t="inlineStr">
        <is>
          <t>A 10244-2026</t>
        </is>
      </c>
      <c r="B127" s="1" t="n">
        <v>46076</v>
      </c>
      <c r="C127" s="1" t="n">
        <v>46192</v>
      </c>
      <c r="D127" t="inlineStr">
        <is>
          <t>VÄSTMANLANDS LÄN</t>
        </is>
      </c>
      <c r="E127" t="inlineStr">
        <is>
          <t>SURAHAMMAR</t>
        </is>
      </c>
      <c r="F127" t="inlineStr">
        <is>
          <t>Allmännings- och besparingsskogar</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10562-2026</t>
        </is>
      </c>
      <c r="B128" s="1" t="n">
        <v>46077</v>
      </c>
      <c r="C128" s="1" t="n">
        <v>46192</v>
      </c>
      <c r="D128" t="inlineStr">
        <is>
          <t>VÄSTMANLANDS LÄN</t>
        </is>
      </c>
      <c r="E128" t="inlineStr">
        <is>
          <t>SURAHAMMAR</t>
        </is>
      </c>
      <c r="F128" t="inlineStr">
        <is>
          <t>Övriga Aktiebolag</t>
        </is>
      </c>
      <c r="G128" t="n">
        <v>2.3</v>
      </c>
      <c r="H128" t="n">
        <v>0</v>
      </c>
      <c r="I128" t="n">
        <v>0</v>
      </c>
      <c r="J128" t="n">
        <v>0</v>
      </c>
      <c r="K128" t="n">
        <v>0</v>
      </c>
      <c r="L128" t="n">
        <v>0</v>
      </c>
      <c r="M128" t="n">
        <v>0</v>
      </c>
      <c r="N128" t="n">
        <v>0</v>
      </c>
      <c r="O128" t="n">
        <v>0</v>
      </c>
      <c r="P128" t="n">
        <v>0</v>
      </c>
      <c r="Q128" t="n">
        <v>0</v>
      </c>
      <c r="R128" s="2" t="inlineStr"/>
    </row>
    <row r="129" ht="15" customHeight="1">
      <c r="A129" t="inlineStr">
        <is>
          <t>A 10347-2026</t>
        </is>
      </c>
      <c r="B129" s="1" t="n">
        <v>46076</v>
      </c>
      <c r="C129" s="1" t="n">
        <v>46192</v>
      </c>
      <c r="D129" t="inlineStr">
        <is>
          <t>VÄSTMANLANDS LÄN</t>
        </is>
      </c>
      <c r="E129" t="inlineStr">
        <is>
          <t>SURAHAMMAR</t>
        </is>
      </c>
      <c r="F129" t="inlineStr">
        <is>
          <t>Allmännings- och besparingsskogar</t>
        </is>
      </c>
      <c r="G129" t="n">
        <v>3</v>
      </c>
      <c r="H129" t="n">
        <v>0</v>
      </c>
      <c r="I129" t="n">
        <v>0</v>
      </c>
      <c r="J129" t="n">
        <v>0</v>
      </c>
      <c r="K129" t="n">
        <v>0</v>
      </c>
      <c r="L129" t="n">
        <v>0</v>
      </c>
      <c r="M129" t="n">
        <v>0</v>
      </c>
      <c r="N129" t="n">
        <v>0</v>
      </c>
      <c r="O129" t="n">
        <v>0</v>
      </c>
      <c r="P129" t="n">
        <v>0</v>
      </c>
      <c r="Q129" t="n">
        <v>0</v>
      </c>
      <c r="R129" s="2" t="inlineStr"/>
    </row>
    <row r="130" ht="15" customHeight="1">
      <c r="A130" t="inlineStr">
        <is>
          <t>A 2867-2024</t>
        </is>
      </c>
      <c r="B130" s="1" t="n">
        <v>45315</v>
      </c>
      <c r="C130" s="1" t="n">
        <v>46192</v>
      </c>
      <c r="D130" t="inlineStr">
        <is>
          <t>VÄSTMANLANDS LÄN</t>
        </is>
      </c>
      <c r="E130" t="inlineStr">
        <is>
          <t>SURAHAMMAR</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12841-2026</t>
        </is>
      </c>
      <c r="B131" s="1" t="n">
        <v>46091</v>
      </c>
      <c r="C131" s="1" t="n">
        <v>46192</v>
      </c>
      <c r="D131" t="inlineStr">
        <is>
          <t>VÄSTMANLANDS LÄN</t>
        </is>
      </c>
      <c r="E131" t="inlineStr">
        <is>
          <t>SURAHAMMAR</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15739-2023</t>
        </is>
      </c>
      <c r="B132" s="1" t="n">
        <v>45021</v>
      </c>
      <c r="C132" s="1" t="n">
        <v>46192</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46192</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46192</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22628-2026</t>
        </is>
      </c>
      <c r="B135" s="1" t="n">
        <v>46155</v>
      </c>
      <c r="C135" s="1" t="n">
        <v>46192</v>
      </c>
      <c r="D135" t="inlineStr">
        <is>
          <t>VÄSTMANLANDS LÄN</t>
        </is>
      </c>
      <c r="E135" t="inlineStr">
        <is>
          <t>SURAHAMMAR</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22626-2026</t>
        </is>
      </c>
      <c r="B136" s="1" t="n">
        <v>46155</v>
      </c>
      <c r="C136" s="1" t="n">
        <v>46192</v>
      </c>
      <c r="D136" t="inlineStr">
        <is>
          <t>VÄSTMANLANDS LÄN</t>
        </is>
      </c>
      <c r="E136" t="inlineStr">
        <is>
          <t>SURAHAMMAR</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22630-2026</t>
        </is>
      </c>
      <c r="B137" s="1" t="n">
        <v>46155</v>
      </c>
      <c r="C137" s="1" t="n">
        <v>46192</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20904-2023</t>
        </is>
      </c>
      <c r="B138" s="1" t="n">
        <v>45060</v>
      </c>
      <c r="C138" s="1" t="n">
        <v>46192</v>
      </c>
      <c r="D138" t="inlineStr">
        <is>
          <t>VÄSTMANLANDS LÄN</t>
        </is>
      </c>
      <c r="E138" t="inlineStr">
        <is>
          <t>SURAHAMMAR</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2660-2024</t>
        </is>
      </c>
      <c r="B139" s="1" t="n">
        <v>45310</v>
      </c>
      <c r="C139" s="1" t="n">
        <v>46192</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24201-2026</t>
        </is>
      </c>
      <c r="B140" s="1" t="n">
        <v>46168</v>
      </c>
      <c r="C140" s="1" t="n">
        <v>46192</v>
      </c>
      <c r="D140" t="inlineStr">
        <is>
          <t>VÄSTMANLANDS LÄN</t>
        </is>
      </c>
      <c r="E140" t="inlineStr">
        <is>
          <t>SURAHAMMAR</t>
        </is>
      </c>
      <c r="G140" t="n">
        <v>2</v>
      </c>
      <c r="H140" t="n">
        <v>0</v>
      </c>
      <c r="I140" t="n">
        <v>0</v>
      </c>
      <c r="J140" t="n">
        <v>0</v>
      </c>
      <c r="K140" t="n">
        <v>0</v>
      </c>
      <c r="L140" t="n">
        <v>0</v>
      </c>
      <c r="M140" t="n">
        <v>0</v>
      </c>
      <c r="N140" t="n">
        <v>0</v>
      </c>
      <c r="O140" t="n">
        <v>0</v>
      </c>
      <c r="P140" t="n">
        <v>0</v>
      </c>
      <c r="Q140" t="n">
        <v>0</v>
      </c>
      <c r="R140" s="2" t="inlineStr"/>
    </row>
    <row r="141" ht="15" customHeight="1">
      <c r="A141" t="inlineStr">
        <is>
          <t>A 19246-2026</t>
        </is>
      </c>
      <c r="B141" s="1" t="n">
        <v>46132</v>
      </c>
      <c r="C141" s="1" t="n">
        <v>46192</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37954-2025</t>
        </is>
      </c>
      <c r="B142" s="1" t="n">
        <v>45881</v>
      </c>
      <c r="C142" s="1" t="n">
        <v>46192</v>
      </c>
      <c r="D142" t="inlineStr">
        <is>
          <t>VÄSTMANLANDS LÄN</t>
        </is>
      </c>
      <c r="E142" t="inlineStr">
        <is>
          <t>SURAHAMMAR</t>
        </is>
      </c>
      <c r="G142" t="n">
        <v>9.5</v>
      </c>
      <c r="H142" t="n">
        <v>0</v>
      </c>
      <c r="I142" t="n">
        <v>0</v>
      </c>
      <c r="J142" t="n">
        <v>0</v>
      </c>
      <c r="K142" t="n">
        <v>0</v>
      </c>
      <c r="L142" t="n">
        <v>0</v>
      </c>
      <c r="M142" t="n">
        <v>0</v>
      </c>
      <c r="N142" t="n">
        <v>0</v>
      </c>
      <c r="O142" t="n">
        <v>0</v>
      </c>
      <c r="P142" t="n">
        <v>0</v>
      </c>
      <c r="Q142" t="n">
        <v>0</v>
      </c>
      <c r="R142" s="2" t="inlineStr"/>
    </row>
    <row r="143" ht="15" customHeight="1">
      <c r="A143" t="inlineStr">
        <is>
          <t>A 32808-2024</t>
        </is>
      </c>
      <c r="B143" s="1" t="n">
        <v>45516</v>
      </c>
      <c r="C143" s="1" t="n">
        <v>46192</v>
      </c>
      <c r="D143" t="inlineStr">
        <is>
          <t>VÄSTMANLANDS LÄN</t>
        </is>
      </c>
      <c r="E143" t="inlineStr">
        <is>
          <t>SURAHAMMAR</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46192</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46192</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46192</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c r="A147" t="inlineStr">
        <is>
          <t>A 20535-2026</t>
        </is>
      </c>
      <c r="B147" s="1" t="n">
        <v>46140</v>
      </c>
      <c r="C147" s="1" t="n">
        <v>46192</v>
      </c>
      <c r="D147" t="inlineStr">
        <is>
          <t>VÄSTMANLANDS LÄN</t>
        </is>
      </c>
      <c r="E147" t="inlineStr">
        <is>
          <t>SURAHAMMAR</t>
        </is>
      </c>
      <c r="F147" t="inlineStr">
        <is>
          <t>Bergvik skog väst AB</t>
        </is>
      </c>
      <c r="G147" t="n">
        <v>2.7</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2026-06-19T00:45:08Z</dcterms:created>
  <dcterms:modified xmlns:dcterms="http://purl.org/dc/terms/" xmlns:xsi="http://www.w3.org/2001/XMLSchema-instance" xsi:type="dcterms:W3CDTF">2026-06-19T00:45:08Z</dcterms:modified>
</cp:coreProperties>
</file>