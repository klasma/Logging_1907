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46310</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46310</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46310</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46310</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46310</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46310</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46310</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46310</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46310</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46310</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46310</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46310</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46310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46310</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46310</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46310</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46310</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46310</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31060-2026</t>
        </is>
      </c>
      <c r="B25" t="inlineStr">
        <is>
          <t>avverkningsanmälan</t>
        </is>
      </c>
      <c r="C25" t="inlineStr">
        <is>
          <t>Föryngringsavverkning</t>
        </is>
      </c>
      <c r="D25" s="1" t="n">
        <v>46215</v>
      </c>
      <c r="E25" s="1" t="n">
        <v>46310</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46310</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46310</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46310</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46310</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46310</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46310</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46310</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46310</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46310</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46310</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46310</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46310</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46310</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46310</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46310</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46310</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46310</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46310</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46310</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63146-2025</t>
        </is>
      </c>
      <c r="B45" t="inlineStr">
        <is>
          <t>avverkningsanmälan</t>
        </is>
      </c>
      <c r="C45" t="inlineStr">
        <is>
          <t>Föryngringsavverkning</t>
        </is>
      </c>
      <c r="D45" s="1" t="n">
        <v>46009</v>
      </c>
      <c r="E45" s="1" t="n">
        <v>46310</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69777-2021</t>
        </is>
      </c>
      <c r="B46" t="inlineStr">
        <is>
          <t>avverkningsanmälan</t>
        </is>
      </c>
      <c r="C46" t="inlineStr">
        <is>
          <t>Föryngringsavverkning</t>
        </is>
      </c>
      <c r="D46" s="1" t="n">
        <v>44532</v>
      </c>
      <c r="E46" s="1" t="n">
        <v>46310</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4082-2025</t>
        </is>
      </c>
      <c r="B47" t="inlineStr">
        <is>
          <t>avverkningsanmälan</t>
        </is>
      </c>
      <c r="C47" t="inlineStr">
        <is>
          <t>Föryngringsavverkning</t>
        </is>
      </c>
      <c r="D47" s="1" t="n">
        <v>45684</v>
      </c>
      <c r="E47" s="1" t="n">
        <v>46310</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46310</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36264-2026</t>
        </is>
      </c>
      <c r="B49" t="inlineStr">
        <is>
          <t>avverkningsanmälan</t>
        </is>
      </c>
      <c r="C49" t="inlineStr">
        <is>
          <t>Föryngringsavverkning</t>
        </is>
      </c>
      <c r="D49" s="1" t="n">
        <v>46268</v>
      </c>
      <c r="E49" s="1" t="n">
        <v>46310</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46310</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46310</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46310</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46310</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46310</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13788-2025</t>
        </is>
      </c>
      <c r="B55" t="inlineStr">
        <is>
          <t>avverkningsanmälan</t>
        </is>
      </c>
      <c r="C55" t="inlineStr">
        <is>
          <t>Föryngringsavverkning</t>
        </is>
      </c>
      <c r="D55" s="1" t="n">
        <v>45737</v>
      </c>
      <c r="E55" s="1" t="n">
        <v>46310</v>
      </c>
      <c r="F55" t="inlineStr">
        <is>
          <t>VÄSTMANLANDS LÄN</t>
        </is>
      </c>
      <c r="G55" t="inlineStr">
        <is>
          <t>SURAHAMMAR</t>
        </is>
      </c>
      <c r="I55" t="n">
        <v>9.699999999999999</v>
      </c>
      <c r="J55" t="n">
        <v>2</v>
      </c>
      <c r="K55" t="n">
        <v>0</v>
      </c>
      <c r="L55" t="n">
        <v>1</v>
      </c>
      <c r="M55" t="n">
        <v>0</v>
      </c>
      <c r="N55" t="n">
        <v>0</v>
      </c>
      <c r="O55" t="n">
        <v>0</v>
      </c>
      <c r="P55" t="n">
        <v>0</v>
      </c>
      <c r="Q55" t="n">
        <v>1</v>
      </c>
      <c r="R55" t="n">
        <v>0</v>
      </c>
      <c r="S55" t="n">
        <v>2</v>
      </c>
      <c r="T55" t="n">
        <v>2</v>
      </c>
      <c r="U55" t="n">
        <v>2</v>
      </c>
      <c r="V55" s="2" t="inlineStr">
        <is>
          <t>Sparvuggla
Nattskärra</t>
        </is>
      </c>
      <c r="W55">
        <f>HYPERLINK("https://klasma.github.io/Logging_1907/artfynd/A 13788-2025 artfynd.xlsx", "A 13788-2025")</f>
        <v/>
      </c>
      <c r="X55">
        <f>HYPERLINK("https://klasma.github.io/Logging_1907/kartor/A 13788-2025 karta.png", "A 13788-2025")</f>
        <v/>
      </c>
      <c r="Y55">
        <f>HYPERLINK("https://klasma.github.io/Logging_1907/kartor_geotiff/A 13788-2025 georefererad karta.tif", "A 13788-2025")</f>
        <v/>
      </c>
      <c r="AA55">
        <f>HYPERLINK("https://klasma.github.io/Logging_1907/klagomål/A 13788-2025 FSC-klagomål.docx", "A 13788-2025")</f>
        <v/>
      </c>
      <c r="AB55">
        <f>HYPERLINK("https://klasma.github.io/Logging_1907/klagomålsmail/A 13788-2025 FSC-klagomål mail.docx", "A 13788-2025")</f>
        <v/>
      </c>
      <c r="AC55">
        <f>HYPERLINK("https://klasma.github.io/Logging_1907/tillsyn/A 13788-2025 tillsynsbegäran.docx", "A 13788-2025")</f>
        <v/>
      </c>
      <c r="AD55">
        <f>HYPERLINK("https://klasma.github.io/Logging_1907/tillsynsmail/A 13788-2025 tillsynsbegäran mail.docx", "A 13788-2025")</f>
        <v/>
      </c>
      <c r="AE55">
        <f>HYPERLINK("https://klasma.github.io/Logging_1907/fåglar/A 13788-2025 prioriterade fågelarter.docx", "A 13788-2025")</f>
        <v/>
      </c>
    </row>
    <row r="56" ht="15" customHeight="1">
      <c r="A56" t="inlineStr">
        <is>
          <t>A 30074-2023</t>
        </is>
      </c>
      <c r="B56" t="inlineStr">
        <is>
          <t>avverkningsanmälan</t>
        </is>
      </c>
      <c r="C56" t="inlineStr">
        <is>
          <t>Föryngringsavverkning</t>
        </is>
      </c>
      <c r="D56" s="1" t="n">
        <v>45110</v>
      </c>
      <c r="E56" s="1" t="n">
        <v>46310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40403-2025</t>
        </is>
      </c>
      <c r="B57" t="inlineStr">
        <is>
          <t>avverkningsanmälan</t>
        </is>
      </c>
      <c r="C57" t="inlineStr">
        <is>
          <t>Föryngringsavverkning</t>
        </is>
      </c>
      <c r="D57" s="1" t="n">
        <v>45895</v>
      </c>
      <c r="E57" s="1" t="n">
        <v>46310</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37013-2025</t>
        </is>
      </c>
      <c r="B58" t="inlineStr">
        <is>
          <t>avverkningsanmälan</t>
        </is>
      </c>
      <c r="C58" t="inlineStr">
        <is>
          <t>Föryngringsavverkning</t>
        </is>
      </c>
      <c r="D58" s="1" t="n">
        <v>45874</v>
      </c>
      <c r="E58" s="1" t="n">
        <v>46310</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56362-2023</t>
        </is>
      </c>
      <c r="B59" t="inlineStr">
        <is>
          <t>avverkningsanmälan</t>
        </is>
      </c>
      <c r="C59" t="inlineStr">
        <is>
          <t>Föryngringsavverkning</t>
        </is>
      </c>
      <c r="D59" s="1" t="n">
        <v>45236</v>
      </c>
      <c r="E59" s="1" t="n">
        <v>46310</v>
      </c>
      <c r="F59" t="inlineStr">
        <is>
          <t>VÄSTMANLANDS LÄN</t>
        </is>
      </c>
      <c r="G59" t="inlineStr">
        <is>
          <t>SURAHAMMAR</t>
        </is>
      </c>
      <c r="H59" t="inlineStr">
        <is>
          <t>Bergvik skog väst AB</t>
        </is>
      </c>
      <c r="I59" t="n">
        <v>15.2</v>
      </c>
      <c r="J59" t="n">
        <v>1</v>
      </c>
      <c r="K59" t="n">
        <v>1</v>
      </c>
      <c r="L59" t="n">
        <v>0</v>
      </c>
      <c r="M59" t="n">
        <v>1</v>
      </c>
      <c r="N59" t="n">
        <v>0</v>
      </c>
      <c r="O59" t="n">
        <v>0</v>
      </c>
      <c r="P59" t="n">
        <v>0</v>
      </c>
      <c r="Q59" t="n">
        <v>1</v>
      </c>
      <c r="R59" t="n">
        <v>1</v>
      </c>
      <c r="S59" t="n">
        <v>2</v>
      </c>
      <c r="T59" t="n">
        <v>2</v>
      </c>
      <c r="U59" t="n">
        <v>1</v>
      </c>
      <c r="V59" s="2" t="inlineStr">
        <is>
          <t>Väddnätfjäril
Grönpyrola</t>
        </is>
      </c>
      <c r="W59">
        <f>HYPERLINK("https://klasma.github.io/Logging_1907/artfynd/A 56362-2023 artfynd.xlsx", "A 56362-2023")</f>
        <v/>
      </c>
      <c r="X59">
        <f>HYPERLINK("https://klasma.github.io/Logging_1907/kartor/A 56362-2023 karta.png", "A 56362-2023")</f>
        <v/>
      </c>
      <c r="Y59">
        <f>HYPERLINK("https://klasma.github.io/Logging_1907/kartor_geotiff/A 56362-2023 georefererad karta.tif", "A 56362-2023")</f>
        <v/>
      </c>
      <c r="AA59">
        <f>HYPERLINK("https://klasma.github.io/Logging_1907/klagomål/A 56362-2023 FSC-klagomål.docx", "A 56362-2023")</f>
        <v/>
      </c>
      <c r="AB59">
        <f>HYPERLINK("https://klasma.github.io/Logging_1907/klagomålsmail/A 56362-2023 FSC-klagomål mail.docx", "A 56362-2023")</f>
        <v/>
      </c>
      <c r="AC59">
        <f>HYPERLINK("https://klasma.github.io/Logging_1907/tillsyn/A 56362-2023 tillsynsbegäran.docx", "A 56362-2023")</f>
        <v/>
      </c>
      <c r="AD59">
        <f>HYPERLINK("https://klasma.github.io/Logging_1907/tillsynsmail/A 56362-2023 tillsynsbegäran mail.docx", "A 56362-2023")</f>
        <v/>
      </c>
    </row>
    <row r="60" ht="15" customHeight="1">
      <c r="A60" t="inlineStr">
        <is>
          <t>A 47453-2024</t>
        </is>
      </c>
      <c r="B60" t="inlineStr">
        <is>
          <t>avverkningsanmälan</t>
        </is>
      </c>
      <c r="C60" t="inlineStr">
        <is>
          <t>Föryngringsavverkning</t>
        </is>
      </c>
      <c r="D60" s="1" t="n">
        <v>45587</v>
      </c>
      <c r="E60" s="1" t="n">
        <v>46310</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63138-2025</t>
        </is>
      </c>
      <c r="B61" t="inlineStr">
        <is>
          <t>avverkningsanmälan</t>
        </is>
      </c>
      <c r="C61" t="inlineStr">
        <is>
          <t>Föryngringsavverkning</t>
        </is>
      </c>
      <c r="D61" s="1" t="n">
        <v>46009</v>
      </c>
      <c r="E61" s="1" t="n">
        <v>46310</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41204-2023</t>
        </is>
      </c>
      <c r="B62" t="inlineStr">
        <is>
          <t>avverkningsanmälan</t>
        </is>
      </c>
      <c r="C62" t="inlineStr">
        <is>
          <t>Föryngringsavverkning</t>
        </is>
      </c>
      <c r="D62" s="1" t="n">
        <v>45174</v>
      </c>
      <c r="E62" s="1" t="n">
        <v>46310</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11501-2023</t>
        </is>
      </c>
      <c r="B63" t="inlineStr">
        <is>
          <t>avverkningsanmälan</t>
        </is>
      </c>
      <c r="C63" t="inlineStr">
        <is>
          <t>Föryngringsavverkning</t>
        </is>
      </c>
      <c r="D63" s="1" t="n">
        <v>44991</v>
      </c>
      <c r="E63" s="1" t="n">
        <v>46310</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36261-2026</t>
        </is>
      </c>
      <c r="B64" t="inlineStr">
        <is>
          <t>avverkningsanmälan</t>
        </is>
      </c>
      <c r="C64" t="inlineStr">
        <is>
          <t>Föryngringsavverkning</t>
        </is>
      </c>
      <c r="D64" s="1" t="n">
        <v>46268</v>
      </c>
      <c r="E64" s="1" t="n">
        <v>46310</v>
      </c>
      <c r="F64" t="inlineStr">
        <is>
          <t>VÄSTMANLANDS LÄN</t>
        </is>
      </c>
      <c r="G64" t="inlineStr">
        <is>
          <t>SURAHAMMAR</t>
        </is>
      </c>
      <c r="H64" t="inlineStr">
        <is>
          <t>Sveaskog</t>
        </is>
      </c>
      <c r="I64" t="n">
        <v>7.9</v>
      </c>
      <c r="J64" t="n">
        <v>1</v>
      </c>
      <c r="K64" t="n">
        <v>0</v>
      </c>
      <c r="L64" t="n">
        <v>1</v>
      </c>
      <c r="M64" t="n">
        <v>0</v>
      </c>
      <c r="N64" t="n">
        <v>0</v>
      </c>
      <c r="O64" t="n">
        <v>0</v>
      </c>
      <c r="P64" t="n">
        <v>0</v>
      </c>
      <c r="Q64" t="n">
        <v>1</v>
      </c>
      <c r="R64" t="n">
        <v>0</v>
      </c>
      <c r="S64" t="n">
        <v>2</v>
      </c>
      <c r="T64" t="n">
        <v>2</v>
      </c>
      <c r="U64" t="n">
        <v>0</v>
      </c>
      <c r="V64" s="2" t="inlineStr">
        <is>
          <t>Krusfrö
Revlummer</t>
        </is>
      </c>
      <c r="W64">
        <f>HYPERLINK("https://klasma.github.io/Logging_1907/artfynd/A 36261-2026 artfynd.xlsx", "A 36261-2026")</f>
        <v/>
      </c>
      <c r="X64">
        <f>HYPERLINK("https://klasma.github.io/Logging_1907/kartor/A 36261-2026 karta.png", "A 36261-2026")</f>
        <v/>
      </c>
      <c r="Y64">
        <f>HYPERLINK("https://klasma.github.io/Logging_1907/kartor_geotiff/A 36261-2026 georefererad karta.tif", "A 36261-2026")</f>
        <v/>
      </c>
      <c r="AA64">
        <f>HYPERLINK("https://klasma.github.io/Logging_1907/klagomål/A 36261-2026 FSC-klagomål.docx", "A 36261-2026")</f>
        <v/>
      </c>
      <c r="AB64">
        <f>HYPERLINK("https://klasma.github.io/Logging_1907/klagomålsmail/A 36261-2026 FSC-klagomål mail.docx", "A 36261-2026")</f>
        <v/>
      </c>
      <c r="AC64">
        <f>HYPERLINK("https://klasma.github.io/Logging_1907/tillsyn/A 36261-2026 tillsynsbegäran.docx", "A 36261-2026")</f>
        <v/>
      </c>
      <c r="AD64">
        <f>HYPERLINK("https://klasma.github.io/Logging_1907/tillsynsmail/A 36261-2026 tillsynsbegäran mail.docx", "A 36261-2026")</f>
        <v/>
      </c>
    </row>
    <row r="65" ht="15" customHeight="1">
      <c r="A65" t="inlineStr">
        <is>
          <t>A 14001-2023</t>
        </is>
      </c>
      <c r="B65" t="inlineStr">
        <is>
          <t>avverkningsanmälan</t>
        </is>
      </c>
      <c r="C65" t="inlineStr">
        <is>
          <t>Föryngringsavverkning</t>
        </is>
      </c>
      <c r="D65" s="1" t="n">
        <v>45007</v>
      </c>
      <c r="E65" s="1" t="n">
        <v>46310</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46310</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41395-2026</t>
        </is>
      </c>
      <c r="B67" t="inlineStr">
        <is>
          <t>avverkningsanmälan</t>
        </is>
      </c>
      <c r="C67" t="inlineStr">
        <is>
          <t>Föryngringsavverkning</t>
        </is>
      </c>
      <c r="D67" s="1" t="n">
        <v>46301</v>
      </c>
      <c r="E67" s="1" t="n">
        <v>46310</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46310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46310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46310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46310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46310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46310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17632-2022</t>
        </is>
      </c>
      <c r="B74" t="inlineStr">
        <is>
          <t>avverkningsanmälan</t>
        </is>
      </c>
      <c r="C74" t="inlineStr">
        <is>
          <t>Föryngringsavverkning</t>
        </is>
      </c>
      <c r="D74" s="1" t="n">
        <v>44680</v>
      </c>
      <c r="E74" s="1" t="n">
        <v>46310</v>
      </c>
      <c r="F74" t="inlineStr">
        <is>
          <t>VÄSTMANLANDS LÄN</t>
        </is>
      </c>
      <c r="G74" t="inlineStr">
        <is>
          <t>SURAHAMMAR</t>
        </is>
      </c>
      <c r="I74" t="n">
        <v>5.2</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HYPERLINK("https://klasma.github.io/Logging_1907/artfynd/A 17632-2022 artfynd.xlsx", "A 17632-2022")</f>
        <v/>
      </c>
      <c r="X74">
        <f>HYPERLINK("https://klasma.github.io/Logging_1907/kartor/A 17632-2022 karta.png", "A 17632-2022")</f>
        <v/>
      </c>
      <c r="Y74">
        <f>HYPERLINK("https://klasma.github.io/Logging_1907/kartor_geotiff/A 17632-2022 georefererad karta.tif", "A 17632-2022")</f>
        <v/>
      </c>
      <c r="AA74">
        <f>HYPERLINK("https://klasma.github.io/Logging_1907/klagomål/A 17632-2022 FSC-klagomål.docx", "A 17632-2022")</f>
        <v/>
      </c>
      <c r="AB74">
        <f>HYPERLINK("https://klasma.github.io/Logging_1907/klagomålsmail/A 17632-2022 FSC-klagomål mail.docx", "A 17632-2022")</f>
        <v/>
      </c>
      <c r="AC74">
        <f>HYPERLINK("https://klasma.github.io/Logging_1907/tillsyn/A 17632-2022 tillsynsbegäran.docx", "A 17632-2022")</f>
        <v/>
      </c>
      <c r="AD74">
        <f>HYPERLINK("https://klasma.github.io/Logging_1907/tillsynsmail/A 17632-2022 tillsynsbegäran mail.docx", "A 17632-2022")</f>
        <v/>
      </c>
    </row>
    <row r="75" ht="15" customHeight="1">
      <c r="A75" t="inlineStr">
        <is>
          <t>A 8553-2023</t>
        </is>
      </c>
      <c r="B75" t="inlineStr">
        <is>
          <t>avverkningsanmälan</t>
        </is>
      </c>
      <c r="C75" t="inlineStr">
        <is>
          <t>Avverkning för att bevara och utveckla /försöksver</t>
        </is>
      </c>
      <c r="D75" s="1" t="n">
        <v>44977</v>
      </c>
      <c r="E75" s="1" t="n">
        <v>46310</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34584-2025</t>
        </is>
      </c>
      <c r="B76" t="inlineStr">
        <is>
          <t>avverkningsanmälan</t>
        </is>
      </c>
      <c r="C76" t="inlineStr">
        <is>
          <t>Föryngringsavverkning</t>
        </is>
      </c>
      <c r="D76" s="1" t="n">
        <v>45846</v>
      </c>
      <c r="E76" s="1" t="n">
        <v>46310</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37287-2023</t>
        </is>
      </c>
      <c r="B77" t="inlineStr">
        <is>
          <t>avverkningsanmälan</t>
        </is>
      </c>
      <c r="C77" t="inlineStr">
        <is>
          <t>Föryngringsavverkning</t>
        </is>
      </c>
      <c r="D77" s="1" t="n">
        <v>45156</v>
      </c>
      <c r="E77" s="1" t="n">
        <v>46310</v>
      </c>
      <c r="F77" t="inlineStr">
        <is>
          <t>VÄSTMANLANDS LÄN</t>
        </is>
      </c>
      <c r="G77" t="inlineStr">
        <is>
          <t>SURAHAMMAR</t>
        </is>
      </c>
      <c r="I77" t="n">
        <v>0.6</v>
      </c>
      <c r="J77" t="n">
        <v>0</v>
      </c>
      <c r="K77" t="n">
        <v>0</v>
      </c>
      <c r="L77" t="n">
        <v>1</v>
      </c>
      <c r="M77" t="n">
        <v>0</v>
      </c>
      <c r="N77" t="n">
        <v>0</v>
      </c>
      <c r="O77" t="n">
        <v>0</v>
      </c>
      <c r="P77" t="n">
        <v>0</v>
      </c>
      <c r="Q77" t="n">
        <v>1</v>
      </c>
      <c r="R77" t="n">
        <v>0</v>
      </c>
      <c r="S77" t="n">
        <v>1</v>
      </c>
      <c r="T77" t="n">
        <v>1</v>
      </c>
      <c r="U77" t="n">
        <v>0</v>
      </c>
      <c r="V77" s="2" t="inlineStr">
        <is>
          <t>Mindre tåtelsmygare</t>
        </is>
      </c>
      <c r="W77">
        <f>HYPERLINK("https://klasma.github.io/Logging_1907/artfynd/A 37287-2023 artfynd.xlsx", "A 37287-2023")</f>
        <v/>
      </c>
      <c r="X77">
        <f>HYPERLINK("https://klasma.github.io/Logging_1907/kartor/A 37287-2023 karta.png", "A 37287-2023")</f>
        <v/>
      </c>
      <c r="Y77">
        <f>HYPERLINK("https://klasma.github.io/Logging_1907/kartor_geotiff/A 37287-2023 georefererad karta.tif", "A 37287-2023")</f>
        <v/>
      </c>
      <c r="AA77">
        <f>HYPERLINK("https://klasma.github.io/Logging_1907/klagomål/A 37287-2023 FSC-klagomål.docx", "A 37287-2023")</f>
        <v/>
      </c>
      <c r="AB77">
        <f>HYPERLINK("https://klasma.github.io/Logging_1907/klagomålsmail/A 37287-2023 FSC-klagomål mail.docx", "A 37287-2023")</f>
        <v/>
      </c>
      <c r="AC77">
        <f>HYPERLINK("https://klasma.github.io/Logging_1907/tillsyn/A 37287-2023 tillsynsbegäran.docx", "A 37287-2023")</f>
        <v/>
      </c>
      <c r="AD77">
        <f>HYPERLINK("https://klasma.github.io/Logging_1907/tillsynsmail/A 37287-2023 tillsynsbegäran mail.docx", "A 37287-2023")</f>
        <v/>
      </c>
    </row>
    <row r="78" ht="15" customHeight="1">
      <c r="A78" t="inlineStr">
        <is>
          <t>A 34955-2022</t>
        </is>
      </c>
      <c r="B78" t="inlineStr">
        <is>
          <t>avverkningsanmälan</t>
        </is>
      </c>
      <c r="C78" t="inlineStr">
        <is>
          <t>Föryngringsavverkning</t>
        </is>
      </c>
      <c r="D78" s="1" t="n">
        <v>44796</v>
      </c>
      <c r="E78" s="1" t="n">
        <v>46310</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10883-2023</t>
        </is>
      </c>
      <c r="B79" t="inlineStr">
        <is>
          <t>avverkningsanmälan</t>
        </is>
      </c>
      <c r="C79" t="inlineStr">
        <is>
          <t>Föryngringsavverkning</t>
        </is>
      </c>
      <c r="D79" s="1" t="n">
        <v>44991</v>
      </c>
      <c r="E79" s="1" t="n">
        <v>46310</v>
      </c>
      <c r="F79" t="inlineStr">
        <is>
          <t>VÄSTMANLANDS LÄN</t>
        </is>
      </c>
      <c r="G79" t="inlineStr">
        <is>
          <t>SURAHAMMAR</t>
        </is>
      </c>
      <c r="H79" t="inlineStr">
        <is>
          <t>Övriga Aktiebolag</t>
        </is>
      </c>
      <c r="I79" t="n">
        <v>12.5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HYPERLINK("https://klasma.github.io/Logging_1907/artfynd/A 10883-2023 artfynd.xlsx", "A 10883-2023")</f>
        <v/>
      </c>
      <c r="X79">
        <f>HYPERLINK("https://klasma.github.io/Logging_1907/kartor/A 10883-2023 karta.png", "A 10883-2023")</f>
        <v/>
      </c>
      <c r="Y79">
        <f>HYPERLINK("https://klasma.github.io/Logging_1907/kartor_geotiff/A 10883-2023 georefererad karta.tif", "A 10883-2023")</f>
        <v/>
      </c>
      <c r="AA79">
        <f>HYPERLINK("https://klasma.github.io/Logging_1907/klagomål/A 10883-2023 FSC-klagomål.docx", "A 10883-2023")</f>
        <v/>
      </c>
      <c r="AB79">
        <f>HYPERLINK("https://klasma.github.io/Logging_1907/klagomålsmail/A 10883-2023 FSC-klagomål mail.docx", "A 10883-2023")</f>
        <v/>
      </c>
      <c r="AC79">
        <f>HYPERLINK("https://klasma.github.io/Logging_1907/tillsyn/A 10883-2023 tillsynsbegäran.docx", "A 10883-2023")</f>
        <v/>
      </c>
      <c r="AD79">
        <f>HYPERLINK("https://klasma.github.io/Logging_1907/tillsynsmail/A 10883-2023 tillsynsbegäran mail.docx", "A 10883-2023")</f>
        <v/>
      </c>
      <c r="AE79">
        <f>HYPERLINK("https://klasma.github.io/Logging_1907/fåglar/A 10883-2023 prioriterade fågelarter.docx", "A 10883-2023")</f>
        <v/>
      </c>
    </row>
    <row r="80" ht="15" customHeight="1">
      <c r="A80" t="inlineStr">
        <is>
          <t>A 39099-2022</t>
        </is>
      </c>
      <c r="B80" t="inlineStr">
        <is>
          <t>avverkningsanmälan</t>
        </is>
      </c>
      <c r="C80" t="inlineStr">
        <is>
          <t>Föryngringsavverkning</t>
        </is>
      </c>
      <c r="D80" s="1" t="n">
        <v>44817</v>
      </c>
      <c r="E80" s="1" t="n">
        <v>46310</v>
      </c>
      <c r="F80" t="inlineStr">
        <is>
          <t>VÄSTMANLANDS LÄN</t>
        </is>
      </c>
      <c r="G80" t="inlineStr">
        <is>
          <t>SURAHAMMAR</t>
        </is>
      </c>
      <c r="H80" t="inlineStr">
        <is>
          <t>Bergvik skog väst AB</t>
        </is>
      </c>
      <c r="I80" t="n">
        <v>7.4</v>
      </c>
      <c r="J80" t="n">
        <v>0</v>
      </c>
      <c r="K80" t="n">
        <v>1</v>
      </c>
      <c r="L80" t="n">
        <v>0</v>
      </c>
      <c r="M80" t="n">
        <v>0</v>
      </c>
      <c r="N80" t="n">
        <v>0</v>
      </c>
      <c r="O80" t="n">
        <v>0</v>
      </c>
      <c r="P80" t="n">
        <v>0</v>
      </c>
      <c r="Q80" t="n">
        <v>0</v>
      </c>
      <c r="R80" t="n">
        <v>0</v>
      </c>
      <c r="S80" t="n">
        <v>1</v>
      </c>
      <c r="T80" t="n">
        <v>1</v>
      </c>
      <c r="U80" t="n">
        <v>1</v>
      </c>
      <c r="V80" s="2" t="inlineStr">
        <is>
          <t>Grönpyrola</t>
        </is>
      </c>
      <c r="W80">
        <f>HYPERLINK("https://klasma.github.io/Logging_1907/artfynd/A 39099-2022 artfynd.xlsx", "A 39099-2022")</f>
        <v/>
      </c>
      <c r="X80">
        <f>HYPERLINK("https://klasma.github.io/Logging_1907/kartor/A 39099-2022 karta.png", "A 39099-2022")</f>
        <v/>
      </c>
      <c r="Y80">
        <f>HYPERLINK("https://klasma.github.io/Logging_1907/kartor_geotiff/A 39099-2022 georefererad karta.tif", "A 39099-2022")</f>
        <v/>
      </c>
      <c r="AA80">
        <f>HYPERLINK("https://klasma.github.io/Logging_1907/klagomål/A 39099-2022 FSC-klagomål.docx", "A 39099-2022")</f>
        <v/>
      </c>
      <c r="AB80">
        <f>HYPERLINK("https://klasma.github.io/Logging_1907/klagomålsmail/A 39099-2022 FSC-klagomål mail.docx", "A 39099-2022")</f>
        <v/>
      </c>
      <c r="AC80">
        <f>HYPERLINK("https://klasma.github.io/Logging_1907/tillsyn/A 39099-2022 tillsynsbegäran.docx", "A 39099-2022")</f>
        <v/>
      </c>
      <c r="AD80">
        <f>HYPERLINK("https://klasma.github.io/Logging_1907/tillsynsmail/A 39099-2022 tillsynsbegäran mail.docx", "A 39099-2022")</f>
        <v/>
      </c>
    </row>
    <row r="81" ht="15" customHeight="1">
      <c r="A81" t="inlineStr">
        <is>
          <t>A 44356-2024</t>
        </is>
      </c>
      <c r="B81" t="inlineStr">
        <is>
          <t>avverkningsanmälan</t>
        </is>
      </c>
      <c r="C81" t="inlineStr">
        <is>
          <t>Föryngringsavverkning</t>
        </is>
      </c>
      <c r="D81" s="1" t="n">
        <v>45573</v>
      </c>
      <c r="E81" s="1" t="n">
        <v>46310</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46310</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46310</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46310</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46310</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46310</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46310</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46310</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46310</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46310</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46310</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46310</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2867-2024</t>
        </is>
      </c>
      <c r="B93" t="inlineStr">
        <is>
          <t>avverkningsanmälan</t>
        </is>
      </c>
      <c r="C93" t="inlineStr">
        <is>
          <t>Föryngringsavverkning</t>
        </is>
      </c>
      <c r="D93" s="1" t="n">
        <v>45315</v>
      </c>
      <c r="E93" s="1" t="n">
        <v>46310</v>
      </c>
      <c r="F93" t="inlineStr">
        <is>
          <t>VÄSTMANLANDS LÄN</t>
        </is>
      </c>
      <c r="G93" t="inlineStr">
        <is>
          <t>SURAHAMMAR</t>
        </is>
      </c>
      <c r="H93" t="inlineStr">
        <is>
          <t>Bergvik skog väst AB</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46310</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46310</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3085-2023</t>
        </is>
      </c>
      <c r="B96" t="inlineStr">
        <is>
          <t>avverkningsanmälan</t>
        </is>
      </c>
      <c r="C96" t="inlineStr">
        <is>
          <t>Föryngringsavverkning</t>
        </is>
      </c>
      <c r="D96" s="1" t="n">
        <v>44946</v>
      </c>
      <c r="E96" s="1" t="n">
        <v>46310</v>
      </c>
      <c r="F96" t="inlineStr">
        <is>
          <t>VÄSTMANLANDS LÄN</t>
        </is>
      </c>
      <c r="G96" t="inlineStr">
        <is>
          <t>SURAHAMMAR</t>
        </is>
      </c>
      <c r="H96" t="inlineStr">
        <is>
          <t>Kyrkan</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48205-2023</t>
        </is>
      </c>
      <c r="B97" t="inlineStr">
        <is>
          <t>avverkningsanmälan</t>
        </is>
      </c>
      <c r="C97" t="inlineStr">
        <is>
          <t>Föryngringsavverkning</t>
        </is>
      </c>
      <c r="D97" s="1" t="n">
        <v>45205</v>
      </c>
      <c r="E97" s="1" t="n">
        <v>46310</v>
      </c>
      <c r="F97" t="inlineStr">
        <is>
          <t>VÄSTMANLANDS LÄN</t>
        </is>
      </c>
      <c r="G97" t="inlineStr">
        <is>
          <t>SURAHAMMAR</t>
        </is>
      </c>
      <c r="H97" t="inlineStr">
        <is>
          <t>Allmännings- och besparingsskogar</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15743-2023</t>
        </is>
      </c>
      <c r="B98" t="inlineStr">
        <is>
          <t>avverkningsanmälan</t>
        </is>
      </c>
      <c r="C98" t="inlineStr">
        <is>
          <t>Föryngringsavverkning</t>
        </is>
      </c>
      <c r="D98" s="1" t="n">
        <v>45021</v>
      </c>
      <c r="E98" s="1" t="n">
        <v>46310</v>
      </c>
      <c r="F98" t="inlineStr">
        <is>
          <t>VÄSTMANLANDS LÄN</t>
        </is>
      </c>
      <c r="G98" t="inlineStr">
        <is>
          <t>SURAHAMMAR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15637-2022</t>
        </is>
      </c>
      <c r="B99" t="inlineStr">
        <is>
          <t>avverkningsanmälan</t>
        </is>
      </c>
      <c r="C99" t="inlineStr">
        <is>
          <t>Föryngringsavverkning</t>
        </is>
      </c>
      <c r="D99" s="1" t="n">
        <v>44662</v>
      </c>
      <c r="E99" s="1" t="n">
        <v>46310</v>
      </c>
      <c r="F99" t="inlineStr">
        <is>
          <t>VÄSTMANLANDS LÄN</t>
        </is>
      </c>
      <c r="G99" t="inlineStr">
        <is>
          <t>SURAHAMMAR</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46310</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7787-2024</t>
        </is>
      </c>
      <c r="B101" t="inlineStr">
        <is>
          <t>avverkningsanmälan</t>
        </is>
      </c>
      <c r="C101" t="inlineStr">
        <is>
          <t>Föryngringsavverkning</t>
        </is>
      </c>
      <c r="D101" s="1" t="n">
        <v>45348</v>
      </c>
      <c r="E101" s="1" t="n">
        <v>46310</v>
      </c>
      <c r="F101" t="inlineStr">
        <is>
          <t>VÄSTMANLANDS LÄN</t>
        </is>
      </c>
      <c r="G101" t="inlineStr">
        <is>
          <t>SURAHAMMAR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46310</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10562-2026</t>
        </is>
      </c>
      <c r="B103" t="inlineStr">
        <is>
          <t>avverkningsanmälan</t>
        </is>
      </c>
      <c r="C103" t="inlineStr">
        <is>
          <t>Föryngringsavverkning</t>
        </is>
      </c>
      <c r="D103" s="1" t="n">
        <v>46077</v>
      </c>
      <c r="E103" s="1" t="n">
        <v>46310</v>
      </c>
      <c r="F103" t="inlineStr">
        <is>
          <t>VÄSTMANLANDS LÄN</t>
        </is>
      </c>
      <c r="G103" t="inlineStr">
        <is>
          <t>SURAHAMMAR</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12841-2026</t>
        </is>
      </c>
      <c r="B104" t="inlineStr">
        <is>
          <t>avverkningsanmälan</t>
        </is>
      </c>
      <c r="C104" t="inlineStr">
        <is>
          <t>Föryngringsavverkning</t>
        </is>
      </c>
      <c r="D104" s="1" t="n">
        <v>46091</v>
      </c>
      <c r="E104" s="1" t="n">
        <v>46310</v>
      </c>
      <c r="F104" t="inlineStr">
        <is>
          <t>VÄSTMANLANDS LÄN</t>
        </is>
      </c>
      <c r="G104" t="inlineStr">
        <is>
          <t>SURAHAMMAR</t>
        </is>
      </c>
      <c r="H104" t="inlineStr">
        <is>
          <t>Bergvik skog väst AB</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55873-2025</t>
        </is>
      </c>
      <c r="B105" t="inlineStr">
        <is>
          <t>avverkningsanmälan</t>
        </is>
      </c>
      <c r="C105" t="inlineStr">
        <is>
          <t>Föryngringsavverkning</t>
        </is>
      </c>
      <c r="D105" s="1" t="n">
        <v>45973</v>
      </c>
      <c r="E105" s="1" t="n">
        <v>46310</v>
      </c>
      <c r="F105" t="inlineStr">
        <is>
          <t>VÄSTMANLANDS LÄN</t>
        </is>
      </c>
      <c r="G105" t="inlineStr">
        <is>
          <t>SURAHAMMAR</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72367-2021</t>
        </is>
      </c>
      <c r="B106" t="inlineStr">
        <is>
          <t>avverkningsanmälan</t>
        </is>
      </c>
      <c r="C106" t="inlineStr">
        <is>
          <t>Föryngringsavverkning</t>
        </is>
      </c>
      <c r="D106" s="1" t="n">
        <v>44545</v>
      </c>
      <c r="E106" s="1" t="n">
        <v>46310</v>
      </c>
      <c r="F106" t="inlineStr">
        <is>
          <t>VÄSTMANLANDS LÄN</t>
        </is>
      </c>
      <c r="G106" t="inlineStr">
        <is>
          <t>SURAHAMMAR</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20904-2023</t>
        </is>
      </c>
      <c r="B107" t="inlineStr">
        <is>
          <t>avverkningsanmälan</t>
        </is>
      </c>
      <c r="C107" t="inlineStr">
        <is>
          <t>Avverkning för att bevara och utveckla /försöksver</t>
        </is>
      </c>
      <c r="D107" s="1" t="n">
        <v>45060</v>
      </c>
      <c r="E107" s="1" t="n">
        <v>46310</v>
      </c>
      <c r="F107" t="inlineStr">
        <is>
          <t>VÄSTMANLANDS LÄN</t>
        </is>
      </c>
      <c r="G107" t="inlineStr">
        <is>
          <t>SURAHAMMAR</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33931-2022</t>
        </is>
      </c>
      <c r="B108" t="inlineStr">
        <is>
          <t>avverkningsanmälan</t>
        </is>
      </c>
      <c r="C108" t="inlineStr">
        <is>
          <t>Föryngringsavverkning</t>
        </is>
      </c>
      <c r="D108" s="1" t="n">
        <v>44790</v>
      </c>
      <c r="E108" s="1" t="n">
        <v>46310</v>
      </c>
      <c r="F108" t="inlineStr">
        <is>
          <t>VÄSTMANLANDS LÄN</t>
        </is>
      </c>
      <c r="G108" t="inlineStr">
        <is>
          <t>SURAHAMMAR</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2660-2024</t>
        </is>
      </c>
      <c r="B109" t="inlineStr">
        <is>
          <t>avverkningsanmälan</t>
        </is>
      </c>
      <c r="C109" t="inlineStr">
        <is>
          <t>Föryngringsavverkning</t>
        </is>
      </c>
      <c r="D109" s="1" t="n">
        <v>45310</v>
      </c>
      <c r="E109" s="1" t="n">
        <v>46310</v>
      </c>
      <c r="F109" t="inlineStr">
        <is>
          <t>VÄSTMANLANDS LÄN</t>
        </is>
      </c>
      <c r="G109" t="inlineStr">
        <is>
          <t>SURAHAMMAR</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24158-2023</t>
        </is>
      </c>
      <c r="B110" t="inlineStr">
        <is>
          <t>avverkningsanmälan</t>
        </is>
      </c>
      <c r="C110" t="inlineStr">
        <is>
          <t>Föryngringsavverkning</t>
        </is>
      </c>
      <c r="D110" s="1" t="n">
        <v>45079</v>
      </c>
      <c r="E110" s="1" t="n">
        <v>46310</v>
      </c>
      <c r="F110" t="inlineStr">
        <is>
          <t>VÄSTMANLANDS LÄN</t>
        </is>
      </c>
      <c r="G110" t="inlineStr">
        <is>
          <t>SURAHAMMAR</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46310</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32808-2024</t>
        </is>
      </c>
      <c r="B112" t="inlineStr">
        <is>
          <t>avverkningsanmälan</t>
        </is>
      </c>
      <c r="C112" t="inlineStr">
        <is>
          <t>Föryngringsavverkning</t>
        </is>
      </c>
      <c r="D112" s="1" t="n">
        <v>45516</v>
      </c>
      <c r="E112" s="1" t="n">
        <v>46310</v>
      </c>
      <c r="F112" t="inlineStr">
        <is>
          <t>VÄSTMANLANDS LÄN</t>
        </is>
      </c>
      <c r="G112" t="inlineStr">
        <is>
          <t>SURAHAMMAR</t>
        </is>
      </c>
      <c r="H112" t="inlineStr">
        <is>
          <t>Övriga Aktiebolag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42714-2022</t>
        </is>
      </c>
      <c r="B113" t="inlineStr">
        <is>
          <t>avverkningsanmälan</t>
        </is>
      </c>
      <c r="C113" t="inlineStr">
        <is>
          <t>Föryngringsavverkning</t>
        </is>
      </c>
      <c r="D113" s="1" t="n">
        <v>44832</v>
      </c>
      <c r="E113" s="1" t="n">
        <v>46310</v>
      </c>
      <c r="F113" t="inlineStr">
        <is>
          <t>VÄSTMANLANDS LÄN</t>
        </is>
      </c>
      <c r="G113" t="inlineStr">
        <is>
          <t>SURAHAMMAR</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35682-2022</t>
        </is>
      </c>
      <c r="B114" t="inlineStr">
        <is>
          <t>avverkningsanmälan</t>
        </is>
      </c>
      <c r="C114" t="inlineStr">
        <is>
          <t>Föryngringsavverkning</t>
        </is>
      </c>
      <c r="D114" s="1" t="n">
        <v>44799</v>
      </c>
      <c r="E114" s="1" t="n">
        <v>46310</v>
      </c>
      <c r="F114" t="inlineStr">
        <is>
          <t>VÄSTMANLANDS LÄN</t>
        </is>
      </c>
      <c r="G114" t="inlineStr">
        <is>
          <t>SURAHAMMAR</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11728-2023</t>
        </is>
      </c>
      <c r="B115" t="inlineStr">
        <is>
          <t>avverkningsanmälan</t>
        </is>
      </c>
      <c r="C115" t="inlineStr">
        <is>
          <t>Avverkning för att bevara och utveckla /försöksver</t>
        </is>
      </c>
      <c r="D115" s="1" t="n">
        <v>44993</v>
      </c>
      <c r="E115" s="1" t="n">
        <v>46310</v>
      </c>
      <c r="F115" t="inlineStr">
        <is>
          <t>VÄSTMANLANDS LÄN</t>
        </is>
      </c>
      <c r="G115" t="inlineStr">
        <is>
          <t>SURAHAMMAR</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5567-2022</t>
        </is>
      </c>
      <c r="B116" t="inlineStr">
        <is>
          <t>avverkningsanmälan</t>
        </is>
      </c>
      <c r="C116" t="inlineStr">
        <is>
          <t>Föryngringsavverkning</t>
        </is>
      </c>
      <c r="D116" s="1" t="n">
        <v>44595</v>
      </c>
      <c r="E116" s="1" t="n">
        <v>46310</v>
      </c>
      <c r="F116" t="inlineStr">
        <is>
          <t>VÄSTMANLANDS LÄN</t>
        </is>
      </c>
      <c r="G116" t="inlineStr">
        <is>
          <t>SURAHAMMAR</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42832-2022</t>
        </is>
      </c>
      <c r="B117" t="inlineStr">
        <is>
          <t>avverkningsanmälan</t>
        </is>
      </c>
      <c r="C117" t="inlineStr">
        <is>
          <t>Avverkning för annat ändamål</t>
        </is>
      </c>
      <c r="D117" s="1" t="n">
        <v>44832</v>
      </c>
      <c r="E117" s="1" t="n">
        <v>46310</v>
      </c>
      <c r="F117" t="inlineStr">
        <is>
          <t>VÄSTMANLANDS LÄN</t>
        </is>
      </c>
      <c r="G117" t="inlineStr">
        <is>
          <t>SURAHAMMAR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24665-2023</t>
        </is>
      </c>
      <c r="B118" t="inlineStr">
        <is>
          <t>avverkningsanmälan</t>
        </is>
      </c>
      <c r="C118" t="inlineStr">
        <is>
          <t>Föryngringsavverkning</t>
        </is>
      </c>
      <c r="D118" s="1" t="n">
        <v>45084</v>
      </c>
      <c r="E118" s="1" t="n">
        <v>46310</v>
      </c>
      <c r="F118" t="inlineStr">
        <is>
          <t>VÄSTMANLANDS LÄN</t>
        </is>
      </c>
      <c r="G118" t="inlineStr">
        <is>
          <t>SURAHAMMAR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42841-2022</t>
        </is>
      </c>
      <c r="B119" t="inlineStr">
        <is>
          <t>avverkningsanmälan</t>
        </is>
      </c>
      <c r="C119" t="inlineStr">
        <is>
          <t>Avverkning för annat ändamål</t>
        </is>
      </c>
      <c r="D119" s="1" t="n">
        <v>44832</v>
      </c>
      <c r="E119" s="1" t="n">
        <v>46310</v>
      </c>
      <c r="F119" t="inlineStr">
        <is>
          <t>VÄSTMANLANDS LÄN</t>
        </is>
      </c>
      <c r="G119" t="inlineStr">
        <is>
          <t>SURAHAMMAR</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49058-2024</t>
        </is>
      </c>
      <c r="B120" t="inlineStr">
        <is>
          <t>avverkningsanmälan</t>
        </is>
      </c>
      <c r="C120" t="inlineStr">
        <is>
          <t>Föryngringsavverkning</t>
        </is>
      </c>
      <c r="D120" s="1" t="n">
        <v>45594</v>
      </c>
      <c r="E120" s="1" t="n">
        <v>46310</v>
      </c>
      <c r="F120" t="inlineStr">
        <is>
          <t>VÄSTMANLANDS LÄN</t>
        </is>
      </c>
      <c r="G120" t="inlineStr">
        <is>
          <t>SURAHAMMAR</t>
        </is>
      </c>
      <c r="H120" t="inlineStr">
        <is>
          <t>Sveaskog</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42829-2022</t>
        </is>
      </c>
      <c r="B121" t="inlineStr">
        <is>
          <t>avverkningsanmälan</t>
        </is>
      </c>
      <c r="C121" t="inlineStr">
        <is>
          <t>Avverkning för annat ändamål</t>
        </is>
      </c>
      <c r="D121" s="1" t="n">
        <v>44832</v>
      </c>
      <c r="E121" s="1" t="n">
        <v>46310</v>
      </c>
      <c r="F121" t="inlineStr">
        <is>
          <t>VÄSTMANLANDS LÄN</t>
        </is>
      </c>
      <c r="G121" t="inlineStr">
        <is>
          <t>SURAHAMMAR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46310</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4724-2026</t>
        </is>
      </c>
      <c r="B123" t="inlineStr">
        <is>
          <t>avverkningsanmälan</t>
        </is>
      </c>
      <c r="C123" t="inlineStr">
        <is>
          <t>Föryngringsavverkning</t>
        </is>
      </c>
      <c r="D123" s="1" t="n">
        <v>46048</v>
      </c>
      <c r="E123" s="1" t="n">
        <v>46310</v>
      </c>
      <c r="F123" t="inlineStr">
        <is>
          <t>VÄSTMANLANDS LÄN</t>
        </is>
      </c>
      <c r="G123" t="inlineStr">
        <is>
          <t>SURAHAMMAR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4734-2026</t>
        </is>
      </c>
      <c r="B124" t="inlineStr">
        <is>
          <t>avverkningsanmälan</t>
        </is>
      </c>
      <c r="C124" t="inlineStr">
        <is>
          <t>Föryngringsavverkning</t>
        </is>
      </c>
      <c r="D124" s="1" t="n">
        <v>46048</v>
      </c>
      <c r="E124" s="1" t="n">
        <v>46310</v>
      </c>
      <c r="F124" t="inlineStr">
        <is>
          <t>VÄSTMANLANDS LÄN</t>
        </is>
      </c>
      <c r="G124" t="inlineStr">
        <is>
          <t>SURAHAMMAR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14626-2023</t>
        </is>
      </c>
      <c r="B125" t="inlineStr">
        <is>
          <t>avverkningsanmälan</t>
        </is>
      </c>
      <c r="C125" t="inlineStr">
        <is>
          <t>Föryngringsavverkning</t>
        </is>
      </c>
      <c r="D125" s="1" t="n">
        <v>45012</v>
      </c>
      <c r="E125" s="1" t="n">
        <v>46310</v>
      </c>
      <c r="F125" t="inlineStr">
        <is>
          <t>VÄSTMANLANDS LÄN</t>
        </is>
      </c>
      <c r="G125" t="inlineStr">
        <is>
          <t>SURAHAMMAR</t>
        </is>
      </c>
      <c r="H125" t="inlineStr">
        <is>
          <t>Bergvik skog väst AB</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46310</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25450-2024</t>
        </is>
      </c>
      <c r="B127" t="inlineStr">
        <is>
          <t>avverkningsanmälan</t>
        </is>
      </c>
      <c r="C127" t="inlineStr">
        <is>
          <t>Föryngringsavverkning</t>
        </is>
      </c>
      <c r="D127" s="1" t="n">
        <v>45463</v>
      </c>
      <c r="E127" s="1" t="n">
        <v>46310</v>
      </c>
      <c r="F127" t="inlineStr">
        <is>
          <t>VÄSTMANLANDS LÄN</t>
        </is>
      </c>
      <c r="G127" t="inlineStr">
        <is>
          <t>SURAHAMMAR</t>
        </is>
      </c>
      <c r="H127" t="inlineStr">
        <is>
          <t>Bergvik skog väst AB</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22628-2026</t>
        </is>
      </c>
      <c r="B128" t="inlineStr">
        <is>
          <t>avverkningsanmälan</t>
        </is>
      </c>
      <c r="C128" t="inlineStr">
        <is>
          <t>Föryngringsavverkning</t>
        </is>
      </c>
      <c r="D128" s="1" t="n">
        <v>46155</v>
      </c>
      <c r="E128" s="1" t="n">
        <v>46310</v>
      </c>
      <c r="F128" t="inlineStr">
        <is>
          <t>VÄSTMANLANDS LÄN</t>
        </is>
      </c>
      <c r="G128" t="inlineStr">
        <is>
          <t>SURAHAMMAR</t>
        </is>
      </c>
      <c r="H128" t="inlineStr">
        <is>
          <t>Sveaskog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19782-2023</t>
        </is>
      </c>
      <c r="B129" t="inlineStr">
        <is>
          <t>avverkningsanmälan</t>
        </is>
      </c>
      <c r="C129" t="inlineStr">
        <is>
          <t>Föryngringsavverkning</t>
        </is>
      </c>
      <c r="D129" s="1" t="n">
        <v>45050</v>
      </c>
      <c r="E129" s="1" t="n">
        <v>46310</v>
      </c>
      <c r="F129" t="inlineStr">
        <is>
          <t>VÄSTMANLANDS LÄN</t>
        </is>
      </c>
      <c r="G129" t="inlineStr">
        <is>
          <t>SURAHAMMAR</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7848-2022</t>
        </is>
      </c>
      <c r="B130" t="inlineStr">
        <is>
          <t>avverkningsanmälan</t>
        </is>
      </c>
      <c r="C130" t="inlineStr">
        <is>
          <t>Föryngringsavverkning</t>
        </is>
      </c>
      <c r="D130" s="1" t="n">
        <v>44608</v>
      </c>
      <c r="E130" s="1" t="n">
        <v>46310</v>
      </c>
      <c r="F130" t="inlineStr">
        <is>
          <t>VÄSTMANLANDS LÄN</t>
        </is>
      </c>
      <c r="G130" t="inlineStr">
        <is>
          <t>SURAHAMMAR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46310</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46310</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46310</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3818-2022</t>
        </is>
      </c>
      <c r="B134" t="inlineStr">
        <is>
          <t>avverkningsanmälan</t>
        </is>
      </c>
      <c r="C134" t="inlineStr">
        <is>
          <t>Föryngringsavverkning</t>
        </is>
      </c>
      <c r="D134" s="1" t="n">
        <v>44587</v>
      </c>
      <c r="E134" s="1" t="n">
        <v>46310</v>
      </c>
      <c r="F134" t="inlineStr">
        <is>
          <t>VÄSTMANLANDS LÄN</t>
        </is>
      </c>
      <c r="G134" t="inlineStr">
        <is>
          <t>SURAHAMMAR</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46310</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46310</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33933-2026</t>
        </is>
      </c>
      <c r="B137" t="inlineStr">
        <is>
          <t>avverkningsanmälan</t>
        </is>
      </c>
      <c r="C137" t="inlineStr">
        <is>
          <t>Föryngringsavverkning</t>
        </is>
      </c>
      <c r="D137" s="1" t="n">
        <v>46248</v>
      </c>
      <c r="E137" s="1" t="n">
        <v>46310</v>
      </c>
      <c r="F137" t="inlineStr">
        <is>
          <t>VÄSTMANLANDS LÄN</t>
        </is>
      </c>
      <c r="G137" t="inlineStr">
        <is>
          <t>SURAHAMMAR</t>
        </is>
      </c>
      <c r="H137" t="inlineStr">
        <is>
          <t>Bergvik skog väst AB</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46310</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46310</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37954-2025</t>
        </is>
      </c>
      <c r="B140" t="inlineStr">
        <is>
          <t>avverkningsanmälan</t>
        </is>
      </c>
      <c r="C140" t="inlineStr">
        <is>
          <t>Föryngringsavverkning</t>
        </is>
      </c>
      <c r="D140" s="1" t="n">
        <v>45881</v>
      </c>
      <c r="E140" s="1" t="n">
        <v>46310</v>
      </c>
      <c r="F140" t="inlineStr">
        <is>
          <t>VÄSTMANLANDS LÄN</t>
        </is>
      </c>
      <c r="G140" t="inlineStr">
        <is>
          <t>SURAHAMMAR</t>
        </is>
      </c>
      <c r="I140" t="n">
        <v>9.5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25780-2023</t>
        </is>
      </c>
      <c r="B141" t="inlineStr">
        <is>
          <t>avverkningsanmälan</t>
        </is>
      </c>
      <c r="C141" t="inlineStr">
        <is>
          <t>Föryngringsavverkning</t>
        </is>
      </c>
      <c r="D141" s="1" t="n">
        <v>45090</v>
      </c>
      <c r="E141" s="1" t="n">
        <v>46310</v>
      </c>
      <c r="F141" t="inlineStr">
        <is>
          <t>VÄSTMANLANDS LÄN</t>
        </is>
      </c>
      <c r="G141" t="inlineStr">
        <is>
          <t>SURAHAMMAR</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15739-2023</t>
        </is>
      </c>
      <c r="B142" t="inlineStr">
        <is>
          <t>avverkningsanmälan</t>
        </is>
      </c>
      <c r="C142" t="inlineStr">
        <is>
          <t>Föryngringsavverkning</t>
        </is>
      </c>
      <c r="D142" s="1" t="n">
        <v>45021</v>
      </c>
      <c r="E142" s="1" t="n">
        <v>46310</v>
      </c>
      <c r="F142" t="inlineStr">
        <is>
          <t>VÄSTMANLANDS LÄN</t>
        </is>
      </c>
      <c r="G142" t="inlineStr">
        <is>
          <t>SURAHAMMAR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46310</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46310</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46310</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2026-10-15T02:04:29Z</dcterms:created>
  <dcterms:modified xmlns:dcterms="http://purl.org/dc/terms/" xmlns:xsi="http://www.w3.org/2001/XMLSchema-instance" xsi:type="dcterms:W3CDTF">2026-10-15T02:04:29Z</dcterms:modified>
</cp:coreProperties>
</file>