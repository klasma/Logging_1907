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46002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46002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46002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46002</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46002</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46002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46002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46002</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46002</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46002</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46002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46002</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46002</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46002</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46002</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46002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46002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46002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46002</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46002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46002</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46002</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46002</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21716-2025</t>
        </is>
      </c>
      <c r="B26" s="1" t="n">
        <v>45783.54804398148</v>
      </c>
      <c r="C26" s="1" t="n">
        <v>46002</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46002</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46002</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48128-2023</t>
        </is>
      </c>
      <c r="B29" s="1" t="n">
        <v>45205</v>
      </c>
      <c r="C29" s="1" t="n">
        <v>46002</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46002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46002</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46002</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46002</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46002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46002</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46002</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46002</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46002</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46002</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46002</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46002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46002</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46002</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46002</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46002</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46002</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46002</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46002</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46002</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46002</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46002</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46002</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46002</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46002</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42089-2025</t>
        </is>
      </c>
      <c r="B55" s="1" t="n">
        <v>45902</v>
      </c>
      <c r="C55" s="1" t="n">
        <v>46002</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25583-2024</t>
        </is>
      </c>
      <c r="B56" s="1" t="n">
        <v>45463</v>
      </c>
      <c r="C56" s="1" t="n">
        <v>46002</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55042-2025</t>
        </is>
      </c>
      <c r="B57" s="1" t="n">
        <v>45967.65858796296</v>
      </c>
      <c r="C57" s="1" t="n">
        <v>46002</v>
      </c>
      <c r="D57" t="inlineStr">
        <is>
          <t>VÄSTMANLANDS LÄN</t>
        </is>
      </c>
      <c r="E57" t="inlineStr">
        <is>
          <t>SURAHAMMAR</t>
        </is>
      </c>
      <c r="F57" t="inlineStr">
        <is>
          <t>Sveaskog</t>
        </is>
      </c>
      <c r="G57" t="n">
        <v>7.2</v>
      </c>
      <c r="H57" t="n">
        <v>0</v>
      </c>
      <c r="I57" t="n">
        <v>0</v>
      </c>
      <c r="J57" t="n">
        <v>1</v>
      </c>
      <c r="K57" t="n">
        <v>0</v>
      </c>
      <c r="L57" t="n">
        <v>0</v>
      </c>
      <c r="M57" t="n">
        <v>0</v>
      </c>
      <c r="N57" t="n">
        <v>0</v>
      </c>
      <c r="O57" t="n">
        <v>1</v>
      </c>
      <c r="P57" t="n">
        <v>0</v>
      </c>
      <c r="Q57" t="n">
        <v>1</v>
      </c>
      <c r="R57" s="2" t="inlineStr">
        <is>
          <t>Motaggsvamp</t>
        </is>
      </c>
      <c r="S57">
        <f>HYPERLINK("https://klasma.github.io/Logging_1907/artfynd/A 55042-2025 artfynd.xlsx", "A 55042-2025")</f>
        <v/>
      </c>
      <c r="T57">
        <f>HYPERLINK("https://klasma.github.io/Logging_1907/kartor/A 55042-2025 karta.png", "A 55042-2025")</f>
        <v/>
      </c>
      <c r="V57">
        <f>HYPERLINK("https://klasma.github.io/Logging_1907/klagomål/A 55042-2025 FSC-klagomål.docx", "A 55042-2025")</f>
        <v/>
      </c>
      <c r="W57">
        <f>HYPERLINK("https://klasma.github.io/Logging_1907/klagomålsmail/A 55042-2025 FSC-klagomål mail.docx", "A 55042-2025")</f>
        <v/>
      </c>
      <c r="X57">
        <f>HYPERLINK("https://klasma.github.io/Logging_1907/tillsyn/A 55042-2025 tillsynsbegäran.docx", "A 55042-2025")</f>
        <v/>
      </c>
      <c r="Y57">
        <f>HYPERLINK("https://klasma.github.io/Logging_1907/tillsynsmail/A 55042-2025 tillsynsbegäran mail.docx", "A 55042-2025")</f>
        <v/>
      </c>
    </row>
    <row r="58" ht="15" customHeight="1">
      <c r="A58" t="inlineStr">
        <is>
          <t>A 39099-2022</t>
        </is>
      </c>
      <c r="B58" s="1" t="n">
        <v>44817</v>
      </c>
      <c r="C58" s="1" t="n">
        <v>46002</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46002</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46002</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56768-2025</t>
        </is>
      </c>
      <c r="B61" s="1" t="n">
        <v>45978</v>
      </c>
      <c r="C61" s="1" t="n">
        <v>46002</v>
      </c>
      <c r="D61" t="inlineStr">
        <is>
          <t>VÄSTMANLANDS LÄN</t>
        </is>
      </c>
      <c r="E61" t="inlineStr">
        <is>
          <t>SURAHAMMAR</t>
        </is>
      </c>
      <c r="F61" t="inlineStr">
        <is>
          <t>Sveaskog</t>
        </is>
      </c>
      <c r="G61" t="n">
        <v>3.8</v>
      </c>
      <c r="H61" t="n">
        <v>0</v>
      </c>
      <c r="I61" t="n">
        <v>0</v>
      </c>
      <c r="J61" t="n">
        <v>1</v>
      </c>
      <c r="K61" t="n">
        <v>0</v>
      </c>
      <c r="L61" t="n">
        <v>0</v>
      </c>
      <c r="M61" t="n">
        <v>0</v>
      </c>
      <c r="N61" t="n">
        <v>0</v>
      </c>
      <c r="O61" t="n">
        <v>1</v>
      </c>
      <c r="P61" t="n">
        <v>0</v>
      </c>
      <c r="Q61" t="n">
        <v>1</v>
      </c>
      <c r="R61" s="2" t="inlineStr">
        <is>
          <t>Motaggsvamp</t>
        </is>
      </c>
      <c r="S61">
        <f>HYPERLINK("https://klasma.github.io/Logging_1907/artfynd/A 56768-2025 artfynd.xlsx", "A 56768-2025")</f>
        <v/>
      </c>
      <c r="T61">
        <f>HYPERLINK("https://klasma.github.io/Logging_1907/kartor/A 56768-2025 karta.png", "A 56768-2025")</f>
        <v/>
      </c>
      <c r="V61">
        <f>HYPERLINK("https://klasma.github.io/Logging_1907/klagomål/A 56768-2025 FSC-klagomål.docx", "A 56768-2025")</f>
        <v/>
      </c>
      <c r="W61">
        <f>HYPERLINK("https://klasma.github.io/Logging_1907/klagomålsmail/A 56768-2025 FSC-klagomål mail.docx", "A 56768-2025")</f>
        <v/>
      </c>
      <c r="X61">
        <f>HYPERLINK("https://klasma.github.io/Logging_1907/tillsyn/A 56768-2025 tillsynsbegäran.docx", "A 56768-2025")</f>
        <v/>
      </c>
      <c r="Y61">
        <f>HYPERLINK("https://klasma.github.io/Logging_1907/tillsynsmail/A 56768-2025 tillsynsbegäran mail.docx", "A 56768-2025")</f>
        <v/>
      </c>
    </row>
    <row r="62" ht="15" customHeight="1">
      <c r="A62" t="inlineStr">
        <is>
          <t>A 69777-2021</t>
        </is>
      </c>
      <c r="B62" s="1" t="n">
        <v>44532</v>
      </c>
      <c r="C62" s="1" t="n">
        <v>46002</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46002</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44356-2024</t>
        </is>
      </c>
      <c r="B64" s="1" t="n">
        <v>45573</v>
      </c>
      <c r="C64" s="1" t="n">
        <v>46002</v>
      </c>
      <c r="D64" t="inlineStr">
        <is>
          <t>VÄSTMANLANDS LÄN</t>
        </is>
      </c>
      <c r="E64" t="inlineStr">
        <is>
          <t>SURAHAMMAR</t>
        </is>
      </c>
      <c r="F64" t="inlineStr">
        <is>
          <t>Sveaskog</t>
        </is>
      </c>
      <c r="G64" t="n">
        <v>0.7</v>
      </c>
      <c r="H64" t="n">
        <v>1</v>
      </c>
      <c r="I64" t="n">
        <v>0</v>
      </c>
      <c r="J64" t="n">
        <v>0</v>
      </c>
      <c r="K64" t="n">
        <v>0</v>
      </c>
      <c r="L64" t="n">
        <v>0</v>
      </c>
      <c r="M64" t="n">
        <v>0</v>
      </c>
      <c r="N64" t="n">
        <v>0</v>
      </c>
      <c r="O64" t="n">
        <v>0</v>
      </c>
      <c r="P64" t="n">
        <v>0</v>
      </c>
      <c r="Q64" t="n">
        <v>1</v>
      </c>
      <c r="R64" s="2" t="inlineStr">
        <is>
          <t>Revlummer</t>
        </is>
      </c>
      <c r="S64">
        <f>HYPERLINK("https://klasma.github.io/Logging_1907/artfynd/A 44356-2024 artfynd.xlsx", "A 44356-2024")</f>
        <v/>
      </c>
      <c r="T64">
        <f>HYPERLINK("https://klasma.github.io/Logging_1907/kartor/A 44356-2024 karta.png", "A 44356-2024")</f>
        <v/>
      </c>
      <c r="V64">
        <f>HYPERLINK("https://klasma.github.io/Logging_1907/klagomål/A 44356-2024 FSC-klagomål.docx", "A 44356-2024")</f>
        <v/>
      </c>
      <c r="W64">
        <f>HYPERLINK("https://klasma.github.io/Logging_1907/klagomålsmail/A 44356-2024 FSC-klagomål mail.docx", "A 44356-2024")</f>
        <v/>
      </c>
      <c r="X64">
        <f>HYPERLINK("https://klasma.github.io/Logging_1907/tillsyn/A 44356-2024 tillsynsbegäran.docx", "A 44356-2024")</f>
        <v/>
      </c>
      <c r="Y64">
        <f>HYPERLINK("https://klasma.github.io/Logging_1907/tillsynsmail/A 44356-2024 tillsynsbegäran mail.docx", "A 44356-2024")</f>
        <v/>
      </c>
    </row>
    <row r="65" ht="15" customHeight="1">
      <c r="A65" t="inlineStr">
        <is>
          <t>A 22840-2023</t>
        </is>
      </c>
      <c r="B65" s="1" t="n">
        <v>45072</v>
      </c>
      <c r="C65" s="1" t="n">
        <v>46002</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33231-2024</t>
        </is>
      </c>
      <c r="B66" s="1" t="n">
        <v>45518</v>
      </c>
      <c r="C66" s="1" t="n">
        <v>46002</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14001-2023</t>
        </is>
      </c>
      <c r="B67" s="1" t="n">
        <v>45007</v>
      </c>
      <c r="C67" s="1" t="n">
        <v>46002</v>
      </c>
      <c r="D67" t="inlineStr">
        <is>
          <t>VÄSTMANLANDS LÄN</t>
        </is>
      </c>
      <c r="E67" t="inlineStr">
        <is>
          <t>SURAHAMMAR</t>
        </is>
      </c>
      <c r="F67" t="inlineStr">
        <is>
          <t>Bergvik skog väst AB</t>
        </is>
      </c>
      <c r="G67" t="n">
        <v>1</v>
      </c>
      <c r="H67" t="n">
        <v>0</v>
      </c>
      <c r="I67" t="n">
        <v>0</v>
      </c>
      <c r="J67" t="n">
        <v>1</v>
      </c>
      <c r="K67" t="n">
        <v>0</v>
      </c>
      <c r="L67" t="n">
        <v>0</v>
      </c>
      <c r="M67" t="n">
        <v>0</v>
      </c>
      <c r="N67" t="n">
        <v>0</v>
      </c>
      <c r="O67" t="n">
        <v>1</v>
      </c>
      <c r="P67" t="n">
        <v>0</v>
      </c>
      <c r="Q67" t="n">
        <v>1</v>
      </c>
      <c r="R67" s="2" t="inlineStr">
        <is>
          <t>Motaggsvamp</t>
        </is>
      </c>
      <c r="S67">
        <f>HYPERLINK("https://klasma.github.io/Logging_1907/artfynd/A 14001-2023 artfynd.xlsx", "A 14001-2023")</f>
        <v/>
      </c>
      <c r="T67">
        <f>HYPERLINK("https://klasma.github.io/Logging_1907/kartor/A 14001-2023 karta.png", "A 14001-2023")</f>
        <v/>
      </c>
      <c r="V67">
        <f>HYPERLINK("https://klasma.github.io/Logging_1907/klagomål/A 14001-2023 FSC-klagomål.docx", "A 14001-2023")</f>
        <v/>
      </c>
      <c r="W67">
        <f>HYPERLINK("https://klasma.github.io/Logging_1907/klagomålsmail/A 14001-2023 FSC-klagomål mail.docx", "A 14001-2023")</f>
        <v/>
      </c>
      <c r="X67">
        <f>HYPERLINK("https://klasma.github.io/Logging_1907/tillsyn/A 14001-2023 tillsynsbegäran.docx", "A 14001-2023")</f>
        <v/>
      </c>
      <c r="Y67">
        <f>HYPERLINK("https://klasma.github.io/Logging_1907/tillsynsmail/A 14001-2023 tillsynsbegäran mail.docx", "A 14001-2023")</f>
        <v/>
      </c>
    </row>
    <row r="68" ht="15" customHeight="1">
      <c r="A68" t="inlineStr">
        <is>
          <t>A 13971-2023</t>
        </is>
      </c>
      <c r="B68" s="1" t="n">
        <v>45007</v>
      </c>
      <c r="C68" s="1" t="n">
        <v>46002</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31176-2024</t>
        </is>
      </c>
      <c r="B69" s="1" t="n">
        <v>45503</v>
      </c>
      <c r="C69" s="1" t="n">
        <v>46002</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43451-2024</t>
        </is>
      </c>
      <c r="B70" s="1" t="n">
        <v>45568</v>
      </c>
      <c r="C70" s="1" t="n">
        <v>46002</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1492-2021</t>
        </is>
      </c>
      <c r="B71" s="1" t="n">
        <v>44209</v>
      </c>
      <c r="C71" s="1" t="n">
        <v>46002</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46002</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46002</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46002</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46002</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46002</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46002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46002</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46002</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46002</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46002</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46002</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46002</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66350-2021</t>
        </is>
      </c>
      <c r="B84" s="1" t="n">
        <v>44518</v>
      </c>
      <c r="C84" s="1" t="n">
        <v>46002</v>
      </c>
      <c r="D84" t="inlineStr">
        <is>
          <t>VÄSTMANLANDS LÄN</t>
        </is>
      </c>
      <c r="E84" t="inlineStr">
        <is>
          <t>SURAHAMMAR</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19846-2022</t>
        </is>
      </c>
      <c r="B85" s="1" t="n">
        <v>44696.89327546296</v>
      </c>
      <c r="C85" s="1" t="n">
        <v>46002</v>
      </c>
      <c r="D85" t="inlineStr">
        <is>
          <t>VÄSTMANLANDS LÄN</t>
        </is>
      </c>
      <c r="E85" t="inlineStr">
        <is>
          <t>SURAHAMMAR</t>
        </is>
      </c>
      <c r="F85" t="inlineStr">
        <is>
          <t>Kommuner</t>
        </is>
      </c>
      <c r="G85" t="n">
        <v>3.4</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46002</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46002</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46002</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46002</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48205-2023</t>
        </is>
      </c>
      <c r="B90" s="1" t="n">
        <v>45205</v>
      </c>
      <c r="C90" s="1" t="n">
        <v>46002</v>
      </c>
      <c r="D90" t="inlineStr">
        <is>
          <t>VÄSTMANLANDS LÄN</t>
        </is>
      </c>
      <c r="E90" t="inlineStr">
        <is>
          <t>SURAHAMMAR</t>
        </is>
      </c>
      <c r="F90" t="inlineStr">
        <is>
          <t>Allmännings- och besparingsskogar</t>
        </is>
      </c>
      <c r="G90" t="n">
        <v>7.6</v>
      </c>
      <c r="H90" t="n">
        <v>0</v>
      </c>
      <c r="I90" t="n">
        <v>0</v>
      </c>
      <c r="J90" t="n">
        <v>0</v>
      </c>
      <c r="K90" t="n">
        <v>0</v>
      </c>
      <c r="L90" t="n">
        <v>0</v>
      </c>
      <c r="M90" t="n">
        <v>0</v>
      </c>
      <c r="N90" t="n">
        <v>0</v>
      </c>
      <c r="O90" t="n">
        <v>0</v>
      </c>
      <c r="P90" t="n">
        <v>0</v>
      </c>
      <c r="Q90" t="n">
        <v>0</v>
      </c>
      <c r="R90" s="2" t="inlineStr"/>
    </row>
    <row r="91" ht="15" customHeight="1">
      <c r="A91" t="inlineStr">
        <is>
          <t>A 15743-2023</t>
        </is>
      </c>
      <c r="B91" s="1" t="n">
        <v>45021</v>
      </c>
      <c r="C91" s="1" t="n">
        <v>46002</v>
      </c>
      <c r="D91" t="inlineStr">
        <is>
          <t>VÄSTMANLANDS LÄN</t>
        </is>
      </c>
      <c r="E91" t="inlineStr">
        <is>
          <t>SURAHAMMAR</t>
        </is>
      </c>
      <c r="G91" t="n">
        <v>0.5</v>
      </c>
      <c r="H91" t="n">
        <v>0</v>
      </c>
      <c r="I91" t="n">
        <v>0</v>
      </c>
      <c r="J91" t="n">
        <v>0</v>
      </c>
      <c r="K91" t="n">
        <v>0</v>
      </c>
      <c r="L91" t="n">
        <v>0</v>
      </c>
      <c r="M91" t="n">
        <v>0</v>
      </c>
      <c r="N91" t="n">
        <v>0</v>
      </c>
      <c r="O91" t="n">
        <v>0</v>
      </c>
      <c r="P91" t="n">
        <v>0</v>
      </c>
      <c r="Q91" t="n">
        <v>0</v>
      </c>
      <c r="R91" s="2" t="inlineStr"/>
    </row>
    <row r="92" ht="15" customHeight="1">
      <c r="A92" t="inlineStr">
        <is>
          <t>A 30076-2023</t>
        </is>
      </c>
      <c r="B92" s="1" t="n">
        <v>45110</v>
      </c>
      <c r="C92" s="1" t="n">
        <v>46002</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46002</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46002</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13119-2022</t>
        </is>
      </c>
      <c r="B95" s="1" t="n">
        <v>44643</v>
      </c>
      <c r="C95" s="1" t="n">
        <v>46002</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8553-2023</t>
        </is>
      </c>
      <c r="B96" s="1" t="n">
        <v>44977</v>
      </c>
      <c r="C96" s="1" t="n">
        <v>46002</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19786-2023</t>
        </is>
      </c>
      <c r="B97" s="1" t="n">
        <v>45050</v>
      </c>
      <c r="C97" s="1" t="n">
        <v>46002</v>
      </c>
      <c r="D97" t="inlineStr">
        <is>
          <t>VÄSTMANLANDS LÄN</t>
        </is>
      </c>
      <c r="E97" t="inlineStr">
        <is>
          <t>SURAHAMMAR</t>
        </is>
      </c>
      <c r="F97" t="inlineStr">
        <is>
          <t>Bergvik skog väst AB</t>
        </is>
      </c>
      <c r="G97" t="n">
        <v>8.1</v>
      </c>
      <c r="H97" t="n">
        <v>0</v>
      </c>
      <c r="I97" t="n">
        <v>0</v>
      </c>
      <c r="J97" t="n">
        <v>0</v>
      </c>
      <c r="K97" t="n">
        <v>0</v>
      </c>
      <c r="L97" t="n">
        <v>0</v>
      </c>
      <c r="M97" t="n">
        <v>0</v>
      </c>
      <c r="N97" t="n">
        <v>0</v>
      </c>
      <c r="O97" t="n">
        <v>0</v>
      </c>
      <c r="P97" t="n">
        <v>0</v>
      </c>
      <c r="Q97" t="n">
        <v>0</v>
      </c>
      <c r="R97" s="2" t="inlineStr"/>
    </row>
    <row r="98" ht="15" customHeight="1">
      <c r="A98" t="inlineStr">
        <is>
          <t>A 15739-2023</t>
        </is>
      </c>
      <c r="B98" s="1" t="n">
        <v>45021</v>
      </c>
      <c r="C98" s="1" t="n">
        <v>46002</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7787-2024</t>
        </is>
      </c>
      <c r="B99" s="1" t="n">
        <v>45348</v>
      </c>
      <c r="C99" s="1" t="n">
        <v>46002</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38154-2021</t>
        </is>
      </c>
      <c r="B100" s="1" t="n">
        <v>44405.42373842592</v>
      </c>
      <c r="C100" s="1" t="n">
        <v>46002</v>
      </c>
      <c r="D100" t="inlineStr">
        <is>
          <t>VÄSTMANLANDS LÄN</t>
        </is>
      </c>
      <c r="E100" t="inlineStr">
        <is>
          <t>SURAHAMMAR</t>
        </is>
      </c>
      <c r="F100" t="inlineStr">
        <is>
          <t>Sveaskog</t>
        </is>
      </c>
      <c r="G100" t="n">
        <v>1.3</v>
      </c>
      <c r="H100" t="n">
        <v>0</v>
      </c>
      <c r="I100" t="n">
        <v>0</v>
      </c>
      <c r="J100" t="n">
        <v>0</v>
      </c>
      <c r="K100" t="n">
        <v>0</v>
      </c>
      <c r="L100" t="n">
        <v>0</v>
      </c>
      <c r="M100" t="n">
        <v>0</v>
      </c>
      <c r="N100" t="n">
        <v>0</v>
      </c>
      <c r="O100" t="n">
        <v>0</v>
      </c>
      <c r="P100" t="n">
        <v>0</v>
      </c>
      <c r="Q100" t="n">
        <v>0</v>
      </c>
      <c r="R100" s="2" t="inlineStr"/>
    </row>
    <row r="101" ht="15" customHeight="1">
      <c r="A101" t="inlineStr">
        <is>
          <t>A 34582-2025</t>
        </is>
      </c>
      <c r="B101" s="1" t="n">
        <v>45846</v>
      </c>
      <c r="C101" s="1" t="n">
        <v>46002</v>
      </c>
      <c r="D101" t="inlineStr">
        <is>
          <t>VÄSTMANLANDS LÄN</t>
        </is>
      </c>
      <c r="E101" t="inlineStr">
        <is>
          <t>SURAHAMMAR</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46002</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42088-2025</t>
        </is>
      </c>
      <c r="B103" s="1" t="n">
        <v>45902</v>
      </c>
      <c r="C103" s="1" t="n">
        <v>46002</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41576-2022</t>
        </is>
      </c>
      <c r="B104" s="1" t="n">
        <v>44826</v>
      </c>
      <c r="C104" s="1" t="n">
        <v>46002</v>
      </c>
      <c r="D104" t="inlineStr">
        <is>
          <t>VÄSTMANLANDS LÄN</t>
        </is>
      </c>
      <c r="E104" t="inlineStr">
        <is>
          <t>SURAHAMMAR</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31107-2025</t>
        </is>
      </c>
      <c r="B105" s="1" t="n">
        <v>45831</v>
      </c>
      <c r="C105" s="1" t="n">
        <v>46002</v>
      </c>
      <c r="D105" t="inlineStr">
        <is>
          <t>VÄSTMANLANDS LÄN</t>
        </is>
      </c>
      <c r="E105" t="inlineStr">
        <is>
          <t>SURAHAMMAR</t>
        </is>
      </c>
      <c r="F105" t="inlineStr">
        <is>
          <t>Kommuner</t>
        </is>
      </c>
      <c r="G105" t="n">
        <v>1.7</v>
      </c>
      <c r="H105" t="n">
        <v>0</v>
      </c>
      <c r="I105" t="n">
        <v>0</v>
      </c>
      <c r="J105" t="n">
        <v>0</v>
      </c>
      <c r="K105" t="n">
        <v>0</v>
      </c>
      <c r="L105" t="n">
        <v>0</v>
      </c>
      <c r="M105" t="n">
        <v>0</v>
      </c>
      <c r="N105" t="n">
        <v>0</v>
      </c>
      <c r="O105" t="n">
        <v>0</v>
      </c>
      <c r="P105" t="n">
        <v>0</v>
      </c>
      <c r="Q105" t="n">
        <v>0</v>
      </c>
      <c r="R105" s="2" t="inlineStr"/>
    </row>
    <row r="106" ht="15" customHeight="1">
      <c r="A106" t="inlineStr">
        <is>
          <t>A 43249-2025</t>
        </is>
      </c>
      <c r="B106" s="1" t="n">
        <v>45910.55059027778</v>
      </c>
      <c r="C106" s="1" t="n">
        <v>46002</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43255-2025</t>
        </is>
      </c>
      <c r="B107" s="1" t="n">
        <v>45910.55325231481</v>
      </c>
      <c r="C107" s="1" t="n">
        <v>46002</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46002</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33931-2022</t>
        </is>
      </c>
      <c r="B109" s="1" t="n">
        <v>44790.65153935185</v>
      </c>
      <c r="C109" s="1" t="n">
        <v>46002</v>
      </c>
      <c r="D109" t="inlineStr">
        <is>
          <t>VÄSTMANLANDS LÄN</t>
        </is>
      </c>
      <c r="E109" t="inlineStr">
        <is>
          <t>SURAHAMMAR</t>
        </is>
      </c>
      <c r="G109" t="n">
        <v>2.2</v>
      </c>
      <c r="H109" t="n">
        <v>0</v>
      </c>
      <c r="I109" t="n">
        <v>0</v>
      </c>
      <c r="J109" t="n">
        <v>0</v>
      </c>
      <c r="K109" t="n">
        <v>0</v>
      </c>
      <c r="L109" t="n">
        <v>0</v>
      </c>
      <c r="M109" t="n">
        <v>0</v>
      </c>
      <c r="N109" t="n">
        <v>0</v>
      </c>
      <c r="O109" t="n">
        <v>0</v>
      </c>
      <c r="P109" t="n">
        <v>0</v>
      </c>
      <c r="Q109" t="n">
        <v>0</v>
      </c>
      <c r="R109" s="2" t="inlineStr"/>
    </row>
    <row r="110" ht="15" customHeight="1">
      <c r="A110" t="inlineStr">
        <is>
          <t>A 34584-2025</t>
        </is>
      </c>
      <c r="B110" s="1" t="n">
        <v>45846</v>
      </c>
      <c r="C110" s="1" t="n">
        <v>46002</v>
      </c>
      <c r="D110" t="inlineStr">
        <is>
          <t>VÄSTMANLANDS LÄN</t>
        </is>
      </c>
      <c r="E110" t="inlineStr">
        <is>
          <t>SURAHAMMAR</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24158-2023</t>
        </is>
      </c>
      <c r="B111" s="1" t="n">
        <v>45079</v>
      </c>
      <c r="C111" s="1" t="n">
        <v>46002</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32916-2025</t>
        </is>
      </c>
      <c r="B112" s="1" t="n">
        <v>45839</v>
      </c>
      <c r="C112" s="1" t="n">
        <v>46002</v>
      </c>
      <c r="D112" t="inlineStr">
        <is>
          <t>VÄSTMANLANDS LÄN</t>
        </is>
      </c>
      <c r="E112" t="inlineStr">
        <is>
          <t>SURAHAMMAR</t>
        </is>
      </c>
      <c r="F112" t="inlineStr">
        <is>
          <t>Kommuner</t>
        </is>
      </c>
      <c r="G112" t="n">
        <v>4.9</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46002</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46002</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55871-2025</t>
        </is>
      </c>
      <c r="B115" s="1" t="n">
        <v>45973.35452546296</v>
      </c>
      <c r="C115" s="1" t="n">
        <v>46002</v>
      </c>
      <c r="D115" t="inlineStr">
        <is>
          <t>VÄSTMANLANDS LÄN</t>
        </is>
      </c>
      <c r="E115" t="inlineStr">
        <is>
          <t>SURAHAMMAR</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55868-2025</t>
        </is>
      </c>
      <c r="B116" s="1" t="n">
        <v>45973.35263888889</v>
      </c>
      <c r="C116" s="1" t="n">
        <v>46002</v>
      </c>
      <c r="D116" t="inlineStr">
        <is>
          <t>VÄSTMANLANDS LÄN</t>
        </is>
      </c>
      <c r="E116" t="inlineStr">
        <is>
          <t>SURAHAMMAR</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55873-2025</t>
        </is>
      </c>
      <c r="B117" s="1" t="n">
        <v>45973.35608796297</v>
      </c>
      <c r="C117" s="1" t="n">
        <v>46002</v>
      </c>
      <c r="D117" t="inlineStr">
        <is>
          <t>VÄSTMANLANDS LÄN</t>
        </is>
      </c>
      <c r="E117" t="inlineStr">
        <is>
          <t>SURAHAMMAR</t>
        </is>
      </c>
      <c r="F117" t="inlineStr">
        <is>
          <t>Sveaskog</t>
        </is>
      </c>
      <c r="G117" t="n">
        <v>0.5</v>
      </c>
      <c r="H117" t="n">
        <v>0</v>
      </c>
      <c r="I117" t="n">
        <v>0</v>
      </c>
      <c r="J117" t="n">
        <v>0</v>
      </c>
      <c r="K117" t="n">
        <v>0</v>
      </c>
      <c r="L117" t="n">
        <v>0</v>
      </c>
      <c r="M117" t="n">
        <v>0</v>
      </c>
      <c r="N117" t="n">
        <v>0</v>
      </c>
      <c r="O117" t="n">
        <v>0</v>
      </c>
      <c r="P117" t="n">
        <v>0</v>
      </c>
      <c r="Q117" t="n">
        <v>0</v>
      </c>
      <c r="R117" s="2" t="inlineStr"/>
    </row>
    <row r="118" ht="15" customHeight="1">
      <c r="A118" t="inlineStr">
        <is>
          <t>A 55874-2025</t>
        </is>
      </c>
      <c r="B118" s="1" t="n">
        <v>45973.3569212963</v>
      </c>
      <c r="C118" s="1" t="n">
        <v>46002</v>
      </c>
      <c r="D118" t="inlineStr">
        <is>
          <t>VÄSTMANLANDS LÄN</t>
        </is>
      </c>
      <c r="E118" t="inlineStr">
        <is>
          <t>SURAHAMMAR</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35682-2022</t>
        </is>
      </c>
      <c r="B119" s="1" t="n">
        <v>44799.60422453703</v>
      </c>
      <c r="C119" s="1" t="n">
        <v>46002</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46002</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46002</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5567-2022</t>
        </is>
      </c>
      <c r="B122" s="1" t="n">
        <v>44595</v>
      </c>
      <c r="C122" s="1" t="n">
        <v>46002</v>
      </c>
      <c r="D122" t="inlineStr">
        <is>
          <t>VÄSTMANLANDS LÄN</t>
        </is>
      </c>
      <c r="E122" t="inlineStr">
        <is>
          <t>SURAHAMMAR</t>
        </is>
      </c>
      <c r="G122" t="n">
        <v>1.3</v>
      </c>
      <c r="H122" t="n">
        <v>0</v>
      </c>
      <c r="I122" t="n">
        <v>0</v>
      </c>
      <c r="J122" t="n">
        <v>0</v>
      </c>
      <c r="K122" t="n">
        <v>0</v>
      </c>
      <c r="L122" t="n">
        <v>0</v>
      </c>
      <c r="M122" t="n">
        <v>0</v>
      </c>
      <c r="N122" t="n">
        <v>0</v>
      </c>
      <c r="O122" t="n">
        <v>0</v>
      </c>
      <c r="P122" t="n">
        <v>0</v>
      </c>
      <c r="Q122" t="n">
        <v>0</v>
      </c>
      <c r="R122" s="2" t="inlineStr"/>
    </row>
    <row r="123" ht="15" customHeight="1">
      <c r="A123" t="inlineStr">
        <is>
          <t>A 42832-2022</t>
        </is>
      </c>
      <c r="B123" s="1" t="n">
        <v>44832</v>
      </c>
      <c r="C123" s="1" t="n">
        <v>46002</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46002</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46002</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24665-2023</t>
        </is>
      </c>
      <c r="B126" s="1" t="n">
        <v>45084.48592592592</v>
      </c>
      <c r="C126" s="1" t="n">
        <v>46002</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32808-2024</t>
        </is>
      </c>
      <c r="B127" s="1" t="n">
        <v>45516</v>
      </c>
      <c r="C127" s="1" t="n">
        <v>46002</v>
      </c>
      <c r="D127" t="inlineStr">
        <is>
          <t>VÄSTMANLANDS LÄN</t>
        </is>
      </c>
      <c r="E127" t="inlineStr">
        <is>
          <t>SURAHAMMAR</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42841-2022</t>
        </is>
      </c>
      <c r="B128" s="1" t="n">
        <v>44832</v>
      </c>
      <c r="C128" s="1" t="n">
        <v>46002</v>
      </c>
      <c r="D128" t="inlineStr">
        <is>
          <t>VÄSTMANLANDS LÄN</t>
        </is>
      </c>
      <c r="E128" t="inlineStr">
        <is>
          <t>SURAHAMMAR</t>
        </is>
      </c>
      <c r="G128" t="n">
        <v>1.8</v>
      </c>
      <c r="H128" t="n">
        <v>0</v>
      </c>
      <c r="I128" t="n">
        <v>0</v>
      </c>
      <c r="J128" t="n">
        <v>0</v>
      </c>
      <c r="K128" t="n">
        <v>0</v>
      </c>
      <c r="L128" t="n">
        <v>0</v>
      </c>
      <c r="M128" t="n">
        <v>0</v>
      </c>
      <c r="N128" t="n">
        <v>0</v>
      </c>
      <c r="O128" t="n">
        <v>0</v>
      </c>
      <c r="P128" t="n">
        <v>0</v>
      </c>
      <c r="Q128" t="n">
        <v>0</v>
      </c>
      <c r="R128" s="2" t="inlineStr"/>
    </row>
    <row r="129" ht="15" customHeight="1">
      <c r="A129" t="inlineStr">
        <is>
          <t>A 42829-2022</t>
        </is>
      </c>
      <c r="B129" s="1" t="n">
        <v>44832</v>
      </c>
      <c r="C129" s="1" t="n">
        <v>46002</v>
      </c>
      <c r="D129" t="inlineStr">
        <is>
          <t>VÄSTMANLANDS LÄN</t>
        </is>
      </c>
      <c r="E129" t="inlineStr">
        <is>
          <t>SURAHAMMAR</t>
        </is>
      </c>
      <c r="G129" t="n">
        <v>1.6</v>
      </c>
      <c r="H129" t="n">
        <v>0</v>
      </c>
      <c r="I129" t="n">
        <v>0</v>
      </c>
      <c r="J129" t="n">
        <v>0</v>
      </c>
      <c r="K129" t="n">
        <v>0</v>
      </c>
      <c r="L129" t="n">
        <v>0</v>
      </c>
      <c r="M129" t="n">
        <v>0</v>
      </c>
      <c r="N129" t="n">
        <v>0</v>
      </c>
      <c r="O129" t="n">
        <v>0</v>
      </c>
      <c r="P129" t="n">
        <v>0</v>
      </c>
      <c r="Q129" t="n">
        <v>0</v>
      </c>
      <c r="R129" s="2" t="inlineStr"/>
    </row>
    <row r="130" ht="15" customHeight="1">
      <c r="A130" t="inlineStr">
        <is>
          <t>A 2867-2024</t>
        </is>
      </c>
      <c r="B130" s="1" t="n">
        <v>45315</v>
      </c>
      <c r="C130" s="1" t="n">
        <v>46002</v>
      </c>
      <c r="D130" t="inlineStr">
        <is>
          <t>VÄSTMANLANDS LÄN</t>
        </is>
      </c>
      <c r="E130" t="inlineStr">
        <is>
          <t>SURAHAMMAR</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3085-2023</t>
        </is>
      </c>
      <c r="B131" s="1" t="n">
        <v>44946</v>
      </c>
      <c r="C131" s="1" t="n">
        <v>46002</v>
      </c>
      <c r="D131" t="inlineStr">
        <is>
          <t>VÄSTMANLANDS LÄN</t>
        </is>
      </c>
      <c r="E131" t="inlineStr">
        <is>
          <t>SURAHAMMAR</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56541-2025</t>
        </is>
      </c>
      <c r="B132" s="1" t="n">
        <v>45975</v>
      </c>
      <c r="C132" s="1" t="n">
        <v>46002</v>
      </c>
      <c r="D132" t="inlineStr">
        <is>
          <t>VÄSTMANLANDS LÄN</t>
        </is>
      </c>
      <c r="E132" t="inlineStr">
        <is>
          <t>SURAHAMMAR</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59399-2025</t>
        </is>
      </c>
      <c r="B133" s="1" t="n">
        <v>45989</v>
      </c>
      <c r="C133" s="1" t="n">
        <v>46002</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49058-2024</t>
        </is>
      </c>
      <c r="B134" s="1" t="n">
        <v>45594</v>
      </c>
      <c r="C134" s="1" t="n">
        <v>46002</v>
      </c>
      <c r="D134" t="inlineStr">
        <is>
          <t>VÄSTMANLANDS LÄN</t>
        </is>
      </c>
      <c r="E134" t="inlineStr">
        <is>
          <t>SURAHAMMAR</t>
        </is>
      </c>
      <c r="F134" t="inlineStr">
        <is>
          <t>Sveaskog</t>
        </is>
      </c>
      <c r="G134" t="n">
        <v>11.4</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46002</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46002</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20904-2023</t>
        </is>
      </c>
      <c r="B137" s="1" t="n">
        <v>45060</v>
      </c>
      <c r="C137" s="1" t="n">
        <v>46002</v>
      </c>
      <c r="D137" t="inlineStr">
        <is>
          <t>VÄSTMANLANDS LÄN</t>
        </is>
      </c>
      <c r="E137" t="inlineStr">
        <is>
          <t>SURAHAMMAR</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10883-2023</t>
        </is>
      </c>
      <c r="B138" s="1" t="n">
        <v>44991</v>
      </c>
      <c r="C138" s="1" t="n">
        <v>46002</v>
      </c>
      <c r="D138" t="inlineStr">
        <is>
          <t>VÄSTMANLANDS LÄN</t>
        </is>
      </c>
      <c r="E138" t="inlineStr">
        <is>
          <t>SURAHAMMAR</t>
        </is>
      </c>
      <c r="F138" t="inlineStr">
        <is>
          <t>Övriga Aktiebolag</t>
        </is>
      </c>
      <c r="G138" t="n">
        <v>12.5</v>
      </c>
      <c r="H138" t="n">
        <v>0</v>
      </c>
      <c r="I138" t="n">
        <v>0</v>
      </c>
      <c r="J138" t="n">
        <v>0</v>
      </c>
      <c r="K138" t="n">
        <v>0</v>
      </c>
      <c r="L138" t="n">
        <v>0</v>
      </c>
      <c r="M138" t="n">
        <v>0</v>
      </c>
      <c r="N138" t="n">
        <v>0</v>
      </c>
      <c r="O138" t="n">
        <v>0</v>
      </c>
      <c r="P138" t="n">
        <v>0</v>
      </c>
      <c r="Q138" t="n">
        <v>0</v>
      </c>
      <c r="R138" s="2" t="inlineStr"/>
    </row>
    <row r="139" ht="15" customHeight="1">
      <c r="A139" t="inlineStr">
        <is>
          <t>A 2660-2024</t>
        </is>
      </c>
      <c r="B139" s="1" t="n">
        <v>45310</v>
      </c>
      <c r="C139" s="1" t="n">
        <v>46002</v>
      </c>
      <c r="D139" t="inlineStr">
        <is>
          <t>VÄSTMANLANDS LÄN</t>
        </is>
      </c>
      <c r="E139" t="inlineStr">
        <is>
          <t>SURAHAMMAR</t>
        </is>
      </c>
      <c r="G139" t="n">
        <v>2.1</v>
      </c>
      <c r="H139" t="n">
        <v>0</v>
      </c>
      <c r="I139" t="n">
        <v>0</v>
      </c>
      <c r="J139" t="n">
        <v>0</v>
      </c>
      <c r="K139" t="n">
        <v>0</v>
      </c>
      <c r="L139" t="n">
        <v>0</v>
      </c>
      <c r="M139" t="n">
        <v>0</v>
      </c>
      <c r="N139" t="n">
        <v>0</v>
      </c>
      <c r="O139" t="n">
        <v>0</v>
      </c>
      <c r="P139" t="n">
        <v>0</v>
      </c>
      <c r="Q139" t="n">
        <v>0</v>
      </c>
      <c r="R139" s="2" t="inlineStr"/>
    </row>
    <row r="140" ht="15" customHeight="1">
      <c r="A140" t="inlineStr">
        <is>
          <t>A 14626-2023</t>
        </is>
      </c>
      <c r="B140" s="1" t="n">
        <v>45012</v>
      </c>
      <c r="C140" s="1" t="n">
        <v>46002</v>
      </c>
      <c r="D140" t="inlineStr">
        <is>
          <t>VÄSTMANLANDS LÄN</t>
        </is>
      </c>
      <c r="E140" t="inlineStr">
        <is>
          <t>SURAHAMMAR</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37798-2021</t>
        </is>
      </c>
      <c r="B141" s="1" t="n">
        <v>44402</v>
      </c>
      <c r="C141" s="1" t="n">
        <v>46002</v>
      </c>
      <c r="D141" t="inlineStr">
        <is>
          <t>VÄSTMANLANDS LÄN</t>
        </is>
      </c>
      <c r="E141" t="inlineStr">
        <is>
          <t>SURAHAMMAR</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25450-2024</t>
        </is>
      </c>
      <c r="B142" s="1" t="n">
        <v>45463</v>
      </c>
      <c r="C142" s="1" t="n">
        <v>46002</v>
      </c>
      <c r="D142" t="inlineStr">
        <is>
          <t>VÄSTMANLANDS LÄN</t>
        </is>
      </c>
      <c r="E142" t="inlineStr">
        <is>
          <t>SURAHAMMAR</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19782-2023</t>
        </is>
      </c>
      <c r="B143" s="1" t="n">
        <v>45050</v>
      </c>
      <c r="C143" s="1" t="n">
        <v>46002</v>
      </c>
      <c r="D143" t="inlineStr">
        <is>
          <t>VÄSTMANLANDS LÄN</t>
        </is>
      </c>
      <c r="E143" t="inlineStr">
        <is>
          <t>SURAHAMMAR</t>
        </is>
      </c>
      <c r="F143" t="inlineStr">
        <is>
          <t>Bergvik skog väst AB</t>
        </is>
      </c>
      <c r="G143" t="n">
        <v>5.2</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46002</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24167-2024</t>
        </is>
      </c>
      <c r="B145" s="1" t="n">
        <v>45456</v>
      </c>
      <c r="C145" s="1" t="n">
        <v>46002</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56378-2023</t>
        </is>
      </c>
      <c r="B146" s="1" t="n">
        <v>45236</v>
      </c>
      <c r="C146" s="1" t="n">
        <v>46002</v>
      </c>
      <c r="D146" t="inlineStr">
        <is>
          <t>VÄSTMANLANDS LÄN</t>
        </is>
      </c>
      <c r="E146" t="inlineStr">
        <is>
          <t>SURAHAMMAR</t>
        </is>
      </c>
      <c r="F146" t="inlineStr">
        <is>
          <t>Bergvik skog väst AB</t>
        </is>
      </c>
      <c r="G146" t="n">
        <v>4.6</v>
      </c>
      <c r="H146" t="n">
        <v>0</v>
      </c>
      <c r="I146" t="n">
        <v>0</v>
      </c>
      <c r="J146" t="n">
        <v>0</v>
      </c>
      <c r="K146" t="n">
        <v>0</v>
      </c>
      <c r="L146" t="n">
        <v>0</v>
      </c>
      <c r="M146" t="n">
        <v>0</v>
      </c>
      <c r="N146" t="n">
        <v>0</v>
      </c>
      <c r="O146" t="n">
        <v>0</v>
      </c>
      <c r="P146" t="n">
        <v>0</v>
      </c>
      <c r="Q146" t="n">
        <v>0</v>
      </c>
      <c r="R146" s="2" t="inlineStr"/>
    </row>
    <row r="147" ht="15" customHeight="1">
      <c r="A147" t="inlineStr">
        <is>
          <t>A 19099-2022</t>
        </is>
      </c>
      <c r="B147" s="1" t="n">
        <v>44691</v>
      </c>
      <c r="C147" s="1" t="n">
        <v>46002</v>
      </c>
      <c r="D147" t="inlineStr">
        <is>
          <t>VÄSTMANLANDS LÄN</t>
        </is>
      </c>
      <c r="E147" t="inlineStr">
        <is>
          <t>SURAHAMMAR</t>
        </is>
      </c>
      <c r="F147" t="inlineStr">
        <is>
          <t>Övriga Aktiebolag</t>
        </is>
      </c>
      <c r="G147" t="n">
        <v>3.4</v>
      </c>
      <c r="H147" t="n">
        <v>0</v>
      </c>
      <c r="I147" t="n">
        <v>0</v>
      </c>
      <c r="J147" t="n">
        <v>0</v>
      </c>
      <c r="K147" t="n">
        <v>0</v>
      </c>
      <c r="L147" t="n">
        <v>0</v>
      </c>
      <c r="M147" t="n">
        <v>0</v>
      </c>
      <c r="N147" t="n">
        <v>0</v>
      </c>
      <c r="O147" t="n">
        <v>0</v>
      </c>
      <c r="P147" t="n">
        <v>0</v>
      </c>
      <c r="Q147" t="n">
        <v>0</v>
      </c>
      <c r="R147" s="2" t="inlineStr"/>
    </row>
    <row r="148" ht="15" customHeight="1">
      <c r="A148" t="inlineStr">
        <is>
          <t>A 11501-2023</t>
        </is>
      </c>
      <c r="B148" s="1" t="n">
        <v>44991</v>
      </c>
      <c r="C148" s="1" t="n">
        <v>46002</v>
      </c>
      <c r="D148" t="inlineStr">
        <is>
          <t>VÄSTMANLANDS LÄN</t>
        </is>
      </c>
      <c r="E148" t="inlineStr">
        <is>
          <t>SURAHAMMAR</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3818-2022</t>
        </is>
      </c>
      <c r="B149" s="1" t="n">
        <v>44587</v>
      </c>
      <c r="C149" s="1" t="n">
        <v>46002</v>
      </c>
      <c r="D149" t="inlineStr">
        <is>
          <t>VÄSTMANLANDS LÄN</t>
        </is>
      </c>
      <c r="E149" t="inlineStr">
        <is>
          <t>SURAHAMMAR</t>
        </is>
      </c>
      <c r="G149" t="n">
        <v>2.6</v>
      </c>
      <c r="H149" t="n">
        <v>0</v>
      </c>
      <c r="I149" t="n">
        <v>0</v>
      </c>
      <c r="J149" t="n">
        <v>0</v>
      </c>
      <c r="K149" t="n">
        <v>0</v>
      </c>
      <c r="L149" t="n">
        <v>0</v>
      </c>
      <c r="M149" t="n">
        <v>0</v>
      </c>
      <c r="N149" t="n">
        <v>0</v>
      </c>
      <c r="O149" t="n">
        <v>0</v>
      </c>
      <c r="P149" t="n">
        <v>0</v>
      </c>
      <c r="Q149" t="n">
        <v>0</v>
      </c>
      <c r="R149" s="2" t="inlineStr"/>
    </row>
    <row r="150" ht="15" customHeight="1">
      <c r="A150" t="inlineStr">
        <is>
          <t>A 21509-2024</t>
        </is>
      </c>
      <c r="B150" s="1" t="n">
        <v>45441</v>
      </c>
      <c r="C150" s="1" t="n">
        <v>46002</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22662-2023</t>
        </is>
      </c>
      <c r="B151" s="1" t="n">
        <v>45071</v>
      </c>
      <c r="C151" s="1" t="n">
        <v>46002</v>
      </c>
      <c r="D151" t="inlineStr">
        <is>
          <t>VÄSTMANLANDS LÄN</t>
        </is>
      </c>
      <c r="E151" t="inlineStr">
        <is>
          <t>SURAHAMMAR</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16013-2023</t>
        </is>
      </c>
      <c r="B152" s="1" t="n">
        <v>45026</v>
      </c>
      <c r="C152" s="1" t="n">
        <v>46002</v>
      </c>
      <c r="D152" t="inlineStr">
        <is>
          <t>VÄSTMANLANDS LÄN</t>
        </is>
      </c>
      <c r="E152" t="inlineStr">
        <is>
          <t>SURAHAMMAR</t>
        </is>
      </c>
      <c r="G152" t="n">
        <v>3.9</v>
      </c>
      <c r="H152" t="n">
        <v>0</v>
      </c>
      <c r="I152" t="n">
        <v>0</v>
      </c>
      <c r="J152" t="n">
        <v>0</v>
      </c>
      <c r="K152" t="n">
        <v>0</v>
      </c>
      <c r="L152" t="n">
        <v>0</v>
      </c>
      <c r="M152" t="n">
        <v>0</v>
      </c>
      <c r="N152" t="n">
        <v>0</v>
      </c>
      <c r="O152" t="n">
        <v>0</v>
      </c>
      <c r="P152" t="n">
        <v>0</v>
      </c>
      <c r="Q152" t="n">
        <v>0</v>
      </c>
      <c r="R152" s="2" t="inlineStr"/>
    </row>
    <row r="153" ht="15" customHeight="1">
      <c r="A153" t="inlineStr">
        <is>
          <t>A 41555-2022</t>
        </is>
      </c>
      <c r="B153" s="1" t="n">
        <v>44826</v>
      </c>
      <c r="C153" s="1" t="n">
        <v>46002</v>
      </c>
      <c r="D153" t="inlineStr">
        <is>
          <t>VÄSTMANLANDS LÄN</t>
        </is>
      </c>
      <c r="E153" t="inlineStr">
        <is>
          <t>SURAHAMMAR</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46002</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46002</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c r="A156" t="inlineStr">
        <is>
          <t>A 47785-2021</t>
        </is>
      </c>
      <c r="B156" s="1" t="n">
        <v>44448</v>
      </c>
      <c r="C156" s="1" t="n">
        <v>46002</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2025-12-11T10:27:39Z</dcterms:created>
  <dcterms:modified xmlns:dcterms="http://purl.org/dc/terms/" xmlns:xsi="http://www.w3.org/2001/XMLSchema-instance" xsi:type="dcterms:W3CDTF">2025-12-11T10:27:39Z</dcterms:modified>
</cp:coreProperties>
</file>