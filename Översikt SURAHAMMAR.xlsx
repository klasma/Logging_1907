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45882</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45882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45882</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45882</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45882</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45882</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45882</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45882</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45882</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45882</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44798-2024</t>
        </is>
      </c>
      <c r="B17" s="1" t="n">
        <v>45574</v>
      </c>
      <c r="C17" s="1" t="n">
        <v>45882</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14815-2025</t>
        </is>
      </c>
      <c r="B18" s="1" t="n">
        <v>45743.34931712963</v>
      </c>
      <c r="C18" s="1" t="n">
        <v>45882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56299-2021</t>
        </is>
      </c>
      <c r="B19" s="1" t="n">
        <v>44477</v>
      </c>
      <c r="C19" s="1" t="n">
        <v>45882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45882</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45882</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45882</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45882</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45882</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45882</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45882</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8552-2022</t>
        </is>
      </c>
      <c r="B27" s="1" t="n">
        <v>44613</v>
      </c>
      <c r="C27" s="1" t="n">
        <v>45882</v>
      </c>
      <c r="D27" t="inlineStr">
        <is>
          <t>VÄSTMANLANDS LÄN</t>
        </is>
      </c>
      <c r="E27" t="inlineStr">
        <is>
          <t>SURAHAMMAR</t>
        </is>
      </c>
      <c r="F27" t="inlineStr">
        <is>
          <t>Bergvik skog väst AB</t>
        </is>
      </c>
      <c r="G27" t="n">
        <v>3.2</v>
      </c>
      <c r="H27" t="n">
        <v>2</v>
      </c>
      <c r="I27" t="n">
        <v>1</v>
      </c>
      <c r="J27" t="n">
        <v>2</v>
      </c>
      <c r="K27" t="n">
        <v>0</v>
      </c>
      <c r="L27" t="n">
        <v>0</v>
      </c>
      <c r="M27" t="n">
        <v>0</v>
      </c>
      <c r="N27" t="n">
        <v>0</v>
      </c>
      <c r="O27" t="n">
        <v>2</v>
      </c>
      <c r="P27" t="n">
        <v>0</v>
      </c>
      <c r="Q27" t="n">
        <v>3</v>
      </c>
      <c r="R27" s="2" t="inlineStr">
        <is>
          <t>Spillkråka
Talltita
Mindre märgborre</t>
        </is>
      </c>
      <c r="S27">
        <f>HYPERLINK("https://klasma.github.io/Logging_1907/artfynd/A 8552-2022 artfynd.xlsx", "A 8552-2022")</f>
        <v/>
      </c>
      <c r="T27">
        <f>HYPERLINK("https://klasma.github.io/Logging_1907/kartor/A 8552-2022 karta.png", "A 8552-2022")</f>
        <v/>
      </c>
      <c r="V27">
        <f>HYPERLINK("https://klasma.github.io/Logging_1907/klagomål/A 8552-2022 FSC-klagomål.docx", "A 8552-2022")</f>
        <v/>
      </c>
      <c r="W27">
        <f>HYPERLINK("https://klasma.github.io/Logging_1907/klagomålsmail/A 8552-2022 FSC-klagomål mail.docx", "A 8552-2022")</f>
        <v/>
      </c>
      <c r="X27">
        <f>HYPERLINK("https://klasma.github.io/Logging_1907/tillsyn/A 8552-2022 tillsynsbegäran.docx", "A 8552-2022")</f>
        <v/>
      </c>
      <c r="Y27">
        <f>HYPERLINK("https://klasma.github.io/Logging_1907/tillsynsmail/A 8552-2022 tillsynsbegäran mail.docx", "A 8552-2022")</f>
        <v/>
      </c>
      <c r="Z27">
        <f>HYPERLINK("https://klasma.github.io/Logging_1907/fåglar/A 8552-2022 prioriterade fågelarter.docx", "A 8552-2022")</f>
        <v/>
      </c>
    </row>
    <row r="28" ht="15" customHeight="1">
      <c r="A28" t="inlineStr">
        <is>
          <t>A 42860-2022</t>
        </is>
      </c>
      <c r="B28" s="1" t="n">
        <v>44832</v>
      </c>
      <c r="C28" s="1" t="n">
        <v>45882</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42708-2022</t>
        </is>
      </c>
      <c r="B29" s="1" t="n">
        <v>44832</v>
      </c>
      <c r="C29" s="1" t="n">
        <v>45882</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20391-2024</t>
        </is>
      </c>
      <c r="B30" s="1" t="n">
        <v>45435</v>
      </c>
      <c r="C30" s="1" t="n">
        <v>45882</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42853-2022</t>
        </is>
      </c>
      <c r="B31" s="1" t="n">
        <v>44832</v>
      </c>
      <c r="C31" s="1" t="n">
        <v>45882</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45882</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45882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45882</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45882</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45882</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45882</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45882</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45882</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45882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45882</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45882</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45882</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17632-2022</t>
        </is>
      </c>
      <c r="B44" s="1" t="n">
        <v>44680</v>
      </c>
      <c r="C44" s="1" t="n">
        <v>45882</v>
      </c>
      <c r="D44" t="inlineStr">
        <is>
          <t>VÄSTMANLANDS LÄN</t>
        </is>
      </c>
      <c r="E44" t="inlineStr">
        <is>
          <t>SURAHAMMAR</t>
        </is>
      </c>
      <c r="G44" t="n">
        <v>5.2</v>
      </c>
      <c r="H44" t="n">
        <v>0</v>
      </c>
      <c r="I44" t="n">
        <v>1</v>
      </c>
      <c r="J44" t="n">
        <v>0</v>
      </c>
      <c r="K44" t="n">
        <v>0</v>
      </c>
      <c r="L44" t="n">
        <v>0</v>
      </c>
      <c r="M44" t="n">
        <v>0</v>
      </c>
      <c r="N44" t="n">
        <v>0</v>
      </c>
      <c r="O44" t="n">
        <v>0</v>
      </c>
      <c r="P44" t="n">
        <v>0</v>
      </c>
      <c r="Q44" t="n">
        <v>1</v>
      </c>
      <c r="R44" s="2" t="inlineStr">
        <is>
          <t>Blodticka</t>
        </is>
      </c>
      <c r="S44">
        <f>HYPERLINK("https://klasma.github.io/Logging_1907/artfynd/A 17632-2022 artfynd.xlsx", "A 17632-2022")</f>
        <v/>
      </c>
      <c r="T44">
        <f>HYPERLINK("https://klasma.github.io/Logging_1907/kartor/A 17632-2022 karta.png", "A 17632-2022")</f>
        <v/>
      </c>
      <c r="V44">
        <f>HYPERLINK("https://klasma.github.io/Logging_1907/klagomål/A 17632-2022 FSC-klagomål.docx", "A 17632-2022")</f>
        <v/>
      </c>
      <c r="W44">
        <f>HYPERLINK("https://klasma.github.io/Logging_1907/klagomålsmail/A 17632-2022 FSC-klagomål mail.docx", "A 17632-2022")</f>
        <v/>
      </c>
      <c r="X44">
        <f>HYPERLINK("https://klasma.github.io/Logging_1907/tillsyn/A 17632-2022 tillsynsbegäran.docx", "A 17632-2022")</f>
        <v/>
      </c>
      <c r="Y44">
        <f>HYPERLINK("https://klasma.github.io/Logging_1907/tillsynsmail/A 17632-2022 tillsynsbegäran mail.docx", "A 17632-2022")</f>
        <v/>
      </c>
    </row>
    <row r="45" ht="15" customHeight="1">
      <c r="A45" t="inlineStr">
        <is>
          <t>A 30074-2023</t>
        </is>
      </c>
      <c r="B45" s="1" t="n">
        <v>45110</v>
      </c>
      <c r="C45" s="1" t="n">
        <v>45882</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31176-2024</t>
        </is>
      </c>
      <c r="B46" s="1" t="n">
        <v>45503</v>
      </c>
      <c r="C46" s="1" t="n">
        <v>45882</v>
      </c>
      <c r="D46" t="inlineStr">
        <is>
          <t>VÄSTMANLANDS LÄN</t>
        </is>
      </c>
      <c r="E46" t="inlineStr">
        <is>
          <t>SURAHAMMAR</t>
        </is>
      </c>
      <c r="F46" t="inlineStr">
        <is>
          <t>Allmännings- och besparingsskogar</t>
        </is>
      </c>
      <c r="G46" t="n">
        <v>10.7</v>
      </c>
      <c r="H46" t="n">
        <v>0</v>
      </c>
      <c r="I46" t="n">
        <v>0</v>
      </c>
      <c r="J46" t="n">
        <v>1</v>
      </c>
      <c r="K46" t="n">
        <v>0</v>
      </c>
      <c r="L46" t="n">
        <v>0</v>
      </c>
      <c r="M46" t="n">
        <v>0</v>
      </c>
      <c r="N46" t="n">
        <v>0</v>
      </c>
      <c r="O46" t="n">
        <v>1</v>
      </c>
      <c r="P46" t="n">
        <v>0</v>
      </c>
      <c r="Q46" t="n">
        <v>1</v>
      </c>
      <c r="R46" s="2" t="inlineStr">
        <is>
          <t>Doftskinn</t>
        </is>
      </c>
      <c r="S46">
        <f>HYPERLINK("https://klasma.github.io/Logging_1907/artfynd/A 31176-2024 artfynd.xlsx", "A 31176-2024")</f>
        <v/>
      </c>
      <c r="T46">
        <f>HYPERLINK("https://klasma.github.io/Logging_1907/kartor/A 31176-2024 karta.png", "A 31176-2024")</f>
        <v/>
      </c>
      <c r="V46">
        <f>HYPERLINK("https://klasma.github.io/Logging_1907/klagomål/A 31176-2024 FSC-klagomål.docx", "A 31176-2024")</f>
        <v/>
      </c>
      <c r="W46">
        <f>HYPERLINK("https://klasma.github.io/Logging_1907/klagomålsmail/A 31176-2024 FSC-klagomål mail.docx", "A 31176-2024")</f>
        <v/>
      </c>
      <c r="X46">
        <f>HYPERLINK("https://klasma.github.io/Logging_1907/tillsyn/A 31176-2024 tillsynsbegäran.docx", "A 31176-2024")</f>
        <v/>
      </c>
      <c r="Y46">
        <f>HYPERLINK("https://klasma.github.io/Logging_1907/tillsynsmail/A 31176-2024 tillsynsbegäran mail.docx", "A 31176-2024")</f>
        <v/>
      </c>
    </row>
    <row r="47" ht="15" customHeight="1">
      <c r="A47" t="inlineStr">
        <is>
          <t>A 40411-2021</t>
        </is>
      </c>
      <c r="B47" s="1" t="n">
        <v>44419</v>
      </c>
      <c r="C47" s="1" t="n">
        <v>45882</v>
      </c>
      <c r="D47" t="inlineStr">
        <is>
          <t>VÄSTMANLANDS LÄN</t>
        </is>
      </c>
      <c r="E47" t="inlineStr">
        <is>
          <t>SURAHAMMAR</t>
        </is>
      </c>
      <c r="F47" t="inlineStr">
        <is>
          <t>Sveaskog</t>
        </is>
      </c>
      <c r="G47" t="n">
        <v>2.4</v>
      </c>
      <c r="H47" t="n">
        <v>1</v>
      </c>
      <c r="I47" t="n">
        <v>0</v>
      </c>
      <c r="J47" t="n">
        <v>0</v>
      </c>
      <c r="K47" t="n">
        <v>0</v>
      </c>
      <c r="L47" t="n">
        <v>0</v>
      </c>
      <c r="M47" t="n">
        <v>0</v>
      </c>
      <c r="N47" t="n">
        <v>0</v>
      </c>
      <c r="O47" t="n">
        <v>0</v>
      </c>
      <c r="P47" t="n">
        <v>0</v>
      </c>
      <c r="Q47" t="n">
        <v>1</v>
      </c>
      <c r="R47" s="2" t="inlineStr">
        <is>
          <t>Kopparödla</t>
        </is>
      </c>
      <c r="S47">
        <f>HYPERLINK("https://klasma.github.io/Logging_1907/artfynd/A 40411-2021 artfynd.xlsx", "A 40411-2021")</f>
        <v/>
      </c>
      <c r="T47">
        <f>HYPERLINK("https://klasma.github.io/Logging_1907/kartor/A 40411-2021 karta.png", "A 40411-2021")</f>
        <v/>
      </c>
      <c r="V47">
        <f>HYPERLINK("https://klasma.github.io/Logging_1907/klagomål/A 40411-2021 FSC-klagomål.docx", "A 40411-2021")</f>
        <v/>
      </c>
      <c r="W47">
        <f>HYPERLINK("https://klasma.github.io/Logging_1907/klagomålsmail/A 40411-2021 FSC-klagomål mail.docx", "A 40411-2021")</f>
        <v/>
      </c>
      <c r="X47">
        <f>HYPERLINK("https://klasma.github.io/Logging_1907/tillsyn/A 40411-2021 tillsynsbegäran.docx", "A 40411-2021")</f>
        <v/>
      </c>
      <c r="Y47">
        <f>HYPERLINK("https://klasma.github.io/Logging_1907/tillsynsmail/A 40411-2021 tillsynsbegäran mail.docx", "A 40411-2021")</f>
        <v/>
      </c>
    </row>
    <row r="48" ht="15" customHeight="1">
      <c r="A48" t="inlineStr">
        <is>
          <t>A 44355-2024</t>
        </is>
      </c>
      <c r="B48" s="1" t="n">
        <v>45573</v>
      </c>
      <c r="C48" s="1" t="n">
        <v>45882</v>
      </c>
      <c r="D48" t="inlineStr">
        <is>
          <t>VÄSTMANLANDS LÄN</t>
        </is>
      </c>
      <c r="E48" t="inlineStr">
        <is>
          <t>SURAHAMMAR</t>
        </is>
      </c>
      <c r="F48" t="inlineStr">
        <is>
          <t>Sveaskog</t>
        </is>
      </c>
      <c r="G48" t="n">
        <v>3.5</v>
      </c>
      <c r="H48" t="n">
        <v>1</v>
      </c>
      <c r="I48" t="n">
        <v>0</v>
      </c>
      <c r="J48" t="n">
        <v>0</v>
      </c>
      <c r="K48" t="n">
        <v>0</v>
      </c>
      <c r="L48" t="n">
        <v>0</v>
      </c>
      <c r="M48" t="n">
        <v>0</v>
      </c>
      <c r="N48" t="n">
        <v>0</v>
      </c>
      <c r="O48" t="n">
        <v>0</v>
      </c>
      <c r="P48" t="n">
        <v>0</v>
      </c>
      <c r="Q48" t="n">
        <v>1</v>
      </c>
      <c r="R48" s="2" t="inlineStr">
        <is>
          <t>Revlummer</t>
        </is>
      </c>
      <c r="S48">
        <f>HYPERLINK("https://klasma.github.io/Logging_1907/artfynd/A 44355-2024 artfynd.xlsx", "A 44355-2024")</f>
        <v/>
      </c>
      <c r="T48">
        <f>HYPERLINK("https://klasma.github.io/Logging_1907/kartor/A 44355-2024 karta.png", "A 44355-2024")</f>
        <v/>
      </c>
      <c r="V48">
        <f>HYPERLINK("https://klasma.github.io/Logging_1907/klagomål/A 44355-2024 FSC-klagomål.docx", "A 44355-2024")</f>
        <v/>
      </c>
      <c r="W48">
        <f>HYPERLINK("https://klasma.github.io/Logging_1907/klagomålsmail/A 44355-2024 FSC-klagomål mail.docx", "A 44355-2024")</f>
        <v/>
      </c>
      <c r="X48">
        <f>HYPERLINK("https://klasma.github.io/Logging_1907/tillsyn/A 44355-2024 tillsynsbegäran.docx", "A 44355-2024")</f>
        <v/>
      </c>
      <c r="Y48">
        <f>HYPERLINK("https://klasma.github.io/Logging_1907/tillsynsmail/A 44355-2024 tillsynsbegäran mail.docx", "A 44355-2024")</f>
        <v/>
      </c>
    </row>
    <row r="49" ht="15" customHeight="1">
      <c r="A49" t="inlineStr">
        <is>
          <t>A 43451-2024</t>
        </is>
      </c>
      <c r="B49" s="1" t="n">
        <v>45568</v>
      </c>
      <c r="C49" s="1" t="n">
        <v>45882</v>
      </c>
      <c r="D49" t="inlineStr">
        <is>
          <t>VÄSTMANLANDS LÄN</t>
        </is>
      </c>
      <c r="E49" t="inlineStr">
        <is>
          <t>SURAHAMMAR</t>
        </is>
      </c>
      <c r="F49" t="inlineStr">
        <is>
          <t>Bergvik skog väst AB</t>
        </is>
      </c>
      <c r="G49" t="n">
        <v>2.9</v>
      </c>
      <c r="H49" t="n">
        <v>0</v>
      </c>
      <c r="I49" t="n">
        <v>0</v>
      </c>
      <c r="J49" t="n">
        <v>1</v>
      </c>
      <c r="K49" t="n">
        <v>0</v>
      </c>
      <c r="L49" t="n">
        <v>0</v>
      </c>
      <c r="M49" t="n">
        <v>0</v>
      </c>
      <c r="N49" t="n">
        <v>0</v>
      </c>
      <c r="O49" t="n">
        <v>1</v>
      </c>
      <c r="P49" t="n">
        <v>0</v>
      </c>
      <c r="Q49" t="n">
        <v>1</v>
      </c>
      <c r="R49" s="2" t="inlineStr">
        <is>
          <t>Ullticka</t>
        </is>
      </c>
      <c r="S49">
        <f>HYPERLINK("https://klasma.github.io/Logging_1907/artfynd/A 43451-2024 artfynd.xlsx", "A 43451-2024")</f>
        <v/>
      </c>
      <c r="T49">
        <f>HYPERLINK("https://klasma.github.io/Logging_1907/kartor/A 43451-2024 karta.png", "A 43451-2024")</f>
        <v/>
      </c>
      <c r="V49">
        <f>HYPERLINK("https://klasma.github.io/Logging_1907/klagomål/A 43451-2024 FSC-klagomål.docx", "A 43451-2024")</f>
        <v/>
      </c>
      <c r="W49">
        <f>HYPERLINK("https://klasma.github.io/Logging_1907/klagomålsmail/A 43451-2024 FSC-klagomål mail.docx", "A 43451-2024")</f>
        <v/>
      </c>
      <c r="X49">
        <f>HYPERLINK("https://klasma.github.io/Logging_1907/tillsyn/A 43451-2024 tillsynsbegäran.docx", "A 43451-2024")</f>
        <v/>
      </c>
      <c r="Y49">
        <f>HYPERLINK("https://klasma.github.io/Logging_1907/tillsynsmail/A 43451-2024 tillsynsbegäran mail.docx", "A 43451-2024")</f>
        <v/>
      </c>
    </row>
    <row r="50" ht="15" customHeight="1">
      <c r="A50" t="inlineStr">
        <is>
          <t>A 21716-2025</t>
        </is>
      </c>
      <c r="B50" s="1" t="n">
        <v>45783.54804398148</v>
      </c>
      <c r="C50" s="1" t="n">
        <v>45882</v>
      </c>
      <c r="D50" t="inlineStr">
        <is>
          <t>VÄSTMANLANDS LÄN</t>
        </is>
      </c>
      <c r="E50" t="inlineStr">
        <is>
          <t>SURAHAMMAR</t>
        </is>
      </c>
      <c r="F50" t="inlineStr">
        <is>
          <t>Allmännings- och besparingsskogar</t>
        </is>
      </c>
      <c r="G50" t="n">
        <v>21.1</v>
      </c>
      <c r="H50" t="n">
        <v>1</v>
      </c>
      <c r="I50" t="n">
        <v>0</v>
      </c>
      <c r="J50" t="n">
        <v>1</v>
      </c>
      <c r="K50" t="n">
        <v>0</v>
      </c>
      <c r="L50" t="n">
        <v>0</v>
      </c>
      <c r="M50" t="n">
        <v>0</v>
      </c>
      <c r="N50" t="n">
        <v>0</v>
      </c>
      <c r="O50" t="n">
        <v>1</v>
      </c>
      <c r="P50" t="n">
        <v>0</v>
      </c>
      <c r="Q50" t="n">
        <v>1</v>
      </c>
      <c r="R50" s="2" t="inlineStr">
        <is>
          <t>Spillkråka</t>
        </is>
      </c>
      <c r="S50">
        <f>HYPERLINK("https://klasma.github.io/Logging_1907/artfynd/A 21716-2025 artfynd.xlsx", "A 21716-2025")</f>
        <v/>
      </c>
      <c r="T50">
        <f>HYPERLINK("https://klasma.github.io/Logging_1907/kartor/A 21716-2025 karta.png",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56362-2023</t>
        </is>
      </c>
      <c r="B51" s="1" t="n">
        <v>45236</v>
      </c>
      <c r="C51" s="1" t="n">
        <v>45882</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44356-2024</t>
        </is>
      </c>
      <c r="B52" s="1" t="n">
        <v>45573</v>
      </c>
      <c r="C52" s="1" t="n">
        <v>45882</v>
      </c>
      <c r="D52" t="inlineStr">
        <is>
          <t>VÄSTMANLANDS LÄN</t>
        </is>
      </c>
      <c r="E52" t="inlineStr">
        <is>
          <t>SURAHAMMAR</t>
        </is>
      </c>
      <c r="F52" t="inlineStr">
        <is>
          <t>Sveaskog</t>
        </is>
      </c>
      <c r="G52" t="n">
        <v>0.7</v>
      </c>
      <c r="H52" t="n">
        <v>1</v>
      </c>
      <c r="I52" t="n">
        <v>0</v>
      </c>
      <c r="J52" t="n">
        <v>0</v>
      </c>
      <c r="K52" t="n">
        <v>0</v>
      </c>
      <c r="L52" t="n">
        <v>0</v>
      </c>
      <c r="M52" t="n">
        <v>0</v>
      </c>
      <c r="N52" t="n">
        <v>0</v>
      </c>
      <c r="O52" t="n">
        <v>0</v>
      </c>
      <c r="P52" t="n">
        <v>0</v>
      </c>
      <c r="Q52" t="n">
        <v>1</v>
      </c>
      <c r="R52" s="2" t="inlineStr">
        <is>
          <t>Revlummer</t>
        </is>
      </c>
      <c r="S52">
        <f>HYPERLINK("https://klasma.github.io/Logging_1907/artfynd/A 44356-2024 artfynd.xlsx", "A 44356-2024")</f>
        <v/>
      </c>
      <c r="T52">
        <f>HYPERLINK("https://klasma.github.io/Logging_1907/kartor/A 44356-2024 karta.png", "A 44356-2024")</f>
        <v/>
      </c>
      <c r="V52">
        <f>HYPERLINK("https://klasma.github.io/Logging_1907/klagomål/A 44356-2024 FSC-klagomål.docx", "A 44356-2024")</f>
        <v/>
      </c>
      <c r="W52">
        <f>HYPERLINK("https://klasma.github.io/Logging_1907/klagomålsmail/A 44356-2024 FSC-klagomål mail.docx", "A 44356-2024")</f>
        <v/>
      </c>
      <c r="X52">
        <f>HYPERLINK("https://klasma.github.io/Logging_1907/tillsyn/A 44356-2024 tillsynsbegäran.docx", "A 44356-2024")</f>
        <v/>
      </c>
      <c r="Y52">
        <f>HYPERLINK("https://klasma.github.io/Logging_1907/tillsynsmail/A 44356-2024 tillsynsbegäran mail.docx", "A 44356-2024")</f>
        <v/>
      </c>
    </row>
    <row r="53" ht="15" customHeight="1">
      <c r="A53" t="inlineStr">
        <is>
          <t>A 47453-2024</t>
        </is>
      </c>
      <c r="B53" s="1" t="n">
        <v>45587.55017361111</v>
      </c>
      <c r="C53" s="1" t="n">
        <v>45882</v>
      </c>
      <c r="D53" t="inlineStr">
        <is>
          <t>VÄSTMANLANDS LÄN</t>
        </is>
      </c>
      <c r="E53" t="inlineStr">
        <is>
          <t>SURAHAMMAR</t>
        </is>
      </c>
      <c r="G53" t="n">
        <v>5.1</v>
      </c>
      <c r="H53" t="n">
        <v>1</v>
      </c>
      <c r="I53" t="n">
        <v>0</v>
      </c>
      <c r="J53" t="n">
        <v>0</v>
      </c>
      <c r="K53" t="n">
        <v>0</v>
      </c>
      <c r="L53" t="n">
        <v>0</v>
      </c>
      <c r="M53" t="n">
        <v>0</v>
      </c>
      <c r="N53" t="n">
        <v>0</v>
      </c>
      <c r="O53" t="n">
        <v>0</v>
      </c>
      <c r="P53" t="n">
        <v>0</v>
      </c>
      <c r="Q53" t="n">
        <v>1</v>
      </c>
      <c r="R53" s="2" t="inlineStr">
        <is>
          <t>Göktyta</t>
        </is>
      </c>
      <c r="S53">
        <f>HYPERLINK("https://klasma.github.io/Logging_1907/artfynd/A 47453-2024 artfynd.xlsx", "A 47453-2024")</f>
        <v/>
      </c>
      <c r="T53">
        <f>HYPERLINK("https://klasma.github.io/Logging_1907/kartor/A 47453-2024 karta.png", "A 47453-2024")</f>
        <v/>
      </c>
      <c r="V53">
        <f>HYPERLINK("https://klasma.github.io/Logging_1907/klagomål/A 47453-2024 FSC-klagomål.docx", "A 47453-2024")</f>
        <v/>
      </c>
      <c r="W53">
        <f>HYPERLINK("https://klasma.github.io/Logging_1907/klagomålsmail/A 47453-2024 FSC-klagomål mail.docx", "A 47453-2024")</f>
        <v/>
      </c>
      <c r="X53">
        <f>HYPERLINK("https://klasma.github.io/Logging_1907/tillsyn/A 47453-2024 tillsynsbegäran.docx", "A 47453-2024")</f>
        <v/>
      </c>
      <c r="Y53">
        <f>HYPERLINK("https://klasma.github.io/Logging_1907/tillsynsmail/A 47453-2024 tillsynsbegäran mail.docx", "A 47453-2024")</f>
        <v/>
      </c>
      <c r="Z53">
        <f>HYPERLINK("https://klasma.github.io/Logging_1907/fåglar/A 47453-2024 prioriterade fågelarter.docx", "A 47453-2024")</f>
        <v/>
      </c>
    </row>
    <row r="54" ht="15" customHeight="1">
      <c r="A54" t="inlineStr">
        <is>
          <t>A 25583-2024</t>
        </is>
      </c>
      <c r="B54" s="1" t="n">
        <v>45463</v>
      </c>
      <c r="C54" s="1" t="n">
        <v>45882</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22840-2023</t>
        </is>
      </c>
      <c r="B55" s="1" t="n">
        <v>45072</v>
      </c>
      <c r="C55" s="1" t="n">
        <v>45882</v>
      </c>
      <c r="D55" t="inlineStr">
        <is>
          <t>VÄSTMANLANDS LÄN</t>
        </is>
      </c>
      <c r="E55" t="inlineStr">
        <is>
          <t>SURAHAMMAR</t>
        </is>
      </c>
      <c r="G55" t="n">
        <v>4.3</v>
      </c>
      <c r="H55" t="n">
        <v>1</v>
      </c>
      <c r="I55" t="n">
        <v>0</v>
      </c>
      <c r="J55" t="n">
        <v>0</v>
      </c>
      <c r="K55" t="n">
        <v>0</v>
      </c>
      <c r="L55" t="n">
        <v>0</v>
      </c>
      <c r="M55" t="n">
        <v>0</v>
      </c>
      <c r="N55" t="n">
        <v>0</v>
      </c>
      <c r="O55" t="n">
        <v>0</v>
      </c>
      <c r="P55" t="n">
        <v>0</v>
      </c>
      <c r="Q55" t="n">
        <v>1</v>
      </c>
      <c r="R55" s="2" t="inlineStr">
        <is>
          <t>Fläcknycklar</t>
        </is>
      </c>
      <c r="S55">
        <f>HYPERLINK("https://klasma.github.io/Logging_1907/artfynd/A 22840-2023 artfynd.xlsx", "A 22840-2023")</f>
        <v/>
      </c>
      <c r="T55">
        <f>HYPERLINK("https://klasma.github.io/Logging_1907/kartor/A 22840-2023 karta.png", "A 22840-2023")</f>
        <v/>
      </c>
      <c r="V55">
        <f>HYPERLINK("https://klasma.github.io/Logging_1907/klagomål/A 22840-2023 FSC-klagomål.docx", "A 22840-2023")</f>
        <v/>
      </c>
      <c r="W55">
        <f>HYPERLINK("https://klasma.github.io/Logging_1907/klagomålsmail/A 22840-2023 FSC-klagomål mail.docx", "A 22840-2023")</f>
        <v/>
      </c>
      <c r="X55">
        <f>HYPERLINK("https://klasma.github.io/Logging_1907/tillsyn/A 22840-2023 tillsynsbegäran.docx", "A 22840-2023")</f>
        <v/>
      </c>
      <c r="Y55">
        <f>HYPERLINK("https://klasma.github.io/Logging_1907/tillsynsmail/A 22840-2023 tillsynsbegäran mail.docx", "A 22840-2023")</f>
        <v/>
      </c>
    </row>
    <row r="56" ht="15" customHeight="1">
      <c r="A56" t="inlineStr">
        <is>
          <t>A 33231-2024</t>
        </is>
      </c>
      <c r="B56" s="1" t="n">
        <v>45518</v>
      </c>
      <c r="C56" s="1" t="n">
        <v>45882</v>
      </c>
      <c r="D56" t="inlineStr">
        <is>
          <t>VÄSTMANLANDS LÄN</t>
        </is>
      </c>
      <c r="E56" t="inlineStr">
        <is>
          <t>SURAHAMMAR</t>
        </is>
      </c>
      <c r="F56" t="inlineStr">
        <is>
          <t>Bergvik skog väst AB</t>
        </is>
      </c>
      <c r="G56" t="n">
        <v>1.5</v>
      </c>
      <c r="H56" t="n">
        <v>1</v>
      </c>
      <c r="I56" t="n">
        <v>0</v>
      </c>
      <c r="J56" t="n">
        <v>0</v>
      </c>
      <c r="K56" t="n">
        <v>0</v>
      </c>
      <c r="L56" t="n">
        <v>0</v>
      </c>
      <c r="M56" t="n">
        <v>0</v>
      </c>
      <c r="N56" t="n">
        <v>0</v>
      </c>
      <c r="O56" t="n">
        <v>0</v>
      </c>
      <c r="P56" t="n">
        <v>0</v>
      </c>
      <c r="Q56" t="n">
        <v>1</v>
      </c>
      <c r="R56" s="2" t="inlineStr">
        <is>
          <t>Mindre vattensalamander</t>
        </is>
      </c>
      <c r="S56">
        <f>HYPERLINK("https://klasma.github.io/Logging_1907/artfynd/A 33231-2024 artfynd.xlsx", "A 33231-2024")</f>
        <v/>
      </c>
      <c r="T56">
        <f>HYPERLINK("https://klasma.github.io/Logging_1907/kartor/A 33231-2024 karta.png", "A 33231-2024")</f>
        <v/>
      </c>
      <c r="V56">
        <f>HYPERLINK("https://klasma.github.io/Logging_1907/klagomål/A 33231-2024 FSC-klagomål.docx", "A 33231-2024")</f>
        <v/>
      </c>
      <c r="W56">
        <f>HYPERLINK("https://klasma.github.io/Logging_1907/klagomålsmail/A 33231-2024 FSC-klagomål mail.docx", "A 33231-2024")</f>
        <v/>
      </c>
      <c r="X56">
        <f>HYPERLINK("https://klasma.github.io/Logging_1907/tillsyn/A 33231-2024 tillsynsbegäran.docx", "A 33231-2024")</f>
        <v/>
      </c>
      <c r="Y56">
        <f>HYPERLINK("https://klasma.github.io/Logging_1907/tillsynsmail/A 33231-2024 tillsynsbegäran mail.docx", "A 33231-2024")</f>
        <v/>
      </c>
    </row>
    <row r="57" ht="15" customHeight="1">
      <c r="A57" t="inlineStr">
        <is>
          <t>A 62097-2024</t>
        </is>
      </c>
      <c r="B57" s="1" t="n">
        <v>45646</v>
      </c>
      <c r="C57" s="1" t="n">
        <v>45882</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13788-2025</t>
        </is>
      </c>
      <c r="B58" s="1" t="n">
        <v>45737.45327546296</v>
      </c>
      <c r="C58" s="1" t="n">
        <v>45882</v>
      </c>
      <c r="D58" t="inlineStr">
        <is>
          <t>VÄSTMANLANDS LÄN</t>
        </is>
      </c>
      <c r="E58" t="inlineStr">
        <is>
          <t>SURAHAMMAR</t>
        </is>
      </c>
      <c r="G58" t="n">
        <v>9.699999999999999</v>
      </c>
      <c r="H58" t="n">
        <v>1</v>
      </c>
      <c r="I58" t="n">
        <v>0</v>
      </c>
      <c r="J58" t="n">
        <v>0</v>
      </c>
      <c r="K58" t="n">
        <v>0</v>
      </c>
      <c r="L58" t="n">
        <v>0</v>
      </c>
      <c r="M58" t="n">
        <v>0</v>
      </c>
      <c r="N58" t="n">
        <v>0</v>
      </c>
      <c r="O58" t="n">
        <v>0</v>
      </c>
      <c r="P58" t="n">
        <v>0</v>
      </c>
      <c r="Q58" t="n">
        <v>1</v>
      </c>
      <c r="R58" s="2" t="inlineStr">
        <is>
          <t>Sparvuggla</t>
        </is>
      </c>
      <c r="S58">
        <f>HYPERLINK("https://klasma.github.io/Logging_1907/artfynd/A 13788-2025 artfynd.xlsx", "A 13788-2025")</f>
        <v/>
      </c>
      <c r="T58">
        <f>HYPERLINK("https://klasma.github.io/Logging_1907/kartor/A 13788-2025 karta.png", "A 13788-2025")</f>
        <v/>
      </c>
      <c r="V58">
        <f>HYPERLINK("https://klasma.github.io/Logging_1907/klagomål/A 13788-2025 FSC-klagomål.docx", "A 13788-2025")</f>
        <v/>
      </c>
      <c r="W58">
        <f>HYPERLINK("https://klasma.github.io/Logging_1907/klagomålsmail/A 13788-2025 FSC-klagomål mail.docx", "A 13788-2025")</f>
        <v/>
      </c>
      <c r="X58">
        <f>HYPERLINK("https://klasma.github.io/Logging_1907/tillsyn/A 13788-2025 tillsynsbegäran.docx", "A 13788-2025")</f>
        <v/>
      </c>
      <c r="Y58">
        <f>HYPERLINK("https://klasma.github.io/Logging_1907/tillsynsmail/A 13788-2025 tillsynsbegäran mail.docx", "A 13788-2025")</f>
        <v/>
      </c>
      <c r="Z58">
        <f>HYPERLINK("https://klasma.github.io/Logging_1907/fåglar/A 13788-2025 prioriterade fågelarter.docx", "A 13788-2025")</f>
        <v/>
      </c>
    </row>
    <row r="59" ht="15" customHeight="1">
      <c r="A59" t="inlineStr">
        <is>
          <t>A 45735-2024</t>
        </is>
      </c>
      <c r="B59" s="1" t="n">
        <v>45579</v>
      </c>
      <c r="C59" s="1" t="n">
        <v>45882</v>
      </c>
      <c r="D59" t="inlineStr">
        <is>
          <t>VÄSTMANLANDS LÄN</t>
        </is>
      </c>
      <c r="E59" t="inlineStr">
        <is>
          <t>SURAHAMMAR</t>
        </is>
      </c>
      <c r="F59" t="inlineStr">
        <is>
          <t>Sveaskog</t>
        </is>
      </c>
      <c r="G59" t="n">
        <v>13.5</v>
      </c>
      <c r="H59" t="n">
        <v>1</v>
      </c>
      <c r="I59" t="n">
        <v>0</v>
      </c>
      <c r="J59" t="n">
        <v>0</v>
      </c>
      <c r="K59" t="n">
        <v>0</v>
      </c>
      <c r="L59" t="n">
        <v>0</v>
      </c>
      <c r="M59" t="n">
        <v>0</v>
      </c>
      <c r="N59" t="n">
        <v>0</v>
      </c>
      <c r="O59" t="n">
        <v>0</v>
      </c>
      <c r="P59" t="n">
        <v>0</v>
      </c>
      <c r="Q59" t="n">
        <v>1</v>
      </c>
      <c r="R59" s="2" t="inlineStr">
        <is>
          <t>Revlummer</t>
        </is>
      </c>
      <c r="S59">
        <f>HYPERLINK("https://klasma.github.io/Logging_1907/artfynd/A 45735-2024 artfynd.xlsx", "A 45735-2024")</f>
        <v/>
      </c>
      <c r="T59">
        <f>HYPERLINK("https://klasma.github.io/Logging_1907/kartor/A 45735-2024 karta.png", "A 45735-2024")</f>
        <v/>
      </c>
      <c r="V59">
        <f>HYPERLINK("https://klasma.github.io/Logging_1907/klagomål/A 45735-2024 FSC-klagomål.docx", "A 45735-2024")</f>
        <v/>
      </c>
      <c r="W59">
        <f>HYPERLINK("https://klasma.github.io/Logging_1907/klagomålsmail/A 45735-2024 FSC-klagomål mail.docx", "A 45735-2024")</f>
        <v/>
      </c>
      <c r="X59">
        <f>HYPERLINK("https://klasma.github.io/Logging_1907/tillsyn/A 45735-2024 tillsynsbegäran.docx", "A 45735-2024")</f>
        <v/>
      </c>
      <c r="Y59">
        <f>HYPERLINK("https://klasma.github.io/Logging_1907/tillsynsmail/A 45735-2024 tillsynsbegäran mail.docx", "A 45735-2024")</f>
        <v/>
      </c>
    </row>
    <row r="60" ht="15" customHeight="1">
      <c r="A60" t="inlineStr">
        <is>
          <t>A 39099-2022</t>
        </is>
      </c>
      <c r="B60" s="1" t="n">
        <v>44817</v>
      </c>
      <c r="C60" s="1" t="n">
        <v>45882</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45882</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45882</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14001-2023</t>
        </is>
      </c>
      <c r="B63" s="1" t="n">
        <v>45007</v>
      </c>
      <c r="C63" s="1" t="n">
        <v>45882</v>
      </c>
      <c r="D63" t="inlineStr">
        <is>
          <t>VÄSTMANLANDS LÄN</t>
        </is>
      </c>
      <c r="E63" t="inlineStr">
        <is>
          <t>SURAHAMMAR</t>
        </is>
      </c>
      <c r="F63" t="inlineStr">
        <is>
          <t>Bergvik skog väst AB</t>
        </is>
      </c>
      <c r="G63" t="n">
        <v>1</v>
      </c>
      <c r="H63" t="n">
        <v>0</v>
      </c>
      <c r="I63" t="n">
        <v>0</v>
      </c>
      <c r="J63" t="n">
        <v>1</v>
      </c>
      <c r="K63" t="n">
        <v>0</v>
      </c>
      <c r="L63" t="n">
        <v>0</v>
      </c>
      <c r="M63" t="n">
        <v>0</v>
      </c>
      <c r="N63" t="n">
        <v>0</v>
      </c>
      <c r="O63" t="n">
        <v>1</v>
      </c>
      <c r="P63" t="n">
        <v>0</v>
      </c>
      <c r="Q63" t="n">
        <v>1</v>
      </c>
      <c r="R63" s="2" t="inlineStr">
        <is>
          <t>Motaggsvamp</t>
        </is>
      </c>
      <c r="S63">
        <f>HYPERLINK("https://klasma.github.io/Logging_1907/artfynd/A 14001-2023 artfynd.xlsx", "A 14001-2023")</f>
        <v/>
      </c>
      <c r="T63">
        <f>HYPERLINK("https://klasma.github.io/Logging_1907/kartor/A 14001-2023 karta.png", "A 14001-2023")</f>
        <v/>
      </c>
      <c r="V63">
        <f>HYPERLINK("https://klasma.github.io/Logging_1907/klagomål/A 14001-2023 FSC-klagomål.docx", "A 14001-2023")</f>
        <v/>
      </c>
      <c r="W63">
        <f>HYPERLINK("https://klasma.github.io/Logging_1907/klagomålsmail/A 14001-2023 FSC-klagomål mail.docx", "A 14001-2023")</f>
        <v/>
      </c>
      <c r="X63">
        <f>HYPERLINK("https://klasma.github.io/Logging_1907/tillsyn/A 14001-2023 tillsynsbegäran.docx", "A 14001-2023")</f>
        <v/>
      </c>
      <c r="Y63">
        <f>HYPERLINK("https://klasma.github.io/Logging_1907/tillsynsmail/A 14001-2023 tillsynsbegäran mail.docx", "A 14001-2023")</f>
        <v/>
      </c>
    </row>
    <row r="64" ht="15" customHeight="1">
      <c r="A64" t="inlineStr">
        <is>
          <t>A 69777-2021</t>
        </is>
      </c>
      <c r="B64" s="1" t="n">
        <v>44532</v>
      </c>
      <c r="C64" s="1" t="n">
        <v>45882</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13971-2023</t>
        </is>
      </c>
      <c r="B65" s="1" t="n">
        <v>45007</v>
      </c>
      <c r="C65" s="1" t="n">
        <v>45882</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43177-2020</t>
        </is>
      </c>
      <c r="B66" s="1" t="n">
        <v>44081</v>
      </c>
      <c r="C66" s="1" t="n">
        <v>45882</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45882</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45882</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45882</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45882</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45882</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45882</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45882</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45882</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45882</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45882</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45882</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45882</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67611-2021</t>
        </is>
      </c>
      <c r="B79" s="1" t="n">
        <v>44524</v>
      </c>
      <c r="C79" s="1" t="n">
        <v>45882</v>
      </c>
      <c r="D79" t="inlineStr">
        <is>
          <t>VÄSTMANLANDS LÄN</t>
        </is>
      </c>
      <c r="E79" t="inlineStr">
        <is>
          <t>SURAHAMMAR</t>
        </is>
      </c>
      <c r="F79" t="inlineStr">
        <is>
          <t>Kommuner</t>
        </is>
      </c>
      <c r="G79" t="n">
        <v>3.8</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45882</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45882</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45882</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45882</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66342-2021</t>
        </is>
      </c>
      <c r="B84" s="1" t="n">
        <v>44518</v>
      </c>
      <c r="C84" s="1" t="n">
        <v>45882</v>
      </c>
      <c r="D84" t="inlineStr">
        <is>
          <t>VÄSTMANLANDS LÄN</t>
        </is>
      </c>
      <c r="E84" t="inlineStr">
        <is>
          <t>SURAHAMMAR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34957-2022</t>
        </is>
      </c>
      <c r="B85" s="1" t="n">
        <v>44796.64672453704</v>
      </c>
      <c r="C85" s="1" t="n">
        <v>45882</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45882</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45882</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52076-2020</t>
        </is>
      </c>
      <c r="B88" s="1" t="n">
        <v>44117</v>
      </c>
      <c r="C88" s="1" t="n">
        <v>45882</v>
      </c>
      <c r="D88" t="inlineStr">
        <is>
          <t>VÄSTMANLANDS LÄN</t>
        </is>
      </c>
      <c r="E88" t="inlineStr">
        <is>
          <t>SURAHAMMAR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43590-2020</t>
        </is>
      </c>
      <c r="B89" s="1" t="n">
        <v>44082</v>
      </c>
      <c r="C89" s="1" t="n">
        <v>45882</v>
      </c>
      <c r="D89" t="inlineStr">
        <is>
          <t>VÄSTMANLANDS LÄN</t>
        </is>
      </c>
      <c r="E89" t="inlineStr">
        <is>
          <t>SURAHAMMAR</t>
        </is>
      </c>
      <c r="F89" t="inlineStr">
        <is>
          <t>Sveaskog</t>
        </is>
      </c>
      <c r="G89" t="n">
        <v>2.1</v>
      </c>
      <c r="H89" t="n">
        <v>0</v>
      </c>
      <c r="I89" t="n">
        <v>0</v>
      </c>
      <c r="J89" t="n">
        <v>0</v>
      </c>
      <c r="K89" t="n">
        <v>0</v>
      </c>
      <c r="L89" t="n">
        <v>0</v>
      </c>
      <c r="M89" t="n">
        <v>0</v>
      </c>
      <c r="N89" t="n">
        <v>0</v>
      </c>
      <c r="O89" t="n">
        <v>0</v>
      </c>
      <c r="P89" t="n">
        <v>0</v>
      </c>
      <c r="Q89" t="n">
        <v>0</v>
      </c>
      <c r="R89" s="2" t="inlineStr"/>
    </row>
    <row r="90" ht="15" customHeight="1">
      <c r="A90" t="inlineStr">
        <is>
          <t>A 59543-2020</t>
        </is>
      </c>
      <c r="B90" s="1" t="n">
        <v>44148</v>
      </c>
      <c r="C90" s="1" t="n">
        <v>45882</v>
      </c>
      <c r="D90" t="inlineStr">
        <is>
          <t>VÄSTMANLANDS LÄN</t>
        </is>
      </c>
      <c r="E90" t="inlineStr">
        <is>
          <t>SURAHAMMAR</t>
        </is>
      </c>
      <c r="G90" t="n">
        <v>1.3</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45882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66350-2021</t>
        </is>
      </c>
      <c r="B92" s="1" t="n">
        <v>44518</v>
      </c>
      <c r="C92" s="1" t="n">
        <v>45882</v>
      </c>
      <c r="D92" t="inlineStr">
        <is>
          <t>VÄSTMANLANDS LÄN</t>
        </is>
      </c>
      <c r="E92" t="inlineStr">
        <is>
          <t>SURAHAMMAR</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2867-2024</t>
        </is>
      </c>
      <c r="B93" s="1" t="n">
        <v>45315</v>
      </c>
      <c r="C93" s="1" t="n">
        <v>45882</v>
      </c>
      <c r="D93" t="inlineStr">
        <is>
          <t>VÄSTMANLANDS LÄN</t>
        </is>
      </c>
      <c r="E93" t="inlineStr">
        <is>
          <t>SURAHAMMAR</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44358-2024</t>
        </is>
      </c>
      <c r="B94" s="1" t="n">
        <v>45573</v>
      </c>
      <c r="C94" s="1" t="n">
        <v>45882</v>
      </c>
      <c r="D94" t="inlineStr">
        <is>
          <t>VÄSTMANLANDS LÄN</t>
        </is>
      </c>
      <c r="E94" t="inlineStr">
        <is>
          <t>SURAHAMMAR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44359-2024</t>
        </is>
      </c>
      <c r="B95" s="1" t="n">
        <v>45573</v>
      </c>
      <c r="C95" s="1" t="n">
        <v>45882</v>
      </c>
      <c r="D95" t="inlineStr">
        <is>
          <t>VÄSTMANLANDS LÄN</t>
        </is>
      </c>
      <c r="E95" t="inlineStr">
        <is>
          <t>SURAHAMMAR</t>
        </is>
      </c>
      <c r="F95" t="inlineStr">
        <is>
          <t>Sveaskog</t>
        </is>
      </c>
      <c r="G95" t="n">
        <v>2.7</v>
      </c>
      <c r="H95" t="n">
        <v>0</v>
      </c>
      <c r="I95" t="n">
        <v>0</v>
      </c>
      <c r="J95" t="n">
        <v>0</v>
      </c>
      <c r="K95" t="n">
        <v>0</v>
      </c>
      <c r="L95" t="n">
        <v>0</v>
      </c>
      <c r="M95" t="n">
        <v>0</v>
      </c>
      <c r="N95" t="n">
        <v>0</v>
      </c>
      <c r="O95" t="n">
        <v>0</v>
      </c>
      <c r="P95" t="n">
        <v>0</v>
      </c>
      <c r="Q95" t="n">
        <v>0</v>
      </c>
      <c r="R95" s="2" t="inlineStr"/>
    </row>
    <row r="96" ht="15" customHeight="1">
      <c r="A96" t="inlineStr">
        <is>
          <t>A 3085-2023</t>
        </is>
      </c>
      <c r="B96" s="1" t="n">
        <v>44946</v>
      </c>
      <c r="C96" s="1" t="n">
        <v>45882</v>
      </c>
      <c r="D96" t="inlineStr">
        <is>
          <t>VÄSTMANLANDS LÄN</t>
        </is>
      </c>
      <c r="E96" t="inlineStr">
        <is>
          <t>SURAHAMMAR</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45882</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48205-2023</t>
        </is>
      </c>
      <c r="B98" s="1" t="n">
        <v>45205</v>
      </c>
      <c r="C98" s="1" t="n">
        <v>45882</v>
      </c>
      <c r="D98" t="inlineStr">
        <is>
          <t>VÄSTMANLANDS LÄN</t>
        </is>
      </c>
      <c r="E98" t="inlineStr">
        <is>
          <t>SURAHAMMAR</t>
        </is>
      </c>
      <c r="F98" t="inlineStr">
        <is>
          <t>Allmännings- och besparingsskogar</t>
        </is>
      </c>
      <c r="G98" t="n">
        <v>7.6</v>
      </c>
      <c r="H98" t="n">
        <v>0</v>
      </c>
      <c r="I98" t="n">
        <v>0</v>
      </c>
      <c r="J98" t="n">
        <v>0</v>
      </c>
      <c r="K98" t="n">
        <v>0</v>
      </c>
      <c r="L98" t="n">
        <v>0</v>
      </c>
      <c r="M98" t="n">
        <v>0</v>
      </c>
      <c r="N98" t="n">
        <v>0</v>
      </c>
      <c r="O98" t="n">
        <v>0</v>
      </c>
      <c r="P98" t="n">
        <v>0</v>
      </c>
      <c r="Q98" t="n">
        <v>0</v>
      </c>
      <c r="R98" s="2" t="inlineStr"/>
    </row>
    <row r="99" ht="15" customHeight="1">
      <c r="A99" t="inlineStr">
        <is>
          <t>A 15743-2023</t>
        </is>
      </c>
      <c r="B99" s="1" t="n">
        <v>45021</v>
      </c>
      <c r="C99" s="1" t="n">
        <v>45882</v>
      </c>
      <c r="D99" t="inlineStr">
        <is>
          <t>VÄSTMANLANDS LÄN</t>
        </is>
      </c>
      <c r="E99" t="inlineStr">
        <is>
          <t>SURAHAMMAR</t>
        </is>
      </c>
      <c r="G99" t="n">
        <v>0.5</v>
      </c>
      <c r="H99" t="n">
        <v>0</v>
      </c>
      <c r="I99" t="n">
        <v>0</v>
      </c>
      <c r="J99" t="n">
        <v>0</v>
      </c>
      <c r="K99" t="n">
        <v>0</v>
      </c>
      <c r="L99" t="n">
        <v>0</v>
      </c>
      <c r="M99" t="n">
        <v>0</v>
      </c>
      <c r="N99" t="n">
        <v>0</v>
      </c>
      <c r="O99" t="n">
        <v>0</v>
      </c>
      <c r="P99" t="n">
        <v>0</v>
      </c>
      <c r="Q99" t="n">
        <v>0</v>
      </c>
      <c r="R99" s="2" t="inlineStr"/>
    </row>
    <row r="100" ht="15" customHeight="1">
      <c r="A100" t="inlineStr">
        <is>
          <t>A 30076-2023</t>
        </is>
      </c>
      <c r="B100" s="1" t="n">
        <v>45110</v>
      </c>
      <c r="C100" s="1" t="n">
        <v>45882</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22662-2023</t>
        </is>
      </c>
      <c r="B101" s="1" t="n">
        <v>45071</v>
      </c>
      <c r="C101" s="1" t="n">
        <v>45882</v>
      </c>
      <c r="D101" t="inlineStr">
        <is>
          <t>VÄSTMANLANDS LÄN</t>
        </is>
      </c>
      <c r="E101" t="inlineStr">
        <is>
          <t>SURAHAMMAR</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16013-2023</t>
        </is>
      </c>
      <c r="B102" s="1" t="n">
        <v>45026</v>
      </c>
      <c r="C102" s="1" t="n">
        <v>45882</v>
      </c>
      <c r="D102" t="inlineStr">
        <is>
          <t>VÄSTMANLANDS LÄN</t>
        </is>
      </c>
      <c r="E102" t="inlineStr">
        <is>
          <t>SURAHAMMAR</t>
        </is>
      </c>
      <c r="G102" t="n">
        <v>3.9</v>
      </c>
      <c r="H102" t="n">
        <v>0</v>
      </c>
      <c r="I102" t="n">
        <v>0</v>
      </c>
      <c r="J102" t="n">
        <v>0</v>
      </c>
      <c r="K102" t="n">
        <v>0</v>
      </c>
      <c r="L102" t="n">
        <v>0</v>
      </c>
      <c r="M102" t="n">
        <v>0</v>
      </c>
      <c r="N102" t="n">
        <v>0</v>
      </c>
      <c r="O102" t="n">
        <v>0</v>
      </c>
      <c r="P102" t="n">
        <v>0</v>
      </c>
      <c r="Q102" t="n">
        <v>0</v>
      </c>
      <c r="R102" s="2" t="inlineStr"/>
    </row>
    <row r="103" ht="15" customHeight="1">
      <c r="A103" t="inlineStr">
        <is>
          <t>A 16608-2022</t>
        </is>
      </c>
      <c r="B103" s="1" t="n">
        <v>44672</v>
      </c>
      <c r="C103" s="1" t="n">
        <v>45882</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15637-2022</t>
        </is>
      </c>
      <c r="B104" s="1" t="n">
        <v>44662.89638888889</v>
      </c>
      <c r="C104" s="1" t="n">
        <v>45882</v>
      </c>
      <c r="D104" t="inlineStr">
        <is>
          <t>VÄSTMANLANDS LÄN</t>
        </is>
      </c>
      <c r="E104" t="inlineStr">
        <is>
          <t>SURAHAMMAR</t>
        </is>
      </c>
      <c r="G104" t="n">
        <v>2.2</v>
      </c>
      <c r="H104" t="n">
        <v>0</v>
      </c>
      <c r="I104" t="n">
        <v>0</v>
      </c>
      <c r="J104" t="n">
        <v>0</v>
      </c>
      <c r="K104" t="n">
        <v>0</v>
      </c>
      <c r="L104" t="n">
        <v>0</v>
      </c>
      <c r="M104" t="n">
        <v>0</v>
      </c>
      <c r="N104" t="n">
        <v>0</v>
      </c>
      <c r="O104" t="n">
        <v>0</v>
      </c>
      <c r="P104" t="n">
        <v>0</v>
      </c>
      <c r="Q104" t="n">
        <v>0</v>
      </c>
      <c r="R104" s="2" t="inlineStr"/>
    </row>
    <row r="105" ht="15" customHeight="1">
      <c r="A105" t="inlineStr">
        <is>
          <t>A 49058-2024</t>
        </is>
      </c>
      <c r="B105" s="1" t="n">
        <v>45594</v>
      </c>
      <c r="C105" s="1" t="n">
        <v>45882</v>
      </c>
      <c r="D105" t="inlineStr">
        <is>
          <t>VÄSTMANLANDS LÄN</t>
        </is>
      </c>
      <c r="E105" t="inlineStr">
        <is>
          <t>SURAHAMMAR</t>
        </is>
      </c>
      <c r="F105" t="inlineStr">
        <is>
          <t>Sveaskog</t>
        </is>
      </c>
      <c r="G105" t="n">
        <v>11.4</v>
      </c>
      <c r="H105" t="n">
        <v>0</v>
      </c>
      <c r="I105" t="n">
        <v>0</v>
      </c>
      <c r="J105" t="n">
        <v>0</v>
      </c>
      <c r="K105" t="n">
        <v>0</v>
      </c>
      <c r="L105" t="n">
        <v>0</v>
      </c>
      <c r="M105" t="n">
        <v>0</v>
      </c>
      <c r="N105" t="n">
        <v>0</v>
      </c>
      <c r="O105" t="n">
        <v>0</v>
      </c>
      <c r="P105" t="n">
        <v>0</v>
      </c>
      <c r="Q105" t="n">
        <v>0</v>
      </c>
      <c r="R105" s="2" t="inlineStr"/>
    </row>
    <row r="106" ht="15" customHeight="1">
      <c r="A106" t="inlineStr">
        <is>
          <t>A 49060-2024</t>
        </is>
      </c>
      <c r="B106" s="1" t="n">
        <v>45594</v>
      </c>
      <c r="C106" s="1" t="n">
        <v>45882</v>
      </c>
      <c r="D106" t="inlineStr">
        <is>
          <t>VÄSTMANLANDS LÄN</t>
        </is>
      </c>
      <c r="E106" t="inlineStr">
        <is>
          <t>SURAHAMMAR</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41555-2022</t>
        </is>
      </c>
      <c r="B107" s="1" t="n">
        <v>44826</v>
      </c>
      <c r="C107" s="1" t="n">
        <v>45882</v>
      </c>
      <c r="D107" t="inlineStr">
        <is>
          <t>VÄSTMANLANDS LÄN</t>
        </is>
      </c>
      <c r="E107" t="inlineStr">
        <is>
          <t>SURAHAMMAR</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13119-2022</t>
        </is>
      </c>
      <c r="B108" s="1" t="n">
        <v>44643</v>
      </c>
      <c r="C108" s="1" t="n">
        <v>45882</v>
      </c>
      <c r="D108" t="inlineStr">
        <is>
          <t>VÄSTMANLANDS LÄN</t>
        </is>
      </c>
      <c r="E108" t="inlineStr">
        <is>
          <t>SURAHAMMAR</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8553-2023</t>
        </is>
      </c>
      <c r="B109" s="1" t="n">
        <v>44977</v>
      </c>
      <c r="C109" s="1" t="n">
        <v>45882</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34955-2022</t>
        </is>
      </c>
      <c r="B110" s="1" t="n">
        <v>44796</v>
      </c>
      <c r="C110" s="1" t="n">
        <v>45882</v>
      </c>
      <c r="D110" t="inlineStr">
        <is>
          <t>VÄSTMANLANDS LÄN</t>
        </is>
      </c>
      <c r="E110" t="inlineStr">
        <is>
          <t>SURAHAMMAR</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19786-2023</t>
        </is>
      </c>
      <c r="B111" s="1" t="n">
        <v>45050</v>
      </c>
      <c r="C111" s="1" t="n">
        <v>45882</v>
      </c>
      <c r="D111" t="inlineStr">
        <is>
          <t>VÄSTMANLANDS LÄN</t>
        </is>
      </c>
      <c r="E111" t="inlineStr">
        <is>
          <t>SURAHAMMAR</t>
        </is>
      </c>
      <c r="F111" t="inlineStr">
        <is>
          <t>Bergvik skog väst AB</t>
        </is>
      </c>
      <c r="G111" t="n">
        <v>8.1</v>
      </c>
      <c r="H111" t="n">
        <v>0</v>
      </c>
      <c r="I111" t="n">
        <v>0</v>
      </c>
      <c r="J111" t="n">
        <v>0</v>
      </c>
      <c r="K111" t="n">
        <v>0</v>
      </c>
      <c r="L111" t="n">
        <v>0</v>
      </c>
      <c r="M111" t="n">
        <v>0</v>
      </c>
      <c r="N111" t="n">
        <v>0</v>
      </c>
      <c r="O111" t="n">
        <v>0</v>
      </c>
      <c r="P111" t="n">
        <v>0</v>
      </c>
      <c r="Q111" t="n">
        <v>0</v>
      </c>
      <c r="R111" s="2" t="inlineStr"/>
    </row>
    <row r="112" ht="15" customHeight="1">
      <c r="A112" t="inlineStr">
        <is>
          <t>A 25780-2023</t>
        </is>
      </c>
      <c r="B112" s="1" t="n">
        <v>45090.47523148148</v>
      </c>
      <c r="C112" s="1" t="n">
        <v>45882</v>
      </c>
      <c r="D112" t="inlineStr">
        <is>
          <t>VÄSTMANLANDS LÄN</t>
        </is>
      </c>
      <c r="E112" t="inlineStr">
        <is>
          <t>SURAHAMMAR</t>
        </is>
      </c>
      <c r="G112" t="n">
        <v>2.8</v>
      </c>
      <c r="H112" t="n">
        <v>0</v>
      </c>
      <c r="I112" t="n">
        <v>0</v>
      </c>
      <c r="J112" t="n">
        <v>0</v>
      </c>
      <c r="K112" t="n">
        <v>0</v>
      </c>
      <c r="L112" t="n">
        <v>0</v>
      </c>
      <c r="M112" t="n">
        <v>0</v>
      </c>
      <c r="N112" t="n">
        <v>0</v>
      </c>
      <c r="O112" t="n">
        <v>0</v>
      </c>
      <c r="P112" t="n">
        <v>0</v>
      </c>
      <c r="Q112" t="n">
        <v>0</v>
      </c>
      <c r="R112" s="2" t="inlineStr"/>
    </row>
    <row r="113" ht="15" customHeight="1">
      <c r="A113" t="inlineStr">
        <is>
          <t>A 44357-2024</t>
        </is>
      </c>
      <c r="B113" s="1" t="n">
        <v>45573</v>
      </c>
      <c r="C113" s="1" t="n">
        <v>45882</v>
      </c>
      <c r="D113" t="inlineStr">
        <is>
          <t>VÄSTMANLANDS LÄN</t>
        </is>
      </c>
      <c r="E113" t="inlineStr">
        <is>
          <t>SURAHAMMAR</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20904-2023</t>
        </is>
      </c>
      <c r="B114" s="1" t="n">
        <v>45060</v>
      </c>
      <c r="C114" s="1" t="n">
        <v>45882</v>
      </c>
      <c r="D114" t="inlineStr">
        <is>
          <t>VÄSTMANLANDS LÄN</t>
        </is>
      </c>
      <c r="E114" t="inlineStr">
        <is>
          <t>SURAHAMMAR</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10883-2023</t>
        </is>
      </c>
      <c r="B115" s="1" t="n">
        <v>44991</v>
      </c>
      <c r="C115" s="1" t="n">
        <v>45882</v>
      </c>
      <c r="D115" t="inlineStr">
        <is>
          <t>VÄSTMANLANDS LÄN</t>
        </is>
      </c>
      <c r="E115" t="inlineStr">
        <is>
          <t>SURAHAMMAR</t>
        </is>
      </c>
      <c r="F115" t="inlineStr">
        <is>
          <t>Övriga Aktiebolag</t>
        </is>
      </c>
      <c r="G115" t="n">
        <v>12.5</v>
      </c>
      <c r="H115" t="n">
        <v>0</v>
      </c>
      <c r="I115" t="n">
        <v>0</v>
      </c>
      <c r="J115" t="n">
        <v>0</v>
      </c>
      <c r="K115" t="n">
        <v>0</v>
      </c>
      <c r="L115" t="n">
        <v>0</v>
      </c>
      <c r="M115" t="n">
        <v>0</v>
      </c>
      <c r="N115" t="n">
        <v>0</v>
      </c>
      <c r="O115" t="n">
        <v>0</v>
      </c>
      <c r="P115" t="n">
        <v>0</v>
      </c>
      <c r="Q115" t="n">
        <v>0</v>
      </c>
      <c r="R115" s="2" t="inlineStr"/>
    </row>
    <row r="116" ht="15" customHeight="1">
      <c r="A116" t="inlineStr">
        <is>
          <t>A 13386-2025</t>
        </is>
      </c>
      <c r="B116" s="1" t="n">
        <v>45735</v>
      </c>
      <c r="C116" s="1" t="n">
        <v>45882</v>
      </c>
      <c r="D116" t="inlineStr">
        <is>
          <t>VÄSTMANLANDS LÄN</t>
        </is>
      </c>
      <c r="E116" t="inlineStr">
        <is>
          <t>SURAHAMMAR</t>
        </is>
      </c>
      <c r="F116" t="inlineStr">
        <is>
          <t>Bergvik skog väst AB</t>
        </is>
      </c>
      <c r="G116" t="n">
        <v>4</v>
      </c>
      <c r="H116" t="n">
        <v>0</v>
      </c>
      <c r="I116" t="n">
        <v>0</v>
      </c>
      <c r="J116" t="n">
        <v>0</v>
      </c>
      <c r="K116" t="n">
        <v>0</v>
      </c>
      <c r="L116" t="n">
        <v>0</v>
      </c>
      <c r="M116" t="n">
        <v>0</v>
      </c>
      <c r="N116" t="n">
        <v>0</v>
      </c>
      <c r="O116" t="n">
        <v>0</v>
      </c>
      <c r="P116" t="n">
        <v>0</v>
      </c>
      <c r="Q116" t="n">
        <v>0</v>
      </c>
      <c r="R116" s="2" t="inlineStr"/>
    </row>
    <row r="117" ht="15" customHeight="1">
      <c r="A117" t="inlineStr">
        <is>
          <t>A 2660-2024</t>
        </is>
      </c>
      <c r="B117" s="1" t="n">
        <v>45310</v>
      </c>
      <c r="C117" s="1" t="n">
        <v>45882</v>
      </c>
      <c r="D117" t="inlineStr">
        <is>
          <t>VÄSTMANLANDS LÄN</t>
        </is>
      </c>
      <c r="E117" t="inlineStr">
        <is>
          <t>SURAHAMMAR</t>
        </is>
      </c>
      <c r="G117" t="n">
        <v>2.1</v>
      </c>
      <c r="H117" t="n">
        <v>0</v>
      </c>
      <c r="I117" t="n">
        <v>0</v>
      </c>
      <c r="J117" t="n">
        <v>0</v>
      </c>
      <c r="K117" t="n">
        <v>0</v>
      </c>
      <c r="L117" t="n">
        <v>0</v>
      </c>
      <c r="M117" t="n">
        <v>0</v>
      </c>
      <c r="N117" t="n">
        <v>0</v>
      </c>
      <c r="O117" t="n">
        <v>0</v>
      </c>
      <c r="P117" t="n">
        <v>0</v>
      </c>
      <c r="Q117" t="n">
        <v>0</v>
      </c>
      <c r="R117" s="2" t="inlineStr"/>
    </row>
    <row r="118" ht="15" customHeight="1">
      <c r="A118" t="inlineStr">
        <is>
          <t>A 7787-2024</t>
        </is>
      </c>
      <c r="B118" s="1" t="n">
        <v>45348</v>
      </c>
      <c r="C118" s="1" t="n">
        <v>45882</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47785-2021</t>
        </is>
      </c>
      <c r="B119" s="1" t="n">
        <v>44448</v>
      </c>
      <c r="C119" s="1" t="n">
        <v>45882</v>
      </c>
      <c r="D119" t="inlineStr">
        <is>
          <t>VÄSTMANLANDS LÄN</t>
        </is>
      </c>
      <c r="E119" t="inlineStr">
        <is>
          <t>SURAHAMMAR</t>
        </is>
      </c>
      <c r="F119" t="inlineStr">
        <is>
          <t>Kommuner</t>
        </is>
      </c>
      <c r="G119" t="n">
        <v>3.3</v>
      </c>
      <c r="H119" t="n">
        <v>0</v>
      </c>
      <c r="I119" t="n">
        <v>0</v>
      </c>
      <c r="J119" t="n">
        <v>0</v>
      </c>
      <c r="K119" t="n">
        <v>0</v>
      </c>
      <c r="L119" t="n">
        <v>0</v>
      </c>
      <c r="M119" t="n">
        <v>0</v>
      </c>
      <c r="N119" t="n">
        <v>0</v>
      </c>
      <c r="O119" t="n">
        <v>0</v>
      </c>
      <c r="P119" t="n">
        <v>0</v>
      </c>
      <c r="Q119" t="n">
        <v>0</v>
      </c>
      <c r="R119" s="2" t="inlineStr"/>
    </row>
    <row r="120" ht="15" customHeight="1">
      <c r="A120" t="inlineStr">
        <is>
          <t>A 37287-2023</t>
        </is>
      </c>
      <c r="B120" s="1" t="n">
        <v>45156</v>
      </c>
      <c r="C120" s="1" t="n">
        <v>45882</v>
      </c>
      <c r="D120" t="inlineStr">
        <is>
          <t>VÄSTMANLANDS LÄN</t>
        </is>
      </c>
      <c r="E120" t="inlineStr">
        <is>
          <t>SURAHAMMAR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15739-2023</t>
        </is>
      </c>
      <c r="B121" s="1" t="n">
        <v>45021</v>
      </c>
      <c r="C121" s="1" t="n">
        <v>45882</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14626-2023</t>
        </is>
      </c>
      <c r="B122" s="1" t="n">
        <v>45012</v>
      </c>
      <c r="C122" s="1" t="n">
        <v>45882</v>
      </c>
      <c r="D122" t="inlineStr">
        <is>
          <t>VÄSTMANLANDS LÄN</t>
        </is>
      </c>
      <c r="E122" t="inlineStr">
        <is>
          <t>SURAHAMMAR</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41576-2022</t>
        </is>
      </c>
      <c r="B123" s="1" t="n">
        <v>44826</v>
      </c>
      <c r="C123" s="1" t="n">
        <v>45882</v>
      </c>
      <c r="D123" t="inlineStr">
        <is>
          <t>VÄSTMANLANDS LÄN</t>
        </is>
      </c>
      <c r="E123" t="inlineStr">
        <is>
          <t>SURAHAMMAR</t>
        </is>
      </c>
      <c r="F123" t="inlineStr">
        <is>
          <t>Bergvik skog väst AB</t>
        </is>
      </c>
      <c r="G123" t="n">
        <v>6.4</v>
      </c>
      <c r="H123" t="n">
        <v>0</v>
      </c>
      <c r="I123" t="n">
        <v>0</v>
      </c>
      <c r="J123" t="n">
        <v>0</v>
      </c>
      <c r="K123" t="n">
        <v>0</v>
      </c>
      <c r="L123" t="n">
        <v>0</v>
      </c>
      <c r="M123" t="n">
        <v>0</v>
      </c>
      <c r="N123" t="n">
        <v>0</v>
      </c>
      <c r="O123" t="n">
        <v>0</v>
      </c>
      <c r="P123" t="n">
        <v>0</v>
      </c>
      <c r="Q123" t="n">
        <v>0</v>
      </c>
      <c r="R123" s="2" t="inlineStr"/>
    </row>
    <row r="124" ht="15" customHeight="1">
      <c r="A124" t="inlineStr">
        <is>
          <t>A 38154-2021</t>
        </is>
      </c>
      <c r="B124" s="1" t="n">
        <v>44405.42373842592</v>
      </c>
      <c r="C124" s="1" t="n">
        <v>45882</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45882</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72367-2021</t>
        </is>
      </c>
      <c r="B126" s="1" t="n">
        <v>44545</v>
      </c>
      <c r="C126" s="1" t="n">
        <v>45882</v>
      </c>
      <c r="D126" t="inlineStr">
        <is>
          <t>VÄSTMANLANDS LÄN</t>
        </is>
      </c>
      <c r="E126" t="inlineStr">
        <is>
          <t>SURAHAMMAR</t>
        </is>
      </c>
      <c r="G126" t="n">
        <v>2.5</v>
      </c>
      <c r="H126" t="n">
        <v>0</v>
      </c>
      <c r="I126" t="n">
        <v>0</v>
      </c>
      <c r="J126" t="n">
        <v>0</v>
      </c>
      <c r="K126" t="n">
        <v>0</v>
      </c>
      <c r="L126" t="n">
        <v>0</v>
      </c>
      <c r="M126" t="n">
        <v>0</v>
      </c>
      <c r="N126" t="n">
        <v>0</v>
      </c>
      <c r="O126" t="n">
        <v>0</v>
      </c>
      <c r="P126" t="n">
        <v>0</v>
      </c>
      <c r="Q126" t="n">
        <v>0</v>
      </c>
      <c r="R126" s="2" t="inlineStr"/>
    </row>
    <row r="127" ht="15" customHeight="1">
      <c r="A127" t="inlineStr">
        <is>
          <t>A 25450-2024</t>
        </is>
      </c>
      <c r="B127" s="1" t="n">
        <v>45463</v>
      </c>
      <c r="C127" s="1" t="n">
        <v>45882</v>
      </c>
      <c r="D127" t="inlineStr">
        <is>
          <t>VÄSTMANLANDS LÄN</t>
        </is>
      </c>
      <c r="E127" t="inlineStr">
        <is>
          <t>SURAHAMMAR</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45882</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34584-2025</t>
        </is>
      </c>
      <c r="B129" s="1" t="n">
        <v>45846</v>
      </c>
      <c r="C129" s="1" t="n">
        <v>45882</v>
      </c>
      <c r="D129" t="inlineStr">
        <is>
          <t>VÄSTMANLANDS LÄN</t>
        </is>
      </c>
      <c r="E129" t="inlineStr">
        <is>
          <t>SURAHAMMAR</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33931-2022</t>
        </is>
      </c>
      <c r="B130" s="1" t="n">
        <v>44790.65153935185</v>
      </c>
      <c r="C130" s="1" t="n">
        <v>45882</v>
      </c>
      <c r="D130" t="inlineStr">
        <is>
          <t>VÄSTMANLANDS LÄN</t>
        </is>
      </c>
      <c r="E130" t="inlineStr">
        <is>
          <t>SURAHAMMAR</t>
        </is>
      </c>
      <c r="G130" t="n">
        <v>2.2</v>
      </c>
      <c r="H130" t="n">
        <v>0</v>
      </c>
      <c r="I130" t="n">
        <v>0</v>
      </c>
      <c r="J130" t="n">
        <v>0</v>
      </c>
      <c r="K130" t="n">
        <v>0</v>
      </c>
      <c r="L130" t="n">
        <v>0</v>
      </c>
      <c r="M130" t="n">
        <v>0</v>
      </c>
      <c r="N130" t="n">
        <v>0</v>
      </c>
      <c r="O130" t="n">
        <v>0</v>
      </c>
      <c r="P130" t="n">
        <v>0</v>
      </c>
      <c r="Q130" t="n">
        <v>0</v>
      </c>
      <c r="R130" s="2" t="inlineStr"/>
    </row>
    <row r="131" ht="15" customHeight="1">
      <c r="A131" t="inlineStr">
        <is>
          <t>A 19782-2023</t>
        </is>
      </c>
      <c r="B131" s="1" t="n">
        <v>45050</v>
      </c>
      <c r="C131" s="1" t="n">
        <v>45882</v>
      </c>
      <c r="D131" t="inlineStr">
        <is>
          <t>VÄSTMANLANDS LÄN</t>
        </is>
      </c>
      <c r="E131" t="inlineStr">
        <is>
          <t>SURAHAMMAR</t>
        </is>
      </c>
      <c r="F131" t="inlineStr">
        <is>
          <t>Bergvik skog väst AB</t>
        </is>
      </c>
      <c r="G131" t="n">
        <v>5.2</v>
      </c>
      <c r="H131" t="n">
        <v>0</v>
      </c>
      <c r="I131" t="n">
        <v>0</v>
      </c>
      <c r="J131" t="n">
        <v>0</v>
      </c>
      <c r="K131" t="n">
        <v>0</v>
      </c>
      <c r="L131" t="n">
        <v>0</v>
      </c>
      <c r="M131" t="n">
        <v>0</v>
      </c>
      <c r="N131" t="n">
        <v>0</v>
      </c>
      <c r="O131" t="n">
        <v>0</v>
      </c>
      <c r="P131" t="n">
        <v>0</v>
      </c>
      <c r="Q131" t="n">
        <v>0</v>
      </c>
      <c r="R131" s="2" t="inlineStr"/>
    </row>
    <row r="132" ht="15" customHeight="1">
      <c r="A132" t="inlineStr">
        <is>
          <t>A 24158-2023</t>
        </is>
      </c>
      <c r="B132" s="1" t="n">
        <v>45079</v>
      </c>
      <c r="C132" s="1" t="n">
        <v>45882</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7848-2022</t>
        </is>
      </c>
      <c r="B133" s="1" t="n">
        <v>44608.58400462963</v>
      </c>
      <c r="C133" s="1" t="n">
        <v>45882</v>
      </c>
      <c r="D133" t="inlineStr">
        <is>
          <t>VÄSTMANLANDS LÄN</t>
        </is>
      </c>
      <c r="E133" t="inlineStr">
        <is>
          <t>SURAHAMMAR</t>
        </is>
      </c>
      <c r="G133" t="n">
        <v>2.1</v>
      </c>
      <c r="H133" t="n">
        <v>0</v>
      </c>
      <c r="I133" t="n">
        <v>0</v>
      </c>
      <c r="J133" t="n">
        <v>0</v>
      </c>
      <c r="K133" t="n">
        <v>0</v>
      </c>
      <c r="L133" t="n">
        <v>0</v>
      </c>
      <c r="M133" t="n">
        <v>0</v>
      </c>
      <c r="N133" t="n">
        <v>0</v>
      </c>
      <c r="O133" t="n">
        <v>0</v>
      </c>
      <c r="P133" t="n">
        <v>0</v>
      </c>
      <c r="Q133" t="n">
        <v>0</v>
      </c>
      <c r="R133" s="2" t="inlineStr"/>
    </row>
    <row r="134" ht="15" customHeight="1">
      <c r="A134" t="inlineStr">
        <is>
          <t>A 24167-2024</t>
        </is>
      </c>
      <c r="B134" s="1" t="n">
        <v>45456</v>
      </c>
      <c r="C134" s="1" t="n">
        <v>45882</v>
      </c>
      <c r="D134" t="inlineStr">
        <is>
          <t>VÄSTMANLANDS LÄN</t>
        </is>
      </c>
      <c r="E134" t="inlineStr">
        <is>
          <t>SURAHAMMAR</t>
        </is>
      </c>
      <c r="G134" t="n">
        <v>0.6</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45882</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45882</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19099-2022</t>
        </is>
      </c>
      <c r="B137" s="1" t="n">
        <v>44691</v>
      </c>
      <c r="C137" s="1" t="n">
        <v>45882</v>
      </c>
      <c r="D137" t="inlineStr">
        <is>
          <t>VÄSTMANLANDS LÄN</t>
        </is>
      </c>
      <c r="E137" t="inlineStr">
        <is>
          <t>SURAHAMMAR</t>
        </is>
      </c>
      <c r="F137" t="inlineStr">
        <is>
          <t>Övriga Aktiebolag</t>
        </is>
      </c>
      <c r="G137" t="n">
        <v>3.4</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45882</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11501-2023</t>
        </is>
      </c>
      <c r="B139" s="1" t="n">
        <v>44991</v>
      </c>
      <c r="C139" s="1" t="n">
        <v>45882</v>
      </c>
      <c r="D139" t="inlineStr">
        <is>
          <t>VÄSTMANLANDS LÄN</t>
        </is>
      </c>
      <c r="E139" t="inlineStr">
        <is>
          <t>SURAHAMMAR</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45882</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11728-2023</t>
        </is>
      </c>
      <c r="B141" s="1" t="n">
        <v>44993</v>
      </c>
      <c r="C141" s="1" t="n">
        <v>45882</v>
      </c>
      <c r="D141" t="inlineStr">
        <is>
          <t>VÄSTMANLANDS LÄN</t>
        </is>
      </c>
      <c r="E141" t="inlineStr">
        <is>
          <t>SURAHAMMAR</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10396-2025</t>
        </is>
      </c>
      <c r="B142" s="1" t="n">
        <v>45720.60721064815</v>
      </c>
      <c r="C142" s="1" t="n">
        <v>45882</v>
      </c>
      <c r="D142" t="inlineStr">
        <is>
          <t>VÄSTMANLANDS LÄN</t>
        </is>
      </c>
      <c r="E142" t="inlineStr">
        <is>
          <t>SURAHAMMAR</t>
        </is>
      </c>
      <c r="F142" t="inlineStr">
        <is>
          <t>Allmännings- och besparingsskogar</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45882</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42832-2022</t>
        </is>
      </c>
      <c r="B144" s="1" t="n">
        <v>44832</v>
      </c>
      <c r="C144" s="1" t="n">
        <v>45882</v>
      </c>
      <c r="D144" t="inlineStr">
        <is>
          <t>VÄSTMANLANDS LÄN</t>
        </is>
      </c>
      <c r="E144" t="inlineStr">
        <is>
          <t>SURAHAMMAR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44353-2024</t>
        </is>
      </c>
      <c r="B145" s="1" t="n">
        <v>45573</v>
      </c>
      <c r="C145" s="1" t="n">
        <v>45882</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24665-2023</t>
        </is>
      </c>
      <c r="B146" s="1" t="n">
        <v>45084.48592592592</v>
      </c>
      <c r="C146" s="1" t="n">
        <v>45882</v>
      </c>
      <c r="D146" t="inlineStr">
        <is>
          <t>VÄSTMANLANDS LÄN</t>
        </is>
      </c>
      <c r="E146" t="inlineStr">
        <is>
          <t>SURAHAMMAR</t>
        </is>
      </c>
      <c r="G146" t="n">
        <v>0.9</v>
      </c>
      <c r="H146" t="n">
        <v>0</v>
      </c>
      <c r="I146" t="n">
        <v>0</v>
      </c>
      <c r="J146" t="n">
        <v>0</v>
      </c>
      <c r="K146" t="n">
        <v>0</v>
      </c>
      <c r="L146" t="n">
        <v>0</v>
      </c>
      <c r="M146" t="n">
        <v>0</v>
      </c>
      <c r="N146" t="n">
        <v>0</v>
      </c>
      <c r="O146" t="n">
        <v>0</v>
      </c>
      <c r="P146" t="n">
        <v>0</v>
      </c>
      <c r="Q146" t="n">
        <v>0</v>
      </c>
      <c r="R146" s="2" t="inlineStr"/>
    </row>
    <row r="147" ht="15" customHeight="1">
      <c r="A147" t="inlineStr">
        <is>
          <t>A 32808-2024</t>
        </is>
      </c>
      <c r="B147" s="1" t="n">
        <v>45516</v>
      </c>
      <c r="C147" s="1" t="n">
        <v>45882</v>
      </c>
      <c r="D147" t="inlineStr">
        <is>
          <t>VÄSTMANLANDS LÄN</t>
        </is>
      </c>
      <c r="E147" t="inlineStr">
        <is>
          <t>SURAHAMMAR</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45882</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45882</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ht="15" customHeight="1">
      <c r="A150" t="inlineStr">
        <is>
          <t>A 42841-2022</t>
        </is>
      </c>
      <c r="B150" s="1" t="n">
        <v>44832</v>
      </c>
      <c r="C150" s="1" t="n">
        <v>45882</v>
      </c>
      <c r="D150" t="inlineStr">
        <is>
          <t>VÄSTMANLANDS LÄN</t>
        </is>
      </c>
      <c r="E150" t="inlineStr">
        <is>
          <t>SURAHAMMAR</t>
        </is>
      </c>
      <c r="G150" t="n">
        <v>1.8</v>
      </c>
      <c r="H150" t="n">
        <v>0</v>
      </c>
      <c r="I150" t="n">
        <v>0</v>
      </c>
      <c r="J150" t="n">
        <v>0</v>
      </c>
      <c r="K150" t="n">
        <v>0</v>
      </c>
      <c r="L150" t="n">
        <v>0</v>
      </c>
      <c r="M150" t="n">
        <v>0</v>
      </c>
      <c r="N150" t="n">
        <v>0</v>
      </c>
      <c r="O150" t="n">
        <v>0</v>
      </c>
      <c r="P150" t="n">
        <v>0</v>
      </c>
      <c r="Q150" t="n">
        <v>0</v>
      </c>
      <c r="R150" s="2" t="inlineStr"/>
    </row>
    <row r="151" ht="15" customHeight="1">
      <c r="A151" t="inlineStr">
        <is>
          <t>A 42829-2022</t>
        </is>
      </c>
      <c r="B151" s="1" t="n">
        <v>44832</v>
      </c>
      <c r="C151" s="1" t="n">
        <v>45882</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13796-2025</t>
        </is>
      </c>
      <c r="B152" s="1" t="n">
        <v>45737.47846064815</v>
      </c>
      <c r="C152" s="1" t="n">
        <v>45882</v>
      </c>
      <c r="D152" t="inlineStr">
        <is>
          <t>VÄSTMANLANDS LÄN</t>
        </is>
      </c>
      <c r="E152" t="inlineStr">
        <is>
          <t>SURAHAMMAR</t>
        </is>
      </c>
      <c r="G152" t="n">
        <v>3.3</v>
      </c>
      <c r="H152" t="n">
        <v>0</v>
      </c>
      <c r="I152" t="n">
        <v>0</v>
      </c>
      <c r="J152" t="n">
        <v>0</v>
      </c>
      <c r="K152" t="n">
        <v>0</v>
      </c>
      <c r="L152" t="n">
        <v>0</v>
      </c>
      <c r="M152" t="n">
        <v>0</v>
      </c>
      <c r="N152" t="n">
        <v>0</v>
      </c>
      <c r="O152" t="n">
        <v>0</v>
      </c>
      <c r="P152" t="n">
        <v>0</v>
      </c>
      <c r="Q152" t="n">
        <v>0</v>
      </c>
      <c r="R152" s="2" t="inlineStr"/>
    </row>
    <row r="153">
      <c r="A153" t="inlineStr">
        <is>
          <t>A 25417-2024</t>
        </is>
      </c>
      <c r="B153" s="1" t="n">
        <v>45463</v>
      </c>
      <c r="C153" s="1" t="n">
        <v>45882</v>
      </c>
      <c r="D153" t="inlineStr">
        <is>
          <t>VÄSTMANLANDS LÄN</t>
        </is>
      </c>
      <c r="E153" t="inlineStr">
        <is>
          <t>SURAHAMMAR</t>
        </is>
      </c>
      <c r="F153" t="inlineStr">
        <is>
          <t>Sveaskog</t>
        </is>
      </c>
      <c r="G153" t="n">
        <v>3.4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2025-08-13T08:28:51Z</dcterms:created>
  <dcterms:modified xmlns:dcterms="http://purl.org/dc/terms/" xmlns:xsi="http://www.w3.org/2001/XMLSchema-instance" xsi:type="dcterms:W3CDTF">2025-08-13T08:28:51Z</dcterms:modified>
</cp:coreProperties>
</file>