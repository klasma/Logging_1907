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46050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46050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46050</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46050</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46050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46050</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46050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46050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46050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46050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46050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46050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46050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46050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46050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46050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46050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46050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46050</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46050</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46050</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46050</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46050</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46050</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46050</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46050</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46050</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46050</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46050</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46050</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46050</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46050</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46050</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46050</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46050</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46050</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46050</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46050</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41576-2022</t>
        </is>
      </c>
      <c r="B40" s="1" t="n">
        <v>44826</v>
      </c>
      <c r="C40" s="1" t="n">
        <v>46050</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62097-2024</t>
        </is>
      </c>
      <c r="B41" s="1" t="n">
        <v>45646</v>
      </c>
      <c r="C41" s="1" t="n">
        <v>46050</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63146-2025</t>
        </is>
      </c>
      <c r="B42" s="1" t="n">
        <v>46009</v>
      </c>
      <c r="C42" s="1" t="n">
        <v>46050</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37800-2021</t>
        </is>
      </c>
      <c r="B43" s="1" t="n">
        <v>44402</v>
      </c>
      <c r="C43" s="1" t="n">
        <v>46050</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46050</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46050</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46050</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46050</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46050</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46050</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46050</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46050</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46050</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46050</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13788-2025</t>
        </is>
      </c>
      <c r="B54" s="1" t="n">
        <v>45737.45327546296</v>
      </c>
      <c r="C54" s="1" t="n">
        <v>46050</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47453-2024</t>
        </is>
      </c>
      <c r="B55" s="1" t="n">
        <v>45587.55017361111</v>
      </c>
      <c r="C55" s="1" t="n">
        <v>46050</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34582-2025</t>
        </is>
      </c>
      <c r="B56" s="1" t="n">
        <v>45846</v>
      </c>
      <c r="C56" s="1" t="n">
        <v>46050</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25583-2024</t>
        </is>
      </c>
      <c r="B57" s="1" t="n">
        <v>45463</v>
      </c>
      <c r="C57" s="1" t="n">
        <v>46050</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42089-2025</t>
        </is>
      </c>
      <c r="B58" s="1" t="n">
        <v>45902</v>
      </c>
      <c r="C58" s="1" t="n">
        <v>46050</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46050</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42765-2022</t>
        </is>
      </c>
      <c r="B60" s="1" t="n">
        <v>44832</v>
      </c>
      <c r="C60" s="1" t="n">
        <v>46050</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46050</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46050</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55042-2025</t>
        </is>
      </c>
      <c r="B63" s="1" t="n">
        <v>45967.65858796296</v>
      </c>
      <c r="C63" s="1" t="n">
        <v>46050</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63145-2025</t>
        </is>
      </c>
      <c r="B64" s="1" t="n">
        <v>46009</v>
      </c>
      <c r="C64" s="1" t="n">
        <v>46050</v>
      </c>
      <c r="D64" t="inlineStr">
        <is>
          <t>VÄSTMANLANDS LÄN</t>
        </is>
      </c>
      <c r="E64" t="inlineStr">
        <is>
          <t>SURAHAMMAR</t>
        </is>
      </c>
      <c r="F64" t="inlineStr">
        <is>
          <t>Bergvik skog väst AB</t>
        </is>
      </c>
      <c r="G64" t="n">
        <v>40.5</v>
      </c>
      <c r="H64" t="n">
        <v>0</v>
      </c>
      <c r="I64" t="n">
        <v>1</v>
      </c>
      <c r="J64" t="n">
        <v>0</v>
      </c>
      <c r="K64" t="n">
        <v>0</v>
      </c>
      <c r="L64" t="n">
        <v>0</v>
      </c>
      <c r="M64" t="n">
        <v>0</v>
      </c>
      <c r="N64" t="n">
        <v>0</v>
      </c>
      <c r="O64" t="n">
        <v>0</v>
      </c>
      <c r="P64" t="n">
        <v>0</v>
      </c>
      <c r="Q64" t="n">
        <v>1</v>
      </c>
      <c r="R64" s="2" t="inlineStr">
        <is>
          <t>Svart trolldruva</t>
        </is>
      </c>
      <c r="S64">
        <f>HYPERLINK("https://klasma.github.io/Logging_1907/artfynd/A 63145-2025 artfynd.xlsx", "A 63145-2025")</f>
        <v/>
      </c>
      <c r="T64">
        <f>HYPERLINK("https://klasma.github.io/Logging_1907/kartor/A 63145-2025 karta.png", "A 63145-2025")</f>
        <v/>
      </c>
      <c r="V64">
        <f>HYPERLINK("https://klasma.github.io/Logging_1907/klagomål/A 63145-2025 FSC-klagomål.docx", "A 63145-2025")</f>
        <v/>
      </c>
      <c r="W64">
        <f>HYPERLINK("https://klasma.github.io/Logging_1907/klagomålsmail/A 63145-2025 FSC-klagomål mail.docx", "A 63145-2025")</f>
        <v/>
      </c>
      <c r="X64">
        <f>HYPERLINK("https://klasma.github.io/Logging_1907/tillsyn/A 63145-2025 tillsynsbegäran.docx", "A 63145-2025")</f>
        <v/>
      </c>
      <c r="Y64">
        <f>HYPERLINK("https://klasma.github.io/Logging_1907/tillsynsmail/A 63145-2025 tillsynsbegäran mail.docx", "A 63145-2025")</f>
        <v/>
      </c>
    </row>
    <row r="65" ht="15" customHeight="1">
      <c r="A65" t="inlineStr">
        <is>
          <t>A 17632-2022</t>
        </is>
      </c>
      <c r="B65" s="1" t="n">
        <v>44680</v>
      </c>
      <c r="C65" s="1" t="n">
        <v>46050</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56768-2025</t>
        </is>
      </c>
      <c r="B66" s="1" t="n">
        <v>45978</v>
      </c>
      <c r="C66" s="1" t="n">
        <v>46050</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44356-2024</t>
        </is>
      </c>
      <c r="B67" s="1" t="n">
        <v>45573</v>
      </c>
      <c r="C67" s="1" t="n">
        <v>46050</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22840-2023</t>
        </is>
      </c>
      <c r="B68" s="1" t="n">
        <v>45072</v>
      </c>
      <c r="C68" s="1" t="n">
        <v>46050</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46050</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46050</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46050</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46050</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46050</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46050</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46050</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46050</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46050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46050</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46050</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46050</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46050</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46050</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46050</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46050</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46050</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46050</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46050</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46050</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46050</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46050</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46050</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46050</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46050</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46050</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46050</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15637-2022</t>
        </is>
      </c>
      <c r="B96" s="1" t="n">
        <v>44662.89638888889</v>
      </c>
      <c r="C96" s="1" t="n">
        <v>46050</v>
      </c>
      <c r="D96" t="inlineStr">
        <is>
          <t>VÄSTMANLANDS LÄN</t>
        </is>
      </c>
      <c r="E96" t="inlineStr">
        <is>
          <t>SURAHAMMAR</t>
        </is>
      </c>
      <c r="G96" t="n">
        <v>2.2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46050</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46050</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7787-2024</t>
        </is>
      </c>
      <c r="B99" s="1" t="n">
        <v>45348</v>
      </c>
      <c r="C99" s="1" t="n">
        <v>46050</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46050</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46050</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46050</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46050</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72367-2021</t>
        </is>
      </c>
      <c r="B104" s="1" t="n">
        <v>44545</v>
      </c>
      <c r="C104" s="1" t="n">
        <v>46050</v>
      </c>
      <c r="D104" t="inlineStr">
        <is>
          <t>VÄSTMANLANDS LÄN</t>
        </is>
      </c>
      <c r="E104" t="inlineStr">
        <is>
          <t>SURAHAMMAR</t>
        </is>
      </c>
      <c r="G104" t="n">
        <v>2.5</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46050</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46050</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33931-2022</t>
        </is>
      </c>
      <c r="B107" s="1" t="n">
        <v>44790.65153935185</v>
      </c>
      <c r="C107" s="1" t="n">
        <v>46050</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24158-2023</t>
        </is>
      </c>
      <c r="B108" s="1" t="n">
        <v>45079</v>
      </c>
      <c r="C108" s="1" t="n">
        <v>46050</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46050</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46050</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32910-2025</t>
        </is>
      </c>
      <c r="B111" s="1" t="n">
        <v>45839</v>
      </c>
      <c r="C111" s="1" t="n">
        <v>46050</v>
      </c>
      <c r="D111" t="inlineStr">
        <is>
          <t>VÄSTMANLANDS LÄN</t>
        </is>
      </c>
      <c r="E111" t="inlineStr">
        <is>
          <t>SURAHAMMAR</t>
        </is>
      </c>
      <c r="F111" t="inlineStr">
        <is>
          <t>Kommuner</t>
        </is>
      </c>
      <c r="G111" t="n">
        <v>1.1</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46050</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46050</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46050</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37013-2025</t>
        </is>
      </c>
      <c r="B115" s="1" t="n">
        <v>45874</v>
      </c>
      <c r="C115" s="1" t="n">
        <v>46050</v>
      </c>
      <c r="D115" t="inlineStr">
        <is>
          <t>VÄSTMANLANDS LÄN</t>
        </is>
      </c>
      <c r="E115" t="inlineStr">
        <is>
          <t>SURAHAMMAR</t>
        </is>
      </c>
      <c r="F115" t="inlineStr">
        <is>
          <t>Bergvik skog väst AB</t>
        </is>
      </c>
      <c r="G115" t="n">
        <v>10.7</v>
      </c>
      <c r="H115" t="n">
        <v>0</v>
      </c>
      <c r="I115" t="n">
        <v>0</v>
      </c>
      <c r="J115" t="n">
        <v>0</v>
      </c>
      <c r="K115" t="n">
        <v>0</v>
      </c>
      <c r="L115" t="n">
        <v>0</v>
      </c>
      <c r="M115" t="n">
        <v>0</v>
      </c>
      <c r="N115" t="n">
        <v>0</v>
      </c>
      <c r="O115" t="n">
        <v>0</v>
      </c>
      <c r="P115" t="n">
        <v>0</v>
      </c>
      <c r="Q115" t="n">
        <v>0</v>
      </c>
      <c r="R115" s="2" t="inlineStr"/>
    </row>
    <row r="116" ht="15" customHeight="1">
      <c r="A116" t="inlineStr">
        <is>
          <t>A 5567-2022</t>
        </is>
      </c>
      <c r="B116" s="1" t="n">
        <v>44595</v>
      </c>
      <c r="C116" s="1" t="n">
        <v>46050</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42832-2022</t>
        </is>
      </c>
      <c r="B117" s="1" t="n">
        <v>44832</v>
      </c>
      <c r="C117" s="1" t="n">
        <v>46050</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37954-2025</t>
        </is>
      </c>
      <c r="B118" s="1" t="n">
        <v>45881</v>
      </c>
      <c r="C118" s="1" t="n">
        <v>46050</v>
      </c>
      <c r="D118" t="inlineStr">
        <is>
          <t>VÄSTMANLANDS LÄN</t>
        </is>
      </c>
      <c r="E118" t="inlineStr">
        <is>
          <t>SURAHAMMAR</t>
        </is>
      </c>
      <c r="G118" t="n">
        <v>9.5</v>
      </c>
      <c r="H118" t="n">
        <v>0</v>
      </c>
      <c r="I118" t="n">
        <v>0</v>
      </c>
      <c r="J118" t="n">
        <v>0</v>
      </c>
      <c r="K118" t="n">
        <v>0</v>
      </c>
      <c r="L118" t="n">
        <v>0</v>
      </c>
      <c r="M118" t="n">
        <v>0</v>
      </c>
      <c r="N118" t="n">
        <v>0</v>
      </c>
      <c r="O118" t="n">
        <v>0</v>
      </c>
      <c r="P118" t="n">
        <v>0</v>
      </c>
      <c r="Q118" t="n">
        <v>0</v>
      </c>
      <c r="R118" s="2" t="inlineStr"/>
    </row>
    <row r="119" ht="15" customHeight="1">
      <c r="A119" t="inlineStr">
        <is>
          <t>A 24665-2023</t>
        </is>
      </c>
      <c r="B119" s="1" t="n">
        <v>45084.48592592592</v>
      </c>
      <c r="C119" s="1" t="n">
        <v>46050</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32808-2024</t>
        </is>
      </c>
      <c r="B120" s="1" t="n">
        <v>45516</v>
      </c>
      <c r="C120" s="1" t="n">
        <v>46050</v>
      </c>
      <c r="D120" t="inlineStr">
        <is>
          <t>VÄSTMANLANDS LÄN</t>
        </is>
      </c>
      <c r="E120" t="inlineStr">
        <is>
          <t>SURAHAMMAR</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46050</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46050</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46050</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46050</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63138-2025</t>
        </is>
      </c>
      <c r="B125" s="1" t="n">
        <v>46009</v>
      </c>
      <c r="C125" s="1" t="n">
        <v>46050</v>
      </c>
      <c r="D125" t="inlineStr">
        <is>
          <t>VÄSTMANLANDS LÄN</t>
        </is>
      </c>
      <c r="E125" t="inlineStr">
        <is>
          <t>SURAHAMMAR</t>
        </is>
      </c>
      <c r="F125" t="inlineStr">
        <is>
          <t>Bergvik skog väst AB</t>
        </is>
      </c>
      <c r="G125" t="n">
        <v>2.5</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46050</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46050</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55873-2025</t>
        </is>
      </c>
      <c r="B128" s="1" t="n">
        <v>45973.35608796297</v>
      </c>
      <c r="C128" s="1" t="n">
        <v>46050</v>
      </c>
      <c r="D128" t="inlineStr">
        <is>
          <t>VÄSTMANLANDS LÄN</t>
        </is>
      </c>
      <c r="E128" t="inlineStr">
        <is>
          <t>SURAHAMMAR</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55871-2025</t>
        </is>
      </c>
      <c r="B129" s="1" t="n">
        <v>45973.35452546296</v>
      </c>
      <c r="C129" s="1" t="n">
        <v>46050</v>
      </c>
      <c r="D129" t="inlineStr">
        <is>
          <t>VÄSTMANLANDS LÄN</t>
        </is>
      </c>
      <c r="E129" t="inlineStr">
        <is>
          <t>SURAHAMMAR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46050</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46050</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46050</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34955-2022</t>
        </is>
      </c>
      <c r="B133" s="1" t="n">
        <v>44796</v>
      </c>
      <c r="C133" s="1" t="n">
        <v>46050</v>
      </c>
      <c r="D133" t="inlineStr">
        <is>
          <t>VÄSTMANLANDS LÄN</t>
        </is>
      </c>
      <c r="E133" t="inlineStr">
        <is>
          <t>SURAHAMMAR</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46050</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46050</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2660-2024</t>
        </is>
      </c>
      <c r="B136" s="1" t="n">
        <v>45310</v>
      </c>
      <c r="C136" s="1" t="n">
        <v>46050</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46050</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46050</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14626-2023</t>
        </is>
      </c>
      <c r="B139" s="1" t="n">
        <v>45012</v>
      </c>
      <c r="C139" s="1" t="n">
        <v>46050</v>
      </c>
      <c r="D139" t="inlineStr">
        <is>
          <t>VÄSTMANLANDS LÄN</t>
        </is>
      </c>
      <c r="E139" t="inlineStr">
        <is>
          <t>SURAHAMMAR</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4724-2026</t>
        </is>
      </c>
      <c r="B140" s="1" t="n">
        <v>46048</v>
      </c>
      <c r="C140" s="1" t="n">
        <v>46050</v>
      </c>
      <c r="D140" t="inlineStr">
        <is>
          <t>VÄSTMANLANDS LÄN</t>
        </is>
      </c>
      <c r="E140" t="inlineStr">
        <is>
          <t>SURAHAMMAR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4734-2026</t>
        </is>
      </c>
      <c r="B141" s="1" t="n">
        <v>46048</v>
      </c>
      <c r="C141" s="1" t="n">
        <v>46050</v>
      </c>
      <c r="D141" t="inlineStr">
        <is>
          <t>VÄSTMANLANDS LÄN</t>
        </is>
      </c>
      <c r="E141" t="inlineStr">
        <is>
          <t>SURAHAMMAR</t>
        </is>
      </c>
      <c r="G141" t="n">
        <v>0.7</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46050</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25450-2024</t>
        </is>
      </c>
      <c r="B143" s="1" t="n">
        <v>45463</v>
      </c>
      <c r="C143" s="1" t="n">
        <v>46050</v>
      </c>
      <c r="D143" t="inlineStr">
        <is>
          <t>VÄSTMANLANDS LÄN</t>
        </is>
      </c>
      <c r="E143" t="inlineStr">
        <is>
          <t>SURAHAMMAR</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19782-2023</t>
        </is>
      </c>
      <c r="B144" s="1" t="n">
        <v>45050</v>
      </c>
      <c r="C144" s="1" t="n">
        <v>46050</v>
      </c>
      <c r="D144" t="inlineStr">
        <is>
          <t>VÄSTMANLANDS LÄN</t>
        </is>
      </c>
      <c r="E144" t="inlineStr">
        <is>
          <t>SURAHAMMAR</t>
        </is>
      </c>
      <c r="F144" t="inlineStr">
        <is>
          <t>Bergvik skog väst AB</t>
        </is>
      </c>
      <c r="G144" t="n">
        <v>5.2</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44608.58400462963</v>
      </c>
      <c r="C145" s="1" t="n">
        <v>46050</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24167-2024</t>
        </is>
      </c>
      <c r="B146" s="1" t="n">
        <v>45456</v>
      </c>
      <c r="C146" s="1" t="n">
        <v>46050</v>
      </c>
      <c r="D146" t="inlineStr">
        <is>
          <t>VÄSTMANLANDS LÄN</t>
        </is>
      </c>
      <c r="E146" t="inlineStr">
        <is>
          <t>SURAHAMMAR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56378-2023</t>
        </is>
      </c>
      <c r="B147" s="1" t="n">
        <v>45236</v>
      </c>
      <c r="C147" s="1" t="n">
        <v>46050</v>
      </c>
      <c r="D147" t="inlineStr">
        <is>
          <t>VÄSTMANLANDS LÄN</t>
        </is>
      </c>
      <c r="E147" t="inlineStr">
        <is>
          <t>SURAHAMMAR</t>
        </is>
      </c>
      <c r="F147" t="inlineStr">
        <is>
          <t>Bergvik skog väst AB</t>
        </is>
      </c>
      <c r="G147" t="n">
        <v>4.6</v>
      </c>
      <c r="H147" t="n">
        <v>0</v>
      </c>
      <c r="I147" t="n">
        <v>0</v>
      </c>
      <c r="J147" t="n">
        <v>0</v>
      </c>
      <c r="K147" t="n">
        <v>0</v>
      </c>
      <c r="L147" t="n">
        <v>0</v>
      </c>
      <c r="M147" t="n">
        <v>0</v>
      </c>
      <c r="N147" t="n">
        <v>0</v>
      </c>
      <c r="O147" t="n">
        <v>0</v>
      </c>
      <c r="P147" t="n">
        <v>0</v>
      </c>
      <c r="Q147" t="n">
        <v>0</v>
      </c>
      <c r="R147" s="2" t="inlineStr"/>
    </row>
    <row r="148" ht="15" customHeight="1">
      <c r="A148" t="inlineStr">
        <is>
          <t>A 19099-2022</t>
        </is>
      </c>
      <c r="B148" s="1" t="n">
        <v>44691</v>
      </c>
      <c r="C148" s="1" t="n">
        <v>46050</v>
      </c>
      <c r="D148" t="inlineStr">
        <is>
          <t>VÄSTMANLANDS LÄN</t>
        </is>
      </c>
      <c r="E148" t="inlineStr">
        <is>
          <t>SURAHAMMAR</t>
        </is>
      </c>
      <c r="F148" t="inlineStr">
        <is>
          <t>Övriga Aktiebolag</t>
        </is>
      </c>
      <c r="G148" t="n">
        <v>3.4</v>
      </c>
      <c r="H148" t="n">
        <v>0</v>
      </c>
      <c r="I148" t="n">
        <v>0</v>
      </c>
      <c r="J148" t="n">
        <v>0</v>
      </c>
      <c r="K148" t="n">
        <v>0</v>
      </c>
      <c r="L148" t="n">
        <v>0</v>
      </c>
      <c r="M148" t="n">
        <v>0</v>
      </c>
      <c r="N148" t="n">
        <v>0</v>
      </c>
      <c r="O148" t="n">
        <v>0</v>
      </c>
      <c r="P148" t="n">
        <v>0</v>
      </c>
      <c r="Q148" t="n">
        <v>0</v>
      </c>
      <c r="R148" s="2" t="inlineStr"/>
    </row>
    <row r="149" ht="15" customHeight="1">
      <c r="A149" t="inlineStr">
        <is>
          <t>A 11501-2023</t>
        </is>
      </c>
      <c r="B149" s="1" t="n">
        <v>44991</v>
      </c>
      <c r="C149" s="1" t="n">
        <v>46050</v>
      </c>
      <c r="D149" t="inlineStr">
        <is>
          <t>VÄSTMANLANDS LÄN</t>
        </is>
      </c>
      <c r="E149" t="inlineStr">
        <is>
          <t>SURAHAMMAR</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46050</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21509-2024</t>
        </is>
      </c>
      <c r="B151" s="1" t="n">
        <v>45441</v>
      </c>
      <c r="C151" s="1" t="n">
        <v>46050</v>
      </c>
      <c r="D151" t="inlineStr">
        <is>
          <t>VÄSTMANLANDS LÄN</t>
        </is>
      </c>
      <c r="E151" t="inlineStr">
        <is>
          <t>SURAHAMMAR</t>
        </is>
      </c>
      <c r="F151" t="inlineStr">
        <is>
          <t>Bergvik skog väst AB</t>
        </is>
      </c>
      <c r="G151" t="n">
        <v>3.9</v>
      </c>
      <c r="H151" t="n">
        <v>0</v>
      </c>
      <c r="I151" t="n">
        <v>0</v>
      </c>
      <c r="J151" t="n">
        <v>0</v>
      </c>
      <c r="K151" t="n">
        <v>0</v>
      </c>
      <c r="L151" t="n">
        <v>0</v>
      </c>
      <c r="M151" t="n">
        <v>0</v>
      </c>
      <c r="N151" t="n">
        <v>0</v>
      </c>
      <c r="O151" t="n">
        <v>0</v>
      </c>
      <c r="P151" t="n">
        <v>0</v>
      </c>
      <c r="Q151" t="n">
        <v>0</v>
      </c>
      <c r="R151" s="2" t="inlineStr"/>
    </row>
    <row r="152" ht="15" customHeight="1">
      <c r="A152" t="inlineStr">
        <is>
          <t>A 22662-2023</t>
        </is>
      </c>
      <c r="B152" s="1" t="n">
        <v>45071</v>
      </c>
      <c r="C152" s="1" t="n">
        <v>46050</v>
      </c>
      <c r="D152" t="inlineStr">
        <is>
          <t>VÄSTMANLANDS LÄN</t>
        </is>
      </c>
      <c r="E152" t="inlineStr">
        <is>
          <t>SURAHAMMAR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16013-2023</t>
        </is>
      </c>
      <c r="B153" s="1" t="n">
        <v>45026</v>
      </c>
      <c r="C153" s="1" t="n">
        <v>46050</v>
      </c>
      <c r="D153" t="inlineStr">
        <is>
          <t>VÄSTMANLANDS LÄN</t>
        </is>
      </c>
      <c r="E153" t="inlineStr">
        <is>
          <t>SURAHAMMAR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41555-2022</t>
        </is>
      </c>
      <c r="B154" s="1" t="n">
        <v>44826</v>
      </c>
      <c r="C154" s="1" t="n">
        <v>46050</v>
      </c>
      <c r="D154" t="inlineStr">
        <is>
          <t>VÄSTMANLANDS LÄN</t>
        </is>
      </c>
      <c r="E154" t="inlineStr">
        <is>
          <t>SURAHAMMAR</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25780-2023</t>
        </is>
      </c>
      <c r="B155" s="1" t="n">
        <v>45090.47523148148</v>
      </c>
      <c r="C155" s="1" t="n">
        <v>46050</v>
      </c>
      <c r="D155" t="inlineStr">
        <is>
          <t>VÄSTMANLANDS LÄN</t>
        </is>
      </c>
      <c r="E155" t="inlineStr">
        <is>
          <t>SURAHAMMAR</t>
        </is>
      </c>
      <c r="G155" t="n">
        <v>2.8</v>
      </c>
      <c r="H155" t="n">
        <v>0</v>
      </c>
      <c r="I155" t="n">
        <v>0</v>
      </c>
      <c r="J155" t="n">
        <v>0</v>
      </c>
      <c r="K155" t="n">
        <v>0</v>
      </c>
      <c r="L155" t="n">
        <v>0</v>
      </c>
      <c r="M155" t="n">
        <v>0</v>
      </c>
      <c r="N155" t="n">
        <v>0</v>
      </c>
      <c r="O155" t="n">
        <v>0</v>
      </c>
      <c r="P155" t="n">
        <v>0</v>
      </c>
      <c r="Q155" t="n">
        <v>0</v>
      </c>
      <c r="R155" s="2" t="inlineStr"/>
    </row>
    <row r="156" ht="15" customHeight="1">
      <c r="A156" t="inlineStr">
        <is>
          <t>A 13386-2025</t>
        </is>
      </c>
      <c r="B156" s="1" t="n">
        <v>45735</v>
      </c>
      <c r="C156" s="1" t="n">
        <v>46050</v>
      </c>
      <c r="D156" t="inlineStr">
        <is>
          <t>VÄSTMANLANDS LÄN</t>
        </is>
      </c>
      <c r="E156" t="inlineStr">
        <is>
          <t>SURAHAMMAR</t>
        </is>
      </c>
      <c r="F156" t="inlineStr">
        <is>
          <t>Bergvik skog väst AB</t>
        </is>
      </c>
      <c r="G156" t="n">
        <v>4</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46050</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46050</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c r="A159" t="inlineStr">
        <is>
          <t>A 38154-2021</t>
        </is>
      </c>
      <c r="B159" s="1" t="n">
        <v>44405.42373842592</v>
      </c>
      <c r="C159" s="1" t="n">
        <v>46050</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2026-01-28T11:01:20Z</dcterms:created>
  <dcterms:modified xmlns:dcterms="http://purl.org/dc/terms/" xmlns:xsi="http://www.w3.org/2001/XMLSchema-instance" xsi:type="dcterms:W3CDTF">2026-01-28T11:01:21Z</dcterms:modified>
</cp:coreProperties>
</file>