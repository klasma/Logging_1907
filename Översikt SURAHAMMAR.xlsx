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46148</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46148</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46148</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46148</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46148</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46148</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46148</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46148</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46148</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46148</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10236-2026</t>
        </is>
      </c>
      <c r="B24" s="1" t="n">
        <v>46076.54277777778</v>
      </c>
      <c r="C24" s="1" t="n">
        <v>46148</v>
      </c>
      <c r="D24" t="inlineStr">
        <is>
          <t>VÄSTMANLANDS LÄN</t>
        </is>
      </c>
      <c r="E24" t="inlineStr">
        <is>
          <t>SURAHAMMAR</t>
        </is>
      </c>
      <c r="F24" t="inlineStr">
        <is>
          <t>Allmännings- och besparingsskogar</t>
        </is>
      </c>
      <c r="G24" t="n">
        <v>2.8</v>
      </c>
      <c r="H24" t="n">
        <v>2</v>
      </c>
      <c r="I24" t="n">
        <v>1</v>
      </c>
      <c r="J24" t="n">
        <v>0</v>
      </c>
      <c r="K24" t="n">
        <v>1</v>
      </c>
      <c r="L24" t="n">
        <v>0</v>
      </c>
      <c r="M24" t="n">
        <v>0</v>
      </c>
      <c r="N24" t="n">
        <v>0</v>
      </c>
      <c r="O24" t="n">
        <v>1</v>
      </c>
      <c r="P24" t="n">
        <v>1</v>
      </c>
      <c r="Q24" t="n">
        <v>4</v>
      </c>
      <c r="R24" s="2" t="inlineStr">
        <is>
          <t>Vågticka
Brandticka
Lopplummer (aggregat)
Revlummer</t>
        </is>
      </c>
      <c r="S24">
        <f>HYPERLINK("https://klasma.github.io/Logging_1907/artfynd/A 10236-2026 artfynd.xlsx", "A 10236-2026")</f>
        <v/>
      </c>
      <c r="T24">
        <f>HYPERLINK("https://klasma.github.io/Logging_1907/kartor/A 10236-2026 karta.png", "A 10236-2026")</f>
        <v/>
      </c>
      <c r="V24">
        <f>HYPERLINK("https://klasma.github.io/Logging_1907/klagomål/A 10236-2026 FSC-klagomål.docx", "A 10236-2026")</f>
        <v/>
      </c>
      <c r="W24">
        <f>HYPERLINK("https://klasma.github.io/Logging_1907/klagomålsmail/A 10236-2026 FSC-klagomål mail.docx", "A 10236-2026")</f>
        <v/>
      </c>
      <c r="X24">
        <f>HYPERLINK("https://klasma.github.io/Logging_1907/tillsyn/A 10236-2026 tillsynsbegäran.docx", "A 10236-2026")</f>
        <v/>
      </c>
      <c r="Y24">
        <f>HYPERLINK("https://klasma.github.io/Logging_1907/tillsynsmail/A 10236-2026 tillsynsbegäran mail.docx", "A 10236-2026")</f>
        <v/>
      </c>
    </row>
    <row r="25" ht="15" customHeight="1">
      <c r="A25" t="inlineStr">
        <is>
          <t>A 4105-2025</t>
        </is>
      </c>
      <c r="B25" s="1" t="n">
        <v>45684</v>
      </c>
      <c r="C25" s="1" t="n">
        <v>46148</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42853-2022</t>
        </is>
      </c>
      <c r="B26" s="1" t="n">
        <v>44832</v>
      </c>
      <c r="C26" s="1" t="n">
        <v>46148</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46148</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46148</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46148</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46148</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46148</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46148</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29707-2025</t>
        </is>
      </c>
      <c r="B33" s="1" t="n">
        <v>45825.56100694444</v>
      </c>
      <c r="C33" s="1" t="n">
        <v>46148</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46148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39694-2025</t>
        </is>
      </c>
      <c r="B35" s="1" t="n">
        <v>45890</v>
      </c>
      <c r="C35" s="1" t="n">
        <v>46148</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48128-2023</t>
        </is>
      </c>
      <c r="B36" s="1" t="n">
        <v>45205</v>
      </c>
      <c r="C36" s="1" t="n">
        <v>46148</v>
      </c>
      <c r="D36" t="inlineStr">
        <is>
          <t>VÄSTMANLANDS LÄN</t>
        </is>
      </c>
      <c r="E36" t="inlineStr">
        <is>
          <t>SURAHAMMAR</t>
        </is>
      </c>
      <c r="F36" t="inlineStr">
        <is>
          <t>Allmännings- och besparingsskogar</t>
        </is>
      </c>
      <c r="G36" t="n">
        <v>11.8</v>
      </c>
      <c r="H36" t="n">
        <v>0</v>
      </c>
      <c r="I36" t="n">
        <v>2</v>
      </c>
      <c r="J36" t="n">
        <v>1</v>
      </c>
      <c r="K36" t="n">
        <v>0</v>
      </c>
      <c r="L36" t="n">
        <v>0</v>
      </c>
      <c r="M36" t="n">
        <v>0</v>
      </c>
      <c r="N36" t="n">
        <v>0</v>
      </c>
      <c r="O36" t="n">
        <v>1</v>
      </c>
      <c r="P36" t="n">
        <v>0</v>
      </c>
      <c r="Q36" t="n">
        <v>3</v>
      </c>
      <c r="R36" s="2" t="inlineStr">
        <is>
          <t>Svinrot
Blodticka
Vedticka</t>
        </is>
      </c>
      <c r="S36">
        <f>HYPERLINK("https://klasma.github.io/Logging_1907/artfynd/A 48128-2023 artfynd.xlsx", "A 48128-2023")</f>
        <v/>
      </c>
      <c r="T36">
        <f>HYPERLINK("https://klasma.github.io/Logging_1907/kartor/A 48128-2023 karta.png", "A 48128-2023")</f>
        <v/>
      </c>
      <c r="V36">
        <f>HYPERLINK("https://klasma.github.io/Logging_1907/klagomål/A 48128-2023 FSC-klagomål.docx", "A 48128-2023")</f>
        <v/>
      </c>
      <c r="W36">
        <f>HYPERLINK("https://klasma.github.io/Logging_1907/klagomålsmail/A 48128-2023 FSC-klagomål mail.docx", "A 48128-2023")</f>
        <v/>
      </c>
      <c r="X36">
        <f>HYPERLINK("https://klasma.github.io/Logging_1907/tillsyn/A 48128-2023 tillsynsbegäran.docx", "A 48128-2023")</f>
        <v/>
      </c>
      <c r="Y36">
        <f>HYPERLINK("https://klasma.github.io/Logging_1907/tillsynsmail/A 48128-2023 tillsynsbegäran mail.docx", "A 48128-2023")</f>
        <v/>
      </c>
    </row>
    <row r="37" ht="15" customHeight="1">
      <c r="A37" t="inlineStr">
        <is>
          <t>A 8552-2022</t>
        </is>
      </c>
      <c r="B37" s="1" t="n">
        <v>44613</v>
      </c>
      <c r="C37" s="1" t="n">
        <v>46148</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4082-2025</t>
        </is>
      </c>
      <c r="B38" s="1" t="n">
        <v>45684</v>
      </c>
      <c r="C38" s="1" t="n">
        <v>46148</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42708-2022</t>
        </is>
      </c>
      <c r="B39" s="1" t="n">
        <v>44832</v>
      </c>
      <c r="C39" s="1" t="n">
        <v>46148</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37801-2021</t>
        </is>
      </c>
      <c r="B40" s="1" t="n">
        <v>44402</v>
      </c>
      <c r="C40" s="1" t="n">
        <v>46148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46148</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40403-2025</t>
        </is>
      </c>
      <c r="B42" s="1" t="n">
        <v>45895</v>
      </c>
      <c r="C42" s="1" t="n">
        <v>46148</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62097-2024</t>
        </is>
      </c>
      <c r="B43" s="1" t="n">
        <v>45646</v>
      </c>
      <c r="C43" s="1" t="n">
        <v>46148</v>
      </c>
      <c r="D43" t="inlineStr">
        <is>
          <t>VÄSTMANLANDS LÄN</t>
        </is>
      </c>
      <c r="E43" t="inlineStr">
        <is>
          <t>SURAHAMMAR</t>
        </is>
      </c>
      <c r="F43" t="inlineStr">
        <is>
          <t>Bergvik skog väst AB</t>
        </is>
      </c>
      <c r="G43" t="n">
        <v>21.7</v>
      </c>
      <c r="H43" t="n">
        <v>2</v>
      </c>
      <c r="I43" t="n">
        <v>0</v>
      </c>
      <c r="J43" t="n">
        <v>0</v>
      </c>
      <c r="K43" t="n">
        <v>0</v>
      </c>
      <c r="L43" t="n">
        <v>0</v>
      </c>
      <c r="M43" t="n">
        <v>0</v>
      </c>
      <c r="N43" t="n">
        <v>0</v>
      </c>
      <c r="O43" t="n">
        <v>0</v>
      </c>
      <c r="P43" t="n">
        <v>0</v>
      </c>
      <c r="Q43" t="n">
        <v>2</v>
      </c>
      <c r="R43" s="2" t="inlineStr">
        <is>
          <t>Mattlummer
Revlummer</t>
        </is>
      </c>
      <c r="S43">
        <f>HYPERLINK("https://klasma.github.io/Logging_1907/artfynd/A 62097-2024 artfynd.xlsx", "A 62097-2024")</f>
        <v/>
      </c>
      <c r="T43">
        <f>HYPERLINK("https://klasma.github.io/Logging_1907/kartor/A 62097-2024 karta.png", "A 62097-2024")</f>
        <v/>
      </c>
      <c r="V43">
        <f>HYPERLINK("https://klasma.github.io/Logging_1907/klagomål/A 62097-2024 FSC-klagomål.docx", "A 62097-2024")</f>
        <v/>
      </c>
      <c r="W43">
        <f>HYPERLINK("https://klasma.github.io/Logging_1907/klagomålsmail/A 62097-2024 FSC-klagomål mail.docx", "A 62097-2024")</f>
        <v/>
      </c>
      <c r="X43">
        <f>HYPERLINK("https://klasma.github.io/Logging_1907/tillsyn/A 62097-2024 tillsynsbegäran.docx", "A 62097-2024")</f>
        <v/>
      </c>
      <c r="Y43">
        <f>HYPERLINK("https://klasma.github.io/Logging_1907/tillsynsmail/A 62097-2024 tillsynsbegäran mail.docx", "A 62097-2024")</f>
        <v/>
      </c>
    </row>
    <row r="44" ht="15" customHeight="1">
      <c r="A44" t="inlineStr">
        <is>
          <t>A 41204-2023</t>
        </is>
      </c>
      <c r="B44" s="1" t="n">
        <v>45174</v>
      </c>
      <c r="C44" s="1" t="n">
        <v>46148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46148</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46148</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46148</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46148</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46148</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46148</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46148</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46148</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46148</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46148</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46148</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46148</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46148</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46148</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34584-2025</t>
        </is>
      </c>
      <c r="B59" s="1" t="n">
        <v>45846</v>
      </c>
      <c r="C59" s="1" t="n">
        <v>46148</v>
      </c>
      <c r="D59" t="inlineStr">
        <is>
          <t>VÄSTMANLANDS LÄN</t>
        </is>
      </c>
      <c r="E59" t="inlineStr">
        <is>
          <t>SURAHAMMAR</t>
        </is>
      </c>
      <c r="F59" t="inlineStr">
        <is>
          <t>Bergvik skog väst AB</t>
        </is>
      </c>
      <c r="G59" t="n">
        <v>2.7</v>
      </c>
      <c r="H59" t="n">
        <v>1</v>
      </c>
      <c r="I59" t="n">
        <v>0</v>
      </c>
      <c r="J59" t="n">
        <v>0</v>
      </c>
      <c r="K59" t="n">
        <v>0</v>
      </c>
      <c r="L59" t="n">
        <v>0</v>
      </c>
      <c r="M59" t="n">
        <v>0</v>
      </c>
      <c r="N59" t="n">
        <v>0</v>
      </c>
      <c r="O59" t="n">
        <v>0</v>
      </c>
      <c r="P59" t="n">
        <v>0</v>
      </c>
      <c r="Q59" t="n">
        <v>1</v>
      </c>
      <c r="R59" s="2" t="inlineStr">
        <is>
          <t>Tjäder</t>
        </is>
      </c>
      <c r="S59">
        <f>HYPERLINK("https://klasma.github.io/Logging_1907/artfynd/A 34584-2025 artfynd.xlsx", "A 34584-2025")</f>
        <v/>
      </c>
      <c r="T59">
        <f>HYPERLINK("https://klasma.github.io/Logging_1907/kartor/A 34584-2025 karta.png", "A 34584-2025")</f>
        <v/>
      </c>
      <c r="V59">
        <f>HYPERLINK("https://klasma.github.io/Logging_1907/klagomål/A 34584-2025 FSC-klagomål.docx", "A 34584-2025")</f>
        <v/>
      </c>
      <c r="W59">
        <f>HYPERLINK("https://klasma.github.io/Logging_1907/klagomålsmail/A 34584-2025 FSC-klagomål mail.docx", "A 34584-2025")</f>
        <v/>
      </c>
      <c r="X59">
        <f>HYPERLINK("https://klasma.github.io/Logging_1907/tillsyn/A 34584-2025 tillsynsbegäran.docx", "A 34584-2025")</f>
        <v/>
      </c>
      <c r="Y59">
        <f>HYPERLINK("https://klasma.github.io/Logging_1907/tillsynsmail/A 34584-2025 tillsynsbegäran mail.docx", "A 34584-2025")</f>
        <v/>
      </c>
      <c r="Z59">
        <f>HYPERLINK("https://klasma.github.io/Logging_1907/fåglar/A 34584-2025 prioriterade fågelarter.docx", "A 34584-2025")</f>
        <v/>
      </c>
    </row>
    <row r="60" ht="15" customHeight="1">
      <c r="A60" t="inlineStr">
        <is>
          <t>A 10819-2024</t>
        </is>
      </c>
      <c r="B60" s="1" t="n">
        <v>45369.66049768519</v>
      </c>
      <c r="C60" s="1" t="n">
        <v>46148</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55042-2025</t>
        </is>
      </c>
      <c r="B61" s="1" t="n">
        <v>45967.65858796296</v>
      </c>
      <c r="C61" s="1" t="n">
        <v>46148</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55871-2025</t>
        </is>
      </c>
      <c r="B62" s="1" t="n">
        <v>45973.35452546296</v>
      </c>
      <c r="C62" s="1" t="n">
        <v>46148</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56768-2025</t>
        </is>
      </c>
      <c r="B63" s="1" t="n">
        <v>45978</v>
      </c>
      <c r="C63" s="1" t="n">
        <v>46148</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40411-2021</t>
        </is>
      </c>
      <c r="B64" s="1" t="n">
        <v>44419</v>
      </c>
      <c r="C64" s="1" t="n">
        <v>46148</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33231-2024</t>
        </is>
      </c>
      <c r="B65" s="1" t="n">
        <v>45518</v>
      </c>
      <c r="C65" s="1" t="n">
        <v>46148</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30074-2023</t>
        </is>
      </c>
      <c r="B66" s="1" t="n">
        <v>45110</v>
      </c>
      <c r="C66" s="1" t="n">
        <v>46148</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63145-2025</t>
        </is>
      </c>
      <c r="B67" s="1" t="n">
        <v>46009</v>
      </c>
      <c r="C67" s="1" t="n">
        <v>46148</v>
      </c>
      <c r="D67" t="inlineStr">
        <is>
          <t>VÄSTMANLANDS LÄN</t>
        </is>
      </c>
      <c r="E67" t="inlineStr">
        <is>
          <t>SURAHAMMAR</t>
        </is>
      </c>
      <c r="F67" t="inlineStr">
        <is>
          <t>Bergvik skog väst AB</t>
        </is>
      </c>
      <c r="G67" t="n">
        <v>40.5</v>
      </c>
      <c r="H67" t="n">
        <v>0</v>
      </c>
      <c r="I67" t="n">
        <v>1</v>
      </c>
      <c r="J67" t="n">
        <v>0</v>
      </c>
      <c r="K67" t="n">
        <v>0</v>
      </c>
      <c r="L67" t="n">
        <v>0</v>
      </c>
      <c r="M67" t="n">
        <v>0</v>
      </c>
      <c r="N67" t="n">
        <v>0</v>
      </c>
      <c r="O67" t="n">
        <v>0</v>
      </c>
      <c r="P67" t="n">
        <v>0</v>
      </c>
      <c r="Q67" t="n">
        <v>1</v>
      </c>
      <c r="R67" s="2" t="inlineStr">
        <is>
          <t>Svart trolldruva</t>
        </is>
      </c>
      <c r="S67">
        <f>HYPERLINK("https://klasma.github.io/Logging_1907/artfynd/A 63145-2025 artfynd.xlsx", "A 63145-2025")</f>
        <v/>
      </c>
      <c r="T67">
        <f>HYPERLINK("https://klasma.github.io/Logging_1907/kartor/A 63145-2025 karta.png", "A 63145-2025")</f>
        <v/>
      </c>
      <c r="V67">
        <f>HYPERLINK("https://klasma.github.io/Logging_1907/klagomål/A 63145-2025 FSC-klagomål.docx", "A 63145-2025")</f>
        <v/>
      </c>
      <c r="W67">
        <f>HYPERLINK("https://klasma.github.io/Logging_1907/klagomålsmail/A 63145-2025 FSC-klagomål mail.docx", "A 63145-2025")</f>
        <v/>
      </c>
      <c r="X67">
        <f>HYPERLINK("https://klasma.github.io/Logging_1907/tillsyn/A 63145-2025 tillsynsbegäran.docx", "A 63145-2025")</f>
        <v/>
      </c>
      <c r="Y67">
        <f>HYPERLINK("https://klasma.github.io/Logging_1907/tillsynsmail/A 63145-2025 tillsynsbegäran mail.docx", "A 63145-2025")</f>
        <v/>
      </c>
    </row>
    <row r="68" ht="15" customHeight="1">
      <c r="A68" t="inlineStr">
        <is>
          <t>A 31176-2024</t>
        </is>
      </c>
      <c r="B68" s="1" t="n">
        <v>45503</v>
      </c>
      <c r="C68" s="1" t="n">
        <v>46148</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25583-2024</t>
        </is>
      </c>
      <c r="B69" s="1" t="n">
        <v>45463</v>
      </c>
      <c r="C69" s="1" t="n">
        <v>46148</v>
      </c>
      <c r="D69" t="inlineStr">
        <is>
          <t>VÄSTMANLANDS LÄN</t>
        </is>
      </c>
      <c r="E69" t="inlineStr">
        <is>
          <t>SURAHAMMAR</t>
        </is>
      </c>
      <c r="F69" t="inlineStr">
        <is>
          <t>Bergvik skog väst AB</t>
        </is>
      </c>
      <c r="G69" t="n">
        <v>7.8</v>
      </c>
      <c r="H69" t="n">
        <v>1</v>
      </c>
      <c r="I69" t="n">
        <v>0</v>
      </c>
      <c r="J69" t="n">
        <v>0</v>
      </c>
      <c r="K69" t="n">
        <v>0</v>
      </c>
      <c r="L69" t="n">
        <v>0</v>
      </c>
      <c r="M69" t="n">
        <v>0</v>
      </c>
      <c r="N69" t="n">
        <v>0</v>
      </c>
      <c r="O69" t="n">
        <v>0</v>
      </c>
      <c r="P69" t="n">
        <v>0</v>
      </c>
      <c r="Q69" t="n">
        <v>1</v>
      </c>
      <c r="R69" s="2" t="inlineStr">
        <is>
          <t>Blåsippa</t>
        </is>
      </c>
      <c r="S69">
        <f>HYPERLINK("https://klasma.github.io/Logging_1907/artfynd/A 25583-2024 artfynd.xlsx", "A 25583-2024")</f>
        <v/>
      </c>
      <c r="T69">
        <f>HYPERLINK("https://klasma.github.io/Logging_1907/kartor/A 25583-2024 karta.png", "A 25583-2024")</f>
        <v/>
      </c>
      <c r="V69">
        <f>HYPERLINK("https://klasma.github.io/Logging_1907/klagomål/A 25583-2024 FSC-klagomål.docx", "A 25583-2024")</f>
        <v/>
      </c>
      <c r="W69">
        <f>HYPERLINK("https://klasma.github.io/Logging_1907/klagomålsmail/A 25583-2024 FSC-klagomål mail.docx", "A 25583-2024")</f>
        <v/>
      </c>
      <c r="X69">
        <f>HYPERLINK("https://klasma.github.io/Logging_1907/tillsyn/A 25583-2024 tillsynsbegäran.docx", "A 25583-2024")</f>
        <v/>
      </c>
      <c r="Y69">
        <f>HYPERLINK("https://klasma.github.io/Logging_1907/tillsynsmail/A 25583-2024 tillsynsbegäran mail.docx", "A 25583-2024")</f>
        <v/>
      </c>
    </row>
    <row r="70" ht="15" customHeight="1">
      <c r="A70" t="inlineStr">
        <is>
          <t>A 13971-2023</t>
        </is>
      </c>
      <c r="B70" s="1" t="n">
        <v>45007</v>
      </c>
      <c r="C70" s="1" t="n">
        <v>46148</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42765-2022</t>
        </is>
      </c>
      <c r="B71" s="1" t="n">
        <v>44832</v>
      </c>
      <c r="C71" s="1" t="n">
        <v>46148</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44356-2024</t>
        </is>
      </c>
      <c r="B72" s="1" t="n">
        <v>45573</v>
      </c>
      <c r="C72" s="1" t="n">
        <v>46148</v>
      </c>
      <c r="D72" t="inlineStr">
        <is>
          <t>VÄSTMANLANDS LÄN</t>
        </is>
      </c>
      <c r="E72" t="inlineStr">
        <is>
          <t>SURAHAMMAR</t>
        </is>
      </c>
      <c r="F72" t="inlineStr">
        <is>
          <t>Sveaskog</t>
        </is>
      </c>
      <c r="G72" t="n">
        <v>0.7</v>
      </c>
      <c r="H72" t="n">
        <v>1</v>
      </c>
      <c r="I72" t="n">
        <v>0</v>
      </c>
      <c r="J72" t="n">
        <v>0</v>
      </c>
      <c r="K72" t="n">
        <v>0</v>
      </c>
      <c r="L72" t="n">
        <v>0</v>
      </c>
      <c r="M72" t="n">
        <v>0</v>
      </c>
      <c r="N72" t="n">
        <v>0</v>
      </c>
      <c r="O72" t="n">
        <v>0</v>
      </c>
      <c r="P72" t="n">
        <v>0</v>
      </c>
      <c r="Q72" t="n">
        <v>1</v>
      </c>
      <c r="R72" s="2" t="inlineStr">
        <is>
          <t>Revlummer</t>
        </is>
      </c>
      <c r="S72">
        <f>HYPERLINK("https://klasma.github.io/Logging_1907/artfynd/A 44356-2024 artfynd.xlsx", "A 44356-2024")</f>
        <v/>
      </c>
      <c r="T72">
        <f>HYPERLINK("https://klasma.github.io/Logging_1907/kartor/A 44356-2024 karta.png", "A 44356-2024")</f>
        <v/>
      </c>
      <c r="V72">
        <f>HYPERLINK("https://klasma.github.io/Logging_1907/klagomål/A 44356-2024 FSC-klagomål.docx", "A 44356-2024")</f>
        <v/>
      </c>
      <c r="W72">
        <f>HYPERLINK("https://klasma.github.io/Logging_1907/klagomålsmail/A 44356-2024 FSC-klagomål mail.docx", "A 44356-2024")</f>
        <v/>
      </c>
      <c r="X72">
        <f>HYPERLINK("https://klasma.github.io/Logging_1907/tillsyn/A 44356-2024 tillsynsbegäran.docx", "A 44356-2024")</f>
        <v/>
      </c>
      <c r="Y72">
        <f>HYPERLINK("https://klasma.github.io/Logging_1907/tillsynsmail/A 44356-2024 tillsynsbegäran mail.docx", "A 44356-2024")</f>
        <v/>
      </c>
    </row>
    <row r="73" ht="15" customHeight="1">
      <c r="A73" t="inlineStr">
        <is>
          <t>A 17632-2022</t>
        </is>
      </c>
      <c r="B73" s="1" t="n">
        <v>44680</v>
      </c>
      <c r="C73" s="1" t="n">
        <v>46148</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46148</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43451-2024</t>
        </is>
      </c>
      <c r="B75" s="1" t="n">
        <v>45568</v>
      </c>
      <c r="C75" s="1" t="n">
        <v>46148</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13788-2025</t>
        </is>
      </c>
      <c r="B76" s="1" t="n">
        <v>45737.45327546296</v>
      </c>
      <c r="C76" s="1" t="n">
        <v>46148</v>
      </c>
      <c r="D76" t="inlineStr">
        <is>
          <t>VÄSTMANLANDS LÄN</t>
        </is>
      </c>
      <c r="E76" t="inlineStr">
        <is>
          <t>SURAHAMMAR</t>
        </is>
      </c>
      <c r="G76" t="n">
        <v>9.699999999999999</v>
      </c>
      <c r="H76" t="n">
        <v>1</v>
      </c>
      <c r="I76" t="n">
        <v>0</v>
      </c>
      <c r="J76" t="n">
        <v>0</v>
      </c>
      <c r="K76" t="n">
        <v>0</v>
      </c>
      <c r="L76" t="n">
        <v>0</v>
      </c>
      <c r="M76" t="n">
        <v>0</v>
      </c>
      <c r="N76" t="n">
        <v>0</v>
      </c>
      <c r="O76" t="n">
        <v>0</v>
      </c>
      <c r="P76" t="n">
        <v>0</v>
      </c>
      <c r="Q76" t="n">
        <v>1</v>
      </c>
      <c r="R76" s="2" t="inlineStr">
        <is>
          <t>Sparvuggla</t>
        </is>
      </c>
      <c r="S76">
        <f>HYPERLINK("https://klasma.github.io/Logging_1907/artfynd/A 13788-2025 artfynd.xlsx", "A 13788-2025")</f>
        <v/>
      </c>
      <c r="T76">
        <f>HYPERLINK("https://klasma.github.io/Logging_1907/kartor/A 13788-2025 karta.png", "A 13788-2025")</f>
        <v/>
      </c>
      <c r="V76">
        <f>HYPERLINK("https://klasma.github.io/Logging_1907/klagomål/A 13788-2025 FSC-klagomål.docx", "A 13788-2025")</f>
        <v/>
      </c>
      <c r="W76">
        <f>HYPERLINK("https://klasma.github.io/Logging_1907/klagomålsmail/A 13788-2025 FSC-klagomål mail.docx", "A 13788-2025")</f>
        <v/>
      </c>
      <c r="X76">
        <f>HYPERLINK("https://klasma.github.io/Logging_1907/tillsyn/A 13788-2025 tillsynsbegäran.docx", "A 13788-2025")</f>
        <v/>
      </c>
      <c r="Y76">
        <f>HYPERLINK("https://klasma.github.io/Logging_1907/tillsynsmail/A 13788-2025 tillsynsbegäran mail.docx", "A 13788-2025")</f>
        <v/>
      </c>
      <c r="Z76">
        <f>HYPERLINK("https://klasma.github.io/Logging_1907/fåglar/A 13788-2025 prioriterade fågelarter.docx", "A 13788-2025")</f>
        <v/>
      </c>
    </row>
    <row r="77" ht="15" customHeight="1">
      <c r="A77" t="inlineStr">
        <is>
          <t>A 64073-2021</t>
        </is>
      </c>
      <c r="B77" s="1" t="n">
        <v>44509</v>
      </c>
      <c r="C77" s="1" t="n">
        <v>46148</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46148</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46148</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46148</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46148</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46148</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46148</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46148</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46148</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46148</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46148</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46148</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46148</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46148</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46148</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46148</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46148</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46148</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46148</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46148</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46148</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46148</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46148</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46148</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10244-2026</t>
        </is>
      </c>
      <c r="B101" s="1" t="n">
        <v>46076.55032407407</v>
      </c>
      <c r="C101" s="1" t="n">
        <v>46148</v>
      </c>
      <c r="D101" t="inlineStr">
        <is>
          <t>VÄSTMANLANDS LÄN</t>
        </is>
      </c>
      <c r="E101" t="inlineStr">
        <is>
          <t>SURAHAMMAR</t>
        </is>
      </c>
      <c r="F101" t="inlineStr">
        <is>
          <t>Allmännings- och besparingsskogar</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10512-2026</t>
        </is>
      </c>
      <c r="B102" s="1" t="n">
        <v>46077.56861111111</v>
      </c>
      <c r="C102" s="1" t="n">
        <v>46148</v>
      </c>
      <c r="D102" t="inlineStr">
        <is>
          <t>VÄSTMANLANDS LÄN</t>
        </is>
      </c>
      <c r="E102" t="inlineStr">
        <is>
          <t>SURAHAMMAR</t>
        </is>
      </c>
      <c r="F102" t="inlineStr">
        <is>
          <t>Övriga Aktiebolag</t>
        </is>
      </c>
      <c r="G102" t="n">
        <v>4.3</v>
      </c>
      <c r="H102" t="n">
        <v>0</v>
      </c>
      <c r="I102" t="n">
        <v>0</v>
      </c>
      <c r="J102" t="n">
        <v>0</v>
      </c>
      <c r="K102" t="n">
        <v>0</v>
      </c>
      <c r="L102" t="n">
        <v>0</v>
      </c>
      <c r="M102" t="n">
        <v>0</v>
      </c>
      <c r="N102" t="n">
        <v>0</v>
      </c>
      <c r="O102" t="n">
        <v>0</v>
      </c>
      <c r="P102" t="n">
        <v>0</v>
      </c>
      <c r="Q102" t="n">
        <v>0</v>
      </c>
      <c r="R102" s="2" t="inlineStr"/>
    </row>
    <row r="103" ht="15" customHeight="1">
      <c r="A103" t="inlineStr">
        <is>
          <t>A 10249-2026</t>
        </is>
      </c>
      <c r="B103" s="1" t="n">
        <v>46076.55456018518</v>
      </c>
      <c r="C103" s="1" t="n">
        <v>46148</v>
      </c>
      <c r="D103" t="inlineStr">
        <is>
          <t>VÄSTMANLANDS LÄN</t>
        </is>
      </c>
      <c r="E103" t="inlineStr">
        <is>
          <t>SURAHAMMAR</t>
        </is>
      </c>
      <c r="F103" t="inlineStr">
        <is>
          <t>Allmännings- och besparingsskogar</t>
        </is>
      </c>
      <c r="G103" t="n">
        <v>4.8</v>
      </c>
      <c r="H103" t="n">
        <v>0</v>
      </c>
      <c r="I103" t="n">
        <v>0</v>
      </c>
      <c r="J103" t="n">
        <v>0</v>
      </c>
      <c r="K103" t="n">
        <v>0</v>
      </c>
      <c r="L103" t="n">
        <v>0</v>
      </c>
      <c r="M103" t="n">
        <v>0</v>
      </c>
      <c r="N103" t="n">
        <v>0</v>
      </c>
      <c r="O103" t="n">
        <v>0</v>
      </c>
      <c r="P103" t="n">
        <v>0</v>
      </c>
      <c r="Q103" t="n">
        <v>0</v>
      </c>
      <c r="R103" s="2" t="inlineStr"/>
    </row>
    <row r="104" ht="15" customHeight="1">
      <c r="A104" t="inlineStr">
        <is>
          <t>A 10562-2026</t>
        </is>
      </c>
      <c r="B104" s="1" t="n">
        <v>46077.64043981482</v>
      </c>
      <c r="C104" s="1" t="n">
        <v>46148</v>
      </c>
      <c r="D104" t="inlineStr">
        <is>
          <t>VÄSTMANLANDS LÄN</t>
        </is>
      </c>
      <c r="E104" t="inlineStr">
        <is>
          <t>SURAHAMMAR</t>
        </is>
      </c>
      <c r="F104" t="inlineStr">
        <is>
          <t>Övriga Aktiebolag</t>
        </is>
      </c>
      <c r="G104" t="n">
        <v>2.3</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46148</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42088-2025</t>
        </is>
      </c>
      <c r="B106" s="1" t="n">
        <v>45902</v>
      </c>
      <c r="C106" s="1" t="n">
        <v>46148</v>
      </c>
      <c r="D106" t="inlineStr">
        <is>
          <t>VÄSTMANLANDS LÄN</t>
        </is>
      </c>
      <c r="E106" t="inlineStr">
        <is>
          <t>SURAHAMMAR</t>
        </is>
      </c>
      <c r="G106" t="n">
        <v>1</v>
      </c>
      <c r="H106" t="n">
        <v>0</v>
      </c>
      <c r="I106" t="n">
        <v>0</v>
      </c>
      <c r="J106" t="n">
        <v>0</v>
      </c>
      <c r="K106" t="n">
        <v>0</v>
      </c>
      <c r="L106" t="n">
        <v>0</v>
      </c>
      <c r="M106" t="n">
        <v>0</v>
      </c>
      <c r="N106" t="n">
        <v>0</v>
      </c>
      <c r="O106" t="n">
        <v>0</v>
      </c>
      <c r="P106" t="n">
        <v>0</v>
      </c>
      <c r="Q106" t="n">
        <v>0</v>
      </c>
      <c r="R106" s="2" t="inlineStr"/>
    </row>
    <row r="107" ht="15" customHeight="1">
      <c r="A107" t="inlineStr">
        <is>
          <t>A 10347-2026</t>
        </is>
      </c>
      <c r="B107" s="1" t="n">
        <v>46076.69101851852</v>
      </c>
      <c r="C107" s="1" t="n">
        <v>46148</v>
      </c>
      <c r="D107" t="inlineStr">
        <is>
          <t>VÄSTMANLANDS LÄN</t>
        </is>
      </c>
      <c r="E107" t="inlineStr">
        <is>
          <t>SURAHAMMAR</t>
        </is>
      </c>
      <c r="F107" t="inlineStr">
        <is>
          <t>Allmännings- och besparingsskogar</t>
        </is>
      </c>
      <c r="G107" t="n">
        <v>3</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46148</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8553-2023</t>
        </is>
      </c>
      <c r="B109" s="1" t="n">
        <v>44977</v>
      </c>
      <c r="C109" s="1" t="n">
        <v>46148</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31107-2025</t>
        </is>
      </c>
      <c r="B110" s="1" t="n">
        <v>45831</v>
      </c>
      <c r="C110" s="1" t="n">
        <v>46148</v>
      </c>
      <c r="D110" t="inlineStr">
        <is>
          <t>VÄSTMANLANDS LÄN</t>
        </is>
      </c>
      <c r="E110" t="inlineStr">
        <is>
          <t>SURAHAMMAR</t>
        </is>
      </c>
      <c r="F110" t="inlineStr">
        <is>
          <t>Kommuner</t>
        </is>
      </c>
      <c r="G110" t="n">
        <v>1.7</v>
      </c>
      <c r="H110" t="n">
        <v>0</v>
      </c>
      <c r="I110" t="n">
        <v>0</v>
      </c>
      <c r="J110" t="n">
        <v>0</v>
      </c>
      <c r="K110" t="n">
        <v>0</v>
      </c>
      <c r="L110" t="n">
        <v>0</v>
      </c>
      <c r="M110" t="n">
        <v>0</v>
      </c>
      <c r="N110" t="n">
        <v>0</v>
      </c>
      <c r="O110" t="n">
        <v>0</v>
      </c>
      <c r="P110" t="n">
        <v>0</v>
      </c>
      <c r="Q110" t="n">
        <v>0</v>
      </c>
      <c r="R110" s="2" t="inlineStr"/>
    </row>
    <row r="111" ht="15" customHeight="1">
      <c r="A111" t="inlineStr">
        <is>
          <t>A 43249-2025</t>
        </is>
      </c>
      <c r="B111" s="1" t="n">
        <v>45910.55059027778</v>
      </c>
      <c r="C111" s="1" t="n">
        <v>46148</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19246-2026</t>
        </is>
      </c>
      <c r="B112" s="1" t="n">
        <v>46132.66501157408</v>
      </c>
      <c r="C112" s="1" t="n">
        <v>46148</v>
      </c>
      <c r="D112" t="inlineStr">
        <is>
          <t>VÄSTMANLANDS LÄN</t>
        </is>
      </c>
      <c r="E112" t="inlineStr">
        <is>
          <t>SURAHAMMAR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46148</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32916-2025</t>
        </is>
      </c>
      <c r="B114" s="1" t="n">
        <v>45839</v>
      </c>
      <c r="C114" s="1" t="n">
        <v>46148</v>
      </c>
      <c r="D114" t="inlineStr">
        <is>
          <t>VÄSTMANLANDS LÄN</t>
        </is>
      </c>
      <c r="E114" t="inlineStr">
        <is>
          <t>SURAHAMMAR</t>
        </is>
      </c>
      <c r="F114" t="inlineStr">
        <is>
          <t>Kommuner</t>
        </is>
      </c>
      <c r="G114" t="n">
        <v>4.9</v>
      </c>
      <c r="H114" t="n">
        <v>0</v>
      </c>
      <c r="I114" t="n">
        <v>0</v>
      </c>
      <c r="J114" t="n">
        <v>0</v>
      </c>
      <c r="K114" t="n">
        <v>0</v>
      </c>
      <c r="L114" t="n">
        <v>0</v>
      </c>
      <c r="M114" t="n">
        <v>0</v>
      </c>
      <c r="N114" t="n">
        <v>0</v>
      </c>
      <c r="O114" t="n">
        <v>0</v>
      </c>
      <c r="P114" t="n">
        <v>0</v>
      </c>
      <c r="Q114" t="n">
        <v>0</v>
      </c>
      <c r="R114" s="2" t="inlineStr"/>
    </row>
    <row r="115" ht="15" customHeight="1">
      <c r="A115" t="inlineStr">
        <is>
          <t>A 12841-2026</t>
        </is>
      </c>
      <c r="B115" s="1" t="n">
        <v>46091</v>
      </c>
      <c r="C115" s="1" t="n">
        <v>46148</v>
      </c>
      <c r="D115" t="inlineStr">
        <is>
          <t>VÄSTMANLANDS LÄN</t>
        </is>
      </c>
      <c r="E115" t="inlineStr">
        <is>
          <t>SURAHAMMAR</t>
        </is>
      </c>
      <c r="F115" t="inlineStr">
        <is>
          <t>Bergvik skog väst AB</t>
        </is>
      </c>
      <c r="G115" t="n">
        <v>4.3</v>
      </c>
      <c r="H115" t="n">
        <v>0</v>
      </c>
      <c r="I115" t="n">
        <v>0</v>
      </c>
      <c r="J115" t="n">
        <v>0</v>
      </c>
      <c r="K115" t="n">
        <v>0</v>
      </c>
      <c r="L115" t="n">
        <v>0</v>
      </c>
      <c r="M115" t="n">
        <v>0</v>
      </c>
      <c r="N115" t="n">
        <v>0</v>
      </c>
      <c r="O115" t="n">
        <v>0</v>
      </c>
      <c r="P115" t="n">
        <v>0</v>
      </c>
      <c r="Q115" t="n">
        <v>0</v>
      </c>
      <c r="R115" s="2" t="inlineStr"/>
    </row>
    <row r="116" ht="15" customHeight="1">
      <c r="A116" t="inlineStr">
        <is>
          <t>A 37013-2025</t>
        </is>
      </c>
      <c r="B116" s="1" t="n">
        <v>45874</v>
      </c>
      <c r="C116" s="1" t="n">
        <v>46148</v>
      </c>
      <c r="D116" t="inlineStr">
        <is>
          <t>VÄSTMANLANDS LÄN</t>
        </is>
      </c>
      <c r="E116" t="inlineStr">
        <is>
          <t>SURAHAMMAR</t>
        </is>
      </c>
      <c r="F116" t="inlineStr">
        <is>
          <t>Bergvik skog väst AB</t>
        </is>
      </c>
      <c r="G116" t="n">
        <v>10.7</v>
      </c>
      <c r="H116" t="n">
        <v>0</v>
      </c>
      <c r="I116" t="n">
        <v>0</v>
      </c>
      <c r="J116" t="n">
        <v>0</v>
      </c>
      <c r="K116" t="n">
        <v>0</v>
      </c>
      <c r="L116" t="n">
        <v>0</v>
      </c>
      <c r="M116" t="n">
        <v>0</v>
      </c>
      <c r="N116" t="n">
        <v>0</v>
      </c>
      <c r="O116" t="n">
        <v>0</v>
      </c>
      <c r="P116" t="n">
        <v>0</v>
      </c>
      <c r="Q116" t="n">
        <v>0</v>
      </c>
      <c r="R116" s="2" t="inlineStr"/>
    </row>
    <row r="117" ht="15" customHeight="1">
      <c r="A117" t="inlineStr">
        <is>
          <t>A 20535-2026</t>
        </is>
      </c>
      <c r="B117" s="1" t="n">
        <v>46140.56516203703</v>
      </c>
      <c r="C117" s="1" t="n">
        <v>46148</v>
      </c>
      <c r="D117" t="inlineStr">
        <is>
          <t>VÄSTMANLANDS LÄN</t>
        </is>
      </c>
      <c r="E117" t="inlineStr">
        <is>
          <t>SURAHAMMAR</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37954-2025</t>
        </is>
      </c>
      <c r="B118" s="1" t="n">
        <v>45881</v>
      </c>
      <c r="C118" s="1" t="n">
        <v>46148</v>
      </c>
      <c r="D118" t="inlineStr">
        <is>
          <t>VÄSTMANLANDS LÄN</t>
        </is>
      </c>
      <c r="E118" t="inlineStr">
        <is>
          <t>SURAHAMMAR</t>
        </is>
      </c>
      <c r="G118" t="n">
        <v>9.5</v>
      </c>
      <c r="H118" t="n">
        <v>0</v>
      </c>
      <c r="I118" t="n">
        <v>0</v>
      </c>
      <c r="J118" t="n">
        <v>0</v>
      </c>
      <c r="K118" t="n">
        <v>0</v>
      </c>
      <c r="L118" t="n">
        <v>0</v>
      </c>
      <c r="M118" t="n">
        <v>0</v>
      </c>
      <c r="N118" t="n">
        <v>0</v>
      </c>
      <c r="O118" t="n">
        <v>0</v>
      </c>
      <c r="P118" t="n">
        <v>0</v>
      </c>
      <c r="Q118" t="n">
        <v>0</v>
      </c>
      <c r="R118" s="2" t="inlineStr"/>
    </row>
    <row r="119" ht="15" customHeight="1">
      <c r="A119" t="inlineStr">
        <is>
          <t>A 56378-2023</t>
        </is>
      </c>
      <c r="B119" s="1" t="n">
        <v>45236</v>
      </c>
      <c r="C119" s="1" t="n">
        <v>46148</v>
      </c>
      <c r="D119" t="inlineStr">
        <is>
          <t>VÄSTMANLANDS LÄN</t>
        </is>
      </c>
      <c r="E119" t="inlineStr">
        <is>
          <t>SURAHAMMAR</t>
        </is>
      </c>
      <c r="F119" t="inlineStr">
        <is>
          <t>Bergvik skog väst AB</t>
        </is>
      </c>
      <c r="G119" t="n">
        <v>4.6</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46148</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11501-2023</t>
        </is>
      </c>
      <c r="B121" s="1" t="n">
        <v>44991</v>
      </c>
      <c r="C121" s="1" t="n">
        <v>46148</v>
      </c>
      <c r="D121" t="inlineStr">
        <is>
          <t>VÄSTMANLANDS LÄN</t>
        </is>
      </c>
      <c r="E121" t="inlineStr">
        <is>
          <t>SURAHAMMAR</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16013-2023</t>
        </is>
      </c>
      <c r="B122" s="1" t="n">
        <v>45026</v>
      </c>
      <c r="C122" s="1" t="n">
        <v>46148</v>
      </c>
      <c r="D122" t="inlineStr">
        <is>
          <t>VÄSTMANLANDS LÄN</t>
        </is>
      </c>
      <c r="E122" t="inlineStr">
        <is>
          <t>SURAHAMMAR</t>
        </is>
      </c>
      <c r="G122" t="n">
        <v>3.9</v>
      </c>
      <c r="H122" t="n">
        <v>0</v>
      </c>
      <c r="I122" t="n">
        <v>0</v>
      </c>
      <c r="J122" t="n">
        <v>0</v>
      </c>
      <c r="K122" t="n">
        <v>0</v>
      </c>
      <c r="L122" t="n">
        <v>0</v>
      </c>
      <c r="M122" t="n">
        <v>0</v>
      </c>
      <c r="N122" t="n">
        <v>0</v>
      </c>
      <c r="O122" t="n">
        <v>0</v>
      </c>
      <c r="P122" t="n">
        <v>0</v>
      </c>
      <c r="Q122" t="n">
        <v>0</v>
      </c>
      <c r="R122" s="2" t="inlineStr"/>
    </row>
    <row r="123" ht="15" customHeight="1">
      <c r="A123" t="inlineStr">
        <is>
          <t>A 20904-2023</t>
        </is>
      </c>
      <c r="B123" s="1" t="n">
        <v>45060</v>
      </c>
      <c r="C123" s="1" t="n">
        <v>46148</v>
      </c>
      <c r="D123" t="inlineStr">
        <is>
          <t>VÄSTMANLANDS LÄN</t>
        </is>
      </c>
      <c r="E123" t="inlineStr">
        <is>
          <t>SURAHAMMAR</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42829-2022</t>
        </is>
      </c>
      <c r="B124" s="1" t="n">
        <v>44832</v>
      </c>
      <c r="C124" s="1" t="n">
        <v>46148</v>
      </c>
      <c r="D124" t="inlineStr">
        <is>
          <t>VÄSTMANLANDS LÄN</t>
        </is>
      </c>
      <c r="E124" t="inlineStr">
        <is>
          <t>SURAHAMMAR</t>
        </is>
      </c>
      <c r="G124" t="n">
        <v>1.6</v>
      </c>
      <c r="H124" t="n">
        <v>0</v>
      </c>
      <c r="I124" t="n">
        <v>0</v>
      </c>
      <c r="J124" t="n">
        <v>0</v>
      </c>
      <c r="K124" t="n">
        <v>0</v>
      </c>
      <c r="L124" t="n">
        <v>0</v>
      </c>
      <c r="M124" t="n">
        <v>0</v>
      </c>
      <c r="N124" t="n">
        <v>0</v>
      </c>
      <c r="O124" t="n">
        <v>0</v>
      </c>
      <c r="P124" t="n">
        <v>0</v>
      </c>
      <c r="Q124" t="n">
        <v>0</v>
      </c>
      <c r="R124" s="2" t="inlineStr"/>
    </row>
    <row r="125" ht="15" customHeight="1">
      <c r="A125" t="inlineStr">
        <is>
          <t>A 34955-2022</t>
        </is>
      </c>
      <c r="B125" s="1" t="n">
        <v>44796</v>
      </c>
      <c r="C125" s="1" t="n">
        <v>46148</v>
      </c>
      <c r="D125" t="inlineStr">
        <is>
          <t>VÄSTMANLANDS LÄN</t>
        </is>
      </c>
      <c r="E125" t="inlineStr">
        <is>
          <t>SURAHAMMAR</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46148</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46148</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37798-2021</t>
        </is>
      </c>
      <c r="B128" s="1" t="n">
        <v>44402</v>
      </c>
      <c r="C128" s="1" t="n">
        <v>46148</v>
      </c>
      <c r="D128" t="inlineStr">
        <is>
          <t>VÄSTMANLANDS LÄN</t>
        </is>
      </c>
      <c r="E128" t="inlineStr">
        <is>
          <t>SURAHAMMAR</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55873-2025</t>
        </is>
      </c>
      <c r="B129" s="1" t="n">
        <v>45973.35608796297</v>
      </c>
      <c r="C129" s="1" t="n">
        <v>46148</v>
      </c>
      <c r="D129" t="inlineStr">
        <is>
          <t>VÄSTMANLANDS LÄN</t>
        </is>
      </c>
      <c r="E129" t="inlineStr">
        <is>
          <t>SURAHAMMAR</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56543-2025</t>
        </is>
      </c>
      <c r="B130" s="1" t="n">
        <v>45975</v>
      </c>
      <c r="C130" s="1" t="n">
        <v>46148</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48205-2023</t>
        </is>
      </c>
      <c r="B131" s="1" t="n">
        <v>45205</v>
      </c>
      <c r="C131" s="1" t="n">
        <v>46148</v>
      </c>
      <c r="D131" t="inlineStr">
        <is>
          <t>VÄSTMANLANDS LÄN</t>
        </is>
      </c>
      <c r="E131" t="inlineStr">
        <is>
          <t>SURAHAMMAR</t>
        </is>
      </c>
      <c r="F131" t="inlineStr">
        <is>
          <t>Allmännings- och besparingsskogar</t>
        </is>
      </c>
      <c r="G131" t="n">
        <v>7.6</v>
      </c>
      <c r="H131" t="n">
        <v>0</v>
      </c>
      <c r="I131" t="n">
        <v>0</v>
      </c>
      <c r="J131" t="n">
        <v>0</v>
      </c>
      <c r="K131" t="n">
        <v>0</v>
      </c>
      <c r="L131" t="n">
        <v>0</v>
      </c>
      <c r="M131" t="n">
        <v>0</v>
      </c>
      <c r="N131" t="n">
        <v>0</v>
      </c>
      <c r="O131" t="n">
        <v>0</v>
      </c>
      <c r="P131" t="n">
        <v>0</v>
      </c>
      <c r="Q131" t="n">
        <v>0</v>
      </c>
      <c r="R131" s="2" t="inlineStr"/>
    </row>
    <row r="132" ht="15" customHeight="1">
      <c r="A132" t="inlineStr">
        <is>
          <t>A 33931-2022</t>
        </is>
      </c>
      <c r="B132" s="1" t="n">
        <v>44790.65153935185</v>
      </c>
      <c r="C132" s="1" t="n">
        <v>46148</v>
      </c>
      <c r="D132" t="inlineStr">
        <is>
          <t>VÄSTMANLANDS LÄN</t>
        </is>
      </c>
      <c r="E132" t="inlineStr">
        <is>
          <t>SURAHAMMAR</t>
        </is>
      </c>
      <c r="G132" t="n">
        <v>2.2</v>
      </c>
      <c r="H132" t="n">
        <v>0</v>
      </c>
      <c r="I132" t="n">
        <v>0</v>
      </c>
      <c r="J132" t="n">
        <v>0</v>
      </c>
      <c r="K132" t="n">
        <v>0</v>
      </c>
      <c r="L132" t="n">
        <v>0</v>
      </c>
      <c r="M132" t="n">
        <v>0</v>
      </c>
      <c r="N132" t="n">
        <v>0</v>
      </c>
      <c r="O132" t="n">
        <v>0</v>
      </c>
      <c r="P132" t="n">
        <v>0</v>
      </c>
      <c r="Q132" t="n">
        <v>0</v>
      </c>
      <c r="R132" s="2" t="inlineStr"/>
    </row>
    <row r="133" ht="15" customHeight="1">
      <c r="A133" t="inlineStr">
        <is>
          <t>A 59399-2025</t>
        </is>
      </c>
      <c r="B133" s="1" t="n">
        <v>45989</v>
      </c>
      <c r="C133" s="1" t="n">
        <v>46148</v>
      </c>
      <c r="D133" t="inlineStr">
        <is>
          <t>VÄSTMANLANDS LÄN</t>
        </is>
      </c>
      <c r="E133" t="inlineStr">
        <is>
          <t>SURAHAMMAR</t>
        </is>
      </c>
      <c r="F133" t="inlineStr">
        <is>
          <t>Kommuner</t>
        </is>
      </c>
      <c r="G133" t="n">
        <v>2.1</v>
      </c>
      <c r="H133" t="n">
        <v>0</v>
      </c>
      <c r="I133" t="n">
        <v>0</v>
      </c>
      <c r="J133" t="n">
        <v>0</v>
      </c>
      <c r="K133" t="n">
        <v>0</v>
      </c>
      <c r="L133" t="n">
        <v>0</v>
      </c>
      <c r="M133" t="n">
        <v>0</v>
      </c>
      <c r="N133" t="n">
        <v>0</v>
      </c>
      <c r="O133" t="n">
        <v>0</v>
      </c>
      <c r="P133" t="n">
        <v>0</v>
      </c>
      <c r="Q133" t="n">
        <v>0</v>
      </c>
      <c r="R133" s="2" t="inlineStr"/>
    </row>
    <row r="134" ht="15" customHeight="1">
      <c r="A134" t="inlineStr">
        <is>
          <t>A 22662-2023</t>
        </is>
      </c>
      <c r="B134" s="1" t="n">
        <v>45071</v>
      </c>
      <c r="C134" s="1" t="n">
        <v>46148</v>
      </c>
      <c r="D134" t="inlineStr">
        <is>
          <t>VÄSTMANLANDS LÄN</t>
        </is>
      </c>
      <c r="E134" t="inlineStr">
        <is>
          <t>SURAHAMMAR</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56541-2025</t>
        </is>
      </c>
      <c r="B135" s="1" t="n">
        <v>45975</v>
      </c>
      <c r="C135" s="1" t="n">
        <v>46148</v>
      </c>
      <c r="D135" t="inlineStr">
        <is>
          <t>VÄSTMANLANDS LÄN</t>
        </is>
      </c>
      <c r="E135" t="inlineStr">
        <is>
          <t>SURAHAMMAR</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30076-2023</t>
        </is>
      </c>
      <c r="B136" s="1" t="n">
        <v>45110</v>
      </c>
      <c r="C136" s="1" t="n">
        <v>46148</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63138-2025</t>
        </is>
      </c>
      <c r="B137" s="1" t="n">
        <v>46009</v>
      </c>
      <c r="C137" s="1" t="n">
        <v>46148</v>
      </c>
      <c r="D137" t="inlineStr">
        <is>
          <t>VÄSTMANLANDS LÄN</t>
        </is>
      </c>
      <c r="E137" t="inlineStr">
        <is>
          <t>SURAHAMMAR</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47785-2021</t>
        </is>
      </c>
      <c r="B138" s="1" t="n">
        <v>44448</v>
      </c>
      <c r="C138" s="1" t="n">
        <v>46148</v>
      </c>
      <c r="D138" t="inlineStr">
        <is>
          <t>VÄSTMANLANDS LÄN</t>
        </is>
      </c>
      <c r="E138" t="inlineStr">
        <is>
          <t>SURAHAMMAR</t>
        </is>
      </c>
      <c r="F138" t="inlineStr">
        <is>
          <t>Kommuner</t>
        </is>
      </c>
      <c r="G138" t="n">
        <v>3.3</v>
      </c>
      <c r="H138" t="n">
        <v>0</v>
      </c>
      <c r="I138" t="n">
        <v>0</v>
      </c>
      <c r="J138" t="n">
        <v>0</v>
      </c>
      <c r="K138" t="n">
        <v>0</v>
      </c>
      <c r="L138" t="n">
        <v>0</v>
      </c>
      <c r="M138" t="n">
        <v>0</v>
      </c>
      <c r="N138" t="n">
        <v>0</v>
      </c>
      <c r="O138" t="n">
        <v>0</v>
      </c>
      <c r="P138" t="n">
        <v>0</v>
      </c>
      <c r="Q138" t="n">
        <v>0</v>
      </c>
      <c r="R138" s="2" t="inlineStr"/>
    </row>
    <row r="139" ht="15" customHeight="1">
      <c r="A139" t="inlineStr">
        <is>
          <t>A 25450-2024</t>
        </is>
      </c>
      <c r="B139" s="1" t="n">
        <v>45463</v>
      </c>
      <c r="C139" s="1" t="n">
        <v>46148</v>
      </c>
      <c r="D139" t="inlineStr">
        <is>
          <t>VÄSTMANLANDS LÄN</t>
        </is>
      </c>
      <c r="E139" t="inlineStr">
        <is>
          <t>SURAHAMMAR</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46148</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24665-2023</t>
        </is>
      </c>
      <c r="B141" s="1" t="n">
        <v>45084.48592592592</v>
      </c>
      <c r="C141" s="1" t="n">
        <v>46148</v>
      </c>
      <c r="D141" t="inlineStr">
        <is>
          <t>VÄSTMANLANDS LÄN</t>
        </is>
      </c>
      <c r="E141" t="inlineStr">
        <is>
          <t>SURAHAMMAR</t>
        </is>
      </c>
      <c r="G141" t="n">
        <v>0.9</v>
      </c>
      <c r="H141" t="n">
        <v>0</v>
      </c>
      <c r="I141" t="n">
        <v>0</v>
      </c>
      <c r="J141" t="n">
        <v>0</v>
      </c>
      <c r="K141" t="n">
        <v>0</v>
      </c>
      <c r="L141" t="n">
        <v>0</v>
      </c>
      <c r="M141" t="n">
        <v>0</v>
      </c>
      <c r="N141" t="n">
        <v>0</v>
      </c>
      <c r="O141" t="n">
        <v>0</v>
      </c>
      <c r="P141" t="n">
        <v>0</v>
      </c>
      <c r="Q141" t="n">
        <v>0</v>
      </c>
      <c r="R141" s="2" t="inlineStr"/>
    </row>
    <row r="142" ht="15" customHeight="1">
      <c r="A142" t="inlineStr">
        <is>
          <t>A 24167-2024</t>
        </is>
      </c>
      <c r="B142" s="1" t="n">
        <v>45456</v>
      </c>
      <c r="C142" s="1" t="n">
        <v>46148</v>
      </c>
      <c r="D142" t="inlineStr">
        <is>
          <t>VÄSTMANLANDS LÄN</t>
        </is>
      </c>
      <c r="E142" t="inlineStr">
        <is>
          <t>SURAHAMMAR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46148</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46148</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5698-2026</t>
        </is>
      </c>
      <c r="B145" s="1" t="n">
        <v>46051.50196759259</v>
      </c>
      <c r="C145" s="1" t="n">
        <v>46148</v>
      </c>
      <c r="D145" t="inlineStr">
        <is>
          <t>VÄSTMANLANDS LÄN</t>
        </is>
      </c>
      <c r="E145" t="inlineStr">
        <is>
          <t>SURAHAMMAR</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72367-2021</t>
        </is>
      </c>
      <c r="B146" s="1" t="n">
        <v>44545</v>
      </c>
      <c r="C146" s="1" t="n">
        <v>46148</v>
      </c>
      <c r="D146" t="inlineStr">
        <is>
          <t>VÄSTMANLANDS LÄN</t>
        </is>
      </c>
      <c r="E146" t="inlineStr">
        <is>
          <t>SURAHAMMAR</t>
        </is>
      </c>
      <c r="G146" t="n">
        <v>2.5</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46148</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46148</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42714-2022</t>
        </is>
      </c>
      <c r="B149" s="1" t="n">
        <v>44832</v>
      </c>
      <c r="C149" s="1" t="n">
        <v>46148</v>
      </c>
      <c r="D149" t="inlineStr">
        <is>
          <t>VÄSTMANLANDS LÄN</t>
        </is>
      </c>
      <c r="E149" t="inlineStr">
        <is>
          <t>SURAHAMMAR</t>
        </is>
      </c>
      <c r="G149" t="n">
        <v>1.1</v>
      </c>
      <c r="H149" t="n">
        <v>0</v>
      </c>
      <c r="I149" t="n">
        <v>0</v>
      </c>
      <c r="J149" t="n">
        <v>0</v>
      </c>
      <c r="K149" t="n">
        <v>0</v>
      </c>
      <c r="L149" t="n">
        <v>0</v>
      </c>
      <c r="M149" t="n">
        <v>0</v>
      </c>
      <c r="N149" t="n">
        <v>0</v>
      </c>
      <c r="O149" t="n">
        <v>0</v>
      </c>
      <c r="P149" t="n">
        <v>0</v>
      </c>
      <c r="Q149" t="n">
        <v>0</v>
      </c>
      <c r="R149" s="2" t="inlineStr"/>
    </row>
    <row r="150" ht="15" customHeight="1">
      <c r="A150" t="inlineStr">
        <is>
          <t>A 37287-2023</t>
        </is>
      </c>
      <c r="B150" s="1" t="n">
        <v>45156</v>
      </c>
      <c r="C150" s="1" t="n">
        <v>46148</v>
      </c>
      <c r="D150" t="inlineStr">
        <is>
          <t>VÄSTMANLANDS LÄN</t>
        </is>
      </c>
      <c r="E150" t="inlineStr">
        <is>
          <t>SURAHAMMAR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49058-2024</t>
        </is>
      </c>
      <c r="B151" s="1" t="n">
        <v>45594</v>
      </c>
      <c r="C151" s="1" t="n">
        <v>46148</v>
      </c>
      <c r="D151" t="inlineStr">
        <is>
          <t>VÄSTMANLANDS LÄN</t>
        </is>
      </c>
      <c r="E151" t="inlineStr">
        <is>
          <t>SURAHAMMAR</t>
        </is>
      </c>
      <c r="F151" t="inlineStr">
        <is>
          <t>Sveaskog</t>
        </is>
      </c>
      <c r="G151" t="n">
        <v>11.4</v>
      </c>
      <c r="H151" t="n">
        <v>0</v>
      </c>
      <c r="I151" t="n">
        <v>0</v>
      </c>
      <c r="J151" t="n">
        <v>0</v>
      </c>
      <c r="K151" t="n">
        <v>0</v>
      </c>
      <c r="L151" t="n">
        <v>0</v>
      </c>
      <c r="M151" t="n">
        <v>0</v>
      </c>
      <c r="N151" t="n">
        <v>0</v>
      </c>
      <c r="O151" t="n">
        <v>0</v>
      </c>
      <c r="P151" t="n">
        <v>0</v>
      </c>
      <c r="Q151" t="n">
        <v>0</v>
      </c>
      <c r="R151" s="2" t="inlineStr"/>
    </row>
    <row r="152" ht="15" customHeight="1">
      <c r="A152" t="inlineStr">
        <is>
          <t>A 49060-2024</t>
        </is>
      </c>
      <c r="B152" s="1" t="n">
        <v>45594</v>
      </c>
      <c r="C152" s="1" t="n">
        <v>46148</v>
      </c>
      <c r="D152" t="inlineStr">
        <is>
          <t>VÄSTMANLANDS LÄN</t>
        </is>
      </c>
      <c r="E152" t="inlineStr">
        <is>
          <t>SURAHAMMAR</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46148</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25780-2023</t>
        </is>
      </c>
      <c r="B154" s="1" t="n">
        <v>45090.47523148148</v>
      </c>
      <c r="C154" s="1" t="n">
        <v>46148</v>
      </c>
      <c r="D154" t="inlineStr">
        <is>
          <t>VÄSTMANLANDS LÄN</t>
        </is>
      </c>
      <c r="E154" t="inlineStr">
        <is>
          <t>SURAHAMMAR</t>
        </is>
      </c>
      <c r="G154" t="n">
        <v>2.8</v>
      </c>
      <c r="H154" t="n">
        <v>0</v>
      </c>
      <c r="I154" t="n">
        <v>0</v>
      </c>
      <c r="J154" t="n">
        <v>0</v>
      </c>
      <c r="K154" t="n">
        <v>0</v>
      </c>
      <c r="L154" t="n">
        <v>0</v>
      </c>
      <c r="M154" t="n">
        <v>0</v>
      </c>
      <c r="N154" t="n">
        <v>0</v>
      </c>
      <c r="O154" t="n">
        <v>0</v>
      </c>
      <c r="P154" t="n">
        <v>0</v>
      </c>
      <c r="Q154" t="n">
        <v>0</v>
      </c>
      <c r="R154" s="2" t="inlineStr"/>
    </row>
    <row r="155" ht="15" customHeight="1">
      <c r="A155" t="inlineStr">
        <is>
          <t>A 13386-2025</t>
        </is>
      </c>
      <c r="B155" s="1" t="n">
        <v>45735</v>
      </c>
      <c r="C155" s="1" t="n">
        <v>46148</v>
      </c>
      <c r="D155" t="inlineStr">
        <is>
          <t>VÄSTMANLANDS LÄN</t>
        </is>
      </c>
      <c r="E155" t="inlineStr">
        <is>
          <t>SURAHAMMAR</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35682-2022</t>
        </is>
      </c>
      <c r="B156" s="1" t="n">
        <v>44799.60422453703</v>
      </c>
      <c r="C156" s="1" t="n">
        <v>46148</v>
      </c>
      <c r="D156" t="inlineStr">
        <is>
          <t>VÄSTMANLANDS LÄN</t>
        </is>
      </c>
      <c r="E156" t="inlineStr">
        <is>
          <t>SURAHAMMAR</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2867-2024</t>
        </is>
      </c>
      <c r="B157" s="1" t="n">
        <v>45315</v>
      </c>
      <c r="C157" s="1" t="n">
        <v>46148</v>
      </c>
      <c r="D157" t="inlineStr">
        <is>
          <t>VÄSTMANLANDS LÄN</t>
        </is>
      </c>
      <c r="E157" t="inlineStr">
        <is>
          <t>SURAHAMMAR</t>
        </is>
      </c>
      <c r="F157" t="inlineStr">
        <is>
          <t>Bergvik skog väst AB</t>
        </is>
      </c>
      <c r="G157" t="n">
        <v>1.4</v>
      </c>
      <c r="H157" t="n">
        <v>0</v>
      </c>
      <c r="I157" t="n">
        <v>0</v>
      </c>
      <c r="J157" t="n">
        <v>0</v>
      </c>
      <c r="K157" t="n">
        <v>0</v>
      </c>
      <c r="L157" t="n">
        <v>0</v>
      </c>
      <c r="M157" t="n">
        <v>0</v>
      </c>
      <c r="N157" t="n">
        <v>0</v>
      </c>
      <c r="O157" t="n">
        <v>0</v>
      </c>
      <c r="P157" t="n">
        <v>0</v>
      </c>
      <c r="Q157" t="n">
        <v>0</v>
      </c>
      <c r="R157" s="2" t="inlineStr"/>
    </row>
    <row r="158" ht="15" customHeight="1">
      <c r="A158" t="inlineStr">
        <is>
          <t>A 2660-2024</t>
        </is>
      </c>
      <c r="B158" s="1" t="n">
        <v>45310</v>
      </c>
      <c r="C158" s="1" t="n">
        <v>46148</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41555-2022</t>
        </is>
      </c>
      <c r="B159" s="1" t="n">
        <v>44826</v>
      </c>
      <c r="C159" s="1" t="n">
        <v>46148</v>
      </c>
      <c r="D159" t="inlineStr">
        <is>
          <t>VÄSTMANLANDS LÄN</t>
        </is>
      </c>
      <c r="E159" t="inlineStr">
        <is>
          <t>SURAHAMMAR</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46148</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3085-2023</t>
        </is>
      </c>
      <c r="B161" s="1" t="n">
        <v>44946</v>
      </c>
      <c r="C161" s="1" t="n">
        <v>46148</v>
      </c>
      <c r="D161" t="inlineStr">
        <is>
          <t>VÄSTMANLANDS LÄN</t>
        </is>
      </c>
      <c r="E161" t="inlineStr">
        <is>
          <t>SURAHAMMAR</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7848-2022</t>
        </is>
      </c>
      <c r="B162" s="1" t="n">
        <v>44608.58400462963</v>
      </c>
      <c r="C162" s="1" t="n">
        <v>46148</v>
      </c>
      <c r="D162" t="inlineStr">
        <is>
          <t>VÄSTMANLANDS LÄN</t>
        </is>
      </c>
      <c r="E162" t="inlineStr">
        <is>
          <t>SURAHAMMAR</t>
        </is>
      </c>
      <c r="G162" t="n">
        <v>2.1</v>
      </c>
      <c r="H162" t="n">
        <v>0</v>
      </c>
      <c r="I162" t="n">
        <v>0</v>
      </c>
      <c r="J162" t="n">
        <v>0</v>
      </c>
      <c r="K162" t="n">
        <v>0</v>
      </c>
      <c r="L162" t="n">
        <v>0</v>
      </c>
      <c r="M162" t="n">
        <v>0</v>
      </c>
      <c r="N162" t="n">
        <v>0</v>
      </c>
      <c r="O162" t="n">
        <v>0</v>
      </c>
      <c r="P162" t="n">
        <v>0</v>
      </c>
      <c r="Q162" t="n">
        <v>0</v>
      </c>
      <c r="R162" s="2" t="inlineStr"/>
    </row>
    <row r="163" ht="15" customHeight="1">
      <c r="A163" t="inlineStr">
        <is>
          <t>A 16608-2022</t>
        </is>
      </c>
      <c r="B163" s="1" t="n">
        <v>44672</v>
      </c>
      <c r="C163" s="1" t="n">
        <v>46148</v>
      </c>
      <c r="D163" t="inlineStr">
        <is>
          <t>VÄSTMANLANDS LÄN</t>
        </is>
      </c>
      <c r="E163" t="inlineStr">
        <is>
          <t>SURAHAMMAR</t>
        </is>
      </c>
      <c r="F163" t="inlineStr">
        <is>
          <t>Bergvik skog väst AB</t>
        </is>
      </c>
      <c r="G163" t="n">
        <v>2</v>
      </c>
      <c r="H163" t="n">
        <v>0</v>
      </c>
      <c r="I163" t="n">
        <v>0</v>
      </c>
      <c r="J163" t="n">
        <v>0</v>
      </c>
      <c r="K163" t="n">
        <v>0</v>
      </c>
      <c r="L163" t="n">
        <v>0</v>
      </c>
      <c r="M163" t="n">
        <v>0</v>
      </c>
      <c r="N163" t="n">
        <v>0</v>
      </c>
      <c r="O163" t="n">
        <v>0</v>
      </c>
      <c r="P163" t="n">
        <v>0</v>
      </c>
      <c r="Q163" t="n">
        <v>0</v>
      </c>
      <c r="R163" s="2" t="inlineStr"/>
    </row>
    <row r="164" ht="15" customHeight="1">
      <c r="A164" t="inlineStr">
        <is>
          <t>A 15743-2023</t>
        </is>
      </c>
      <c r="B164" s="1" t="n">
        <v>45021</v>
      </c>
      <c r="C164" s="1" t="n">
        <v>46148</v>
      </c>
      <c r="D164" t="inlineStr">
        <is>
          <t>VÄSTMANLANDS LÄN</t>
        </is>
      </c>
      <c r="E164" t="inlineStr">
        <is>
          <t>SURAHAMMAR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15637-2022</t>
        </is>
      </c>
      <c r="B165" s="1" t="n">
        <v>44662.89638888889</v>
      </c>
      <c r="C165" s="1" t="n">
        <v>46148</v>
      </c>
      <c r="D165" t="inlineStr">
        <is>
          <t>VÄSTMANLANDS LÄN</t>
        </is>
      </c>
      <c r="E165" t="inlineStr">
        <is>
          <t>SURAHAMMAR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19786-2023</t>
        </is>
      </c>
      <c r="B166" s="1" t="n">
        <v>45050</v>
      </c>
      <c r="C166" s="1" t="n">
        <v>46148</v>
      </c>
      <c r="D166" t="inlineStr">
        <is>
          <t>VÄSTMANLANDS LÄN</t>
        </is>
      </c>
      <c r="E166" t="inlineStr">
        <is>
          <t>SURAHAMMAR</t>
        </is>
      </c>
      <c r="F166" t="inlineStr">
        <is>
          <t>Bergvik skog väst AB</t>
        </is>
      </c>
      <c r="G166" t="n">
        <v>8.1</v>
      </c>
      <c r="H166" t="n">
        <v>0</v>
      </c>
      <c r="I166" t="n">
        <v>0</v>
      </c>
      <c r="J166" t="n">
        <v>0</v>
      </c>
      <c r="K166" t="n">
        <v>0</v>
      </c>
      <c r="L166" t="n">
        <v>0</v>
      </c>
      <c r="M166" t="n">
        <v>0</v>
      </c>
      <c r="N166" t="n">
        <v>0</v>
      </c>
      <c r="O166" t="n">
        <v>0</v>
      </c>
      <c r="P166" t="n">
        <v>0</v>
      </c>
      <c r="Q166" t="n">
        <v>0</v>
      </c>
      <c r="R166" s="2" t="inlineStr"/>
    </row>
    <row r="167" ht="15" customHeight="1">
      <c r="A167" t="inlineStr">
        <is>
          <t>A 7787-2024</t>
        </is>
      </c>
      <c r="B167" s="1" t="n">
        <v>45348</v>
      </c>
      <c r="C167" s="1" t="n">
        <v>46148</v>
      </c>
      <c r="D167" t="inlineStr">
        <is>
          <t>VÄSTMANLANDS LÄN</t>
        </is>
      </c>
      <c r="E167" t="inlineStr">
        <is>
          <t>SURAHAMMAR</t>
        </is>
      </c>
      <c r="G167" t="n">
        <v>1</v>
      </c>
      <c r="H167" t="n">
        <v>0</v>
      </c>
      <c r="I167" t="n">
        <v>0</v>
      </c>
      <c r="J167" t="n">
        <v>0</v>
      </c>
      <c r="K167" t="n">
        <v>0</v>
      </c>
      <c r="L167" t="n">
        <v>0</v>
      </c>
      <c r="M167" t="n">
        <v>0</v>
      </c>
      <c r="N167" t="n">
        <v>0</v>
      </c>
      <c r="O167" t="n">
        <v>0</v>
      </c>
      <c r="P167" t="n">
        <v>0</v>
      </c>
      <c r="Q167" t="n">
        <v>0</v>
      </c>
      <c r="R167" s="2" t="inlineStr"/>
    </row>
    <row r="168" ht="15" customHeight="1">
      <c r="A168" t="inlineStr">
        <is>
          <t>A 15739-2023</t>
        </is>
      </c>
      <c r="B168" s="1" t="n">
        <v>45021</v>
      </c>
      <c r="C168" s="1" t="n">
        <v>46148</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c r="A169" t="inlineStr">
        <is>
          <t>A 38154-2021</t>
        </is>
      </c>
      <c r="B169" s="1" t="n">
        <v>44405.42373842592</v>
      </c>
      <c r="C169" s="1" t="n">
        <v>46148</v>
      </c>
      <c r="D169" t="inlineStr">
        <is>
          <t>VÄSTMANLANDS LÄN</t>
        </is>
      </c>
      <c r="E169" t="inlineStr">
        <is>
          <t>SURAHAMMAR</t>
        </is>
      </c>
      <c r="F169" t="inlineStr">
        <is>
          <t>Sveaskog</t>
        </is>
      </c>
      <c r="G169" t="n">
        <v>1.3</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2026-05-06T11:03:44Z</dcterms:created>
  <dcterms:modified xmlns:dcterms="http://purl.org/dc/terms/" xmlns:xsi="http://www.w3.org/2001/XMLSchema-instance" xsi:type="dcterms:W3CDTF">2026-05-06T11:03:44Z</dcterms:modified>
</cp:coreProperties>
</file>