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46073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46073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46073</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46073</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46073</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46073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46073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46073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46073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46073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46073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46073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46073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46073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46073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46073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46073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46073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46073</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46073</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21716-2025</t>
        </is>
      </c>
      <c r="B22" s="1" t="n">
        <v>45783.54804398148</v>
      </c>
      <c r="C22" s="1" t="n">
        <v>46073</v>
      </c>
      <c r="D22" t="inlineStr">
        <is>
          <t>VÄSTMANLANDS LÄN</t>
        </is>
      </c>
      <c r="E22" t="inlineStr">
        <is>
          <t>SURAHAMMAR</t>
        </is>
      </c>
      <c r="F22" t="inlineStr">
        <is>
          <t>Allmännings- och besparingsskogar</t>
        </is>
      </c>
      <c r="G22" t="n">
        <v>21.1</v>
      </c>
      <c r="H22" t="n">
        <v>3</v>
      </c>
      <c r="I22" t="n">
        <v>1</v>
      </c>
      <c r="J22" t="n">
        <v>2</v>
      </c>
      <c r="K22" t="n">
        <v>1</v>
      </c>
      <c r="L22" t="n">
        <v>0</v>
      </c>
      <c r="M22" t="n">
        <v>0</v>
      </c>
      <c r="N22" t="n">
        <v>0</v>
      </c>
      <c r="O22" t="n">
        <v>3</v>
      </c>
      <c r="P22" t="n">
        <v>1</v>
      </c>
      <c r="Q22" t="n">
        <v>4</v>
      </c>
      <c r="R22" s="2" t="inlineStr">
        <is>
          <t>Knärot
Spillkråka
Talltita
Vedticka</t>
        </is>
      </c>
      <c r="S22">
        <f>HYPERLINK("https://klasma.github.io/Logging_1907/artfynd/A 21716-2025 artfynd.xlsx", "A 21716-2025")</f>
        <v/>
      </c>
      <c r="T22">
        <f>HYPERLINK("https://klasma.github.io/Logging_1907/kartor/A 21716-2025 karta.png", "A 21716-2025")</f>
        <v/>
      </c>
      <c r="U22">
        <f>HYPERLINK("https://klasma.github.io/Logging_1907/knärot/A 21716-2025 karta knärot.png", "A 21716-2025")</f>
        <v/>
      </c>
      <c r="V22">
        <f>HYPERLINK("https://klasma.github.io/Logging_1907/klagomål/A 21716-2025 FSC-klagomål.docx", "A 21716-2025")</f>
        <v/>
      </c>
      <c r="W22">
        <f>HYPERLINK("https://klasma.github.io/Logging_1907/klagomålsmail/A 21716-2025 FSC-klagomål mail.docx", "A 21716-2025")</f>
        <v/>
      </c>
      <c r="X22">
        <f>HYPERLINK("https://klasma.github.io/Logging_1907/tillsyn/A 21716-2025 tillsynsbegäran.docx", "A 21716-2025")</f>
        <v/>
      </c>
      <c r="Y22">
        <f>HYPERLINK("https://klasma.github.io/Logging_1907/tillsynsmail/A 21716-2025 tillsynsbegäran mail.docx", "A 21716-2025")</f>
        <v/>
      </c>
      <c r="Z22">
        <f>HYPERLINK("https://klasma.github.io/Logging_1907/fåglar/A 21716-2025 prioriterade fågelarter.docx", "A 21716-2025")</f>
        <v/>
      </c>
    </row>
    <row r="23" ht="15" customHeight="1">
      <c r="A23" t="inlineStr">
        <is>
          <t>A 25548-2024</t>
        </is>
      </c>
      <c r="B23" s="1" t="n">
        <v>45463</v>
      </c>
      <c r="C23" s="1" t="n">
        <v>46073</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38172-2024</t>
        </is>
      </c>
      <c r="B24" s="1" t="n">
        <v>45545</v>
      </c>
      <c r="C24" s="1" t="n">
        <v>46073</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46073</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46073</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46073</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42860-2022</t>
        </is>
      </c>
      <c r="B28" s="1" t="n">
        <v>44832</v>
      </c>
      <c r="C28" s="1" t="n">
        <v>46073</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46073</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39694-2025</t>
        </is>
      </c>
      <c r="B30" s="1" t="n">
        <v>45890</v>
      </c>
      <c r="C30" s="1" t="n">
        <v>46073</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38200-2021</t>
        </is>
      </c>
      <c r="B31" s="1" t="n">
        <v>44405</v>
      </c>
      <c r="C31" s="1" t="n">
        <v>46073</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46073</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49718-2023</t>
        </is>
      </c>
      <c r="B33" s="1" t="n">
        <v>45212</v>
      </c>
      <c r="C33" s="1" t="n">
        <v>46073</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46073</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46073</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42708-2022</t>
        </is>
      </c>
      <c r="B36" s="1" t="n">
        <v>44832</v>
      </c>
      <c r="C36" s="1" t="n">
        <v>46073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46073</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46073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21618-2025</t>
        </is>
      </c>
      <c r="B39" s="1" t="n">
        <v>45783</v>
      </c>
      <c r="C39" s="1" t="n">
        <v>46073</v>
      </c>
      <c r="D39" t="inlineStr">
        <is>
          <t>VÄSTMANLANDS LÄN</t>
        </is>
      </c>
      <c r="E39" t="inlineStr">
        <is>
          <t>SURAHAMMAR</t>
        </is>
      </c>
      <c r="F39" t="inlineStr">
        <is>
          <t>Bergvik skog väst AB</t>
        </is>
      </c>
      <c r="G39" t="n">
        <v>1.1</v>
      </c>
      <c r="H39" t="n">
        <v>2</v>
      </c>
      <c r="I39" t="n">
        <v>1</v>
      </c>
      <c r="J39" t="n">
        <v>0</v>
      </c>
      <c r="K39" t="n">
        <v>0</v>
      </c>
      <c r="L39" t="n">
        <v>0</v>
      </c>
      <c r="M39" t="n">
        <v>0</v>
      </c>
      <c r="N39" t="n">
        <v>0</v>
      </c>
      <c r="O39" t="n">
        <v>0</v>
      </c>
      <c r="P39" t="n">
        <v>0</v>
      </c>
      <c r="Q39" t="n">
        <v>2</v>
      </c>
      <c r="R39" s="2" t="inlineStr">
        <is>
          <t>Plattlummer
Mattlummer</t>
        </is>
      </c>
      <c r="S39">
        <f>HYPERLINK("https://klasma.github.io/Logging_1907/artfynd/A 21618-2025 artfynd.xlsx", "A 21618-2025")</f>
        <v/>
      </c>
      <c r="T39">
        <f>HYPERLINK("https://klasma.github.io/Logging_1907/kartor/A 21618-2025 karta.png", "A 21618-2025")</f>
        <v/>
      </c>
      <c r="V39">
        <f>HYPERLINK("https://klasma.github.io/Logging_1907/klagomål/A 21618-2025 FSC-klagomål.docx", "A 21618-2025")</f>
        <v/>
      </c>
      <c r="W39">
        <f>HYPERLINK("https://klasma.github.io/Logging_1907/klagomålsmail/A 21618-2025 FSC-klagomål mail.docx", "A 21618-2025")</f>
        <v/>
      </c>
      <c r="X39">
        <f>HYPERLINK("https://klasma.github.io/Logging_1907/tillsyn/A 21618-2025 tillsynsbegäran.docx", "A 21618-2025")</f>
        <v/>
      </c>
      <c r="Y39">
        <f>HYPERLINK("https://klasma.github.io/Logging_1907/tillsynsmail/A 21618-2025 tillsynsbegäran mail.docx", "A 21618-2025")</f>
        <v/>
      </c>
    </row>
    <row r="40" ht="15" customHeight="1">
      <c r="A40" t="inlineStr">
        <is>
          <t>A 40403-2025</t>
        </is>
      </c>
      <c r="B40" s="1" t="n">
        <v>45895</v>
      </c>
      <c r="C40" s="1" t="n">
        <v>46073</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46073</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46073</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63146-2025</t>
        </is>
      </c>
      <c r="B43" s="1" t="n">
        <v>46009</v>
      </c>
      <c r="C43" s="1" t="n">
        <v>46073</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46073</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41576-2022</t>
        </is>
      </c>
      <c r="B45" s="1" t="n">
        <v>44826</v>
      </c>
      <c r="C45" s="1" t="n">
        <v>46073</v>
      </c>
      <c r="D45" t="inlineStr">
        <is>
          <t>VÄSTMANLANDS LÄN</t>
        </is>
      </c>
      <c r="E45" t="inlineStr">
        <is>
          <t>SURAHAMMAR</t>
        </is>
      </c>
      <c r="F45" t="inlineStr">
        <is>
          <t>Bergvik skog väst AB</t>
        </is>
      </c>
      <c r="G45" t="n">
        <v>6.4</v>
      </c>
      <c r="H45" t="n">
        <v>2</v>
      </c>
      <c r="I45" t="n">
        <v>0</v>
      </c>
      <c r="J45" t="n">
        <v>1</v>
      </c>
      <c r="K45" t="n">
        <v>0</v>
      </c>
      <c r="L45" t="n">
        <v>0</v>
      </c>
      <c r="M45" t="n">
        <v>0</v>
      </c>
      <c r="N45" t="n">
        <v>0</v>
      </c>
      <c r="O45" t="n">
        <v>1</v>
      </c>
      <c r="P45" t="n">
        <v>0</v>
      </c>
      <c r="Q45" t="n">
        <v>2</v>
      </c>
      <c r="R45" s="2" t="inlineStr">
        <is>
          <t>Talltita
Kungsfågel</t>
        </is>
      </c>
      <c r="S45">
        <f>HYPERLINK("https://klasma.github.io/Logging_1907/artfynd/A 41576-2022 artfynd.xlsx", "A 41576-2022")</f>
        <v/>
      </c>
      <c r="T45">
        <f>HYPERLINK("https://klasma.github.io/Logging_1907/kartor/A 41576-2022 karta.png", "A 41576-2022")</f>
        <v/>
      </c>
      <c r="V45">
        <f>HYPERLINK("https://klasma.github.io/Logging_1907/klagomål/A 41576-2022 FSC-klagomål.docx", "A 41576-2022")</f>
        <v/>
      </c>
      <c r="W45">
        <f>HYPERLINK("https://klasma.github.io/Logging_1907/klagomålsmail/A 41576-2022 FSC-klagomål mail.docx", "A 41576-2022")</f>
        <v/>
      </c>
      <c r="X45">
        <f>HYPERLINK("https://klasma.github.io/Logging_1907/tillsyn/A 41576-2022 tillsynsbegäran.docx", "A 41576-2022")</f>
        <v/>
      </c>
      <c r="Y45">
        <f>HYPERLINK("https://klasma.github.io/Logging_1907/tillsynsmail/A 41576-2022 tillsynsbegäran mail.docx", "A 41576-2022")</f>
        <v/>
      </c>
      <c r="Z45">
        <f>HYPERLINK("https://klasma.github.io/Logging_1907/fåglar/A 41576-2022 prioriterade fågelarter.docx", "A 41576-2022")</f>
        <v/>
      </c>
    </row>
    <row r="46" ht="15" customHeight="1">
      <c r="A46" t="inlineStr">
        <is>
          <t>A 37800-2021</t>
        </is>
      </c>
      <c r="B46" s="1" t="n">
        <v>44402</v>
      </c>
      <c r="C46" s="1" t="n">
        <v>46073</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38170-2021</t>
        </is>
      </c>
      <c r="B47" s="1" t="n">
        <v>44405.43472222222</v>
      </c>
      <c r="C47" s="1" t="n">
        <v>46073</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46073</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46073</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46073</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46073</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34582-2025</t>
        </is>
      </c>
      <c r="B52" s="1" t="n">
        <v>45846</v>
      </c>
      <c r="C52" s="1" t="n">
        <v>46073</v>
      </c>
      <c r="D52" t="inlineStr">
        <is>
          <t>VÄSTMANLANDS LÄN</t>
        </is>
      </c>
      <c r="E52" t="inlineStr">
        <is>
          <t>SURAHAMMAR</t>
        </is>
      </c>
      <c r="F52" t="inlineStr">
        <is>
          <t>Bergvik skog väst AB</t>
        </is>
      </c>
      <c r="G52" t="n">
        <v>2.6</v>
      </c>
      <c r="H52" t="n">
        <v>1</v>
      </c>
      <c r="I52" t="n">
        <v>0</v>
      </c>
      <c r="J52" t="n">
        <v>1</v>
      </c>
      <c r="K52" t="n">
        <v>0</v>
      </c>
      <c r="L52" t="n">
        <v>0</v>
      </c>
      <c r="M52" t="n">
        <v>0</v>
      </c>
      <c r="N52" t="n">
        <v>0</v>
      </c>
      <c r="O52" t="n">
        <v>1</v>
      </c>
      <c r="P52" t="n">
        <v>0</v>
      </c>
      <c r="Q52" t="n">
        <v>1</v>
      </c>
      <c r="R52" s="2" t="inlineStr">
        <is>
          <t>Järpe</t>
        </is>
      </c>
      <c r="S52">
        <f>HYPERLINK("https://klasma.github.io/Logging_1907/artfynd/A 34582-2025 artfynd.xlsx", "A 34582-2025")</f>
        <v/>
      </c>
      <c r="T52">
        <f>HYPERLINK("https://klasma.github.io/Logging_1907/kartor/A 34582-2025 karta.png", "A 34582-2025")</f>
        <v/>
      </c>
      <c r="V52">
        <f>HYPERLINK("https://klasma.github.io/Logging_1907/klagomål/A 34582-2025 FSC-klagomål.docx", "A 34582-2025")</f>
        <v/>
      </c>
      <c r="W52">
        <f>HYPERLINK("https://klasma.github.io/Logging_1907/klagomålsmail/A 34582-2025 FSC-klagomål mail.docx", "A 34582-2025")</f>
        <v/>
      </c>
      <c r="X52">
        <f>HYPERLINK("https://klasma.github.io/Logging_1907/tillsyn/A 34582-2025 tillsynsbegäran.docx", "A 34582-2025")</f>
        <v/>
      </c>
      <c r="Y52">
        <f>HYPERLINK("https://klasma.github.io/Logging_1907/tillsynsmail/A 34582-2025 tillsynsbegäran mail.docx", "A 34582-2025")</f>
        <v/>
      </c>
      <c r="Z52">
        <f>HYPERLINK("https://klasma.github.io/Logging_1907/fåglar/A 34582-2025 prioriterade fågelarter.docx", "A 34582-2025")</f>
        <v/>
      </c>
    </row>
    <row r="53" ht="15" customHeight="1">
      <c r="A53" t="inlineStr">
        <is>
          <t>A 39099-2022</t>
        </is>
      </c>
      <c r="B53" s="1" t="n">
        <v>44817</v>
      </c>
      <c r="C53" s="1" t="n">
        <v>46073</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42089-2025</t>
        </is>
      </c>
      <c r="B54" s="1" t="n">
        <v>45902</v>
      </c>
      <c r="C54" s="1" t="n">
        <v>46073</v>
      </c>
      <c r="D54" t="inlineStr">
        <is>
          <t>VÄSTMANLANDS LÄN</t>
        </is>
      </c>
      <c r="E54" t="inlineStr">
        <is>
          <t>SURAHAMMAR</t>
        </is>
      </c>
      <c r="G54" t="n">
        <v>2.2</v>
      </c>
      <c r="H54" t="n">
        <v>0</v>
      </c>
      <c r="I54" t="n">
        <v>0</v>
      </c>
      <c r="J54" t="n">
        <v>1</v>
      </c>
      <c r="K54" t="n">
        <v>0</v>
      </c>
      <c r="L54" t="n">
        <v>0</v>
      </c>
      <c r="M54" t="n">
        <v>0</v>
      </c>
      <c r="N54" t="n">
        <v>0</v>
      </c>
      <c r="O54" t="n">
        <v>1</v>
      </c>
      <c r="P54" t="n">
        <v>0</v>
      </c>
      <c r="Q54" t="n">
        <v>1</v>
      </c>
      <c r="R54" s="2" t="inlineStr">
        <is>
          <t>Motaggsvamp</t>
        </is>
      </c>
      <c r="S54">
        <f>HYPERLINK("https://klasma.github.io/Logging_1907/artfynd/A 42089-2025 artfynd.xlsx", "A 42089-2025")</f>
        <v/>
      </c>
      <c r="T54">
        <f>HYPERLINK("https://klasma.github.io/Logging_1907/kartor/A 42089-2025 karta.png", "A 42089-2025")</f>
        <v/>
      </c>
      <c r="V54">
        <f>HYPERLINK("https://klasma.github.io/Logging_1907/klagomål/A 42089-2025 FSC-klagomål.docx", "A 42089-2025")</f>
        <v/>
      </c>
      <c r="W54">
        <f>HYPERLINK("https://klasma.github.io/Logging_1907/klagomålsmail/A 42089-2025 FSC-klagomål mail.docx", "A 42089-2025")</f>
        <v/>
      </c>
      <c r="X54">
        <f>HYPERLINK("https://klasma.github.io/Logging_1907/tillsyn/A 42089-2025 tillsynsbegäran.docx", "A 42089-2025")</f>
        <v/>
      </c>
      <c r="Y54">
        <f>HYPERLINK("https://klasma.github.io/Logging_1907/tillsynsmail/A 42089-2025 tillsynsbegäran mail.docx", "A 42089-2025")</f>
        <v/>
      </c>
    </row>
    <row r="55" ht="15" customHeight="1">
      <c r="A55" t="inlineStr">
        <is>
          <t>A 13788-2025</t>
        </is>
      </c>
      <c r="B55" s="1" t="n">
        <v>45737.45327546296</v>
      </c>
      <c r="C55" s="1" t="n">
        <v>46073</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55042-2025</t>
        </is>
      </c>
      <c r="B56" s="1" t="n">
        <v>45967.65858796296</v>
      </c>
      <c r="C56" s="1" t="n">
        <v>46073</v>
      </c>
      <c r="D56" t="inlineStr">
        <is>
          <t>VÄSTMANLANDS LÄN</t>
        </is>
      </c>
      <c r="E56" t="inlineStr">
        <is>
          <t>SURAHAMMAR</t>
        </is>
      </c>
      <c r="F56" t="inlineStr">
        <is>
          <t>Sveaskog</t>
        </is>
      </c>
      <c r="G56" t="n">
        <v>7.2</v>
      </c>
      <c r="H56" t="n">
        <v>0</v>
      </c>
      <c r="I56" t="n">
        <v>0</v>
      </c>
      <c r="J56" t="n">
        <v>1</v>
      </c>
      <c r="K56" t="n">
        <v>0</v>
      </c>
      <c r="L56" t="n">
        <v>0</v>
      </c>
      <c r="M56" t="n">
        <v>0</v>
      </c>
      <c r="N56" t="n">
        <v>0</v>
      </c>
      <c r="O56" t="n">
        <v>1</v>
      </c>
      <c r="P56" t="n">
        <v>0</v>
      </c>
      <c r="Q56" t="n">
        <v>1</v>
      </c>
      <c r="R56" s="2" t="inlineStr">
        <is>
          <t>Motaggsvamp</t>
        </is>
      </c>
      <c r="S56">
        <f>HYPERLINK("https://klasma.github.io/Logging_1907/artfynd/A 55042-2025 artfynd.xlsx", "A 55042-2025")</f>
        <v/>
      </c>
      <c r="T56">
        <f>HYPERLINK("https://klasma.github.io/Logging_1907/kartor/A 55042-2025 karta.png", "A 55042-2025")</f>
        <v/>
      </c>
      <c r="V56">
        <f>HYPERLINK("https://klasma.github.io/Logging_1907/klagomål/A 55042-2025 FSC-klagomål.docx", "A 55042-2025")</f>
        <v/>
      </c>
      <c r="W56">
        <f>HYPERLINK("https://klasma.github.io/Logging_1907/klagomålsmail/A 55042-2025 FSC-klagomål mail.docx", "A 55042-2025")</f>
        <v/>
      </c>
      <c r="X56">
        <f>HYPERLINK("https://klasma.github.io/Logging_1907/tillsyn/A 55042-2025 tillsynsbegäran.docx", "A 55042-2025")</f>
        <v/>
      </c>
      <c r="Y56">
        <f>HYPERLINK("https://klasma.github.io/Logging_1907/tillsynsmail/A 55042-2025 tillsynsbegäran mail.docx", "A 55042-2025")</f>
        <v/>
      </c>
    </row>
    <row r="57" ht="15" customHeight="1">
      <c r="A57" t="inlineStr">
        <is>
          <t>A 69777-2021</t>
        </is>
      </c>
      <c r="B57" s="1" t="n">
        <v>44532</v>
      </c>
      <c r="C57" s="1" t="n">
        <v>46073</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14001-2023</t>
        </is>
      </c>
      <c r="B58" s="1" t="n">
        <v>45007</v>
      </c>
      <c r="C58" s="1" t="n">
        <v>46073</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56768-2025</t>
        </is>
      </c>
      <c r="B59" s="1" t="n">
        <v>45978</v>
      </c>
      <c r="C59" s="1" t="n">
        <v>46073</v>
      </c>
      <c r="D59" t="inlineStr">
        <is>
          <t>VÄSTMANLANDS LÄN</t>
        </is>
      </c>
      <c r="E59" t="inlineStr">
        <is>
          <t>SURAHAMMAR</t>
        </is>
      </c>
      <c r="F59" t="inlineStr">
        <is>
          <t>Sveaskog</t>
        </is>
      </c>
      <c r="G59" t="n">
        <v>3.8</v>
      </c>
      <c r="H59" t="n">
        <v>0</v>
      </c>
      <c r="I59" t="n">
        <v>0</v>
      </c>
      <c r="J59" t="n">
        <v>1</v>
      </c>
      <c r="K59" t="n">
        <v>0</v>
      </c>
      <c r="L59" t="n">
        <v>0</v>
      </c>
      <c r="M59" t="n">
        <v>0</v>
      </c>
      <c r="N59" t="n">
        <v>0</v>
      </c>
      <c r="O59" t="n">
        <v>1</v>
      </c>
      <c r="P59" t="n">
        <v>0</v>
      </c>
      <c r="Q59" t="n">
        <v>1</v>
      </c>
      <c r="R59" s="2" t="inlineStr">
        <is>
          <t>Motaggsvamp</t>
        </is>
      </c>
      <c r="S59">
        <f>HYPERLINK("https://klasma.github.io/Logging_1907/artfynd/A 56768-2025 artfynd.xlsx", "A 56768-2025")</f>
        <v/>
      </c>
      <c r="T59">
        <f>HYPERLINK("https://klasma.github.io/Logging_1907/kartor/A 56768-2025 karta.png", "A 56768-2025")</f>
        <v/>
      </c>
      <c r="V59">
        <f>HYPERLINK("https://klasma.github.io/Logging_1907/klagomål/A 56768-2025 FSC-klagomål.docx", "A 56768-2025")</f>
        <v/>
      </c>
      <c r="W59">
        <f>HYPERLINK("https://klasma.github.io/Logging_1907/klagomålsmail/A 56768-2025 FSC-klagomål mail.docx", "A 56768-2025")</f>
        <v/>
      </c>
      <c r="X59">
        <f>HYPERLINK("https://klasma.github.io/Logging_1907/tillsyn/A 56768-2025 tillsynsbegäran.docx", "A 56768-2025")</f>
        <v/>
      </c>
      <c r="Y59">
        <f>HYPERLINK("https://klasma.github.io/Logging_1907/tillsynsmail/A 56768-2025 tillsynsbegäran mail.docx", "A 56768-2025")</f>
        <v/>
      </c>
    </row>
    <row r="60" ht="15" customHeight="1">
      <c r="A60" t="inlineStr">
        <is>
          <t>A 47453-2024</t>
        </is>
      </c>
      <c r="B60" s="1" t="n">
        <v>45587.55017361111</v>
      </c>
      <c r="C60" s="1" t="n">
        <v>46073</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10819-2024</t>
        </is>
      </c>
      <c r="B61" s="1" t="n">
        <v>45369.66049768519</v>
      </c>
      <c r="C61" s="1" t="n">
        <v>46073</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63145-2025</t>
        </is>
      </c>
      <c r="B62" s="1" t="n">
        <v>46009</v>
      </c>
      <c r="C62" s="1" t="n">
        <v>46073</v>
      </c>
      <c r="D62" t="inlineStr">
        <is>
          <t>VÄSTMANLANDS LÄN</t>
        </is>
      </c>
      <c r="E62" t="inlineStr">
        <is>
          <t>SURAHAMMAR</t>
        </is>
      </c>
      <c r="F62" t="inlineStr">
        <is>
          <t>Bergvik skog väst AB</t>
        </is>
      </c>
      <c r="G62" t="n">
        <v>40.5</v>
      </c>
      <c r="H62" t="n">
        <v>0</v>
      </c>
      <c r="I62" t="n">
        <v>1</v>
      </c>
      <c r="J62" t="n">
        <v>0</v>
      </c>
      <c r="K62" t="n">
        <v>0</v>
      </c>
      <c r="L62" t="n">
        <v>0</v>
      </c>
      <c r="M62" t="n">
        <v>0</v>
      </c>
      <c r="N62" t="n">
        <v>0</v>
      </c>
      <c r="O62" t="n">
        <v>0</v>
      </c>
      <c r="P62" t="n">
        <v>0</v>
      </c>
      <c r="Q62" t="n">
        <v>1</v>
      </c>
      <c r="R62" s="2" t="inlineStr">
        <is>
          <t>Svart trolldruva</t>
        </is>
      </c>
      <c r="S62">
        <f>HYPERLINK("https://klasma.github.io/Logging_1907/artfynd/A 63145-2025 artfynd.xlsx", "A 63145-2025")</f>
        <v/>
      </c>
      <c r="T62">
        <f>HYPERLINK("https://klasma.github.io/Logging_1907/kartor/A 63145-2025 karta.png", "A 63145-2025")</f>
        <v/>
      </c>
      <c r="V62">
        <f>HYPERLINK("https://klasma.github.io/Logging_1907/klagomål/A 63145-2025 FSC-klagomål.docx", "A 63145-2025")</f>
        <v/>
      </c>
      <c r="W62">
        <f>HYPERLINK("https://klasma.github.io/Logging_1907/klagomålsmail/A 63145-2025 FSC-klagomål mail.docx", "A 63145-2025")</f>
        <v/>
      </c>
      <c r="X62">
        <f>HYPERLINK("https://klasma.github.io/Logging_1907/tillsyn/A 63145-2025 tillsynsbegäran.docx", "A 63145-2025")</f>
        <v/>
      </c>
      <c r="Y62">
        <f>HYPERLINK("https://klasma.github.io/Logging_1907/tillsynsmail/A 63145-2025 tillsynsbegäran mail.docx", "A 63145-2025")</f>
        <v/>
      </c>
    </row>
    <row r="63" ht="15" customHeight="1">
      <c r="A63" t="inlineStr">
        <is>
          <t>A 40411-2021</t>
        </is>
      </c>
      <c r="B63" s="1" t="n">
        <v>44419</v>
      </c>
      <c r="C63" s="1" t="n">
        <v>46073</v>
      </c>
      <c r="D63" t="inlineStr">
        <is>
          <t>VÄSTMANLANDS LÄN</t>
        </is>
      </c>
      <c r="E63" t="inlineStr">
        <is>
          <t>SURAHAMMAR</t>
        </is>
      </c>
      <c r="F63" t="inlineStr">
        <is>
          <t>Sveaskog</t>
        </is>
      </c>
      <c r="G63" t="n">
        <v>2.4</v>
      </c>
      <c r="H63" t="n">
        <v>1</v>
      </c>
      <c r="I63" t="n">
        <v>0</v>
      </c>
      <c r="J63" t="n">
        <v>0</v>
      </c>
      <c r="K63" t="n">
        <v>0</v>
      </c>
      <c r="L63" t="n">
        <v>0</v>
      </c>
      <c r="M63" t="n">
        <v>0</v>
      </c>
      <c r="N63" t="n">
        <v>0</v>
      </c>
      <c r="O63" t="n">
        <v>0</v>
      </c>
      <c r="P63" t="n">
        <v>0</v>
      </c>
      <c r="Q63" t="n">
        <v>1</v>
      </c>
      <c r="R63" s="2" t="inlineStr">
        <is>
          <t>Kopparödla</t>
        </is>
      </c>
      <c r="S63">
        <f>HYPERLINK("https://klasma.github.io/Logging_1907/artfynd/A 40411-2021 artfynd.xlsx", "A 40411-2021")</f>
        <v/>
      </c>
      <c r="T63">
        <f>HYPERLINK("https://klasma.github.io/Logging_1907/kartor/A 40411-2021 karta.png", "A 40411-2021")</f>
        <v/>
      </c>
      <c r="V63">
        <f>HYPERLINK("https://klasma.github.io/Logging_1907/klagomål/A 40411-2021 FSC-klagomål.docx", "A 40411-2021")</f>
        <v/>
      </c>
      <c r="W63">
        <f>HYPERLINK("https://klasma.github.io/Logging_1907/klagomålsmail/A 40411-2021 FSC-klagomål mail.docx", "A 40411-2021")</f>
        <v/>
      </c>
      <c r="X63">
        <f>HYPERLINK("https://klasma.github.io/Logging_1907/tillsyn/A 40411-2021 tillsynsbegäran.docx", "A 40411-2021")</f>
        <v/>
      </c>
      <c r="Y63">
        <f>HYPERLINK("https://klasma.github.io/Logging_1907/tillsynsmail/A 40411-2021 tillsynsbegäran mail.docx", "A 40411-2021")</f>
        <v/>
      </c>
    </row>
    <row r="64" ht="15" customHeight="1">
      <c r="A64" t="inlineStr">
        <is>
          <t>A 33231-2024</t>
        </is>
      </c>
      <c r="B64" s="1" t="n">
        <v>45518</v>
      </c>
      <c r="C64" s="1" t="n">
        <v>46073</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30074-2023</t>
        </is>
      </c>
      <c r="B65" s="1" t="n">
        <v>45110</v>
      </c>
      <c r="C65" s="1" t="n">
        <v>46073</v>
      </c>
      <c r="D65" t="inlineStr">
        <is>
          <t>VÄSTMANLANDS LÄN</t>
        </is>
      </c>
      <c r="E65" t="inlineStr">
        <is>
          <t>SURAHAMMAR</t>
        </is>
      </c>
      <c r="F65" t="inlineStr">
        <is>
          <t>Sveaskog</t>
        </is>
      </c>
      <c r="G65" t="n">
        <v>1.1</v>
      </c>
      <c r="H65" t="n">
        <v>1</v>
      </c>
      <c r="I65" t="n">
        <v>0</v>
      </c>
      <c r="J65" t="n">
        <v>0</v>
      </c>
      <c r="K65" t="n">
        <v>0</v>
      </c>
      <c r="L65" t="n">
        <v>0</v>
      </c>
      <c r="M65" t="n">
        <v>0</v>
      </c>
      <c r="N65" t="n">
        <v>0</v>
      </c>
      <c r="O65" t="n">
        <v>0</v>
      </c>
      <c r="P65" t="n">
        <v>0</v>
      </c>
      <c r="Q65" t="n">
        <v>1</v>
      </c>
      <c r="R65" s="2" t="inlineStr">
        <is>
          <t>Revlummer</t>
        </is>
      </c>
      <c r="S65">
        <f>HYPERLINK("https://klasma.github.io/Logging_1907/artfynd/A 30074-2023 artfynd.xlsx", "A 30074-2023")</f>
        <v/>
      </c>
      <c r="T65">
        <f>HYPERLINK("https://klasma.github.io/Logging_1907/kartor/A 30074-2023 karta.png", "A 30074-2023")</f>
        <v/>
      </c>
      <c r="V65">
        <f>HYPERLINK("https://klasma.github.io/Logging_1907/klagomål/A 30074-2023 FSC-klagomål.docx", "A 30074-2023")</f>
        <v/>
      </c>
      <c r="W65">
        <f>HYPERLINK("https://klasma.github.io/Logging_1907/klagomålsmail/A 30074-2023 FSC-klagomål mail.docx", "A 30074-2023")</f>
        <v/>
      </c>
      <c r="X65">
        <f>HYPERLINK("https://klasma.github.io/Logging_1907/tillsyn/A 30074-2023 tillsynsbegäran.docx", "A 30074-2023")</f>
        <v/>
      </c>
      <c r="Y65">
        <f>HYPERLINK("https://klasma.github.io/Logging_1907/tillsynsmail/A 30074-2023 tillsynsbegäran mail.docx", "A 30074-2023")</f>
        <v/>
      </c>
    </row>
    <row r="66" ht="15" customHeight="1">
      <c r="A66" t="inlineStr">
        <is>
          <t>A 31176-2024</t>
        </is>
      </c>
      <c r="B66" s="1" t="n">
        <v>45503</v>
      </c>
      <c r="C66" s="1" t="n">
        <v>46073</v>
      </c>
      <c r="D66" t="inlineStr">
        <is>
          <t>VÄSTMANLANDS LÄN</t>
        </is>
      </c>
      <c r="E66" t="inlineStr">
        <is>
          <t>SURAHAMMAR</t>
        </is>
      </c>
      <c r="F66" t="inlineStr">
        <is>
          <t>Allmännings- och besparingsskogar</t>
        </is>
      </c>
      <c r="G66" t="n">
        <v>10.7</v>
      </c>
      <c r="H66" t="n">
        <v>0</v>
      </c>
      <c r="I66" t="n">
        <v>0</v>
      </c>
      <c r="J66" t="n">
        <v>1</v>
      </c>
      <c r="K66" t="n">
        <v>0</v>
      </c>
      <c r="L66" t="n">
        <v>0</v>
      </c>
      <c r="M66" t="n">
        <v>0</v>
      </c>
      <c r="N66" t="n">
        <v>0</v>
      </c>
      <c r="O66" t="n">
        <v>1</v>
      </c>
      <c r="P66" t="n">
        <v>0</v>
      </c>
      <c r="Q66" t="n">
        <v>1</v>
      </c>
      <c r="R66" s="2" t="inlineStr">
        <is>
          <t>Doftskinn</t>
        </is>
      </c>
      <c r="S66">
        <f>HYPERLINK("https://klasma.github.io/Logging_1907/artfynd/A 31176-2024 artfynd.xlsx", "A 31176-2024")</f>
        <v/>
      </c>
      <c r="T66">
        <f>HYPERLINK("https://klasma.github.io/Logging_1907/kartor/A 31176-2024 karta.png", "A 31176-2024")</f>
        <v/>
      </c>
      <c r="V66">
        <f>HYPERLINK("https://klasma.github.io/Logging_1907/klagomål/A 31176-2024 FSC-klagomål.docx", "A 31176-2024")</f>
        <v/>
      </c>
      <c r="W66">
        <f>HYPERLINK("https://klasma.github.io/Logging_1907/klagomålsmail/A 31176-2024 FSC-klagomål mail.docx", "A 31176-2024")</f>
        <v/>
      </c>
      <c r="X66">
        <f>HYPERLINK("https://klasma.github.io/Logging_1907/tillsyn/A 31176-2024 tillsynsbegäran.docx", "A 31176-2024")</f>
        <v/>
      </c>
      <c r="Y66">
        <f>HYPERLINK("https://klasma.github.io/Logging_1907/tillsynsmail/A 31176-2024 tillsynsbegäran mail.docx", "A 31176-2024")</f>
        <v/>
      </c>
    </row>
    <row r="67" ht="15" customHeight="1">
      <c r="A67" t="inlineStr">
        <is>
          <t>A 25583-2024</t>
        </is>
      </c>
      <c r="B67" s="1" t="n">
        <v>45463</v>
      </c>
      <c r="C67" s="1" t="n">
        <v>46073</v>
      </c>
      <c r="D67" t="inlineStr">
        <is>
          <t>VÄSTMANLANDS LÄN</t>
        </is>
      </c>
      <c r="E67" t="inlineStr">
        <is>
          <t>SURAHAMMAR</t>
        </is>
      </c>
      <c r="F67" t="inlineStr">
        <is>
          <t>Bergvik skog väst AB</t>
        </is>
      </c>
      <c r="G67" t="n">
        <v>7.8</v>
      </c>
      <c r="H67" t="n">
        <v>1</v>
      </c>
      <c r="I67" t="n">
        <v>0</v>
      </c>
      <c r="J67" t="n">
        <v>0</v>
      </c>
      <c r="K67" t="n">
        <v>0</v>
      </c>
      <c r="L67" t="n">
        <v>0</v>
      </c>
      <c r="M67" t="n">
        <v>0</v>
      </c>
      <c r="N67" t="n">
        <v>0</v>
      </c>
      <c r="O67" t="n">
        <v>0</v>
      </c>
      <c r="P67" t="n">
        <v>0</v>
      </c>
      <c r="Q67" t="n">
        <v>1</v>
      </c>
      <c r="R67" s="2" t="inlineStr">
        <is>
          <t>Blåsippa</t>
        </is>
      </c>
      <c r="S67">
        <f>HYPERLINK("https://klasma.github.io/Logging_1907/artfynd/A 25583-2024 artfynd.xlsx", "A 25583-2024")</f>
        <v/>
      </c>
      <c r="T67">
        <f>HYPERLINK("https://klasma.github.io/Logging_1907/kartor/A 25583-2024 karta.png", "A 25583-2024")</f>
        <v/>
      </c>
      <c r="V67">
        <f>HYPERLINK("https://klasma.github.io/Logging_1907/klagomål/A 25583-2024 FSC-klagomål.docx", "A 25583-2024")</f>
        <v/>
      </c>
      <c r="W67">
        <f>HYPERLINK("https://klasma.github.io/Logging_1907/klagomålsmail/A 25583-2024 FSC-klagomål mail.docx", "A 25583-2024")</f>
        <v/>
      </c>
      <c r="X67">
        <f>HYPERLINK("https://klasma.github.io/Logging_1907/tillsyn/A 25583-2024 tillsynsbegäran.docx", "A 25583-2024")</f>
        <v/>
      </c>
      <c r="Y67">
        <f>HYPERLINK("https://klasma.github.io/Logging_1907/tillsynsmail/A 25583-2024 tillsynsbegäran mail.docx", "A 25583-2024")</f>
        <v/>
      </c>
    </row>
    <row r="68" ht="15" customHeight="1">
      <c r="A68" t="inlineStr">
        <is>
          <t>A 13971-2023</t>
        </is>
      </c>
      <c r="B68" s="1" t="n">
        <v>45007</v>
      </c>
      <c r="C68" s="1" t="n">
        <v>46073</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42765-2022</t>
        </is>
      </c>
      <c r="B69" s="1" t="n">
        <v>44832</v>
      </c>
      <c r="C69" s="1" t="n">
        <v>46073</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46073</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17632-2022</t>
        </is>
      </c>
      <c r="B71" s="1" t="n">
        <v>44680</v>
      </c>
      <c r="C71" s="1" t="n">
        <v>46073</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22840-2023</t>
        </is>
      </c>
      <c r="B72" s="1" t="n">
        <v>45072</v>
      </c>
      <c r="C72" s="1" t="n">
        <v>46073</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43451-2024</t>
        </is>
      </c>
      <c r="B73" s="1" t="n">
        <v>45568</v>
      </c>
      <c r="C73" s="1" t="n">
        <v>46073</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46073</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46073</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46073</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46073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46073</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46073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46073</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46073</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46073</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46073</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46073</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46073</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46073</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46073</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46073</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46073</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46073</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46073</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7787-2024</t>
        </is>
      </c>
      <c r="B92" s="1" t="n">
        <v>45348</v>
      </c>
      <c r="C92" s="1" t="n">
        <v>46073</v>
      </c>
      <c r="D92" t="inlineStr">
        <is>
          <t>VÄSTMANLANDS LÄN</t>
        </is>
      </c>
      <c r="E92" t="inlineStr">
        <is>
          <t>SURAHAMMAR</t>
        </is>
      </c>
      <c r="G92" t="n">
        <v>1</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46073</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46073</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46073</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46073</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15739-2023</t>
        </is>
      </c>
      <c r="B97" s="1" t="n">
        <v>45021</v>
      </c>
      <c r="C97" s="1" t="n">
        <v>46073</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46073</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46073</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46073</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46073</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46073</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32808-2024</t>
        </is>
      </c>
      <c r="B103" s="1" t="n">
        <v>45516</v>
      </c>
      <c r="C103" s="1" t="n">
        <v>46073</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55868-2025</t>
        </is>
      </c>
      <c r="B104" s="1" t="n">
        <v>45973.35263888889</v>
      </c>
      <c r="C104" s="1" t="n">
        <v>46073</v>
      </c>
      <c r="D104" t="inlineStr">
        <is>
          <t>VÄSTMANLANDS LÄN</t>
        </is>
      </c>
      <c r="E104" t="inlineStr">
        <is>
          <t>SURAHAMMAR</t>
        </is>
      </c>
      <c r="F104" t="inlineStr">
        <is>
          <t>Sveaskog</t>
        </is>
      </c>
      <c r="G104" t="n">
        <v>2.8</v>
      </c>
      <c r="H104" t="n">
        <v>0</v>
      </c>
      <c r="I104" t="n">
        <v>0</v>
      </c>
      <c r="J104" t="n">
        <v>0</v>
      </c>
      <c r="K104" t="n">
        <v>0</v>
      </c>
      <c r="L104" t="n">
        <v>0</v>
      </c>
      <c r="M104" t="n">
        <v>0</v>
      </c>
      <c r="N104" t="n">
        <v>0</v>
      </c>
      <c r="O104" t="n">
        <v>0</v>
      </c>
      <c r="P104" t="n">
        <v>0</v>
      </c>
      <c r="Q104" t="n">
        <v>0</v>
      </c>
      <c r="R104" s="2" t="inlineStr"/>
    </row>
    <row r="105" ht="15" customHeight="1">
      <c r="A105" t="inlineStr">
        <is>
          <t>A 55874-2025</t>
        </is>
      </c>
      <c r="B105" s="1" t="n">
        <v>45973.3569212963</v>
      </c>
      <c r="C105" s="1" t="n">
        <v>46073</v>
      </c>
      <c r="D105" t="inlineStr">
        <is>
          <t>VÄSTMANLANDS LÄN</t>
        </is>
      </c>
      <c r="E105" t="inlineStr">
        <is>
          <t>SURAHAMMAR</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3818-2022</t>
        </is>
      </c>
      <c r="B106" s="1" t="n">
        <v>44587</v>
      </c>
      <c r="C106" s="1" t="n">
        <v>46073</v>
      </c>
      <c r="D106" t="inlineStr">
        <is>
          <t>VÄSTMANLANDS LÄN</t>
        </is>
      </c>
      <c r="E106" t="inlineStr">
        <is>
          <t>SURAHAMMAR</t>
        </is>
      </c>
      <c r="G106" t="n">
        <v>2.6</v>
      </c>
      <c r="H106" t="n">
        <v>0</v>
      </c>
      <c r="I106" t="n">
        <v>0</v>
      </c>
      <c r="J106" t="n">
        <v>0</v>
      </c>
      <c r="K106" t="n">
        <v>0</v>
      </c>
      <c r="L106" t="n">
        <v>0</v>
      </c>
      <c r="M106" t="n">
        <v>0</v>
      </c>
      <c r="N106" t="n">
        <v>0</v>
      </c>
      <c r="O106" t="n">
        <v>0</v>
      </c>
      <c r="P106" t="n">
        <v>0</v>
      </c>
      <c r="Q106" t="n">
        <v>0</v>
      </c>
      <c r="R106" s="2" t="inlineStr"/>
    </row>
    <row r="107" ht="15" customHeight="1">
      <c r="A107" t="inlineStr">
        <is>
          <t>A 55871-2025</t>
        </is>
      </c>
      <c r="B107" s="1" t="n">
        <v>45973.35452546296</v>
      </c>
      <c r="C107" s="1" t="n">
        <v>46073</v>
      </c>
      <c r="D107" t="inlineStr">
        <is>
          <t>VÄSTMANLANDS LÄN</t>
        </is>
      </c>
      <c r="E107" t="inlineStr">
        <is>
          <t>SURAHAMMAR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55873-2025</t>
        </is>
      </c>
      <c r="B108" s="1" t="n">
        <v>45973.35608796297</v>
      </c>
      <c r="C108" s="1" t="n">
        <v>46073</v>
      </c>
      <c r="D108" t="inlineStr">
        <is>
          <t>VÄSTMANLANDS LÄN</t>
        </is>
      </c>
      <c r="E108" t="inlineStr">
        <is>
          <t>SURAHAMMAR</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56543-2025</t>
        </is>
      </c>
      <c r="B109" s="1" t="n">
        <v>45975</v>
      </c>
      <c r="C109" s="1" t="n">
        <v>46073</v>
      </c>
      <c r="D109" t="inlineStr">
        <is>
          <t>VÄSTMANLANDS LÄN</t>
        </is>
      </c>
      <c r="E109" t="inlineStr">
        <is>
          <t>SURAHAMMAR</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13119-2022</t>
        </is>
      </c>
      <c r="B110" s="1" t="n">
        <v>44643</v>
      </c>
      <c r="C110" s="1" t="n">
        <v>46073</v>
      </c>
      <c r="D110" t="inlineStr">
        <is>
          <t>VÄSTMANLANDS LÄN</t>
        </is>
      </c>
      <c r="E110" t="inlineStr">
        <is>
          <t>SURAHAMMAR</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19782-2023</t>
        </is>
      </c>
      <c r="B111" s="1" t="n">
        <v>45050</v>
      </c>
      <c r="C111" s="1" t="n">
        <v>46073</v>
      </c>
      <c r="D111" t="inlineStr">
        <is>
          <t>VÄSTMANLANDS LÄN</t>
        </is>
      </c>
      <c r="E111" t="inlineStr">
        <is>
          <t>SURAHAMMAR</t>
        </is>
      </c>
      <c r="F111" t="inlineStr">
        <is>
          <t>Bergvik skog väst AB</t>
        </is>
      </c>
      <c r="G111" t="n">
        <v>5.2</v>
      </c>
      <c r="H111" t="n">
        <v>0</v>
      </c>
      <c r="I111" t="n">
        <v>0</v>
      </c>
      <c r="J111" t="n">
        <v>0</v>
      </c>
      <c r="K111" t="n">
        <v>0</v>
      </c>
      <c r="L111" t="n">
        <v>0</v>
      </c>
      <c r="M111" t="n">
        <v>0</v>
      </c>
      <c r="N111" t="n">
        <v>0</v>
      </c>
      <c r="O111" t="n">
        <v>0</v>
      </c>
      <c r="P111" t="n">
        <v>0</v>
      </c>
      <c r="Q111" t="n">
        <v>0</v>
      </c>
      <c r="R111" s="2" t="inlineStr"/>
    </row>
    <row r="112" ht="15" customHeight="1">
      <c r="A112" t="inlineStr">
        <is>
          <t>A 14626-2023</t>
        </is>
      </c>
      <c r="B112" s="1" t="n">
        <v>45012</v>
      </c>
      <c r="C112" s="1" t="n">
        <v>46073</v>
      </c>
      <c r="D112" t="inlineStr">
        <is>
          <t>VÄSTMANLANDS LÄN</t>
        </is>
      </c>
      <c r="E112" t="inlineStr">
        <is>
          <t>SURAHAMMAR</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8553-2023</t>
        </is>
      </c>
      <c r="B113" s="1" t="n">
        <v>44977</v>
      </c>
      <c r="C113" s="1" t="n">
        <v>46073</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46073</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11728-2023</t>
        </is>
      </c>
      <c r="B115" s="1" t="n">
        <v>44993</v>
      </c>
      <c r="C115" s="1" t="n">
        <v>46073</v>
      </c>
      <c r="D115" t="inlineStr">
        <is>
          <t>VÄSTMANLANDS LÄN</t>
        </is>
      </c>
      <c r="E115" t="inlineStr">
        <is>
          <t>SURAHAMMAR</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46073</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59399-2025</t>
        </is>
      </c>
      <c r="B117" s="1" t="n">
        <v>45989</v>
      </c>
      <c r="C117" s="1" t="n">
        <v>46073</v>
      </c>
      <c r="D117" t="inlineStr">
        <is>
          <t>VÄSTMANLANDS LÄN</t>
        </is>
      </c>
      <c r="E117" t="inlineStr">
        <is>
          <t>SURAHAMMAR</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32910-2025</t>
        </is>
      </c>
      <c r="B118" s="1" t="n">
        <v>45839</v>
      </c>
      <c r="C118" s="1" t="n">
        <v>46073</v>
      </c>
      <c r="D118" t="inlineStr">
        <is>
          <t>VÄSTMANLANDS LÄN</t>
        </is>
      </c>
      <c r="E118" t="inlineStr">
        <is>
          <t>SURAHAMMAR</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32916-2025</t>
        </is>
      </c>
      <c r="B119" s="1" t="n">
        <v>45839</v>
      </c>
      <c r="C119" s="1" t="n">
        <v>46073</v>
      </c>
      <c r="D119" t="inlineStr">
        <is>
          <t>VÄSTMANLANDS LÄN</t>
        </is>
      </c>
      <c r="E119" t="inlineStr">
        <is>
          <t>SURAHAMMAR</t>
        </is>
      </c>
      <c r="F119" t="inlineStr">
        <is>
          <t>Kommuner</t>
        </is>
      </c>
      <c r="G119" t="n">
        <v>4.9</v>
      </c>
      <c r="H119" t="n">
        <v>0</v>
      </c>
      <c r="I119" t="n">
        <v>0</v>
      </c>
      <c r="J119" t="n">
        <v>0</v>
      </c>
      <c r="K119" t="n">
        <v>0</v>
      </c>
      <c r="L119" t="n">
        <v>0</v>
      </c>
      <c r="M119" t="n">
        <v>0</v>
      </c>
      <c r="N119" t="n">
        <v>0</v>
      </c>
      <c r="O119" t="n">
        <v>0</v>
      </c>
      <c r="P119" t="n">
        <v>0</v>
      </c>
      <c r="Q119" t="n">
        <v>0</v>
      </c>
      <c r="R119" s="2" t="inlineStr"/>
    </row>
    <row r="120" ht="15" customHeight="1">
      <c r="A120" t="inlineStr">
        <is>
          <t>A 56541-2025</t>
        </is>
      </c>
      <c r="B120" s="1" t="n">
        <v>45975</v>
      </c>
      <c r="C120" s="1" t="n">
        <v>46073</v>
      </c>
      <c r="D120" t="inlineStr">
        <is>
          <t>VÄSTMANLANDS LÄN</t>
        </is>
      </c>
      <c r="E120" t="inlineStr">
        <is>
          <t>SURAHAMMAR</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11501-2023</t>
        </is>
      </c>
      <c r="B121" s="1" t="n">
        <v>44991</v>
      </c>
      <c r="C121" s="1" t="n">
        <v>46073</v>
      </c>
      <c r="D121" t="inlineStr">
        <is>
          <t>VÄSTMANLANDS LÄN</t>
        </is>
      </c>
      <c r="E121" t="inlineStr">
        <is>
          <t>SURAHAMMAR</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16013-2023</t>
        </is>
      </c>
      <c r="B122" s="1" t="n">
        <v>45026</v>
      </c>
      <c r="C122" s="1" t="n">
        <v>46073</v>
      </c>
      <c r="D122" t="inlineStr">
        <is>
          <t>VÄSTMANLANDS LÄN</t>
        </is>
      </c>
      <c r="E122" t="inlineStr">
        <is>
          <t>SURAHAMMAR</t>
        </is>
      </c>
      <c r="G122" t="n">
        <v>3.9</v>
      </c>
      <c r="H122" t="n">
        <v>0</v>
      </c>
      <c r="I122" t="n">
        <v>0</v>
      </c>
      <c r="J122" t="n">
        <v>0</v>
      </c>
      <c r="K122" t="n">
        <v>0</v>
      </c>
      <c r="L122" t="n">
        <v>0</v>
      </c>
      <c r="M122" t="n">
        <v>0</v>
      </c>
      <c r="N122" t="n">
        <v>0</v>
      </c>
      <c r="O122" t="n">
        <v>0</v>
      </c>
      <c r="P122" t="n">
        <v>0</v>
      </c>
      <c r="Q122" t="n">
        <v>0</v>
      </c>
      <c r="R122" s="2" t="inlineStr"/>
    </row>
    <row r="123" ht="15" customHeight="1">
      <c r="A123" t="inlineStr">
        <is>
          <t>A 20904-2023</t>
        </is>
      </c>
      <c r="B123" s="1" t="n">
        <v>45060</v>
      </c>
      <c r="C123" s="1" t="n">
        <v>46073</v>
      </c>
      <c r="D123" t="inlineStr">
        <is>
          <t>VÄSTMANLANDS LÄN</t>
        </is>
      </c>
      <c r="E123" t="inlineStr">
        <is>
          <t>SURAHAMMAR</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37013-2025</t>
        </is>
      </c>
      <c r="B124" s="1" t="n">
        <v>45874</v>
      </c>
      <c r="C124" s="1" t="n">
        <v>46073</v>
      </c>
      <c r="D124" t="inlineStr">
        <is>
          <t>VÄSTMANLANDS LÄN</t>
        </is>
      </c>
      <c r="E124" t="inlineStr">
        <is>
          <t>SURAHAMMAR</t>
        </is>
      </c>
      <c r="F124" t="inlineStr">
        <is>
          <t>Bergvik skog väst AB</t>
        </is>
      </c>
      <c r="G124" t="n">
        <v>10.7</v>
      </c>
      <c r="H124" t="n">
        <v>0</v>
      </c>
      <c r="I124" t="n">
        <v>0</v>
      </c>
      <c r="J124" t="n">
        <v>0</v>
      </c>
      <c r="K124" t="n">
        <v>0</v>
      </c>
      <c r="L124" t="n">
        <v>0</v>
      </c>
      <c r="M124" t="n">
        <v>0</v>
      </c>
      <c r="N124" t="n">
        <v>0</v>
      </c>
      <c r="O124" t="n">
        <v>0</v>
      </c>
      <c r="P124" t="n">
        <v>0</v>
      </c>
      <c r="Q124" t="n">
        <v>0</v>
      </c>
      <c r="R124" s="2" t="inlineStr"/>
    </row>
    <row r="125" ht="15" customHeight="1">
      <c r="A125" t="inlineStr">
        <is>
          <t>A 42829-2022</t>
        </is>
      </c>
      <c r="B125" s="1" t="n">
        <v>44832</v>
      </c>
      <c r="C125" s="1" t="n">
        <v>46073</v>
      </c>
      <c r="D125" t="inlineStr">
        <is>
          <t>VÄSTMANLANDS LÄN</t>
        </is>
      </c>
      <c r="E125" t="inlineStr">
        <is>
          <t>SURAHAMMAR</t>
        </is>
      </c>
      <c r="G125" t="n">
        <v>1.6</v>
      </c>
      <c r="H125" t="n">
        <v>0</v>
      </c>
      <c r="I125" t="n">
        <v>0</v>
      </c>
      <c r="J125" t="n">
        <v>0</v>
      </c>
      <c r="K125" t="n">
        <v>0</v>
      </c>
      <c r="L125" t="n">
        <v>0</v>
      </c>
      <c r="M125" t="n">
        <v>0</v>
      </c>
      <c r="N125" t="n">
        <v>0</v>
      </c>
      <c r="O125" t="n">
        <v>0</v>
      </c>
      <c r="P125" t="n">
        <v>0</v>
      </c>
      <c r="Q125" t="n">
        <v>0</v>
      </c>
      <c r="R125" s="2" t="inlineStr"/>
    </row>
    <row r="126" ht="15" customHeight="1">
      <c r="A126" t="inlineStr">
        <is>
          <t>A 34955-2022</t>
        </is>
      </c>
      <c r="B126" s="1" t="n">
        <v>44796</v>
      </c>
      <c r="C126" s="1" t="n">
        <v>46073</v>
      </c>
      <c r="D126" t="inlineStr">
        <is>
          <t>VÄSTMANLANDS LÄN</t>
        </is>
      </c>
      <c r="E126" t="inlineStr">
        <is>
          <t>SURAHAMMAR</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37954-2025</t>
        </is>
      </c>
      <c r="B127" s="1" t="n">
        <v>45881</v>
      </c>
      <c r="C127" s="1" t="n">
        <v>46073</v>
      </c>
      <c r="D127" t="inlineStr">
        <is>
          <t>VÄSTMANLANDS LÄN</t>
        </is>
      </c>
      <c r="E127" t="inlineStr">
        <is>
          <t>SURAHAMMAR</t>
        </is>
      </c>
      <c r="G127" t="n">
        <v>9.5</v>
      </c>
      <c r="H127" t="n">
        <v>0</v>
      </c>
      <c r="I127" t="n">
        <v>0</v>
      </c>
      <c r="J127" t="n">
        <v>0</v>
      </c>
      <c r="K127" t="n">
        <v>0</v>
      </c>
      <c r="L127" t="n">
        <v>0</v>
      </c>
      <c r="M127" t="n">
        <v>0</v>
      </c>
      <c r="N127" t="n">
        <v>0</v>
      </c>
      <c r="O127" t="n">
        <v>0</v>
      </c>
      <c r="P127" t="n">
        <v>0</v>
      </c>
      <c r="Q127" t="n">
        <v>0</v>
      </c>
      <c r="R127" s="2" t="inlineStr"/>
    </row>
    <row r="128" ht="15" customHeight="1">
      <c r="A128" t="inlineStr">
        <is>
          <t>A 37798-2021</t>
        </is>
      </c>
      <c r="B128" s="1" t="n">
        <v>44402</v>
      </c>
      <c r="C128" s="1" t="n">
        <v>46073</v>
      </c>
      <c r="D128" t="inlineStr">
        <is>
          <t>VÄSTMANLANDS LÄN</t>
        </is>
      </c>
      <c r="E128" t="inlineStr">
        <is>
          <t>SURAHAMMAR</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48205-2023</t>
        </is>
      </c>
      <c r="B129" s="1" t="n">
        <v>45205</v>
      </c>
      <c r="C129" s="1" t="n">
        <v>46073</v>
      </c>
      <c r="D129" t="inlineStr">
        <is>
          <t>VÄSTMANLANDS LÄN</t>
        </is>
      </c>
      <c r="E129" t="inlineStr">
        <is>
          <t>SURAHAMMAR</t>
        </is>
      </c>
      <c r="F129" t="inlineStr">
        <is>
          <t>Allmännings- och besparingsskogar</t>
        </is>
      </c>
      <c r="G129" t="n">
        <v>7.6</v>
      </c>
      <c r="H129" t="n">
        <v>0</v>
      </c>
      <c r="I129" t="n">
        <v>0</v>
      </c>
      <c r="J129" t="n">
        <v>0</v>
      </c>
      <c r="K129" t="n">
        <v>0</v>
      </c>
      <c r="L129" t="n">
        <v>0</v>
      </c>
      <c r="M129" t="n">
        <v>0</v>
      </c>
      <c r="N129" t="n">
        <v>0</v>
      </c>
      <c r="O129" t="n">
        <v>0</v>
      </c>
      <c r="P129" t="n">
        <v>0</v>
      </c>
      <c r="Q129" t="n">
        <v>0</v>
      </c>
      <c r="R129" s="2" t="inlineStr"/>
    </row>
    <row r="130" ht="15" customHeight="1">
      <c r="A130" t="inlineStr">
        <is>
          <t>A 33931-2022</t>
        </is>
      </c>
      <c r="B130" s="1" t="n">
        <v>44790.65153935185</v>
      </c>
      <c r="C130" s="1" t="n">
        <v>46073</v>
      </c>
      <c r="D130" t="inlineStr">
        <is>
          <t>VÄSTMANLANDS LÄN</t>
        </is>
      </c>
      <c r="E130" t="inlineStr">
        <is>
          <t>SURAHAMMAR</t>
        </is>
      </c>
      <c r="G130" t="n">
        <v>2.2</v>
      </c>
      <c r="H130" t="n">
        <v>0</v>
      </c>
      <c r="I130" t="n">
        <v>0</v>
      </c>
      <c r="J130" t="n">
        <v>0</v>
      </c>
      <c r="K130" t="n">
        <v>0</v>
      </c>
      <c r="L130" t="n">
        <v>0</v>
      </c>
      <c r="M130" t="n">
        <v>0</v>
      </c>
      <c r="N130" t="n">
        <v>0</v>
      </c>
      <c r="O130" t="n">
        <v>0</v>
      </c>
      <c r="P130" t="n">
        <v>0</v>
      </c>
      <c r="Q130" t="n">
        <v>0</v>
      </c>
      <c r="R130" s="2" t="inlineStr"/>
    </row>
    <row r="131" ht="15" customHeight="1">
      <c r="A131" t="inlineStr">
        <is>
          <t>A 63138-2025</t>
        </is>
      </c>
      <c r="B131" s="1" t="n">
        <v>46009</v>
      </c>
      <c r="C131" s="1" t="n">
        <v>46073</v>
      </c>
      <c r="D131" t="inlineStr">
        <is>
          <t>VÄSTMANLANDS LÄN</t>
        </is>
      </c>
      <c r="E131" t="inlineStr">
        <is>
          <t>SURAHAMMAR</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5697-2026</t>
        </is>
      </c>
      <c r="B132" s="1" t="n">
        <v>46051.50020833333</v>
      </c>
      <c r="C132" s="1" t="n">
        <v>46073</v>
      </c>
      <c r="D132" t="inlineStr">
        <is>
          <t>VÄSTMANLANDS LÄN</t>
        </is>
      </c>
      <c r="E132" t="inlineStr">
        <is>
          <t>SURAHAMMAR</t>
        </is>
      </c>
      <c r="F132" t="inlineStr">
        <is>
          <t>Sveaskog</t>
        </is>
      </c>
      <c r="G132" t="n">
        <v>3</v>
      </c>
      <c r="H132" t="n">
        <v>0</v>
      </c>
      <c r="I132" t="n">
        <v>0</v>
      </c>
      <c r="J132" t="n">
        <v>0</v>
      </c>
      <c r="K132" t="n">
        <v>0</v>
      </c>
      <c r="L132" t="n">
        <v>0</v>
      </c>
      <c r="M132" t="n">
        <v>0</v>
      </c>
      <c r="N132" t="n">
        <v>0</v>
      </c>
      <c r="O132" t="n">
        <v>0</v>
      </c>
      <c r="P132" t="n">
        <v>0</v>
      </c>
      <c r="Q132" t="n">
        <v>0</v>
      </c>
      <c r="R132" s="2" t="inlineStr"/>
    </row>
    <row r="133" ht="15" customHeight="1">
      <c r="A133" t="inlineStr">
        <is>
          <t>A 5698-2026</t>
        </is>
      </c>
      <c r="B133" s="1" t="n">
        <v>46051.50196759259</v>
      </c>
      <c r="C133" s="1" t="n">
        <v>46073</v>
      </c>
      <c r="D133" t="inlineStr">
        <is>
          <t>VÄSTMANLANDS LÄN</t>
        </is>
      </c>
      <c r="E133" t="inlineStr">
        <is>
          <t>SURAHAMMAR</t>
        </is>
      </c>
      <c r="F133" t="inlineStr">
        <is>
          <t>Sveaskog</t>
        </is>
      </c>
      <c r="G133" t="n">
        <v>1.9</v>
      </c>
      <c r="H133" t="n">
        <v>0</v>
      </c>
      <c r="I133" t="n">
        <v>0</v>
      </c>
      <c r="J133" t="n">
        <v>0</v>
      </c>
      <c r="K133" t="n">
        <v>0</v>
      </c>
      <c r="L133" t="n">
        <v>0</v>
      </c>
      <c r="M133" t="n">
        <v>0</v>
      </c>
      <c r="N133" t="n">
        <v>0</v>
      </c>
      <c r="O133" t="n">
        <v>0</v>
      </c>
      <c r="P133" t="n">
        <v>0</v>
      </c>
      <c r="Q133" t="n">
        <v>0</v>
      </c>
      <c r="R133" s="2" t="inlineStr"/>
    </row>
    <row r="134" ht="15" customHeight="1">
      <c r="A134" t="inlineStr">
        <is>
          <t>A 5696-2026</t>
        </is>
      </c>
      <c r="B134" s="1" t="n">
        <v>46051.4975</v>
      </c>
      <c r="C134" s="1" t="n">
        <v>46073</v>
      </c>
      <c r="D134" t="inlineStr">
        <is>
          <t>VÄSTMANLANDS LÄN</t>
        </is>
      </c>
      <c r="E134" t="inlineStr">
        <is>
          <t>SURAHAMMAR</t>
        </is>
      </c>
      <c r="F134" t="inlineStr">
        <is>
          <t>Sveaskog</t>
        </is>
      </c>
      <c r="G134" t="n">
        <v>10.4</v>
      </c>
      <c r="H134" t="n">
        <v>0</v>
      </c>
      <c r="I134" t="n">
        <v>0</v>
      </c>
      <c r="J134" t="n">
        <v>0</v>
      </c>
      <c r="K134" t="n">
        <v>0</v>
      </c>
      <c r="L134" t="n">
        <v>0</v>
      </c>
      <c r="M134" t="n">
        <v>0</v>
      </c>
      <c r="N134" t="n">
        <v>0</v>
      </c>
      <c r="O134" t="n">
        <v>0</v>
      </c>
      <c r="P134" t="n">
        <v>0</v>
      </c>
      <c r="Q134" t="n">
        <v>0</v>
      </c>
      <c r="R134" s="2" t="inlineStr"/>
    </row>
    <row r="135" ht="15" customHeight="1">
      <c r="A135" t="inlineStr">
        <is>
          <t>A 22662-2023</t>
        </is>
      </c>
      <c r="B135" s="1" t="n">
        <v>45071</v>
      </c>
      <c r="C135" s="1" t="n">
        <v>46073</v>
      </c>
      <c r="D135" t="inlineStr">
        <is>
          <t>VÄSTMANLANDS LÄN</t>
        </is>
      </c>
      <c r="E135" t="inlineStr">
        <is>
          <t>SURAHAMMAR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30076-2023</t>
        </is>
      </c>
      <c r="B136" s="1" t="n">
        <v>45110</v>
      </c>
      <c r="C136" s="1" t="n">
        <v>46073</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47785-2021</t>
        </is>
      </c>
      <c r="B137" s="1" t="n">
        <v>44448</v>
      </c>
      <c r="C137" s="1" t="n">
        <v>46073</v>
      </c>
      <c r="D137" t="inlineStr">
        <is>
          <t>VÄSTMANLANDS LÄN</t>
        </is>
      </c>
      <c r="E137" t="inlineStr">
        <is>
          <t>SURAHAMMAR</t>
        </is>
      </c>
      <c r="F137" t="inlineStr">
        <is>
          <t>Kommuner</t>
        </is>
      </c>
      <c r="G137" t="n">
        <v>3.3</v>
      </c>
      <c r="H137" t="n">
        <v>0</v>
      </c>
      <c r="I137" t="n">
        <v>0</v>
      </c>
      <c r="J137" t="n">
        <v>0</v>
      </c>
      <c r="K137" t="n">
        <v>0</v>
      </c>
      <c r="L137" t="n">
        <v>0</v>
      </c>
      <c r="M137" t="n">
        <v>0</v>
      </c>
      <c r="N137" t="n">
        <v>0</v>
      </c>
      <c r="O137" t="n">
        <v>0</v>
      </c>
      <c r="P137" t="n">
        <v>0</v>
      </c>
      <c r="Q137" t="n">
        <v>0</v>
      </c>
      <c r="R137" s="2" t="inlineStr"/>
    </row>
    <row r="138" ht="15" customHeight="1">
      <c r="A138" t="inlineStr">
        <is>
          <t>A 4724-2026</t>
        </is>
      </c>
      <c r="B138" s="1" t="n">
        <v>46048</v>
      </c>
      <c r="C138" s="1" t="n">
        <v>46073</v>
      </c>
      <c r="D138" t="inlineStr">
        <is>
          <t>VÄSTMANLANDS LÄN</t>
        </is>
      </c>
      <c r="E138" t="inlineStr">
        <is>
          <t>SURAHAMMAR</t>
        </is>
      </c>
      <c r="G138" t="n">
        <v>1.7</v>
      </c>
      <c r="H138" t="n">
        <v>0</v>
      </c>
      <c r="I138" t="n">
        <v>0</v>
      </c>
      <c r="J138" t="n">
        <v>0</v>
      </c>
      <c r="K138" t="n">
        <v>0</v>
      </c>
      <c r="L138" t="n">
        <v>0</v>
      </c>
      <c r="M138" t="n">
        <v>0</v>
      </c>
      <c r="N138" t="n">
        <v>0</v>
      </c>
      <c r="O138" t="n">
        <v>0</v>
      </c>
      <c r="P138" t="n">
        <v>0</v>
      </c>
      <c r="Q138" t="n">
        <v>0</v>
      </c>
      <c r="R138" s="2" t="inlineStr"/>
    </row>
    <row r="139" ht="15" customHeight="1">
      <c r="A139" t="inlineStr">
        <is>
          <t>A 25450-2024</t>
        </is>
      </c>
      <c r="B139" s="1" t="n">
        <v>45463</v>
      </c>
      <c r="C139" s="1" t="n">
        <v>46073</v>
      </c>
      <c r="D139" t="inlineStr">
        <is>
          <t>VÄSTMANLANDS LÄN</t>
        </is>
      </c>
      <c r="E139" t="inlineStr">
        <is>
          <t>SURAHAMMAR</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4734-2026</t>
        </is>
      </c>
      <c r="B140" s="1" t="n">
        <v>46048</v>
      </c>
      <c r="C140" s="1" t="n">
        <v>46073</v>
      </c>
      <c r="D140" t="inlineStr">
        <is>
          <t>VÄSTMANLANDS LÄN</t>
        </is>
      </c>
      <c r="E140" t="inlineStr">
        <is>
          <t>SURAHAMMAR</t>
        </is>
      </c>
      <c r="G140" t="n">
        <v>0.7</v>
      </c>
      <c r="H140" t="n">
        <v>0</v>
      </c>
      <c r="I140" t="n">
        <v>0</v>
      </c>
      <c r="J140" t="n">
        <v>0</v>
      </c>
      <c r="K140" t="n">
        <v>0</v>
      </c>
      <c r="L140" t="n">
        <v>0</v>
      </c>
      <c r="M140" t="n">
        <v>0</v>
      </c>
      <c r="N140" t="n">
        <v>0</v>
      </c>
      <c r="O140" t="n">
        <v>0</v>
      </c>
      <c r="P140" t="n">
        <v>0</v>
      </c>
      <c r="Q140" t="n">
        <v>0</v>
      </c>
      <c r="R140" s="2" t="inlineStr"/>
    </row>
    <row r="141" ht="15" customHeight="1">
      <c r="A141" t="inlineStr">
        <is>
          <t>A 10883-2023</t>
        </is>
      </c>
      <c r="B141" s="1" t="n">
        <v>44991</v>
      </c>
      <c r="C141" s="1" t="n">
        <v>46073</v>
      </c>
      <c r="D141" t="inlineStr">
        <is>
          <t>VÄSTMANLANDS LÄN</t>
        </is>
      </c>
      <c r="E141" t="inlineStr">
        <is>
          <t>SURAHAMMAR</t>
        </is>
      </c>
      <c r="F141" t="inlineStr">
        <is>
          <t>Övriga Aktiebolag</t>
        </is>
      </c>
      <c r="G141" t="n">
        <v>12.5</v>
      </c>
      <c r="H141" t="n">
        <v>0</v>
      </c>
      <c r="I141" t="n">
        <v>0</v>
      </c>
      <c r="J141" t="n">
        <v>0</v>
      </c>
      <c r="K141" t="n">
        <v>0</v>
      </c>
      <c r="L141" t="n">
        <v>0</v>
      </c>
      <c r="M141" t="n">
        <v>0</v>
      </c>
      <c r="N141" t="n">
        <v>0</v>
      </c>
      <c r="O141" t="n">
        <v>0</v>
      </c>
      <c r="P141" t="n">
        <v>0</v>
      </c>
      <c r="Q141" t="n">
        <v>0</v>
      </c>
      <c r="R141" s="2" t="inlineStr"/>
    </row>
    <row r="142" ht="15" customHeight="1">
      <c r="A142" t="inlineStr">
        <is>
          <t>A 24665-2023</t>
        </is>
      </c>
      <c r="B142" s="1" t="n">
        <v>45084.48592592592</v>
      </c>
      <c r="C142" s="1" t="n">
        <v>46073</v>
      </c>
      <c r="D142" t="inlineStr">
        <is>
          <t>VÄSTMANLANDS LÄN</t>
        </is>
      </c>
      <c r="E142" t="inlineStr">
        <is>
          <t>SURAHAMMAR</t>
        </is>
      </c>
      <c r="G142" t="n">
        <v>0.9</v>
      </c>
      <c r="H142" t="n">
        <v>0</v>
      </c>
      <c r="I142" t="n">
        <v>0</v>
      </c>
      <c r="J142" t="n">
        <v>0</v>
      </c>
      <c r="K142" t="n">
        <v>0</v>
      </c>
      <c r="L142" t="n">
        <v>0</v>
      </c>
      <c r="M142" t="n">
        <v>0</v>
      </c>
      <c r="N142" t="n">
        <v>0</v>
      </c>
      <c r="O142" t="n">
        <v>0</v>
      </c>
      <c r="P142" t="n">
        <v>0</v>
      </c>
      <c r="Q142" t="n">
        <v>0</v>
      </c>
      <c r="R142" s="2" t="inlineStr"/>
    </row>
    <row r="143" ht="15" customHeight="1">
      <c r="A143" t="inlineStr">
        <is>
          <t>A 24167-2024</t>
        </is>
      </c>
      <c r="B143" s="1" t="n">
        <v>45456</v>
      </c>
      <c r="C143" s="1" t="n">
        <v>46073</v>
      </c>
      <c r="D143" t="inlineStr">
        <is>
          <t>VÄSTMANLANDS LÄN</t>
        </is>
      </c>
      <c r="E143" t="inlineStr">
        <is>
          <t>SURAHAMMAR</t>
        </is>
      </c>
      <c r="G143" t="n">
        <v>0.6</v>
      </c>
      <c r="H143" t="n">
        <v>0</v>
      </c>
      <c r="I143" t="n">
        <v>0</v>
      </c>
      <c r="J143" t="n">
        <v>0</v>
      </c>
      <c r="K143" t="n">
        <v>0</v>
      </c>
      <c r="L143" t="n">
        <v>0</v>
      </c>
      <c r="M143" t="n">
        <v>0</v>
      </c>
      <c r="N143" t="n">
        <v>0</v>
      </c>
      <c r="O143" t="n">
        <v>0</v>
      </c>
      <c r="P143" t="n">
        <v>0</v>
      </c>
      <c r="Q143" t="n">
        <v>0</v>
      </c>
      <c r="R143" s="2" t="inlineStr"/>
    </row>
    <row r="144" ht="15" customHeight="1">
      <c r="A144" t="inlineStr">
        <is>
          <t>A 72367-2021</t>
        </is>
      </c>
      <c r="B144" s="1" t="n">
        <v>44545</v>
      </c>
      <c r="C144" s="1" t="n">
        <v>46073</v>
      </c>
      <c r="D144" t="inlineStr">
        <is>
          <t>VÄSTMANLANDS LÄN</t>
        </is>
      </c>
      <c r="E144" t="inlineStr">
        <is>
          <t>SURAHAMMAR</t>
        </is>
      </c>
      <c r="G144" t="n">
        <v>2.5</v>
      </c>
      <c r="H144" t="n">
        <v>0</v>
      </c>
      <c r="I144" t="n">
        <v>0</v>
      </c>
      <c r="J144" t="n">
        <v>0</v>
      </c>
      <c r="K144" t="n">
        <v>0</v>
      </c>
      <c r="L144" t="n">
        <v>0</v>
      </c>
      <c r="M144" t="n">
        <v>0</v>
      </c>
      <c r="N144" t="n">
        <v>0</v>
      </c>
      <c r="O144" t="n">
        <v>0</v>
      </c>
      <c r="P144" t="n">
        <v>0</v>
      </c>
      <c r="Q144" t="n">
        <v>0</v>
      </c>
      <c r="R144" s="2" t="inlineStr"/>
    </row>
    <row r="145" ht="15" customHeight="1">
      <c r="A145" t="inlineStr">
        <is>
          <t>A 42714-2022</t>
        </is>
      </c>
      <c r="B145" s="1" t="n">
        <v>44832</v>
      </c>
      <c r="C145" s="1" t="n">
        <v>46073</v>
      </c>
      <c r="D145" t="inlineStr">
        <is>
          <t>VÄSTMANLANDS LÄN</t>
        </is>
      </c>
      <c r="E145" t="inlineStr">
        <is>
          <t>SURAHAMMAR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37287-2023</t>
        </is>
      </c>
      <c r="B146" s="1" t="n">
        <v>45156</v>
      </c>
      <c r="C146" s="1" t="n">
        <v>46073</v>
      </c>
      <c r="D146" t="inlineStr">
        <is>
          <t>VÄSTMANLANDS LÄN</t>
        </is>
      </c>
      <c r="E146" t="inlineStr">
        <is>
          <t>SURAHAMMAR</t>
        </is>
      </c>
      <c r="G146" t="n">
        <v>0.6</v>
      </c>
      <c r="H146" t="n">
        <v>0</v>
      </c>
      <c r="I146" t="n">
        <v>0</v>
      </c>
      <c r="J146" t="n">
        <v>0</v>
      </c>
      <c r="K146" t="n">
        <v>0</v>
      </c>
      <c r="L146" t="n">
        <v>0</v>
      </c>
      <c r="M146" t="n">
        <v>0</v>
      </c>
      <c r="N146" t="n">
        <v>0</v>
      </c>
      <c r="O146" t="n">
        <v>0</v>
      </c>
      <c r="P146" t="n">
        <v>0</v>
      </c>
      <c r="Q146" t="n">
        <v>0</v>
      </c>
      <c r="R146" s="2" t="inlineStr"/>
    </row>
    <row r="147" ht="15" customHeight="1">
      <c r="A147" t="inlineStr">
        <is>
          <t>A 49058-2024</t>
        </is>
      </c>
      <c r="B147" s="1" t="n">
        <v>45594</v>
      </c>
      <c r="C147" s="1" t="n">
        <v>46073</v>
      </c>
      <c r="D147" t="inlineStr">
        <is>
          <t>VÄSTMANLANDS LÄN</t>
        </is>
      </c>
      <c r="E147" t="inlineStr">
        <is>
          <t>SURAHAMMAR</t>
        </is>
      </c>
      <c r="F147" t="inlineStr">
        <is>
          <t>Sveaskog</t>
        </is>
      </c>
      <c r="G147" t="n">
        <v>11.4</v>
      </c>
      <c r="H147" t="n">
        <v>0</v>
      </c>
      <c r="I147" t="n">
        <v>0</v>
      </c>
      <c r="J147" t="n">
        <v>0</v>
      </c>
      <c r="K147" t="n">
        <v>0</v>
      </c>
      <c r="L147" t="n">
        <v>0</v>
      </c>
      <c r="M147" t="n">
        <v>0</v>
      </c>
      <c r="N147" t="n">
        <v>0</v>
      </c>
      <c r="O147" t="n">
        <v>0</v>
      </c>
      <c r="P147" t="n">
        <v>0</v>
      </c>
      <c r="Q147" t="n">
        <v>0</v>
      </c>
      <c r="R147" s="2" t="inlineStr"/>
    </row>
    <row r="148" ht="15" customHeight="1">
      <c r="A148" t="inlineStr">
        <is>
          <t>A 49060-2024</t>
        </is>
      </c>
      <c r="B148" s="1" t="n">
        <v>45594</v>
      </c>
      <c r="C148" s="1" t="n">
        <v>46073</v>
      </c>
      <c r="D148" t="inlineStr">
        <is>
          <t>VÄSTMANLANDS LÄN</t>
        </is>
      </c>
      <c r="E148" t="inlineStr">
        <is>
          <t>SURAHAMMAR</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46073</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25780-2023</t>
        </is>
      </c>
      <c r="B150" s="1" t="n">
        <v>45090.47523148148</v>
      </c>
      <c r="C150" s="1" t="n">
        <v>46073</v>
      </c>
      <c r="D150" t="inlineStr">
        <is>
          <t>VÄSTMANLANDS LÄN</t>
        </is>
      </c>
      <c r="E150" t="inlineStr">
        <is>
          <t>SURAHAMMAR</t>
        </is>
      </c>
      <c r="G150" t="n">
        <v>2.8</v>
      </c>
      <c r="H150" t="n">
        <v>0</v>
      </c>
      <c r="I150" t="n">
        <v>0</v>
      </c>
      <c r="J150" t="n">
        <v>0</v>
      </c>
      <c r="K150" t="n">
        <v>0</v>
      </c>
      <c r="L150" t="n">
        <v>0</v>
      </c>
      <c r="M150" t="n">
        <v>0</v>
      </c>
      <c r="N150" t="n">
        <v>0</v>
      </c>
      <c r="O150" t="n">
        <v>0</v>
      </c>
      <c r="P150" t="n">
        <v>0</v>
      </c>
      <c r="Q150" t="n">
        <v>0</v>
      </c>
      <c r="R150" s="2" t="inlineStr"/>
    </row>
    <row r="151" ht="15" customHeight="1">
      <c r="A151" t="inlineStr">
        <is>
          <t>A 13386-2025</t>
        </is>
      </c>
      <c r="B151" s="1" t="n">
        <v>45735</v>
      </c>
      <c r="C151" s="1" t="n">
        <v>46073</v>
      </c>
      <c r="D151" t="inlineStr">
        <is>
          <t>VÄSTMANLANDS LÄN</t>
        </is>
      </c>
      <c r="E151" t="inlineStr">
        <is>
          <t>SURAHAMMAR</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35682-2022</t>
        </is>
      </c>
      <c r="B152" s="1" t="n">
        <v>44799.60422453703</v>
      </c>
      <c r="C152" s="1" t="n">
        <v>46073</v>
      </c>
      <c r="D152" t="inlineStr">
        <is>
          <t>VÄSTMANLANDS LÄN</t>
        </is>
      </c>
      <c r="E152" t="inlineStr">
        <is>
          <t>SURAHAMMAR</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2867-2024</t>
        </is>
      </c>
      <c r="B153" s="1" t="n">
        <v>45315</v>
      </c>
      <c r="C153" s="1" t="n">
        <v>46073</v>
      </c>
      <c r="D153" t="inlineStr">
        <is>
          <t>VÄSTMANLANDS LÄN</t>
        </is>
      </c>
      <c r="E153" t="inlineStr">
        <is>
          <t>SURAHAMMAR</t>
        </is>
      </c>
      <c r="F153" t="inlineStr">
        <is>
          <t>Bergvik skog väst AB</t>
        </is>
      </c>
      <c r="G153" t="n">
        <v>1.4</v>
      </c>
      <c r="H153" t="n">
        <v>0</v>
      </c>
      <c r="I153" t="n">
        <v>0</v>
      </c>
      <c r="J153" t="n">
        <v>0</v>
      </c>
      <c r="K153" t="n">
        <v>0</v>
      </c>
      <c r="L153" t="n">
        <v>0</v>
      </c>
      <c r="M153" t="n">
        <v>0</v>
      </c>
      <c r="N153" t="n">
        <v>0</v>
      </c>
      <c r="O153" t="n">
        <v>0</v>
      </c>
      <c r="P153" t="n">
        <v>0</v>
      </c>
      <c r="Q153" t="n">
        <v>0</v>
      </c>
      <c r="R153" s="2" t="inlineStr"/>
    </row>
    <row r="154" ht="15" customHeight="1">
      <c r="A154" t="inlineStr">
        <is>
          <t>A 2660-2024</t>
        </is>
      </c>
      <c r="B154" s="1" t="n">
        <v>45310</v>
      </c>
      <c r="C154" s="1" t="n">
        <v>46073</v>
      </c>
      <c r="D154" t="inlineStr">
        <is>
          <t>VÄSTMANLANDS LÄN</t>
        </is>
      </c>
      <c r="E154" t="inlineStr">
        <is>
          <t>SURAHAMMAR</t>
        </is>
      </c>
      <c r="G154" t="n">
        <v>2.1</v>
      </c>
      <c r="H154" t="n">
        <v>0</v>
      </c>
      <c r="I154" t="n">
        <v>0</v>
      </c>
      <c r="J154" t="n">
        <v>0</v>
      </c>
      <c r="K154" t="n">
        <v>0</v>
      </c>
      <c r="L154" t="n">
        <v>0</v>
      </c>
      <c r="M154" t="n">
        <v>0</v>
      </c>
      <c r="N154" t="n">
        <v>0</v>
      </c>
      <c r="O154" t="n">
        <v>0</v>
      </c>
      <c r="P154" t="n">
        <v>0</v>
      </c>
      <c r="Q154" t="n">
        <v>0</v>
      </c>
      <c r="R154" s="2" t="inlineStr"/>
    </row>
    <row r="155" ht="15" customHeight="1">
      <c r="A155" t="inlineStr">
        <is>
          <t>A 41555-2022</t>
        </is>
      </c>
      <c r="B155" s="1" t="n">
        <v>44826</v>
      </c>
      <c r="C155" s="1" t="n">
        <v>46073</v>
      </c>
      <c r="D155" t="inlineStr">
        <is>
          <t>VÄSTMANLANDS LÄN</t>
        </is>
      </c>
      <c r="E155" t="inlineStr">
        <is>
          <t>SURAHAMMAR</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5567-2022</t>
        </is>
      </c>
      <c r="B156" s="1" t="n">
        <v>44595</v>
      </c>
      <c r="C156" s="1" t="n">
        <v>46073</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ht="15" customHeight="1">
      <c r="A157" t="inlineStr">
        <is>
          <t>A 3085-2023</t>
        </is>
      </c>
      <c r="B157" s="1" t="n">
        <v>44946</v>
      </c>
      <c r="C157" s="1" t="n">
        <v>46073</v>
      </c>
      <c r="D157" t="inlineStr">
        <is>
          <t>VÄSTMANLANDS LÄN</t>
        </is>
      </c>
      <c r="E157" t="inlineStr">
        <is>
          <t>SURAHAMMAR</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44608.58400462963</v>
      </c>
      <c r="C158" s="1" t="n">
        <v>46073</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16608-2022</t>
        </is>
      </c>
      <c r="B159" s="1" t="n">
        <v>44672</v>
      </c>
      <c r="C159" s="1" t="n">
        <v>46073</v>
      </c>
      <c r="D159" t="inlineStr">
        <is>
          <t>VÄSTMANLANDS LÄN</t>
        </is>
      </c>
      <c r="E159" t="inlineStr">
        <is>
          <t>SURAHAMMAR</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15743-2023</t>
        </is>
      </c>
      <c r="B160" s="1" t="n">
        <v>45021</v>
      </c>
      <c r="C160" s="1" t="n">
        <v>46073</v>
      </c>
      <c r="D160" t="inlineStr">
        <is>
          <t>VÄSTMANLANDS LÄN</t>
        </is>
      </c>
      <c r="E160" t="inlineStr">
        <is>
          <t>SURAHAMMAR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44662.89638888889</v>
      </c>
      <c r="C161" s="1" t="n">
        <v>46073</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c r="A162" t="inlineStr">
        <is>
          <t>A 19786-2023</t>
        </is>
      </c>
      <c r="B162" s="1" t="n">
        <v>45050</v>
      </c>
      <c r="C162" s="1" t="n">
        <v>46073</v>
      </c>
      <c r="D162" t="inlineStr">
        <is>
          <t>VÄSTMANLANDS LÄN</t>
        </is>
      </c>
      <c r="E162" t="inlineStr">
        <is>
          <t>SURAHAMMAR</t>
        </is>
      </c>
      <c r="F162" t="inlineStr">
        <is>
          <t>Bergvik skog väst AB</t>
        </is>
      </c>
      <c r="G162" t="n">
        <v>8.1</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2026-02-20T11:04:50Z</dcterms:created>
  <dcterms:modified xmlns:dcterms="http://purl.org/dc/terms/" xmlns:xsi="http://www.w3.org/2001/XMLSchema-instance" xsi:type="dcterms:W3CDTF">2026-02-20T11:04:50Z</dcterms:modified>
</cp:coreProperties>
</file>