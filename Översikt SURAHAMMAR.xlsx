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46062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46062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46062</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46062</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46062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46062</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46062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46062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46062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46062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46062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46062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46062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46062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46062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46062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46062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46062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46062</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46062</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46062</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46062</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46062</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46062</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46062</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46062</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46062</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46062</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46062</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46062</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46062</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46062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46062</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46062</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46062</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46062</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46062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41576-2022</t>
        </is>
      </c>
      <c r="B39" s="1" t="n">
        <v>44826</v>
      </c>
      <c r="C39" s="1" t="n">
        <v>46062</v>
      </c>
      <c r="D39" t="inlineStr">
        <is>
          <t>VÄSTMANLANDS LÄN</t>
        </is>
      </c>
      <c r="E39" t="inlineStr">
        <is>
          <t>SURAHAMMAR</t>
        </is>
      </c>
      <c r="F39" t="inlineStr">
        <is>
          <t>Bergvik skog väst AB</t>
        </is>
      </c>
      <c r="G39" t="n">
        <v>6.4</v>
      </c>
      <c r="H39" t="n">
        <v>2</v>
      </c>
      <c r="I39" t="n">
        <v>0</v>
      </c>
      <c r="J39" t="n">
        <v>1</v>
      </c>
      <c r="K39" t="n">
        <v>0</v>
      </c>
      <c r="L39" t="n">
        <v>0</v>
      </c>
      <c r="M39" t="n">
        <v>0</v>
      </c>
      <c r="N39" t="n">
        <v>0</v>
      </c>
      <c r="O39" t="n">
        <v>1</v>
      </c>
      <c r="P39" t="n">
        <v>0</v>
      </c>
      <c r="Q39" t="n">
        <v>2</v>
      </c>
      <c r="R39" s="2" t="inlineStr">
        <is>
          <t>Talltita
Kungsfågel</t>
        </is>
      </c>
      <c r="S39">
        <f>HYPERLINK("https://klasma.github.io/Logging_1907/artfynd/A 41576-2022 artfynd.xlsx", "A 41576-2022")</f>
        <v/>
      </c>
      <c r="T39">
        <f>HYPERLINK("https://klasma.github.io/Logging_1907/kartor/A 41576-2022 karta.png", "A 41576-2022")</f>
        <v/>
      </c>
      <c r="V39">
        <f>HYPERLINK("https://klasma.github.io/Logging_1907/klagomål/A 41576-2022 FSC-klagomål.docx", "A 41576-2022")</f>
        <v/>
      </c>
      <c r="W39">
        <f>HYPERLINK("https://klasma.github.io/Logging_1907/klagomålsmail/A 41576-2022 FSC-klagomål mail.docx", "A 41576-2022")</f>
        <v/>
      </c>
      <c r="X39">
        <f>HYPERLINK("https://klasma.github.io/Logging_1907/tillsyn/A 41576-2022 tillsynsbegäran.docx", "A 41576-2022")</f>
        <v/>
      </c>
      <c r="Y39">
        <f>HYPERLINK("https://klasma.github.io/Logging_1907/tillsynsmail/A 41576-2022 tillsynsbegäran mail.docx", "A 41576-2022")</f>
        <v/>
      </c>
      <c r="Z39">
        <f>HYPERLINK("https://klasma.github.io/Logging_1907/fåglar/A 41576-2022 prioriterade fågelarter.docx", "A 41576-2022")</f>
        <v/>
      </c>
    </row>
    <row r="40" ht="15" customHeight="1">
      <c r="A40" t="inlineStr">
        <is>
          <t>A 40403-2025</t>
        </is>
      </c>
      <c r="B40" s="1" t="n">
        <v>45895</v>
      </c>
      <c r="C40" s="1" t="n">
        <v>46062</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46062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63146-2025</t>
        </is>
      </c>
      <c r="B42" s="1" t="n">
        <v>46009</v>
      </c>
      <c r="C42" s="1" t="n">
        <v>46062</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37800-2021</t>
        </is>
      </c>
      <c r="B43" s="1" t="n">
        <v>44402</v>
      </c>
      <c r="C43" s="1" t="n">
        <v>46062</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46062</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46062</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46062</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46062</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46062</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46062</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46062</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46062</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46062</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56362-2023</t>
        </is>
      </c>
      <c r="B53" s="1" t="n">
        <v>45236</v>
      </c>
      <c r="C53" s="1" t="n">
        <v>46062</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13788-2025</t>
        </is>
      </c>
      <c r="B54" s="1" t="n">
        <v>45737.45327546296</v>
      </c>
      <c r="C54" s="1" t="n">
        <v>46062</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47453-2024</t>
        </is>
      </c>
      <c r="B55" s="1" t="n">
        <v>45587.55017361111</v>
      </c>
      <c r="C55" s="1" t="n">
        <v>46062</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34582-2025</t>
        </is>
      </c>
      <c r="B56" s="1" t="n">
        <v>45846</v>
      </c>
      <c r="C56" s="1" t="n">
        <v>46062</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25583-2024</t>
        </is>
      </c>
      <c r="B57" s="1" t="n">
        <v>45463</v>
      </c>
      <c r="C57" s="1" t="n">
        <v>46062</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42089-2025</t>
        </is>
      </c>
      <c r="B58" s="1" t="n">
        <v>45902</v>
      </c>
      <c r="C58" s="1" t="n">
        <v>46062</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39099-2022</t>
        </is>
      </c>
      <c r="B59" s="1" t="n">
        <v>44817</v>
      </c>
      <c r="C59" s="1" t="n">
        <v>46062</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42765-2022</t>
        </is>
      </c>
      <c r="B60" s="1" t="n">
        <v>44832</v>
      </c>
      <c r="C60" s="1" t="n">
        <v>46062</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46062</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46062</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55042-2025</t>
        </is>
      </c>
      <c r="B63" s="1" t="n">
        <v>45967.65858796296</v>
      </c>
      <c r="C63" s="1" t="n">
        <v>46062</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17632-2022</t>
        </is>
      </c>
      <c r="B64" s="1" t="n">
        <v>44680</v>
      </c>
      <c r="C64" s="1" t="n">
        <v>46062</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56768-2025</t>
        </is>
      </c>
      <c r="B65" s="1" t="n">
        <v>45978</v>
      </c>
      <c r="C65" s="1" t="n">
        <v>46062</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44356-2024</t>
        </is>
      </c>
      <c r="B66" s="1" t="n">
        <v>45573</v>
      </c>
      <c r="C66" s="1" t="n">
        <v>46062</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63145-2025</t>
        </is>
      </c>
      <c r="B67" s="1" t="n">
        <v>46009</v>
      </c>
      <c r="C67" s="1" t="n">
        <v>46062</v>
      </c>
      <c r="D67" t="inlineStr">
        <is>
          <t>VÄSTMANLANDS LÄN</t>
        </is>
      </c>
      <c r="E67" t="inlineStr">
        <is>
          <t>SURAHAMMAR</t>
        </is>
      </c>
      <c r="F67" t="inlineStr">
        <is>
          <t>Bergvik skog väst AB</t>
        </is>
      </c>
      <c r="G67" t="n">
        <v>40.5</v>
      </c>
      <c r="H67" t="n">
        <v>0</v>
      </c>
      <c r="I67" t="n">
        <v>1</v>
      </c>
      <c r="J67" t="n">
        <v>0</v>
      </c>
      <c r="K67" t="n">
        <v>0</v>
      </c>
      <c r="L67" t="n">
        <v>0</v>
      </c>
      <c r="M67" t="n">
        <v>0</v>
      </c>
      <c r="N67" t="n">
        <v>0</v>
      </c>
      <c r="O67" t="n">
        <v>0</v>
      </c>
      <c r="P67" t="n">
        <v>0</v>
      </c>
      <c r="Q67" t="n">
        <v>1</v>
      </c>
      <c r="R67" s="2" t="inlineStr">
        <is>
          <t>Svart trolldruva</t>
        </is>
      </c>
      <c r="S67">
        <f>HYPERLINK("https://klasma.github.io/Logging_1907/artfynd/A 63145-2025 artfynd.xlsx", "A 63145-2025")</f>
        <v/>
      </c>
      <c r="T67">
        <f>HYPERLINK("https://klasma.github.io/Logging_1907/kartor/A 63145-2025 karta.png", "A 63145-2025")</f>
        <v/>
      </c>
      <c r="V67">
        <f>HYPERLINK("https://klasma.github.io/Logging_1907/klagomål/A 63145-2025 FSC-klagomål.docx", "A 63145-2025")</f>
        <v/>
      </c>
      <c r="W67">
        <f>HYPERLINK("https://klasma.github.io/Logging_1907/klagomålsmail/A 63145-2025 FSC-klagomål mail.docx", "A 63145-2025")</f>
        <v/>
      </c>
      <c r="X67">
        <f>HYPERLINK("https://klasma.github.io/Logging_1907/tillsyn/A 63145-2025 tillsynsbegäran.docx", "A 63145-2025")</f>
        <v/>
      </c>
      <c r="Y67">
        <f>HYPERLINK("https://klasma.github.io/Logging_1907/tillsynsmail/A 63145-2025 tillsynsbegäran mail.docx", "A 63145-2025")</f>
        <v/>
      </c>
    </row>
    <row r="68" ht="15" customHeight="1">
      <c r="A68" t="inlineStr">
        <is>
          <t>A 22840-2023</t>
        </is>
      </c>
      <c r="B68" s="1" t="n">
        <v>45072</v>
      </c>
      <c r="C68" s="1" t="n">
        <v>46062</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46062</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14001-2023</t>
        </is>
      </c>
      <c r="B70" s="1" t="n">
        <v>45007</v>
      </c>
      <c r="C70" s="1" t="n">
        <v>46062</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46062</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46062</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46062</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46062</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46062</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46062</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46062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46062</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46062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46062</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46062</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46062</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46062</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46062</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46062</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46062</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46062</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46062</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46062</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46062</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46062</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16608-2022</t>
        </is>
      </c>
      <c r="B92" s="1" t="n">
        <v>44672</v>
      </c>
      <c r="C92" s="1" t="n">
        <v>46062</v>
      </c>
      <c r="D92" t="inlineStr">
        <is>
          <t>VÄSTMANLANDS LÄN</t>
        </is>
      </c>
      <c r="E92" t="inlineStr">
        <is>
          <t>SURAHAMMAR</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46062</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46062</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46062</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46062</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46062</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46062</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46062</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46062</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46062</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46062</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46062</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46062</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46062</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46062</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33931-2022</t>
        </is>
      </c>
      <c r="B107" s="1" t="n">
        <v>44790.65153935185</v>
      </c>
      <c r="C107" s="1" t="n">
        <v>46062</v>
      </c>
      <c r="D107" t="inlineStr">
        <is>
          <t>VÄSTMANLANDS LÄN</t>
        </is>
      </c>
      <c r="E107" t="inlineStr">
        <is>
          <t>SURAHAMMAR</t>
        </is>
      </c>
      <c r="G107" t="n">
        <v>2.2</v>
      </c>
      <c r="H107" t="n">
        <v>0</v>
      </c>
      <c r="I107" t="n">
        <v>0</v>
      </c>
      <c r="J107" t="n">
        <v>0</v>
      </c>
      <c r="K107" t="n">
        <v>0</v>
      </c>
      <c r="L107" t="n">
        <v>0</v>
      </c>
      <c r="M107" t="n">
        <v>0</v>
      </c>
      <c r="N107" t="n">
        <v>0</v>
      </c>
      <c r="O107" t="n">
        <v>0</v>
      </c>
      <c r="P107" t="n">
        <v>0</v>
      </c>
      <c r="Q107" t="n">
        <v>0</v>
      </c>
      <c r="R107" s="2" t="inlineStr"/>
    </row>
    <row r="108" ht="15" customHeight="1">
      <c r="A108" t="inlineStr">
        <is>
          <t>A 24158-2023</t>
        </is>
      </c>
      <c r="B108" s="1" t="n">
        <v>45079</v>
      </c>
      <c r="C108" s="1" t="n">
        <v>46062</v>
      </c>
      <c r="D108" t="inlineStr">
        <is>
          <t>VÄSTMANLANDS LÄN</t>
        </is>
      </c>
      <c r="E108" t="inlineStr">
        <is>
          <t>SURAHAMMAR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42714-2022</t>
        </is>
      </c>
      <c r="B109" s="1" t="n">
        <v>44832</v>
      </c>
      <c r="C109" s="1" t="n">
        <v>46062</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35682-2022</t>
        </is>
      </c>
      <c r="B110" s="1" t="n">
        <v>44799.60422453703</v>
      </c>
      <c r="C110" s="1" t="n">
        <v>46062</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11728-2023</t>
        </is>
      </c>
      <c r="B111" s="1" t="n">
        <v>44993</v>
      </c>
      <c r="C111" s="1" t="n">
        <v>46062</v>
      </c>
      <c r="D111" t="inlineStr">
        <is>
          <t>VÄSTMANLANDS LÄN</t>
        </is>
      </c>
      <c r="E111" t="inlineStr">
        <is>
          <t>SURAHAMMAR</t>
        </is>
      </c>
      <c r="F111" t="inlineStr">
        <is>
          <t>Bergvik skog väst AB</t>
        </is>
      </c>
      <c r="G111" t="n">
        <v>0.4</v>
      </c>
      <c r="H111" t="n">
        <v>0</v>
      </c>
      <c r="I111" t="n">
        <v>0</v>
      </c>
      <c r="J111" t="n">
        <v>0</v>
      </c>
      <c r="K111" t="n">
        <v>0</v>
      </c>
      <c r="L111" t="n">
        <v>0</v>
      </c>
      <c r="M111" t="n">
        <v>0</v>
      </c>
      <c r="N111" t="n">
        <v>0</v>
      </c>
      <c r="O111" t="n">
        <v>0</v>
      </c>
      <c r="P111" t="n">
        <v>0</v>
      </c>
      <c r="Q111" t="n">
        <v>0</v>
      </c>
      <c r="R111" s="2" t="inlineStr"/>
    </row>
    <row r="112" ht="15" customHeight="1">
      <c r="A112" t="inlineStr">
        <is>
          <t>A 5567-2022</t>
        </is>
      </c>
      <c r="B112" s="1" t="n">
        <v>44595</v>
      </c>
      <c r="C112" s="1" t="n">
        <v>46062</v>
      </c>
      <c r="D112" t="inlineStr">
        <is>
          <t>VÄSTMANLANDS LÄN</t>
        </is>
      </c>
      <c r="E112" t="inlineStr">
        <is>
          <t>SURAHAMMAR</t>
        </is>
      </c>
      <c r="G112" t="n">
        <v>1.3</v>
      </c>
      <c r="H112" t="n">
        <v>0</v>
      </c>
      <c r="I112" t="n">
        <v>0</v>
      </c>
      <c r="J112" t="n">
        <v>0</v>
      </c>
      <c r="K112" t="n">
        <v>0</v>
      </c>
      <c r="L112" t="n">
        <v>0</v>
      </c>
      <c r="M112" t="n">
        <v>0</v>
      </c>
      <c r="N112" t="n">
        <v>0</v>
      </c>
      <c r="O112" t="n">
        <v>0</v>
      </c>
      <c r="P112" t="n">
        <v>0</v>
      </c>
      <c r="Q112" t="n">
        <v>0</v>
      </c>
      <c r="R112" s="2" t="inlineStr"/>
    </row>
    <row r="113" ht="15" customHeight="1">
      <c r="A113" t="inlineStr">
        <is>
          <t>A 42832-2022</t>
        </is>
      </c>
      <c r="B113" s="1" t="n">
        <v>44832</v>
      </c>
      <c r="C113" s="1" t="n">
        <v>46062</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24665-2023</t>
        </is>
      </c>
      <c r="B114" s="1" t="n">
        <v>45084.48592592592</v>
      </c>
      <c r="C114" s="1" t="n">
        <v>46062</v>
      </c>
      <c r="D114" t="inlineStr">
        <is>
          <t>VÄSTMANLANDS LÄN</t>
        </is>
      </c>
      <c r="E114" t="inlineStr">
        <is>
          <t>SURAHAMMAR</t>
        </is>
      </c>
      <c r="G114" t="n">
        <v>0.9</v>
      </c>
      <c r="H114" t="n">
        <v>0</v>
      </c>
      <c r="I114" t="n">
        <v>0</v>
      </c>
      <c r="J114" t="n">
        <v>0</v>
      </c>
      <c r="K114" t="n">
        <v>0</v>
      </c>
      <c r="L114" t="n">
        <v>0</v>
      </c>
      <c r="M114" t="n">
        <v>0</v>
      </c>
      <c r="N114" t="n">
        <v>0</v>
      </c>
      <c r="O114" t="n">
        <v>0</v>
      </c>
      <c r="P114" t="n">
        <v>0</v>
      </c>
      <c r="Q114" t="n">
        <v>0</v>
      </c>
      <c r="R114" s="2" t="inlineStr"/>
    </row>
    <row r="115" ht="15" customHeight="1">
      <c r="A115" t="inlineStr">
        <is>
          <t>A 32808-2024</t>
        </is>
      </c>
      <c r="B115" s="1" t="n">
        <v>45516</v>
      </c>
      <c r="C115" s="1" t="n">
        <v>46062</v>
      </c>
      <c r="D115" t="inlineStr">
        <is>
          <t>VÄSTMANLANDS LÄN</t>
        </is>
      </c>
      <c r="E115" t="inlineStr">
        <is>
          <t>SURAHAMMAR</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46062</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32916-2025</t>
        </is>
      </c>
      <c r="B117" s="1" t="n">
        <v>45839</v>
      </c>
      <c r="C117" s="1" t="n">
        <v>46062</v>
      </c>
      <c r="D117" t="inlineStr">
        <is>
          <t>VÄSTMANLANDS LÄN</t>
        </is>
      </c>
      <c r="E117" t="inlineStr">
        <is>
          <t>SURAHAMMAR</t>
        </is>
      </c>
      <c r="F117" t="inlineStr">
        <is>
          <t>Kommuner</t>
        </is>
      </c>
      <c r="G117" t="n">
        <v>4.9</v>
      </c>
      <c r="H117" t="n">
        <v>0</v>
      </c>
      <c r="I117" t="n">
        <v>0</v>
      </c>
      <c r="J117" t="n">
        <v>0</v>
      </c>
      <c r="K117" t="n">
        <v>0</v>
      </c>
      <c r="L117" t="n">
        <v>0</v>
      </c>
      <c r="M117" t="n">
        <v>0</v>
      </c>
      <c r="N117" t="n">
        <v>0</v>
      </c>
      <c r="O117" t="n">
        <v>0</v>
      </c>
      <c r="P117" t="n">
        <v>0</v>
      </c>
      <c r="Q117" t="n">
        <v>0</v>
      </c>
      <c r="R117" s="2" t="inlineStr"/>
    </row>
    <row r="118" ht="15" customHeight="1">
      <c r="A118" t="inlineStr">
        <is>
          <t>A 32910-2025</t>
        </is>
      </c>
      <c r="B118" s="1" t="n">
        <v>45839</v>
      </c>
      <c r="C118" s="1" t="n">
        <v>46062</v>
      </c>
      <c r="D118" t="inlineStr">
        <is>
          <t>VÄSTMANLANDS LÄN</t>
        </is>
      </c>
      <c r="E118" t="inlineStr">
        <is>
          <t>SURAHAMMAR</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42841-2022</t>
        </is>
      </c>
      <c r="B119" s="1" t="n">
        <v>44832</v>
      </c>
      <c r="C119" s="1" t="n">
        <v>46062</v>
      </c>
      <c r="D119" t="inlineStr">
        <is>
          <t>VÄSTMANLANDS LÄN</t>
        </is>
      </c>
      <c r="E119" t="inlineStr">
        <is>
          <t>SURAHAMMAR</t>
        </is>
      </c>
      <c r="G119" t="n">
        <v>1.8</v>
      </c>
      <c r="H119" t="n">
        <v>0</v>
      </c>
      <c r="I119" t="n">
        <v>0</v>
      </c>
      <c r="J119" t="n">
        <v>0</v>
      </c>
      <c r="K119" t="n">
        <v>0</v>
      </c>
      <c r="L119" t="n">
        <v>0</v>
      </c>
      <c r="M119" t="n">
        <v>0</v>
      </c>
      <c r="N119" t="n">
        <v>0</v>
      </c>
      <c r="O119" t="n">
        <v>0</v>
      </c>
      <c r="P119" t="n">
        <v>0</v>
      </c>
      <c r="Q119" t="n">
        <v>0</v>
      </c>
      <c r="R119" s="2" t="inlineStr"/>
    </row>
    <row r="120" ht="15" customHeight="1">
      <c r="A120" t="inlineStr">
        <is>
          <t>A 42829-2022</t>
        </is>
      </c>
      <c r="B120" s="1" t="n">
        <v>44832</v>
      </c>
      <c r="C120" s="1" t="n">
        <v>46062</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46062</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46062</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46062</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46062</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46062</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46062</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46062</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55871-2025</t>
        </is>
      </c>
      <c r="B128" s="1" t="n">
        <v>45973.35452546296</v>
      </c>
      <c r="C128" s="1" t="n">
        <v>46062</v>
      </c>
      <c r="D128" t="inlineStr">
        <is>
          <t>VÄSTMANLANDS LÄN</t>
        </is>
      </c>
      <c r="E128" t="inlineStr">
        <is>
          <t>SURAHAMMAR</t>
        </is>
      </c>
      <c r="F128" t="inlineStr">
        <is>
          <t>Sveaskog</t>
        </is>
      </c>
      <c r="G128" t="n">
        <v>1.4</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46062</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49058-2024</t>
        </is>
      </c>
      <c r="B130" s="1" t="n">
        <v>45594</v>
      </c>
      <c r="C130" s="1" t="n">
        <v>46062</v>
      </c>
      <c r="D130" t="inlineStr">
        <is>
          <t>VÄSTMANLANDS LÄN</t>
        </is>
      </c>
      <c r="E130" t="inlineStr">
        <is>
          <t>SURAHAMMAR</t>
        </is>
      </c>
      <c r="F130" t="inlineStr">
        <is>
          <t>Sveaskog</t>
        </is>
      </c>
      <c r="G130" t="n">
        <v>11.4</v>
      </c>
      <c r="H130" t="n">
        <v>0</v>
      </c>
      <c r="I130" t="n">
        <v>0</v>
      </c>
      <c r="J130" t="n">
        <v>0</v>
      </c>
      <c r="K130" t="n">
        <v>0</v>
      </c>
      <c r="L130" t="n">
        <v>0</v>
      </c>
      <c r="M130" t="n">
        <v>0</v>
      </c>
      <c r="N130" t="n">
        <v>0</v>
      </c>
      <c r="O130" t="n">
        <v>0</v>
      </c>
      <c r="P130" t="n">
        <v>0</v>
      </c>
      <c r="Q130" t="n">
        <v>0</v>
      </c>
      <c r="R130" s="2" t="inlineStr"/>
    </row>
    <row r="131" ht="15" customHeight="1">
      <c r="A131" t="inlineStr">
        <is>
          <t>A 49060-2024</t>
        </is>
      </c>
      <c r="B131" s="1" t="n">
        <v>45594</v>
      </c>
      <c r="C131" s="1" t="n">
        <v>46062</v>
      </c>
      <c r="D131" t="inlineStr">
        <is>
          <t>VÄSTMANLANDS LÄN</t>
        </is>
      </c>
      <c r="E131" t="inlineStr">
        <is>
          <t>SURAHAMMAR</t>
        </is>
      </c>
      <c r="F131" t="inlineStr">
        <is>
          <t>Sveaskog</t>
        </is>
      </c>
      <c r="G131" t="n">
        <v>4.4</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46062</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46062</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46062</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46062</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59399-2025</t>
        </is>
      </c>
      <c r="B136" s="1" t="n">
        <v>45989</v>
      </c>
      <c r="C136" s="1" t="n">
        <v>46062</v>
      </c>
      <c r="D136" t="inlineStr">
        <is>
          <t>VÄSTMANLANDS LÄN</t>
        </is>
      </c>
      <c r="E136" t="inlineStr">
        <is>
          <t>SURAHAMMAR</t>
        </is>
      </c>
      <c r="F136" t="inlineStr">
        <is>
          <t>Kommuner</t>
        </is>
      </c>
      <c r="G136" t="n">
        <v>2.1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46062</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4724-2026</t>
        </is>
      </c>
      <c r="B138" s="1" t="n">
        <v>46048</v>
      </c>
      <c r="C138" s="1" t="n">
        <v>46062</v>
      </c>
      <c r="D138" t="inlineStr">
        <is>
          <t>VÄSTMANLANDS LÄN</t>
        </is>
      </c>
      <c r="E138" t="inlineStr">
        <is>
          <t>SURAHAMMAR</t>
        </is>
      </c>
      <c r="G138" t="n">
        <v>1.7</v>
      </c>
      <c r="H138" t="n">
        <v>0</v>
      </c>
      <c r="I138" t="n">
        <v>0</v>
      </c>
      <c r="J138" t="n">
        <v>0</v>
      </c>
      <c r="K138" t="n">
        <v>0</v>
      </c>
      <c r="L138" t="n">
        <v>0</v>
      </c>
      <c r="M138" t="n">
        <v>0</v>
      </c>
      <c r="N138" t="n">
        <v>0</v>
      </c>
      <c r="O138" t="n">
        <v>0</v>
      </c>
      <c r="P138" t="n">
        <v>0</v>
      </c>
      <c r="Q138" t="n">
        <v>0</v>
      </c>
      <c r="R138" s="2" t="inlineStr"/>
    </row>
    <row r="139" ht="15" customHeight="1">
      <c r="A139" t="inlineStr">
        <is>
          <t>A 4734-2026</t>
        </is>
      </c>
      <c r="B139" s="1" t="n">
        <v>46048</v>
      </c>
      <c r="C139" s="1" t="n">
        <v>46062</v>
      </c>
      <c r="D139" t="inlineStr">
        <is>
          <t>VÄSTMANLANDS LÄN</t>
        </is>
      </c>
      <c r="E139" t="inlineStr">
        <is>
          <t>SURAHAMMAR</t>
        </is>
      </c>
      <c r="G139" t="n">
        <v>0.7</v>
      </c>
      <c r="H139" t="n">
        <v>0</v>
      </c>
      <c r="I139" t="n">
        <v>0</v>
      </c>
      <c r="J139" t="n">
        <v>0</v>
      </c>
      <c r="K139" t="n">
        <v>0</v>
      </c>
      <c r="L139" t="n">
        <v>0</v>
      </c>
      <c r="M139" t="n">
        <v>0</v>
      </c>
      <c r="N139" t="n">
        <v>0</v>
      </c>
      <c r="O139" t="n">
        <v>0</v>
      </c>
      <c r="P139" t="n">
        <v>0</v>
      </c>
      <c r="Q139" t="n">
        <v>0</v>
      </c>
      <c r="R139" s="2" t="inlineStr"/>
    </row>
    <row r="140" ht="15" customHeight="1">
      <c r="A140" t="inlineStr">
        <is>
          <t>A 14626-2023</t>
        </is>
      </c>
      <c r="B140" s="1" t="n">
        <v>45012</v>
      </c>
      <c r="C140" s="1" t="n">
        <v>46062</v>
      </c>
      <c r="D140" t="inlineStr">
        <is>
          <t>VÄSTMANLANDS LÄN</t>
        </is>
      </c>
      <c r="E140" t="inlineStr">
        <is>
          <t>SURAHAMMAR</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5697-2026</t>
        </is>
      </c>
      <c r="B141" s="1" t="n">
        <v>46051.50020833333</v>
      </c>
      <c r="C141" s="1" t="n">
        <v>46062</v>
      </c>
      <c r="D141" t="inlineStr">
        <is>
          <t>VÄSTMANLANDS LÄN</t>
        </is>
      </c>
      <c r="E141" t="inlineStr">
        <is>
          <t>SURAHAMMAR</t>
        </is>
      </c>
      <c r="F141" t="inlineStr">
        <is>
          <t>Sveaskog</t>
        </is>
      </c>
      <c r="G141" t="n">
        <v>3</v>
      </c>
      <c r="H141" t="n">
        <v>0</v>
      </c>
      <c r="I141" t="n">
        <v>0</v>
      </c>
      <c r="J141" t="n">
        <v>0</v>
      </c>
      <c r="K141" t="n">
        <v>0</v>
      </c>
      <c r="L141" t="n">
        <v>0</v>
      </c>
      <c r="M141" t="n">
        <v>0</v>
      </c>
      <c r="N141" t="n">
        <v>0</v>
      </c>
      <c r="O141" t="n">
        <v>0</v>
      </c>
      <c r="P141" t="n">
        <v>0</v>
      </c>
      <c r="Q141" t="n">
        <v>0</v>
      </c>
      <c r="R141" s="2" t="inlineStr"/>
    </row>
    <row r="142" ht="15" customHeight="1">
      <c r="A142" t="inlineStr">
        <is>
          <t>A 5698-2026</t>
        </is>
      </c>
      <c r="B142" s="1" t="n">
        <v>46051.50196759259</v>
      </c>
      <c r="C142" s="1" t="n">
        <v>46062</v>
      </c>
      <c r="D142" t="inlineStr">
        <is>
          <t>VÄSTMANLANDS LÄN</t>
        </is>
      </c>
      <c r="E142" t="inlineStr">
        <is>
          <t>SURAHAMMAR</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5696-2026</t>
        </is>
      </c>
      <c r="B143" s="1" t="n">
        <v>46051.4975</v>
      </c>
      <c r="C143" s="1" t="n">
        <v>46062</v>
      </c>
      <c r="D143" t="inlineStr">
        <is>
          <t>VÄSTMANLANDS LÄN</t>
        </is>
      </c>
      <c r="E143" t="inlineStr">
        <is>
          <t>SURAHAMMAR</t>
        </is>
      </c>
      <c r="F143" t="inlineStr">
        <is>
          <t>Sveaskog</t>
        </is>
      </c>
      <c r="G143" t="n">
        <v>10.4</v>
      </c>
      <c r="H143" t="n">
        <v>0</v>
      </c>
      <c r="I143" t="n">
        <v>0</v>
      </c>
      <c r="J143" t="n">
        <v>0</v>
      </c>
      <c r="K143" t="n">
        <v>0</v>
      </c>
      <c r="L143" t="n">
        <v>0</v>
      </c>
      <c r="M143" t="n">
        <v>0</v>
      </c>
      <c r="N143" t="n">
        <v>0</v>
      </c>
      <c r="O143" t="n">
        <v>0</v>
      </c>
      <c r="P143" t="n">
        <v>0</v>
      </c>
      <c r="Q143" t="n">
        <v>0</v>
      </c>
      <c r="R143" s="2" t="inlineStr"/>
    </row>
    <row r="144" ht="15" customHeight="1">
      <c r="A144" t="inlineStr">
        <is>
          <t>A 63138-2025</t>
        </is>
      </c>
      <c r="B144" s="1" t="n">
        <v>46009</v>
      </c>
      <c r="C144" s="1" t="n">
        <v>46062</v>
      </c>
      <c r="D144" t="inlineStr">
        <is>
          <t>VÄSTMANLANDS LÄN</t>
        </is>
      </c>
      <c r="E144" t="inlineStr">
        <is>
          <t>SURAHAMMAR</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46062</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25450-2024</t>
        </is>
      </c>
      <c r="B146" s="1" t="n">
        <v>45463</v>
      </c>
      <c r="C146" s="1" t="n">
        <v>46062</v>
      </c>
      <c r="D146" t="inlineStr">
        <is>
          <t>VÄSTMANLANDS LÄN</t>
        </is>
      </c>
      <c r="E146" t="inlineStr">
        <is>
          <t>SURAHAMMAR</t>
        </is>
      </c>
      <c r="F146" t="inlineStr">
        <is>
          <t>Bergvik skog väst AB</t>
        </is>
      </c>
      <c r="G146" t="n">
        <v>2.4</v>
      </c>
      <c r="H146" t="n">
        <v>0</v>
      </c>
      <c r="I146" t="n">
        <v>0</v>
      </c>
      <c r="J146" t="n">
        <v>0</v>
      </c>
      <c r="K146" t="n">
        <v>0</v>
      </c>
      <c r="L146" t="n">
        <v>0</v>
      </c>
      <c r="M146" t="n">
        <v>0</v>
      </c>
      <c r="N146" t="n">
        <v>0</v>
      </c>
      <c r="O146" t="n">
        <v>0</v>
      </c>
      <c r="P146" t="n">
        <v>0</v>
      </c>
      <c r="Q146" t="n">
        <v>0</v>
      </c>
      <c r="R146" s="2" t="inlineStr"/>
    </row>
    <row r="147" ht="15" customHeight="1">
      <c r="A147" t="inlineStr">
        <is>
          <t>A 19782-2023</t>
        </is>
      </c>
      <c r="B147" s="1" t="n">
        <v>45050</v>
      </c>
      <c r="C147" s="1" t="n">
        <v>46062</v>
      </c>
      <c r="D147" t="inlineStr">
        <is>
          <t>VÄSTMANLANDS LÄN</t>
        </is>
      </c>
      <c r="E147" t="inlineStr">
        <is>
          <t>SURAHAMMAR</t>
        </is>
      </c>
      <c r="F147" t="inlineStr">
        <is>
          <t>Bergvik skog väst AB</t>
        </is>
      </c>
      <c r="G147" t="n">
        <v>5.2</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44608.58400462963</v>
      </c>
      <c r="C148" s="1" t="n">
        <v>46062</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24167-2024</t>
        </is>
      </c>
      <c r="B149" s="1" t="n">
        <v>45456</v>
      </c>
      <c r="C149" s="1" t="n">
        <v>46062</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56378-2023</t>
        </is>
      </c>
      <c r="B150" s="1" t="n">
        <v>45236</v>
      </c>
      <c r="C150" s="1" t="n">
        <v>46062</v>
      </c>
      <c r="D150" t="inlineStr">
        <is>
          <t>VÄSTMANLANDS LÄN</t>
        </is>
      </c>
      <c r="E150" t="inlineStr">
        <is>
          <t>SURAHAMMAR</t>
        </is>
      </c>
      <c r="F150" t="inlineStr">
        <is>
          <t>Bergvik skog väst AB</t>
        </is>
      </c>
      <c r="G150" t="n">
        <v>4.6</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46062</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11501-2023</t>
        </is>
      </c>
      <c r="B152" s="1" t="n">
        <v>44991</v>
      </c>
      <c r="C152" s="1" t="n">
        <v>46062</v>
      </c>
      <c r="D152" t="inlineStr">
        <is>
          <t>VÄSTMANLANDS LÄN</t>
        </is>
      </c>
      <c r="E152" t="inlineStr">
        <is>
          <t>SURAHAMMAR</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3818-2022</t>
        </is>
      </c>
      <c r="B153" s="1" t="n">
        <v>44587</v>
      </c>
      <c r="C153" s="1" t="n">
        <v>46062</v>
      </c>
      <c r="D153" t="inlineStr">
        <is>
          <t>VÄSTMANLANDS LÄN</t>
        </is>
      </c>
      <c r="E153" t="inlineStr">
        <is>
          <t>SURAHAMMAR</t>
        </is>
      </c>
      <c r="G153" t="n">
        <v>2.6</v>
      </c>
      <c r="H153" t="n">
        <v>0</v>
      </c>
      <c r="I153" t="n">
        <v>0</v>
      </c>
      <c r="J153" t="n">
        <v>0</v>
      </c>
      <c r="K153" t="n">
        <v>0</v>
      </c>
      <c r="L153" t="n">
        <v>0</v>
      </c>
      <c r="M153" t="n">
        <v>0</v>
      </c>
      <c r="N153" t="n">
        <v>0</v>
      </c>
      <c r="O153" t="n">
        <v>0</v>
      </c>
      <c r="P153" t="n">
        <v>0</v>
      </c>
      <c r="Q153" t="n">
        <v>0</v>
      </c>
      <c r="R153" s="2" t="inlineStr"/>
    </row>
    <row r="154" ht="15" customHeight="1">
      <c r="A154" t="inlineStr">
        <is>
          <t>A 21509-2024</t>
        </is>
      </c>
      <c r="B154" s="1" t="n">
        <v>45441</v>
      </c>
      <c r="C154" s="1" t="n">
        <v>46062</v>
      </c>
      <c r="D154" t="inlineStr">
        <is>
          <t>VÄSTMANLANDS LÄN</t>
        </is>
      </c>
      <c r="E154" t="inlineStr">
        <is>
          <t>SURAHAMMAR</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22662-2023</t>
        </is>
      </c>
      <c r="B155" s="1" t="n">
        <v>45071</v>
      </c>
      <c r="C155" s="1" t="n">
        <v>46062</v>
      </c>
      <c r="D155" t="inlineStr">
        <is>
          <t>VÄSTMANLANDS LÄN</t>
        </is>
      </c>
      <c r="E155" t="inlineStr">
        <is>
          <t>SURAHAMMAR</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16013-2023</t>
        </is>
      </c>
      <c r="B156" s="1" t="n">
        <v>45026</v>
      </c>
      <c r="C156" s="1" t="n">
        <v>46062</v>
      </c>
      <c r="D156" t="inlineStr">
        <is>
          <t>VÄSTMANLANDS LÄN</t>
        </is>
      </c>
      <c r="E156" t="inlineStr">
        <is>
          <t>SURAHAMMAR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41555-2022</t>
        </is>
      </c>
      <c r="B157" s="1" t="n">
        <v>44826</v>
      </c>
      <c r="C157" s="1" t="n">
        <v>46062</v>
      </c>
      <c r="D157" t="inlineStr">
        <is>
          <t>VÄSTMANLANDS LÄN</t>
        </is>
      </c>
      <c r="E157" t="inlineStr">
        <is>
          <t>SURAHAMMAR</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25780-2023</t>
        </is>
      </c>
      <c r="B158" s="1" t="n">
        <v>45090.47523148148</v>
      </c>
      <c r="C158" s="1" t="n">
        <v>46062</v>
      </c>
      <c r="D158" t="inlineStr">
        <is>
          <t>VÄSTMANLANDS LÄN</t>
        </is>
      </c>
      <c r="E158" t="inlineStr">
        <is>
          <t>SURAHAMMAR</t>
        </is>
      </c>
      <c r="G158" t="n">
        <v>2.8</v>
      </c>
      <c r="H158" t="n">
        <v>0</v>
      </c>
      <c r="I158" t="n">
        <v>0</v>
      </c>
      <c r="J158" t="n">
        <v>0</v>
      </c>
      <c r="K158" t="n">
        <v>0</v>
      </c>
      <c r="L158" t="n">
        <v>0</v>
      </c>
      <c r="M158" t="n">
        <v>0</v>
      </c>
      <c r="N158" t="n">
        <v>0</v>
      </c>
      <c r="O158" t="n">
        <v>0</v>
      </c>
      <c r="P158" t="n">
        <v>0</v>
      </c>
      <c r="Q158" t="n">
        <v>0</v>
      </c>
      <c r="R158" s="2" t="inlineStr"/>
    </row>
    <row r="159" ht="15" customHeight="1">
      <c r="A159" t="inlineStr">
        <is>
          <t>A 13386-2025</t>
        </is>
      </c>
      <c r="B159" s="1" t="n">
        <v>45735</v>
      </c>
      <c r="C159" s="1" t="n">
        <v>46062</v>
      </c>
      <c r="D159" t="inlineStr">
        <is>
          <t>VÄSTMANLANDS LÄN</t>
        </is>
      </c>
      <c r="E159" t="inlineStr">
        <is>
          <t>SURAHAMMAR</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46062</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15739-2023</t>
        </is>
      </c>
      <c r="B161" s="1" t="n">
        <v>45021</v>
      </c>
      <c r="C161" s="1" t="n">
        <v>46062</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c r="A162" t="inlineStr">
        <is>
          <t>A 38154-2021</t>
        </is>
      </c>
      <c r="B162" s="1" t="n">
        <v>44405.42373842592</v>
      </c>
      <c r="C162" s="1" t="n">
        <v>46062</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2026-02-09T19:41:08Z</dcterms:created>
  <dcterms:modified xmlns:dcterms="http://purl.org/dc/terms/" xmlns:xsi="http://www.w3.org/2001/XMLSchema-instance" xsi:type="dcterms:W3CDTF">2026-02-09T19:41:08Z</dcterms:modified>
</cp:coreProperties>
</file>