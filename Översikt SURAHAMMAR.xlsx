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46145</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46145</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46145</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46145</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46145</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46145</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46145</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46145</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46145</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46145</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46145</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46145</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42853-2022</t>
        </is>
      </c>
      <c r="B26" s="1" t="n">
        <v>44832</v>
      </c>
      <c r="C26" s="1" t="n">
        <v>46145</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46145</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46145</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46145</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46145</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46145</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46145</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46145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46145</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46145</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46145</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46145</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46145</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29707-2025</t>
        </is>
      </c>
      <c r="B39" s="1" t="n">
        <v>45825.56100694444</v>
      </c>
      <c r="C39" s="1" t="n">
        <v>46145</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46145</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46145</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62097-2024</t>
        </is>
      </c>
      <c r="B42" s="1" t="n">
        <v>45646</v>
      </c>
      <c r="C42" s="1" t="n">
        <v>46145</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40403-2025</t>
        </is>
      </c>
      <c r="B43" s="1" t="n">
        <v>45895</v>
      </c>
      <c r="C43" s="1" t="n">
        <v>46145</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41204-2023</t>
        </is>
      </c>
      <c r="B44" s="1" t="n">
        <v>45174</v>
      </c>
      <c r="C44" s="1" t="n">
        <v>46145</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46145</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46145</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46145</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46145</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46145</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46145</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46145</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46145</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46145</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46145</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46145</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46145</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46145</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34582-2025</t>
        </is>
      </c>
      <c r="B58" s="1" t="n">
        <v>45846</v>
      </c>
      <c r="C58" s="1" t="n">
        <v>46145</v>
      </c>
      <c r="D58" t="inlineStr">
        <is>
          <t>VÄSTMANLANDS LÄN</t>
        </is>
      </c>
      <c r="E58" t="inlineStr">
        <is>
          <t>SURAHAMMAR</t>
        </is>
      </c>
      <c r="F58" t="inlineStr">
        <is>
          <t>Bergvik skog väst AB</t>
        </is>
      </c>
      <c r="G58" t="n">
        <v>2.6</v>
      </c>
      <c r="H58" t="n">
        <v>1</v>
      </c>
      <c r="I58" t="n">
        <v>0</v>
      </c>
      <c r="J58" t="n">
        <v>1</v>
      </c>
      <c r="K58" t="n">
        <v>0</v>
      </c>
      <c r="L58" t="n">
        <v>0</v>
      </c>
      <c r="M58" t="n">
        <v>0</v>
      </c>
      <c r="N58" t="n">
        <v>0</v>
      </c>
      <c r="O58" t="n">
        <v>1</v>
      </c>
      <c r="P58" t="n">
        <v>0</v>
      </c>
      <c r="Q58" t="n">
        <v>1</v>
      </c>
      <c r="R58" s="2" t="inlineStr">
        <is>
          <t>Järpe</t>
        </is>
      </c>
      <c r="S58">
        <f>HYPERLINK("https://klasma.github.io/Logging_1907/artfynd/A 34582-2025 artfynd.xlsx", "A 34582-2025")</f>
        <v/>
      </c>
      <c r="T58">
        <f>HYPERLINK("https://klasma.github.io/Logging_1907/kartor/A 34582-2025 karta.png", "A 34582-2025")</f>
        <v/>
      </c>
      <c r="V58">
        <f>HYPERLINK("https://klasma.github.io/Logging_1907/klagomål/A 34582-2025 FSC-klagomål.docx", "A 34582-2025")</f>
        <v/>
      </c>
      <c r="W58">
        <f>HYPERLINK("https://klasma.github.io/Logging_1907/klagomålsmail/A 34582-2025 FSC-klagomål mail.docx", "A 34582-2025")</f>
        <v/>
      </c>
      <c r="X58">
        <f>HYPERLINK("https://klasma.github.io/Logging_1907/tillsyn/A 34582-2025 tillsynsbegäran.docx", "A 34582-2025")</f>
        <v/>
      </c>
      <c r="Y58">
        <f>HYPERLINK("https://klasma.github.io/Logging_1907/tillsynsmail/A 34582-2025 tillsynsbegäran mail.docx", "A 34582-2025")</f>
        <v/>
      </c>
      <c r="Z58">
        <f>HYPERLINK("https://klasma.github.io/Logging_1907/fåglar/A 34582-2025 prioriterade fågelarter.docx", "A 34582-2025")</f>
        <v/>
      </c>
    </row>
    <row r="59" ht="15" customHeight="1">
      <c r="A59" t="inlineStr">
        <is>
          <t>A 42089-2025</t>
        </is>
      </c>
      <c r="B59" s="1" t="n">
        <v>45902</v>
      </c>
      <c r="C59" s="1" t="n">
        <v>46145</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46145</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46145</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46145</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46145</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46145</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55042-2025</t>
        </is>
      </c>
      <c r="B65" s="1" t="n">
        <v>45967.65858796296</v>
      </c>
      <c r="C65" s="1" t="n">
        <v>46145</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46145</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46145</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13971-2023</t>
        </is>
      </c>
      <c r="B68" s="1" t="n">
        <v>45007</v>
      </c>
      <c r="C68" s="1" t="n">
        <v>46145</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46145</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46145</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63145-2025</t>
        </is>
      </c>
      <c r="B71" s="1" t="n">
        <v>46009</v>
      </c>
      <c r="C71" s="1" t="n">
        <v>46145</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17632-2022</t>
        </is>
      </c>
      <c r="B72" s="1" t="n">
        <v>44680</v>
      </c>
      <c r="C72" s="1" t="n">
        <v>46145</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46145</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46145</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46145</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34584-2025</t>
        </is>
      </c>
      <c r="B76" s="1" t="n">
        <v>45846</v>
      </c>
      <c r="C76" s="1" t="n">
        <v>46145</v>
      </c>
      <c r="D76" t="inlineStr">
        <is>
          <t>VÄSTMANLANDS LÄN</t>
        </is>
      </c>
      <c r="E76" t="inlineStr">
        <is>
          <t>SURAHAMMAR</t>
        </is>
      </c>
      <c r="F76" t="inlineStr">
        <is>
          <t>Bergvik skog väst AB</t>
        </is>
      </c>
      <c r="G76" t="n">
        <v>2.7</v>
      </c>
      <c r="H76" t="n">
        <v>1</v>
      </c>
      <c r="I76" t="n">
        <v>0</v>
      </c>
      <c r="J76" t="n">
        <v>0</v>
      </c>
      <c r="K76" t="n">
        <v>0</v>
      </c>
      <c r="L76" t="n">
        <v>0</v>
      </c>
      <c r="M76" t="n">
        <v>0</v>
      </c>
      <c r="N76" t="n">
        <v>0</v>
      </c>
      <c r="O76" t="n">
        <v>0</v>
      </c>
      <c r="P76" t="n">
        <v>0</v>
      </c>
      <c r="Q76" t="n">
        <v>1</v>
      </c>
      <c r="R76" s="2" t="inlineStr">
        <is>
          <t>Tjäder</t>
        </is>
      </c>
      <c r="S76">
        <f>HYPERLINK("https://klasma.github.io/Logging_1907/artfynd/A 34584-2025 artfynd.xlsx", "A 34584-2025")</f>
        <v/>
      </c>
      <c r="T76">
        <f>HYPERLINK("https://klasma.github.io/Logging_1907/kartor/A 34584-2025 karta.png", "A 34584-2025")</f>
        <v/>
      </c>
      <c r="V76">
        <f>HYPERLINK("https://klasma.github.io/Logging_1907/klagomål/A 34584-2025 FSC-klagomål.docx", "A 34584-2025")</f>
        <v/>
      </c>
      <c r="W76">
        <f>HYPERLINK("https://klasma.github.io/Logging_1907/klagomålsmail/A 34584-2025 FSC-klagomål mail.docx", "A 34584-2025")</f>
        <v/>
      </c>
      <c r="X76">
        <f>HYPERLINK("https://klasma.github.io/Logging_1907/tillsyn/A 34584-2025 tillsynsbegäran.docx", "A 34584-2025")</f>
        <v/>
      </c>
      <c r="Y76">
        <f>HYPERLINK("https://klasma.github.io/Logging_1907/tillsynsmail/A 34584-2025 tillsynsbegäran mail.docx", "A 34584-2025")</f>
        <v/>
      </c>
      <c r="Z76">
        <f>HYPERLINK("https://klasma.github.io/Logging_1907/fåglar/A 34584-2025 prioriterade fågelarter.docx", "A 34584-2025")</f>
        <v/>
      </c>
    </row>
    <row r="77" ht="15" customHeight="1">
      <c r="A77" t="inlineStr">
        <is>
          <t>A 64073-2021</t>
        </is>
      </c>
      <c r="B77" s="1" t="n">
        <v>44509</v>
      </c>
      <c r="C77" s="1" t="n">
        <v>46145</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46145</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46145</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46145</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46145</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46145</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46145</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46145</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46145</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46145</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46145</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46145</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46145</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46145</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46145</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46145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46145</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46145</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46145</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46145</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46145</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46145</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46145</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46145</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46145</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46145</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46145</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11728-2023</t>
        </is>
      </c>
      <c r="B104" s="1" t="n">
        <v>44993</v>
      </c>
      <c r="C104" s="1" t="n">
        <v>46145</v>
      </c>
      <c r="D104" t="inlineStr">
        <is>
          <t>VÄSTMANLANDS LÄN</t>
        </is>
      </c>
      <c r="E104" t="inlineStr">
        <is>
          <t>SURAHAMMAR</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37954-2025</t>
        </is>
      </c>
      <c r="B105" s="1" t="n">
        <v>45881</v>
      </c>
      <c r="C105" s="1" t="n">
        <v>46145</v>
      </c>
      <c r="D105" t="inlineStr">
        <is>
          <t>VÄSTMANLANDS LÄN</t>
        </is>
      </c>
      <c r="E105" t="inlineStr">
        <is>
          <t>SURAHAMMAR</t>
        </is>
      </c>
      <c r="G105" t="n">
        <v>9.5</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46145</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46145</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46145</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42829-2022</t>
        </is>
      </c>
      <c r="B109" s="1" t="n">
        <v>44832</v>
      </c>
      <c r="C109" s="1" t="n">
        <v>46145</v>
      </c>
      <c r="D109" t="inlineStr">
        <is>
          <t>VÄSTMANLANDS LÄN</t>
        </is>
      </c>
      <c r="E109" t="inlineStr">
        <is>
          <t>SURAHAMMAR</t>
        </is>
      </c>
      <c r="G109" t="n">
        <v>1.6</v>
      </c>
      <c r="H109" t="n">
        <v>0</v>
      </c>
      <c r="I109" t="n">
        <v>0</v>
      </c>
      <c r="J109" t="n">
        <v>0</v>
      </c>
      <c r="K109" t="n">
        <v>0</v>
      </c>
      <c r="L109" t="n">
        <v>0</v>
      </c>
      <c r="M109" t="n">
        <v>0</v>
      </c>
      <c r="N109" t="n">
        <v>0</v>
      </c>
      <c r="O109" t="n">
        <v>0</v>
      </c>
      <c r="P109" t="n">
        <v>0</v>
      </c>
      <c r="Q109" t="n">
        <v>0</v>
      </c>
      <c r="R109" s="2" t="inlineStr"/>
    </row>
    <row r="110" ht="15" customHeight="1">
      <c r="A110" t="inlineStr">
        <is>
          <t>A 34955-2022</t>
        </is>
      </c>
      <c r="B110" s="1" t="n">
        <v>44796</v>
      </c>
      <c r="C110" s="1" t="n">
        <v>46145</v>
      </c>
      <c r="D110" t="inlineStr">
        <is>
          <t>VÄSTMANLANDS LÄN</t>
        </is>
      </c>
      <c r="E110" t="inlineStr">
        <is>
          <t>SURAHAMMAR</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42088-2025</t>
        </is>
      </c>
      <c r="B111" s="1" t="n">
        <v>45902</v>
      </c>
      <c r="C111" s="1" t="n">
        <v>46145</v>
      </c>
      <c r="D111" t="inlineStr">
        <is>
          <t>VÄSTMANLANDS LÄN</t>
        </is>
      </c>
      <c r="E111" t="inlineStr">
        <is>
          <t>SURAHAMMAR</t>
        </is>
      </c>
      <c r="G111" t="n">
        <v>1</v>
      </c>
      <c r="H111" t="n">
        <v>0</v>
      </c>
      <c r="I111" t="n">
        <v>0</v>
      </c>
      <c r="J111" t="n">
        <v>0</v>
      </c>
      <c r="K111" t="n">
        <v>0</v>
      </c>
      <c r="L111" t="n">
        <v>0</v>
      </c>
      <c r="M111" t="n">
        <v>0</v>
      </c>
      <c r="N111" t="n">
        <v>0</v>
      </c>
      <c r="O111" t="n">
        <v>0</v>
      </c>
      <c r="P111" t="n">
        <v>0</v>
      </c>
      <c r="Q111" t="n">
        <v>0</v>
      </c>
      <c r="R111" s="2" t="inlineStr"/>
    </row>
    <row r="112" ht="15" customHeight="1">
      <c r="A112" t="inlineStr">
        <is>
          <t>A 37798-2021</t>
        </is>
      </c>
      <c r="B112" s="1" t="n">
        <v>44402</v>
      </c>
      <c r="C112" s="1" t="n">
        <v>46145</v>
      </c>
      <c r="D112" t="inlineStr">
        <is>
          <t>VÄSTMANLANDS LÄN</t>
        </is>
      </c>
      <c r="E112" t="inlineStr">
        <is>
          <t>SURAHAMMAR</t>
        </is>
      </c>
      <c r="F112" t="inlineStr">
        <is>
          <t>Kommuner</t>
        </is>
      </c>
      <c r="G112" t="n">
        <v>1.2</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46145</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31107-2025</t>
        </is>
      </c>
      <c r="B114" s="1" t="n">
        <v>45831</v>
      </c>
      <c r="C114" s="1" t="n">
        <v>46145</v>
      </c>
      <c r="D114" t="inlineStr">
        <is>
          <t>VÄSTMANLANDS LÄN</t>
        </is>
      </c>
      <c r="E114" t="inlineStr">
        <is>
          <t>SURAHAMMAR</t>
        </is>
      </c>
      <c r="F114" t="inlineStr">
        <is>
          <t>Kommuner</t>
        </is>
      </c>
      <c r="G114" t="n">
        <v>1.7</v>
      </c>
      <c r="H114" t="n">
        <v>0</v>
      </c>
      <c r="I114" t="n">
        <v>0</v>
      </c>
      <c r="J114" t="n">
        <v>0</v>
      </c>
      <c r="K114" t="n">
        <v>0</v>
      </c>
      <c r="L114" t="n">
        <v>0</v>
      </c>
      <c r="M114" t="n">
        <v>0</v>
      </c>
      <c r="N114" t="n">
        <v>0</v>
      </c>
      <c r="O114" t="n">
        <v>0</v>
      </c>
      <c r="P114" t="n">
        <v>0</v>
      </c>
      <c r="Q114" t="n">
        <v>0</v>
      </c>
      <c r="R114" s="2" t="inlineStr"/>
    </row>
    <row r="115" ht="15" customHeight="1">
      <c r="A115" t="inlineStr">
        <is>
          <t>A 43249-2025</t>
        </is>
      </c>
      <c r="B115" s="1" t="n">
        <v>45910.55059027778</v>
      </c>
      <c r="C115" s="1" t="n">
        <v>46145</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48205-2023</t>
        </is>
      </c>
      <c r="B116" s="1" t="n">
        <v>45205</v>
      </c>
      <c r="C116" s="1" t="n">
        <v>46145</v>
      </c>
      <c r="D116" t="inlineStr">
        <is>
          <t>VÄSTMANLANDS LÄN</t>
        </is>
      </c>
      <c r="E116" t="inlineStr">
        <is>
          <t>SURAHAMMAR</t>
        </is>
      </c>
      <c r="F116" t="inlineStr">
        <is>
          <t>Allmännings- och besparingsskogar</t>
        </is>
      </c>
      <c r="G116" t="n">
        <v>7.6</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46145</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22662-2023</t>
        </is>
      </c>
      <c r="B118" s="1" t="n">
        <v>45071</v>
      </c>
      <c r="C118" s="1" t="n">
        <v>46145</v>
      </c>
      <c r="D118" t="inlineStr">
        <is>
          <t>VÄSTMANLANDS LÄN</t>
        </is>
      </c>
      <c r="E118" t="inlineStr">
        <is>
          <t>SURAHAMMAR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30076-2023</t>
        </is>
      </c>
      <c r="B119" s="1" t="n">
        <v>45110</v>
      </c>
      <c r="C119" s="1" t="n">
        <v>46145</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47785-2021</t>
        </is>
      </c>
      <c r="B120" s="1" t="n">
        <v>44448</v>
      </c>
      <c r="C120" s="1" t="n">
        <v>46145</v>
      </c>
      <c r="D120" t="inlineStr">
        <is>
          <t>VÄSTMANLANDS LÄN</t>
        </is>
      </c>
      <c r="E120" t="inlineStr">
        <is>
          <t>SURAHAMMAR</t>
        </is>
      </c>
      <c r="F120" t="inlineStr">
        <is>
          <t>Kommuner</t>
        </is>
      </c>
      <c r="G120" t="n">
        <v>3.3</v>
      </c>
      <c r="H120" t="n">
        <v>0</v>
      </c>
      <c r="I120" t="n">
        <v>0</v>
      </c>
      <c r="J120" t="n">
        <v>0</v>
      </c>
      <c r="K120" t="n">
        <v>0</v>
      </c>
      <c r="L120" t="n">
        <v>0</v>
      </c>
      <c r="M120" t="n">
        <v>0</v>
      </c>
      <c r="N120" t="n">
        <v>0</v>
      </c>
      <c r="O120" t="n">
        <v>0</v>
      </c>
      <c r="P120" t="n">
        <v>0</v>
      </c>
      <c r="Q120" t="n">
        <v>0</v>
      </c>
      <c r="R120" s="2" t="inlineStr"/>
    </row>
    <row r="121" ht="15" customHeight="1">
      <c r="A121" t="inlineStr">
        <is>
          <t>A 25450-2024</t>
        </is>
      </c>
      <c r="B121" s="1" t="n">
        <v>45463</v>
      </c>
      <c r="C121" s="1" t="n">
        <v>46145</v>
      </c>
      <c r="D121" t="inlineStr">
        <is>
          <t>VÄSTMANLANDS LÄN</t>
        </is>
      </c>
      <c r="E121" t="inlineStr">
        <is>
          <t>SURAHAMMAR</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46145</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46145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46145</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46145</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46145</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46145</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46145</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72367-2021</t>
        </is>
      </c>
      <c r="B129" s="1" t="n">
        <v>44545</v>
      </c>
      <c r="C129" s="1" t="n">
        <v>46145</v>
      </c>
      <c r="D129" t="inlineStr">
        <is>
          <t>VÄSTMANLANDS LÄN</t>
        </is>
      </c>
      <c r="E129" t="inlineStr">
        <is>
          <t>SURAHAMMAR</t>
        </is>
      </c>
      <c r="G129" t="n">
        <v>2.5</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46145</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46145</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37287-2023</t>
        </is>
      </c>
      <c r="B132" s="1" t="n">
        <v>45156</v>
      </c>
      <c r="C132" s="1" t="n">
        <v>46145</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46145</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56541-2025</t>
        </is>
      </c>
      <c r="B134" s="1" t="n">
        <v>45975</v>
      </c>
      <c r="C134" s="1" t="n">
        <v>46145</v>
      </c>
      <c r="D134" t="inlineStr">
        <is>
          <t>VÄSTMANLANDS LÄN</t>
        </is>
      </c>
      <c r="E134" t="inlineStr">
        <is>
          <t>SURAHAMMAR</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46145</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46145</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63138-2025</t>
        </is>
      </c>
      <c r="B137" s="1" t="n">
        <v>46009</v>
      </c>
      <c r="C137" s="1" t="n">
        <v>46145</v>
      </c>
      <c r="D137" t="inlineStr">
        <is>
          <t>VÄSTMANLANDS LÄN</t>
        </is>
      </c>
      <c r="E137" t="inlineStr">
        <is>
          <t>SURAHAMMAR</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25780-2023</t>
        </is>
      </c>
      <c r="B138" s="1" t="n">
        <v>45090.47523148148</v>
      </c>
      <c r="C138" s="1" t="n">
        <v>46145</v>
      </c>
      <c r="D138" t="inlineStr">
        <is>
          <t>VÄSTMANLANDS LÄN</t>
        </is>
      </c>
      <c r="E138" t="inlineStr">
        <is>
          <t>SURAHAMMAR</t>
        </is>
      </c>
      <c r="G138" t="n">
        <v>2.8</v>
      </c>
      <c r="H138" t="n">
        <v>0</v>
      </c>
      <c r="I138" t="n">
        <v>0</v>
      </c>
      <c r="J138" t="n">
        <v>0</v>
      </c>
      <c r="K138" t="n">
        <v>0</v>
      </c>
      <c r="L138" t="n">
        <v>0</v>
      </c>
      <c r="M138" t="n">
        <v>0</v>
      </c>
      <c r="N138" t="n">
        <v>0</v>
      </c>
      <c r="O138" t="n">
        <v>0</v>
      </c>
      <c r="P138" t="n">
        <v>0</v>
      </c>
      <c r="Q138" t="n">
        <v>0</v>
      </c>
      <c r="R138" s="2" t="inlineStr"/>
    </row>
    <row r="139" ht="15" customHeight="1">
      <c r="A139" t="inlineStr">
        <is>
          <t>A 13386-2025</t>
        </is>
      </c>
      <c r="B139" s="1" t="n">
        <v>45735</v>
      </c>
      <c r="C139" s="1" t="n">
        <v>46145</v>
      </c>
      <c r="D139" t="inlineStr">
        <is>
          <t>VÄSTMANLANDS LÄN</t>
        </is>
      </c>
      <c r="E139" t="inlineStr">
        <is>
          <t>SURAHAMMAR</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46145</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2867-2024</t>
        </is>
      </c>
      <c r="B141" s="1" t="n">
        <v>45315</v>
      </c>
      <c r="C141" s="1" t="n">
        <v>46145</v>
      </c>
      <c r="D141" t="inlineStr">
        <is>
          <t>VÄSTMANLANDS LÄN</t>
        </is>
      </c>
      <c r="E141" t="inlineStr">
        <is>
          <t>SURAHAMMAR</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2660-2024</t>
        </is>
      </c>
      <c r="B142" s="1" t="n">
        <v>45310</v>
      </c>
      <c r="C142" s="1" t="n">
        <v>46145</v>
      </c>
      <c r="D142" t="inlineStr">
        <is>
          <t>VÄSTMANLANDS LÄN</t>
        </is>
      </c>
      <c r="E142" t="inlineStr">
        <is>
          <t>SURAHAMMAR</t>
        </is>
      </c>
      <c r="G142" t="n">
        <v>2.1</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46145</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46145</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46145</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46145</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46145</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46145</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46145</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46145</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46145</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10244-2026</t>
        </is>
      </c>
      <c r="B152" s="1" t="n">
        <v>46076.55032407407</v>
      </c>
      <c r="C152" s="1" t="n">
        <v>46145</v>
      </c>
      <c r="D152" t="inlineStr">
        <is>
          <t>VÄSTMANLANDS LÄN</t>
        </is>
      </c>
      <c r="E152" t="inlineStr">
        <is>
          <t>SURAHAMMAR</t>
        </is>
      </c>
      <c r="F152" t="inlineStr">
        <is>
          <t>Allmännings- och besparingsskogar</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10512-2026</t>
        </is>
      </c>
      <c r="B153" s="1" t="n">
        <v>46077.56861111111</v>
      </c>
      <c r="C153" s="1" t="n">
        <v>46145</v>
      </c>
      <c r="D153" t="inlineStr">
        <is>
          <t>VÄSTMANLANDS LÄN</t>
        </is>
      </c>
      <c r="E153" t="inlineStr">
        <is>
          <t>SURAHAMMAR</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10249-2026</t>
        </is>
      </c>
      <c r="B154" s="1" t="n">
        <v>46076.55456018518</v>
      </c>
      <c r="C154" s="1" t="n">
        <v>46145</v>
      </c>
      <c r="D154" t="inlineStr">
        <is>
          <t>VÄSTMANLANDS LÄN</t>
        </is>
      </c>
      <c r="E154" t="inlineStr">
        <is>
          <t>SURAHAMMAR</t>
        </is>
      </c>
      <c r="F154" t="inlineStr">
        <is>
          <t>Allmännings- och besparingsskogar</t>
        </is>
      </c>
      <c r="G154" t="n">
        <v>4.8</v>
      </c>
      <c r="H154" t="n">
        <v>0</v>
      </c>
      <c r="I154" t="n">
        <v>0</v>
      </c>
      <c r="J154" t="n">
        <v>0</v>
      </c>
      <c r="K154" t="n">
        <v>0</v>
      </c>
      <c r="L154" t="n">
        <v>0</v>
      </c>
      <c r="M154" t="n">
        <v>0</v>
      </c>
      <c r="N154" t="n">
        <v>0</v>
      </c>
      <c r="O154" t="n">
        <v>0</v>
      </c>
      <c r="P154" t="n">
        <v>0</v>
      </c>
      <c r="Q154" t="n">
        <v>0</v>
      </c>
      <c r="R154" s="2" t="inlineStr"/>
    </row>
    <row r="155" ht="15" customHeight="1">
      <c r="A155" t="inlineStr">
        <is>
          <t>A 10562-2026</t>
        </is>
      </c>
      <c r="B155" s="1" t="n">
        <v>46077.64043981482</v>
      </c>
      <c r="C155" s="1" t="n">
        <v>46145</v>
      </c>
      <c r="D155" t="inlineStr">
        <is>
          <t>VÄSTMANLANDS LÄN</t>
        </is>
      </c>
      <c r="E155" t="inlineStr">
        <is>
          <t>SURAHAMMAR</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46145</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15743-2023</t>
        </is>
      </c>
      <c r="B157" s="1" t="n">
        <v>45021</v>
      </c>
      <c r="C157" s="1" t="n">
        <v>46145</v>
      </c>
      <c r="D157" t="inlineStr">
        <is>
          <t>VÄSTMANLANDS LÄN</t>
        </is>
      </c>
      <c r="E157" t="inlineStr">
        <is>
          <t>SURAHAMMAR</t>
        </is>
      </c>
      <c r="G157" t="n">
        <v>0.5</v>
      </c>
      <c r="H157" t="n">
        <v>0</v>
      </c>
      <c r="I157" t="n">
        <v>0</v>
      </c>
      <c r="J157" t="n">
        <v>0</v>
      </c>
      <c r="K157" t="n">
        <v>0</v>
      </c>
      <c r="L157" t="n">
        <v>0</v>
      </c>
      <c r="M157" t="n">
        <v>0</v>
      </c>
      <c r="N157" t="n">
        <v>0</v>
      </c>
      <c r="O157" t="n">
        <v>0</v>
      </c>
      <c r="P157" t="n">
        <v>0</v>
      </c>
      <c r="Q157" t="n">
        <v>0</v>
      </c>
      <c r="R157" s="2" t="inlineStr"/>
    </row>
    <row r="158" ht="15" customHeight="1">
      <c r="A158" t="inlineStr">
        <is>
          <t>A 10347-2026</t>
        </is>
      </c>
      <c r="B158" s="1" t="n">
        <v>46076.69101851852</v>
      </c>
      <c r="C158" s="1" t="n">
        <v>46145</v>
      </c>
      <c r="D158" t="inlineStr">
        <is>
          <t>VÄSTMANLANDS LÄN</t>
        </is>
      </c>
      <c r="E158" t="inlineStr">
        <is>
          <t>SURAHAMMAR</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19246-2026</t>
        </is>
      </c>
      <c r="B159" s="1" t="n">
        <v>46132.66501157408</v>
      </c>
      <c r="C159" s="1" t="n">
        <v>46145</v>
      </c>
      <c r="D159" t="inlineStr">
        <is>
          <t>VÄSTMANLANDS LÄN</t>
        </is>
      </c>
      <c r="E159" t="inlineStr">
        <is>
          <t>SURAHAMMAR</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12841-2026</t>
        </is>
      </c>
      <c r="B160" s="1" t="n">
        <v>46091</v>
      </c>
      <c r="C160" s="1" t="n">
        <v>46145</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44662.89638888889</v>
      </c>
      <c r="C161" s="1" t="n">
        <v>46145</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19786-2023</t>
        </is>
      </c>
      <c r="B162" s="1" t="n">
        <v>45050</v>
      </c>
      <c r="C162" s="1" t="n">
        <v>46145</v>
      </c>
      <c r="D162" t="inlineStr">
        <is>
          <t>VÄSTMANLANDS LÄN</t>
        </is>
      </c>
      <c r="E162" t="inlineStr">
        <is>
          <t>SURAHAMMAR</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20535-2026</t>
        </is>
      </c>
      <c r="B163" s="1" t="n">
        <v>46140.56516203703</v>
      </c>
      <c r="C163" s="1" t="n">
        <v>46145</v>
      </c>
      <c r="D163" t="inlineStr">
        <is>
          <t>VÄSTMANLANDS LÄN</t>
        </is>
      </c>
      <c r="E163" t="inlineStr">
        <is>
          <t>SURAHAMMAR</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7787-2024</t>
        </is>
      </c>
      <c r="B164" s="1" t="n">
        <v>45348</v>
      </c>
      <c r="C164" s="1" t="n">
        <v>46145</v>
      </c>
      <c r="D164" t="inlineStr">
        <is>
          <t>VÄSTMANLANDS LÄN</t>
        </is>
      </c>
      <c r="E164" t="inlineStr">
        <is>
          <t>SURAHAMMAR</t>
        </is>
      </c>
      <c r="G164" t="n">
        <v>1</v>
      </c>
      <c r="H164" t="n">
        <v>0</v>
      </c>
      <c r="I164" t="n">
        <v>0</v>
      </c>
      <c r="J164" t="n">
        <v>0</v>
      </c>
      <c r="K164" t="n">
        <v>0</v>
      </c>
      <c r="L164" t="n">
        <v>0</v>
      </c>
      <c r="M164" t="n">
        <v>0</v>
      </c>
      <c r="N164" t="n">
        <v>0</v>
      </c>
      <c r="O164" t="n">
        <v>0</v>
      </c>
      <c r="P164" t="n">
        <v>0</v>
      </c>
      <c r="Q164" t="n">
        <v>0</v>
      </c>
      <c r="R164" s="2" t="inlineStr"/>
    </row>
    <row r="165" ht="15" customHeight="1">
      <c r="A165" t="inlineStr">
        <is>
          <t>A 15739-2023</t>
        </is>
      </c>
      <c r="B165" s="1" t="n">
        <v>45021</v>
      </c>
      <c r="C165" s="1" t="n">
        <v>46145</v>
      </c>
      <c r="D165" t="inlineStr">
        <is>
          <t>VÄSTMANLANDS LÄN</t>
        </is>
      </c>
      <c r="E165" t="inlineStr">
        <is>
          <t>SURAHAMMAR</t>
        </is>
      </c>
      <c r="G165" t="n">
        <v>1.3</v>
      </c>
      <c r="H165" t="n">
        <v>0</v>
      </c>
      <c r="I165" t="n">
        <v>0</v>
      </c>
      <c r="J165" t="n">
        <v>0</v>
      </c>
      <c r="K165" t="n">
        <v>0</v>
      </c>
      <c r="L165" t="n">
        <v>0</v>
      </c>
      <c r="M165" t="n">
        <v>0</v>
      </c>
      <c r="N165" t="n">
        <v>0</v>
      </c>
      <c r="O165" t="n">
        <v>0</v>
      </c>
      <c r="P165" t="n">
        <v>0</v>
      </c>
      <c r="Q165" t="n">
        <v>0</v>
      </c>
      <c r="R165" s="2" t="inlineStr"/>
    </row>
    <row r="166" ht="15" customHeight="1">
      <c r="A166" t="inlineStr">
        <is>
          <t>A 38154-2021</t>
        </is>
      </c>
      <c r="B166" s="1" t="n">
        <v>44405.42373842592</v>
      </c>
      <c r="C166" s="1" t="n">
        <v>46145</v>
      </c>
      <c r="D166" t="inlineStr">
        <is>
          <t>VÄSTMANLANDS LÄN</t>
        </is>
      </c>
      <c r="E166" t="inlineStr">
        <is>
          <t>SURAHAMMAR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32910-2025</t>
        </is>
      </c>
      <c r="B167" s="1" t="n">
        <v>45839</v>
      </c>
      <c r="C167" s="1" t="n">
        <v>46145</v>
      </c>
      <c r="D167" t="inlineStr">
        <is>
          <t>VÄSTMANLANDS LÄN</t>
        </is>
      </c>
      <c r="E167" t="inlineStr">
        <is>
          <t>SURAHAMMAR</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32916-2025</t>
        </is>
      </c>
      <c r="B168" s="1" t="n">
        <v>45839</v>
      </c>
      <c r="C168" s="1" t="n">
        <v>46145</v>
      </c>
      <c r="D168" t="inlineStr">
        <is>
          <t>VÄSTMANLANDS LÄN</t>
        </is>
      </c>
      <c r="E168" t="inlineStr">
        <is>
          <t>SURAHAMMAR</t>
        </is>
      </c>
      <c r="F168" t="inlineStr">
        <is>
          <t>Kommuner</t>
        </is>
      </c>
      <c r="G168" t="n">
        <v>4.9</v>
      </c>
      <c r="H168" t="n">
        <v>0</v>
      </c>
      <c r="I168" t="n">
        <v>0</v>
      </c>
      <c r="J168" t="n">
        <v>0</v>
      </c>
      <c r="K168" t="n">
        <v>0</v>
      </c>
      <c r="L168" t="n">
        <v>0</v>
      </c>
      <c r="M168" t="n">
        <v>0</v>
      </c>
      <c r="N168" t="n">
        <v>0</v>
      </c>
      <c r="O168" t="n">
        <v>0</v>
      </c>
      <c r="P168" t="n">
        <v>0</v>
      </c>
      <c r="Q168" t="n">
        <v>0</v>
      </c>
      <c r="R168" s="2" t="inlineStr"/>
    </row>
    <row r="169">
      <c r="A169" t="inlineStr">
        <is>
          <t>A 37013-2025</t>
        </is>
      </c>
      <c r="B169" s="1" t="n">
        <v>45874</v>
      </c>
      <c r="C169" s="1" t="n">
        <v>46145</v>
      </c>
      <c r="D169" t="inlineStr">
        <is>
          <t>VÄSTMANLANDS LÄN</t>
        </is>
      </c>
      <c r="E169" t="inlineStr">
        <is>
          <t>SURAHAMMAR</t>
        </is>
      </c>
      <c r="F169" t="inlineStr">
        <is>
          <t>Bergvik skog väst AB</t>
        </is>
      </c>
      <c r="G169" t="n">
        <v>10.7</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2026-05-03T11:03:47Z</dcterms:created>
  <dcterms:modified xmlns:dcterms="http://purl.org/dc/terms/" xmlns:xsi="http://www.w3.org/2001/XMLSchema-instance" xsi:type="dcterms:W3CDTF">2026-05-03T11:03:47Z</dcterms:modified>
</cp:coreProperties>
</file>