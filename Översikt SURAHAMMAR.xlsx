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45625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45625</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12116-2023</t>
        </is>
      </c>
      <c r="B4" s="1" t="n">
        <v>44995</v>
      </c>
      <c r="C4" s="1" t="n">
        <v>45625</v>
      </c>
      <c r="D4" t="inlineStr">
        <is>
          <t>VÄSTMANLANDS LÄN</t>
        </is>
      </c>
      <c r="E4" t="inlineStr">
        <is>
          <t>SURAHAMMAR</t>
        </is>
      </c>
      <c r="G4" t="n">
        <v>9.300000000000001</v>
      </c>
      <c r="H4" t="n">
        <v>16</v>
      </c>
      <c r="I4" t="n">
        <v>0</v>
      </c>
      <c r="J4" t="n">
        <v>7</v>
      </c>
      <c r="K4" t="n">
        <v>1</v>
      </c>
      <c r="L4" t="n">
        <v>1</v>
      </c>
      <c r="M4" t="n">
        <v>0</v>
      </c>
      <c r="N4" t="n">
        <v>0</v>
      </c>
      <c r="O4" t="n">
        <v>9</v>
      </c>
      <c r="P4" t="n">
        <v>2</v>
      </c>
      <c r="Q4" t="n">
        <v>16</v>
      </c>
      <c r="R4" s="2" t="inlineStr">
        <is>
          <t>Tornseglare
Stare
Björktrast
Duvhök
Havsörn
Rosenfink
Rödvingetrast
Spillkråka
Stenfalk
Enkelbeckasin
Gråspett
Gröngöling
Göktyta
Nattskärra
Skogsduva
Törnskata</t>
        </is>
      </c>
      <c r="S4">
        <f>HYPERLINK("https://klasma.github.io/Logging_1907/artfynd/A 12116-2023 artfynd.xlsx", "A 12116-2023")</f>
        <v/>
      </c>
      <c r="T4">
        <f>HYPERLINK("https://klasma.github.io/Logging_1907/kartor/A 12116-2023 karta.png", "A 12116-2023")</f>
        <v/>
      </c>
      <c r="V4">
        <f>HYPERLINK("https://klasma.github.io/Logging_1907/klagomål/A 12116-2023 FSC-klagomål.docx", "A 12116-2023")</f>
        <v/>
      </c>
      <c r="W4">
        <f>HYPERLINK("https://klasma.github.io/Logging_1907/klagomålsmail/A 12116-2023 FSC-klagomål mail.docx", "A 12116-2023")</f>
        <v/>
      </c>
      <c r="X4">
        <f>HYPERLINK("https://klasma.github.io/Logging_1907/tillsyn/A 12116-2023 tillsynsbegäran.docx", "A 12116-2023")</f>
        <v/>
      </c>
      <c r="Y4">
        <f>HYPERLINK("https://klasma.github.io/Logging_1907/tillsynsmail/A 12116-2023 tillsynsbegäran mail.docx", "A 12116-2023")</f>
        <v/>
      </c>
      <c r="Z4">
        <f>HYPERLINK("https://klasma.github.io/Logging_1907/fåglar/A 12116-2023 prioriterade fågelarter.docx", "A 12116-2023")</f>
        <v/>
      </c>
    </row>
    <row r="5" ht="15" customHeight="1">
      <c r="A5" t="inlineStr">
        <is>
          <t>A 34759-2023</t>
        </is>
      </c>
      <c r="B5" s="1" t="n">
        <v>45139</v>
      </c>
      <c r="C5" s="1" t="n">
        <v>45625</v>
      </c>
      <c r="D5" t="inlineStr">
        <is>
          <t>VÄSTMANLANDS LÄN</t>
        </is>
      </c>
      <c r="E5" t="inlineStr">
        <is>
          <t>SURAHAMMAR</t>
        </is>
      </c>
      <c r="F5" t="inlineStr">
        <is>
          <t>Bergvik skog väst AB</t>
        </is>
      </c>
      <c r="G5" t="n">
        <v>38.3</v>
      </c>
      <c r="H5" t="n">
        <v>7</v>
      </c>
      <c r="I5" t="n">
        <v>5</v>
      </c>
      <c r="J5" t="n">
        <v>7</v>
      </c>
      <c r="K5" t="n">
        <v>1</v>
      </c>
      <c r="L5" t="n">
        <v>0</v>
      </c>
      <c r="M5" t="n">
        <v>0</v>
      </c>
      <c r="N5" t="n">
        <v>0</v>
      </c>
      <c r="O5" t="n">
        <v>8</v>
      </c>
      <c r="P5" t="n">
        <v>1</v>
      </c>
      <c r="Q5" t="n">
        <v>16</v>
      </c>
      <c r="R5" s="2" t="inlineStr">
        <is>
          <t>Knärot
Blå taggsvamp
Grantaggsvamp
Motaggsvamp
Skogshare
Spillkråka
Talltita
Ullticka
Dropptaggsvamp
Grönpyrola
Mindre märgborre
Plattlummer
Vedticka
Lopplummer
Mattlummer
Revlummer</t>
        </is>
      </c>
      <c r="S5">
        <f>HYPERLINK("https://klasma.github.io/Logging_1907/artfynd/A 34759-2023 artfynd.xlsx", "A 34759-2023")</f>
        <v/>
      </c>
      <c r="T5">
        <f>HYPERLINK("https://klasma.github.io/Logging_1907/kartor/A 34759-2023 karta.png", "A 34759-2023")</f>
        <v/>
      </c>
      <c r="U5">
        <f>HYPERLINK("https://klasma.github.io/Logging_1907/knärot/A 34759-2023 karta knärot.png", "A 34759-2023")</f>
        <v/>
      </c>
      <c r="V5">
        <f>HYPERLINK("https://klasma.github.io/Logging_1907/klagomål/A 34759-2023 FSC-klagomål.docx", "A 34759-2023")</f>
        <v/>
      </c>
      <c r="W5">
        <f>HYPERLINK("https://klasma.github.io/Logging_1907/klagomålsmail/A 34759-2023 FSC-klagomål mail.docx", "A 34759-2023")</f>
        <v/>
      </c>
      <c r="X5">
        <f>HYPERLINK("https://klasma.github.io/Logging_1907/tillsyn/A 34759-2023 tillsynsbegäran.docx", "A 34759-2023")</f>
        <v/>
      </c>
      <c r="Y5">
        <f>HYPERLINK("https://klasma.github.io/Logging_1907/tillsynsmail/A 34759-2023 tillsynsbegäran mail.docx", "A 34759-2023")</f>
        <v/>
      </c>
      <c r="Z5">
        <f>HYPERLINK("https://klasma.github.io/Logging_1907/fåglar/A 34759-2023 prioriterade fågelarter.docx", "A 34759-2023")</f>
        <v/>
      </c>
    </row>
    <row r="6" ht="15" customHeight="1">
      <c r="A6" t="inlineStr">
        <is>
          <t>A 46468-2024</t>
        </is>
      </c>
      <c r="B6" s="1" t="n">
        <v>45582</v>
      </c>
      <c r="C6" s="1" t="n">
        <v>45625</v>
      </c>
      <c r="D6" t="inlineStr">
        <is>
          <t>VÄSTMANLANDS LÄN</t>
        </is>
      </c>
      <c r="E6" t="inlineStr">
        <is>
          <t>SURAHAMMAR</t>
        </is>
      </c>
      <c r="F6" t="inlineStr">
        <is>
          <t>Bergvik skog väst AB</t>
        </is>
      </c>
      <c r="G6" t="n">
        <v>9</v>
      </c>
      <c r="H6" t="n">
        <v>4</v>
      </c>
      <c r="I6" t="n">
        <v>8</v>
      </c>
      <c r="J6" t="n">
        <v>4</v>
      </c>
      <c r="K6" t="n">
        <v>0</v>
      </c>
      <c r="L6" t="n">
        <v>0</v>
      </c>
      <c r="M6" t="n">
        <v>0</v>
      </c>
      <c r="N6" t="n">
        <v>0</v>
      </c>
      <c r="O6" t="n">
        <v>4</v>
      </c>
      <c r="P6" t="n">
        <v>0</v>
      </c>
      <c r="Q6" t="n">
        <v>16</v>
      </c>
      <c r="R6" s="2" t="inlineStr">
        <is>
          <t>Barrpraktbagge
Furustumpbagge
Motaggsvamp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45625</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31280-2024</t>
        </is>
      </c>
      <c r="B8" s="1" t="n">
        <v>45504</v>
      </c>
      <c r="C8" s="1" t="n">
        <v>45625</v>
      </c>
      <c r="D8" t="inlineStr">
        <is>
          <t>VÄSTMANLANDS LÄN</t>
        </is>
      </c>
      <c r="E8" t="inlineStr">
        <is>
          <t>SURAHAMMAR</t>
        </is>
      </c>
      <c r="F8" t="inlineStr">
        <is>
          <t>Allmännings- och besparingsskogar</t>
        </is>
      </c>
      <c r="G8" t="n">
        <v>6.9</v>
      </c>
      <c r="H8" t="n">
        <v>2</v>
      </c>
      <c r="I8" t="n">
        <v>4</v>
      </c>
      <c r="J8" t="n">
        <v>8</v>
      </c>
      <c r="K8" t="n">
        <v>2</v>
      </c>
      <c r="L8" t="n">
        <v>0</v>
      </c>
      <c r="M8" t="n">
        <v>0</v>
      </c>
      <c r="N8" t="n">
        <v>0</v>
      </c>
      <c r="O8" t="n">
        <v>10</v>
      </c>
      <c r="P8" t="n">
        <v>2</v>
      </c>
      <c r="Q8" t="n">
        <v>15</v>
      </c>
      <c r="R8" s="2" t="inlineStr">
        <is>
          <t>Knärot
Vågticka
Gropticka
Gränsticka
Leptoporus erubescens
Svart taggsvamp
Svartvit taggsvamp
Ullticka
Vedskivlav
Vedtrappmossa
Fjällig taggsvamp s.str.
Grönpyrola
Mindre märgborre
Vedticka
Fläcknycklar</t>
        </is>
      </c>
      <c r="S8">
        <f>HYPERLINK("https://klasma.github.io/Logging_1907/artfynd/A 31280-2024 artfynd.xlsx", "A 31280-2024")</f>
        <v/>
      </c>
      <c r="T8">
        <f>HYPERLINK("https://klasma.github.io/Logging_1907/kartor/A 31280-2024 karta.png", "A 31280-2024")</f>
        <v/>
      </c>
      <c r="U8">
        <f>HYPERLINK("https://klasma.github.io/Logging_1907/knärot/A 31280-2024 karta knärot.png", "A 31280-2024")</f>
        <v/>
      </c>
      <c r="V8">
        <f>HYPERLINK("https://klasma.github.io/Logging_1907/klagomål/A 31280-2024 FSC-klagomål.docx", "A 31280-2024")</f>
        <v/>
      </c>
      <c r="W8">
        <f>HYPERLINK("https://klasma.github.io/Logging_1907/klagomålsmail/A 31280-2024 FSC-klagomål mail.docx", "A 31280-2024")</f>
        <v/>
      </c>
      <c r="X8">
        <f>HYPERLINK("https://klasma.github.io/Logging_1907/tillsyn/A 31280-2024 tillsynsbegäran.docx", "A 31280-2024")</f>
        <v/>
      </c>
      <c r="Y8">
        <f>HYPERLINK("https://klasma.github.io/Logging_1907/tillsynsmail/A 31280-2024 tillsynsbegäran mail.docx", "A 31280-2024")</f>
        <v/>
      </c>
    </row>
    <row r="9" ht="15" customHeight="1">
      <c r="A9" t="inlineStr">
        <is>
          <t>A 22024-2020</t>
        </is>
      </c>
      <c r="B9" s="1" t="n">
        <v>43959</v>
      </c>
      <c r="C9" s="1" t="n">
        <v>45625</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45625</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45625</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45625</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45625</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45625</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34040-2024</t>
        </is>
      </c>
      <c r="B15" s="1" t="n">
        <v>45523</v>
      </c>
      <c r="C15" s="1" t="n">
        <v>45625</v>
      </c>
      <c r="D15" t="inlineStr">
        <is>
          <t>VÄSTMANLANDS LÄN</t>
        </is>
      </c>
      <c r="E15" t="inlineStr">
        <is>
          <t>SURAHAMMAR</t>
        </is>
      </c>
      <c r="F15" t="inlineStr">
        <is>
          <t>Övriga Aktiebolag</t>
        </is>
      </c>
      <c r="G15" t="n">
        <v>6.4</v>
      </c>
      <c r="H15" t="n">
        <v>3</v>
      </c>
      <c r="I15" t="n">
        <v>4</v>
      </c>
      <c r="J15" t="n">
        <v>5</v>
      </c>
      <c r="K15" t="n">
        <v>1</v>
      </c>
      <c r="L15" t="n">
        <v>0</v>
      </c>
      <c r="M15" t="n">
        <v>0</v>
      </c>
      <c r="N15" t="n">
        <v>0</v>
      </c>
      <c r="O15" t="n">
        <v>6</v>
      </c>
      <c r="P15" t="n">
        <v>1</v>
      </c>
      <c r="Q15" t="n">
        <v>10</v>
      </c>
      <c r="R15" s="2" t="inlineStr">
        <is>
          <t>Knärot
Gränsticka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22907-2023</t>
        </is>
      </c>
      <c r="B16" s="1" t="n">
        <v>45070</v>
      </c>
      <c r="C16" s="1" t="n">
        <v>45625</v>
      </c>
      <c r="D16" t="inlineStr">
        <is>
          <t>VÄSTMANLANDS LÄN</t>
        </is>
      </c>
      <c r="E16" t="inlineStr">
        <is>
          <t>SURAHAMMAR</t>
        </is>
      </c>
      <c r="F16" t="inlineStr">
        <is>
          <t>Bergvik skog väst AB</t>
        </is>
      </c>
      <c r="G16" t="n">
        <v>8.300000000000001</v>
      </c>
      <c r="H16" t="n">
        <v>6</v>
      </c>
      <c r="I16" t="n">
        <v>1</v>
      </c>
      <c r="J16" t="n">
        <v>4</v>
      </c>
      <c r="K16" t="n">
        <v>0</v>
      </c>
      <c r="L16" t="n">
        <v>0</v>
      </c>
      <c r="M16" t="n">
        <v>0</v>
      </c>
      <c r="N16" t="n">
        <v>0</v>
      </c>
      <c r="O16" t="n">
        <v>4</v>
      </c>
      <c r="P16" t="n">
        <v>0</v>
      </c>
      <c r="Q16" t="n">
        <v>9</v>
      </c>
      <c r="R16" s="2" t="inlineStr">
        <is>
          <t>Slåtterfibbla
Spillkråka
Svinrot
Talltita
Barkticka
Fläcknycklar
Grönvit nattviol
Mattlummer
Revlummer</t>
        </is>
      </c>
      <c r="S16">
        <f>HYPERLINK("https://klasma.github.io/Logging_1907/artfynd/A 22907-2023 artfynd.xlsx", "A 22907-2023")</f>
        <v/>
      </c>
      <c r="T16">
        <f>HYPERLINK("https://klasma.github.io/Logging_1907/kartor/A 22907-2023 karta.png", "A 22907-2023")</f>
        <v/>
      </c>
      <c r="V16">
        <f>HYPERLINK("https://klasma.github.io/Logging_1907/klagomål/A 22907-2023 FSC-klagomål.docx", "A 22907-2023")</f>
        <v/>
      </c>
      <c r="W16">
        <f>HYPERLINK("https://klasma.github.io/Logging_1907/klagomålsmail/A 22907-2023 FSC-klagomål mail.docx", "A 22907-2023")</f>
        <v/>
      </c>
      <c r="X16">
        <f>HYPERLINK("https://klasma.github.io/Logging_1907/tillsyn/A 22907-2023 tillsynsbegäran.docx", "A 22907-2023")</f>
        <v/>
      </c>
      <c r="Y16">
        <f>HYPERLINK("https://klasma.github.io/Logging_1907/tillsynsmail/A 22907-2023 tillsynsbegäran mail.docx", "A 22907-2023")</f>
        <v/>
      </c>
      <c r="Z16">
        <f>HYPERLINK("https://klasma.github.io/Logging_1907/fåglar/A 22907-2023 prioriterade fågelarter.docx", "A 22907-2023")</f>
        <v/>
      </c>
    </row>
    <row r="17" ht="15" customHeight="1">
      <c r="A17" t="inlineStr">
        <is>
          <t>A 23039-2023</t>
        </is>
      </c>
      <c r="B17" s="1" t="n">
        <v>45074</v>
      </c>
      <c r="C17" s="1" t="n">
        <v>45625</v>
      </c>
      <c r="D17" t="inlineStr">
        <is>
          <t>VÄSTMANLANDS LÄN</t>
        </is>
      </c>
      <c r="E17" t="inlineStr">
        <is>
          <t>SURAHAMMAR</t>
        </is>
      </c>
      <c r="F17" t="inlineStr">
        <is>
          <t>Allmännings- och besparingsskogar</t>
        </is>
      </c>
      <c r="G17" t="n">
        <v>19.4</v>
      </c>
      <c r="H17" t="n">
        <v>8</v>
      </c>
      <c r="I17" t="n">
        <v>2</v>
      </c>
      <c r="J17" t="n">
        <v>1</v>
      </c>
      <c r="K17" t="n">
        <v>1</v>
      </c>
      <c r="L17" t="n">
        <v>0</v>
      </c>
      <c r="M17" t="n">
        <v>0</v>
      </c>
      <c r="N17" t="n">
        <v>0</v>
      </c>
      <c r="O17" t="n">
        <v>2</v>
      </c>
      <c r="P17" t="n">
        <v>1</v>
      </c>
      <c r="Q17" t="n">
        <v>9</v>
      </c>
      <c r="R17" s="2" t="inlineStr">
        <is>
          <t>Knärot
Spillkråka
Grönpyrola
Plattlummer
Nattskärra
Åkergroda
Fläcknycklar
Mattlummer
Revlummer</t>
        </is>
      </c>
      <c r="S17">
        <f>HYPERLINK("https://klasma.github.io/Logging_1907/artfynd/A 23039-2023 artfynd.xlsx", "A 23039-2023")</f>
        <v/>
      </c>
      <c r="T17">
        <f>HYPERLINK("https://klasma.github.io/Logging_1907/kartor/A 23039-2023 karta.png", "A 23039-2023")</f>
        <v/>
      </c>
      <c r="U17">
        <f>HYPERLINK("https://klasma.github.io/Logging_1907/knärot/A 23039-2023 karta knärot.png", "A 23039-2023")</f>
        <v/>
      </c>
      <c r="V17">
        <f>HYPERLINK("https://klasma.github.io/Logging_1907/klagomål/A 23039-2023 FSC-klagomål.docx", "A 23039-2023")</f>
        <v/>
      </c>
      <c r="W17">
        <f>HYPERLINK("https://klasma.github.io/Logging_1907/klagomålsmail/A 23039-2023 FSC-klagomål mail.docx", "A 23039-2023")</f>
        <v/>
      </c>
      <c r="X17">
        <f>HYPERLINK("https://klasma.github.io/Logging_1907/tillsyn/A 23039-2023 tillsynsbegäran.docx", "A 23039-2023")</f>
        <v/>
      </c>
      <c r="Y17">
        <f>HYPERLINK("https://klasma.github.io/Logging_1907/tillsynsmail/A 23039-2023 tillsynsbegäran mail.docx", "A 23039-2023")</f>
        <v/>
      </c>
      <c r="Z17">
        <f>HYPERLINK("https://klasma.github.io/Logging_1907/fåglar/A 23039-2023 prioriterade fågelarter.docx", "A 23039-2023")</f>
        <v/>
      </c>
    </row>
    <row r="18" ht="15" customHeight="1">
      <c r="A18" t="inlineStr">
        <is>
          <t>A 33878-2019</t>
        </is>
      </c>
      <c r="B18" s="1" t="n">
        <v>43653</v>
      </c>
      <c r="C18" s="1" t="n">
        <v>45625</v>
      </c>
      <c r="D18" t="inlineStr">
        <is>
          <t>VÄSTMANLANDS LÄN</t>
        </is>
      </c>
      <c r="E18" t="inlineStr">
        <is>
          <t>SURAHAMMAR</t>
        </is>
      </c>
      <c r="F18" t="inlineStr">
        <is>
          <t>Kyrkan</t>
        </is>
      </c>
      <c r="G18" t="n">
        <v>0.7</v>
      </c>
      <c r="H18" t="n">
        <v>2</v>
      </c>
      <c r="I18" t="n">
        <v>5</v>
      </c>
      <c r="J18" t="n">
        <v>2</v>
      </c>
      <c r="K18" t="n">
        <v>0</v>
      </c>
      <c r="L18" t="n">
        <v>0</v>
      </c>
      <c r="M18" t="n">
        <v>0</v>
      </c>
      <c r="N18" t="n">
        <v>0</v>
      </c>
      <c r="O18" t="n">
        <v>2</v>
      </c>
      <c r="P18" t="n">
        <v>0</v>
      </c>
      <c r="Q18" t="n">
        <v>8</v>
      </c>
      <c r="R18" s="2" t="inlineStr">
        <is>
          <t>Sotnätfjäril
Spillkråka
Bollvitmossa
Kornig nållav
Stubbspretmossa
Svart trolldruva
Vårärt
Blåsippa</t>
        </is>
      </c>
      <c r="S18">
        <f>HYPERLINK("https://klasma.github.io/Logging_1907/artfynd/A 33878-2019 artfynd.xlsx", "A 33878-2019")</f>
        <v/>
      </c>
      <c r="T18">
        <f>HYPERLINK("https://klasma.github.io/Logging_1907/kartor/A 33878-2019 karta.png", "A 33878-2019")</f>
        <v/>
      </c>
      <c r="V18">
        <f>HYPERLINK("https://klasma.github.io/Logging_1907/klagomål/A 33878-2019 FSC-klagomål.docx", "A 33878-2019")</f>
        <v/>
      </c>
      <c r="W18">
        <f>HYPERLINK("https://klasma.github.io/Logging_1907/klagomålsmail/A 33878-2019 FSC-klagomål mail.docx", "A 33878-2019")</f>
        <v/>
      </c>
      <c r="X18">
        <f>HYPERLINK("https://klasma.github.io/Logging_1907/tillsyn/A 33878-2019 tillsynsbegäran.docx", "A 33878-2019")</f>
        <v/>
      </c>
      <c r="Y18">
        <f>HYPERLINK("https://klasma.github.io/Logging_1907/tillsynsmail/A 33878-2019 tillsynsbegäran mail.docx", "A 33878-2019")</f>
        <v/>
      </c>
      <c r="Z18">
        <f>HYPERLINK("https://klasma.github.io/Logging_1907/fåglar/A 33878-2019 prioriterade fågelarter.docx", "A 33878-2019")</f>
        <v/>
      </c>
    </row>
    <row r="19" ht="15" customHeight="1">
      <c r="A19" t="inlineStr">
        <is>
          <t>A 65022-2023</t>
        </is>
      </c>
      <c r="B19" s="1" t="n">
        <v>45282</v>
      </c>
      <c r="C19" s="1" t="n">
        <v>45625</v>
      </c>
      <c r="D19" t="inlineStr">
        <is>
          <t>VÄSTMANLANDS LÄN</t>
        </is>
      </c>
      <c r="E19" t="inlineStr">
        <is>
          <t>SURAHAMMAR</t>
        </is>
      </c>
      <c r="F19" t="inlineStr">
        <is>
          <t>Bergvik skog väst AB</t>
        </is>
      </c>
      <c r="G19" t="n">
        <v>11</v>
      </c>
      <c r="H19" t="n">
        <v>5</v>
      </c>
      <c r="I19" t="n">
        <v>4</v>
      </c>
      <c r="J19" t="n">
        <v>1</v>
      </c>
      <c r="K19" t="n">
        <v>1</v>
      </c>
      <c r="L19" t="n">
        <v>0</v>
      </c>
      <c r="M19" t="n">
        <v>0</v>
      </c>
      <c r="N19" t="n">
        <v>0</v>
      </c>
      <c r="O19" t="n">
        <v>2</v>
      </c>
      <c r="P19" t="n">
        <v>1</v>
      </c>
      <c r="Q19" t="n">
        <v>8</v>
      </c>
      <c r="R19" s="2" t="inlineStr">
        <is>
          <t>Knärot
Spillkråka
Bronshjon
Grovticka
Grönpyrola
Plattlummer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31125-2024</t>
        </is>
      </c>
      <c r="B20" s="1" t="n">
        <v>45502</v>
      </c>
      <c r="C20" s="1" t="n">
        <v>45625</v>
      </c>
      <c r="D20" t="inlineStr">
        <is>
          <t>VÄSTMANLANDS LÄN</t>
        </is>
      </c>
      <c r="E20" t="inlineStr">
        <is>
          <t>SURAHAMMAR</t>
        </is>
      </c>
      <c r="G20" t="n">
        <v>5.3</v>
      </c>
      <c r="H20" t="n">
        <v>2</v>
      </c>
      <c r="I20" t="n">
        <v>3</v>
      </c>
      <c r="J20" t="n">
        <v>1</v>
      </c>
      <c r="K20" t="n">
        <v>2</v>
      </c>
      <c r="L20" t="n">
        <v>0</v>
      </c>
      <c r="M20" t="n">
        <v>0</v>
      </c>
      <c r="N20" t="n">
        <v>0</v>
      </c>
      <c r="O20" t="n">
        <v>3</v>
      </c>
      <c r="P20" t="n">
        <v>2</v>
      </c>
      <c r="Q20" t="n">
        <v>7</v>
      </c>
      <c r="R20" s="2" t="inlineStr">
        <is>
          <t>Bombmurkla
Vågticka
Veckticka
Barkticka
Gulnål
Svart trolldruva
Blåsippa</t>
        </is>
      </c>
      <c r="S20">
        <f>HYPERLINK("https://klasma.github.io/Logging_1907/artfynd/A 31125-2024 artfynd.xlsx", "A 31125-2024")</f>
        <v/>
      </c>
      <c r="T20">
        <f>HYPERLINK("https://klasma.github.io/Logging_1907/kartor/A 31125-2024 karta.png", "A 31125-2024")</f>
        <v/>
      </c>
      <c r="V20">
        <f>HYPERLINK("https://klasma.github.io/Logging_1907/klagomål/A 31125-2024 FSC-klagomål.docx", "A 31125-2024")</f>
        <v/>
      </c>
      <c r="W20">
        <f>HYPERLINK("https://klasma.github.io/Logging_1907/klagomålsmail/A 31125-2024 FSC-klagomål mail.docx", "A 31125-2024")</f>
        <v/>
      </c>
      <c r="X20">
        <f>HYPERLINK("https://klasma.github.io/Logging_1907/tillsyn/A 31125-2024 tillsynsbegäran.docx", "A 31125-2024")</f>
        <v/>
      </c>
      <c r="Y20">
        <f>HYPERLINK("https://klasma.github.io/Logging_1907/tillsynsmail/A 31125-2024 tillsynsbegäran mail.docx", "A 31125-2024")</f>
        <v/>
      </c>
    </row>
    <row r="21" ht="15" customHeight="1">
      <c r="A21" t="inlineStr">
        <is>
          <t>A 66349-2021</t>
        </is>
      </c>
      <c r="B21" s="1" t="n">
        <v>44518</v>
      </c>
      <c r="C21" s="1" t="n">
        <v>45625</v>
      </c>
      <c r="D21" t="inlineStr">
        <is>
          <t>VÄSTMANLANDS LÄN</t>
        </is>
      </c>
      <c r="E21" t="inlineStr">
        <is>
          <t>SURAHAMMAR</t>
        </is>
      </c>
      <c r="F21" t="inlineStr">
        <is>
          <t>Sveaskog</t>
        </is>
      </c>
      <c r="G21" t="n">
        <v>6</v>
      </c>
      <c r="H21" t="n">
        <v>3</v>
      </c>
      <c r="I21" t="n">
        <v>2</v>
      </c>
      <c r="J21" t="n">
        <v>3</v>
      </c>
      <c r="K21" t="n">
        <v>0</v>
      </c>
      <c r="L21" t="n">
        <v>0</v>
      </c>
      <c r="M21" t="n">
        <v>0</v>
      </c>
      <c r="N21" t="n">
        <v>0</v>
      </c>
      <c r="O21" t="n">
        <v>3</v>
      </c>
      <c r="P21" t="n">
        <v>0</v>
      </c>
      <c r="Q21" t="n">
        <v>6</v>
      </c>
      <c r="R21" s="2" t="inlineStr">
        <is>
          <t>Krusfrö
Spillkråka
Talltita
Björksplintborre
Bronshjon
Fläcknycklar</t>
        </is>
      </c>
      <c r="S21">
        <f>HYPERLINK("https://klasma.github.io/Logging_1907/artfynd/A 66349-2021 artfynd.xlsx", "A 66349-2021")</f>
        <v/>
      </c>
      <c r="T21">
        <f>HYPERLINK("https://klasma.github.io/Logging_1907/kartor/A 66349-2021 karta.png", "A 66349-2021")</f>
        <v/>
      </c>
      <c r="V21">
        <f>HYPERLINK("https://klasma.github.io/Logging_1907/klagomål/A 66349-2021 FSC-klagomål.docx", "A 66349-2021")</f>
        <v/>
      </c>
      <c r="W21">
        <f>HYPERLINK("https://klasma.github.io/Logging_1907/klagomålsmail/A 66349-2021 FSC-klagomål mail.docx", "A 66349-2021")</f>
        <v/>
      </c>
      <c r="X21">
        <f>HYPERLINK("https://klasma.github.io/Logging_1907/tillsyn/A 66349-2021 tillsynsbegäran.docx", "A 66349-2021")</f>
        <v/>
      </c>
      <c r="Y21">
        <f>HYPERLINK("https://klasma.github.io/Logging_1907/tillsynsmail/A 66349-2021 tillsynsbegäran mail.docx", "A 66349-2021")</f>
        <v/>
      </c>
      <c r="Z21">
        <f>HYPERLINK("https://klasma.github.io/Logging_1907/fåglar/A 66349-2021 prioriterade fågelarter.docx", "A 66349-2021")</f>
        <v/>
      </c>
    </row>
    <row r="22" ht="15" customHeight="1">
      <c r="A22" t="inlineStr">
        <is>
          <t>A 7791-2024</t>
        </is>
      </c>
      <c r="B22" s="1" t="n">
        <v>45348</v>
      </c>
      <c r="C22" s="1" t="n">
        <v>45625</v>
      </c>
      <c r="D22" t="inlineStr">
        <is>
          <t>VÄSTMANLANDS LÄN</t>
        </is>
      </c>
      <c r="E22" t="inlineStr">
        <is>
          <t>SURAHAMMAR</t>
        </is>
      </c>
      <c r="G22" t="n">
        <v>9.6</v>
      </c>
      <c r="H22" t="n">
        <v>2</v>
      </c>
      <c r="I22" t="n">
        <v>4</v>
      </c>
      <c r="J22" t="n">
        <v>1</v>
      </c>
      <c r="K22" t="n">
        <v>0</v>
      </c>
      <c r="L22" t="n">
        <v>0</v>
      </c>
      <c r="M22" t="n">
        <v>0</v>
      </c>
      <c r="N22" t="n">
        <v>0</v>
      </c>
      <c r="O22" t="n">
        <v>1</v>
      </c>
      <c r="P22" t="n">
        <v>0</v>
      </c>
      <c r="Q22" t="n">
        <v>6</v>
      </c>
      <c r="R22" s="2" t="inlineStr">
        <is>
          <t>Talltita
Blomkålssvamp
Bronshjon
Mörk vedstrit
Vedticka
Tjäder</t>
        </is>
      </c>
      <c r="S22">
        <f>HYPERLINK("https://klasma.github.io/Logging_1907/artfynd/A 7791-2024 artfynd.xlsx", "A 7791-2024")</f>
        <v/>
      </c>
      <c r="T22">
        <f>HYPERLINK("https://klasma.github.io/Logging_1907/kartor/A 7791-2024 karta.png", "A 7791-2024")</f>
        <v/>
      </c>
      <c r="V22">
        <f>HYPERLINK("https://klasma.github.io/Logging_1907/klagomål/A 7791-2024 FSC-klagomål.docx", "A 7791-2024")</f>
        <v/>
      </c>
      <c r="W22">
        <f>HYPERLINK("https://klasma.github.io/Logging_1907/klagomålsmail/A 7791-2024 FSC-klagomål mail.docx", "A 7791-2024")</f>
        <v/>
      </c>
      <c r="X22">
        <f>HYPERLINK("https://klasma.github.io/Logging_1907/tillsyn/A 7791-2024 tillsynsbegäran.docx", "A 7791-2024")</f>
        <v/>
      </c>
      <c r="Y22">
        <f>HYPERLINK("https://klasma.github.io/Logging_1907/tillsynsmail/A 7791-2024 tillsynsbegäran mail.docx", "A 7791-2024")</f>
        <v/>
      </c>
      <c r="Z22">
        <f>HYPERLINK("https://klasma.github.io/Logging_1907/fåglar/A 7791-2024 prioriterade fågelarter.docx", "A 7791-2024")</f>
        <v/>
      </c>
    </row>
    <row r="23" ht="15" customHeight="1">
      <c r="A23" t="inlineStr">
        <is>
          <t>A 44798-2024</t>
        </is>
      </c>
      <c r="B23" s="1" t="n">
        <v>45574</v>
      </c>
      <c r="C23" s="1" t="n">
        <v>45625</v>
      </c>
      <c r="D23" t="inlineStr">
        <is>
          <t>VÄSTMANLANDS LÄN</t>
        </is>
      </c>
      <c r="E23" t="inlineStr">
        <is>
          <t>SURAHAMMAR</t>
        </is>
      </c>
      <c r="F23" t="inlineStr">
        <is>
          <t>Bergvik skog väst AB</t>
        </is>
      </c>
      <c r="G23" t="n">
        <v>4.4</v>
      </c>
      <c r="H23" t="n">
        <v>0</v>
      </c>
      <c r="I23" t="n">
        <v>1</v>
      </c>
      <c r="J23" t="n">
        <v>4</v>
      </c>
      <c r="K23" t="n">
        <v>1</v>
      </c>
      <c r="L23" t="n">
        <v>0</v>
      </c>
      <c r="M23" t="n">
        <v>0</v>
      </c>
      <c r="N23" t="n">
        <v>0</v>
      </c>
      <c r="O23" t="n">
        <v>5</v>
      </c>
      <c r="P23" t="n">
        <v>1</v>
      </c>
      <c r="Q23" t="n">
        <v>6</v>
      </c>
      <c r="R23" s="2" t="inlineStr">
        <is>
          <t>Rosetticka
Brunklöver
Persiljespindling
Svinrot
Ullticka
Brandticka</t>
        </is>
      </c>
      <c r="S23">
        <f>HYPERLINK("https://klasma.github.io/Logging_1907/artfynd/A 44798-2024 artfynd.xlsx", "A 44798-2024")</f>
        <v/>
      </c>
      <c r="T23">
        <f>HYPERLINK("https://klasma.github.io/Logging_1907/kartor/A 44798-2024 karta.png", "A 44798-2024")</f>
        <v/>
      </c>
      <c r="V23">
        <f>HYPERLINK("https://klasma.github.io/Logging_1907/klagomål/A 44798-2024 FSC-klagomål.docx", "A 44798-2024")</f>
        <v/>
      </c>
      <c r="W23">
        <f>HYPERLINK("https://klasma.github.io/Logging_1907/klagomålsmail/A 44798-2024 FSC-klagomål mail.docx", "A 44798-2024")</f>
        <v/>
      </c>
      <c r="X23">
        <f>HYPERLINK("https://klasma.github.io/Logging_1907/tillsyn/A 44798-2024 tillsynsbegäran.docx", "A 44798-2024")</f>
        <v/>
      </c>
      <c r="Y23">
        <f>HYPERLINK("https://klasma.github.io/Logging_1907/tillsynsmail/A 44798-2024 tillsynsbegäran mail.docx", "A 44798-2024")</f>
        <v/>
      </c>
    </row>
    <row r="24" ht="15" customHeight="1">
      <c r="A24" t="inlineStr">
        <is>
          <t>A 56299-2021</t>
        </is>
      </c>
      <c r="B24" s="1" t="n">
        <v>44477</v>
      </c>
      <c r="C24" s="1" t="n">
        <v>45625</v>
      </c>
      <c r="D24" t="inlineStr">
        <is>
          <t>VÄSTMANLANDS LÄN</t>
        </is>
      </c>
      <c r="E24" t="inlineStr">
        <is>
          <t>SURAHAMMAR</t>
        </is>
      </c>
      <c r="F24" t="inlineStr">
        <is>
          <t>Bergvik skog väst AB</t>
        </is>
      </c>
      <c r="G24" t="n">
        <v>8</v>
      </c>
      <c r="H24" t="n">
        <v>1</v>
      </c>
      <c r="I24" t="n">
        <v>3</v>
      </c>
      <c r="J24" t="n">
        <v>2</v>
      </c>
      <c r="K24" t="n">
        <v>0</v>
      </c>
      <c r="L24" t="n">
        <v>0</v>
      </c>
      <c r="M24" t="n">
        <v>0</v>
      </c>
      <c r="N24" t="n">
        <v>0</v>
      </c>
      <c r="O24" t="n">
        <v>2</v>
      </c>
      <c r="P24" t="n">
        <v>0</v>
      </c>
      <c r="Q24" t="n">
        <v>5</v>
      </c>
      <c r="R24" s="2" t="inlineStr">
        <is>
          <t>Större flatbagge
Tretåig hackspett
Björksplintborre
Korallblylav
Skinnlav</t>
        </is>
      </c>
      <c r="S24">
        <f>HYPERLINK("https://klasma.github.io/Logging_1907/artfynd/A 56299-2021 artfynd.xlsx", "A 56299-2021")</f>
        <v/>
      </c>
      <c r="T24">
        <f>HYPERLINK("https://klasma.github.io/Logging_1907/kartor/A 56299-2021 karta.png", "A 56299-2021")</f>
        <v/>
      </c>
      <c r="V24">
        <f>HYPERLINK("https://klasma.github.io/Logging_1907/klagomål/A 56299-2021 FSC-klagomål.docx", "A 56299-2021")</f>
        <v/>
      </c>
      <c r="W24">
        <f>HYPERLINK("https://klasma.github.io/Logging_1907/klagomålsmail/A 56299-2021 FSC-klagomål mail.docx", "A 56299-2021")</f>
        <v/>
      </c>
      <c r="X24">
        <f>HYPERLINK("https://klasma.github.io/Logging_1907/tillsyn/A 56299-2021 tillsynsbegäran.docx", "A 56299-2021")</f>
        <v/>
      </c>
      <c r="Y24">
        <f>HYPERLINK("https://klasma.github.io/Logging_1907/tillsynsmail/A 56299-2021 tillsynsbegäran mail.docx", "A 56299-2021")</f>
        <v/>
      </c>
      <c r="Z24">
        <f>HYPERLINK("https://klasma.github.io/Logging_1907/fåglar/A 56299-2021 prioriterade fågelarter.docx", "A 56299-2021")</f>
        <v/>
      </c>
    </row>
    <row r="25" ht="15" customHeight="1">
      <c r="A25" t="inlineStr">
        <is>
          <t>A 13994-2023</t>
        </is>
      </c>
      <c r="B25" s="1" t="n">
        <v>45007</v>
      </c>
      <c r="C25" s="1" t="n">
        <v>45625</v>
      </c>
      <c r="D25" t="inlineStr">
        <is>
          <t>VÄSTMANLANDS LÄN</t>
        </is>
      </c>
      <c r="E25" t="inlineStr">
        <is>
          <t>SURAHAMMAR</t>
        </is>
      </c>
      <c r="F25" t="inlineStr">
        <is>
          <t>Bergvik skog väst AB</t>
        </is>
      </c>
      <c r="G25" t="n">
        <v>14.2</v>
      </c>
      <c r="H25" t="n">
        <v>2</v>
      </c>
      <c r="I25" t="n">
        <v>2</v>
      </c>
      <c r="J25" t="n">
        <v>1</v>
      </c>
      <c r="K25" t="n">
        <v>1</v>
      </c>
      <c r="L25" t="n">
        <v>0</v>
      </c>
      <c r="M25" t="n">
        <v>0</v>
      </c>
      <c r="N25" t="n">
        <v>0</v>
      </c>
      <c r="O25" t="n">
        <v>2</v>
      </c>
      <c r="P25" t="n">
        <v>1</v>
      </c>
      <c r="Q25" t="n">
        <v>5</v>
      </c>
      <c r="R25" s="2" t="inlineStr">
        <is>
          <t>Knärot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row>
    <row r="26" ht="15" customHeight="1">
      <c r="A26" t="inlineStr">
        <is>
          <t>A 35620-2023</t>
        </is>
      </c>
      <c r="B26" s="1" t="n">
        <v>45147</v>
      </c>
      <c r="C26" s="1" t="n">
        <v>45625</v>
      </c>
      <c r="D26" t="inlineStr">
        <is>
          <t>VÄSTMANLANDS LÄN</t>
        </is>
      </c>
      <c r="E26" t="inlineStr">
        <is>
          <t>SURAHAMMAR</t>
        </is>
      </c>
      <c r="G26" t="n">
        <v>20.3</v>
      </c>
      <c r="H26" t="n">
        <v>4</v>
      </c>
      <c r="I26" t="n">
        <v>1</v>
      </c>
      <c r="J26" t="n">
        <v>0</v>
      </c>
      <c r="K26" t="n">
        <v>1</v>
      </c>
      <c r="L26" t="n">
        <v>0</v>
      </c>
      <c r="M26" t="n">
        <v>0</v>
      </c>
      <c r="N26" t="n">
        <v>0</v>
      </c>
      <c r="O26" t="n">
        <v>1</v>
      </c>
      <c r="P26" t="n">
        <v>1</v>
      </c>
      <c r="Q26" t="n">
        <v>5</v>
      </c>
      <c r="R26" s="2" t="inlineStr">
        <is>
          <t>Knärot
Vedticka
Sparvuggla
Blåsippa
Lopplummer</t>
        </is>
      </c>
      <c r="S26">
        <f>HYPERLINK("https://klasma.github.io/Logging_1907/artfynd/A 35620-2023 artfynd.xlsx", "A 35620-2023")</f>
        <v/>
      </c>
      <c r="T26">
        <f>HYPERLINK("https://klasma.github.io/Logging_1907/kartor/A 35620-2023 karta.png", "A 35620-2023")</f>
        <v/>
      </c>
      <c r="U26">
        <f>HYPERLINK("https://klasma.github.io/Logging_1907/knärot/A 35620-2023 karta knärot.png", "A 35620-2023")</f>
        <v/>
      </c>
      <c r="V26">
        <f>HYPERLINK("https://klasma.github.io/Logging_1907/klagomål/A 35620-2023 FSC-klagomål.docx", "A 35620-2023")</f>
        <v/>
      </c>
      <c r="W26">
        <f>HYPERLINK("https://klasma.github.io/Logging_1907/klagomålsmail/A 35620-2023 FSC-klagomål mail.docx", "A 35620-2023")</f>
        <v/>
      </c>
      <c r="X26">
        <f>HYPERLINK("https://klasma.github.io/Logging_1907/tillsyn/A 35620-2023 tillsynsbegäran.docx", "A 35620-2023")</f>
        <v/>
      </c>
      <c r="Y26">
        <f>HYPERLINK("https://klasma.github.io/Logging_1907/tillsynsmail/A 35620-2023 tillsynsbegäran mail.docx", "A 35620-2023")</f>
        <v/>
      </c>
      <c r="Z26">
        <f>HYPERLINK("https://klasma.github.io/Logging_1907/fåglar/A 35620-2023 prioriterade fågelarter.docx", "A 35620-2023")</f>
        <v/>
      </c>
    </row>
    <row r="27" ht="15" customHeight="1">
      <c r="A27" t="inlineStr">
        <is>
          <t>A 38172-2024</t>
        </is>
      </c>
      <c r="B27" s="1" t="n">
        <v>45545</v>
      </c>
      <c r="C27" s="1" t="n">
        <v>45625</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45625</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45625</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45625</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45625</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45625</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45625</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45625</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45625</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45625</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45625</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45625</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45625</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45625</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45625</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45625</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45625</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45625</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45625</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45625</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45625</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45625</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45625</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45625</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45625</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45625</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45625</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45625</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45625</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45625</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45625</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45625</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45625</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45625</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45625</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45625</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45625</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45625</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45625</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45625</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45625</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45625</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45625</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45625</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45625</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45625</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45625</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45625</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45625</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45625</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45625</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45625</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45625</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45625</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45625</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45625</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45625</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45625</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45625</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45625</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45625</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45625</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45625</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45625</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45625</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45625</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45625</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45625</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45625</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45625</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45625</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45625</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45625</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45625</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45625</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45625</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45625</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45625</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45625</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45625</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45625</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45625</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45625</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45625</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45625</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45625</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45625</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45625</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45625</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45625</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45625</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45625</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45625</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45625</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45625</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45625</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45625</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45625</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45625</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45625</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45625</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45625</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45625</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45625</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45625</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45625</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45625</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45625</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45625</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45625</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45625</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45625</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45625</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45625</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45625</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45625</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45625</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45625</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45625</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45625</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45625</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45625</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45625</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45625</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45625</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45625</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45625</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45625</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45625</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45625</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45625</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45625</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45625</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45625</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45625</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45625</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45625</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45625</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45625</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45625</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45625</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45625</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45625</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45625</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45625</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45625</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45625</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45625</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45625</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45625</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45625</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45625</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45625</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45625</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45625</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45625</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45625</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45625</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45625</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45625</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45625</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45625</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45625</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45625</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45625</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45625</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45625</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45625</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45625</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45625</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45625</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45625</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45625</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45625</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45625</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45625</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45625</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45625</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45625</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45625</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45625</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45625</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45625</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45625</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45625</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45625</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45625</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45625</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45625</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45625</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45625</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45625</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45625</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45625</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45625</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45625</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45625</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45625</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45625</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45625</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45625</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45625</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45625</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45625</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45625</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45625</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45625</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45625</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45625</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45625</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45625</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45625</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45625</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45625</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45625</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45625</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45625</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45625</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45625</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45625</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45625</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45625</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45625</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45625</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45625</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45625</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45625</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45625</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45625</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45625</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45625</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45625</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45625</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45625</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45625</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45625</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45625</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45625</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45625</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45625</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45625</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45625</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45625</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45625</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45625</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45625</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45625</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45625</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45625</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45625</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45625</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45625</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45625</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45625</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45625</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45625</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45625</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45625</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45625</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45625</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45625</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45625</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45625</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45625</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2024-11-29T15:03:35Z</dcterms:created>
  <dcterms:modified xmlns:dcterms="http://purl.org/dc/terms/" xmlns:xsi="http://www.w3.org/2001/XMLSchema-instance" xsi:type="dcterms:W3CDTF">2024-11-29T15:03:36Z</dcterms:modified>
</cp:coreProperties>
</file>