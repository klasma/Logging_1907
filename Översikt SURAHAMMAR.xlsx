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46072</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46072</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46072</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46072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46072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46072</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46072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46072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46072</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46072</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46072</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38172-2024</t>
        </is>
      </c>
      <c r="B23" s="1" t="n">
        <v>45545</v>
      </c>
      <c r="C23" s="1" t="n">
        <v>46072</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46072</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46072</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21716-2025</t>
        </is>
      </c>
      <c r="B26" s="1" t="n">
        <v>45783.54804398148</v>
      </c>
      <c r="C26" s="1" t="n">
        <v>46072</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46072</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48128-2023</t>
        </is>
      </c>
      <c r="B28" s="1" t="n">
        <v>45205</v>
      </c>
      <c r="C28" s="1" t="n">
        <v>46072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46072</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39694-2025</t>
        </is>
      </c>
      <c r="B30" s="1" t="n">
        <v>45890</v>
      </c>
      <c r="C30" s="1" t="n">
        <v>46072</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42708-2022</t>
        </is>
      </c>
      <c r="B31" s="1" t="n">
        <v>44832</v>
      </c>
      <c r="C31" s="1" t="n">
        <v>46072</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46072</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46072</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49718-2023</t>
        </is>
      </c>
      <c r="B34" s="1" t="n">
        <v>45212</v>
      </c>
      <c r="C34" s="1" t="n">
        <v>46072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20391-2024</t>
        </is>
      </c>
      <c r="B35" s="1" t="n">
        <v>45435</v>
      </c>
      <c r="C35" s="1" t="n">
        <v>46072</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46072</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46072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46072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46072</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41576-2022</t>
        </is>
      </c>
      <c r="B40" s="1" t="n">
        <v>44826</v>
      </c>
      <c r="C40" s="1" t="n">
        <v>46072</v>
      </c>
      <c r="D40" t="inlineStr">
        <is>
          <t>VÄSTMANLANDS LÄN</t>
        </is>
      </c>
      <c r="E40" t="inlineStr">
        <is>
          <t>SURAHAMMAR</t>
        </is>
      </c>
      <c r="F40" t="inlineStr">
        <is>
          <t>Bergvik skog väst AB</t>
        </is>
      </c>
      <c r="G40" t="n">
        <v>6.4</v>
      </c>
      <c r="H40" t="n">
        <v>2</v>
      </c>
      <c r="I40" t="n">
        <v>0</v>
      </c>
      <c r="J40" t="n">
        <v>1</v>
      </c>
      <c r="K40" t="n">
        <v>0</v>
      </c>
      <c r="L40" t="n">
        <v>0</v>
      </c>
      <c r="M40" t="n">
        <v>0</v>
      </c>
      <c r="N40" t="n">
        <v>0</v>
      </c>
      <c r="O40" t="n">
        <v>1</v>
      </c>
      <c r="P40" t="n">
        <v>0</v>
      </c>
      <c r="Q40" t="n">
        <v>2</v>
      </c>
      <c r="R40" s="2" t="inlineStr">
        <is>
          <t>Talltita
Kungsfågel</t>
        </is>
      </c>
      <c r="S40">
        <f>HYPERLINK("https://klasma.github.io/Logging_1907/artfynd/A 41576-2022 artfynd.xlsx", "A 41576-2022")</f>
        <v/>
      </c>
      <c r="T40">
        <f>HYPERLINK("https://klasma.github.io/Logging_1907/kartor/A 41576-2022 karta.png", "A 41576-2022")</f>
        <v/>
      </c>
      <c r="V40">
        <f>HYPERLINK("https://klasma.github.io/Logging_1907/klagomål/A 41576-2022 FSC-klagomål.docx", "A 41576-2022")</f>
        <v/>
      </c>
      <c r="W40">
        <f>HYPERLINK("https://klasma.github.io/Logging_1907/klagomålsmail/A 41576-2022 FSC-klagomål mail.docx", "A 41576-2022")</f>
        <v/>
      </c>
      <c r="X40">
        <f>HYPERLINK("https://klasma.github.io/Logging_1907/tillsyn/A 41576-2022 tillsynsbegäran.docx", "A 41576-2022")</f>
        <v/>
      </c>
      <c r="Y40">
        <f>HYPERLINK("https://klasma.github.io/Logging_1907/tillsynsmail/A 41576-2022 tillsynsbegäran mail.docx", "A 41576-2022")</f>
        <v/>
      </c>
      <c r="Z40">
        <f>HYPERLINK("https://klasma.github.io/Logging_1907/fåglar/A 41576-2022 prioriterade fågelarter.docx", "A 41576-2022")</f>
        <v/>
      </c>
    </row>
    <row r="41" ht="15" customHeight="1">
      <c r="A41" t="inlineStr">
        <is>
          <t>A 62097-2024</t>
        </is>
      </c>
      <c r="B41" s="1" t="n">
        <v>45646</v>
      </c>
      <c r="C41" s="1" t="n">
        <v>46072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63146-2025</t>
        </is>
      </c>
      <c r="B42" s="1" t="n">
        <v>46009</v>
      </c>
      <c r="C42" s="1" t="n">
        <v>46072</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37800-2021</t>
        </is>
      </c>
      <c r="B43" s="1" t="n">
        <v>44402</v>
      </c>
      <c r="C43" s="1" t="n">
        <v>46072</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46072</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46072</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46072</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46072</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46072</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46072</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46072</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46072</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46072</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34582-2025</t>
        </is>
      </c>
      <c r="B53" s="1" t="n">
        <v>45846</v>
      </c>
      <c r="C53" s="1" t="n">
        <v>46072</v>
      </c>
      <c r="D53" t="inlineStr">
        <is>
          <t>VÄSTMANLANDS LÄN</t>
        </is>
      </c>
      <c r="E53" t="inlineStr">
        <is>
          <t>SURAHAMMAR</t>
        </is>
      </c>
      <c r="F53" t="inlineStr">
        <is>
          <t>Bergvik skog väst AB</t>
        </is>
      </c>
      <c r="G53" t="n">
        <v>2.6</v>
      </c>
      <c r="H53" t="n">
        <v>1</v>
      </c>
      <c r="I53" t="n">
        <v>0</v>
      </c>
      <c r="J53" t="n">
        <v>1</v>
      </c>
      <c r="K53" t="n">
        <v>0</v>
      </c>
      <c r="L53" t="n">
        <v>0</v>
      </c>
      <c r="M53" t="n">
        <v>0</v>
      </c>
      <c r="N53" t="n">
        <v>0</v>
      </c>
      <c r="O53" t="n">
        <v>1</v>
      </c>
      <c r="P53" t="n">
        <v>0</v>
      </c>
      <c r="Q53" t="n">
        <v>1</v>
      </c>
      <c r="R53" s="2" t="inlineStr">
        <is>
          <t>Järpe</t>
        </is>
      </c>
      <c r="S53">
        <f>HYPERLINK("https://klasma.github.io/Logging_1907/artfynd/A 34582-2025 artfynd.xlsx", "A 34582-2025")</f>
        <v/>
      </c>
      <c r="T53">
        <f>HYPERLINK("https://klasma.github.io/Logging_1907/kartor/A 34582-2025 karta.png", "A 34582-2025")</f>
        <v/>
      </c>
      <c r="V53">
        <f>HYPERLINK("https://klasma.github.io/Logging_1907/klagomål/A 34582-2025 FSC-klagomål.docx", "A 34582-2025")</f>
        <v/>
      </c>
      <c r="W53">
        <f>HYPERLINK("https://klasma.github.io/Logging_1907/klagomålsmail/A 34582-2025 FSC-klagomål mail.docx", "A 34582-2025")</f>
        <v/>
      </c>
      <c r="X53">
        <f>HYPERLINK("https://klasma.github.io/Logging_1907/tillsyn/A 34582-2025 tillsynsbegäran.docx", "A 34582-2025")</f>
        <v/>
      </c>
      <c r="Y53">
        <f>HYPERLINK("https://klasma.github.io/Logging_1907/tillsynsmail/A 34582-2025 tillsynsbegäran mail.docx", "A 34582-2025")</f>
        <v/>
      </c>
      <c r="Z53">
        <f>HYPERLINK("https://klasma.github.io/Logging_1907/fåglar/A 34582-2025 prioriterade fågelarter.docx", "A 34582-2025")</f>
        <v/>
      </c>
    </row>
    <row r="54" ht="15" customHeight="1">
      <c r="A54" t="inlineStr">
        <is>
          <t>A 56768-2025</t>
        </is>
      </c>
      <c r="B54" s="1" t="n">
        <v>45978</v>
      </c>
      <c r="C54" s="1" t="n">
        <v>46072</v>
      </c>
      <c r="D54" t="inlineStr">
        <is>
          <t>VÄSTMANLANDS LÄN</t>
        </is>
      </c>
      <c r="E54" t="inlineStr">
        <is>
          <t>SURAHAMMAR</t>
        </is>
      </c>
      <c r="F54" t="inlineStr">
        <is>
          <t>Sveaskog</t>
        </is>
      </c>
      <c r="G54" t="n">
        <v>3.8</v>
      </c>
      <c r="H54" t="n">
        <v>0</v>
      </c>
      <c r="I54" t="n">
        <v>0</v>
      </c>
      <c r="J54" t="n">
        <v>1</v>
      </c>
      <c r="K54" t="n">
        <v>0</v>
      </c>
      <c r="L54" t="n">
        <v>0</v>
      </c>
      <c r="M54" t="n">
        <v>0</v>
      </c>
      <c r="N54" t="n">
        <v>0</v>
      </c>
      <c r="O54" t="n">
        <v>1</v>
      </c>
      <c r="P54" t="n">
        <v>0</v>
      </c>
      <c r="Q54" t="n">
        <v>1</v>
      </c>
      <c r="R54" s="2" t="inlineStr">
        <is>
          <t>Motaggsvamp</t>
        </is>
      </c>
      <c r="S54">
        <f>HYPERLINK("https://klasma.github.io/Logging_1907/artfynd/A 56768-2025 artfynd.xlsx", "A 56768-2025")</f>
        <v/>
      </c>
      <c r="T54">
        <f>HYPERLINK("https://klasma.github.io/Logging_1907/kartor/A 56768-2025 karta.png", "A 56768-2025")</f>
        <v/>
      </c>
      <c r="V54">
        <f>HYPERLINK("https://klasma.github.io/Logging_1907/klagomål/A 56768-2025 FSC-klagomål.docx", "A 56768-2025")</f>
        <v/>
      </c>
      <c r="W54">
        <f>HYPERLINK("https://klasma.github.io/Logging_1907/klagomålsmail/A 56768-2025 FSC-klagomål mail.docx", "A 56768-2025")</f>
        <v/>
      </c>
      <c r="X54">
        <f>HYPERLINK("https://klasma.github.io/Logging_1907/tillsyn/A 56768-2025 tillsynsbegäran.docx", "A 56768-2025")</f>
        <v/>
      </c>
      <c r="Y54">
        <f>HYPERLINK("https://klasma.github.io/Logging_1907/tillsynsmail/A 56768-2025 tillsynsbegäran mail.docx", "A 56768-2025")</f>
        <v/>
      </c>
    </row>
    <row r="55" ht="15" customHeight="1">
      <c r="A55" t="inlineStr">
        <is>
          <t>A 13788-2025</t>
        </is>
      </c>
      <c r="B55" s="1" t="n">
        <v>45737.45327546296</v>
      </c>
      <c r="C55" s="1" t="n">
        <v>46072</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42089-2025</t>
        </is>
      </c>
      <c r="B56" s="1" t="n">
        <v>45902</v>
      </c>
      <c r="C56" s="1" t="n">
        <v>46072</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56362-2023</t>
        </is>
      </c>
      <c r="B57" s="1" t="n">
        <v>45236</v>
      </c>
      <c r="C57" s="1" t="n">
        <v>46072</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46072</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25583-2024</t>
        </is>
      </c>
      <c r="B59" s="1" t="n">
        <v>45463</v>
      </c>
      <c r="C59" s="1" t="n">
        <v>46072</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46072</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46072</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46072</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55042-2025</t>
        </is>
      </c>
      <c r="B63" s="1" t="n">
        <v>45967.65858796296</v>
      </c>
      <c r="C63" s="1" t="n">
        <v>46072</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69777-2021</t>
        </is>
      </c>
      <c r="B64" s="1" t="n">
        <v>44532</v>
      </c>
      <c r="C64" s="1" t="n">
        <v>46072</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17632-2022</t>
        </is>
      </c>
      <c r="B65" s="1" t="n">
        <v>44680</v>
      </c>
      <c r="C65" s="1" t="n">
        <v>46072</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63145-2025</t>
        </is>
      </c>
      <c r="B66" s="1" t="n">
        <v>46009</v>
      </c>
      <c r="C66" s="1" t="n">
        <v>46072</v>
      </c>
      <c r="D66" t="inlineStr">
        <is>
          <t>VÄSTMANLANDS LÄN</t>
        </is>
      </c>
      <c r="E66" t="inlineStr">
        <is>
          <t>SURAHAMMAR</t>
        </is>
      </c>
      <c r="F66" t="inlineStr">
        <is>
          <t>Bergvik skog väst AB</t>
        </is>
      </c>
      <c r="G66" t="n">
        <v>40.5</v>
      </c>
      <c r="H66" t="n">
        <v>0</v>
      </c>
      <c r="I66" t="n">
        <v>1</v>
      </c>
      <c r="J66" t="n">
        <v>0</v>
      </c>
      <c r="K66" t="n">
        <v>0</v>
      </c>
      <c r="L66" t="n">
        <v>0</v>
      </c>
      <c r="M66" t="n">
        <v>0</v>
      </c>
      <c r="N66" t="n">
        <v>0</v>
      </c>
      <c r="O66" t="n">
        <v>0</v>
      </c>
      <c r="P66" t="n">
        <v>0</v>
      </c>
      <c r="Q66" t="n">
        <v>1</v>
      </c>
      <c r="R66" s="2" t="inlineStr">
        <is>
          <t>Svart trolldruva</t>
        </is>
      </c>
      <c r="S66">
        <f>HYPERLINK("https://klasma.github.io/Logging_1907/artfynd/A 63145-2025 artfynd.xlsx", "A 63145-2025")</f>
        <v/>
      </c>
      <c r="T66">
        <f>HYPERLINK("https://klasma.github.io/Logging_1907/kartor/A 63145-2025 karta.png", "A 63145-2025")</f>
        <v/>
      </c>
      <c r="V66">
        <f>HYPERLINK("https://klasma.github.io/Logging_1907/klagomål/A 63145-2025 FSC-klagomål.docx", "A 63145-2025")</f>
        <v/>
      </c>
      <c r="W66">
        <f>HYPERLINK("https://klasma.github.io/Logging_1907/klagomålsmail/A 63145-2025 FSC-klagomål mail.docx", "A 63145-2025")</f>
        <v/>
      </c>
      <c r="X66">
        <f>HYPERLINK("https://klasma.github.io/Logging_1907/tillsyn/A 63145-2025 tillsynsbegäran.docx", "A 63145-2025")</f>
        <v/>
      </c>
      <c r="Y66">
        <f>HYPERLINK("https://klasma.github.io/Logging_1907/tillsynsmail/A 63145-2025 tillsynsbegäran mail.docx", "A 63145-2025")</f>
        <v/>
      </c>
    </row>
    <row r="67" ht="15" customHeight="1">
      <c r="A67" t="inlineStr">
        <is>
          <t>A 44356-2024</t>
        </is>
      </c>
      <c r="B67" s="1" t="n">
        <v>45573</v>
      </c>
      <c r="C67" s="1" t="n">
        <v>46072</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22840-2023</t>
        </is>
      </c>
      <c r="B68" s="1" t="n">
        <v>45072</v>
      </c>
      <c r="C68" s="1" t="n">
        <v>46072</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46072</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46072</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46072</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46072</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46072</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46072</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46072</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46072</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46072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46072</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46072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46072</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46072</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46072</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46072</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46072</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46072</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46072</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46072</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46072</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46072</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46072</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46072</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46072</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46072</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46072</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16608-2022</t>
        </is>
      </c>
      <c r="B95" s="1" t="n">
        <v>44672</v>
      </c>
      <c r="C95" s="1" t="n">
        <v>46072</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15637-2022</t>
        </is>
      </c>
      <c r="B96" s="1" t="n">
        <v>44662.89638888889</v>
      </c>
      <c r="C96" s="1" t="n">
        <v>46072</v>
      </c>
      <c r="D96" t="inlineStr">
        <is>
          <t>VÄSTMANLANDS LÄN</t>
        </is>
      </c>
      <c r="E96" t="inlineStr">
        <is>
          <t>SURAHAMMAR</t>
        </is>
      </c>
      <c r="G96" t="n">
        <v>2.2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46072</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46072</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46072</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55868-2025</t>
        </is>
      </c>
      <c r="B100" s="1" t="n">
        <v>45973.35263888889</v>
      </c>
      <c r="C100" s="1" t="n">
        <v>46072</v>
      </c>
      <c r="D100" t="inlineStr">
        <is>
          <t>VÄSTMANLANDS LÄN</t>
        </is>
      </c>
      <c r="E100" t="inlineStr">
        <is>
          <t>SURAHAMMAR</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55874-2025</t>
        </is>
      </c>
      <c r="B101" s="1" t="n">
        <v>45973.3569212963</v>
      </c>
      <c r="C101" s="1" t="n">
        <v>46072</v>
      </c>
      <c r="D101" t="inlineStr">
        <is>
          <t>VÄSTMANLANDS LÄN</t>
        </is>
      </c>
      <c r="E101" t="inlineStr">
        <is>
          <t>SURAHAMMAR</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55873-2025</t>
        </is>
      </c>
      <c r="B102" s="1" t="n">
        <v>45973.35608796297</v>
      </c>
      <c r="C102" s="1" t="n">
        <v>46072</v>
      </c>
      <c r="D102" t="inlineStr">
        <is>
          <t>VÄSTMANLANDS LÄN</t>
        </is>
      </c>
      <c r="E102" t="inlineStr">
        <is>
          <t>SURAHAMMAR</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55871-2025</t>
        </is>
      </c>
      <c r="B103" s="1" t="n">
        <v>45973.35452546296</v>
      </c>
      <c r="C103" s="1" t="n">
        <v>46072</v>
      </c>
      <c r="D103" t="inlineStr">
        <is>
          <t>VÄSTMANLANDS LÄN</t>
        </is>
      </c>
      <c r="E103" t="inlineStr">
        <is>
          <t>SURAHAMMAR</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46072</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46072</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56543-2025</t>
        </is>
      </c>
      <c r="B106" s="1" t="n">
        <v>45975</v>
      </c>
      <c r="C106" s="1" t="n">
        <v>46072</v>
      </c>
      <c r="D106" t="inlineStr">
        <is>
          <t>VÄSTMANLANDS LÄN</t>
        </is>
      </c>
      <c r="E106" t="inlineStr">
        <is>
          <t>SURAHAMMAR</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7787-2024</t>
        </is>
      </c>
      <c r="B107" s="1" t="n">
        <v>45348</v>
      </c>
      <c r="C107" s="1" t="n">
        <v>46072</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42088-2025</t>
        </is>
      </c>
      <c r="B108" s="1" t="n">
        <v>45902</v>
      </c>
      <c r="C108" s="1" t="n">
        <v>46072</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31107-2025</t>
        </is>
      </c>
      <c r="B109" s="1" t="n">
        <v>45831</v>
      </c>
      <c r="C109" s="1" t="n">
        <v>46072</v>
      </c>
      <c r="D109" t="inlineStr">
        <is>
          <t>VÄSTMANLANDS LÄN</t>
        </is>
      </c>
      <c r="E109" t="inlineStr">
        <is>
          <t>SURAHAMMAR</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43249-2025</t>
        </is>
      </c>
      <c r="B110" s="1" t="n">
        <v>45910.55059027778</v>
      </c>
      <c r="C110" s="1" t="n">
        <v>46072</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43255-2025</t>
        </is>
      </c>
      <c r="B111" s="1" t="n">
        <v>45910.55325231481</v>
      </c>
      <c r="C111" s="1" t="n">
        <v>46072</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37287-2023</t>
        </is>
      </c>
      <c r="B112" s="1" t="n">
        <v>45156</v>
      </c>
      <c r="C112" s="1" t="n">
        <v>46072</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46072</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33931-2022</t>
        </is>
      </c>
      <c r="B114" s="1" t="n">
        <v>44790.65153935185</v>
      </c>
      <c r="C114" s="1" t="n">
        <v>46072</v>
      </c>
      <c r="D114" t="inlineStr">
        <is>
          <t>VÄSTMANLANDS LÄN</t>
        </is>
      </c>
      <c r="E114" t="inlineStr">
        <is>
          <t>SURAHAMMAR</t>
        </is>
      </c>
      <c r="G114" t="n">
        <v>2.2</v>
      </c>
      <c r="H114" t="n">
        <v>0</v>
      </c>
      <c r="I114" t="n">
        <v>0</v>
      </c>
      <c r="J114" t="n">
        <v>0</v>
      </c>
      <c r="K114" t="n">
        <v>0</v>
      </c>
      <c r="L114" t="n">
        <v>0</v>
      </c>
      <c r="M114" t="n">
        <v>0</v>
      </c>
      <c r="N114" t="n">
        <v>0</v>
      </c>
      <c r="O114" t="n">
        <v>0</v>
      </c>
      <c r="P114" t="n">
        <v>0</v>
      </c>
      <c r="Q114" t="n">
        <v>0</v>
      </c>
      <c r="R114" s="2" t="inlineStr"/>
    </row>
    <row r="115" ht="15" customHeight="1">
      <c r="A115" t="inlineStr">
        <is>
          <t>A 34584-2025</t>
        </is>
      </c>
      <c r="B115" s="1" t="n">
        <v>45846</v>
      </c>
      <c r="C115" s="1" t="n">
        <v>46072</v>
      </c>
      <c r="D115" t="inlineStr">
        <is>
          <t>VÄSTMANLANDS LÄN</t>
        </is>
      </c>
      <c r="E115" t="inlineStr">
        <is>
          <t>SURAHAMMAR</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24158-2023</t>
        </is>
      </c>
      <c r="B116" s="1" t="n">
        <v>45079</v>
      </c>
      <c r="C116" s="1" t="n">
        <v>46072</v>
      </c>
      <c r="D116" t="inlineStr">
        <is>
          <t>VÄSTMANLANDS LÄN</t>
        </is>
      </c>
      <c r="E116" t="inlineStr">
        <is>
          <t>SURAHAMMAR</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32916-2025</t>
        </is>
      </c>
      <c r="B117" s="1" t="n">
        <v>45839</v>
      </c>
      <c r="C117" s="1" t="n">
        <v>46072</v>
      </c>
      <c r="D117" t="inlineStr">
        <is>
          <t>VÄSTMANLANDS LÄN</t>
        </is>
      </c>
      <c r="E117" t="inlineStr">
        <is>
          <t>SURAHAMMAR</t>
        </is>
      </c>
      <c r="F117" t="inlineStr">
        <is>
          <t>Kommuner</t>
        </is>
      </c>
      <c r="G117" t="n">
        <v>4.9</v>
      </c>
      <c r="H117" t="n">
        <v>0</v>
      </c>
      <c r="I117" t="n">
        <v>0</v>
      </c>
      <c r="J117" t="n">
        <v>0</v>
      </c>
      <c r="K117" t="n">
        <v>0</v>
      </c>
      <c r="L117" t="n">
        <v>0</v>
      </c>
      <c r="M117" t="n">
        <v>0</v>
      </c>
      <c r="N117" t="n">
        <v>0</v>
      </c>
      <c r="O117" t="n">
        <v>0</v>
      </c>
      <c r="P117" t="n">
        <v>0</v>
      </c>
      <c r="Q117" t="n">
        <v>0</v>
      </c>
      <c r="R117" s="2" t="inlineStr"/>
    </row>
    <row r="118" ht="15" customHeight="1">
      <c r="A118" t="inlineStr">
        <is>
          <t>A 32910-2025</t>
        </is>
      </c>
      <c r="B118" s="1" t="n">
        <v>45839</v>
      </c>
      <c r="C118" s="1" t="n">
        <v>46072</v>
      </c>
      <c r="D118" t="inlineStr">
        <is>
          <t>VÄSTMANLANDS LÄN</t>
        </is>
      </c>
      <c r="E118" t="inlineStr">
        <is>
          <t>SURAHAMMAR</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42714-2022</t>
        </is>
      </c>
      <c r="B119" s="1" t="n">
        <v>44832</v>
      </c>
      <c r="C119" s="1" t="n">
        <v>46072</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35682-2022</t>
        </is>
      </c>
      <c r="B120" s="1" t="n">
        <v>44799.60422453703</v>
      </c>
      <c r="C120" s="1" t="n">
        <v>46072</v>
      </c>
      <c r="D120" t="inlineStr">
        <is>
          <t>VÄSTMANLANDS LÄN</t>
        </is>
      </c>
      <c r="E120" t="inlineStr">
        <is>
          <t>SURAHAMMAR</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46072</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46072</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5567-2022</t>
        </is>
      </c>
      <c r="B123" s="1" t="n">
        <v>44595</v>
      </c>
      <c r="C123" s="1" t="n">
        <v>46072</v>
      </c>
      <c r="D123" t="inlineStr">
        <is>
          <t>VÄSTMANLANDS LÄN</t>
        </is>
      </c>
      <c r="E123" t="inlineStr">
        <is>
          <t>SURAHAMMAR</t>
        </is>
      </c>
      <c r="G123" t="n">
        <v>1.3</v>
      </c>
      <c r="H123" t="n">
        <v>0</v>
      </c>
      <c r="I123" t="n">
        <v>0</v>
      </c>
      <c r="J123" t="n">
        <v>0</v>
      </c>
      <c r="K123" t="n">
        <v>0</v>
      </c>
      <c r="L123" t="n">
        <v>0</v>
      </c>
      <c r="M123" t="n">
        <v>0</v>
      </c>
      <c r="N123" t="n">
        <v>0</v>
      </c>
      <c r="O123" t="n">
        <v>0</v>
      </c>
      <c r="P123" t="n">
        <v>0</v>
      </c>
      <c r="Q123" t="n">
        <v>0</v>
      </c>
      <c r="R123" s="2" t="inlineStr"/>
    </row>
    <row r="124" ht="15" customHeight="1">
      <c r="A124" t="inlineStr">
        <is>
          <t>A 37954-2025</t>
        </is>
      </c>
      <c r="B124" s="1" t="n">
        <v>45881</v>
      </c>
      <c r="C124" s="1" t="n">
        <v>46072</v>
      </c>
      <c r="D124" t="inlineStr">
        <is>
          <t>VÄSTMANLANDS LÄN</t>
        </is>
      </c>
      <c r="E124" t="inlineStr">
        <is>
          <t>SURAHAMMAR</t>
        </is>
      </c>
      <c r="G124" t="n">
        <v>9.5</v>
      </c>
      <c r="H124" t="n">
        <v>0</v>
      </c>
      <c r="I124" t="n">
        <v>0</v>
      </c>
      <c r="J124" t="n">
        <v>0</v>
      </c>
      <c r="K124" t="n">
        <v>0</v>
      </c>
      <c r="L124" t="n">
        <v>0</v>
      </c>
      <c r="M124" t="n">
        <v>0</v>
      </c>
      <c r="N124" t="n">
        <v>0</v>
      </c>
      <c r="O124" t="n">
        <v>0</v>
      </c>
      <c r="P124" t="n">
        <v>0</v>
      </c>
      <c r="Q124" t="n">
        <v>0</v>
      </c>
      <c r="R124" s="2" t="inlineStr"/>
    </row>
    <row r="125" ht="15" customHeight="1">
      <c r="A125" t="inlineStr">
        <is>
          <t>A 42832-2022</t>
        </is>
      </c>
      <c r="B125" s="1" t="n">
        <v>44832</v>
      </c>
      <c r="C125" s="1" t="n">
        <v>46072</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46072</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32808-2024</t>
        </is>
      </c>
      <c r="B127" s="1" t="n">
        <v>45516</v>
      </c>
      <c r="C127" s="1" t="n">
        <v>46072</v>
      </c>
      <c r="D127" t="inlineStr">
        <is>
          <t>VÄSTMANLANDS LÄN</t>
        </is>
      </c>
      <c r="E127" t="inlineStr">
        <is>
          <t>SURAHAMMAR</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59399-2025</t>
        </is>
      </c>
      <c r="B128" s="1" t="n">
        <v>45989</v>
      </c>
      <c r="C128" s="1" t="n">
        <v>46072</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42841-2022</t>
        </is>
      </c>
      <c r="B129" s="1" t="n">
        <v>44832</v>
      </c>
      <c r="C129" s="1" t="n">
        <v>46072</v>
      </c>
      <c r="D129" t="inlineStr">
        <is>
          <t>VÄSTMANLANDS LÄN</t>
        </is>
      </c>
      <c r="E129" t="inlineStr">
        <is>
          <t>SURAHAMMAR</t>
        </is>
      </c>
      <c r="G129" t="n">
        <v>1.8</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46072</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56541-2025</t>
        </is>
      </c>
      <c r="B131" s="1" t="n">
        <v>45975</v>
      </c>
      <c r="C131" s="1" t="n">
        <v>46072</v>
      </c>
      <c r="D131" t="inlineStr">
        <is>
          <t>VÄSTMANLANDS LÄN</t>
        </is>
      </c>
      <c r="E131" t="inlineStr">
        <is>
          <t>SURAHAMMAR</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2867-2024</t>
        </is>
      </c>
      <c r="B132" s="1" t="n">
        <v>45315</v>
      </c>
      <c r="C132" s="1" t="n">
        <v>46072</v>
      </c>
      <c r="D132" t="inlineStr">
        <is>
          <t>VÄSTMANLANDS LÄN</t>
        </is>
      </c>
      <c r="E132" t="inlineStr">
        <is>
          <t>SURAHAMMAR</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46072</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46072</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46072</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5697-2026</t>
        </is>
      </c>
      <c r="B136" s="1" t="n">
        <v>46051.50020833333</v>
      </c>
      <c r="C136" s="1" t="n">
        <v>46072</v>
      </c>
      <c r="D136" t="inlineStr">
        <is>
          <t>VÄSTMANLANDS LÄN</t>
        </is>
      </c>
      <c r="E136" t="inlineStr">
        <is>
          <t>SURAHAMMAR</t>
        </is>
      </c>
      <c r="F136" t="inlineStr">
        <is>
          <t>Sveaskog</t>
        </is>
      </c>
      <c r="G136" t="n">
        <v>3</v>
      </c>
      <c r="H136" t="n">
        <v>0</v>
      </c>
      <c r="I136" t="n">
        <v>0</v>
      </c>
      <c r="J136" t="n">
        <v>0</v>
      </c>
      <c r="K136" t="n">
        <v>0</v>
      </c>
      <c r="L136" t="n">
        <v>0</v>
      </c>
      <c r="M136" t="n">
        <v>0</v>
      </c>
      <c r="N136" t="n">
        <v>0</v>
      </c>
      <c r="O136" t="n">
        <v>0</v>
      </c>
      <c r="P136" t="n">
        <v>0</v>
      </c>
      <c r="Q136" t="n">
        <v>0</v>
      </c>
      <c r="R136" s="2" t="inlineStr"/>
    </row>
    <row r="137" ht="15" customHeight="1">
      <c r="A137" t="inlineStr">
        <is>
          <t>A 5698-2026</t>
        </is>
      </c>
      <c r="B137" s="1" t="n">
        <v>46051.50196759259</v>
      </c>
      <c r="C137" s="1" t="n">
        <v>46072</v>
      </c>
      <c r="D137" t="inlineStr">
        <is>
          <t>VÄSTMANLANDS LÄN</t>
        </is>
      </c>
      <c r="E137" t="inlineStr">
        <is>
          <t>SURAHAMMAR</t>
        </is>
      </c>
      <c r="F137" t="inlineStr">
        <is>
          <t>Sveaskog</t>
        </is>
      </c>
      <c r="G137" t="n">
        <v>1.9</v>
      </c>
      <c r="H137" t="n">
        <v>0</v>
      </c>
      <c r="I137" t="n">
        <v>0</v>
      </c>
      <c r="J137" t="n">
        <v>0</v>
      </c>
      <c r="K137" t="n">
        <v>0</v>
      </c>
      <c r="L137" t="n">
        <v>0</v>
      </c>
      <c r="M137" t="n">
        <v>0</v>
      </c>
      <c r="N137" t="n">
        <v>0</v>
      </c>
      <c r="O137" t="n">
        <v>0</v>
      </c>
      <c r="P137" t="n">
        <v>0</v>
      </c>
      <c r="Q137" t="n">
        <v>0</v>
      </c>
      <c r="R137" s="2" t="inlineStr"/>
    </row>
    <row r="138" ht="15" customHeight="1">
      <c r="A138" t="inlineStr">
        <is>
          <t>A 5696-2026</t>
        </is>
      </c>
      <c r="B138" s="1" t="n">
        <v>46051.4975</v>
      </c>
      <c r="C138" s="1" t="n">
        <v>46072</v>
      </c>
      <c r="D138" t="inlineStr">
        <is>
          <t>VÄSTMANLANDS LÄN</t>
        </is>
      </c>
      <c r="E138" t="inlineStr">
        <is>
          <t>SURAHAMMAR</t>
        </is>
      </c>
      <c r="F138" t="inlineStr">
        <is>
          <t>Sveaskog</t>
        </is>
      </c>
      <c r="G138" t="n">
        <v>10.4</v>
      </c>
      <c r="H138" t="n">
        <v>0</v>
      </c>
      <c r="I138" t="n">
        <v>0</v>
      </c>
      <c r="J138" t="n">
        <v>0</v>
      </c>
      <c r="K138" t="n">
        <v>0</v>
      </c>
      <c r="L138" t="n">
        <v>0</v>
      </c>
      <c r="M138" t="n">
        <v>0</v>
      </c>
      <c r="N138" t="n">
        <v>0</v>
      </c>
      <c r="O138" t="n">
        <v>0</v>
      </c>
      <c r="P138" t="n">
        <v>0</v>
      </c>
      <c r="Q138" t="n">
        <v>0</v>
      </c>
      <c r="R138" s="2" t="inlineStr"/>
    </row>
    <row r="139" ht="15" customHeight="1">
      <c r="A139" t="inlineStr">
        <is>
          <t>A 63138-2025</t>
        </is>
      </c>
      <c r="B139" s="1" t="n">
        <v>46009</v>
      </c>
      <c r="C139" s="1" t="n">
        <v>46072</v>
      </c>
      <c r="D139" t="inlineStr">
        <is>
          <t>VÄSTMANLANDS LÄN</t>
        </is>
      </c>
      <c r="E139" t="inlineStr">
        <is>
          <t>SURAHAMMAR</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34955-2022</t>
        </is>
      </c>
      <c r="B140" s="1" t="n">
        <v>44796</v>
      </c>
      <c r="C140" s="1" t="n">
        <v>46072</v>
      </c>
      <c r="D140" t="inlineStr">
        <is>
          <t>VÄSTMANLANDS LÄN</t>
        </is>
      </c>
      <c r="E140" t="inlineStr">
        <is>
          <t>SURAHAMMAR</t>
        </is>
      </c>
      <c r="F140" t="inlineStr">
        <is>
          <t>Sveaskog</t>
        </is>
      </c>
      <c r="G140" t="n">
        <v>4.6</v>
      </c>
      <c r="H140" t="n">
        <v>0</v>
      </c>
      <c r="I140" t="n">
        <v>0</v>
      </c>
      <c r="J140" t="n">
        <v>0</v>
      </c>
      <c r="K140" t="n">
        <v>0</v>
      </c>
      <c r="L140" t="n">
        <v>0</v>
      </c>
      <c r="M140" t="n">
        <v>0</v>
      </c>
      <c r="N140" t="n">
        <v>0</v>
      </c>
      <c r="O140" t="n">
        <v>0</v>
      </c>
      <c r="P140" t="n">
        <v>0</v>
      </c>
      <c r="Q140" t="n">
        <v>0</v>
      </c>
      <c r="R140" s="2" t="inlineStr"/>
    </row>
    <row r="141" ht="15" customHeight="1">
      <c r="A141" t="inlineStr">
        <is>
          <t>A 20904-2023</t>
        </is>
      </c>
      <c r="B141" s="1" t="n">
        <v>45060</v>
      </c>
      <c r="C141" s="1" t="n">
        <v>46072</v>
      </c>
      <c r="D141" t="inlineStr">
        <is>
          <t>VÄSTMANLANDS LÄN</t>
        </is>
      </c>
      <c r="E141" t="inlineStr">
        <is>
          <t>SURAHAMMAR</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10883-2023</t>
        </is>
      </c>
      <c r="B142" s="1" t="n">
        <v>44991</v>
      </c>
      <c r="C142" s="1" t="n">
        <v>46072</v>
      </c>
      <c r="D142" t="inlineStr">
        <is>
          <t>VÄSTMANLANDS LÄN</t>
        </is>
      </c>
      <c r="E142" t="inlineStr">
        <is>
          <t>SURAHAMMAR</t>
        </is>
      </c>
      <c r="F142" t="inlineStr">
        <is>
          <t>Övriga Aktiebolag</t>
        </is>
      </c>
      <c r="G142" t="n">
        <v>12.5</v>
      </c>
      <c r="H142" t="n">
        <v>0</v>
      </c>
      <c r="I142" t="n">
        <v>0</v>
      </c>
      <c r="J142" t="n">
        <v>0</v>
      </c>
      <c r="K142" t="n">
        <v>0</v>
      </c>
      <c r="L142" t="n">
        <v>0</v>
      </c>
      <c r="M142" t="n">
        <v>0</v>
      </c>
      <c r="N142" t="n">
        <v>0</v>
      </c>
      <c r="O142" t="n">
        <v>0</v>
      </c>
      <c r="P142" t="n">
        <v>0</v>
      </c>
      <c r="Q142" t="n">
        <v>0</v>
      </c>
      <c r="R142" s="2" t="inlineStr"/>
    </row>
    <row r="143" ht="15" customHeight="1">
      <c r="A143" t="inlineStr">
        <is>
          <t>A 2660-2024</t>
        </is>
      </c>
      <c r="B143" s="1" t="n">
        <v>45310</v>
      </c>
      <c r="C143" s="1" t="n">
        <v>46072</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46072</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4724-2026</t>
        </is>
      </c>
      <c r="B145" s="1" t="n">
        <v>46048</v>
      </c>
      <c r="C145" s="1" t="n">
        <v>46072</v>
      </c>
      <c r="D145" t="inlineStr">
        <is>
          <t>VÄSTMANLANDS LÄN</t>
        </is>
      </c>
      <c r="E145" t="inlineStr">
        <is>
          <t>SURAHAMMAR</t>
        </is>
      </c>
      <c r="G145" t="n">
        <v>1.7</v>
      </c>
      <c r="H145" t="n">
        <v>0</v>
      </c>
      <c r="I145" t="n">
        <v>0</v>
      </c>
      <c r="J145" t="n">
        <v>0</v>
      </c>
      <c r="K145" t="n">
        <v>0</v>
      </c>
      <c r="L145" t="n">
        <v>0</v>
      </c>
      <c r="M145" t="n">
        <v>0</v>
      </c>
      <c r="N145" t="n">
        <v>0</v>
      </c>
      <c r="O145" t="n">
        <v>0</v>
      </c>
      <c r="P145" t="n">
        <v>0</v>
      </c>
      <c r="Q145" t="n">
        <v>0</v>
      </c>
      <c r="R145" s="2" t="inlineStr"/>
    </row>
    <row r="146" ht="15" customHeight="1">
      <c r="A146" t="inlineStr">
        <is>
          <t>A 14626-2023</t>
        </is>
      </c>
      <c r="B146" s="1" t="n">
        <v>45012</v>
      </c>
      <c r="C146" s="1" t="n">
        <v>46072</v>
      </c>
      <c r="D146" t="inlineStr">
        <is>
          <t>VÄSTMANLANDS LÄN</t>
        </is>
      </c>
      <c r="E146" t="inlineStr">
        <is>
          <t>SURAHAMMAR</t>
        </is>
      </c>
      <c r="F146" t="inlineStr">
        <is>
          <t>Bergvik skog väst AB</t>
        </is>
      </c>
      <c r="G146" t="n">
        <v>5</v>
      </c>
      <c r="H146" t="n">
        <v>0</v>
      </c>
      <c r="I146" t="n">
        <v>0</v>
      </c>
      <c r="J146" t="n">
        <v>0</v>
      </c>
      <c r="K146" t="n">
        <v>0</v>
      </c>
      <c r="L146" t="n">
        <v>0</v>
      </c>
      <c r="M146" t="n">
        <v>0</v>
      </c>
      <c r="N146" t="n">
        <v>0</v>
      </c>
      <c r="O146" t="n">
        <v>0</v>
      </c>
      <c r="P146" t="n">
        <v>0</v>
      </c>
      <c r="Q146" t="n">
        <v>0</v>
      </c>
      <c r="R146" s="2" t="inlineStr"/>
    </row>
    <row r="147" ht="15" customHeight="1">
      <c r="A147" t="inlineStr">
        <is>
          <t>A 37798-2021</t>
        </is>
      </c>
      <c r="B147" s="1" t="n">
        <v>44402</v>
      </c>
      <c r="C147" s="1" t="n">
        <v>46072</v>
      </c>
      <c r="D147" t="inlineStr">
        <is>
          <t>VÄSTMANLANDS LÄN</t>
        </is>
      </c>
      <c r="E147" t="inlineStr">
        <is>
          <t>SURAHAMMAR</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25450-2024</t>
        </is>
      </c>
      <c r="B148" s="1" t="n">
        <v>45463</v>
      </c>
      <c r="C148" s="1" t="n">
        <v>46072</v>
      </c>
      <c r="D148" t="inlineStr">
        <is>
          <t>VÄSTMANLANDS LÄN</t>
        </is>
      </c>
      <c r="E148" t="inlineStr">
        <is>
          <t>SURAHAMMAR</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19782-2023</t>
        </is>
      </c>
      <c r="B149" s="1" t="n">
        <v>45050</v>
      </c>
      <c r="C149" s="1" t="n">
        <v>46072</v>
      </c>
      <c r="D149" t="inlineStr">
        <is>
          <t>VÄSTMANLANDS LÄN</t>
        </is>
      </c>
      <c r="E149" t="inlineStr">
        <is>
          <t>SURAHAMMAR</t>
        </is>
      </c>
      <c r="F149" t="inlineStr">
        <is>
          <t>Bergvik skog väst AB</t>
        </is>
      </c>
      <c r="G149" t="n">
        <v>5.2</v>
      </c>
      <c r="H149" t="n">
        <v>0</v>
      </c>
      <c r="I149" t="n">
        <v>0</v>
      </c>
      <c r="J149" t="n">
        <v>0</v>
      </c>
      <c r="K149" t="n">
        <v>0</v>
      </c>
      <c r="L149" t="n">
        <v>0</v>
      </c>
      <c r="M149" t="n">
        <v>0</v>
      </c>
      <c r="N149" t="n">
        <v>0</v>
      </c>
      <c r="O149" t="n">
        <v>0</v>
      </c>
      <c r="P149" t="n">
        <v>0</v>
      </c>
      <c r="Q149" t="n">
        <v>0</v>
      </c>
      <c r="R149" s="2" t="inlineStr"/>
    </row>
    <row r="150" ht="15" customHeight="1">
      <c r="A150" t="inlineStr">
        <is>
          <t>A 7848-2022</t>
        </is>
      </c>
      <c r="B150" s="1" t="n">
        <v>44608.58400462963</v>
      </c>
      <c r="C150" s="1" t="n">
        <v>46072</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24167-2024</t>
        </is>
      </c>
      <c r="B151" s="1" t="n">
        <v>45456</v>
      </c>
      <c r="C151" s="1" t="n">
        <v>46072</v>
      </c>
      <c r="D151" t="inlineStr">
        <is>
          <t>VÄSTMANLANDS LÄN</t>
        </is>
      </c>
      <c r="E151" t="inlineStr">
        <is>
          <t>SURAHAMMAR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56378-2023</t>
        </is>
      </c>
      <c r="B152" s="1" t="n">
        <v>45236</v>
      </c>
      <c r="C152" s="1" t="n">
        <v>46072</v>
      </c>
      <c r="D152" t="inlineStr">
        <is>
          <t>VÄSTMANLANDS LÄN</t>
        </is>
      </c>
      <c r="E152" t="inlineStr">
        <is>
          <t>SURAHAMMAR</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46072</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11501-2023</t>
        </is>
      </c>
      <c r="B154" s="1" t="n">
        <v>44991</v>
      </c>
      <c r="C154" s="1" t="n">
        <v>46072</v>
      </c>
      <c r="D154" t="inlineStr">
        <is>
          <t>VÄSTMANLANDS LÄN</t>
        </is>
      </c>
      <c r="E154" t="inlineStr">
        <is>
          <t>SURAHAMMAR</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46072</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21509-2024</t>
        </is>
      </c>
      <c r="B156" s="1" t="n">
        <v>45441</v>
      </c>
      <c r="C156" s="1" t="n">
        <v>46072</v>
      </c>
      <c r="D156" t="inlineStr">
        <is>
          <t>VÄSTMANLANDS LÄN</t>
        </is>
      </c>
      <c r="E156" t="inlineStr">
        <is>
          <t>SURAHAMMAR</t>
        </is>
      </c>
      <c r="F156" t="inlineStr">
        <is>
          <t>Bergvik skog väst AB</t>
        </is>
      </c>
      <c r="G156" t="n">
        <v>3.9</v>
      </c>
      <c r="H156" t="n">
        <v>0</v>
      </c>
      <c r="I156" t="n">
        <v>0</v>
      </c>
      <c r="J156" t="n">
        <v>0</v>
      </c>
      <c r="K156" t="n">
        <v>0</v>
      </c>
      <c r="L156" t="n">
        <v>0</v>
      </c>
      <c r="M156" t="n">
        <v>0</v>
      </c>
      <c r="N156" t="n">
        <v>0</v>
      </c>
      <c r="O156" t="n">
        <v>0</v>
      </c>
      <c r="P156" t="n">
        <v>0</v>
      </c>
      <c r="Q156" t="n">
        <v>0</v>
      </c>
      <c r="R156" s="2" t="inlineStr"/>
    </row>
    <row r="157" ht="15" customHeight="1">
      <c r="A157" t="inlineStr">
        <is>
          <t>A 22662-2023</t>
        </is>
      </c>
      <c r="B157" s="1" t="n">
        <v>45071</v>
      </c>
      <c r="C157" s="1" t="n">
        <v>46072</v>
      </c>
      <c r="D157" t="inlineStr">
        <is>
          <t>VÄSTMANLANDS LÄN</t>
        </is>
      </c>
      <c r="E157" t="inlineStr">
        <is>
          <t>SURAHAMMAR</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16013-2023</t>
        </is>
      </c>
      <c r="B158" s="1" t="n">
        <v>45026</v>
      </c>
      <c r="C158" s="1" t="n">
        <v>46072</v>
      </c>
      <c r="D158" t="inlineStr">
        <is>
          <t>VÄSTMANLANDS LÄN</t>
        </is>
      </c>
      <c r="E158" t="inlineStr">
        <is>
          <t>SURAHAMMAR</t>
        </is>
      </c>
      <c r="G158" t="n">
        <v>3.9</v>
      </c>
      <c r="H158" t="n">
        <v>0</v>
      </c>
      <c r="I158" t="n">
        <v>0</v>
      </c>
      <c r="J158" t="n">
        <v>0</v>
      </c>
      <c r="K158" t="n">
        <v>0</v>
      </c>
      <c r="L158" t="n">
        <v>0</v>
      </c>
      <c r="M158" t="n">
        <v>0</v>
      </c>
      <c r="N158" t="n">
        <v>0</v>
      </c>
      <c r="O158" t="n">
        <v>0</v>
      </c>
      <c r="P158" t="n">
        <v>0</v>
      </c>
      <c r="Q158" t="n">
        <v>0</v>
      </c>
      <c r="R158" s="2" t="inlineStr"/>
    </row>
    <row r="159" ht="15" customHeight="1">
      <c r="A159" t="inlineStr">
        <is>
          <t>A 41555-2022</t>
        </is>
      </c>
      <c r="B159" s="1" t="n">
        <v>44826</v>
      </c>
      <c r="C159" s="1" t="n">
        <v>46072</v>
      </c>
      <c r="D159" t="inlineStr">
        <is>
          <t>VÄSTMANLANDS LÄN</t>
        </is>
      </c>
      <c r="E159" t="inlineStr">
        <is>
          <t>SURAHAMMAR</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25780-2023</t>
        </is>
      </c>
      <c r="B160" s="1" t="n">
        <v>45090.47523148148</v>
      </c>
      <c r="C160" s="1" t="n">
        <v>46072</v>
      </c>
      <c r="D160" t="inlineStr">
        <is>
          <t>VÄSTMANLANDS LÄN</t>
        </is>
      </c>
      <c r="E160" t="inlineStr">
        <is>
          <t>SURAHAMMAR</t>
        </is>
      </c>
      <c r="G160" t="n">
        <v>2.8</v>
      </c>
      <c r="H160" t="n">
        <v>0</v>
      </c>
      <c r="I160" t="n">
        <v>0</v>
      </c>
      <c r="J160" t="n">
        <v>0</v>
      </c>
      <c r="K160" t="n">
        <v>0</v>
      </c>
      <c r="L160" t="n">
        <v>0</v>
      </c>
      <c r="M160" t="n">
        <v>0</v>
      </c>
      <c r="N160" t="n">
        <v>0</v>
      </c>
      <c r="O160" t="n">
        <v>0</v>
      </c>
      <c r="P160" t="n">
        <v>0</v>
      </c>
      <c r="Q160" t="n">
        <v>0</v>
      </c>
      <c r="R160" s="2" t="inlineStr"/>
    </row>
    <row r="161" ht="15" customHeight="1">
      <c r="A161" t="inlineStr">
        <is>
          <t>A 13386-2025</t>
        </is>
      </c>
      <c r="B161" s="1" t="n">
        <v>45735</v>
      </c>
      <c r="C161" s="1" t="n">
        <v>46072</v>
      </c>
      <c r="D161" t="inlineStr">
        <is>
          <t>VÄSTMANLANDS LÄN</t>
        </is>
      </c>
      <c r="E161" t="inlineStr">
        <is>
          <t>SURAHAMMAR</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c r="A162" t="inlineStr">
        <is>
          <t>A 47785-2021</t>
        </is>
      </c>
      <c r="B162" s="1" t="n">
        <v>44448</v>
      </c>
      <c r="C162" s="1" t="n">
        <v>46072</v>
      </c>
      <c r="D162" t="inlineStr">
        <is>
          <t>VÄSTMANLANDS LÄN</t>
        </is>
      </c>
      <c r="E162" t="inlineStr">
        <is>
          <t>SURAHAMMAR</t>
        </is>
      </c>
      <c r="F162" t="inlineStr">
        <is>
          <t>Kommuner</t>
        </is>
      </c>
      <c r="G162" t="n">
        <v>3.3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2026-02-19T14:31:03Z</dcterms:created>
  <dcterms:modified xmlns:dcterms="http://purl.org/dc/terms/" xmlns:xsi="http://www.w3.org/2001/XMLSchema-instance" xsi:type="dcterms:W3CDTF">2026-02-19T14:31:03Z</dcterms:modified>
</cp:coreProperties>
</file>