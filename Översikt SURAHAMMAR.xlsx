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45351</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45351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45351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45351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45351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45351</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45351</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45351</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45351</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45351</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45351</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45351</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45351</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45351</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45351</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12116-2023</t>
        </is>
      </c>
      <c r="B18" s="1" t="n">
        <v>44995</v>
      </c>
      <c r="C18" s="1" t="n">
        <v>45351</v>
      </c>
      <c r="D18" t="inlineStr">
        <is>
          <t>VÄSTMANLANDS LÄN</t>
        </is>
      </c>
      <c r="E18" t="inlineStr">
        <is>
          <t>SURAHAMMAR</t>
        </is>
      </c>
      <c r="G18" t="n">
        <v>9.300000000000001</v>
      </c>
      <c r="H18" t="n">
        <v>5</v>
      </c>
      <c r="I18" t="n">
        <v>0</v>
      </c>
      <c r="J18" t="n">
        <v>3</v>
      </c>
      <c r="K18" t="n">
        <v>0</v>
      </c>
      <c r="L18" t="n">
        <v>1</v>
      </c>
      <c r="M18" t="n">
        <v>0</v>
      </c>
      <c r="N18" t="n">
        <v>0</v>
      </c>
      <c r="O18" t="n">
        <v>4</v>
      </c>
      <c r="P18" t="n">
        <v>1</v>
      </c>
      <c r="Q18" t="n">
        <v>5</v>
      </c>
      <c r="R18" s="2" t="inlineStr">
        <is>
          <t>Tornseglare
Duvhök
Spillkråka
Stenfalk
Gröngöling</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13994-2023</t>
        </is>
      </c>
      <c r="B19" s="1" t="n">
        <v>45007</v>
      </c>
      <c r="C19" s="1" t="n">
        <v>45351</v>
      </c>
      <c r="D19" t="inlineStr">
        <is>
          <t>VÄSTMANLANDS LÄN</t>
        </is>
      </c>
      <c r="E19" t="inlineStr">
        <is>
          <t>SURAHAMMAR</t>
        </is>
      </c>
      <c r="F19" t="inlineStr">
        <is>
          <t>Bergvik skog väst AB</t>
        </is>
      </c>
      <c r="G19" t="n">
        <v>14.2</v>
      </c>
      <c r="H19" t="n">
        <v>2</v>
      </c>
      <c r="I19" t="n">
        <v>2</v>
      </c>
      <c r="J19" t="n">
        <v>1</v>
      </c>
      <c r="K19" t="n">
        <v>1</v>
      </c>
      <c r="L19" t="n">
        <v>0</v>
      </c>
      <c r="M19" t="n">
        <v>0</v>
      </c>
      <c r="N19" t="n">
        <v>0</v>
      </c>
      <c r="O19" t="n">
        <v>2</v>
      </c>
      <c r="P19" t="n">
        <v>1</v>
      </c>
      <c r="Q19" t="n">
        <v>5</v>
      </c>
      <c r="R19" s="2" t="inlineStr">
        <is>
          <t>Knärot
Tallticka
Mindre märgborre
Vedticka
Mattlummer</t>
        </is>
      </c>
      <c r="S19">
        <f>HYPERLINK("https://klasma.github.io/Logging_1907/artfynd/A 13994-2023 artfynd.xlsx", "A 13994-2023")</f>
        <v/>
      </c>
      <c r="T19">
        <f>HYPERLINK("https://klasma.github.io/Logging_1907/kartor/A 13994-2023 karta.png", "A 13994-2023")</f>
        <v/>
      </c>
      <c r="U19">
        <f>HYPERLINK("https://klasma.github.io/Logging_1907/knärot/A 13994-2023 karta knärot.png", "A 13994-2023")</f>
        <v/>
      </c>
      <c r="V19">
        <f>HYPERLINK("https://klasma.github.io/Logging_1907/klagomål/A 13994-2023 FSC-klagomål.docx", "A 13994-2023")</f>
        <v/>
      </c>
      <c r="W19">
        <f>HYPERLINK("https://klasma.github.io/Logging_1907/klagomålsmail/A 13994-2023 FSC-klagomål mail.docx", "A 13994-2023")</f>
        <v/>
      </c>
      <c r="X19">
        <f>HYPERLINK("https://klasma.github.io/Logging_1907/tillsyn/A 13994-2023 tillsynsbegäran.docx", "A 13994-2023")</f>
        <v/>
      </c>
      <c r="Y19">
        <f>HYPERLINK("https://klasma.github.io/Logging_1907/tillsynsmail/A 13994-2023 tillsynsbegäran mail.docx", "A 13994-2023")</f>
        <v/>
      </c>
    </row>
    <row r="20" ht="15" customHeight="1">
      <c r="A20" t="inlineStr">
        <is>
          <t>A 35620-2023</t>
        </is>
      </c>
      <c r="B20" s="1" t="n">
        <v>45147</v>
      </c>
      <c r="C20" s="1" t="n">
        <v>45351</v>
      </c>
      <c r="D20" t="inlineStr">
        <is>
          <t>VÄSTMANLANDS LÄN</t>
        </is>
      </c>
      <c r="E20" t="inlineStr">
        <is>
          <t>SURAHAMMAR</t>
        </is>
      </c>
      <c r="G20" t="n">
        <v>20.3</v>
      </c>
      <c r="H20" t="n">
        <v>4</v>
      </c>
      <c r="I20" t="n">
        <v>1</v>
      </c>
      <c r="J20" t="n">
        <v>0</v>
      </c>
      <c r="K20" t="n">
        <v>1</v>
      </c>
      <c r="L20" t="n">
        <v>0</v>
      </c>
      <c r="M20" t="n">
        <v>0</v>
      </c>
      <c r="N20" t="n">
        <v>0</v>
      </c>
      <c r="O20" t="n">
        <v>1</v>
      </c>
      <c r="P20" t="n">
        <v>1</v>
      </c>
      <c r="Q20" t="n">
        <v>5</v>
      </c>
      <c r="R20" s="2" t="inlineStr">
        <is>
          <t>Knärot
Vedticka
Sparvuggla
Blåsippa
Lopplummer</t>
        </is>
      </c>
      <c r="S20">
        <f>HYPERLINK("https://klasma.github.io/Logging_1907/artfynd/A 35620-2023 artfynd.xlsx", "A 35620-2023")</f>
        <v/>
      </c>
      <c r="T20">
        <f>HYPERLINK("https://klasma.github.io/Logging_1907/kartor/A 35620-2023 karta.png", "A 35620-2023")</f>
        <v/>
      </c>
      <c r="U20">
        <f>HYPERLINK("https://klasma.github.io/Logging_1907/knärot/A 35620-2023 karta knärot.png", "A 35620-2023")</f>
        <v/>
      </c>
      <c r="V20">
        <f>HYPERLINK("https://klasma.github.io/Logging_1907/klagomål/A 35620-2023 FSC-klagomål.docx", "A 35620-2023")</f>
        <v/>
      </c>
      <c r="W20">
        <f>HYPERLINK("https://klasma.github.io/Logging_1907/klagomålsmail/A 35620-2023 FSC-klagomål mail.docx", "A 35620-2023")</f>
        <v/>
      </c>
      <c r="X20">
        <f>HYPERLINK("https://klasma.github.io/Logging_1907/tillsyn/A 35620-2023 tillsynsbegäran.docx", "A 35620-2023")</f>
        <v/>
      </c>
      <c r="Y20">
        <f>HYPERLINK("https://klasma.github.io/Logging_1907/tillsynsmail/A 35620-2023 tillsynsbegäran mail.docx", "A 35620-2023")</f>
        <v/>
      </c>
      <c r="Z20">
        <f>HYPERLINK("https://klasma.github.io/Logging_1907/fåglar/A 35620-2023 prioriterade fågelarter.docx", "A 35620-2023")</f>
        <v/>
      </c>
    </row>
    <row r="21" ht="15" customHeight="1">
      <c r="A21" t="inlineStr">
        <is>
          <t>A 22033-2020</t>
        </is>
      </c>
      <c r="B21" s="1" t="n">
        <v>43959</v>
      </c>
      <c r="C21" s="1" t="n">
        <v>45351</v>
      </c>
      <c r="D21" t="inlineStr">
        <is>
          <t>VÄSTMANLANDS LÄN</t>
        </is>
      </c>
      <c r="E21" t="inlineStr">
        <is>
          <t>SURAHAMMAR</t>
        </is>
      </c>
      <c r="G21" t="n">
        <v>0.5</v>
      </c>
      <c r="H21" t="n">
        <v>2</v>
      </c>
      <c r="I21" t="n">
        <v>1</v>
      </c>
      <c r="J21" t="n">
        <v>0</v>
      </c>
      <c r="K21" t="n">
        <v>3</v>
      </c>
      <c r="L21" t="n">
        <v>0</v>
      </c>
      <c r="M21" t="n">
        <v>0</v>
      </c>
      <c r="N21" t="n">
        <v>0</v>
      </c>
      <c r="O21" t="n">
        <v>3</v>
      </c>
      <c r="P21" t="n">
        <v>3</v>
      </c>
      <c r="Q21" t="n">
        <v>4</v>
      </c>
      <c r="R21" s="2" t="inlineStr">
        <is>
          <t>Bombmurkla
Knärot
Vågticka
Vedticka</t>
        </is>
      </c>
      <c r="S21">
        <f>HYPERLINK("https://klasma.github.io/Logging_1907/artfynd/A 22033-2020 artfynd.xlsx", "A 22033-2020")</f>
        <v/>
      </c>
      <c r="T21">
        <f>HYPERLINK("https://klasma.github.io/Logging_1907/kartor/A 22033-2020 karta.png", "A 22033-2020")</f>
        <v/>
      </c>
      <c r="U21">
        <f>HYPERLINK("https://klasma.github.io/Logging_1907/knärot/A 22033-2020 karta knärot.png", "A 22033-2020")</f>
        <v/>
      </c>
      <c r="V21">
        <f>HYPERLINK("https://klasma.github.io/Logging_1907/klagomål/A 22033-2020 FSC-klagomål.docx", "A 22033-2020")</f>
        <v/>
      </c>
      <c r="W21">
        <f>HYPERLINK("https://klasma.github.io/Logging_1907/klagomålsmail/A 22033-2020 FSC-klagomål mail.docx", "A 22033-2020")</f>
        <v/>
      </c>
      <c r="X21">
        <f>HYPERLINK("https://klasma.github.io/Logging_1907/tillsyn/A 22033-2020 tillsynsbegäran.docx", "A 22033-2020")</f>
        <v/>
      </c>
      <c r="Y21">
        <f>HYPERLINK("https://klasma.github.io/Logging_1907/tillsynsmail/A 22033-2020 tillsynsbegäran mail.docx", "A 22033-2020")</f>
        <v/>
      </c>
    </row>
    <row r="22" ht="15" customHeight="1">
      <c r="A22" t="inlineStr">
        <is>
          <t>A 8552-2022</t>
        </is>
      </c>
      <c r="B22" s="1" t="n">
        <v>44613</v>
      </c>
      <c r="C22" s="1" t="n">
        <v>45351</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45351</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45351</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45351</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45351</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45351</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45351</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45351</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45351</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45351</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45351</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45351</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45351</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45351</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45351</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45351</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45351</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45351</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45351</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45351</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45351</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45351</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45351</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7796-2024</t>
        </is>
      </c>
      <c r="B45" s="1" t="n">
        <v>45348</v>
      </c>
      <c r="C45" s="1" t="n">
        <v>45351</v>
      </c>
      <c r="D45" t="inlineStr">
        <is>
          <t>VÄSTMANLANDS LÄN</t>
        </is>
      </c>
      <c r="E45" t="inlineStr">
        <is>
          <t>SURAHAMMAR</t>
        </is>
      </c>
      <c r="G45" t="n">
        <v>10.5</v>
      </c>
      <c r="H45" t="n">
        <v>1</v>
      </c>
      <c r="I45" t="n">
        <v>1</v>
      </c>
      <c r="J45" t="n">
        <v>1</v>
      </c>
      <c r="K45" t="n">
        <v>0</v>
      </c>
      <c r="L45" t="n">
        <v>0</v>
      </c>
      <c r="M45" t="n">
        <v>0</v>
      </c>
      <c r="N45" t="n">
        <v>0</v>
      </c>
      <c r="O45" t="n">
        <v>1</v>
      </c>
      <c r="P45" t="n">
        <v>0</v>
      </c>
      <c r="Q45" t="n">
        <v>2</v>
      </c>
      <c r="R45" s="2" t="inlineStr">
        <is>
          <t>Ullticka
Plattlummer</t>
        </is>
      </c>
      <c r="S45">
        <f>HYPERLINK("https://klasma.github.io/Logging_1907/artfynd/A 7796-2024 artfynd.xlsx", "A 7796-2024")</f>
        <v/>
      </c>
      <c r="T45">
        <f>HYPERLINK("https://klasma.github.io/Logging_1907/kartor/A 7796-2024 karta.png", "A 7796-2024")</f>
        <v/>
      </c>
      <c r="V45">
        <f>HYPERLINK("https://klasma.github.io/Logging_1907/klagomål/A 7796-2024 FSC-klagomål.docx", "A 7796-2024")</f>
        <v/>
      </c>
      <c r="W45">
        <f>HYPERLINK("https://klasma.github.io/Logging_1907/klagomålsmail/A 7796-2024 FSC-klagomål mail.docx", "A 7796-2024")</f>
        <v/>
      </c>
      <c r="X45">
        <f>HYPERLINK("https://klasma.github.io/Logging_1907/tillsyn/A 7796-2024 tillsynsbegäran.docx", "A 7796-2024")</f>
        <v/>
      </c>
      <c r="Y45">
        <f>HYPERLINK("https://klasma.github.io/Logging_1907/tillsynsmail/A 7796-2024 tillsynsbegäran mail.docx", "A 7796-2024")</f>
        <v/>
      </c>
    </row>
    <row r="46" ht="15" customHeight="1">
      <c r="A46" t="inlineStr">
        <is>
          <t>A 4575-2019</t>
        </is>
      </c>
      <c r="B46" s="1" t="n">
        <v>43486</v>
      </c>
      <c r="C46" s="1" t="n">
        <v>45351</v>
      </c>
      <c r="D46" t="inlineStr">
        <is>
          <t>VÄSTMANLANDS LÄN</t>
        </is>
      </c>
      <c r="E46" t="inlineStr">
        <is>
          <t>SURAHAMMAR</t>
        </is>
      </c>
      <c r="G46" t="n">
        <v>8.800000000000001</v>
      </c>
      <c r="H46" t="n">
        <v>1</v>
      </c>
      <c r="I46" t="n">
        <v>0</v>
      </c>
      <c r="J46" t="n">
        <v>0</v>
      </c>
      <c r="K46" t="n">
        <v>1</v>
      </c>
      <c r="L46" t="n">
        <v>0</v>
      </c>
      <c r="M46" t="n">
        <v>0</v>
      </c>
      <c r="N46" t="n">
        <v>0</v>
      </c>
      <c r="O46" t="n">
        <v>1</v>
      </c>
      <c r="P46" t="n">
        <v>1</v>
      </c>
      <c r="Q46" t="n">
        <v>1</v>
      </c>
      <c r="R46" s="2" t="inlineStr">
        <is>
          <t>Knärot</t>
        </is>
      </c>
      <c r="S46">
        <f>HYPERLINK("https://klasma.github.io/Logging_1907/artfynd/A 4575-2019 artfynd.xlsx", "A 4575-2019")</f>
        <v/>
      </c>
      <c r="T46">
        <f>HYPERLINK("https://klasma.github.io/Logging_1907/kartor/A 4575-2019 karta.png", "A 4575-2019")</f>
        <v/>
      </c>
      <c r="U46">
        <f>HYPERLINK("https://klasma.github.io/Logging_1907/knärot/A 4575-2019 karta knärot.png", "A 4575-2019")</f>
        <v/>
      </c>
      <c r="V46">
        <f>HYPERLINK("https://klasma.github.io/Logging_1907/klagomål/A 4575-2019 FSC-klagomål.docx", "A 4575-2019")</f>
        <v/>
      </c>
      <c r="W46">
        <f>HYPERLINK("https://klasma.github.io/Logging_1907/klagomålsmail/A 4575-2019 FSC-klagomål mail.docx", "A 4575-2019")</f>
        <v/>
      </c>
      <c r="X46">
        <f>HYPERLINK("https://klasma.github.io/Logging_1907/tillsyn/A 4575-2019 tillsynsbegäran.docx", "A 4575-2019")</f>
        <v/>
      </c>
      <c r="Y46">
        <f>HYPERLINK("https://klasma.github.io/Logging_1907/tillsynsmail/A 4575-2019 tillsynsbegäran mail.docx", "A 4575-2019")</f>
        <v/>
      </c>
    </row>
    <row r="47" ht="15" customHeight="1">
      <c r="A47" t="inlineStr">
        <is>
          <t>A 11098-2019</t>
        </is>
      </c>
      <c r="B47" s="1" t="n">
        <v>43516</v>
      </c>
      <c r="C47" s="1" t="n">
        <v>45351</v>
      </c>
      <c r="D47" t="inlineStr">
        <is>
          <t>VÄSTMANLANDS LÄN</t>
        </is>
      </c>
      <c r="E47" t="inlineStr">
        <is>
          <t>SURAHAMMAR</t>
        </is>
      </c>
      <c r="F47" t="inlineStr">
        <is>
          <t>Övriga Aktiebolag</t>
        </is>
      </c>
      <c r="G47" t="n">
        <v>5.5</v>
      </c>
      <c r="H47" t="n">
        <v>0</v>
      </c>
      <c r="I47" t="n">
        <v>1</v>
      </c>
      <c r="J47" t="n">
        <v>0</v>
      </c>
      <c r="K47" t="n">
        <v>0</v>
      </c>
      <c r="L47" t="n">
        <v>0</v>
      </c>
      <c r="M47" t="n">
        <v>0</v>
      </c>
      <c r="N47" t="n">
        <v>0</v>
      </c>
      <c r="O47" t="n">
        <v>0</v>
      </c>
      <c r="P47" t="n">
        <v>0</v>
      </c>
      <c r="Q47" t="n">
        <v>1</v>
      </c>
      <c r="R47" s="2" t="inlineStr">
        <is>
          <t>Kamjordstjärna</t>
        </is>
      </c>
      <c r="S47">
        <f>HYPERLINK("https://klasma.github.io/Logging_1907/artfynd/A 11098-2019 artfynd.xlsx", "A 11098-2019")</f>
        <v/>
      </c>
      <c r="T47">
        <f>HYPERLINK("https://klasma.github.io/Logging_1907/kartor/A 11098-2019 karta.png", "A 11098-2019")</f>
        <v/>
      </c>
      <c r="V47">
        <f>HYPERLINK("https://klasma.github.io/Logging_1907/klagomål/A 11098-2019 FSC-klagomål.docx", "A 11098-2019")</f>
        <v/>
      </c>
      <c r="W47">
        <f>HYPERLINK("https://klasma.github.io/Logging_1907/klagomålsmail/A 11098-2019 FSC-klagomål mail.docx", "A 11098-2019")</f>
        <v/>
      </c>
      <c r="X47">
        <f>HYPERLINK("https://klasma.github.io/Logging_1907/tillsyn/A 11098-2019 tillsynsbegäran.docx", "A 11098-2019")</f>
        <v/>
      </c>
      <c r="Y47">
        <f>HYPERLINK("https://klasma.github.io/Logging_1907/tillsynsmail/A 11098-2019 tillsynsbegäran mail.docx", "A 11098-2019")</f>
        <v/>
      </c>
    </row>
    <row r="48" ht="15" customHeight="1">
      <c r="A48" t="inlineStr">
        <is>
          <t>A 16181-2019</t>
        </is>
      </c>
      <c r="B48" s="1" t="n">
        <v>43545</v>
      </c>
      <c r="C48" s="1" t="n">
        <v>45351</v>
      </c>
      <c r="D48" t="inlineStr">
        <is>
          <t>VÄSTMANLANDS LÄN</t>
        </is>
      </c>
      <c r="E48" t="inlineStr">
        <is>
          <t>SURAHAMMAR</t>
        </is>
      </c>
      <c r="G48" t="n">
        <v>0.6</v>
      </c>
      <c r="H48" t="n">
        <v>0</v>
      </c>
      <c r="I48" t="n">
        <v>1</v>
      </c>
      <c r="J48" t="n">
        <v>0</v>
      </c>
      <c r="K48" t="n">
        <v>0</v>
      </c>
      <c r="L48" t="n">
        <v>0</v>
      </c>
      <c r="M48" t="n">
        <v>0</v>
      </c>
      <c r="N48" t="n">
        <v>0</v>
      </c>
      <c r="O48" t="n">
        <v>0</v>
      </c>
      <c r="P48" t="n">
        <v>0</v>
      </c>
      <c r="Q48" t="n">
        <v>1</v>
      </c>
      <c r="R48" s="2" t="inlineStr">
        <is>
          <t>Sotlav</t>
        </is>
      </c>
      <c r="S48">
        <f>HYPERLINK("https://klasma.github.io/Logging_1907/artfynd/A 16181-2019 artfynd.xlsx", "A 16181-2019")</f>
        <v/>
      </c>
      <c r="T48">
        <f>HYPERLINK("https://klasma.github.io/Logging_1907/kartor/A 16181-2019 karta.png", "A 16181-2019")</f>
        <v/>
      </c>
      <c r="V48">
        <f>HYPERLINK("https://klasma.github.io/Logging_1907/klagomål/A 16181-2019 FSC-klagomål.docx", "A 16181-2019")</f>
        <v/>
      </c>
      <c r="W48">
        <f>HYPERLINK("https://klasma.github.io/Logging_1907/klagomålsmail/A 16181-2019 FSC-klagomål mail.docx", "A 16181-2019")</f>
        <v/>
      </c>
      <c r="X48">
        <f>HYPERLINK("https://klasma.github.io/Logging_1907/tillsyn/A 16181-2019 tillsynsbegäran.docx", "A 16181-2019")</f>
        <v/>
      </c>
      <c r="Y48">
        <f>HYPERLINK("https://klasma.github.io/Logging_1907/tillsynsmail/A 16181-2019 tillsynsbegäran mail.docx", "A 16181-2019")</f>
        <v/>
      </c>
    </row>
    <row r="49" ht="15" customHeight="1">
      <c r="A49" t="inlineStr">
        <is>
          <t>A 18948-2019</t>
        </is>
      </c>
      <c r="B49" s="1" t="n">
        <v>43563</v>
      </c>
      <c r="C49" s="1" t="n">
        <v>45351</v>
      </c>
      <c r="D49" t="inlineStr">
        <is>
          <t>VÄSTMANLANDS LÄN</t>
        </is>
      </c>
      <c r="E49" t="inlineStr">
        <is>
          <t>SURAHAMMAR</t>
        </is>
      </c>
      <c r="F49" t="inlineStr">
        <is>
          <t>Övriga Aktiebolag</t>
        </is>
      </c>
      <c r="G49" t="n">
        <v>1.9</v>
      </c>
      <c r="H49" t="n">
        <v>0</v>
      </c>
      <c r="I49" t="n">
        <v>0</v>
      </c>
      <c r="J49" t="n">
        <v>0</v>
      </c>
      <c r="K49" t="n">
        <v>0</v>
      </c>
      <c r="L49" t="n">
        <v>1</v>
      </c>
      <c r="M49" t="n">
        <v>0</v>
      </c>
      <c r="N49" t="n">
        <v>0</v>
      </c>
      <c r="O49" t="n">
        <v>1</v>
      </c>
      <c r="P49" t="n">
        <v>1</v>
      </c>
      <c r="Q49" t="n">
        <v>1</v>
      </c>
      <c r="R49" s="2" t="inlineStr">
        <is>
          <t>Ask</t>
        </is>
      </c>
      <c r="S49">
        <f>HYPERLINK("https://klasma.github.io/Logging_1907/artfynd/A 18948-2019 artfynd.xlsx", "A 18948-2019")</f>
        <v/>
      </c>
      <c r="T49">
        <f>HYPERLINK("https://klasma.github.io/Logging_1907/kartor/A 18948-2019 karta.png", "A 18948-2019")</f>
        <v/>
      </c>
      <c r="V49">
        <f>HYPERLINK("https://klasma.github.io/Logging_1907/klagomål/A 18948-2019 FSC-klagomål.docx", "A 18948-2019")</f>
        <v/>
      </c>
      <c r="W49">
        <f>HYPERLINK("https://klasma.github.io/Logging_1907/klagomålsmail/A 18948-2019 FSC-klagomål mail.docx", "A 18948-2019")</f>
        <v/>
      </c>
      <c r="X49">
        <f>HYPERLINK("https://klasma.github.io/Logging_1907/tillsyn/A 18948-2019 tillsynsbegäran.docx", "A 18948-2019")</f>
        <v/>
      </c>
      <c r="Y49">
        <f>HYPERLINK("https://klasma.github.io/Logging_1907/tillsynsmail/A 18948-2019 tillsynsbegäran mail.docx", "A 18948-2019")</f>
        <v/>
      </c>
    </row>
    <row r="50" ht="15" customHeight="1">
      <c r="A50" t="inlineStr">
        <is>
          <t>A 28276-2019</t>
        </is>
      </c>
      <c r="B50" s="1" t="n">
        <v>43623</v>
      </c>
      <c r="C50" s="1" t="n">
        <v>45351</v>
      </c>
      <c r="D50" t="inlineStr">
        <is>
          <t>VÄSTMANLANDS LÄN</t>
        </is>
      </c>
      <c r="E50" t="inlineStr">
        <is>
          <t>SURAHAMMAR</t>
        </is>
      </c>
      <c r="F50" t="inlineStr">
        <is>
          <t>Allmännings- och besparingsskogar</t>
        </is>
      </c>
      <c r="G50" t="n">
        <v>8.4</v>
      </c>
      <c r="H50" t="n">
        <v>0</v>
      </c>
      <c r="I50" t="n">
        <v>0</v>
      </c>
      <c r="J50" t="n">
        <v>1</v>
      </c>
      <c r="K50" t="n">
        <v>0</v>
      </c>
      <c r="L50" t="n">
        <v>0</v>
      </c>
      <c r="M50" t="n">
        <v>0</v>
      </c>
      <c r="N50" t="n">
        <v>0</v>
      </c>
      <c r="O50" t="n">
        <v>1</v>
      </c>
      <c r="P50" t="n">
        <v>0</v>
      </c>
      <c r="Q50" t="n">
        <v>1</v>
      </c>
      <c r="R50" s="2" t="inlineStr">
        <is>
          <t>Hapalopilus aurantiacus</t>
        </is>
      </c>
      <c r="S50">
        <f>HYPERLINK("https://klasma.github.io/Logging_1907/artfynd/A 28276-2019 artfynd.xlsx", "A 28276-2019")</f>
        <v/>
      </c>
      <c r="T50">
        <f>HYPERLINK("https://klasma.github.io/Logging_1907/kartor/A 28276-2019 karta.png", "A 28276-2019")</f>
        <v/>
      </c>
      <c r="V50">
        <f>HYPERLINK("https://klasma.github.io/Logging_1907/klagomål/A 28276-2019 FSC-klagomål.docx", "A 28276-2019")</f>
        <v/>
      </c>
      <c r="W50">
        <f>HYPERLINK("https://klasma.github.io/Logging_1907/klagomålsmail/A 28276-2019 FSC-klagomål mail.docx", "A 28276-2019")</f>
        <v/>
      </c>
      <c r="X50">
        <f>HYPERLINK("https://klasma.github.io/Logging_1907/tillsyn/A 28276-2019 tillsynsbegäran.docx", "A 28276-2019")</f>
        <v/>
      </c>
      <c r="Y50">
        <f>HYPERLINK("https://klasma.github.io/Logging_1907/tillsynsmail/A 28276-2019 tillsynsbegäran mail.docx", "A 28276-2019")</f>
        <v/>
      </c>
    </row>
    <row r="51" ht="15" customHeight="1">
      <c r="A51" t="inlineStr">
        <is>
          <t>A 33879-2019</t>
        </is>
      </c>
      <c r="B51" s="1" t="n">
        <v>43653</v>
      </c>
      <c r="C51" s="1" t="n">
        <v>45351</v>
      </c>
      <c r="D51" t="inlineStr">
        <is>
          <t>VÄSTMANLANDS LÄN</t>
        </is>
      </c>
      <c r="E51" t="inlineStr">
        <is>
          <t>SURAHAMMAR</t>
        </is>
      </c>
      <c r="F51" t="inlineStr">
        <is>
          <t>Kyrkan</t>
        </is>
      </c>
      <c r="G51" t="n">
        <v>1.8</v>
      </c>
      <c r="H51" t="n">
        <v>1</v>
      </c>
      <c r="I51" t="n">
        <v>0</v>
      </c>
      <c r="J51" t="n">
        <v>0</v>
      </c>
      <c r="K51" t="n">
        <v>1</v>
      </c>
      <c r="L51" t="n">
        <v>0</v>
      </c>
      <c r="M51" t="n">
        <v>0</v>
      </c>
      <c r="N51" t="n">
        <v>0</v>
      </c>
      <c r="O51" t="n">
        <v>1</v>
      </c>
      <c r="P51" t="n">
        <v>1</v>
      </c>
      <c r="Q51" t="n">
        <v>1</v>
      </c>
      <c r="R51" s="2" t="inlineStr">
        <is>
          <t>Bombmurkla</t>
        </is>
      </c>
      <c r="S51">
        <f>HYPERLINK("https://klasma.github.io/Logging_1907/artfynd/A 33879-2019 artfynd.xlsx", "A 33879-2019")</f>
        <v/>
      </c>
      <c r="T51">
        <f>HYPERLINK("https://klasma.github.io/Logging_1907/kartor/A 33879-2019 karta.png", "A 33879-2019")</f>
        <v/>
      </c>
      <c r="V51">
        <f>HYPERLINK("https://klasma.github.io/Logging_1907/klagomål/A 33879-2019 FSC-klagomål.docx", "A 33879-2019")</f>
        <v/>
      </c>
      <c r="W51">
        <f>HYPERLINK("https://klasma.github.io/Logging_1907/klagomålsmail/A 33879-2019 FSC-klagomål mail.docx", "A 33879-2019")</f>
        <v/>
      </c>
      <c r="X51">
        <f>HYPERLINK("https://klasma.github.io/Logging_1907/tillsyn/A 33879-2019 tillsynsbegäran.docx", "A 33879-2019")</f>
        <v/>
      </c>
      <c r="Y51">
        <f>HYPERLINK("https://klasma.github.io/Logging_1907/tillsynsmail/A 33879-2019 tillsynsbegäran mail.docx", "A 33879-2019")</f>
        <v/>
      </c>
    </row>
    <row r="52" ht="15" customHeight="1">
      <c r="A52" t="inlineStr">
        <is>
          <t>A 39755-2019</t>
        </is>
      </c>
      <c r="B52" s="1" t="n">
        <v>43692</v>
      </c>
      <c r="C52" s="1" t="n">
        <v>45351</v>
      </c>
      <c r="D52" t="inlineStr">
        <is>
          <t>VÄSTMANLANDS LÄN</t>
        </is>
      </c>
      <c r="E52" t="inlineStr">
        <is>
          <t>SURAHAMMAR</t>
        </is>
      </c>
      <c r="F52" t="inlineStr">
        <is>
          <t>Övriga Aktiebolag</t>
        </is>
      </c>
      <c r="G52" t="n">
        <v>11.8</v>
      </c>
      <c r="H52" t="n">
        <v>1</v>
      </c>
      <c r="I52" t="n">
        <v>0</v>
      </c>
      <c r="J52" t="n">
        <v>0</v>
      </c>
      <c r="K52" t="n">
        <v>0</v>
      </c>
      <c r="L52" t="n">
        <v>0</v>
      </c>
      <c r="M52" t="n">
        <v>0</v>
      </c>
      <c r="N52" t="n">
        <v>0</v>
      </c>
      <c r="O52" t="n">
        <v>0</v>
      </c>
      <c r="P52" t="n">
        <v>0</v>
      </c>
      <c r="Q52" t="n">
        <v>1</v>
      </c>
      <c r="R52" s="2" t="inlineStr">
        <is>
          <t>Kopparödla</t>
        </is>
      </c>
      <c r="S52">
        <f>HYPERLINK("https://klasma.github.io/Logging_1907/artfynd/A 39755-2019 artfynd.xlsx", "A 39755-2019")</f>
        <v/>
      </c>
      <c r="T52">
        <f>HYPERLINK("https://klasma.github.io/Logging_1907/kartor/A 39755-2019 karta.png", "A 39755-2019")</f>
        <v/>
      </c>
      <c r="V52">
        <f>HYPERLINK("https://klasma.github.io/Logging_1907/klagomål/A 39755-2019 FSC-klagomål.docx", "A 39755-2019")</f>
        <v/>
      </c>
      <c r="W52">
        <f>HYPERLINK("https://klasma.github.io/Logging_1907/klagomålsmail/A 39755-2019 FSC-klagomål mail.docx", "A 39755-2019")</f>
        <v/>
      </c>
      <c r="X52">
        <f>HYPERLINK("https://klasma.github.io/Logging_1907/tillsyn/A 39755-2019 tillsynsbegäran.docx", "A 39755-2019")</f>
        <v/>
      </c>
      <c r="Y52">
        <f>HYPERLINK("https://klasma.github.io/Logging_1907/tillsynsmail/A 39755-2019 tillsynsbegäran mail.docx", "A 39755-2019")</f>
        <v/>
      </c>
    </row>
    <row r="53" ht="15" customHeight="1">
      <c r="A53" t="inlineStr">
        <is>
          <t>A 2708-2020</t>
        </is>
      </c>
      <c r="B53" s="1" t="n">
        <v>43850</v>
      </c>
      <c r="C53" s="1" t="n">
        <v>45351</v>
      </c>
      <c r="D53" t="inlineStr">
        <is>
          <t>VÄSTMANLANDS LÄN</t>
        </is>
      </c>
      <c r="E53" t="inlineStr">
        <is>
          <t>SURAHAMMAR</t>
        </is>
      </c>
      <c r="F53" t="inlineStr">
        <is>
          <t>Övriga Aktiebolag</t>
        </is>
      </c>
      <c r="G53" t="n">
        <v>29.7</v>
      </c>
      <c r="H53" t="n">
        <v>0</v>
      </c>
      <c r="I53" t="n">
        <v>0</v>
      </c>
      <c r="J53" t="n">
        <v>1</v>
      </c>
      <c r="K53" t="n">
        <v>0</v>
      </c>
      <c r="L53" t="n">
        <v>0</v>
      </c>
      <c r="M53" t="n">
        <v>0</v>
      </c>
      <c r="N53" t="n">
        <v>0</v>
      </c>
      <c r="O53" t="n">
        <v>1</v>
      </c>
      <c r="P53" t="n">
        <v>0</v>
      </c>
      <c r="Q53" t="n">
        <v>1</v>
      </c>
      <c r="R53" s="2" t="inlineStr">
        <is>
          <t>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6514-2020</t>
        </is>
      </c>
      <c r="B54" s="1" t="n">
        <v>43867</v>
      </c>
      <c r="C54" s="1" t="n">
        <v>45351</v>
      </c>
      <c r="D54" t="inlineStr">
        <is>
          <t>VÄSTMANLANDS LÄN</t>
        </is>
      </c>
      <c r="E54" t="inlineStr">
        <is>
          <t>SURAHAMMAR</t>
        </is>
      </c>
      <c r="G54" t="n">
        <v>2.2</v>
      </c>
      <c r="H54" t="n">
        <v>1</v>
      </c>
      <c r="I54" t="n">
        <v>0</v>
      </c>
      <c r="J54" t="n">
        <v>0</v>
      </c>
      <c r="K54" t="n">
        <v>1</v>
      </c>
      <c r="L54" t="n">
        <v>0</v>
      </c>
      <c r="M54" t="n">
        <v>0</v>
      </c>
      <c r="N54" t="n">
        <v>0</v>
      </c>
      <c r="O54" t="n">
        <v>1</v>
      </c>
      <c r="P54" t="n">
        <v>1</v>
      </c>
      <c r="Q54" t="n">
        <v>1</v>
      </c>
      <c r="R54" s="2" t="inlineStr">
        <is>
          <t>Bombmurkla</t>
        </is>
      </c>
      <c r="S54">
        <f>HYPERLINK("https://klasma.github.io/Logging_1907/artfynd/A 6514-2020 artfynd.xlsx", "A 6514-2020")</f>
        <v/>
      </c>
      <c r="T54">
        <f>HYPERLINK("https://klasma.github.io/Logging_1907/kartor/A 6514-2020 karta.png", "A 6514-2020")</f>
        <v/>
      </c>
      <c r="V54">
        <f>HYPERLINK("https://klasma.github.io/Logging_1907/klagomål/A 6514-2020 FSC-klagomål.docx", "A 6514-2020")</f>
        <v/>
      </c>
      <c r="W54">
        <f>HYPERLINK("https://klasma.github.io/Logging_1907/klagomålsmail/A 6514-2020 FSC-klagomål mail.docx", "A 6514-2020")</f>
        <v/>
      </c>
      <c r="X54">
        <f>HYPERLINK("https://klasma.github.io/Logging_1907/tillsyn/A 6514-2020 tillsynsbegäran.docx", "A 6514-2020")</f>
        <v/>
      </c>
      <c r="Y54">
        <f>HYPERLINK("https://klasma.github.io/Logging_1907/tillsynsmail/A 6514-2020 tillsynsbegäran mail.docx", "A 6514-2020")</f>
        <v/>
      </c>
    </row>
    <row r="55" ht="15" customHeight="1">
      <c r="A55" t="inlineStr">
        <is>
          <t>A 57412-2020</t>
        </is>
      </c>
      <c r="B55" s="1" t="n">
        <v>44138</v>
      </c>
      <c r="C55" s="1" t="n">
        <v>45351</v>
      </c>
      <c r="D55" t="inlineStr">
        <is>
          <t>VÄSTMANLANDS LÄN</t>
        </is>
      </c>
      <c r="E55" t="inlineStr">
        <is>
          <t>SURAHAMMAR</t>
        </is>
      </c>
      <c r="G55" t="n">
        <v>2.9</v>
      </c>
      <c r="H55" t="n">
        <v>1</v>
      </c>
      <c r="I55" t="n">
        <v>0</v>
      </c>
      <c r="J55" t="n">
        <v>1</v>
      </c>
      <c r="K55" t="n">
        <v>0</v>
      </c>
      <c r="L55" t="n">
        <v>0</v>
      </c>
      <c r="M55" t="n">
        <v>0</v>
      </c>
      <c r="N55" t="n">
        <v>0</v>
      </c>
      <c r="O55" t="n">
        <v>1</v>
      </c>
      <c r="P55" t="n">
        <v>0</v>
      </c>
      <c r="Q55" t="n">
        <v>1</v>
      </c>
      <c r="R55" s="2" t="inlineStr">
        <is>
          <t>Gulsparv</t>
        </is>
      </c>
      <c r="S55">
        <f>HYPERLINK("https://klasma.github.io/Logging_1907/artfynd/A 57412-2020 artfynd.xlsx", "A 57412-2020")</f>
        <v/>
      </c>
      <c r="T55">
        <f>HYPERLINK("https://klasma.github.io/Logging_1907/kartor/A 57412-2020 karta.png", "A 57412-2020")</f>
        <v/>
      </c>
      <c r="V55">
        <f>HYPERLINK("https://klasma.github.io/Logging_1907/klagomål/A 57412-2020 FSC-klagomål.docx", "A 57412-2020")</f>
        <v/>
      </c>
      <c r="W55">
        <f>HYPERLINK("https://klasma.github.io/Logging_1907/klagomålsmail/A 57412-2020 FSC-klagomål mail.docx", "A 57412-2020")</f>
        <v/>
      </c>
      <c r="X55">
        <f>HYPERLINK("https://klasma.github.io/Logging_1907/tillsyn/A 57412-2020 tillsynsbegäran.docx", "A 57412-2020")</f>
        <v/>
      </c>
      <c r="Y55">
        <f>HYPERLINK("https://klasma.github.io/Logging_1907/tillsynsmail/A 57412-2020 tillsynsbegäran mail.docx", "A 57412-2020")</f>
        <v/>
      </c>
    </row>
    <row r="56" ht="15" customHeight="1">
      <c r="A56" t="inlineStr">
        <is>
          <t>A 59550-2020</t>
        </is>
      </c>
      <c r="B56" s="1" t="n">
        <v>44148</v>
      </c>
      <c r="C56" s="1" t="n">
        <v>45351</v>
      </c>
      <c r="D56" t="inlineStr">
        <is>
          <t>VÄSTMANLANDS LÄN</t>
        </is>
      </c>
      <c r="E56" t="inlineStr">
        <is>
          <t>SURAHAMMAR</t>
        </is>
      </c>
      <c r="G56" t="n">
        <v>0.8</v>
      </c>
      <c r="H56" t="n">
        <v>0</v>
      </c>
      <c r="I56" t="n">
        <v>0</v>
      </c>
      <c r="J56" t="n">
        <v>1</v>
      </c>
      <c r="K56" t="n">
        <v>0</v>
      </c>
      <c r="L56" t="n">
        <v>0</v>
      </c>
      <c r="M56" t="n">
        <v>0</v>
      </c>
      <c r="N56" t="n">
        <v>0</v>
      </c>
      <c r="O56" t="n">
        <v>1</v>
      </c>
      <c r="P56" t="n">
        <v>0</v>
      </c>
      <c r="Q56" t="n">
        <v>1</v>
      </c>
      <c r="R56" s="2" t="inlineStr">
        <is>
          <t>Ljusskivig lerskivling</t>
        </is>
      </c>
      <c r="S56">
        <f>HYPERLINK("https://klasma.github.io/Logging_1907/artfynd/A 59550-2020 artfynd.xlsx", "A 59550-2020")</f>
        <v/>
      </c>
      <c r="T56">
        <f>HYPERLINK("https://klasma.github.io/Logging_1907/kartor/A 59550-2020 karta.png", "A 59550-2020")</f>
        <v/>
      </c>
      <c r="V56">
        <f>HYPERLINK("https://klasma.github.io/Logging_1907/klagomål/A 59550-2020 FSC-klagomål.docx", "A 59550-2020")</f>
        <v/>
      </c>
      <c r="W56">
        <f>HYPERLINK("https://klasma.github.io/Logging_1907/klagomålsmail/A 59550-2020 FSC-klagomål mail.docx", "A 59550-2020")</f>
        <v/>
      </c>
      <c r="X56">
        <f>HYPERLINK("https://klasma.github.io/Logging_1907/tillsyn/A 59550-2020 tillsynsbegäran.docx", "A 59550-2020")</f>
        <v/>
      </c>
      <c r="Y56">
        <f>HYPERLINK("https://klasma.github.io/Logging_1907/tillsynsmail/A 59550-2020 tillsynsbegäran mail.docx", "A 59550-2020")</f>
        <v/>
      </c>
    </row>
    <row r="57" ht="15" customHeight="1">
      <c r="A57" t="inlineStr">
        <is>
          <t>A 20479-2021</t>
        </is>
      </c>
      <c r="B57" s="1" t="n">
        <v>44315</v>
      </c>
      <c r="C57" s="1" t="n">
        <v>45351</v>
      </c>
      <c r="D57" t="inlineStr">
        <is>
          <t>VÄSTMANLANDS LÄN</t>
        </is>
      </c>
      <c r="E57" t="inlineStr">
        <is>
          <t>SURAHAMMAR</t>
        </is>
      </c>
      <c r="F57" t="inlineStr">
        <is>
          <t>Sveaskog</t>
        </is>
      </c>
      <c r="G57" t="n">
        <v>3.8</v>
      </c>
      <c r="H57" t="n">
        <v>0</v>
      </c>
      <c r="I57" t="n">
        <v>1</v>
      </c>
      <c r="J57" t="n">
        <v>0</v>
      </c>
      <c r="K57" t="n">
        <v>0</v>
      </c>
      <c r="L57" t="n">
        <v>0</v>
      </c>
      <c r="M57" t="n">
        <v>0</v>
      </c>
      <c r="N57" t="n">
        <v>0</v>
      </c>
      <c r="O57" t="n">
        <v>0</v>
      </c>
      <c r="P57" t="n">
        <v>0</v>
      </c>
      <c r="Q57" t="n">
        <v>1</v>
      </c>
      <c r="R57" s="2" t="inlineStr">
        <is>
          <t>Grönpyrola</t>
        </is>
      </c>
      <c r="S57">
        <f>HYPERLINK("https://klasma.github.io/Logging_1907/artfynd/A 20479-2021 artfynd.xlsx", "A 20479-2021")</f>
        <v/>
      </c>
      <c r="T57">
        <f>HYPERLINK("https://klasma.github.io/Logging_1907/kartor/A 20479-2021 karta.png", "A 20479-2021")</f>
        <v/>
      </c>
      <c r="V57">
        <f>HYPERLINK("https://klasma.github.io/Logging_1907/klagomål/A 20479-2021 FSC-klagomål.docx", "A 20479-2021")</f>
        <v/>
      </c>
      <c r="W57">
        <f>HYPERLINK("https://klasma.github.io/Logging_1907/klagomålsmail/A 20479-2021 FSC-klagomål mail.docx", "A 20479-2021")</f>
        <v/>
      </c>
      <c r="X57">
        <f>HYPERLINK("https://klasma.github.io/Logging_1907/tillsyn/A 20479-2021 tillsynsbegäran.docx", "A 20479-2021")</f>
        <v/>
      </c>
      <c r="Y57">
        <f>HYPERLINK("https://klasma.github.io/Logging_1907/tillsynsmail/A 20479-2021 tillsynsbegäran mail.docx", "A 20479-2021")</f>
        <v/>
      </c>
    </row>
    <row r="58" ht="15" customHeight="1">
      <c r="A58" t="inlineStr">
        <is>
          <t>A 38170-2021</t>
        </is>
      </c>
      <c r="B58" s="1" t="n">
        <v>44405</v>
      </c>
      <c r="C58" s="1" t="n">
        <v>45351</v>
      </c>
      <c r="D58" t="inlineStr">
        <is>
          <t>VÄSTMANLANDS LÄN</t>
        </is>
      </c>
      <c r="E58" t="inlineStr">
        <is>
          <t>SURAHAMMAR</t>
        </is>
      </c>
      <c r="F58" t="inlineStr">
        <is>
          <t>Sveaskog</t>
        </is>
      </c>
      <c r="G58" t="n">
        <v>1.2</v>
      </c>
      <c r="H58" t="n">
        <v>1</v>
      </c>
      <c r="I58" t="n">
        <v>0</v>
      </c>
      <c r="J58" t="n">
        <v>0</v>
      </c>
      <c r="K58" t="n">
        <v>0</v>
      </c>
      <c r="L58" t="n">
        <v>0</v>
      </c>
      <c r="M58" t="n">
        <v>0</v>
      </c>
      <c r="N58" t="n">
        <v>0</v>
      </c>
      <c r="O58" t="n">
        <v>0</v>
      </c>
      <c r="P58" t="n">
        <v>0</v>
      </c>
      <c r="Q58" t="n">
        <v>1</v>
      </c>
      <c r="R58" s="2" t="inlineStr">
        <is>
          <t>Revlummer</t>
        </is>
      </c>
      <c r="S58">
        <f>HYPERLINK("https://klasma.github.io/Logging_1907/artfynd/A 38170-2021 artfynd.xlsx", "A 38170-2021")</f>
        <v/>
      </c>
      <c r="T58">
        <f>HYPERLINK("https://klasma.github.io/Logging_1907/kartor/A 38170-2021 karta.png", "A 38170-2021")</f>
        <v/>
      </c>
      <c r="V58">
        <f>HYPERLINK("https://klasma.github.io/Logging_1907/klagomål/A 38170-2021 FSC-klagomål.docx", "A 38170-2021")</f>
        <v/>
      </c>
      <c r="W58">
        <f>HYPERLINK("https://klasma.github.io/Logging_1907/klagomålsmail/A 38170-2021 FSC-klagomål mail.docx", "A 38170-2021")</f>
        <v/>
      </c>
      <c r="X58">
        <f>HYPERLINK("https://klasma.github.io/Logging_1907/tillsyn/A 38170-2021 tillsynsbegäran.docx", "A 38170-2021")</f>
        <v/>
      </c>
      <c r="Y58">
        <f>HYPERLINK("https://klasma.github.io/Logging_1907/tillsynsmail/A 38170-2021 tillsynsbegäran mail.docx", "A 38170-2021")</f>
        <v/>
      </c>
    </row>
    <row r="59" ht="15" customHeight="1">
      <c r="A59" t="inlineStr">
        <is>
          <t>A 38175-2021</t>
        </is>
      </c>
      <c r="B59" s="1" t="n">
        <v>44405</v>
      </c>
      <c r="C59" s="1" t="n">
        <v>45351</v>
      </c>
      <c r="D59" t="inlineStr">
        <is>
          <t>VÄSTMANLANDS LÄN</t>
        </is>
      </c>
      <c r="E59" t="inlineStr">
        <is>
          <t>SURAHAMMAR</t>
        </is>
      </c>
      <c r="F59" t="inlineStr">
        <is>
          <t>Sveaskog</t>
        </is>
      </c>
      <c r="G59" t="n">
        <v>3.1</v>
      </c>
      <c r="H59" t="n">
        <v>0</v>
      </c>
      <c r="I59" t="n">
        <v>0</v>
      </c>
      <c r="J59" t="n">
        <v>1</v>
      </c>
      <c r="K59" t="n">
        <v>0</v>
      </c>
      <c r="L59" t="n">
        <v>0</v>
      </c>
      <c r="M59" t="n">
        <v>0</v>
      </c>
      <c r="N59" t="n">
        <v>0</v>
      </c>
      <c r="O59" t="n">
        <v>1</v>
      </c>
      <c r="P59" t="n">
        <v>0</v>
      </c>
      <c r="Q59" t="n">
        <v>1</v>
      </c>
      <c r="R59" s="2" t="inlineStr">
        <is>
          <t>Ullticka</t>
        </is>
      </c>
      <c r="S59">
        <f>HYPERLINK("https://klasma.github.io/Logging_1907/artfynd/A 38175-2021 artfynd.xlsx", "A 38175-2021")</f>
        <v/>
      </c>
      <c r="T59">
        <f>HYPERLINK("https://klasma.github.io/Logging_1907/kartor/A 38175-2021 karta.png", "A 38175-2021")</f>
        <v/>
      </c>
      <c r="V59">
        <f>HYPERLINK("https://klasma.github.io/Logging_1907/klagomål/A 38175-2021 FSC-klagomål.docx", "A 38175-2021")</f>
        <v/>
      </c>
      <c r="W59">
        <f>HYPERLINK("https://klasma.github.io/Logging_1907/klagomålsmail/A 38175-2021 FSC-klagomål mail.docx", "A 38175-2021")</f>
        <v/>
      </c>
      <c r="X59">
        <f>HYPERLINK("https://klasma.github.io/Logging_1907/tillsyn/A 38175-2021 tillsynsbegäran.docx", "A 38175-2021")</f>
        <v/>
      </c>
      <c r="Y59">
        <f>HYPERLINK("https://klasma.github.io/Logging_1907/tillsynsmail/A 38175-2021 tillsynsbegäran mail.docx", "A 38175-2021")</f>
        <v/>
      </c>
    </row>
    <row r="60" ht="15" customHeight="1">
      <c r="A60" t="inlineStr">
        <is>
          <t>A 40411-2021</t>
        </is>
      </c>
      <c r="B60" s="1" t="n">
        <v>44419</v>
      </c>
      <c r="C60" s="1" t="n">
        <v>45351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57168-2021</t>
        </is>
      </c>
      <c r="B61" s="1" t="n">
        <v>44482</v>
      </c>
      <c r="C61" s="1" t="n">
        <v>45351</v>
      </c>
      <c r="D61" t="inlineStr">
        <is>
          <t>VÄSTMANLANDS LÄN</t>
        </is>
      </c>
      <c r="E61" t="inlineStr">
        <is>
          <t>SURAHAMMAR</t>
        </is>
      </c>
      <c r="G61" t="n">
        <v>1.7</v>
      </c>
      <c r="H61" t="n">
        <v>0</v>
      </c>
      <c r="I61" t="n">
        <v>0</v>
      </c>
      <c r="J61" t="n">
        <v>1</v>
      </c>
      <c r="K61" t="n">
        <v>0</v>
      </c>
      <c r="L61" t="n">
        <v>0</v>
      </c>
      <c r="M61" t="n">
        <v>0</v>
      </c>
      <c r="N61" t="n">
        <v>0</v>
      </c>
      <c r="O61" t="n">
        <v>1</v>
      </c>
      <c r="P61" t="n">
        <v>0</v>
      </c>
      <c r="Q61" t="n">
        <v>1</v>
      </c>
      <c r="R61" s="2" t="inlineStr">
        <is>
          <t>Svartöra</t>
        </is>
      </c>
      <c r="S61">
        <f>HYPERLINK("https://klasma.github.io/Logging_1907/artfynd/A 57168-2021 artfynd.xlsx", "A 57168-2021")</f>
        <v/>
      </c>
      <c r="T61">
        <f>HYPERLINK("https://klasma.github.io/Logging_1907/kartor/A 57168-2021 karta.png", "A 57168-2021")</f>
        <v/>
      </c>
      <c r="V61">
        <f>HYPERLINK("https://klasma.github.io/Logging_1907/klagomål/A 57168-2021 FSC-klagomål.docx", "A 57168-2021")</f>
        <v/>
      </c>
      <c r="W61">
        <f>HYPERLINK("https://klasma.github.io/Logging_1907/klagomålsmail/A 57168-2021 FSC-klagomål mail.docx", "A 57168-2021")</f>
        <v/>
      </c>
      <c r="X61">
        <f>HYPERLINK("https://klasma.github.io/Logging_1907/tillsyn/A 57168-2021 tillsynsbegäran.docx", "A 57168-2021")</f>
        <v/>
      </c>
      <c r="Y61">
        <f>HYPERLINK("https://klasma.github.io/Logging_1907/tillsynsmail/A 57168-2021 tillsynsbegäran mail.docx", "A 57168-2021")</f>
        <v/>
      </c>
    </row>
    <row r="62" ht="15" customHeight="1">
      <c r="A62" t="inlineStr">
        <is>
          <t>A 69777-2021</t>
        </is>
      </c>
      <c r="B62" s="1" t="n">
        <v>44532</v>
      </c>
      <c r="C62" s="1" t="n">
        <v>45351</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7655-2022</t>
        </is>
      </c>
      <c r="B63" s="1" t="n">
        <v>44607</v>
      </c>
      <c r="C63" s="1" t="n">
        <v>45351</v>
      </c>
      <c r="D63" t="inlineStr">
        <is>
          <t>VÄSTMANLANDS LÄN</t>
        </is>
      </c>
      <c r="E63" t="inlineStr">
        <is>
          <t>SURAHAMMAR</t>
        </is>
      </c>
      <c r="G63" t="n">
        <v>1.1</v>
      </c>
      <c r="H63" t="n">
        <v>1</v>
      </c>
      <c r="I63" t="n">
        <v>0</v>
      </c>
      <c r="J63" t="n">
        <v>0</v>
      </c>
      <c r="K63" t="n">
        <v>1</v>
      </c>
      <c r="L63" t="n">
        <v>0</v>
      </c>
      <c r="M63" t="n">
        <v>0</v>
      </c>
      <c r="N63" t="n">
        <v>0</v>
      </c>
      <c r="O63" t="n">
        <v>1</v>
      </c>
      <c r="P63" t="n">
        <v>1</v>
      </c>
      <c r="Q63" t="n">
        <v>1</v>
      </c>
      <c r="R63" s="2" t="inlineStr">
        <is>
          <t>Bombmurkla</t>
        </is>
      </c>
      <c r="S63">
        <f>HYPERLINK("https://klasma.github.io/Logging_1907/artfynd/A 7655-2022 artfynd.xlsx", "A 7655-2022")</f>
        <v/>
      </c>
      <c r="T63">
        <f>HYPERLINK("https://klasma.github.io/Logging_1907/kartor/A 7655-2022 karta.png", "A 7655-2022")</f>
        <v/>
      </c>
      <c r="V63">
        <f>HYPERLINK("https://klasma.github.io/Logging_1907/klagomål/A 7655-2022 FSC-klagomål.docx", "A 7655-2022")</f>
        <v/>
      </c>
      <c r="W63">
        <f>HYPERLINK("https://klasma.github.io/Logging_1907/klagomålsmail/A 7655-2022 FSC-klagomål mail.docx", "A 7655-2022")</f>
        <v/>
      </c>
      <c r="X63">
        <f>HYPERLINK("https://klasma.github.io/Logging_1907/tillsyn/A 7655-2022 tillsynsbegäran.docx", "A 7655-2022")</f>
        <v/>
      </c>
      <c r="Y63">
        <f>HYPERLINK("https://klasma.github.io/Logging_1907/tillsynsmail/A 7655-2022 tillsynsbegäran mail.docx", "A 7655-2022")</f>
        <v/>
      </c>
    </row>
    <row r="64" ht="15" customHeight="1">
      <c r="A64" t="inlineStr">
        <is>
          <t>A 17632-2022</t>
        </is>
      </c>
      <c r="B64" s="1" t="n">
        <v>44680</v>
      </c>
      <c r="C64" s="1" t="n">
        <v>45351</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39099-2022</t>
        </is>
      </c>
      <c r="B65" s="1" t="n">
        <v>44817</v>
      </c>
      <c r="C65" s="1" t="n">
        <v>45351</v>
      </c>
      <c r="D65" t="inlineStr">
        <is>
          <t>VÄSTMANLANDS LÄN</t>
        </is>
      </c>
      <c r="E65" t="inlineStr">
        <is>
          <t>SURAHAMMAR</t>
        </is>
      </c>
      <c r="F65" t="inlineStr">
        <is>
          <t>Bergvik skog väst AB</t>
        </is>
      </c>
      <c r="G65" t="n">
        <v>7.4</v>
      </c>
      <c r="H65" t="n">
        <v>0</v>
      </c>
      <c r="I65" t="n">
        <v>1</v>
      </c>
      <c r="J65" t="n">
        <v>0</v>
      </c>
      <c r="K65" t="n">
        <v>0</v>
      </c>
      <c r="L65" t="n">
        <v>0</v>
      </c>
      <c r="M65" t="n">
        <v>0</v>
      </c>
      <c r="N65" t="n">
        <v>0</v>
      </c>
      <c r="O65" t="n">
        <v>0</v>
      </c>
      <c r="P65" t="n">
        <v>0</v>
      </c>
      <c r="Q65" t="n">
        <v>1</v>
      </c>
      <c r="R65" s="2" t="inlineStr">
        <is>
          <t>Stekelbock</t>
        </is>
      </c>
      <c r="S65">
        <f>HYPERLINK("https://klasma.github.io/Logging_1907/artfynd/A 39099-2022 artfynd.xlsx", "A 39099-2022")</f>
        <v/>
      </c>
      <c r="T65">
        <f>HYPERLINK("https://klasma.github.io/Logging_1907/kartor/A 39099-2022 karta.png", "A 39099-2022")</f>
        <v/>
      </c>
      <c r="V65">
        <f>HYPERLINK("https://klasma.github.io/Logging_1907/klagomål/A 39099-2022 FSC-klagomål.docx", "A 39099-2022")</f>
        <v/>
      </c>
      <c r="W65">
        <f>HYPERLINK("https://klasma.github.io/Logging_1907/klagomålsmail/A 39099-2022 FSC-klagomål mail.docx", "A 39099-2022")</f>
        <v/>
      </c>
      <c r="X65">
        <f>HYPERLINK("https://klasma.github.io/Logging_1907/tillsyn/A 39099-2022 tillsynsbegäran.docx", "A 39099-2022")</f>
        <v/>
      </c>
      <c r="Y65">
        <f>HYPERLINK("https://klasma.github.io/Logging_1907/tillsynsmail/A 39099-2022 tillsynsbegäran mail.docx", "A 39099-2022")</f>
        <v/>
      </c>
    </row>
    <row r="66" ht="15" customHeight="1">
      <c r="A66" t="inlineStr">
        <is>
          <t>A 42765-2022</t>
        </is>
      </c>
      <c r="B66" s="1" t="n">
        <v>44832</v>
      </c>
      <c r="C66" s="1" t="n">
        <v>45351</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47207-2022</t>
        </is>
      </c>
      <c r="B67" s="1" t="n">
        <v>44852</v>
      </c>
      <c r="C67" s="1" t="n">
        <v>45351</v>
      </c>
      <c r="D67" t="inlineStr">
        <is>
          <t>VÄSTMANLANDS LÄN</t>
        </is>
      </c>
      <c r="E67" t="inlineStr">
        <is>
          <t>SURAHAMMAR</t>
        </is>
      </c>
      <c r="G67" t="n">
        <v>3.2</v>
      </c>
      <c r="H67" t="n">
        <v>0</v>
      </c>
      <c r="I67" t="n">
        <v>0</v>
      </c>
      <c r="J67" t="n">
        <v>1</v>
      </c>
      <c r="K67" t="n">
        <v>0</v>
      </c>
      <c r="L67" t="n">
        <v>0</v>
      </c>
      <c r="M67" t="n">
        <v>0</v>
      </c>
      <c r="N67" t="n">
        <v>0</v>
      </c>
      <c r="O67" t="n">
        <v>1</v>
      </c>
      <c r="P67" t="n">
        <v>0</v>
      </c>
      <c r="Q67" t="n">
        <v>1</v>
      </c>
      <c r="R67" s="2" t="inlineStr">
        <is>
          <t>Veckticka</t>
        </is>
      </c>
      <c r="S67">
        <f>HYPERLINK("https://klasma.github.io/Logging_1907/artfynd/A 47207-2022 artfynd.xlsx", "A 47207-2022")</f>
        <v/>
      </c>
      <c r="T67">
        <f>HYPERLINK("https://klasma.github.io/Logging_1907/kartor/A 47207-2022 karta.png", "A 47207-2022")</f>
        <v/>
      </c>
      <c r="V67">
        <f>HYPERLINK("https://klasma.github.io/Logging_1907/klagomål/A 47207-2022 FSC-klagomål.docx", "A 47207-2022")</f>
        <v/>
      </c>
      <c r="W67">
        <f>HYPERLINK("https://klasma.github.io/Logging_1907/klagomålsmail/A 47207-2022 FSC-klagomål mail.docx", "A 47207-2022")</f>
        <v/>
      </c>
      <c r="X67">
        <f>HYPERLINK("https://klasma.github.io/Logging_1907/tillsyn/A 47207-2022 tillsynsbegäran.docx", "A 47207-2022")</f>
        <v/>
      </c>
      <c r="Y67">
        <f>HYPERLINK("https://klasma.github.io/Logging_1907/tillsynsmail/A 47207-2022 tillsynsbegäran mail.docx", "A 47207-2022")</f>
        <v/>
      </c>
    </row>
    <row r="68" ht="15" customHeight="1">
      <c r="A68" t="inlineStr">
        <is>
          <t>A 13971-2023</t>
        </is>
      </c>
      <c r="B68" s="1" t="n">
        <v>45007</v>
      </c>
      <c r="C68" s="1" t="n">
        <v>45351</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14001-2023</t>
        </is>
      </c>
      <c r="B69" s="1" t="n">
        <v>45007</v>
      </c>
      <c r="C69" s="1" t="n">
        <v>45351</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16219-2023</t>
        </is>
      </c>
      <c r="B70" s="1" t="n">
        <v>45022</v>
      </c>
      <c r="C70" s="1" t="n">
        <v>45351</v>
      </c>
      <c r="D70" t="inlineStr">
        <is>
          <t>VÄSTMANLANDS LÄN</t>
        </is>
      </c>
      <c r="E70" t="inlineStr">
        <is>
          <t>SURAHAMMAR</t>
        </is>
      </c>
      <c r="G70" t="n">
        <v>5.9</v>
      </c>
      <c r="H70" t="n">
        <v>1</v>
      </c>
      <c r="I70" t="n">
        <v>0</v>
      </c>
      <c r="J70" t="n">
        <v>1</v>
      </c>
      <c r="K70" t="n">
        <v>0</v>
      </c>
      <c r="L70" t="n">
        <v>0</v>
      </c>
      <c r="M70" t="n">
        <v>0</v>
      </c>
      <c r="N70" t="n">
        <v>0</v>
      </c>
      <c r="O70" t="n">
        <v>1</v>
      </c>
      <c r="P70" t="n">
        <v>0</v>
      </c>
      <c r="Q70" t="n">
        <v>1</v>
      </c>
      <c r="R70" s="2" t="inlineStr">
        <is>
          <t>Talltita</t>
        </is>
      </c>
      <c r="S70">
        <f>HYPERLINK("https://klasma.github.io/Logging_1907/artfynd/A 16219-2023 artfynd.xlsx", "A 16219-2023")</f>
        <v/>
      </c>
      <c r="T70">
        <f>HYPERLINK("https://klasma.github.io/Logging_1907/kartor/A 16219-2023 karta.png", "A 16219-2023")</f>
        <v/>
      </c>
      <c r="V70">
        <f>HYPERLINK("https://klasma.github.io/Logging_1907/klagomål/A 16219-2023 FSC-klagomål.docx", "A 16219-2023")</f>
        <v/>
      </c>
      <c r="W70">
        <f>HYPERLINK("https://klasma.github.io/Logging_1907/klagomålsmail/A 16219-2023 FSC-klagomål mail.docx", "A 16219-2023")</f>
        <v/>
      </c>
      <c r="X70">
        <f>HYPERLINK("https://klasma.github.io/Logging_1907/tillsyn/A 16219-2023 tillsynsbegäran.docx", "A 16219-2023")</f>
        <v/>
      </c>
      <c r="Y70">
        <f>HYPERLINK("https://klasma.github.io/Logging_1907/tillsynsmail/A 16219-2023 tillsynsbegäran mail.docx", "A 16219-2023")</f>
        <v/>
      </c>
      <c r="Z70">
        <f>HYPERLINK("https://klasma.github.io/Logging_1907/fåglar/A 16219-2023 prioriterade fågelarter.docx", "A 16219-2023")</f>
        <v/>
      </c>
    </row>
    <row r="71" ht="15" customHeight="1">
      <c r="A71" t="inlineStr">
        <is>
          <t>A 22840-2023</t>
        </is>
      </c>
      <c r="B71" s="1" t="n">
        <v>45072</v>
      </c>
      <c r="C71" s="1" t="n">
        <v>45351</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24920-2023</t>
        </is>
      </c>
      <c r="B72" s="1" t="n">
        <v>45085</v>
      </c>
      <c r="C72" s="1" t="n">
        <v>45351</v>
      </c>
      <c r="D72" t="inlineStr">
        <is>
          <t>VÄSTMANLANDS LÄN</t>
        </is>
      </c>
      <c r="E72" t="inlineStr">
        <is>
          <t>SURAHAMMAR</t>
        </is>
      </c>
      <c r="F72" t="inlineStr">
        <is>
          <t>Allmännings- och besparingsskogar</t>
        </is>
      </c>
      <c r="G72" t="n">
        <v>16.2</v>
      </c>
      <c r="H72" t="n">
        <v>1</v>
      </c>
      <c r="I72" t="n">
        <v>0</v>
      </c>
      <c r="J72" t="n">
        <v>1</v>
      </c>
      <c r="K72" t="n">
        <v>0</v>
      </c>
      <c r="L72" t="n">
        <v>0</v>
      </c>
      <c r="M72" t="n">
        <v>0</v>
      </c>
      <c r="N72" t="n">
        <v>0</v>
      </c>
      <c r="O72" t="n">
        <v>1</v>
      </c>
      <c r="P72" t="n">
        <v>0</v>
      </c>
      <c r="Q72" t="n">
        <v>1</v>
      </c>
      <c r="R72" s="2" t="inlineStr">
        <is>
          <t>Talltita</t>
        </is>
      </c>
      <c r="S72">
        <f>HYPERLINK("https://klasma.github.io/Logging_1907/artfynd/A 24920-2023 artfynd.xlsx", "A 24920-2023")</f>
        <v/>
      </c>
      <c r="T72">
        <f>HYPERLINK("https://klasma.github.io/Logging_1907/kartor/A 24920-2023 karta.png", "A 24920-2023")</f>
        <v/>
      </c>
      <c r="V72">
        <f>HYPERLINK("https://klasma.github.io/Logging_1907/klagomål/A 24920-2023 FSC-klagomål.docx", "A 24920-2023")</f>
        <v/>
      </c>
      <c r="W72">
        <f>HYPERLINK("https://klasma.github.io/Logging_1907/klagomålsmail/A 24920-2023 FSC-klagomål mail.docx", "A 24920-2023")</f>
        <v/>
      </c>
      <c r="X72">
        <f>HYPERLINK("https://klasma.github.io/Logging_1907/tillsyn/A 24920-2023 tillsynsbegäran.docx", "A 24920-2023")</f>
        <v/>
      </c>
      <c r="Y72">
        <f>HYPERLINK("https://klasma.github.io/Logging_1907/tillsynsmail/A 24920-2023 tillsynsbegäran mail.docx", "A 24920-2023")</f>
        <v/>
      </c>
      <c r="Z72">
        <f>HYPERLINK("https://klasma.github.io/Logging_1907/fåglar/A 24920-2023 prioriterade fågelarter.docx", "A 24920-2023")</f>
        <v/>
      </c>
    </row>
    <row r="73" ht="15" customHeight="1">
      <c r="A73" t="inlineStr">
        <is>
          <t>A 27170-2023</t>
        </is>
      </c>
      <c r="B73" s="1" t="n">
        <v>45096</v>
      </c>
      <c r="C73" s="1" t="n">
        <v>45351</v>
      </c>
      <c r="D73" t="inlineStr">
        <is>
          <t>VÄSTMANLANDS LÄN</t>
        </is>
      </c>
      <c r="E73" t="inlineStr">
        <is>
          <t>SURAHAMMAR</t>
        </is>
      </c>
      <c r="F73" t="inlineStr">
        <is>
          <t>Sveaskog</t>
        </is>
      </c>
      <c r="G73" t="n">
        <v>11.3</v>
      </c>
      <c r="H73" t="n">
        <v>0</v>
      </c>
      <c r="I73" t="n">
        <v>1</v>
      </c>
      <c r="J73" t="n">
        <v>0</v>
      </c>
      <c r="K73" t="n">
        <v>0</v>
      </c>
      <c r="L73" t="n">
        <v>0</v>
      </c>
      <c r="M73" t="n">
        <v>0</v>
      </c>
      <c r="N73" t="n">
        <v>0</v>
      </c>
      <c r="O73" t="n">
        <v>0</v>
      </c>
      <c r="P73" t="n">
        <v>0</v>
      </c>
      <c r="Q73" t="n">
        <v>1</v>
      </c>
      <c r="R73" s="2" t="inlineStr">
        <is>
          <t>Vedticka</t>
        </is>
      </c>
      <c r="S73">
        <f>HYPERLINK("https://klasma.github.io/Logging_1907/artfynd/A 27170-2023 artfynd.xlsx", "A 27170-2023")</f>
        <v/>
      </c>
      <c r="T73">
        <f>HYPERLINK("https://klasma.github.io/Logging_1907/kartor/A 27170-2023 karta.png", "A 27170-2023")</f>
        <v/>
      </c>
      <c r="V73">
        <f>HYPERLINK("https://klasma.github.io/Logging_1907/klagomål/A 27170-2023 FSC-klagomål.docx", "A 27170-2023")</f>
        <v/>
      </c>
      <c r="W73">
        <f>HYPERLINK("https://klasma.github.io/Logging_1907/klagomålsmail/A 27170-2023 FSC-klagomål mail.docx", "A 27170-2023")</f>
        <v/>
      </c>
      <c r="X73">
        <f>HYPERLINK("https://klasma.github.io/Logging_1907/tillsyn/A 27170-2023 tillsynsbegäran.docx", "A 27170-2023")</f>
        <v/>
      </c>
      <c r="Y73">
        <f>HYPERLINK("https://klasma.github.io/Logging_1907/tillsynsmail/A 27170-2023 tillsynsbegäran mail.docx", "A 27170-2023")</f>
        <v/>
      </c>
    </row>
    <row r="74" ht="15" customHeight="1">
      <c r="A74" t="inlineStr">
        <is>
          <t>A 30074-2023</t>
        </is>
      </c>
      <c r="B74" s="1" t="n">
        <v>45110</v>
      </c>
      <c r="C74" s="1" t="n">
        <v>45351</v>
      </c>
      <c r="D74" t="inlineStr">
        <is>
          <t>VÄSTMANLANDS LÄN</t>
        </is>
      </c>
      <c r="E74" t="inlineStr">
        <is>
          <t>SURAHAMMAR</t>
        </is>
      </c>
      <c r="F74" t="inlineStr">
        <is>
          <t>Sveaskog</t>
        </is>
      </c>
      <c r="G74" t="n">
        <v>1.1</v>
      </c>
      <c r="H74" t="n">
        <v>1</v>
      </c>
      <c r="I74" t="n">
        <v>0</v>
      </c>
      <c r="J74" t="n">
        <v>0</v>
      </c>
      <c r="K74" t="n">
        <v>0</v>
      </c>
      <c r="L74" t="n">
        <v>0</v>
      </c>
      <c r="M74" t="n">
        <v>0</v>
      </c>
      <c r="N74" t="n">
        <v>0</v>
      </c>
      <c r="O74" t="n">
        <v>0</v>
      </c>
      <c r="P74" t="n">
        <v>0</v>
      </c>
      <c r="Q74" t="n">
        <v>1</v>
      </c>
      <c r="R74" s="2" t="inlineStr">
        <is>
          <t>Revlummer</t>
        </is>
      </c>
      <c r="S74">
        <f>HYPERLINK("https://klasma.github.io/Logging_1907/artfynd/A 30074-2023 artfynd.xlsx", "A 30074-2023")</f>
        <v/>
      </c>
      <c r="T74">
        <f>HYPERLINK("https://klasma.github.io/Logging_1907/kartor/A 30074-2023 karta.png", "A 30074-2023")</f>
        <v/>
      </c>
      <c r="V74">
        <f>HYPERLINK("https://klasma.github.io/Logging_1907/klagomål/A 30074-2023 FSC-klagomål.docx", "A 30074-2023")</f>
        <v/>
      </c>
      <c r="W74">
        <f>HYPERLINK("https://klasma.github.io/Logging_1907/klagomålsmail/A 30074-2023 FSC-klagomål mail.docx", "A 30074-2023")</f>
        <v/>
      </c>
      <c r="X74">
        <f>HYPERLINK("https://klasma.github.io/Logging_1907/tillsyn/A 30074-2023 tillsynsbegäran.docx", "A 30074-2023")</f>
        <v/>
      </c>
      <c r="Y74">
        <f>HYPERLINK("https://klasma.github.io/Logging_1907/tillsynsmail/A 30074-2023 tillsynsbegäran mail.docx", "A 30074-2023")</f>
        <v/>
      </c>
    </row>
    <row r="75" ht="15" customHeight="1">
      <c r="A75" t="inlineStr">
        <is>
          <t>A 30073-2023</t>
        </is>
      </c>
      <c r="B75" s="1" t="n">
        <v>45110</v>
      </c>
      <c r="C75" s="1" t="n">
        <v>45351</v>
      </c>
      <c r="D75" t="inlineStr">
        <is>
          <t>VÄSTMANLANDS LÄN</t>
        </is>
      </c>
      <c r="E75" t="inlineStr">
        <is>
          <t>SURAHAMMAR</t>
        </is>
      </c>
      <c r="F75" t="inlineStr">
        <is>
          <t>Sveaskog</t>
        </is>
      </c>
      <c r="G75" t="n">
        <v>4.7</v>
      </c>
      <c r="H75" t="n">
        <v>0</v>
      </c>
      <c r="I75" t="n">
        <v>1</v>
      </c>
      <c r="J75" t="n">
        <v>0</v>
      </c>
      <c r="K75" t="n">
        <v>0</v>
      </c>
      <c r="L75" t="n">
        <v>0</v>
      </c>
      <c r="M75" t="n">
        <v>0</v>
      </c>
      <c r="N75" t="n">
        <v>0</v>
      </c>
      <c r="O75" t="n">
        <v>0</v>
      </c>
      <c r="P75" t="n">
        <v>0</v>
      </c>
      <c r="Q75" t="n">
        <v>1</v>
      </c>
      <c r="R75" s="2" t="inlineStr">
        <is>
          <t>Grönpyrola</t>
        </is>
      </c>
      <c r="S75">
        <f>HYPERLINK("https://klasma.github.io/Logging_1907/artfynd/A 30073-2023 artfynd.xlsx", "A 30073-2023")</f>
        <v/>
      </c>
      <c r="T75">
        <f>HYPERLINK("https://klasma.github.io/Logging_1907/kartor/A 30073-2023 karta.png", "A 30073-2023")</f>
        <v/>
      </c>
      <c r="V75">
        <f>HYPERLINK("https://klasma.github.io/Logging_1907/klagomål/A 30073-2023 FSC-klagomål.docx", "A 30073-2023")</f>
        <v/>
      </c>
      <c r="W75">
        <f>HYPERLINK("https://klasma.github.io/Logging_1907/klagomålsmail/A 30073-2023 FSC-klagomål mail.docx", "A 30073-2023")</f>
        <v/>
      </c>
      <c r="X75">
        <f>HYPERLINK("https://klasma.github.io/Logging_1907/tillsyn/A 30073-2023 tillsynsbegäran.docx", "A 30073-2023")</f>
        <v/>
      </c>
      <c r="Y75">
        <f>HYPERLINK("https://klasma.github.io/Logging_1907/tillsynsmail/A 30073-2023 tillsynsbegäran mail.docx", "A 30073-2023")</f>
        <v/>
      </c>
    </row>
    <row r="76" ht="15" customHeight="1">
      <c r="A76" t="inlineStr">
        <is>
          <t>A 41622-2023</t>
        </is>
      </c>
      <c r="B76" s="1" t="n">
        <v>45175</v>
      </c>
      <c r="C76" s="1" t="n">
        <v>45351</v>
      </c>
      <c r="D76" t="inlineStr">
        <is>
          <t>VÄSTMANLANDS LÄN</t>
        </is>
      </c>
      <c r="E76" t="inlineStr">
        <is>
          <t>SURAHAMMAR</t>
        </is>
      </c>
      <c r="G76" t="n">
        <v>0.6</v>
      </c>
      <c r="H76" t="n">
        <v>1</v>
      </c>
      <c r="I76" t="n">
        <v>0</v>
      </c>
      <c r="J76" t="n">
        <v>0</v>
      </c>
      <c r="K76" t="n">
        <v>1</v>
      </c>
      <c r="L76" t="n">
        <v>0</v>
      </c>
      <c r="M76" t="n">
        <v>0</v>
      </c>
      <c r="N76" t="n">
        <v>0</v>
      </c>
      <c r="O76" t="n">
        <v>1</v>
      </c>
      <c r="P76" t="n">
        <v>1</v>
      </c>
      <c r="Q76" t="n">
        <v>1</v>
      </c>
      <c r="R76" s="2" t="inlineStr">
        <is>
          <t>Knärot</t>
        </is>
      </c>
      <c r="S76">
        <f>HYPERLINK("https://klasma.github.io/Logging_1907/artfynd/A 41622-2023 artfynd.xlsx", "A 41622-2023")</f>
        <v/>
      </c>
      <c r="T76">
        <f>HYPERLINK("https://klasma.github.io/Logging_1907/kartor/A 41622-2023 karta.png", "A 41622-2023")</f>
        <v/>
      </c>
      <c r="U76">
        <f>HYPERLINK("https://klasma.github.io/Logging_1907/knärot/A 41622-2023 karta knärot.png", "A 41622-2023")</f>
        <v/>
      </c>
      <c r="V76">
        <f>HYPERLINK("https://klasma.github.io/Logging_1907/klagomål/A 41622-2023 FSC-klagomål.docx", "A 41622-2023")</f>
        <v/>
      </c>
      <c r="W76">
        <f>HYPERLINK("https://klasma.github.io/Logging_1907/klagomålsmail/A 41622-2023 FSC-klagomål mail.docx", "A 41622-2023")</f>
        <v/>
      </c>
      <c r="X76">
        <f>HYPERLINK("https://klasma.github.io/Logging_1907/tillsyn/A 41622-2023 tillsynsbegäran.docx", "A 41622-2023")</f>
        <v/>
      </c>
      <c r="Y76">
        <f>HYPERLINK("https://klasma.github.io/Logging_1907/tillsynsmail/A 41622-2023 tillsynsbegäran mail.docx", "A 41622-2023")</f>
        <v/>
      </c>
    </row>
    <row r="77" ht="15" customHeight="1">
      <c r="A77" t="inlineStr">
        <is>
          <t>A 56362-2023</t>
        </is>
      </c>
      <c r="B77" s="1" t="n">
        <v>45236</v>
      </c>
      <c r="C77" s="1" t="n">
        <v>45351</v>
      </c>
      <c r="D77" t="inlineStr">
        <is>
          <t>VÄSTMANLANDS LÄN</t>
        </is>
      </c>
      <c r="E77" t="inlineStr">
        <is>
          <t>SURAHAMMAR</t>
        </is>
      </c>
      <c r="F77" t="inlineStr">
        <is>
          <t>Bergvik skog väst AB</t>
        </is>
      </c>
      <c r="G77" t="n">
        <v>15.2</v>
      </c>
      <c r="H77" t="n">
        <v>0</v>
      </c>
      <c r="I77" t="n">
        <v>1</v>
      </c>
      <c r="J77" t="n">
        <v>0</v>
      </c>
      <c r="K77" t="n">
        <v>0</v>
      </c>
      <c r="L77" t="n">
        <v>0</v>
      </c>
      <c r="M77" t="n">
        <v>0</v>
      </c>
      <c r="N77" t="n">
        <v>0</v>
      </c>
      <c r="O77" t="n">
        <v>0</v>
      </c>
      <c r="P77" t="n">
        <v>0</v>
      </c>
      <c r="Q77" t="n">
        <v>1</v>
      </c>
      <c r="R77" s="2" t="inlineStr">
        <is>
          <t>Grönpyrola</t>
        </is>
      </c>
      <c r="S77">
        <f>HYPERLINK("https://klasma.github.io/Logging_1907/artfynd/A 56362-2023 artfynd.xlsx", "A 56362-2023")</f>
        <v/>
      </c>
      <c r="T77">
        <f>HYPERLINK("https://klasma.github.io/Logging_1907/kartor/A 56362-2023 karta.png", "A 56362-2023")</f>
        <v/>
      </c>
      <c r="V77">
        <f>HYPERLINK("https://klasma.github.io/Logging_1907/klagomål/A 56362-2023 FSC-klagomål.docx", "A 56362-2023")</f>
        <v/>
      </c>
      <c r="W77">
        <f>HYPERLINK("https://klasma.github.io/Logging_1907/klagomålsmail/A 56362-2023 FSC-klagomål mail.docx", "A 56362-2023")</f>
        <v/>
      </c>
      <c r="X77">
        <f>HYPERLINK("https://klasma.github.io/Logging_1907/tillsyn/A 56362-2023 tillsynsbegäran.docx", "A 56362-2023")</f>
        <v/>
      </c>
      <c r="Y77">
        <f>HYPERLINK("https://klasma.github.io/Logging_1907/tillsynsmail/A 56362-2023 tillsynsbegäran mail.docx", "A 56362-2023")</f>
        <v/>
      </c>
    </row>
    <row r="78" ht="15" customHeight="1">
      <c r="A78" t="inlineStr">
        <is>
          <t>A 3649-2024</t>
        </is>
      </c>
      <c r="B78" s="1" t="n">
        <v>45321</v>
      </c>
      <c r="C78" s="1" t="n">
        <v>45351</v>
      </c>
      <c r="D78" t="inlineStr">
        <is>
          <t>VÄSTMANLANDS LÄN</t>
        </is>
      </c>
      <c r="E78" t="inlineStr">
        <is>
          <t>SURAHAMMAR</t>
        </is>
      </c>
      <c r="F78" t="inlineStr">
        <is>
          <t>Övriga Aktiebolag</t>
        </is>
      </c>
      <c r="G78" t="n">
        <v>9.300000000000001</v>
      </c>
      <c r="H78" t="n">
        <v>1</v>
      </c>
      <c r="I78" t="n">
        <v>0</v>
      </c>
      <c r="J78" t="n">
        <v>0</v>
      </c>
      <c r="K78" t="n">
        <v>1</v>
      </c>
      <c r="L78" t="n">
        <v>0</v>
      </c>
      <c r="M78" t="n">
        <v>0</v>
      </c>
      <c r="N78" t="n">
        <v>0</v>
      </c>
      <c r="O78" t="n">
        <v>1</v>
      </c>
      <c r="P78" t="n">
        <v>1</v>
      </c>
      <c r="Q78" t="n">
        <v>1</v>
      </c>
      <c r="R78" s="2" t="inlineStr">
        <is>
          <t>Väddnätfjäril</t>
        </is>
      </c>
      <c r="S78">
        <f>HYPERLINK("https://klasma.github.io/Logging_1907/artfynd/A 3649-2024 artfynd.xlsx", "A 3649-2024")</f>
        <v/>
      </c>
      <c r="T78">
        <f>HYPERLINK("https://klasma.github.io/Logging_1907/kartor/A 3649-2024 karta.png", "A 3649-2024")</f>
        <v/>
      </c>
      <c r="V78">
        <f>HYPERLINK("https://klasma.github.io/Logging_1907/klagomål/A 3649-2024 FSC-klagomål.docx", "A 3649-2024")</f>
        <v/>
      </c>
      <c r="W78">
        <f>HYPERLINK("https://klasma.github.io/Logging_1907/klagomålsmail/A 3649-2024 FSC-klagomål mail.docx", "A 3649-2024")</f>
        <v/>
      </c>
      <c r="X78">
        <f>HYPERLINK("https://klasma.github.io/Logging_1907/tillsyn/A 3649-2024 tillsynsbegäran.docx", "A 3649-2024")</f>
        <v/>
      </c>
      <c r="Y78">
        <f>HYPERLINK("https://klasma.github.io/Logging_1907/tillsynsmail/A 3649-2024 tillsynsbegäran mail.docx", "A 3649-2024")</f>
        <v/>
      </c>
    </row>
    <row r="79" ht="15" customHeight="1">
      <c r="A79" t="inlineStr">
        <is>
          <t>A 59303-2018</t>
        </is>
      </c>
      <c r="B79" s="1" t="n">
        <v>43418</v>
      </c>
      <c r="C79" s="1" t="n">
        <v>45351</v>
      </c>
      <c r="D79" t="inlineStr">
        <is>
          <t>VÄSTMANLANDS LÄN</t>
        </is>
      </c>
      <c r="E79" t="inlineStr">
        <is>
          <t>SURAHAMMAR</t>
        </is>
      </c>
      <c r="G79" t="n">
        <v>3.2</v>
      </c>
      <c r="H79" t="n">
        <v>0</v>
      </c>
      <c r="I79" t="n">
        <v>0</v>
      </c>
      <c r="J79" t="n">
        <v>0</v>
      </c>
      <c r="K79" t="n">
        <v>0</v>
      </c>
      <c r="L79" t="n">
        <v>0</v>
      </c>
      <c r="M79" t="n">
        <v>0</v>
      </c>
      <c r="N79" t="n">
        <v>0</v>
      </c>
      <c r="O79" t="n">
        <v>0</v>
      </c>
      <c r="P79" t="n">
        <v>0</v>
      </c>
      <c r="Q79" t="n">
        <v>0</v>
      </c>
      <c r="R79" s="2" t="inlineStr"/>
    </row>
    <row r="80" ht="15" customHeight="1">
      <c r="A80" t="inlineStr">
        <is>
          <t>A 69582-2018</t>
        </is>
      </c>
      <c r="B80" s="1" t="n">
        <v>43446</v>
      </c>
      <c r="C80" s="1" t="n">
        <v>45351</v>
      </c>
      <c r="D80" t="inlineStr">
        <is>
          <t>VÄSTMANLANDS LÄN</t>
        </is>
      </c>
      <c r="E80" t="inlineStr">
        <is>
          <t>SURAHAMMAR</t>
        </is>
      </c>
      <c r="G80" t="n">
        <v>1.3</v>
      </c>
      <c r="H80" t="n">
        <v>0</v>
      </c>
      <c r="I80" t="n">
        <v>0</v>
      </c>
      <c r="J80" t="n">
        <v>0</v>
      </c>
      <c r="K80" t="n">
        <v>0</v>
      </c>
      <c r="L80" t="n">
        <v>0</v>
      </c>
      <c r="M80" t="n">
        <v>0</v>
      </c>
      <c r="N80" t="n">
        <v>0</v>
      </c>
      <c r="O80" t="n">
        <v>0</v>
      </c>
      <c r="P80" t="n">
        <v>0</v>
      </c>
      <c r="Q80" t="n">
        <v>0</v>
      </c>
      <c r="R80" s="2" t="inlineStr"/>
    </row>
    <row r="81" ht="15" customHeight="1">
      <c r="A81" t="inlineStr">
        <is>
          <t>A 143-2019</t>
        </is>
      </c>
      <c r="B81" s="1" t="n">
        <v>43467</v>
      </c>
      <c r="C81" s="1" t="n">
        <v>45351</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7751-2019</t>
        </is>
      </c>
      <c r="B82" s="1" t="n">
        <v>43493</v>
      </c>
      <c r="C82" s="1" t="n">
        <v>45351</v>
      </c>
      <c r="D82" t="inlineStr">
        <is>
          <t>VÄSTMANLANDS LÄN</t>
        </is>
      </c>
      <c r="E82" t="inlineStr">
        <is>
          <t>SURAHAMMAR</t>
        </is>
      </c>
      <c r="G82" t="n">
        <v>4.1</v>
      </c>
      <c r="H82" t="n">
        <v>0</v>
      </c>
      <c r="I82" t="n">
        <v>0</v>
      </c>
      <c r="J82" t="n">
        <v>0</v>
      </c>
      <c r="K82" t="n">
        <v>0</v>
      </c>
      <c r="L82" t="n">
        <v>0</v>
      </c>
      <c r="M82" t="n">
        <v>0</v>
      </c>
      <c r="N82" t="n">
        <v>0</v>
      </c>
      <c r="O82" t="n">
        <v>0</v>
      </c>
      <c r="P82" t="n">
        <v>0</v>
      </c>
      <c r="Q82" t="n">
        <v>0</v>
      </c>
      <c r="R82" s="2" t="inlineStr"/>
    </row>
    <row r="83" ht="15" customHeight="1">
      <c r="A83" t="inlineStr">
        <is>
          <t>A 9397-2019</t>
        </is>
      </c>
      <c r="B83" s="1" t="n">
        <v>43507</v>
      </c>
      <c r="C83" s="1" t="n">
        <v>45351</v>
      </c>
      <c r="D83" t="inlineStr">
        <is>
          <t>VÄSTMANLANDS LÄN</t>
        </is>
      </c>
      <c r="E83" t="inlineStr">
        <is>
          <t>SURAHAMMAR</t>
        </is>
      </c>
      <c r="G83" t="n">
        <v>1</v>
      </c>
      <c r="H83" t="n">
        <v>0</v>
      </c>
      <c r="I83" t="n">
        <v>0</v>
      </c>
      <c r="J83" t="n">
        <v>0</v>
      </c>
      <c r="K83" t="n">
        <v>0</v>
      </c>
      <c r="L83" t="n">
        <v>0</v>
      </c>
      <c r="M83" t="n">
        <v>0</v>
      </c>
      <c r="N83" t="n">
        <v>0</v>
      </c>
      <c r="O83" t="n">
        <v>0</v>
      </c>
      <c r="P83" t="n">
        <v>0</v>
      </c>
      <c r="Q83" t="n">
        <v>0</v>
      </c>
      <c r="R83" s="2" t="inlineStr"/>
    </row>
    <row r="84" ht="15" customHeight="1">
      <c r="A84" t="inlineStr">
        <is>
          <t>A 9790-2019</t>
        </is>
      </c>
      <c r="B84" s="1" t="n">
        <v>43509</v>
      </c>
      <c r="C84" s="1" t="n">
        <v>45351</v>
      </c>
      <c r="D84" t="inlineStr">
        <is>
          <t>VÄSTMANLANDS LÄN</t>
        </is>
      </c>
      <c r="E84" t="inlineStr">
        <is>
          <t>SURAHAMMAR</t>
        </is>
      </c>
      <c r="F84" t="inlineStr">
        <is>
          <t>Övriga Aktiebolag</t>
        </is>
      </c>
      <c r="G84" t="n">
        <v>2.4</v>
      </c>
      <c r="H84" t="n">
        <v>0</v>
      </c>
      <c r="I84" t="n">
        <v>0</v>
      </c>
      <c r="J84" t="n">
        <v>0</v>
      </c>
      <c r="K84" t="n">
        <v>0</v>
      </c>
      <c r="L84" t="n">
        <v>0</v>
      </c>
      <c r="M84" t="n">
        <v>0</v>
      </c>
      <c r="N84" t="n">
        <v>0</v>
      </c>
      <c r="O84" t="n">
        <v>0</v>
      </c>
      <c r="P84" t="n">
        <v>0</v>
      </c>
      <c r="Q84" t="n">
        <v>0</v>
      </c>
      <c r="R84" s="2" t="inlineStr"/>
    </row>
    <row r="85" ht="15" customHeight="1">
      <c r="A85" t="inlineStr">
        <is>
          <t>A 17946-2019</t>
        </is>
      </c>
      <c r="B85" s="1" t="n">
        <v>43557</v>
      </c>
      <c r="C85" s="1" t="n">
        <v>45351</v>
      </c>
      <c r="D85" t="inlineStr">
        <is>
          <t>VÄSTMANLANDS LÄN</t>
        </is>
      </c>
      <c r="E85" t="inlineStr">
        <is>
          <t>SURAHAMMAR</t>
        </is>
      </c>
      <c r="G85" t="n">
        <v>9.9</v>
      </c>
      <c r="H85" t="n">
        <v>0</v>
      </c>
      <c r="I85" t="n">
        <v>0</v>
      </c>
      <c r="J85" t="n">
        <v>0</v>
      </c>
      <c r="K85" t="n">
        <v>0</v>
      </c>
      <c r="L85" t="n">
        <v>0</v>
      </c>
      <c r="M85" t="n">
        <v>0</v>
      </c>
      <c r="N85" t="n">
        <v>0</v>
      </c>
      <c r="O85" t="n">
        <v>0</v>
      </c>
      <c r="P85" t="n">
        <v>0</v>
      </c>
      <c r="Q85" t="n">
        <v>0</v>
      </c>
      <c r="R85" s="2" t="inlineStr"/>
    </row>
    <row r="86" ht="15" customHeight="1">
      <c r="A86" t="inlineStr">
        <is>
          <t>A 18953-2019</t>
        </is>
      </c>
      <c r="B86" s="1" t="n">
        <v>43563</v>
      </c>
      <c r="C86" s="1" t="n">
        <v>45351</v>
      </c>
      <c r="D86" t="inlineStr">
        <is>
          <t>VÄSTMANLANDS LÄN</t>
        </is>
      </c>
      <c r="E86" t="inlineStr">
        <is>
          <t>SURAHAMMAR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18960-2019</t>
        </is>
      </c>
      <c r="B87" s="1" t="n">
        <v>43563</v>
      </c>
      <c r="C87" s="1" t="n">
        <v>45351</v>
      </c>
      <c r="D87" t="inlineStr">
        <is>
          <t>VÄSTMANLANDS LÄN</t>
        </is>
      </c>
      <c r="E87" t="inlineStr">
        <is>
          <t>SURAHAMMAR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19659-2019</t>
        </is>
      </c>
      <c r="B88" s="1" t="n">
        <v>43566</v>
      </c>
      <c r="C88" s="1" t="n">
        <v>45351</v>
      </c>
      <c r="D88" t="inlineStr">
        <is>
          <t>VÄSTMANLANDS LÄN</t>
        </is>
      </c>
      <c r="E88" t="inlineStr">
        <is>
          <t>SURAHAMMAR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20127-2019</t>
        </is>
      </c>
      <c r="B89" s="1" t="n">
        <v>43570</v>
      </c>
      <c r="C89" s="1" t="n">
        <v>45351</v>
      </c>
      <c r="D89" t="inlineStr">
        <is>
          <t>VÄSTMANLANDS LÄN</t>
        </is>
      </c>
      <c r="E89" t="inlineStr">
        <is>
          <t>SURAHAMMAR</t>
        </is>
      </c>
      <c r="G89" t="n">
        <v>2.6</v>
      </c>
      <c r="H89" t="n">
        <v>0</v>
      </c>
      <c r="I89" t="n">
        <v>0</v>
      </c>
      <c r="J89" t="n">
        <v>0</v>
      </c>
      <c r="K89" t="n">
        <v>0</v>
      </c>
      <c r="L89" t="n">
        <v>0</v>
      </c>
      <c r="M89" t="n">
        <v>0</v>
      </c>
      <c r="N89" t="n">
        <v>0</v>
      </c>
      <c r="O89" t="n">
        <v>0</v>
      </c>
      <c r="P89" t="n">
        <v>0</v>
      </c>
      <c r="Q89" t="n">
        <v>0</v>
      </c>
      <c r="R89" s="2" t="inlineStr"/>
    </row>
    <row r="90" ht="15" customHeight="1">
      <c r="A90" t="inlineStr">
        <is>
          <t>A 20904-2019</t>
        </is>
      </c>
      <c r="B90" s="1" t="n">
        <v>43578</v>
      </c>
      <c r="C90" s="1" t="n">
        <v>45351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22834-2019</t>
        </is>
      </c>
      <c r="B91" s="1" t="n">
        <v>43591</v>
      </c>
      <c r="C91" s="1" t="n">
        <v>45351</v>
      </c>
      <c r="D91" t="inlineStr">
        <is>
          <t>VÄSTMANLANDS LÄN</t>
        </is>
      </c>
      <c r="E91" t="inlineStr">
        <is>
          <t>SURAHAMMAR</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28274-2019</t>
        </is>
      </c>
      <c r="B92" s="1" t="n">
        <v>43623</v>
      </c>
      <c r="C92" s="1" t="n">
        <v>45351</v>
      </c>
      <c r="D92" t="inlineStr">
        <is>
          <t>VÄSTMANLANDS LÄN</t>
        </is>
      </c>
      <c r="E92" t="inlineStr">
        <is>
          <t>SURAHAMMAR</t>
        </is>
      </c>
      <c r="F92" t="inlineStr">
        <is>
          <t>Allmännings- och besparingsskogar</t>
        </is>
      </c>
      <c r="G92" t="n">
        <v>0.7</v>
      </c>
      <c r="H92" t="n">
        <v>0</v>
      </c>
      <c r="I92" t="n">
        <v>0</v>
      </c>
      <c r="J92" t="n">
        <v>0</v>
      </c>
      <c r="K92" t="n">
        <v>0</v>
      </c>
      <c r="L92" t="n">
        <v>0</v>
      </c>
      <c r="M92" t="n">
        <v>0</v>
      </c>
      <c r="N92" t="n">
        <v>0</v>
      </c>
      <c r="O92" t="n">
        <v>0</v>
      </c>
      <c r="P92" t="n">
        <v>0</v>
      </c>
      <c r="Q92" t="n">
        <v>0</v>
      </c>
      <c r="R92" s="2" t="inlineStr"/>
    </row>
    <row r="93" ht="15" customHeight="1">
      <c r="A93" t="inlineStr">
        <is>
          <t>A 29523-2019</t>
        </is>
      </c>
      <c r="B93" s="1" t="n">
        <v>43630</v>
      </c>
      <c r="C93" s="1" t="n">
        <v>45351</v>
      </c>
      <c r="D93" t="inlineStr">
        <is>
          <t>VÄSTMANLANDS LÄN</t>
        </is>
      </c>
      <c r="E93" t="inlineStr">
        <is>
          <t>SURAHAMMAR</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31008-2019</t>
        </is>
      </c>
      <c r="B94" s="1" t="n">
        <v>43640</v>
      </c>
      <c r="C94" s="1" t="n">
        <v>45351</v>
      </c>
      <c r="D94" t="inlineStr">
        <is>
          <t>VÄSTMANLANDS LÄN</t>
        </is>
      </c>
      <c r="E94" t="inlineStr">
        <is>
          <t>SURAHAMMAR</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39552-2019</t>
        </is>
      </c>
      <c r="B95" s="1" t="n">
        <v>43691</v>
      </c>
      <c r="C95" s="1" t="n">
        <v>45351</v>
      </c>
      <c r="D95" t="inlineStr">
        <is>
          <t>VÄSTMANLANDS LÄN</t>
        </is>
      </c>
      <c r="E95" t="inlineStr">
        <is>
          <t>SURAHAMMAR</t>
        </is>
      </c>
      <c r="F95" t="inlineStr">
        <is>
          <t>Övriga Aktiebolag</t>
        </is>
      </c>
      <c r="G95" t="n">
        <v>4.4</v>
      </c>
      <c r="H95" t="n">
        <v>0</v>
      </c>
      <c r="I95" t="n">
        <v>0</v>
      </c>
      <c r="J95" t="n">
        <v>0</v>
      </c>
      <c r="K95" t="n">
        <v>0</v>
      </c>
      <c r="L95" t="n">
        <v>0</v>
      </c>
      <c r="M95" t="n">
        <v>0</v>
      </c>
      <c r="N95" t="n">
        <v>0</v>
      </c>
      <c r="O95" t="n">
        <v>0</v>
      </c>
      <c r="P95" t="n">
        <v>0</v>
      </c>
      <c r="Q95" t="n">
        <v>0</v>
      </c>
      <c r="R95" s="2" t="inlineStr"/>
    </row>
    <row r="96" ht="15" customHeight="1">
      <c r="A96" t="inlineStr">
        <is>
          <t>A 39754-2019</t>
        </is>
      </c>
      <c r="B96" s="1" t="n">
        <v>43692</v>
      </c>
      <c r="C96" s="1" t="n">
        <v>45351</v>
      </c>
      <c r="D96" t="inlineStr">
        <is>
          <t>VÄSTMANLANDS LÄN</t>
        </is>
      </c>
      <c r="E96" t="inlineStr">
        <is>
          <t>SURAHAMMAR</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40191-2019</t>
        </is>
      </c>
      <c r="B97" s="1" t="n">
        <v>43693</v>
      </c>
      <c r="C97" s="1" t="n">
        <v>45351</v>
      </c>
      <c r="D97" t="inlineStr">
        <is>
          <t>VÄSTMANLANDS LÄN</t>
        </is>
      </c>
      <c r="E97" t="inlineStr">
        <is>
          <t>SURAHAMMAR</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60343-2019</t>
        </is>
      </c>
      <c r="B98" s="1" t="n">
        <v>43780</v>
      </c>
      <c r="C98" s="1" t="n">
        <v>45351</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64772-2019</t>
        </is>
      </c>
      <c r="B99" s="1" t="n">
        <v>43801</v>
      </c>
      <c r="C99" s="1" t="n">
        <v>45351</v>
      </c>
      <c r="D99" t="inlineStr">
        <is>
          <t>VÄSTMANLANDS LÄN</t>
        </is>
      </c>
      <c r="E99" t="inlineStr">
        <is>
          <t>SURAHAMMAR</t>
        </is>
      </c>
      <c r="F99" t="inlineStr">
        <is>
          <t>Övriga Aktiebolag</t>
        </is>
      </c>
      <c r="G99" t="n">
        <v>7</v>
      </c>
      <c r="H99" t="n">
        <v>0</v>
      </c>
      <c r="I99" t="n">
        <v>0</v>
      </c>
      <c r="J99" t="n">
        <v>0</v>
      </c>
      <c r="K99" t="n">
        <v>0</v>
      </c>
      <c r="L99" t="n">
        <v>0</v>
      </c>
      <c r="M99" t="n">
        <v>0</v>
      </c>
      <c r="N99" t="n">
        <v>0</v>
      </c>
      <c r="O99" t="n">
        <v>0</v>
      </c>
      <c r="P99" t="n">
        <v>0</v>
      </c>
      <c r="Q99" t="n">
        <v>0</v>
      </c>
      <c r="R99" s="2" t="inlineStr"/>
    </row>
    <row r="100" ht="15" customHeight="1">
      <c r="A100" t="inlineStr">
        <is>
          <t>A 66269-2019</t>
        </is>
      </c>
      <c r="B100" s="1" t="n">
        <v>43802</v>
      </c>
      <c r="C100" s="1" t="n">
        <v>45351</v>
      </c>
      <c r="D100" t="inlineStr">
        <is>
          <t>VÄSTMANLANDS LÄN</t>
        </is>
      </c>
      <c r="E100" t="inlineStr">
        <is>
          <t>SURAHAMMAR</t>
        </is>
      </c>
      <c r="G100" t="n">
        <v>0.9</v>
      </c>
      <c r="H100" t="n">
        <v>0</v>
      </c>
      <c r="I100" t="n">
        <v>0</v>
      </c>
      <c r="J100" t="n">
        <v>0</v>
      </c>
      <c r="K100" t="n">
        <v>0</v>
      </c>
      <c r="L100" t="n">
        <v>0</v>
      </c>
      <c r="M100" t="n">
        <v>0</v>
      </c>
      <c r="N100" t="n">
        <v>0</v>
      </c>
      <c r="O100" t="n">
        <v>0</v>
      </c>
      <c r="P100" t="n">
        <v>0</v>
      </c>
      <c r="Q100" t="n">
        <v>0</v>
      </c>
      <c r="R100" s="2" t="inlineStr"/>
    </row>
    <row r="101" ht="15" customHeight="1">
      <c r="A101" t="inlineStr">
        <is>
          <t>A 65619-2019</t>
        </is>
      </c>
      <c r="B101" s="1" t="n">
        <v>43804</v>
      </c>
      <c r="C101" s="1" t="n">
        <v>45351</v>
      </c>
      <c r="D101" t="inlineStr">
        <is>
          <t>VÄSTMANLANDS LÄN</t>
        </is>
      </c>
      <c r="E101" t="inlineStr">
        <is>
          <t>SURAHAMMAR</t>
        </is>
      </c>
      <c r="F101" t="inlineStr">
        <is>
          <t>Övriga Aktiebolag</t>
        </is>
      </c>
      <c r="G101" t="n">
        <v>1.6</v>
      </c>
      <c r="H101" t="n">
        <v>0</v>
      </c>
      <c r="I101" t="n">
        <v>0</v>
      </c>
      <c r="J101" t="n">
        <v>0</v>
      </c>
      <c r="K101" t="n">
        <v>0</v>
      </c>
      <c r="L101" t="n">
        <v>0</v>
      </c>
      <c r="M101" t="n">
        <v>0</v>
      </c>
      <c r="N101" t="n">
        <v>0</v>
      </c>
      <c r="O101" t="n">
        <v>0</v>
      </c>
      <c r="P101" t="n">
        <v>0</v>
      </c>
      <c r="Q101" t="n">
        <v>0</v>
      </c>
      <c r="R101" s="2" t="inlineStr"/>
    </row>
    <row r="102" ht="15" customHeight="1">
      <c r="A102" t="inlineStr">
        <is>
          <t>A 2039-2020</t>
        </is>
      </c>
      <c r="B102" s="1" t="n">
        <v>43839</v>
      </c>
      <c r="C102" s="1" t="n">
        <v>45351</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5804-2020</t>
        </is>
      </c>
      <c r="B103" s="1" t="n">
        <v>43864</v>
      </c>
      <c r="C103" s="1" t="n">
        <v>45351</v>
      </c>
      <c r="D103" t="inlineStr">
        <is>
          <t>VÄSTMANLANDS LÄN</t>
        </is>
      </c>
      <c r="E103" t="inlineStr">
        <is>
          <t>SURAHAMMAR</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8608-2020</t>
        </is>
      </c>
      <c r="B104" s="1" t="n">
        <v>43878</v>
      </c>
      <c r="C104" s="1" t="n">
        <v>45351</v>
      </c>
      <c r="D104" t="inlineStr">
        <is>
          <t>VÄSTMANLANDS LÄN</t>
        </is>
      </c>
      <c r="E104" t="inlineStr">
        <is>
          <t>SURAHAMMAR</t>
        </is>
      </c>
      <c r="F104" t="inlineStr">
        <is>
          <t>Övriga Aktiebolag</t>
        </is>
      </c>
      <c r="G104" t="n">
        <v>20.2</v>
      </c>
      <c r="H104" t="n">
        <v>0</v>
      </c>
      <c r="I104" t="n">
        <v>0</v>
      </c>
      <c r="J104" t="n">
        <v>0</v>
      </c>
      <c r="K104" t="n">
        <v>0</v>
      </c>
      <c r="L104" t="n">
        <v>0</v>
      </c>
      <c r="M104" t="n">
        <v>0</v>
      </c>
      <c r="N104" t="n">
        <v>0</v>
      </c>
      <c r="O104" t="n">
        <v>0</v>
      </c>
      <c r="P104" t="n">
        <v>0</v>
      </c>
      <c r="Q104" t="n">
        <v>0</v>
      </c>
      <c r="R104" s="2" t="inlineStr"/>
    </row>
    <row r="105" ht="15" customHeight="1">
      <c r="A105" t="inlineStr">
        <is>
          <t>A 40660-2020</t>
        </is>
      </c>
      <c r="B105" s="1" t="n">
        <v>44069</v>
      </c>
      <c r="C105" s="1" t="n">
        <v>45351</v>
      </c>
      <c r="D105" t="inlineStr">
        <is>
          <t>VÄSTMANLANDS LÄN</t>
        </is>
      </c>
      <c r="E105" t="inlineStr">
        <is>
          <t>SURAHAMMAR</t>
        </is>
      </c>
      <c r="F105" t="inlineStr">
        <is>
          <t>Övriga Aktiebolag</t>
        </is>
      </c>
      <c r="G105" t="n">
        <v>1.9</v>
      </c>
      <c r="H105" t="n">
        <v>0</v>
      </c>
      <c r="I105" t="n">
        <v>0</v>
      </c>
      <c r="J105" t="n">
        <v>0</v>
      </c>
      <c r="K105" t="n">
        <v>0</v>
      </c>
      <c r="L105" t="n">
        <v>0</v>
      </c>
      <c r="M105" t="n">
        <v>0</v>
      </c>
      <c r="N105" t="n">
        <v>0</v>
      </c>
      <c r="O105" t="n">
        <v>0</v>
      </c>
      <c r="P105" t="n">
        <v>0</v>
      </c>
      <c r="Q105" t="n">
        <v>0</v>
      </c>
      <c r="R105" s="2" t="inlineStr"/>
    </row>
    <row r="106" ht="15" customHeight="1">
      <c r="A106" t="inlineStr">
        <is>
          <t>A 43171-2020</t>
        </is>
      </c>
      <c r="B106" s="1" t="n">
        <v>44081</v>
      </c>
      <c r="C106" s="1" t="n">
        <v>45351</v>
      </c>
      <c r="D106" t="inlineStr">
        <is>
          <t>VÄSTMANLANDS LÄN</t>
        </is>
      </c>
      <c r="E106" t="inlineStr">
        <is>
          <t>SURAHAMMAR</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43174-2020</t>
        </is>
      </c>
      <c r="B107" s="1" t="n">
        <v>44081</v>
      </c>
      <c r="C107" s="1" t="n">
        <v>45351</v>
      </c>
      <c r="D107" t="inlineStr">
        <is>
          <t>VÄSTMANLANDS LÄN</t>
        </is>
      </c>
      <c r="E107" t="inlineStr">
        <is>
          <t>SURAHAMMAR</t>
        </is>
      </c>
      <c r="F107" t="inlineStr">
        <is>
          <t>Sveaskog</t>
        </is>
      </c>
      <c r="G107" t="n">
        <v>0.8</v>
      </c>
      <c r="H107" t="n">
        <v>0</v>
      </c>
      <c r="I107" t="n">
        <v>0</v>
      </c>
      <c r="J107" t="n">
        <v>0</v>
      </c>
      <c r="K107" t="n">
        <v>0</v>
      </c>
      <c r="L107" t="n">
        <v>0</v>
      </c>
      <c r="M107" t="n">
        <v>0</v>
      </c>
      <c r="N107" t="n">
        <v>0</v>
      </c>
      <c r="O107" t="n">
        <v>0</v>
      </c>
      <c r="P107" t="n">
        <v>0</v>
      </c>
      <c r="Q107" t="n">
        <v>0</v>
      </c>
      <c r="R107" s="2" t="inlineStr"/>
    </row>
    <row r="108" ht="15" customHeight="1">
      <c r="A108" t="inlineStr">
        <is>
          <t>A 43177-2020</t>
        </is>
      </c>
      <c r="B108" s="1" t="n">
        <v>44081</v>
      </c>
      <c r="C108" s="1" t="n">
        <v>45351</v>
      </c>
      <c r="D108" t="inlineStr">
        <is>
          <t>VÄSTMANLANDS LÄN</t>
        </is>
      </c>
      <c r="E108" t="inlineStr">
        <is>
          <t>SURAHAMMAR</t>
        </is>
      </c>
      <c r="F108" t="inlineStr">
        <is>
          <t>Sveaskog</t>
        </is>
      </c>
      <c r="G108" t="n">
        <v>2.3</v>
      </c>
      <c r="H108" t="n">
        <v>0</v>
      </c>
      <c r="I108" t="n">
        <v>0</v>
      </c>
      <c r="J108" t="n">
        <v>0</v>
      </c>
      <c r="K108" t="n">
        <v>0</v>
      </c>
      <c r="L108" t="n">
        <v>0</v>
      </c>
      <c r="M108" t="n">
        <v>0</v>
      </c>
      <c r="N108" t="n">
        <v>0</v>
      </c>
      <c r="O108" t="n">
        <v>0</v>
      </c>
      <c r="P108" t="n">
        <v>0</v>
      </c>
      <c r="Q108" t="n">
        <v>0</v>
      </c>
      <c r="R108" s="2" t="inlineStr"/>
    </row>
    <row r="109" ht="15" customHeight="1">
      <c r="A109" t="inlineStr">
        <is>
          <t>A 43590-2020</t>
        </is>
      </c>
      <c r="B109" s="1" t="n">
        <v>44082</v>
      </c>
      <c r="C109" s="1" t="n">
        <v>45351</v>
      </c>
      <c r="D109" t="inlineStr">
        <is>
          <t>VÄSTMANLANDS LÄN</t>
        </is>
      </c>
      <c r="E109" t="inlineStr">
        <is>
          <t>SURAHAMMAR</t>
        </is>
      </c>
      <c r="F109" t="inlineStr">
        <is>
          <t>Sveaskog</t>
        </is>
      </c>
      <c r="G109" t="n">
        <v>2.1</v>
      </c>
      <c r="H109" t="n">
        <v>0</v>
      </c>
      <c r="I109" t="n">
        <v>0</v>
      </c>
      <c r="J109" t="n">
        <v>0</v>
      </c>
      <c r="K109" t="n">
        <v>0</v>
      </c>
      <c r="L109" t="n">
        <v>0</v>
      </c>
      <c r="M109" t="n">
        <v>0</v>
      </c>
      <c r="N109" t="n">
        <v>0</v>
      </c>
      <c r="O109" t="n">
        <v>0</v>
      </c>
      <c r="P109" t="n">
        <v>0</v>
      </c>
      <c r="Q109" t="n">
        <v>0</v>
      </c>
      <c r="R109" s="2" t="inlineStr"/>
    </row>
    <row r="110" ht="15" customHeight="1">
      <c r="A110" t="inlineStr">
        <is>
          <t>A 47997-2020</t>
        </is>
      </c>
      <c r="B110" s="1" t="n">
        <v>44099</v>
      </c>
      <c r="C110" s="1" t="n">
        <v>45351</v>
      </c>
      <c r="D110" t="inlineStr">
        <is>
          <t>VÄSTMANLANDS LÄN</t>
        </is>
      </c>
      <c r="E110" t="inlineStr">
        <is>
          <t>SURAHAMMAR</t>
        </is>
      </c>
      <c r="G110" t="n">
        <v>4.8</v>
      </c>
      <c r="H110" t="n">
        <v>0</v>
      </c>
      <c r="I110" t="n">
        <v>0</v>
      </c>
      <c r="J110" t="n">
        <v>0</v>
      </c>
      <c r="K110" t="n">
        <v>0</v>
      </c>
      <c r="L110" t="n">
        <v>0</v>
      </c>
      <c r="M110" t="n">
        <v>0</v>
      </c>
      <c r="N110" t="n">
        <v>0</v>
      </c>
      <c r="O110" t="n">
        <v>0</v>
      </c>
      <c r="P110" t="n">
        <v>0</v>
      </c>
      <c r="Q110" t="n">
        <v>0</v>
      </c>
      <c r="R110" s="2" t="inlineStr"/>
    </row>
    <row r="111" ht="15" customHeight="1">
      <c r="A111" t="inlineStr">
        <is>
          <t>A 52076-2020</t>
        </is>
      </c>
      <c r="B111" s="1" t="n">
        <v>44117</v>
      </c>
      <c r="C111" s="1" t="n">
        <v>45351</v>
      </c>
      <c r="D111" t="inlineStr">
        <is>
          <t>VÄSTMANLANDS LÄN</t>
        </is>
      </c>
      <c r="E111" t="inlineStr">
        <is>
          <t>SURAHAMMAR</t>
        </is>
      </c>
      <c r="F111" t="inlineStr">
        <is>
          <t>Sveaskog</t>
        </is>
      </c>
      <c r="G111" t="n">
        <v>1.5</v>
      </c>
      <c r="H111" t="n">
        <v>0</v>
      </c>
      <c r="I111" t="n">
        <v>0</v>
      </c>
      <c r="J111" t="n">
        <v>0</v>
      </c>
      <c r="K111" t="n">
        <v>0</v>
      </c>
      <c r="L111" t="n">
        <v>0</v>
      </c>
      <c r="M111" t="n">
        <v>0</v>
      </c>
      <c r="N111" t="n">
        <v>0</v>
      </c>
      <c r="O111" t="n">
        <v>0</v>
      </c>
      <c r="P111" t="n">
        <v>0</v>
      </c>
      <c r="Q111" t="n">
        <v>0</v>
      </c>
      <c r="R111" s="2" t="inlineStr"/>
    </row>
    <row r="112" ht="15" customHeight="1">
      <c r="A112" t="inlineStr">
        <is>
          <t>A 52074-2020</t>
        </is>
      </c>
      <c r="B112" s="1" t="n">
        <v>44117</v>
      </c>
      <c r="C112" s="1" t="n">
        <v>45351</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54962-2020</t>
        </is>
      </c>
      <c r="B113" s="1" t="n">
        <v>44130</v>
      </c>
      <c r="C113" s="1" t="n">
        <v>45351</v>
      </c>
      <c r="D113" t="inlineStr">
        <is>
          <t>VÄSTMANLANDS LÄN</t>
        </is>
      </c>
      <c r="E113" t="inlineStr">
        <is>
          <t>SURAHAMMAR</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55397-2020</t>
        </is>
      </c>
      <c r="B114" s="1" t="n">
        <v>44131</v>
      </c>
      <c r="C114" s="1" t="n">
        <v>45351</v>
      </c>
      <c r="D114" t="inlineStr">
        <is>
          <t>VÄSTMANLANDS LÄN</t>
        </is>
      </c>
      <c r="E114" t="inlineStr">
        <is>
          <t>SURAHAMMAR</t>
        </is>
      </c>
      <c r="F114" t="inlineStr">
        <is>
          <t>Sveaskog</t>
        </is>
      </c>
      <c r="G114" t="n">
        <v>5</v>
      </c>
      <c r="H114" t="n">
        <v>0</v>
      </c>
      <c r="I114" t="n">
        <v>0</v>
      </c>
      <c r="J114" t="n">
        <v>0</v>
      </c>
      <c r="K114" t="n">
        <v>0</v>
      </c>
      <c r="L114" t="n">
        <v>0</v>
      </c>
      <c r="M114" t="n">
        <v>0</v>
      </c>
      <c r="N114" t="n">
        <v>0</v>
      </c>
      <c r="O114" t="n">
        <v>0</v>
      </c>
      <c r="P114" t="n">
        <v>0</v>
      </c>
      <c r="Q114" t="n">
        <v>0</v>
      </c>
      <c r="R114" s="2" t="inlineStr"/>
    </row>
    <row r="115" ht="15" customHeight="1">
      <c r="A115" t="inlineStr">
        <is>
          <t>A 59543-2020</t>
        </is>
      </c>
      <c r="B115" s="1" t="n">
        <v>44148</v>
      </c>
      <c r="C115" s="1" t="n">
        <v>45351</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59740-2020</t>
        </is>
      </c>
      <c r="B116" s="1" t="n">
        <v>44151</v>
      </c>
      <c r="C116" s="1" t="n">
        <v>45351</v>
      </c>
      <c r="D116" t="inlineStr">
        <is>
          <t>VÄSTMANLANDS LÄN</t>
        </is>
      </c>
      <c r="E116" t="inlineStr">
        <is>
          <t>SURAHAMMAR</t>
        </is>
      </c>
      <c r="F116" t="inlineStr">
        <is>
          <t>Sveaskog</t>
        </is>
      </c>
      <c r="G116" t="n">
        <v>3.4</v>
      </c>
      <c r="H116" t="n">
        <v>0</v>
      </c>
      <c r="I116" t="n">
        <v>0</v>
      </c>
      <c r="J116" t="n">
        <v>0</v>
      </c>
      <c r="K116" t="n">
        <v>0</v>
      </c>
      <c r="L116" t="n">
        <v>0</v>
      </c>
      <c r="M116" t="n">
        <v>0</v>
      </c>
      <c r="N116" t="n">
        <v>0</v>
      </c>
      <c r="O116" t="n">
        <v>0</v>
      </c>
      <c r="P116" t="n">
        <v>0</v>
      </c>
      <c r="Q116" t="n">
        <v>0</v>
      </c>
      <c r="R116" s="2" t="inlineStr"/>
    </row>
    <row r="117" ht="15" customHeight="1">
      <c r="A117" t="inlineStr">
        <is>
          <t>A 59727-2020</t>
        </is>
      </c>
      <c r="B117" s="1" t="n">
        <v>44151</v>
      </c>
      <c r="C117" s="1" t="n">
        <v>45351</v>
      </c>
      <c r="D117" t="inlineStr">
        <is>
          <t>VÄSTMANLANDS LÄN</t>
        </is>
      </c>
      <c r="E117" t="inlineStr">
        <is>
          <t>SURAHAMMAR</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1492-2021</t>
        </is>
      </c>
      <c r="B118" s="1" t="n">
        <v>44209</v>
      </c>
      <c r="C118" s="1" t="n">
        <v>45351</v>
      </c>
      <c r="D118" t="inlineStr">
        <is>
          <t>VÄSTMANLANDS LÄN</t>
        </is>
      </c>
      <c r="E118" t="inlineStr">
        <is>
          <t>SURAHAMMAR</t>
        </is>
      </c>
      <c r="G118" t="n">
        <v>1.2</v>
      </c>
      <c r="H118" t="n">
        <v>0</v>
      </c>
      <c r="I118" t="n">
        <v>0</v>
      </c>
      <c r="J118" t="n">
        <v>0</v>
      </c>
      <c r="K118" t="n">
        <v>0</v>
      </c>
      <c r="L118" t="n">
        <v>0</v>
      </c>
      <c r="M118" t="n">
        <v>0</v>
      </c>
      <c r="N118" t="n">
        <v>0</v>
      </c>
      <c r="O118" t="n">
        <v>0</v>
      </c>
      <c r="P118" t="n">
        <v>0</v>
      </c>
      <c r="Q118" t="n">
        <v>0</v>
      </c>
      <c r="R118" s="2" t="inlineStr"/>
    </row>
    <row r="119" ht="15" customHeight="1">
      <c r="A119" t="inlineStr">
        <is>
          <t>A 18723-2021</t>
        </is>
      </c>
      <c r="B119" s="1" t="n">
        <v>44306</v>
      </c>
      <c r="C119" s="1" t="n">
        <v>45351</v>
      </c>
      <c r="D119" t="inlineStr">
        <is>
          <t>VÄSTMANLANDS LÄN</t>
        </is>
      </c>
      <c r="E119" t="inlineStr">
        <is>
          <t>SURAHAMMAR</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20478-2021</t>
        </is>
      </c>
      <c r="B120" s="1" t="n">
        <v>44315</v>
      </c>
      <c r="C120" s="1" t="n">
        <v>45351</v>
      </c>
      <c r="D120" t="inlineStr">
        <is>
          <t>VÄSTMANLANDS LÄN</t>
        </is>
      </c>
      <c r="E120" t="inlineStr">
        <is>
          <t>SURAHAMMAR</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21839-2021</t>
        </is>
      </c>
      <c r="B121" s="1" t="n">
        <v>44322</v>
      </c>
      <c r="C121" s="1" t="n">
        <v>45351</v>
      </c>
      <c r="D121" t="inlineStr">
        <is>
          <t>VÄSTMANLANDS LÄN</t>
        </is>
      </c>
      <c r="E121" t="inlineStr">
        <is>
          <t>SURAHAMMAR</t>
        </is>
      </c>
      <c r="G121" t="n">
        <v>1.6</v>
      </c>
      <c r="H121" t="n">
        <v>0</v>
      </c>
      <c r="I121" t="n">
        <v>0</v>
      </c>
      <c r="J121" t="n">
        <v>0</v>
      </c>
      <c r="K121" t="n">
        <v>0</v>
      </c>
      <c r="L121" t="n">
        <v>0</v>
      </c>
      <c r="M121" t="n">
        <v>0</v>
      </c>
      <c r="N121" t="n">
        <v>0</v>
      </c>
      <c r="O121" t="n">
        <v>0</v>
      </c>
      <c r="P121" t="n">
        <v>0</v>
      </c>
      <c r="Q121" t="n">
        <v>0</v>
      </c>
      <c r="R121" s="2" t="inlineStr"/>
    </row>
    <row r="122" ht="15" customHeight="1">
      <c r="A122" t="inlineStr">
        <is>
          <t>A 24804-2021</t>
        </is>
      </c>
      <c r="B122" s="1" t="n">
        <v>44340</v>
      </c>
      <c r="C122" s="1" t="n">
        <v>45351</v>
      </c>
      <c r="D122" t="inlineStr">
        <is>
          <t>VÄSTMANLANDS LÄN</t>
        </is>
      </c>
      <c r="E122" t="inlineStr">
        <is>
          <t>SURAHAMMAR</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31468-2021</t>
        </is>
      </c>
      <c r="B123" s="1" t="n">
        <v>44369</v>
      </c>
      <c r="C123" s="1" t="n">
        <v>45351</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33998-2021</t>
        </is>
      </c>
      <c r="B124" s="1" t="n">
        <v>44378</v>
      </c>
      <c r="C124" s="1" t="n">
        <v>45351</v>
      </c>
      <c r="D124" t="inlineStr">
        <is>
          <t>VÄSTMANLANDS LÄN</t>
        </is>
      </c>
      <c r="E124" t="inlineStr">
        <is>
          <t>SURAHAMMAR</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34001-2021</t>
        </is>
      </c>
      <c r="B125" s="1" t="n">
        <v>44378</v>
      </c>
      <c r="C125" s="1" t="n">
        <v>45351</v>
      </c>
      <c r="D125" t="inlineStr">
        <is>
          <t>VÄSTMANLANDS LÄN</t>
        </is>
      </c>
      <c r="E125" t="inlineStr">
        <is>
          <t>SURAHAMMAR</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37798-2021</t>
        </is>
      </c>
      <c r="B126" s="1" t="n">
        <v>44402</v>
      </c>
      <c r="C126" s="1" t="n">
        <v>45351</v>
      </c>
      <c r="D126" t="inlineStr">
        <is>
          <t>VÄSTMANLANDS LÄN</t>
        </is>
      </c>
      <c r="E126" t="inlineStr">
        <is>
          <t>SURAHAMMAR</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37799-2021</t>
        </is>
      </c>
      <c r="B127" s="1" t="n">
        <v>44402</v>
      </c>
      <c r="C127" s="1" t="n">
        <v>45351</v>
      </c>
      <c r="D127" t="inlineStr">
        <is>
          <t>VÄSTMANLANDS LÄN</t>
        </is>
      </c>
      <c r="E127" t="inlineStr">
        <is>
          <t>SURAHAMMAR</t>
        </is>
      </c>
      <c r="F127" t="inlineStr">
        <is>
          <t>Kommuner</t>
        </is>
      </c>
      <c r="G127" t="n">
        <v>2.1</v>
      </c>
      <c r="H127" t="n">
        <v>0</v>
      </c>
      <c r="I127" t="n">
        <v>0</v>
      </c>
      <c r="J127" t="n">
        <v>0</v>
      </c>
      <c r="K127" t="n">
        <v>0</v>
      </c>
      <c r="L127" t="n">
        <v>0</v>
      </c>
      <c r="M127" t="n">
        <v>0</v>
      </c>
      <c r="N127" t="n">
        <v>0</v>
      </c>
      <c r="O127" t="n">
        <v>0</v>
      </c>
      <c r="P127" t="n">
        <v>0</v>
      </c>
      <c r="Q127" t="n">
        <v>0</v>
      </c>
      <c r="R127" s="2" t="inlineStr"/>
    </row>
    <row r="128" ht="15" customHeight="1">
      <c r="A128" t="inlineStr">
        <is>
          <t>A 38150-2021</t>
        </is>
      </c>
      <c r="B128" s="1" t="n">
        <v>44405</v>
      </c>
      <c r="C128" s="1" t="n">
        <v>45351</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38178-2021</t>
        </is>
      </c>
      <c r="B129" s="1" t="n">
        <v>44405</v>
      </c>
      <c r="C129" s="1" t="n">
        <v>45351</v>
      </c>
      <c r="D129" t="inlineStr">
        <is>
          <t>VÄSTMANLANDS LÄN</t>
        </is>
      </c>
      <c r="E129" t="inlineStr">
        <is>
          <t>SURAHAMMAR</t>
        </is>
      </c>
      <c r="F129" t="inlineStr">
        <is>
          <t>Sveaskog</t>
        </is>
      </c>
      <c r="G129" t="n">
        <v>1.3</v>
      </c>
      <c r="H129" t="n">
        <v>0</v>
      </c>
      <c r="I129" t="n">
        <v>0</v>
      </c>
      <c r="J129" t="n">
        <v>0</v>
      </c>
      <c r="K129" t="n">
        <v>0</v>
      </c>
      <c r="L129" t="n">
        <v>0</v>
      </c>
      <c r="M129" t="n">
        <v>0</v>
      </c>
      <c r="N129" t="n">
        <v>0</v>
      </c>
      <c r="O129" t="n">
        <v>0</v>
      </c>
      <c r="P129" t="n">
        <v>0</v>
      </c>
      <c r="Q129" t="n">
        <v>0</v>
      </c>
      <c r="R129" s="2" t="inlineStr"/>
    </row>
    <row r="130" ht="15" customHeight="1">
      <c r="A130" t="inlineStr">
        <is>
          <t>A 38149-2021</t>
        </is>
      </c>
      <c r="B130" s="1" t="n">
        <v>44405</v>
      </c>
      <c r="C130" s="1" t="n">
        <v>45351</v>
      </c>
      <c r="D130" t="inlineStr">
        <is>
          <t>VÄSTMANLANDS LÄN</t>
        </is>
      </c>
      <c r="E130" t="inlineStr">
        <is>
          <t>SURAHAMMAR</t>
        </is>
      </c>
      <c r="F130" t="inlineStr">
        <is>
          <t>Sveaskog</t>
        </is>
      </c>
      <c r="G130" t="n">
        <v>4.9</v>
      </c>
      <c r="H130" t="n">
        <v>0</v>
      </c>
      <c r="I130" t="n">
        <v>0</v>
      </c>
      <c r="J130" t="n">
        <v>0</v>
      </c>
      <c r="K130" t="n">
        <v>0</v>
      </c>
      <c r="L130" t="n">
        <v>0</v>
      </c>
      <c r="M130" t="n">
        <v>0</v>
      </c>
      <c r="N130" t="n">
        <v>0</v>
      </c>
      <c r="O130" t="n">
        <v>0</v>
      </c>
      <c r="P130" t="n">
        <v>0</v>
      </c>
      <c r="Q130" t="n">
        <v>0</v>
      </c>
      <c r="R130" s="2" t="inlineStr"/>
    </row>
    <row r="131" ht="15" customHeight="1">
      <c r="A131" t="inlineStr">
        <is>
          <t>A 38163-2021</t>
        </is>
      </c>
      <c r="B131" s="1" t="n">
        <v>44405</v>
      </c>
      <c r="C131" s="1" t="n">
        <v>45351</v>
      </c>
      <c r="D131" t="inlineStr">
        <is>
          <t>VÄSTMANLANDS LÄN</t>
        </is>
      </c>
      <c r="E131" t="inlineStr">
        <is>
          <t>SURAHAMMAR</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38154-2021</t>
        </is>
      </c>
      <c r="B132" s="1" t="n">
        <v>44405</v>
      </c>
      <c r="C132" s="1" t="n">
        <v>45351</v>
      </c>
      <c r="D132" t="inlineStr">
        <is>
          <t>VÄSTMANLANDS LÄN</t>
        </is>
      </c>
      <c r="E132" t="inlineStr">
        <is>
          <t>SURAHAMMAR</t>
        </is>
      </c>
      <c r="F132" t="inlineStr">
        <is>
          <t>Sveaskog</t>
        </is>
      </c>
      <c r="G132" t="n">
        <v>1.3</v>
      </c>
      <c r="H132" t="n">
        <v>0</v>
      </c>
      <c r="I132" t="n">
        <v>0</v>
      </c>
      <c r="J132" t="n">
        <v>0</v>
      </c>
      <c r="K132" t="n">
        <v>0</v>
      </c>
      <c r="L132" t="n">
        <v>0</v>
      </c>
      <c r="M132" t="n">
        <v>0</v>
      </c>
      <c r="N132" t="n">
        <v>0</v>
      </c>
      <c r="O132" t="n">
        <v>0</v>
      </c>
      <c r="P132" t="n">
        <v>0</v>
      </c>
      <c r="Q132" t="n">
        <v>0</v>
      </c>
      <c r="R132" s="2" t="inlineStr"/>
    </row>
    <row r="133" ht="15" customHeight="1">
      <c r="A133" t="inlineStr">
        <is>
          <t>A 47852-2021</t>
        </is>
      </c>
      <c r="B133" s="1" t="n">
        <v>44448</v>
      </c>
      <c r="C133" s="1" t="n">
        <v>45351</v>
      </c>
      <c r="D133" t="inlineStr">
        <is>
          <t>VÄSTMANLANDS LÄN</t>
        </is>
      </c>
      <c r="E133" t="inlineStr">
        <is>
          <t>SURAHAMMAR</t>
        </is>
      </c>
      <c r="G133" t="n">
        <v>4.1</v>
      </c>
      <c r="H133" t="n">
        <v>0</v>
      </c>
      <c r="I133" t="n">
        <v>0</v>
      </c>
      <c r="J133" t="n">
        <v>0</v>
      </c>
      <c r="K133" t="n">
        <v>0</v>
      </c>
      <c r="L133" t="n">
        <v>0</v>
      </c>
      <c r="M133" t="n">
        <v>0</v>
      </c>
      <c r="N133" t="n">
        <v>0</v>
      </c>
      <c r="O133" t="n">
        <v>0</v>
      </c>
      <c r="P133" t="n">
        <v>0</v>
      </c>
      <c r="Q133" t="n">
        <v>0</v>
      </c>
      <c r="R133" s="2" t="inlineStr"/>
    </row>
    <row r="134" ht="15" customHeight="1">
      <c r="A134" t="inlineStr">
        <is>
          <t>A 47785-2021</t>
        </is>
      </c>
      <c r="B134" s="1" t="n">
        <v>44448</v>
      </c>
      <c r="C134" s="1" t="n">
        <v>45351</v>
      </c>
      <c r="D134" t="inlineStr">
        <is>
          <t>VÄSTMANLANDS LÄN</t>
        </is>
      </c>
      <c r="E134" t="inlineStr">
        <is>
          <t>SURAHAMMAR</t>
        </is>
      </c>
      <c r="F134" t="inlineStr">
        <is>
          <t>Kommuner</t>
        </is>
      </c>
      <c r="G134" t="n">
        <v>3.3</v>
      </c>
      <c r="H134" t="n">
        <v>0</v>
      </c>
      <c r="I134" t="n">
        <v>0</v>
      </c>
      <c r="J134" t="n">
        <v>0</v>
      </c>
      <c r="K134" t="n">
        <v>0</v>
      </c>
      <c r="L134" t="n">
        <v>0</v>
      </c>
      <c r="M134" t="n">
        <v>0</v>
      </c>
      <c r="N134" t="n">
        <v>0</v>
      </c>
      <c r="O134" t="n">
        <v>0</v>
      </c>
      <c r="P134" t="n">
        <v>0</v>
      </c>
      <c r="Q134" t="n">
        <v>0</v>
      </c>
      <c r="R134" s="2" t="inlineStr"/>
    </row>
    <row r="135" ht="15" customHeight="1">
      <c r="A135" t="inlineStr">
        <is>
          <t>A 64073-2021</t>
        </is>
      </c>
      <c r="B135" s="1" t="n">
        <v>44509</v>
      </c>
      <c r="C135" s="1" t="n">
        <v>45351</v>
      </c>
      <c r="D135" t="inlineStr">
        <is>
          <t>VÄSTMANLANDS LÄN</t>
        </is>
      </c>
      <c r="E135" t="inlineStr">
        <is>
          <t>SURAHAMMAR</t>
        </is>
      </c>
      <c r="G135" t="n">
        <v>0.4</v>
      </c>
      <c r="H135" t="n">
        <v>0</v>
      </c>
      <c r="I135" t="n">
        <v>0</v>
      </c>
      <c r="J135" t="n">
        <v>0</v>
      </c>
      <c r="K135" t="n">
        <v>0</v>
      </c>
      <c r="L135" t="n">
        <v>0</v>
      </c>
      <c r="M135" t="n">
        <v>0</v>
      </c>
      <c r="N135" t="n">
        <v>0</v>
      </c>
      <c r="O135" t="n">
        <v>0</v>
      </c>
      <c r="P135" t="n">
        <v>0</v>
      </c>
      <c r="Q135" t="n">
        <v>0</v>
      </c>
      <c r="R135" s="2" t="inlineStr"/>
    </row>
    <row r="136" ht="15" customHeight="1">
      <c r="A136" t="inlineStr">
        <is>
          <t>A 66343-2021</t>
        </is>
      </c>
      <c r="B136" s="1" t="n">
        <v>44518</v>
      </c>
      <c r="C136" s="1" t="n">
        <v>45351</v>
      </c>
      <c r="D136" t="inlineStr">
        <is>
          <t>VÄSTMANLANDS LÄN</t>
        </is>
      </c>
      <c r="E136" t="inlineStr">
        <is>
          <t>SURAHAMMAR</t>
        </is>
      </c>
      <c r="F136" t="inlineStr">
        <is>
          <t>Sveaskog</t>
        </is>
      </c>
      <c r="G136" t="n">
        <v>2.5</v>
      </c>
      <c r="H136" t="n">
        <v>0</v>
      </c>
      <c r="I136" t="n">
        <v>0</v>
      </c>
      <c r="J136" t="n">
        <v>0</v>
      </c>
      <c r="K136" t="n">
        <v>0</v>
      </c>
      <c r="L136" t="n">
        <v>0</v>
      </c>
      <c r="M136" t="n">
        <v>0</v>
      </c>
      <c r="N136" t="n">
        <v>0</v>
      </c>
      <c r="O136" t="n">
        <v>0</v>
      </c>
      <c r="P136" t="n">
        <v>0</v>
      </c>
      <c r="Q136" t="n">
        <v>0</v>
      </c>
      <c r="R136" s="2" t="inlineStr"/>
    </row>
    <row r="137" ht="15" customHeight="1">
      <c r="A137" t="inlineStr">
        <is>
          <t>A 66342-2021</t>
        </is>
      </c>
      <c r="B137" s="1" t="n">
        <v>44518</v>
      </c>
      <c r="C137" s="1" t="n">
        <v>45351</v>
      </c>
      <c r="D137" t="inlineStr">
        <is>
          <t>VÄSTMANLANDS LÄN</t>
        </is>
      </c>
      <c r="E137" t="inlineStr">
        <is>
          <t>SURAHAMMAR</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66350-2021</t>
        </is>
      </c>
      <c r="B138" s="1" t="n">
        <v>44518</v>
      </c>
      <c r="C138" s="1" t="n">
        <v>45351</v>
      </c>
      <c r="D138" t="inlineStr">
        <is>
          <t>VÄSTMANLANDS LÄN</t>
        </is>
      </c>
      <c r="E138" t="inlineStr">
        <is>
          <t>SURAHAMMAR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67611-2021</t>
        </is>
      </c>
      <c r="B139" s="1" t="n">
        <v>44524</v>
      </c>
      <c r="C139" s="1" t="n">
        <v>45351</v>
      </c>
      <c r="D139" t="inlineStr">
        <is>
          <t>VÄSTMANLANDS LÄN</t>
        </is>
      </c>
      <c r="E139" t="inlineStr">
        <is>
          <t>SURAHAMMAR</t>
        </is>
      </c>
      <c r="F139" t="inlineStr">
        <is>
          <t>Kommuner</t>
        </is>
      </c>
      <c r="G139" t="n">
        <v>3.8</v>
      </c>
      <c r="H139" t="n">
        <v>0</v>
      </c>
      <c r="I139" t="n">
        <v>0</v>
      </c>
      <c r="J139" t="n">
        <v>0</v>
      </c>
      <c r="K139" t="n">
        <v>0</v>
      </c>
      <c r="L139" t="n">
        <v>0</v>
      </c>
      <c r="M139" t="n">
        <v>0</v>
      </c>
      <c r="N139" t="n">
        <v>0</v>
      </c>
      <c r="O139" t="n">
        <v>0</v>
      </c>
      <c r="P139" t="n">
        <v>0</v>
      </c>
      <c r="Q139" t="n">
        <v>0</v>
      </c>
      <c r="R139" s="2" t="inlineStr"/>
    </row>
    <row r="140" ht="15" customHeight="1">
      <c r="A140" t="inlineStr">
        <is>
          <t>A 72367-2021</t>
        </is>
      </c>
      <c r="B140" s="1" t="n">
        <v>44545</v>
      </c>
      <c r="C140" s="1" t="n">
        <v>45351</v>
      </c>
      <c r="D140" t="inlineStr">
        <is>
          <t>VÄSTMANLANDS LÄN</t>
        </is>
      </c>
      <c r="E140" t="inlineStr">
        <is>
          <t>SURAHAMMAR</t>
        </is>
      </c>
      <c r="G140" t="n">
        <v>2.5</v>
      </c>
      <c r="H140" t="n">
        <v>0</v>
      </c>
      <c r="I140" t="n">
        <v>0</v>
      </c>
      <c r="J140" t="n">
        <v>0</v>
      </c>
      <c r="K140" t="n">
        <v>0</v>
      </c>
      <c r="L140" t="n">
        <v>0</v>
      </c>
      <c r="M140" t="n">
        <v>0</v>
      </c>
      <c r="N140" t="n">
        <v>0</v>
      </c>
      <c r="O140" t="n">
        <v>0</v>
      </c>
      <c r="P140" t="n">
        <v>0</v>
      </c>
      <c r="Q140" t="n">
        <v>0</v>
      </c>
      <c r="R140" s="2" t="inlineStr"/>
    </row>
    <row r="141" ht="15" customHeight="1">
      <c r="A141" t="inlineStr">
        <is>
          <t>A 73156-2021</t>
        </is>
      </c>
      <c r="B141" s="1" t="n">
        <v>44550</v>
      </c>
      <c r="C141" s="1" t="n">
        <v>45351</v>
      </c>
      <c r="D141" t="inlineStr">
        <is>
          <t>VÄSTMANLANDS LÄN</t>
        </is>
      </c>
      <c r="E141" t="inlineStr">
        <is>
          <t>SURAHAMMAR</t>
        </is>
      </c>
      <c r="F141" t="inlineStr">
        <is>
          <t>Övriga Aktiebolag</t>
        </is>
      </c>
      <c r="G141" t="n">
        <v>2.5</v>
      </c>
      <c r="H141" t="n">
        <v>0</v>
      </c>
      <c r="I141" t="n">
        <v>0</v>
      </c>
      <c r="J141" t="n">
        <v>0</v>
      </c>
      <c r="K141" t="n">
        <v>0</v>
      </c>
      <c r="L141" t="n">
        <v>0</v>
      </c>
      <c r="M141" t="n">
        <v>0</v>
      </c>
      <c r="N141" t="n">
        <v>0</v>
      </c>
      <c r="O141" t="n">
        <v>0</v>
      </c>
      <c r="P141" t="n">
        <v>0</v>
      </c>
      <c r="Q141" t="n">
        <v>0</v>
      </c>
      <c r="R141" s="2" t="inlineStr"/>
    </row>
    <row r="142" ht="15" customHeight="1">
      <c r="A142" t="inlineStr">
        <is>
          <t>A 3155-2022</t>
        </is>
      </c>
      <c r="B142" s="1" t="n">
        <v>44582</v>
      </c>
      <c r="C142" s="1" t="n">
        <v>45351</v>
      </c>
      <c r="D142" t="inlineStr">
        <is>
          <t>VÄSTMANLANDS LÄN</t>
        </is>
      </c>
      <c r="E142" t="inlineStr">
        <is>
          <t>SURAHAMMAR</t>
        </is>
      </c>
      <c r="G142" t="n">
        <v>5.5</v>
      </c>
      <c r="H142" t="n">
        <v>0</v>
      </c>
      <c r="I142" t="n">
        <v>0</v>
      </c>
      <c r="J142" t="n">
        <v>0</v>
      </c>
      <c r="K142" t="n">
        <v>0</v>
      </c>
      <c r="L142" t="n">
        <v>0</v>
      </c>
      <c r="M142" t="n">
        <v>0</v>
      </c>
      <c r="N142" t="n">
        <v>0</v>
      </c>
      <c r="O142" t="n">
        <v>0</v>
      </c>
      <c r="P142" t="n">
        <v>0</v>
      </c>
      <c r="Q142" t="n">
        <v>0</v>
      </c>
      <c r="R142" s="2" t="inlineStr"/>
    </row>
    <row r="143" ht="15" customHeight="1">
      <c r="A143" t="inlineStr">
        <is>
          <t>A 3595-2022</t>
        </is>
      </c>
      <c r="B143" s="1" t="n">
        <v>44586</v>
      </c>
      <c r="C143" s="1" t="n">
        <v>45351</v>
      </c>
      <c r="D143" t="inlineStr">
        <is>
          <t>VÄSTMANLANDS LÄN</t>
        </is>
      </c>
      <c r="E143" t="inlineStr">
        <is>
          <t>SURAHAMMAR</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3818-2022</t>
        </is>
      </c>
      <c r="B144" s="1" t="n">
        <v>44587</v>
      </c>
      <c r="C144" s="1" t="n">
        <v>45351</v>
      </c>
      <c r="D144" t="inlineStr">
        <is>
          <t>VÄSTMANLANDS LÄN</t>
        </is>
      </c>
      <c r="E144" t="inlineStr">
        <is>
          <t>SURAHAMMAR</t>
        </is>
      </c>
      <c r="G144" t="n">
        <v>2.6</v>
      </c>
      <c r="H144" t="n">
        <v>0</v>
      </c>
      <c r="I144" t="n">
        <v>0</v>
      </c>
      <c r="J144" t="n">
        <v>0</v>
      </c>
      <c r="K144" t="n">
        <v>0</v>
      </c>
      <c r="L144" t="n">
        <v>0</v>
      </c>
      <c r="M144" t="n">
        <v>0</v>
      </c>
      <c r="N144" t="n">
        <v>0</v>
      </c>
      <c r="O144" t="n">
        <v>0</v>
      </c>
      <c r="P144" t="n">
        <v>0</v>
      </c>
      <c r="Q144" t="n">
        <v>0</v>
      </c>
      <c r="R144" s="2" t="inlineStr"/>
    </row>
    <row r="145" ht="15" customHeight="1">
      <c r="A145" t="inlineStr">
        <is>
          <t>A 5567-2022</t>
        </is>
      </c>
      <c r="B145" s="1" t="n">
        <v>44595</v>
      </c>
      <c r="C145" s="1" t="n">
        <v>45351</v>
      </c>
      <c r="D145" t="inlineStr">
        <is>
          <t>VÄSTMANLANDS LÄN</t>
        </is>
      </c>
      <c r="E145" t="inlineStr">
        <is>
          <t>SURAHAMMAR</t>
        </is>
      </c>
      <c r="G145" t="n">
        <v>1.3</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v>
      </c>
      <c r="C146" s="1" t="n">
        <v>45351</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13119-2022</t>
        </is>
      </c>
      <c r="B147" s="1" t="n">
        <v>44643</v>
      </c>
      <c r="C147" s="1" t="n">
        <v>45351</v>
      </c>
      <c r="D147" t="inlineStr">
        <is>
          <t>VÄSTMANLANDS LÄN</t>
        </is>
      </c>
      <c r="E147" t="inlineStr">
        <is>
          <t>SURAHAMMAR</t>
        </is>
      </c>
      <c r="F147" t="inlineStr">
        <is>
          <t>Bergvik skog väst AB</t>
        </is>
      </c>
      <c r="G147" t="n">
        <v>2</v>
      </c>
      <c r="H147" t="n">
        <v>0</v>
      </c>
      <c r="I147" t="n">
        <v>0</v>
      </c>
      <c r="J147" t="n">
        <v>0</v>
      </c>
      <c r="K147" t="n">
        <v>0</v>
      </c>
      <c r="L147" t="n">
        <v>0</v>
      </c>
      <c r="M147" t="n">
        <v>0</v>
      </c>
      <c r="N147" t="n">
        <v>0</v>
      </c>
      <c r="O147" t="n">
        <v>0</v>
      </c>
      <c r="P147" t="n">
        <v>0</v>
      </c>
      <c r="Q147" t="n">
        <v>0</v>
      </c>
      <c r="R147" s="2" t="inlineStr"/>
    </row>
    <row r="148" ht="15" customHeight="1">
      <c r="A148" t="inlineStr">
        <is>
          <t>A 13070-2022</t>
        </is>
      </c>
      <c r="B148" s="1" t="n">
        <v>44643</v>
      </c>
      <c r="C148" s="1" t="n">
        <v>45351</v>
      </c>
      <c r="D148" t="inlineStr">
        <is>
          <t>VÄSTMANLANDS LÄN</t>
        </is>
      </c>
      <c r="E148" t="inlineStr">
        <is>
          <t>SURAHAMMAR</t>
        </is>
      </c>
      <c r="F148" t="inlineStr">
        <is>
          <t>Bergvik skog väst AB</t>
        </is>
      </c>
      <c r="G148" t="n">
        <v>4.3</v>
      </c>
      <c r="H148" t="n">
        <v>0</v>
      </c>
      <c r="I148" t="n">
        <v>0</v>
      </c>
      <c r="J148" t="n">
        <v>0</v>
      </c>
      <c r="K148" t="n">
        <v>0</v>
      </c>
      <c r="L148" t="n">
        <v>0</v>
      </c>
      <c r="M148" t="n">
        <v>0</v>
      </c>
      <c r="N148" t="n">
        <v>0</v>
      </c>
      <c r="O148" t="n">
        <v>0</v>
      </c>
      <c r="P148" t="n">
        <v>0</v>
      </c>
      <c r="Q148" t="n">
        <v>0</v>
      </c>
      <c r="R148" s="2" t="inlineStr"/>
    </row>
    <row r="149" ht="15" customHeight="1">
      <c r="A149" t="inlineStr">
        <is>
          <t>A 15637-2022</t>
        </is>
      </c>
      <c r="B149" s="1" t="n">
        <v>44662</v>
      </c>
      <c r="C149" s="1" t="n">
        <v>45351</v>
      </c>
      <c r="D149" t="inlineStr">
        <is>
          <t>VÄSTMANLANDS LÄN</t>
        </is>
      </c>
      <c r="E149" t="inlineStr">
        <is>
          <t>SURAHAMMAR</t>
        </is>
      </c>
      <c r="G149" t="n">
        <v>2.2</v>
      </c>
      <c r="H149" t="n">
        <v>0</v>
      </c>
      <c r="I149" t="n">
        <v>0</v>
      </c>
      <c r="J149" t="n">
        <v>0</v>
      </c>
      <c r="K149" t="n">
        <v>0</v>
      </c>
      <c r="L149" t="n">
        <v>0</v>
      </c>
      <c r="M149" t="n">
        <v>0</v>
      </c>
      <c r="N149" t="n">
        <v>0</v>
      </c>
      <c r="O149" t="n">
        <v>0</v>
      </c>
      <c r="P149" t="n">
        <v>0</v>
      </c>
      <c r="Q149" t="n">
        <v>0</v>
      </c>
      <c r="R149" s="2" t="inlineStr"/>
    </row>
    <row r="150" ht="15" customHeight="1">
      <c r="A150" t="inlineStr">
        <is>
          <t>A 16608-2022</t>
        </is>
      </c>
      <c r="B150" s="1" t="n">
        <v>44672</v>
      </c>
      <c r="C150" s="1" t="n">
        <v>45351</v>
      </c>
      <c r="D150" t="inlineStr">
        <is>
          <t>VÄSTMANLANDS LÄN</t>
        </is>
      </c>
      <c r="E150" t="inlineStr">
        <is>
          <t>SURAHAMMAR</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19099-2022</t>
        </is>
      </c>
      <c r="B151" s="1" t="n">
        <v>44691</v>
      </c>
      <c r="C151" s="1" t="n">
        <v>45351</v>
      </c>
      <c r="D151" t="inlineStr">
        <is>
          <t>VÄSTMANLANDS LÄN</t>
        </is>
      </c>
      <c r="E151" t="inlineStr">
        <is>
          <t>SURAHAMMAR</t>
        </is>
      </c>
      <c r="F151" t="inlineStr">
        <is>
          <t>Övriga Aktiebolag</t>
        </is>
      </c>
      <c r="G151" t="n">
        <v>3.4</v>
      </c>
      <c r="H151" t="n">
        <v>0</v>
      </c>
      <c r="I151" t="n">
        <v>0</v>
      </c>
      <c r="J151" t="n">
        <v>0</v>
      </c>
      <c r="K151" t="n">
        <v>0</v>
      </c>
      <c r="L151" t="n">
        <v>0</v>
      </c>
      <c r="M151" t="n">
        <v>0</v>
      </c>
      <c r="N151" t="n">
        <v>0</v>
      </c>
      <c r="O151" t="n">
        <v>0</v>
      </c>
      <c r="P151" t="n">
        <v>0</v>
      </c>
      <c r="Q151" t="n">
        <v>0</v>
      </c>
      <c r="R151" s="2" t="inlineStr"/>
    </row>
    <row r="152" ht="15" customHeight="1">
      <c r="A152" t="inlineStr">
        <is>
          <t>A 19637-2022</t>
        </is>
      </c>
      <c r="B152" s="1" t="n">
        <v>44694</v>
      </c>
      <c r="C152" s="1" t="n">
        <v>45351</v>
      </c>
      <c r="D152" t="inlineStr">
        <is>
          <t>VÄSTMANLANDS LÄN</t>
        </is>
      </c>
      <c r="E152" t="inlineStr">
        <is>
          <t>SURAHAMMAR</t>
        </is>
      </c>
      <c r="F152" t="inlineStr">
        <is>
          <t>Bergvik skog väst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19844-2022</t>
        </is>
      </c>
      <c r="B153" s="1" t="n">
        <v>44696</v>
      </c>
      <c r="C153" s="1" t="n">
        <v>45351</v>
      </c>
      <c r="D153" t="inlineStr">
        <is>
          <t>VÄSTMANLANDS LÄN</t>
        </is>
      </c>
      <c r="E153" t="inlineStr">
        <is>
          <t>SURAHAMMAR</t>
        </is>
      </c>
      <c r="F153" t="inlineStr">
        <is>
          <t>Kommuner</t>
        </is>
      </c>
      <c r="G153" t="n">
        <v>2.1</v>
      </c>
      <c r="H153" t="n">
        <v>0</v>
      </c>
      <c r="I153" t="n">
        <v>0</v>
      </c>
      <c r="J153" t="n">
        <v>0</v>
      </c>
      <c r="K153" t="n">
        <v>0</v>
      </c>
      <c r="L153" t="n">
        <v>0</v>
      </c>
      <c r="M153" t="n">
        <v>0</v>
      </c>
      <c r="N153" t="n">
        <v>0</v>
      </c>
      <c r="O153" t="n">
        <v>0</v>
      </c>
      <c r="P153" t="n">
        <v>0</v>
      </c>
      <c r="Q153" t="n">
        <v>0</v>
      </c>
      <c r="R153" s="2" t="inlineStr"/>
    </row>
    <row r="154" ht="15" customHeight="1">
      <c r="A154" t="inlineStr">
        <is>
          <t>A 19845-2022</t>
        </is>
      </c>
      <c r="B154" s="1" t="n">
        <v>44696</v>
      </c>
      <c r="C154" s="1" t="n">
        <v>45351</v>
      </c>
      <c r="D154" t="inlineStr">
        <is>
          <t>VÄSTMANLANDS LÄN</t>
        </is>
      </c>
      <c r="E154" t="inlineStr">
        <is>
          <t>SURAHAMMAR</t>
        </is>
      </c>
      <c r="F154" t="inlineStr">
        <is>
          <t>Kommuner</t>
        </is>
      </c>
      <c r="G154" t="n">
        <v>3.3</v>
      </c>
      <c r="H154" t="n">
        <v>0</v>
      </c>
      <c r="I154" t="n">
        <v>0</v>
      </c>
      <c r="J154" t="n">
        <v>0</v>
      </c>
      <c r="K154" t="n">
        <v>0</v>
      </c>
      <c r="L154" t="n">
        <v>0</v>
      </c>
      <c r="M154" t="n">
        <v>0</v>
      </c>
      <c r="N154" t="n">
        <v>0</v>
      </c>
      <c r="O154" t="n">
        <v>0</v>
      </c>
      <c r="P154" t="n">
        <v>0</v>
      </c>
      <c r="Q154" t="n">
        <v>0</v>
      </c>
      <c r="R154" s="2" t="inlineStr"/>
    </row>
    <row r="155" ht="15" customHeight="1">
      <c r="A155" t="inlineStr">
        <is>
          <t>A 19846-2022</t>
        </is>
      </c>
      <c r="B155" s="1" t="n">
        <v>44696</v>
      </c>
      <c r="C155" s="1" t="n">
        <v>45351</v>
      </c>
      <c r="D155" t="inlineStr">
        <is>
          <t>VÄSTMANLANDS LÄN</t>
        </is>
      </c>
      <c r="E155" t="inlineStr">
        <is>
          <t>SURAHAMMAR</t>
        </is>
      </c>
      <c r="F155" t="inlineStr">
        <is>
          <t>Kommuner</t>
        </is>
      </c>
      <c r="G155" t="n">
        <v>3.4</v>
      </c>
      <c r="H155" t="n">
        <v>0</v>
      </c>
      <c r="I155" t="n">
        <v>0</v>
      </c>
      <c r="J155" t="n">
        <v>0</v>
      </c>
      <c r="K155" t="n">
        <v>0</v>
      </c>
      <c r="L155" t="n">
        <v>0</v>
      </c>
      <c r="M155" t="n">
        <v>0</v>
      </c>
      <c r="N155" t="n">
        <v>0</v>
      </c>
      <c r="O155" t="n">
        <v>0</v>
      </c>
      <c r="P155" t="n">
        <v>0</v>
      </c>
      <c r="Q155" t="n">
        <v>0</v>
      </c>
      <c r="R155" s="2" t="inlineStr"/>
    </row>
    <row r="156" ht="15" customHeight="1">
      <c r="A156" t="inlineStr">
        <is>
          <t>A 26700-2022</t>
        </is>
      </c>
      <c r="B156" s="1" t="n">
        <v>44739</v>
      </c>
      <c r="C156" s="1" t="n">
        <v>45351</v>
      </c>
      <c r="D156" t="inlineStr">
        <is>
          <t>VÄSTMANLANDS LÄN</t>
        </is>
      </c>
      <c r="E156" t="inlineStr">
        <is>
          <t>SURAHAMMAR</t>
        </is>
      </c>
      <c r="F156" t="inlineStr">
        <is>
          <t>Kommuner</t>
        </is>
      </c>
      <c r="G156" t="n">
        <v>3.1</v>
      </c>
      <c r="H156" t="n">
        <v>0</v>
      </c>
      <c r="I156" t="n">
        <v>0</v>
      </c>
      <c r="J156" t="n">
        <v>0</v>
      </c>
      <c r="K156" t="n">
        <v>0</v>
      </c>
      <c r="L156" t="n">
        <v>0</v>
      </c>
      <c r="M156" t="n">
        <v>0</v>
      </c>
      <c r="N156" t="n">
        <v>0</v>
      </c>
      <c r="O156" t="n">
        <v>0</v>
      </c>
      <c r="P156" t="n">
        <v>0</v>
      </c>
      <c r="Q156" t="n">
        <v>0</v>
      </c>
      <c r="R156" s="2" t="inlineStr"/>
    </row>
    <row r="157" ht="15" customHeight="1">
      <c r="A157" t="inlineStr">
        <is>
          <t>A 32475-2022</t>
        </is>
      </c>
      <c r="B157" s="1" t="n">
        <v>44782</v>
      </c>
      <c r="C157" s="1" t="n">
        <v>45351</v>
      </c>
      <c r="D157" t="inlineStr">
        <is>
          <t>VÄSTMANLANDS LÄN</t>
        </is>
      </c>
      <c r="E157" t="inlineStr">
        <is>
          <t>SURAHAMMAR</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32491-2022</t>
        </is>
      </c>
      <c r="B158" s="1" t="n">
        <v>44782</v>
      </c>
      <c r="C158" s="1" t="n">
        <v>45351</v>
      </c>
      <c r="D158" t="inlineStr">
        <is>
          <t>VÄSTMANLANDS LÄN</t>
        </is>
      </c>
      <c r="E158" t="inlineStr">
        <is>
          <t>SURAHAMMAR</t>
        </is>
      </c>
      <c r="F158" t="inlineStr">
        <is>
          <t>Bergvik skog väst AB</t>
        </is>
      </c>
      <c r="G158" t="n">
        <v>1.5</v>
      </c>
      <c r="H158" t="n">
        <v>0</v>
      </c>
      <c r="I158" t="n">
        <v>0</v>
      </c>
      <c r="J158" t="n">
        <v>0</v>
      </c>
      <c r="K158" t="n">
        <v>0</v>
      </c>
      <c r="L158" t="n">
        <v>0</v>
      </c>
      <c r="M158" t="n">
        <v>0</v>
      </c>
      <c r="N158" t="n">
        <v>0</v>
      </c>
      <c r="O158" t="n">
        <v>0</v>
      </c>
      <c r="P158" t="n">
        <v>0</v>
      </c>
      <c r="Q158" t="n">
        <v>0</v>
      </c>
      <c r="R158" s="2" t="inlineStr"/>
    </row>
    <row r="159" ht="15" customHeight="1">
      <c r="A159" t="inlineStr">
        <is>
          <t>A 32492-2022</t>
        </is>
      </c>
      <c r="B159" s="1" t="n">
        <v>44782</v>
      </c>
      <c r="C159" s="1" t="n">
        <v>45351</v>
      </c>
      <c r="D159" t="inlineStr">
        <is>
          <t>VÄSTMANLANDS LÄN</t>
        </is>
      </c>
      <c r="E159" t="inlineStr">
        <is>
          <t>SURAHAMMAR</t>
        </is>
      </c>
      <c r="F159" t="inlineStr">
        <is>
          <t>Bergvik skog väst AB</t>
        </is>
      </c>
      <c r="G159" t="n">
        <v>5.3</v>
      </c>
      <c r="H159" t="n">
        <v>0</v>
      </c>
      <c r="I159" t="n">
        <v>0</v>
      </c>
      <c r="J159" t="n">
        <v>0</v>
      </c>
      <c r="K159" t="n">
        <v>0</v>
      </c>
      <c r="L159" t="n">
        <v>0</v>
      </c>
      <c r="M159" t="n">
        <v>0</v>
      </c>
      <c r="N159" t="n">
        <v>0</v>
      </c>
      <c r="O159" t="n">
        <v>0</v>
      </c>
      <c r="P159" t="n">
        <v>0</v>
      </c>
      <c r="Q159" t="n">
        <v>0</v>
      </c>
      <c r="R159" s="2" t="inlineStr"/>
    </row>
    <row r="160" ht="15" customHeight="1">
      <c r="A160" t="inlineStr">
        <is>
          <t>A 33931-2022</t>
        </is>
      </c>
      <c r="B160" s="1" t="n">
        <v>44790</v>
      </c>
      <c r="C160" s="1" t="n">
        <v>45351</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33946-2022</t>
        </is>
      </c>
      <c r="B161" s="1" t="n">
        <v>44790</v>
      </c>
      <c r="C161" s="1" t="n">
        <v>45351</v>
      </c>
      <c r="D161" t="inlineStr">
        <is>
          <t>VÄSTMANLANDS LÄN</t>
        </is>
      </c>
      <c r="E161" t="inlineStr">
        <is>
          <t>SURAHAMMAR</t>
        </is>
      </c>
      <c r="G161" t="n">
        <v>2.3</v>
      </c>
      <c r="H161" t="n">
        <v>0</v>
      </c>
      <c r="I161" t="n">
        <v>0</v>
      </c>
      <c r="J161" t="n">
        <v>0</v>
      </c>
      <c r="K161" t="n">
        <v>0</v>
      </c>
      <c r="L161" t="n">
        <v>0</v>
      </c>
      <c r="M161" t="n">
        <v>0</v>
      </c>
      <c r="N161" t="n">
        <v>0</v>
      </c>
      <c r="O161" t="n">
        <v>0</v>
      </c>
      <c r="P161" t="n">
        <v>0</v>
      </c>
      <c r="Q161" t="n">
        <v>0</v>
      </c>
      <c r="R161" s="2" t="inlineStr"/>
    </row>
    <row r="162" ht="15" customHeight="1">
      <c r="A162" t="inlineStr">
        <is>
          <t>A 33953-2022</t>
        </is>
      </c>
      <c r="B162" s="1" t="n">
        <v>44790</v>
      </c>
      <c r="C162" s="1" t="n">
        <v>45351</v>
      </c>
      <c r="D162" t="inlineStr">
        <is>
          <t>VÄSTMANLANDS LÄN</t>
        </is>
      </c>
      <c r="E162" t="inlineStr">
        <is>
          <t>SURAHAMMAR</t>
        </is>
      </c>
      <c r="G162" t="n">
        <v>3</v>
      </c>
      <c r="H162" t="n">
        <v>0</v>
      </c>
      <c r="I162" t="n">
        <v>0</v>
      </c>
      <c r="J162" t="n">
        <v>0</v>
      </c>
      <c r="K162" t="n">
        <v>0</v>
      </c>
      <c r="L162" t="n">
        <v>0</v>
      </c>
      <c r="M162" t="n">
        <v>0</v>
      </c>
      <c r="N162" t="n">
        <v>0</v>
      </c>
      <c r="O162" t="n">
        <v>0</v>
      </c>
      <c r="P162" t="n">
        <v>0</v>
      </c>
      <c r="Q162" t="n">
        <v>0</v>
      </c>
      <c r="R162" s="2" t="inlineStr"/>
    </row>
    <row r="163" ht="15" customHeight="1">
      <c r="A163" t="inlineStr">
        <is>
          <t>A 34957-2022</t>
        </is>
      </c>
      <c r="B163" s="1" t="n">
        <v>44796</v>
      </c>
      <c r="C163" s="1" t="n">
        <v>45351</v>
      </c>
      <c r="D163" t="inlineStr">
        <is>
          <t>VÄSTMANLANDS LÄN</t>
        </is>
      </c>
      <c r="E163" t="inlineStr">
        <is>
          <t>SURAHAMMAR</t>
        </is>
      </c>
      <c r="F163" t="inlineStr">
        <is>
          <t>Sveaskog</t>
        </is>
      </c>
      <c r="G163" t="n">
        <v>0.8</v>
      </c>
      <c r="H163" t="n">
        <v>0</v>
      </c>
      <c r="I163" t="n">
        <v>0</v>
      </c>
      <c r="J163" t="n">
        <v>0</v>
      </c>
      <c r="K163" t="n">
        <v>0</v>
      </c>
      <c r="L163" t="n">
        <v>0</v>
      </c>
      <c r="M163" t="n">
        <v>0</v>
      </c>
      <c r="N163" t="n">
        <v>0</v>
      </c>
      <c r="O163" t="n">
        <v>0</v>
      </c>
      <c r="P163" t="n">
        <v>0</v>
      </c>
      <c r="Q163" t="n">
        <v>0</v>
      </c>
      <c r="R163" s="2" t="inlineStr"/>
    </row>
    <row r="164" ht="15" customHeight="1">
      <c r="A164" t="inlineStr">
        <is>
          <t>A 34955-2022</t>
        </is>
      </c>
      <c r="B164" s="1" t="n">
        <v>44796</v>
      </c>
      <c r="C164" s="1" t="n">
        <v>45351</v>
      </c>
      <c r="D164" t="inlineStr">
        <is>
          <t>VÄSTMANLANDS LÄN</t>
        </is>
      </c>
      <c r="E164" t="inlineStr">
        <is>
          <t>SURAHAMMAR</t>
        </is>
      </c>
      <c r="F164" t="inlineStr">
        <is>
          <t>Sveaskog</t>
        </is>
      </c>
      <c r="G164" t="n">
        <v>4.6</v>
      </c>
      <c r="H164" t="n">
        <v>0</v>
      </c>
      <c r="I164" t="n">
        <v>0</v>
      </c>
      <c r="J164" t="n">
        <v>0</v>
      </c>
      <c r="K164" t="n">
        <v>0</v>
      </c>
      <c r="L164" t="n">
        <v>0</v>
      </c>
      <c r="M164" t="n">
        <v>0</v>
      </c>
      <c r="N164" t="n">
        <v>0</v>
      </c>
      <c r="O164" t="n">
        <v>0</v>
      </c>
      <c r="P164" t="n">
        <v>0</v>
      </c>
      <c r="Q164" t="n">
        <v>0</v>
      </c>
      <c r="R164" s="2" t="inlineStr"/>
    </row>
    <row r="165" ht="15" customHeight="1">
      <c r="A165" t="inlineStr">
        <is>
          <t>A 34956-2022</t>
        </is>
      </c>
      <c r="B165" s="1" t="n">
        <v>44796</v>
      </c>
      <c r="C165" s="1" t="n">
        <v>45351</v>
      </c>
      <c r="D165" t="inlineStr">
        <is>
          <t>VÄSTMANLANDS LÄN</t>
        </is>
      </c>
      <c r="E165" t="inlineStr">
        <is>
          <t>SURAHAMMAR</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35677-2022</t>
        </is>
      </c>
      <c r="B166" s="1" t="n">
        <v>44799</v>
      </c>
      <c r="C166" s="1" t="n">
        <v>45351</v>
      </c>
      <c r="D166" t="inlineStr">
        <is>
          <t>VÄSTMANLANDS LÄN</t>
        </is>
      </c>
      <c r="E166" t="inlineStr">
        <is>
          <t>SURAHAMMAR</t>
        </is>
      </c>
      <c r="F166" t="inlineStr">
        <is>
          <t>Sveaskog</t>
        </is>
      </c>
      <c r="G166" t="n">
        <v>4.5</v>
      </c>
      <c r="H166" t="n">
        <v>0</v>
      </c>
      <c r="I166" t="n">
        <v>0</v>
      </c>
      <c r="J166" t="n">
        <v>0</v>
      </c>
      <c r="K166" t="n">
        <v>0</v>
      </c>
      <c r="L166" t="n">
        <v>0</v>
      </c>
      <c r="M166" t="n">
        <v>0</v>
      </c>
      <c r="N166" t="n">
        <v>0</v>
      </c>
      <c r="O166" t="n">
        <v>0</v>
      </c>
      <c r="P166" t="n">
        <v>0</v>
      </c>
      <c r="Q166" t="n">
        <v>0</v>
      </c>
      <c r="R166" s="2" t="inlineStr"/>
    </row>
    <row r="167" ht="15" customHeight="1">
      <c r="A167" t="inlineStr">
        <is>
          <t>A 35682-2022</t>
        </is>
      </c>
      <c r="B167" s="1" t="n">
        <v>44799</v>
      </c>
      <c r="C167" s="1" t="n">
        <v>45351</v>
      </c>
      <c r="D167" t="inlineStr">
        <is>
          <t>VÄSTMANLANDS LÄN</t>
        </is>
      </c>
      <c r="E167" t="inlineStr">
        <is>
          <t>SURAHAMMAR</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35679-2022</t>
        </is>
      </c>
      <c r="B168" s="1" t="n">
        <v>44799</v>
      </c>
      <c r="C168" s="1" t="n">
        <v>45351</v>
      </c>
      <c r="D168" t="inlineStr">
        <is>
          <t>VÄSTMANLANDS LÄN</t>
        </is>
      </c>
      <c r="E168" t="inlineStr">
        <is>
          <t>SURAHAMMAR</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41576-2022</t>
        </is>
      </c>
      <c r="B169" s="1" t="n">
        <v>44826</v>
      </c>
      <c r="C169" s="1" t="n">
        <v>45351</v>
      </c>
      <c r="D169" t="inlineStr">
        <is>
          <t>VÄSTMANLANDS LÄN</t>
        </is>
      </c>
      <c r="E169" t="inlineStr">
        <is>
          <t>SURAHAMMAR</t>
        </is>
      </c>
      <c r="F169" t="inlineStr">
        <is>
          <t>Bergvik skog väst AB</t>
        </is>
      </c>
      <c r="G169" t="n">
        <v>6.4</v>
      </c>
      <c r="H169" t="n">
        <v>0</v>
      </c>
      <c r="I169" t="n">
        <v>0</v>
      </c>
      <c r="J169" t="n">
        <v>0</v>
      </c>
      <c r="K169" t="n">
        <v>0</v>
      </c>
      <c r="L169" t="n">
        <v>0</v>
      </c>
      <c r="M169" t="n">
        <v>0</v>
      </c>
      <c r="N169" t="n">
        <v>0</v>
      </c>
      <c r="O169" t="n">
        <v>0</v>
      </c>
      <c r="P169" t="n">
        <v>0</v>
      </c>
      <c r="Q169" t="n">
        <v>0</v>
      </c>
      <c r="R169" s="2" t="inlineStr"/>
    </row>
    <row r="170" ht="15" customHeight="1">
      <c r="A170" t="inlineStr">
        <is>
          <t>A 41555-2022</t>
        </is>
      </c>
      <c r="B170" s="1" t="n">
        <v>44826</v>
      </c>
      <c r="C170" s="1" t="n">
        <v>45351</v>
      </c>
      <c r="D170" t="inlineStr">
        <is>
          <t>VÄSTMANLANDS LÄN</t>
        </is>
      </c>
      <c r="E170" t="inlineStr">
        <is>
          <t>SURAHAMMAR</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42714-2022</t>
        </is>
      </c>
      <c r="B171" s="1" t="n">
        <v>44832</v>
      </c>
      <c r="C171" s="1" t="n">
        <v>45351</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42832-2022</t>
        </is>
      </c>
      <c r="B172" s="1" t="n">
        <v>44832</v>
      </c>
      <c r="C172" s="1" t="n">
        <v>45351</v>
      </c>
      <c r="D172" t="inlineStr">
        <is>
          <t>VÄSTMANLANDS LÄN</t>
        </is>
      </c>
      <c r="E172" t="inlineStr">
        <is>
          <t>SURAHAMMAR</t>
        </is>
      </c>
      <c r="G172" t="n">
        <v>1.1</v>
      </c>
      <c r="H172" t="n">
        <v>0</v>
      </c>
      <c r="I172" t="n">
        <v>0</v>
      </c>
      <c r="J172" t="n">
        <v>0</v>
      </c>
      <c r="K172" t="n">
        <v>0</v>
      </c>
      <c r="L172" t="n">
        <v>0</v>
      </c>
      <c r="M172" t="n">
        <v>0</v>
      </c>
      <c r="N172" t="n">
        <v>0</v>
      </c>
      <c r="O172" t="n">
        <v>0</v>
      </c>
      <c r="P172" t="n">
        <v>0</v>
      </c>
      <c r="Q172" t="n">
        <v>0</v>
      </c>
      <c r="R172" s="2" t="inlineStr"/>
    </row>
    <row r="173" ht="15" customHeight="1">
      <c r="A173" t="inlineStr">
        <is>
          <t>A 42841-2022</t>
        </is>
      </c>
      <c r="B173" s="1" t="n">
        <v>44832</v>
      </c>
      <c r="C173" s="1" t="n">
        <v>45351</v>
      </c>
      <c r="D173" t="inlineStr">
        <is>
          <t>VÄSTMANLANDS LÄN</t>
        </is>
      </c>
      <c r="E173" t="inlineStr">
        <is>
          <t>SURAHAMMAR</t>
        </is>
      </c>
      <c r="G173" t="n">
        <v>1.8</v>
      </c>
      <c r="H173" t="n">
        <v>0</v>
      </c>
      <c r="I173" t="n">
        <v>0</v>
      </c>
      <c r="J173" t="n">
        <v>0</v>
      </c>
      <c r="K173" t="n">
        <v>0</v>
      </c>
      <c r="L173" t="n">
        <v>0</v>
      </c>
      <c r="M173" t="n">
        <v>0</v>
      </c>
      <c r="N173" t="n">
        <v>0</v>
      </c>
      <c r="O173" t="n">
        <v>0</v>
      </c>
      <c r="P173" t="n">
        <v>0</v>
      </c>
      <c r="Q173" t="n">
        <v>0</v>
      </c>
      <c r="R173" s="2" t="inlineStr"/>
    </row>
    <row r="174" ht="15" customHeight="1">
      <c r="A174" t="inlineStr">
        <is>
          <t>A 42829-2022</t>
        </is>
      </c>
      <c r="B174" s="1" t="n">
        <v>44832</v>
      </c>
      <c r="C174" s="1" t="n">
        <v>45351</v>
      </c>
      <c r="D174" t="inlineStr">
        <is>
          <t>VÄSTMANLANDS LÄN</t>
        </is>
      </c>
      <c r="E174" t="inlineStr">
        <is>
          <t>SURAHAMMAR</t>
        </is>
      </c>
      <c r="G174" t="n">
        <v>1.6</v>
      </c>
      <c r="H174" t="n">
        <v>0</v>
      </c>
      <c r="I174" t="n">
        <v>0</v>
      </c>
      <c r="J174" t="n">
        <v>0</v>
      </c>
      <c r="K174" t="n">
        <v>0</v>
      </c>
      <c r="L174" t="n">
        <v>0</v>
      </c>
      <c r="M174" t="n">
        <v>0</v>
      </c>
      <c r="N174" t="n">
        <v>0</v>
      </c>
      <c r="O174" t="n">
        <v>0</v>
      </c>
      <c r="P174" t="n">
        <v>0</v>
      </c>
      <c r="Q174" t="n">
        <v>0</v>
      </c>
      <c r="R174" s="2" t="inlineStr"/>
    </row>
    <row r="175" ht="15" customHeight="1">
      <c r="A175" t="inlineStr">
        <is>
          <t>A 48581-2022</t>
        </is>
      </c>
      <c r="B175" s="1" t="n">
        <v>44859</v>
      </c>
      <c r="C175" s="1" t="n">
        <v>45351</v>
      </c>
      <c r="D175" t="inlineStr">
        <is>
          <t>VÄSTMANLANDS LÄN</t>
        </is>
      </c>
      <c r="E175" t="inlineStr">
        <is>
          <t>SURAHAMMAR</t>
        </is>
      </c>
      <c r="F175" t="inlineStr">
        <is>
          <t>Bergvik skog väst AB</t>
        </is>
      </c>
      <c r="G175" t="n">
        <v>2.3</v>
      </c>
      <c r="H175" t="n">
        <v>0</v>
      </c>
      <c r="I175" t="n">
        <v>0</v>
      </c>
      <c r="J175" t="n">
        <v>0</v>
      </c>
      <c r="K175" t="n">
        <v>0</v>
      </c>
      <c r="L175" t="n">
        <v>0</v>
      </c>
      <c r="M175" t="n">
        <v>0</v>
      </c>
      <c r="N175" t="n">
        <v>0</v>
      </c>
      <c r="O175" t="n">
        <v>0</v>
      </c>
      <c r="P175" t="n">
        <v>0</v>
      </c>
      <c r="Q175" t="n">
        <v>0</v>
      </c>
      <c r="R175" s="2" t="inlineStr"/>
    </row>
    <row r="176" ht="15" customHeight="1">
      <c r="A176" t="inlineStr">
        <is>
          <t>A 49686-2022</t>
        </is>
      </c>
      <c r="B176" s="1" t="n">
        <v>44862</v>
      </c>
      <c r="C176" s="1" t="n">
        <v>45351</v>
      </c>
      <c r="D176" t="inlineStr">
        <is>
          <t>VÄSTMANLANDS LÄN</t>
        </is>
      </c>
      <c r="E176" t="inlineStr">
        <is>
          <t>SURAHAMMAR</t>
        </is>
      </c>
      <c r="F176" t="inlineStr">
        <is>
          <t>Sveaskog</t>
        </is>
      </c>
      <c r="G176" t="n">
        <v>1.5</v>
      </c>
      <c r="H176" t="n">
        <v>0</v>
      </c>
      <c r="I176" t="n">
        <v>0</v>
      </c>
      <c r="J176" t="n">
        <v>0</v>
      </c>
      <c r="K176" t="n">
        <v>0</v>
      </c>
      <c r="L176" t="n">
        <v>0</v>
      </c>
      <c r="M176" t="n">
        <v>0</v>
      </c>
      <c r="N176" t="n">
        <v>0</v>
      </c>
      <c r="O176" t="n">
        <v>0</v>
      </c>
      <c r="P176" t="n">
        <v>0</v>
      </c>
      <c r="Q176" t="n">
        <v>0</v>
      </c>
      <c r="R176" s="2" t="inlineStr"/>
    </row>
    <row r="177" ht="15" customHeight="1">
      <c r="A177" t="inlineStr">
        <is>
          <t>A 3085-2023</t>
        </is>
      </c>
      <c r="B177" s="1" t="n">
        <v>44946</v>
      </c>
      <c r="C177" s="1" t="n">
        <v>45351</v>
      </c>
      <c r="D177" t="inlineStr">
        <is>
          <t>VÄSTMANLANDS LÄN</t>
        </is>
      </c>
      <c r="E177" t="inlineStr">
        <is>
          <t>SURAHAMMAR</t>
        </is>
      </c>
      <c r="F177" t="inlineStr">
        <is>
          <t>Kyrkan</t>
        </is>
      </c>
      <c r="G177" t="n">
        <v>13</v>
      </c>
      <c r="H177" t="n">
        <v>0</v>
      </c>
      <c r="I177" t="n">
        <v>0</v>
      </c>
      <c r="J177" t="n">
        <v>0</v>
      </c>
      <c r="K177" t="n">
        <v>0</v>
      </c>
      <c r="L177" t="n">
        <v>0</v>
      </c>
      <c r="M177" t="n">
        <v>0</v>
      </c>
      <c r="N177" t="n">
        <v>0</v>
      </c>
      <c r="O177" t="n">
        <v>0</v>
      </c>
      <c r="P177" t="n">
        <v>0</v>
      </c>
      <c r="Q177" t="n">
        <v>0</v>
      </c>
      <c r="R177" s="2" t="inlineStr"/>
    </row>
    <row r="178" ht="15" customHeight="1">
      <c r="A178" t="inlineStr">
        <is>
          <t>A 8553-2023</t>
        </is>
      </c>
      <c r="B178" s="1" t="n">
        <v>44977</v>
      </c>
      <c r="C178" s="1" t="n">
        <v>45351</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10877-2023</t>
        </is>
      </c>
      <c r="B179" s="1" t="n">
        <v>44991</v>
      </c>
      <c r="C179" s="1" t="n">
        <v>45351</v>
      </c>
      <c r="D179" t="inlineStr">
        <is>
          <t>VÄSTMANLANDS LÄN</t>
        </is>
      </c>
      <c r="E179" t="inlineStr">
        <is>
          <t>SURAHAMMAR</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10883-2023</t>
        </is>
      </c>
      <c r="B180" s="1" t="n">
        <v>44991</v>
      </c>
      <c r="C180" s="1" t="n">
        <v>45351</v>
      </c>
      <c r="D180" t="inlineStr">
        <is>
          <t>VÄSTMANLANDS LÄN</t>
        </is>
      </c>
      <c r="E180" t="inlineStr">
        <is>
          <t>SURAHAMMAR</t>
        </is>
      </c>
      <c r="F180" t="inlineStr">
        <is>
          <t>Övriga Aktiebolag</t>
        </is>
      </c>
      <c r="G180" t="n">
        <v>12.5</v>
      </c>
      <c r="H180" t="n">
        <v>0</v>
      </c>
      <c r="I180" t="n">
        <v>0</v>
      </c>
      <c r="J180" t="n">
        <v>0</v>
      </c>
      <c r="K180" t="n">
        <v>0</v>
      </c>
      <c r="L180" t="n">
        <v>0</v>
      </c>
      <c r="M180" t="n">
        <v>0</v>
      </c>
      <c r="N180" t="n">
        <v>0</v>
      </c>
      <c r="O180" t="n">
        <v>0</v>
      </c>
      <c r="P180" t="n">
        <v>0</v>
      </c>
      <c r="Q180" t="n">
        <v>0</v>
      </c>
      <c r="R180" s="2" t="inlineStr"/>
    </row>
    <row r="181" ht="15" customHeight="1">
      <c r="A181" t="inlineStr">
        <is>
          <t>A 11259-2023</t>
        </is>
      </c>
      <c r="B181" s="1" t="n">
        <v>44991</v>
      </c>
      <c r="C181" s="1" t="n">
        <v>45351</v>
      </c>
      <c r="D181" t="inlineStr">
        <is>
          <t>VÄSTMANLANDS LÄN</t>
        </is>
      </c>
      <c r="E181" t="inlineStr">
        <is>
          <t>SURAHAMMAR</t>
        </is>
      </c>
      <c r="G181" t="n">
        <v>2.4</v>
      </c>
      <c r="H181" t="n">
        <v>0</v>
      </c>
      <c r="I181" t="n">
        <v>0</v>
      </c>
      <c r="J181" t="n">
        <v>0</v>
      </c>
      <c r="K181" t="n">
        <v>0</v>
      </c>
      <c r="L181" t="n">
        <v>0</v>
      </c>
      <c r="M181" t="n">
        <v>0</v>
      </c>
      <c r="N181" t="n">
        <v>0</v>
      </c>
      <c r="O181" t="n">
        <v>0</v>
      </c>
      <c r="P181" t="n">
        <v>0</v>
      </c>
      <c r="Q181" t="n">
        <v>0</v>
      </c>
      <c r="R181" s="2" t="inlineStr"/>
    </row>
    <row r="182" ht="15" customHeight="1">
      <c r="A182" t="inlineStr">
        <is>
          <t>A 11501-2023</t>
        </is>
      </c>
      <c r="B182" s="1" t="n">
        <v>44991</v>
      </c>
      <c r="C182" s="1" t="n">
        <v>45351</v>
      </c>
      <c r="D182" t="inlineStr">
        <is>
          <t>VÄSTMANLANDS LÄN</t>
        </is>
      </c>
      <c r="E182" t="inlineStr">
        <is>
          <t>SURAHAMMAR</t>
        </is>
      </c>
      <c r="F182" t="inlineStr">
        <is>
          <t>Bergvik skog väst AB</t>
        </is>
      </c>
      <c r="G182" t="n">
        <v>1.1</v>
      </c>
      <c r="H182" t="n">
        <v>0</v>
      </c>
      <c r="I182" t="n">
        <v>0</v>
      </c>
      <c r="J182" t="n">
        <v>0</v>
      </c>
      <c r="K182" t="n">
        <v>0</v>
      </c>
      <c r="L182" t="n">
        <v>0</v>
      </c>
      <c r="M182" t="n">
        <v>0</v>
      </c>
      <c r="N182" t="n">
        <v>0</v>
      </c>
      <c r="O182" t="n">
        <v>0</v>
      </c>
      <c r="P182" t="n">
        <v>0</v>
      </c>
      <c r="Q182" t="n">
        <v>0</v>
      </c>
      <c r="R182" s="2" t="inlineStr"/>
    </row>
    <row r="183" ht="15" customHeight="1">
      <c r="A183" t="inlineStr">
        <is>
          <t>A 11728-2023</t>
        </is>
      </c>
      <c r="B183" s="1" t="n">
        <v>44993</v>
      </c>
      <c r="C183" s="1" t="n">
        <v>45351</v>
      </c>
      <c r="D183" t="inlineStr">
        <is>
          <t>VÄSTMANLANDS LÄN</t>
        </is>
      </c>
      <c r="E183" t="inlineStr">
        <is>
          <t>SURAHAMMAR</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13479-2023</t>
        </is>
      </c>
      <c r="B184" s="1" t="n">
        <v>45005</v>
      </c>
      <c r="C184" s="1" t="n">
        <v>45351</v>
      </c>
      <c r="D184" t="inlineStr">
        <is>
          <t>VÄSTMANLANDS LÄN</t>
        </is>
      </c>
      <c r="E184" t="inlineStr">
        <is>
          <t>SURAHAMMAR</t>
        </is>
      </c>
      <c r="F184" t="inlineStr">
        <is>
          <t>Bergvik skog väst AB</t>
        </is>
      </c>
      <c r="G184" t="n">
        <v>2.8</v>
      </c>
      <c r="H184" t="n">
        <v>0</v>
      </c>
      <c r="I184" t="n">
        <v>0</v>
      </c>
      <c r="J184" t="n">
        <v>0</v>
      </c>
      <c r="K184" t="n">
        <v>0</v>
      </c>
      <c r="L184" t="n">
        <v>0</v>
      </c>
      <c r="M184" t="n">
        <v>0</v>
      </c>
      <c r="N184" t="n">
        <v>0</v>
      </c>
      <c r="O184" t="n">
        <v>0</v>
      </c>
      <c r="P184" t="n">
        <v>0</v>
      </c>
      <c r="Q184" t="n">
        <v>0</v>
      </c>
      <c r="R184" s="2" t="inlineStr"/>
    </row>
    <row r="185" ht="15" customHeight="1">
      <c r="A185" t="inlineStr">
        <is>
          <t>A 14626-2023</t>
        </is>
      </c>
      <c r="B185" s="1" t="n">
        <v>45012</v>
      </c>
      <c r="C185" s="1" t="n">
        <v>45351</v>
      </c>
      <c r="D185" t="inlineStr">
        <is>
          <t>VÄSTMANLANDS LÄN</t>
        </is>
      </c>
      <c r="E185" t="inlineStr">
        <is>
          <t>SURAHAMMAR</t>
        </is>
      </c>
      <c r="F185" t="inlineStr">
        <is>
          <t>Bergvik skog väst AB</t>
        </is>
      </c>
      <c r="G185" t="n">
        <v>5</v>
      </c>
      <c r="H185" t="n">
        <v>0</v>
      </c>
      <c r="I185" t="n">
        <v>0</v>
      </c>
      <c r="J185" t="n">
        <v>0</v>
      </c>
      <c r="K185" t="n">
        <v>0</v>
      </c>
      <c r="L185" t="n">
        <v>0</v>
      </c>
      <c r="M185" t="n">
        <v>0</v>
      </c>
      <c r="N185" t="n">
        <v>0</v>
      </c>
      <c r="O185" t="n">
        <v>0</v>
      </c>
      <c r="P185" t="n">
        <v>0</v>
      </c>
      <c r="Q185" t="n">
        <v>0</v>
      </c>
      <c r="R185" s="2" t="inlineStr"/>
    </row>
    <row r="186" ht="15" customHeight="1">
      <c r="A186" t="inlineStr">
        <is>
          <t>A 14583-2023</t>
        </is>
      </c>
      <c r="B186" s="1" t="n">
        <v>45013</v>
      </c>
      <c r="C186" s="1" t="n">
        <v>45351</v>
      </c>
      <c r="D186" t="inlineStr">
        <is>
          <t>VÄSTMANLANDS LÄN</t>
        </is>
      </c>
      <c r="E186" t="inlineStr">
        <is>
          <t>SURAHAMMAR</t>
        </is>
      </c>
      <c r="G186" t="n">
        <v>0.9</v>
      </c>
      <c r="H186" t="n">
        <v>0</v>
      </c>
      <c r="I186" t="n">
        <v>0</v>
      </c>
      <c r="J186" t="n">
        <v>0</v>
      </c>
      <c r="K186" t="n">
        <v>0</v>
      </c>
      <c r="L186" t="n">
        <v>0</v>
      </c>
      <c r="M186" t="n">
        <v>0</v>
      </c>
      <c r="N186" t="n">
        <v>0</v>
      </c>
      <c r="O186" t="n">
        <v>0</v>
      </c>
      <c r="P186" t="n">
        <v>0</v>
      </c>
      <c r="Q186" t="n">
        <v>0</v>
      </c>
      <c r="R186" s="2" t="inlineStr"/>
    </row>
    <row r="187" ht="15" customHeight="1">
      <c r="A187" t="inlineStr">
        <is>
          <t>A 15743-2023</t>
        </is>
      </c>
      <c r="B187" s="1" t="n">
        <v>45021</v>
      </c>
      <c r="C187" s="1" t="n">
        <v>45351</v>
      </c>
      <c r="D187" t="inlineStr">
        <is>
          <t>VÄSTMANLANDS LÄN</t>
        </is>
      </c>
      <c r="E187" t="inlineStr">
        <is>
          <t>SURAHAMMAR</t>
        </is>
      </c>
      <c r="G187" t="n">
        <v>0.5</v>
      </c>
      <c r="H187" t="n">
        <v>0</v>
      </c>
      <c r="I187" t="n">
        <v>0</v>
      </c>
      <c r="J187" t="n">
        <v>0</v>
      </c>
      <c r="K187" t="n">
        <v>0</v>
      </c>
      <c r="L187" t="n">
        <v>0</v>
      </c>
      <c r="M187" t="n">
        <v>0</v>
      </c>
      <c r="N187" t="n">
        <v>0</v>
      </c>
      <c r="O187" t="n">
        <v>0</v>
      </c>
      <c r="P187" t="n">
        <v>0</v>
      </c>
      <c r="Q187" t="n">
        <v>0</v>
      </c>
      <c r="R187" s="2" t="inlineStr"/>
    </row>
    <row r="188" ht="15" customHeight="1">
      <c r="A188" t="inlineStr">
        <is>
          <t>A 15739-2023</t>
        </is>
      </c>
      <c r="B188" s="1" t="n">
        <v>45021</v>
      </c>
      <c r="C188" s="1" t="n">
        <v>45351</v>
      </c>
      <c r="D188" t="inlineStr">
        <is>
          <t>VÄSTMANLANDS LÄN</t>
        </is>
      </c>
      <c r="E188" t="inlineStr">
        <is>
          <t>SURAHAMMAR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16013-2023</t>
        </is>
      </c>
      <c r="B189" s="1" t="n">
        <v>45026</v>
      </c>
      <c r="C189" s="1" t="n">
        <v>45351</v>
      </c>
      <c r="D189" t="inlineStr">
        <is>
          <t>VÄSTMANLANDS LÄN</t>
        </is>
      </c>
      <c r="E189" t="inlineStr">
        <is>
          <t>SURAHAMMAR</t>
        </is>
      </c>
      <c r="G189" t="n">
        <v>3.9</v>
      </c>
      <c r="H189" t="n">
        <v>0</v>
      </c>
      <c r="I189" t="n">
        <v>0</v>
      </c>
      <c r="J189" t="n">
        <v>0</v>
      </c>
      <c r="K189" t="n">
        <v>0</v>
      </c>
      <c r="L189" t="n">
        <v>0</v>
      </c>
      <c r="M189" t="n">
        <v>0</v>
      </c>
      <c r="N189" t="n">
        <v>0</v>
      </c>
      <c r="O189" t="n">
        <v>0</v>
      </c>
      <c r="P189" t="n">
        <v>0</v>
      </c>
      <c r="Q189" t="n">
        <v>0</v>
      </c>
      <c r="R189" s="2" t="inlineStr"/>
    </row>
    <row r="190" ht="15" customHeight="1">
      <c r="A190" t="inlineStr">
        <is>
          <t>A 18223-2023</t>
        </is>
      </c>
      <c r="B190" s="1" t="n">
        <v>45041</v>
      </c>
      <c r="C190" s="1" t="n">
        <v>45351</v>
      </c>
      <c r="D190" t="inlineStr">
        <is>
          <t>VÄSTMANLANDS LÄN</t>
        </is>
      </c>
      <c r="E190" t="inlineStr">
        <is>
          <t>SURAHAMMAR</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19778-2023</t>
        </is>
      </c>
      <c r="B191" s="1" t="n">
        <v>45050</v>
      </c>
      <c r="C191" s="1" t="n">
        <v>45351</v>
      </c>
      <c r="D191" t="inlineStr">
        <is>
          <t>VÄSTMANLANDS LÄN</t>
        </is>
      </c>
      <c r="E191" t="inlineStr">
        <is>
          <t>SURAHAMMAR</t>
        </is>
      </c>
      <c r="F191" t="inlineStr">
        <is>
          <t>Bergvik skog väst AB</t>
        </is>
      </c>
      <c r="G191" t="n">
        <v>6</v>
      </c>
      <c r="H191" t="n">
        <v>0</v>
      </c>
      <c r="I191" t="n">
        <v>0</v>
      </c>
      <c r="J191" t="n">
        <v>0</v>
      </c>
      <c r="K191" t="n">
        <v>0</v>
      </c>
      <c r="L191" t="n">
        <v>0</v>
      </c>
      <c r="M191" t="n">
        <v>0</v>
      </c>
      <c r="N191" t="n">
        <v>0</v>
      </c>
      <c r="O191" t="n">
        <v>0</v>
      </c>
      <c r="P191" t="n">
        <v>0</v>
      </c>
      <c r="Q191" t="n">
        <v>0</v>
      </c>
      <c r="R191" s="2" t="inlineStr"/>
    </row>
    <row r="192" ht="15" customHeight="1">
      <c r="A192" t="inlineStr">
        <is>
          <t>A 19779-2023</t>
        </is>
      </c>
      <c r="B192" s="1" t="n">
        <v>45050</v>
      </c>
      <c r="C192" s="1" t="n">
        <v>45351</v>
      </c>
      <c r="D192" t="inlineStr">
        <is>
          <t>VÄSTMANLANDS LÄN</t>
        </is>
      </c>
      <c r="E192" t="inlineStr">
        <is>
          <t>SURAHAMMAR</t>
        </is>
      </c>
      <c r="F192" t="inlineStr">
        <is>
          <t>Bergvik skog väst AB</t>
        </is>
      </c>
      <c r="G192" t="n">
        <v>11.1</v>
      </c>
      <c r="H192" t="n">
        <v>0</v>
      </c>
      <c r="I192" t="n">
        <v>0</v>
      </c>
      <c r="J192" t="n">
        <v>0</v>
      </c>
      <c r="K192" t="n">
        <v>0</v>
      </c>
      <c r="L192" t="n">
        <v>0</v>
      </c>
      <c r="M192" t="n">
        <v>0</v>
      </c>
      <c r="N192" t="n">
        <v>0</v>
      </c>
      <c r="O192" t="n">
        <v>0</v>
      </c>
      <c r="P192" t="n">
        <v>0</v>
      </c>
      <c r="Q192" t="n">
        <v>0</v>
      </c>
      <c r="R192" s="2" t="inlineStr"/>
    </row>
    <row r="193" ht="15" customHeight="1">
      <c r="A193" t="inlineStr">
        <is>
          <t>A 19786-2023</t>
        </is>
      </c>
      <c r="B193" s="1" t="n">
        <v>45050</v>
      </c>
      <c r="C193" s="1" t="n">
        <v>45351</v>
      </c>
      <c r="D193" t="inlineStr">
        <is>
          <t>VÄSTMANLANDS LÄN</t>
        </is>
      </c>
      <c r="E193" t="inlineStr">
        <is>
          <t>SURAHAMMAR</t>
        </is>
      </c>
      <c r="F193" t="inlineStr">
        <is>
          <t>Bergvik skog väst AB</t>
        </is>
      </c>
      <c r="G193" t="n">
        <v>8.1</v>
      </c>
      <c r="H193" t="n">
        <v>0</v>
      </c>
      <c r="I193" t="n">
        <v>0</v>
      </c>
      <c r="J193" t="n">
        <v>0</v>
      </c>
      <c r="K193" t="n">
        <v>0</v>
      </c>
      <c r="L193" t="n">
        <v>0</v>
      </c>
      <c r="M193" t="n">
        <v>0</v>
      </c>
      <c r="N193" t="n">
        <v>0</v>
      </c>
      <c r="O193" t="n">
        <v>0</v>
      </c>
      <c r="P193" t="n">
        <v>0</v>
      </c>
      <c r="Q193" t="n">
        <v>0</v>
      </c>
      <c r="R193" s="2" t="inlineStr"/>
    </row>
    <row r="194" ht="15" customHeight="1">
      <c r="A194" t="inlineStr">
        <is>
          <t>A 19782-2023</t>
        </is>
      </c>
      <c r="B194" s="1" t="n">
        <v>45050</v>
      </c>
      <c r="C194" s="1" t="n">
        <v>45351</v>
      </c>
      <c r="D194" t="inlineStr">
        <is>
          <t>VÄSTMANLANDS LÄN</t>
        </is>
      </c>
      <c r="E194" t="inlineStr">
        <is>
          <t>SURAHAMMAR</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20020-2023</t>
        </is>
      </c>
      <c r="B195" s="1" t="n">
        <v>45054</v>
      </c>
      <c r="C195" s="1" t="n">
        <v>45351</v>
      </c>
      <c r="D195" t="inlineStr">
        <is>
          <t>VÄSTMANLANDS LÄN</t>
        </is>
      </c>
      <c r="E195" t="inlineStr">
        <is>
          <t>SURAHAMMAR</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20018-2023</t>
        </is>
      </c>
      <c r="B196" s="1" t="n">
        <v>45054</v>
      </c>
      <c r="C196" s="1" t="n">
        <v>45351</v>
      </c>
      <c r="D196" t="inlineStr">
        <is>
          <t>VÄSTMANLANDS LÄN</t>
        </is>
      </c>
      <c r="E196" t="inlineStr">
        <is>
          <t>SURAHAMMAR</t>
        </is>
      </c>
      <c r="F196" t="inlineStr">
        <is>
          <t>Sveaskog</t>
        </is>
      </c>
      <c r="G196" t="n">
        <v>3.8</v>
      </c>
      <c r="H196" t="n">
        <v>0</v>
      </c>
      <c r="I196" t="n">
        <v>0</v>
      </c>
      <c r="J196" t="n">
        <v>0</v>
      </c>
      <c r="K196" t="n">
        <v>0</v>
      </c>
      <c r="L196" t="n">
        <v>0</v>
      </c>
      <c r="M196" t="n">
        <v>0</v>
      </c>
      <c r="N196" t="n">
        <v>0</v>
      </c>
      <c r="O196" t="n">
        <v>0</v>
      </c>
      <c r="P196" t="n">
        <v>0</v>
      </c>
      <c r="Q196" t="n">
        <v>0</v>
      </c>
      <c r="R196" s="2" t="inlineStr"/>
    </row>
    <row r="197" ht="15" customHeight="1">
      <c r="A197" t="inlineStr">
        <is>
          <t>A 20019-2023</t>
        </is>
      </c>
      <c r="B197" s="1" t="n">
        <v>45054</v>
      </c>
      <c r="C197" s="1" t="n">
        <v>45351</v>
      </c>
      <c r="D197" t="inlineStr">
        <is>
          <t>VÄSTMANLANDS LÄN</t>
        </is>
      </c>
      <c r="E197" t="inlineStr">
        <is>
          <t>SURAHAMMAR</t>
        </is>
      </c>
      <c r="F197" t="inlineStr">
        <is>
          <t>Sveaskog</t>
        </is>
      </c>
      <c r="G197" t="n">
        <v>18.5</v>
      </c>
      <c r="H197" t="n">
        <v>0</v>
      </c>
      <c r="I197" t="n">
        <v>0</v>
      </c>
      <c r="J197" t="n">
        <v>0</v>
      </c>
      <c r="K197" t="n">
        <v>0</v>
      </c>
      <c r="L197" t="n">
        <v>0</v>
      </c>
      <c r="M197" t="n">
        <v>0</v>
      </c>
      <c r="N197" t="n">
        <v>0</v>
      </c>
      <c r="O197" t="n">
        <v>0</v>
      </c>
      <c r="P197" t="n">
        <v>0</v>
      </c>
      <c r="Q197" t="n">
        <v>0</v>
      </c>
      <c r="R197" s="2" t="inlineStr"/>
    </row>
    <row r="198" ht="15" customHeight="1">
      <c r="A198" t="inlineStr">
        <is>
          <t>A 20023-2023</t>
        </is>
      </c>
      <c r="B198" s="1" t="n">
        <v>45054</v>
      </c>
      <c r="C198" s="1" t="n">
        <v>45351</v>
      </c>
      <c r="D198" t="inlineStr">
        <is>
          <t>VÄSTMANLANDS LÄN</t>
        </is>
      </c>
      <c r="E198" t="inlineStr">
        <is>
          <t>SURAHAMMAR</t>
        </is>
      </c>
      <c r="F198" t="inlineStr">
        <is>
          <t>Sveaskog</t>
        </is>
      </c>
      <c r="G198" t="n">
        <v>7.8</v>
      </c>
      <c r="H198" t="n">
        <v>0</v>
      </c>
      <c r="I198" t="n">
        <v>0</v>
      </c>
      <c r="J198" t="n">
        <v>0</v>
      </c>
      <c r="K198" t="n">
        <v>0</v>
      </c>
      <c r="L198" t="n">
        <v>0</v>
      </c>
      <c r="M198" t="n">
        <v>0</v>
      </c>
      <c r="N198" t="n">
        <v>0</v>
      </c>
      <c r="O198" t="n">
        <v>0</v>
      </c>
      <c r="P198" t="n">
        <v>0</v>
      </c>
      <c r="Q198" t="n">
        <v>0</v>
      </c>
      <c r="R198" s="2" t="inlineStr"/>
    </row>
    <row r="199" ht="15" customHeight="1">
      <c r="A199" t="inlineStr">
        <is>
          <t>A 20429-2023</t>
        </is>
      </c>
      <c r="B199" s="1" t="n">
        <v>45056</v>
      </c>
      <c r="C199" s="1" t="n">
        <v>45351</v>
      </c>
      <c r="D199" t="inlineStr">
        <is>
          <t>VÄSTMANLANDS LÄN</t>
        </is>
      </c>
      <c r="E199" t="inlineStr">
        <is>
          <t>SURAHAMMAR</t>
        </is>
      </c>
      <c r="G199" t="n">
        <v>5</v>
      </c>
      <c r="H199" t="n">
        <v>0</v>
      </c>
      <c r="I199" t="n">
        <v>0</v>
      </c>
      <c r="J199" t="n">
        <v>0</v>
      </c>
      <c r="K199" t="n">
        <v>0</v>
      </c>
      <c r="L199" t="n">
        <v>0</v>
      </c>
      <c r="M199" t="n">
        <v>0</v>
      </c>
      <c r="N199" t="n">
        <v>0</v>
      </c>
      <c r="O199" t="n">
        <v>0</v>
      </c>
      <c r="P199" t="n">
        <v>0</v>
      </c>
      <c r="Q199" t="n">
        <v>0</v>
      </c>
      <c r="R199" s="2" t="inlineStr"/>
    </row>
    <row r="200" ht="15" customHeight="1">
      <c r="A200" t="inlineStr">
        <is>
          <t>A 20904-2023</t>
        </is>
      </c>
      <c r="B200" s="1" t="n">
        <v>45060</v>
      </c>
      <c r="C200" s="1" t="n">
        <v>45351</v>
      </c>
      <c r="D200" t="inlineStr">
        <is>
          <t>VÄSTMANLANDS LÄN</t>
        </is>
      </c>
      <c r="E200" t="inlineStr">
        <is>
          <t>SURAHAMMAR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21906-2023</t>
        </is>
      </c>
      <c r="B201" s="1" t="n">
        <v>45068</v>
      </c>
      <c r="C201" s="1" t="n">
        <v>45351</v>
      </c>
      <c r="D201" t="inlineStr">
        <is>
          <t>VÄSTMANLANDS LÄN</t>
        </is>
      </c>
      <c r="E201" t="inlineStr">
        <is>
          <t>SURAHAMMAR</t>
        </is>
      </c>
      <c r="F201" t="inlineStr">
        <is>
          <t>Sveaskog</t>
        </is>
      </c>
      <c r="G201" t="n">
        <v>3.5</v>
      </c>
      <c r="H201" t="n">
        <v>0</v>
      </c>
      <c r="I201" t="n">
        <v>0</v>
      </c>
      <c r="J201" t="n">
        <v>0</v>
      </c>
      <c r="K201" t="n">
        <v>0</v>
      </c>
      <c r="L201" t="n">
        <v>0</v>
      </c>
      <c r="M201" t="n">
        <v>0</v>
      </c>
      <c r="N201" t="n">
        <v>0</v>
      </c>
      <c r="O201" t="n">
        <v>0</v>
      </c>
      <c r="P201" t="n">
        <v>0</v>
      </c>
      <c r="Q201" t="n">
        <v>0</v>
      </c>
      <c r="R201" s="2" t="inlineStr"/>
    </row>
    <row r="202" ht="15" customHeight="1">
      <c r="A202" t="inlineStr">
        <is>
          <t>A 21905-2023</t>
        </is>
      </c>
      <c r="B202" s="1" t="n">
        <v>45068</v>
      </c>
      <c r="C202" s="1" t="n">
        <v>45351</v>
      </c>
      <c r="D202" t="inlineStr">
        <is>
          <t>VÄSTMANLANDS LÄN</t>
        </is>
      </c>
      <c r="E202" t="inlineStr">
        <is>
          <t>SURAHAMMAR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21904-2023</t>
        </is>
      </c>
      <c r="B203" s="1" t="n">
        <v>45068</v>
      </c>
      <c r="C203" s="1" t="n">
        <v>45351</v>
      </c>
      <c r="D203" t="inlineStr">
        <is>
          <t>VÄSTMANLANDS LÄN</t>
        </is>
      </c>
      <c r="E203" t="inlineStr">
        <is>
          <t>SURAHAMMAR</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22915-2023</t>
        </is>
      </c>
      <c r="B204" s="1" t="n">
        <v>45070</v>
      </c>
      <c r="C204" s="1" t="n">
        <v>45351</v>
      </c>
      <c r="D204" t="inlineStr">
        <is>
          <t>VÄSTMANLANDS LÄN</t>
        </is>
      </c>
      <c r="E204" t="inlineStr">
        <is>
          <t>SURAHAMMAR</t>
        </is>
      </c>
      <c r="F204" t="inlineStr">
        <is>
          <t>Bergvik skog väst AB</t>
        </is>
      </c>
      <c r="G204" t="n">
        <v>1</v>
      </c>
      <c r="H204" t="n">
        <v>0</v>
      </c>
      <c r="I204" t="n">
        <v>0</v>
      </c>
      <c r="J204" t="n">
        <v>0</v>
      </c>
      <c r="K204" t="n">
        <v>0</v>
      </c>
      <c r="L204" t="n">
        <v>0</v>
      </c>
      <c r="M204" t="n">
        <v>0</v>
      </c>
      <c r="N204" t="n">
        <v>0</v>
      </c>
      <c r="O204" t="n">
        <v>0</v>
      </c>
      <c r="P204" t="n">
        <v>0</v>
      </c>
      <c r="Q204" t="n">
        <v>0</v>
      </c>
      <c r="R204" s="2" t="inlineStr"/>
    </row>
    <row r="205" ht="15" customHeight="1">
      <c r="A205" t="inlineStr">
        <is>
          <t>A 22660-2023</t>
        </is>
      </c>
      <c r="B205" s="1" t="n">
        <v>45071</v>
      </c>
      <c r="C205" s="1" t="n">
        <v>45351</v>
      </c>
      <c r="D205" t="inlineStr">
        <is>
          <t>VÄSTMANLANDS LÄN</t>
        </is>
      </c>
      <c r="E205" t="inlineStr">
        <is>
          <t>SURAHAMMAR</t>
        </is>
      </c>
      <c r="F205" t="inlineStr">
        <is>
          <t>Sveaskog</t>
        </is>
      </c>
      <c r="G205" t="n">
        <v>15.3</v>
      </c>
      <c r="H205" t="n">
        <v>0</v>
      </c>
      <c r="I205" t="n">
        <v>0</v>
      </c>
      <c r="J205" t="n">
        <v>0</v>
      </c>
      <c r="K205" t="n">
        <v>0</v>
      </c>
      <c r="L205" t="n">
        <v>0</v>
      </c>
      <c r="M205" t="n">
        <v>0</v>
      </c>
      <c r="N205" t="n">
        <v>0</v>
      </c>
      <c r="O205" t="n">
        <v>0</v>
      </c>
      <c r="P205" t="n">
        <v>0</v>
      </c>
      <c r="Q205" t="n">
        <v>0</v>
      </c>
      <c r="R205" s="2" t="inlineStr"/>
    </row>
    <row r="206" ht="15" customHeight="1">
      <c r="A206" t="inlineStr">
        <is>
          <t>A 22662-2023</t>
        </is>
      </c>
      <c r="B206" s="1" t="n">
        <v>45071</v>
      </c>
      <c r="C206" s="1" t="n">
        <v>45351</v>
      </c>
      <c r="D206" t="inlineStr">
        <is>
          <t>VÄSTMANLANDS LÄN</t>
        </is>
      </c>
      <c r="E206" t="inlineStr">
        <is>
          <t>SURAHAMMAR</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22661-2023</t>
        </is>
      </c>
      <c r="B207" s="1" t="n">
        <v>45071</v>
      </c>
      <c r="C207" s="1" t="n">
        <v>45351</v>
      </c>
      <c r="D207" t="inlineStr">
        <is>
          <t>VÄSTMANLANDS LÄN</t>
        </is>
      </c>
      <c r="E207" t="inlineStr">
        <is>
          <t>SURAHAMMAR</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22659-2023</t>
        </is>
      </c>
      <c r="B208" s="1" t="n">
        <v>45071</v>
      </c>
      <c r="C208" s="1" t="n">
        <v>45351</v>
      </c>
      <c r="D208" t="inlineStr">
        <is>
          <t>VÄSTMANLANDS LÄN</t>
        </is>
      </c>
      <c r="E208" t="inlineStr">
        <is>
          <t>SURAHAMMAR</t>
        </is>
      </c>
      <c r="F208" t="inlineStr">
        <is>
          <t>Sveaskog</t>
        </is>
      </c>
      <c r="G208" t="n">
        <v>2.3</v>
      </c>
      <c r="H208" t="n">
        <v>0</v>
      </c>
      <c r="I208" t="n">
        <v>0</v>
      </c>
      <c r="J208" t="n">
        <v>0</v>
      </c>
      <c r="K208" t="n">
        <v>0</v>
      </c>
      <c r="L208" t="n">
        <v>0</v>
      </c>
      <c r="M208" t="n">
        <v>0</v>
      </c>
      <c r="N208" t="n">
        <v>0</v>
      </c>
      <c r="O208" t="n">
        <v>0</v>
      </c>
      <c r="P208" t="n">
        <v>0</v>
      </c>
      <c r="Q208" t="n">
        <v>0</v>
      </c>
      <c r="R208" s="2" t="inlineStr"/>
    </row>
    <row r="209" ht="15" customHeight="1">
      <c r="A209" t="inlineStr">
        <is>
          <t>A 23731-2023</t>
        </is>
      </c>
      <c r="B209" s="1" t="n">
        <v>45077</v>
      </c>
      <c r="C209" s="1" t="n">
        <v>45351</v>
      </c>
      <c r="D209" t="inlineStr">
        <is>
          <t>VÄSTMANLANDS LÄN</t>
        </is>
      </c>
      <c r="E209" t="inlineStr">
        <is>
          <t>SURAHAMMAR</t>
        </is>
      </c>
      <c r="F209" t="inlineStr">
        <is>
          <t>Sveaskog</t>
        </is>
      </c>
      <c r="G209" t="n">
        <v>1.3</v>
      </c>
      <c r="H209" t="n">
        <v>0</v>
      </c>
      <c r="I209" t="n">
        <v>0</v>
      </c>
      <c r="J209" t="n">
        <v>0</v>
      </c>
      <c r="K209" t="n">
        <v>0</v>
      </c>
      <c r="L209" t="n">
        <v>0</v>
      </c>
      <c r="M209" t="n">
        <v>0</v>
      </c>
      <c r="N209" t="n">
        <v>0</v>
      </c>
      <c r="O209" t="n">
        <v>0</v>
      </c>
      <c r="P209" t="n">
        <v>0</v>
      </c>
      <c r="Q209" t="n">
        <v>0</v>
      </c>
      <c r="R209" s="2" t="inlineStr"/>
    </row>
    <row r="210" ht="15" customHeight="1">
      <c r="A210" t="inlineStr">
        <is>
          <t>A 24156-2023</t>
        </is>
      </c>
      <c r="B210" s="1" t="n">
        <v>45079</v>
      </c>
      <c r="C210" s="1" t="n">
        <v>45351</v>
      </c>
      <c r="D210" t="inlineStr">
        <is>
          <t>VÄSTMANLANDS LÄN</t>
        </is>
      </c>
      <c r="E210" t="inlineStr">
        <is>
          <t>SURAHAMMAR</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24158-2023</t>
        </is>
      </c>
      <c r="B211" s="1" t="n">
        <v>45079</v>
      </c>
      <c r="C211" s="1" t="n">
        <v>45351</v>
      </c>
      <c r="D211" t="inlineStr">
        <is>
          <t>VÄSTMANLANDS LÄN</t>
        </is>
      </c>
      <c r="E211" t="inlineStr">
        <is>
          <t>SURAHAMMAR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24197-2023</t>
        </is>
      </c>
      <c r="B212" s="1" t="n">
        <v>45079</v>
      </c>
      <c r="C212" s="1" t="n">
        <v>45351</v>
      </c>
      <c r="D212" t="inlineStr">
        <is>
          <t>VÄSTMANLANDS LÄN</t>
        </is>
      </c>
      <c r="E212" t="inlineStr">
        <is>
          <t>SURAHAMMAR</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24180-2023</t>
        </is>
      </c>
      <c r="B213" s="1" t="n">
        <v>45079</v>
      </c>
      <c r="C213" s="1" t="n">
        <v>45351</v>
      </c>
      <c r="D213" t="inlineStr">
        <is>
          <t>VÄSTMANLANDS LÄN</t>
        </is>
      </c>
      <c r="E213" t="inlineStr">
        <is>
          <t>SURAHAMMAR</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24665-2023</t>
        </is>
      </c>
      <c r="B214" s="1" t="n">
        <v>45084</v>
      </c>
      <c r="C214" s="1" t="n">
        <v>45351</v>
      </c>
      <c r="D214" t="inlineStr">
        <is>
          <t>VÄSTMANLANDS LÄN</t>
        </is>
      </c>
      <c r="E214" t="inlineStr">
        <is>
          <t>SURAHAMMAR</t>
        </is>
      </c>
      <c r="G214" t="n">
        <v>0.9</v>
      </c>
      <c r="H214" t="n">
        <v>0</v>
      </c>
      <c r="I214" t="n">
        <v>0</v>
      </c>
      <c r="J214" t="n">
        <v>0</v>
      </c>
      <c r="K214" t="n">
        <v>0</v>
      </c>
      <c r="L214" t="n">
        <v>0</v>
      </c>
      <c r="M214" t="n">
        <v>0</v>
      </c>
      <c r="N214" t="n">
        <v>0</v>
      </c>
      <c r="O214" t="n">
        <v>0</v>
      </c>
      <c r="P214" t="n">
        <v>0</v>
      </c>
      <c r="Q214" t="n">
        <v>0</v>
      </c>
      <c r="R214" s="2" t="inlineStr"/>
    </row>
    <row r="215" ht="15" customHeight="1">
      <c r="A215" t="inlineStr">
        <is>
          <t>A 25775-2023</t>
        </is>
      </c>
      <c r="B215" s="1" t="n">
        <v>45090</v>
      </c>
      <c r="C215" s="1" t="n">
        <v>45351</v>
      </c>
      <c r="D215" t="inlineStr">
        <is>
          <t>VÄSTMANLANDS LÄN</t>
        </is>
      </c>
      <c r="E215" t="inlineStr">
        <is>
          <t>SURAHAMMAR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25780-2023</t>
        </is>
      </c>
      <c r="B216" s="1" t="n">
        <v>45090</v>
      </c>
      <c r="C216" s="1" t="n">
        <v>45351</v>
      </c>
      <c r="D216" t="inlineStr">
        <is>
          <t>VÄSTMANLANDS LÄN</t>
        </is>
      </c>
      <c r="E216" t="inlineStr">
        <is>
          <t>SURAHAMMAR</t>
        </is>
      </c>
      <c r="G216" t="n">
        <v>2.8</v>
      </c>
      <c r="H216" t="n">
        <v>0</v>
      </c>
      <c r="I216" t="n">
        <v>0</v>
      </c>
      <c r="J216" t="n">
        <v>0</v>
      </c>
      <c r="K216" t="n">
        <v>0</v>
      </c>
      <c r="L216" t="n">
        <v>0</v>
      </c>
      <c r="M216" t="n">
        <v>0</v>
      </c>
      <c r="N216" t="n">
        <v>0</v>
      </c>
      <c r="O216" t="n">
        <v>0</v>
      </c>
      <c r="P216" t="n">
        <v>0</v>
      </c>
      <c r="Q216" t="n">
        <v>0</v>
      </c>
      <c r="R216" s="2" t="inlineStr"/>
    </row>
    <row r="217" ht="15" customHeight="1">
      <c r="A217" t="inlineStr">
        <is>
          <t>A 27140-2023</t>
        </is>
      </c>
      <c r="B217" s="1" t="n">
        <v>45096</v>
      </c>
      <c r="C217" s="1" t="n">
        <v>45351</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27156-2023</t>
        </is>
      </c>
      <c r="B218" s="1" t="n">
        <v>45096</v>
      </c>
      <c r="C218" s="1" t="n">
        <v>45351</v>
      </c>
      <c r="D218" t="inlineStr">
        <is>
          <t>VÄSTMANLANDS LÄN</t>
        </is>
      </c>
      <c r="E218" t="inlineStr">
        <is>
          <t>SURAHAMMAR</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27142-2023</t>
        </is>
      </c>
      <c r="B219" s="1" t="n">
        <v>45096</v>
      </c>
      <c r="C219" s="1" t="n">
        <v>45351</v>
      </c>
      <c r="D219" t="inlineStr">
        <is>
          <t>VÄSTMANLANDS LÄN</t>
        </is>
      </c>
      <c r="E219" t="inlineStr">
        <is>
          <t>SURAHAMMAR</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27171-2023</t>
        </is>
      </c>
      <c r="B220" s="1" t="n">
        <v>45096</v>
      </c>
      <c r="C220" s="1" t="n">
        <v>45351</v>
      </c>
      <c r="D220" t="inlineStr">
        <is>
          <t>VÄSTMANLANDS LÄN</t>
        </is>
      </c>
      <c r="E220" t="inlineStr">
        <is>
          <t>SURAHAMMAR</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28051-2023</t>
        </is>
      </c>
      <c r="B221" s="1" t="n">
        <v>45099</v>
      </c>
      <c r="C221" s="1" t="n">
        <v>45351</v>
      </c>
      <c r="D221" t="inlineStr">
        <is>
          <t>VÄSTMANLANDS LÄN</t>
        </is>
      </c>
      <c r="E221" t="inlineStr">
        <is>
          <t>SURAHAMMAR</t>
        </is>
      </c>
      <c r="F221" t="inlineStr">
        <is>
          <t>Allmännings- och besparingsskogar</t>
        </is>
      </c>
      <c r="G221" t="n">
        <v>23.3</v>
      </c>
      <c r="H221" t="n">
        <v>0</v>
      </c>
      <c r="I221" t="n">
        <v>0</v>
      </c>
      <c r="J221" t="n">
        <v>0</v>
      </c>
      <c r="K221" t="n">
        <v>0</v>
      </c>
      <c r="L221" t="n">
        <v>0</v>
      </c>
      <c r="M221" t="n">
        <v>0</v>
      </c>
      <c r="N221" t="n">
        <v>0</v>
      </c>
      <c r="O221" t="n">
        <v>0</v>
      </c>
      <c r="P221" t="n">
        <v>0</v>
      </c>
      <c r="Q221" t="n">
        <v>0</v>
      </c>
      <c r="R221" s="2" t="inlineStr"/>
    </row>
    <row r="222" ht="15" customHeight="1">
      <c r="A222" t="inlineStr">
        <is>
          <t>A 30076-2023</t>
        </is>
      </c>
      <c r="B222" s="1" t="n">
        <v>45110</v>
      </c>
      <c r="C222" s="1" t="n">
        <v>45351</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37138-2023</t>
        </is>
      </c>
      <c r="B223" s="1" t="n">
        <v>45155</v>
      </c>
      <c r="C223" s="1" t="n">
        <v>45351</v>
      </c>
      <c r="D223" t="inlineStr">
        <is>
          <t>VÄSTMANLANDS LÄN</t>
        </is>
      </c>
      <c r="E223" t="inlineStr">
        <is>
          <t>SURAHAMMAR</t>
        </is>
      </c>
      <c r="G223" t="n">
        <v>1.4</v>
      </c>
      <c r="H223" t="n">
        <v>0</v>
      </c>
      <c r="I223" t="n">
        <v>0</v>
      </c>
      <c r="J223" t="n">
        <v>0</v>
      </c>
      <c r="K223" t="n">
        <v>0</v>
      </c>
      <c r="L223" t="n">
        <v>0</v>
      </c>
      <c r="M223" t="n">
        <v>0</v>
      </c>
      <c r="N223" t="n">
        <v>0</v>
      </c>
      <c r="O223" t="n">
        <v>0</v>
      </c>
      <c r="P223" t="n">
        <v>0</v>
      </c>
      <c r="Q223" t="n">
        <v>0</v>
      </c>
      <c r="R223" s="2" t="inlineStr"/>
    </row>
    <row r="224" ht="15" customHeight="1">
      <c r="A224" t="inlineStr">
        <is>
          <t>A 37287-2023</t>
        </is>
      </c>
      <c r="B224" s="1" t="n">
        <v>45156</v>
      </c>
      <c r="C224" s="1" t="n">
        <v>45351</v>
      </c>
      <c r="D224" t="inlineStr">
        <is>
          <t>VÄSTMANLANDS LÄN</t>
        </is>
      </c>
      <c r="E224" t="inlineStr">
        <is>
          <t>SURAHAMMAR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37277-2023</t>
        </is>
      </c>
      <c r="B225" s="1" t="n">
        <v>45156</v>
      </c>
      <c r="C225" s="1" t="n">
        <v>45351</v>
      </c>
      <c r="D225" t="inlineStr">
        <is>
          <t>VÄSTMANLANDS LÄN</t>
        </is>
      </c>
      <c r="E225" t="inlineStr">
        <is>
          <t>SURAHAMMAR</t>
        </is>
      </c>
      <c r="G225" t="n">
        <v>4.3</v>
      </c>
      <c r="H225" t="n">
        <v>0</v>
      </c>
      <c r="I225" t="n">
        <v>0</v>
      </c>
      <c r="J225" t="n">
        <v>0</v>
      </c>
      <c r="K225" t="n">
        <v>0</v>
      </c>
      <c r="L225" t="n">
        <v>0</v>
      </c>
      <c r="M225" t="n">
        <v>0</v>
      </c>
      <c r="N225" t="n">
        <v>0</v>
      </c>
      <c r="O225" t="n">
        <v>0</v>
      </c>
      <c r="P225" t="n">
        <v>0</v>
      </c>
      <c r="Q225" t="n">
        <v>0</v>
      </c>
      <c r="R225" s="2" t="inlineStr"/>
    </row>
    <row r="226" ht="15" customHeight="1">
      <c r="A226" t="inlineStr">
        <is>
          <t>A 37635-2023</t>
        </is>
      </c>
      <c r="B226" s="1" t="n">
        <v>45159</v>
      </c>
      <c r="C226" s="1" t="n">
        <v>45351</v>
      </c>
      <c r="D226" t="inlineStr">
        <is>
          <t>VÄSTMANLANDS LÄN</t>
        </is>
      </c>
      <c r="E226" t="inlineStr">
        <is>
          <t>SURAHAMMAR</t>
        </is>
      </c>
      <c r="G226" t="n">
        <v>1</v>
      </c>
      <c r="H226" t="n">
        <v>0</v>
      </c>
      <c r="I226" t="n">
        <v>0</v>
      </c>
      <c r="J226" t="n">
        <v>0</v>
      </c>
      <c r="K226" t="n">
        <v>0</v>
      </c>
      <c r="L226" t="n">
        <v>0</v>
      </c>
      <c r="M226" t="n">
        <v>0</v>
      </c>
      <c r="N226" t="n">
        <v>0</v>
      </c>
      <c r="O226" t="n">
        <v>0</v>
      </c>
      <c r="P226" t="n">
        <v>0</v>
      </c>
      <c r="Q226" t="n">
        <v>0</v>
      </c>
      <c r="R226" s="2" t="inlineStr"/>
    </row>
    <row r="227" ht="15" customHeight="1">
      <c r="A227" t="inlineStr">
        <is>
          <t>A 37639-2023</t>
        </is>
      </c>
      <c r="B227" s="1" t="n">
        <v>45159</v>
      </c>
      <c r="C227" s="1" t="n">
        <v>45351</v>
      </c>
      <c r="D227" t="inlineStr">
        <is>
          <t>VÄSTMANLANDS LÄN</t>
        </is>
      </c>
      <c r="E227" t="inlineStr">
        <is>
          <t>SURAHAMMAR</t>
        </is>
      </c>
      <c r="G227" t="n">
        <v>4.9</v>
      </c>
      <c r="H227" t="n">
        <v>0</v>
      </c>
      <c r="I227" t="n">
        <v>0</v>
      </c>
      <c r="J227" t="n">
        <v>0</v>
      </c>
      <c r="K227" t="n">
        <v>0</v>
      </c>
      <c r="L227" t="n">
        <v>0</v>
      </c>
      <c r="M227" t="n">
        <v>0</v>
      </c>
      <c r="N227" t="n">
        <v>0</v>
      </c>
      <c r="O227" t="n">
        <v>0</v>
      </c>
      <c r="P227" t="n">
        <v>0</v>
      </c>
      <c r="Q227" t="n">
        <v>0</v>
      </c>
      <c r="R227" s="2" t="inlineStr"/>
    </row>
    <row r="228" ht="15" customHeight="1">
      <c r="A228" t="inlineStr">
        <is>
          <t>A 40956-2023</t>
        </is>
      </c>
      <c r="B228" s="1" t="n">
        <v>45169</v>
      </c>
      <c r="C228" s="1" t="n">
        <v>45351</v>
      </c>
      <c r="D228" t="inlineStr">
        <is>
          <t>VÄSTMANLANDS LÄN</t>
        </is>
      </c>
      <c r="E228" t="inlineStr">
        <is>
          <t>SURAHAMMAR</t>
        </is>
      </c>
      <c r="F228" t="inlineStr">
        <is>
          <t>Bergvik skog väst AB</t>
        </is>
      </c>
      <c r="G228" t="n">
        <v>7.6</v>
      </c>
      <c r="H228" t="n">
        <v>0</v>
      </c>
      <c r="I228" t="n">
        <v>0</v>
      </c>
      <c r="J228" t="n">
        <v>0</v>
      </c>
      <c r="K228" t="n">
        <v>0</v>
      </c>
      <c r="L228" t="n">
        <v>0</v>
      </c>
      <c r="M228" t="n">
        <v>0</v>
      </c>
      <c r="N228" t="n">
        <v>0</v>
      </c>
      <c r="O228" t="n">
        <v>0</v>
      </c>
      <c r="P228" t="n">
        <v>0</v>
      </c>
      <c r="Q228" t="n">
        <v>0</v>
      </c>
      <c r="R228" s="2" t="inlineStr"/>
    </row>
    <row r="229" ht="15" customHeight="1">
      <c r="A229" t="inlineStr">
        <is>
          <t>A 40445-2023</t>
        </is>
      </c>
      <c r="B229" s="1" t="n">
        <v>45170</v>
      </c>
      <c r="C229" s="1" t="n">
        <v>45351</v>
      </c>
      <c r="D229" t="inlineStr">
        <is>
          <t>VÄSTMANLANDS LÄN</t>
        </is>
      </c>
      <c r="E229" t="inlineStr">
        <is>
          <t>SURAHAMMAR</t>
        </is>
      </c>
      <c r="G229" t="n">
        <v>15.6</v>
      </c>
      <c r="H229" t="n">
        <v>0</v>
      </c>
      <c r="I229" t="n">
        <v>0</v>
      </c>
      <c r="J229" t="n">
        <v>0</v>
      </c>
      <c r="K229" t="n">
        <v>0</v>
      </c>
      <c r="L229" t="n">
        <v>0</v>
      </c>
      <c r="M229" t="n">
        <v>0</v>
      </c>
      <c r="N229" t="n">
        <v>0</v>
      </c>
      <c r="O229" t="n">
        <v>0</v>
      </c>
      <c r="P229" t="n">
        <v>0</v>
      </c>
      <c r="Q229" t="n">
        <v>0</v>
      </c>
      <c r="R229" s="2" t="inlineStr"/>
    </row>
    <row r="230" ht="15" customHeight="1">
      <c r="A230" t="inlineStr">
        <is>
          <t>A 48906-2023</t>
        </is>
      </c>
      <c r="B230" s="1" t="n">
        <v>45203</v>
      </c>
      <c r="C230" s="1" t="n">
        <v>45351</v>
      </c>
      <c r="D230" t="inlineStr">
        <is>
          <t>VÄSTMANLANDS LÄN</t>
        </is>
      </c>
      <c r="E230" t="inlineStr">
        <is>
          <t>SURAHAMMAR</t>
        </is>
      </c>
      <c r="F230" t="inlineStr">
        <is>
          <t>Bergvik skog väst AB</t>
        </is>
      </c>
      <c r="G230" t="n">
        <v>2.5</v>
      </c>
      <c r="H230" t="n">
        <v>0</v>
      </c>
      <c r="I230" t="n">
        <v>0</v>
      </c>
      <c r="J230" t="n">
        <v>0</v>
      </c>
      <c r="K230" t="n">
        <v>0</v>
      </c>
      <c r="L230" t="n">
        <v>0</v>
      </c>
      <c r="M230" t="n">
        <v>0</v>
      </c>
      <c r="N230" t="n">
        <v>0</v>
      </c>
      <c r="O230" t="n">
        <v>0</v>
      </c>
      <c r="P230" t="n">
        <v>0</v>
      </c>
      <c r="Q230" t="n">
        <v>0</v>
      </c>
      <c r="R230" s="2" t="inlineStr"/>
      <c r="U230">
        <f>HYPERLINK("https://klasma.github.io/Logging_1907/knärot/A 48906-2023 karta knärot.png", "A 48906-2023")</f>
        <v/>
      </c>
      <c r="V230">
        <f>HYPERLINK("https://klasma.github.io/Logging_1907/klagomål/A 48906-2023 FSC-klagomål.docx", "A 48906-2023")</f>
        <v/>
      </c>
      <c r="W230">
        <f>HYPERLINK("https://klasma.github.io/Logging_1907/klagomålsmail/A 48906-2023 FSC-klagomål mail.docx", "A 48906-2023")</f>
        <v/>
      </c>
      <c r="X230">
        <f>HYPERLINK("https://klasma.github.io/Logging_1907/tillsyn/A 48906-2023 tillsynsbegäran.docx", "A 48906-2023")</f>
        <v/>
      </c>
      <c r="Y230">
        <f>HYPERLINK("https://klasma.github.io/Logging_1907/tillsynsmail/A 48906-2023 tillsynsbegäran mail.docx", "A 48906-2023")</f>
        <v/>
      </c>
    </row>
    <row r="231" ht="15" customHeight="1">
      <c r="A231" t="inlineStr">
        <is>
          <t>A 48205-2023</t>
        </is>
      </c>
      <c r="B231" s="1" t="n">
        <v>45205</v>
      </c>
      <c r="C231" s="1" t="n">
        <v>45351</v>
      </c>
      <c r="D231" t="inlineStr">
        <is>
          <t>VÄSTMANLANDS LÄN</t>
        </is>
      </c>
      <c r="E231" t="inlineStr">
        <is>
          <t>SURAHAMMAR</t>
        </is>
      </c>
      <c r="F231" t="inlineStr">
        <is>
          <t>Allmännings- och besparingsskogar</t>
        </is>
      </c>
      <c r="G231" t="n">
        <v>7.6</v>
      </c>
      <c r="H231" t="n">
        <v>0</v>
      </c>
      <c r="I231" t="n">
        <v>0</v>
      </c>
      <c r="J231" t="n">
        <v>0</v>
      </c>
      <c r="K231" t="n">
        <v>0</v>
      </c>
      <c r="L231" t="n">
        <v>0</v>
      </c>
      <c r="M231" t="n">
        <v>0</v>
      </c>
      <c r="N231" t="n">
        <v>0</v>
      </c>
      <c r="O231" t="n">
        <v>0</v>
      </c>
      <c r="P231" t="n">
        <v>0</v>
      </c>
      <c r="Q231" t="n">
        <v>0</v>
      </c>
      <c r="R231" s="2" t="inlineStr"/>
    </row>
    <row r="232" ht="15" customHeight="1">
      <c r="A232" t="inlineStr">
        <is>
          <t>A 56378-2023</t>
        </is>
      </c>
      <c r="B232" s="1" t="n">
        <v>45236</v>
      </c>
      <c r="C232" s="1" t="n">
        <v>45351</v>
      </c>
      <c r="D232" t="inlineStr">
        <is>
          <t>VÄSTMANLANDS LÄN</t>
        </is>
      </c>
      <c r="E232" t="inlineStr">
        <is>
          <t>SURAHAMMAR</t>
        </is>
      </c>
      <c r="F232" t="inlineStr">
        <is>
          <t>Bergvik skog väst AB</t>
        </is>
      </c>
      <c r="G232" t="n">
        <v>3.6</v>
      </c>
      <c r="H232" t="n">
        <v>0</v>
      </c>
      <c r="I232" t="n">
        <v>0</v>
      </c>
      <c r="J232" t="n">
        <v>0</v>
      </c>
      <c r="K232" t="n">
        <v>0</v>
      </c>
      <c r="L232" t="n">
        <v>0</v>
      </c>
      <c r="M232" t="n">
        <v>0</v>
      </c>
      <c r="N232" t="n">
        <v>0</v>
      </c>
      <c r="O232" t="n">
        <v>0</v>
      </c>
      <c r="P232" t="n">
        <v>0</v>
      </c>
      <c r="Q232" t="n">
        <v>0</v>
      </c>
      <c r="R232" s="2" t="inlineStr"/>
    </row>
    <row r="233" ht="15" customHeight="1">
      <c r="A233" t="inlineStr">
        <is>
          <t>A 56183-2023</t>
        </is>
      </c>
      <c r="B233" s="1" t="n">
        <v>45240</v>
      </c>
      <c r="C233" s="1" t="n">
        <v>45351</v>
      </c>
      <c r="D233" t="inlineStr">
        <is>
          <t>VÄSTMANLANDS LÄN</t>
        </is>
      </c>
      <c r="E233" t="inlineStr">
        <is>
          <t>SURAHAMMAR</t>
        </is>
      </c>
      <c r="F233" t="inlineStr">
        <is>
          <t>Allmännings- och besparingsskogar</t>
        </is>
      </c>
      <c r="G233" t="n">
        <v>2</v>
      </c>
      <c r="H233" t="n">
        <v>0</v>
      </c>
      <c r="I233" t="n">
        <v>0</v>
      </c>
      <c r="J233" t="n">
        <v>0</v>
      </c>
      <c r="K233" t="n">
        <v>0</v>
      </c>
      <c r="L233" t="n">
        <v>0</v>
      </c>
      <c r="M233" t="n">
        <v>0</v>
      </c>
      <c r="N233" t="n">
        <v>0</v>
      </c>
      <c r="O233" t="n">
        <v>0</v>
      </c>
      <c r="P233" t="n">
        <v>0</v>
      </c>
      <c r="Q233" t="n">
        <v>0</v>
      </c>
      <c r="R233" s="2" t="inlineStr"/>
    </row>
    <row r="234" ht="15" customHeight="1">
      <c r="A234" t="inlineStr">
        <is>
          <t>A 58338-2023</t>
        </is>
      </c>
      <c r="B234" s="1" t="n">
        <v>45250</v>
      </c>
      <c r="C234" s="1" t="n">
        <v>45351</v>
      </c>
      <c r="D234" t="inlineStr">
        <is>
          <t>VÄSTMANLANDS LÄN</t>
        </is>
      </c>
      <c r="E234" t="inlineStr">
        <is>
          <t>SURAHAMMAR</t>
        </is>
      </c>
      <c r="F234" t="inlineStr">
        <is>
          <t>Allmännings- och besparingsskogar</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58356-2023</t>
        </is>
      </c>
      <c r="B235" s="1" t="n">
        <v>45250</v>
      </c>
      <c r="C235" s="1" t="n">
        <v>45351</v>
      </c>
      <c r="D235" t="inlineStr">
        <is>
          <t>VÄSTMANLANDS LÄN</t>
        </is>
      </c>
      <c r="E235" t="inlineStr">
        <is>
          <t>SURAHAMMAR</t>
        </is>
      </c>
      <c r="F235" t="inlineStr">
        <is>
          <t>Allmännings- och besparingsskogar</t>
        </is>
      </c>
      <c r="G235" t="n">
        <v>2.2</v>
      </c>
      <c r="H235" t="n">
        <v>0</v>
      </c>
      <c r="I235" t="n">
        <v>0</v>
      </c>
      <c r="J235" t="n">
        <v>0</v>
      </c>
      <c r="K235" t="n">
        <v>0</v>
      </c>
      <c r="L235" t="n">
        <v>0</v>
      </c>
      <c r="M235" t="n">
        <v>0</v>
      </c>
      <c r="N235" t="n">
        <v>0</v>
      </c>
      <c r="O235" t="n">
        <v>0</v>
      </c>
      <c r="P235" t="n">
        <v>0</v>
      </c>
      <c r="Q235" t="n">
        <v>0</v>
      </c>
      <c r="R235" s="2" t="inlineStr"/>
    </row>
    <row r="236" ht="15" customHeight="1">
      <c r="A236" t="inlineStr">
        <is>
          <t>A 59317-2023</t>
        </is>
      </c>
      <c r="B236" s="1" t="n">
        <v>45253</v>
      </c>
      <c r="C236" s="1" t="n">
        <v>45351</v>
      </c>
      <c r="D236" t="inlineStr">
        <is>
          <t>VÄSTMANLANDS LÄN</t>
        </is>
      </c>
      <c r="E236" t="inlineStr">
        <is>
          <t>SURAHAMMAR</t>
        </is>
      </c>
      <c r="G236" t="n">
        <v>7.1</v>
      </c>
      <c r="H236" t="n">
        <v>0</v>
      </c>
      <c r="I236" t="n">
        <v>0</v>
      </c>
      <c r="J236" t="n">
        <v>0</v>
      </c>
      <c r="K236" t="n">
        <v>0</v>
      </c>
      <c r="L236" t="n">
        <v>0</v>
      </c>
      <c r="M236" t="n">
        <v>0</v>
      </c>
      <c r="N236" t="n">
        <v>0</v>
      </c>
      <c r="O236" t="n">
        <v>0</v>
      </c>
      <c r="P236" t="n">
        <v>0</v>
      </c>
      <c r="Q236" t="n">
        <v>0</v>
      </c>
      <c r="R236" s="2" t="inlineStr"/>
    </row>
    <row r="237" ht="15" customHeight="1">
      <c r="A237" t="inlineStr">
        <is>
          <t>A 64343-2023</t>
        </is>
      </c>
      <c r="B237" s="1" t="n">
        <v>45280</v>
      </c>
      <c r="C237" s="1" t="n">
        <v>45351</v>
      </c>
      <c r="D237" t="inlineStr">
        <is>
          <t>VÄSTMANLANDS LÄN</t>
        </is>
      </c>
      <c r="E237" t="inlineStr">
        <is>
          <t>SURAHAMMAR</t>
        </is>
      </c>
      <c r="G237" t="n">
        <v>2.9</v>
      </c>
      <c r="H237" t="n">
        <v>0</v>
      </c>
      <c r="I237" t="n">
        <v>0</v>
      </c>
      <c r="J237" t="n">
        <v>0</v>
      </c>
      <c r="K237" t="n">
        <v>0</v>
      </c>
      <c r="L237" t="n">
        <v>0</v>
      </c>
      <c r="M237" t="n">
        <v>0</v>
      </c>
      <c r="N237" t="n">
        <v>0</v>
      </c>
      <c r="O237" t="n">
        <v>0</v>
      </c>
      <c r="P237" t="n">
        <v>0</v>
      </c>
      <c r="Q237" t="n">
        <v>0</v>
      </c>
      <c r="R237" s="2" t="inlineStr"/>
    </row>
    <row r="238" ht="15" customHeight="1">
      <c r="A238" t="inlineStr">
        <is>
          <t>A 1316-2024</t>
        </is>
      </c>
      <c r="B238" s="1" t="n">
        <v>45303</v>
      </c>
      <c r="C238" s="1" t="n">
        <v>45351</v>
      </c>
      <c r="D238" t="inlineStr">
        <is>
          <t>VÄSTMANLANDS LÄN</t>
        </is>
      </c>
      <c r="E238" t="inlineStr">
        <is>
          <t>SURAHAMMAR</t>
        </is>
      </c>
      <c r="G238" t="n">
        <v>1</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45351</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2680-2024</t>
        </is>
      </c>
      <c r="B240" s="1" t="n">
        <v>45310</v>
      </c>
      <c r="C240" s="1" t="n">
        <v>45351</v>
      </c>
      <c r="D240" t="inlineStr">
        <is>
          <t>VÄSTMANLANDS LÄN</t>
        </is>
      </c>
      <c r="E240" t="inlineStr">
        <is>
          <t>SURAHAMMAR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2867-2024</t>
        </is>
      </c>
      <c r="B241" s="1" t="n">
        <v>45315</v>
      </c>
      <c r="C241" s="1" t="n">
        <v>45351</v>
      </c>
      <c r="D241" t="inlineStr">
        <is>
          <t>VÄSTMANLANDS LÄN</t>
        </is>
      </c>
      <c r="E241" t="inlineStr">
        <is>
          <t>SURAHAMMAR</t>
        </is>
      </c>
      <c r="F241" t="inlineStr">
        <is>
          <t>Bergvik skog väst AB</t>
        </is>
      </c>
      <c r="G241" t="n">
        <v>1.4</v>
      </c>
      <c r="H241" t="n">
        <v>0</v>
      </c>
      <c r="I241" t="n">
        <v>0</v>
      </c>
      <c r="J241" t="n">
        <v>0</v>
      </c>
      <c r="K241" t="n">
        <v>0</v>
      </c>
      <c r="L241" t="n">
        <v>0</v>
      </c>
      <c r="M241" t="n">
        <v>0</v>
      </c>
      <c r="N241" t="n">
        <v>0</v>
      </c>
      <c r="O241" t="n">
        <v>0</v>
      </c>
      <c r="P241" t="n">
        <v>0</v>
      </c>
      <c r="Q241" t="n">
        <v>0</v>
      </c>
      <c r="R241" s="2" t="inlineStr"/>
    </row>
    <row r="242" ht="15" customHeight="1">
      <c r="A242" t="inlineStr">
        <is>
          <t>A 2866-2024</t>
        </is>
      </c>
      <c r="B242" s="1" t="n">
        <v>45315</v>
      </c>
      <c r="C242" s="1" t="n">
        <v>45351</v>
      </c>
      <c r="D242" t="inlineStr">
        <is>
          <t>VÄSTMANLANDS LÄN</t>
        </is>
      </c>
      <c r="E242" t="inlineStr">
        <is>
          <t>SURAHAMMAR</t>
        </is>
      </c>
      <c r="F242" t="inlineStr">
        <is>
          <t>Bergvik skog väst AB</t>
        </is>
      </c>
      <c r="G242" t="n">
        <v>5.1</v>
      </c>
      <c r="H242" t="n">
        <v>0</v>
      </c>
      <c r="I242" t="n">
        <v>0</v>
      </c>
      <c r="J242" t="n">
        <v>0</v>
      </c>
      <c r="K242" t="n">
        <v>0</v>
      </c>
      <c r="L242" t="n">
        <v>0</v>
      </c>
      <c r="M242" t="n">
        <v>0</v>
      </c>
      <c r="N242" t="n">
        <v>0</v>
      </c>
      <c r="O242" t="n">
        <v>0</v>
      </c>
      <c r="P242" t="n">
        <v>0</v>
      </c>
      <c r="Q242" t="n">
        <v>0</v>
      </c>
      <c r="R242" s="2" t="inlineStr"/>
    </row>
    <row r="243" ht="15" customHeight="1">
      <c r="A243" t="inlineStr">
        <is>
          <t>A 4759-2024</t>
        </is>
      </c>
      <c r="B243" s="1" t="n">
        <v>45328</v>
      </c>
      <c r="C243" s="1" t="n">
        <v>45351</v>
      </c>
      <c r="D243" t="inlineStr">
        <is>
          <t>VÄSTMANLANDS LÄN</t>
        </is>
      </c>
      <c r="E243" t="inlineStr">
        <is>
          <t>SURAHAMMAR</t>
        </is>
      </c>
      <c r="F243" t="inlineStr">
        <is>
          <t>Bergvik skog väst AB</t>
        </is>
      </c>
      <c r="G243" t="n">
        <v>2.3</v>
      </c>
      <c r="H243" t="n">
        <v>0</v>
      </c>
      <c r="I243" t="n">
        <v>0</v>
      </c>
      <c r="J243" t="n">
        <v>0</v>
      </c>
      <c r="K243" t="n">
        <v>0</v>
      </c>
      <c r="L243" t="n">
        <v>0</v>
      </c>
      <c r="M243" t="n">
        <v>0</v>
      </c>
      <c r="N243" t="n">
        <v>0</v>
      </c>
      <c r="O243" t="n">
        <v>0</v>
      </c>
      <c r="P243" t="n">
        <v>0</v>
      </c>
      <c r="Q243" t="n">
        <v>0</v>
      </c>
      <c r="R243" s="2" t="inlineStr"/>
    </row>
    <row r="244" ht="15" customHeight="1">
      <c r="A244" t="inlineStr">
        <is>
          <t>A 5168-2024</t>
        </is>
      </c>
      <c r="B244" s="1" t="n">
        <v>45330</v>
      </c>
      <c r="C244" s="1" t="n">
        <v>45351</v>
      </c>
      <c r="D244" t="inlineStr">
        <is>
          <t>VÄSTMANLANDS LÄN</t>
        </is>
      </c>
      <c r="E244" t="inlineStr">
        <is>
          <t>SURAHAMMAR</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7791-2024</t>
        </is>
      </c>
      <c r="B245" s="1" t="n">
        <v>45348</v>
      </c>
      <c r="C245" s="1" t="n">
        <v>45351</v>
      </c>
      <c r="D245" t="inlineStr">
        <is>
          <t>VÄSTMANLANDS LÄN</t>
        </is>
      </c>
      <c r="E245" t="inlineStr">
        <is>
          <t>SURAHAMMAR</t>
        </is>
      </c>
      <c r="G245" t="n">
        <v>9.6</v>
      </c>
      <c r="H245" t="n">
        <v>0</v>
      </c>
      <c r="I245" t="n">
        <v>0</v>
      </c>
      <c r="J245" t="n">
        <v>0</v>
      </c>
      <c r="K245" t="n">
        <v>0</v>
      </c>
      <c r="L245" t="n">
        <v>0</v>
      </c>
      <c r="M245" t="n">
        <v>0</v>
      </c>
      <c r="N245" t="n">
        <v>0</v>
      </c>
      <c r="O245" t="n">
        <v>0</v>
      </c>
      <c r="P245" t="n">
        <v>0</v>
      </c>
      <c r="Q245" t="n">
        <v>0</v>
      </c>
      <c r="R245" s="2" t="inlineStr"/>
    </row>
    <row r="246" ht="15" customHeight="1">
      <c r="A246" t="inlineStr">
        <is>
          <t>A 7787-2024</t>
        </is>
      </c>
      <c r="B246" s="1" t="n">
        <v>45348</v>
      </c>
      <c r="C246" s="1" t="n">
        <v>45351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c r="A247" t="inlineStr">
        <is>
          <t>A 7782-2024</t>
        </is>
      </c>
      <c r="B247" s="1" t="n">
        <v>45349</v>
      </c>
      <c r="C247" s="1" t="n">
        <v>45351</v>
      </c>
      <c r="D247" t="inlineStr">
        <is>
          <t>VÄSTMANLANDS LÄN</t>
        </is>
      </c>
      <c r="E247" t="inlineStr">
        <is>
          <t>SURAHAMMAR</t>
        </is>
      </c>
      <c r="F247" t="inlineStr">
        <is>
          <t>Sveaskog</t>
        </is>
      </c>
      <c r="G247" t="n">
        <v>2.6</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2024-02-29T12:53:55Z</dcterms:created>
  <dcterms:modified xmlns:dcterms="http://purl.org/dc/terms/" xmlns:xsi="http://www.w3.org/2001/XMLSchema-instance" xsi:type="dcterms:W3CDTF">2024-02-29T12:53:55Z</dcterms:modified>
</cp:coreProperties>
</file>