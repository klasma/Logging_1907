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46132</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46132</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46132</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46132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46132</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46132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46132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46132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46132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46132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46132</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46132</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46132</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46132</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46132</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46132</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65024-2023</t>
        </is>
      </c>
      <c r="B25" s="1" t="n">
        <v>45282</v>
      </c>
      <c r="C25" s="1" t="n">
        <v>46132</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46132</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46132</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10236-2026</t>
        </is>
      </c>
      <c r="B28" s="1" t="n">
        <v>46076.54277777778</v>
      </c>
      <c r="C28" s="1" t="n">
        <v>46132</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42853-2022</t>
        </is>
      </c>
      <c r="B29" s="1" t="n">
        <v>44832</v>
      </c>
      <c r="C29" s="1" t="n">
        <v>46132</v>
      </c>
      <c r="D29" t="inlineStr">
        <is>
          <t>VÄSTMANLANDS LÄN</t>
        </is>
      </c>
      <c r="E29" t="inlineStr">
        <is>
          <t>SURAHAMMAR</t>
        </is>
      </c>
      <c r="G29" t="n">
        <v>7.4</v>
      </c>
      <c r="H29" t="n">
        <v>2</v>
      </c>
      <c r="I29" t="n">
        <v>1</v>
      </c>
      <c r="J29" t="n">
        <v>2</v>
      </c>
      <c r="K29" t="n">
        <v>0</v>
      </c>
      <c r="L29" t="n">
        <v>1</v>
      </c>
      <c r="M29" t="n">
        <v>0</v>
      </c>
      <c r="N29" t="n">
        <v>0</v>
      </c>
      <c r="O29" t="n">
        <v>3</v>
      </c>
      <c r="P29" t="n">
        <v>1</v>
      </c>
      <c r="Q29" t="n">
        <v>4</v>
      </c>
      <c r="R29" s="2" t="inlineStr">
        <is>
          <t>Ask
Kandelabersvamp
Mindre hackspett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c r="Z29">
        <f>HYPERLINK("https://klasma.github.io/Logging_1907/fåglar/A 42853-2022 prioriterade fågelarter.docx", "A 42853-2022")</f>
        <v/>
      </c>
    </row>
    <row r="30" ht="15" customHeight="1">
      <c r="A30" t="inlineStr">
        <is>
          <t>A 42860-2022</t>
        </is>
      </c>
      <c r="B30" s="1" t="n">
        <v>44832</v>
      </c>
      <c r="C30" s="1" t="n">
        <v>46132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46132</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46132</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46132</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46132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29707-2025</t>
        </is>
      </c>
      <c r="B35" s="1" t="n">
        <v>45825.56100694444</v>
      </c>
      <c r="C35" s="1" t="n">
        <v>46132</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48128-2023</t>
        </is>
      </c>
      <c r="B36" s="1" t="n">
        <v>45205</v>
      </c>
      <c r="C36" s="1" t="n">
        <v>46132</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46132</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46132</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46132</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46132</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46132</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18717-2021</t>
        </is>
      </c>
      <c r="B42" s="1" t="n">
        <v>44306</v>
      </c>
      <c r="C42" s="1" t="n">
        <v>46132</v>
      </c>
      <c r="D42" t="inlineStr">
        <is>
          <t>VÄSTMANLANDS LÄN</t>
        </is>
      </c>
      <c r="E42" t="inlineStr">
        <is>
          <t>SURAHAMMAR</t>
        </is>
      </c>
      <c r="F42" t="inlineStr">
        <is>
          <t>Bergvik skog väst AB</t>
        </is>
      </c>
      <c r="G42" t="n">
        <v>18</v>
      </c>
      <c r="H42" t="n">
        <v>2</v>
      </c>
      <c r="I42" t="n">
        <v>0</v>
      </c>
      <c r="J42" t="n">
        <v>0</v>
      </c>
      <c r="K42" t="n">
        <v>0</v>
      </c>
      <c r="L42" t="n">
        <v>0</v>
      </c>
      <c r="M42" t="n">
        <v>0</v>
      </c>
      <c r="N42" t="n">
        <v>0</v>
      </c>
      <c r="O42" t="n">
        <v>0</v>
      </c>
      <c r="P42" t="n">
        <v>0</v>
      </c>
      <c r="Q42" t="n">
        <v>2</v>
      </c>
      <c r="R42" s="2" t="inlineStr">
        <is>
          <t>Lopplummer (aggregat)
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21618-2025</t>
        </is>
      </c>
      <c r="B43" s="1" t="n">
        <v>45783</v>
      </c>
      <c r="C43" s="1" t="n">
        <v>46132</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40403-2025</t>
        </is>
      </c>
      <c r="B44" s="1" t="n">
        <v>45895</v>
      </c>
      <c r="C44" s="1" t="n">
        <v>46132</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62097-2024</t>
        </is>
      </c>
      <c r="B45" s="1" t="n">
        <v>45646</v>
      </c>
      <c r="C45" s="1" t="n">
        <v>46132</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41204-2023</t>
        </is>
      </c>
      <c r="B46" s="1" t="n">
        <v>45174</v>
      </c>
      <c r="C46" s="1" t="n">
        <v>46132</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63146-2025</t>
        </is>
      </c>
      <c r="B47" s="1" t="n">
        <v>46009</v>
      </c>
      <c r="C47" s="1" t="n">
        <v>46132</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41576-2022</t>
        </is>
      </c>
      <c r="B48" s="1" t="n">
        <v>44826</v>
      </c>
      <c r="C48" s="1" t="n">
        <v>46132</v>
      </c>
      <c r="D48" t="inlineStr">
        <is>
          <t>VÄSTMANLANDS LÄN</t>
        </is>
      </c>
      <c r="E48" t="inlineStr">
        <is>
          <t>SURAHAMMAR</t>
        </is>
      </c>
      <c r="F48" t="inlineStr">
        <is>
          <t>Bergvik skog väst AB</t>
        </is>
      </c>
      <c r="G48" t="n">
        <v>6.4</v>
      </c>
      <c r="H48" t="n">
        <v>2</v>
      </c>
      <c r="I48" t="n">
        <v>0</v>
      </c>
      <c r="J48" t="n">
        <v>1</v>
      </c>
      <c r="K48" t="n">
        <v>0</v>
      </c>
      <c r="L48" t="n">
        <v>0</v>
      </c>
      <c r="M48" t="n">
        <v>0</v>
      </c>
      <c r="N48" t="n">
        <v>0</v>
      </c>
      <c r="O48" t="n">
        <v>1</v>
      </c>
      <c r="P48" t="n">
        <v>0</v>
      </c>
      <c r="Q48" t="n">
        <v>2</v>
      </c>
      <c r="R48" s="2" t="inlineStr">
        <is>
          <t>Talltita
Kungsfågel</t>
        </is>
      </c>
      <c r="S48">
        <f>HYPERLINK("https://klasma.github.io/Logging_1907/artfynd/A 41576-2022 artfynd.xlsx", "A 41576-2022")</f>
        <v/>
      </c>
      <c r="T48">
        <f>HYPERLINK("https://klasma.github.io/Logging_1907/kartor/A 41576-2022 karta.png", "A 41576-2022")</f>
        <v/>
      </c>
      <c r="V48">
        <f>HYPERLINK("https://klasma.github.io/Logging_1907/klagomål/A 41576-2022 FSC-klagomål.docx", "A 41576-2022")</f>
        <v/>
      </c>
      <c r="W48">
        <f>HYPERLINK("https://klasma.github.io/Logging_1907/klagomålsmail/A 41576-2022 FSC-klagomål mail.docx", "A 41576-2022")</f>
        <v/>
      </c>
      <c r="X48">
        <f>HYPERLINK("https://klasma.github.io/Logging_1907/tillsyn/A 41576-2022 tillsynsbegäran.docx", "A 41576-2022")</f>
        <v/>
      </c>
      <c r="Y48">
        <f>HYPERLINK("https://klasma.github.io/Logging_1907/tillsynsmail/A 41576-2022 tillsynsbegäran mail.docx", "A 41576-2022")</f>
        <v/>
      </c>
      <c r="Z48">
        <f>HYPERLINK("https://klasma.github.io/Logging_1907/fåglar/A 41576-2022 prioriterade fågelarter.docx", "A 41576-2022")</f>
        <v/>
      </c>
    </row>
    <row r="49" ht="15" customHeight="1">
      <c r="A49" t="inlineStr">
        <is>
          <t>A 37800-2021</t>
        </is>
      </c>
      <c r="B49" s="1" t="n">
        <v>44402</v>
      </c>
      <c r="C49" s="1" t="n">
        <v>46132</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38170-2021</t>
        </is>
      </c>
      <c r="B50" s="1" t="n">
        <v>44405.43472222222</v>
      </c>
      <c r="C50" s="1" t="n">
        <v>46132</v>
      </c>
      <c r="D50" t="inlineStr">
        <is>
          <t>VÄSTMANLANDS LÄN</t>
        </is>
      </c>
      <c r="E50" t="inlineStr">
        <is>
          <t>SURAHAMMAR</t>
        </is>
      </c>
      <c r="F50" t="inlineStr">
        <is>
          <t>Sveaskog</t>
        </is>
      </c>
      <c r="G50" t="n">
        <v>1.2</v>
      </c>
      <c r="H50" t="n">
        <v>1</v>
      </c>
      <c r="I50" t="n">
        <v>0</v>
      </c>
      <c r="J50" t="n">
        <v>0</v>
      </c>
      <c r="K50" t="n">
        <v>0</v>
      </c>
      <c r="L50" t="n">
        <v>0</v>
      </c>
      <c r="M50" t="n">
        <v>0</v>
      </c>
      <c r="N50" t="n">
        <v>0</v>
      </c>
      <c r="O50" t="n">
        <v>0</v>
      </c>
      <c r="P50" t="n">
        <v>0</v>
      </c>
      <c r="Q50" t="n">
        <v>1</v>
      </c>
      <c r="R50" s="2" t="inlineStr">
        <is>
          <t>Revlummer</t>
        </is>
      </c>
      <c r="S50">
        <f>HYPERLINK("https://klasma.github.io/Logging_1907/artfynd/A 38170-2021 artfynd.xlsx", "A 38170-2021")</f>
        <v/>
      </c>
      <c r="T50">
        <f>HYPERLINK("https://klasma.github.io/Logging_1907/kartor/A 38170-2021 karta.png", "A 38170-2021")</f>
        <v/>
      </c>
      <c r="V50">
        <f>HYPERLINK("https://klasma.github.io/Logging_1907/klagomål/A 38170-2021 FSC-klagomål.docx", "A 38170-2021")</f>
        <v/>
      </c>
      <c r="W50">
        <f>HYPERLINK("https://klasma.github.io/Logging_1907/klagomålsmail/A 38170-2021 FSC-klagomål mail.docx", "A 38170-2021")</f>
        <v/>
      </c>
      <c r="X50">
        <f>HYPERLINK("https://klasma.github.io/Logging_1907/tillsyn/A 38170-2021 tillsynsbegäran.docx", "A 38170-2021")</f>
        <v/>
      </c>
      <c r="Y50">
        <f>HYPERLINK("https://klasma.github.io/Logging_1907/tillsynsmail/A 38170-2021 tillsynsbegäran mail.docx", "A 38170-2021")</f>
        <v/>
      </c>
    </row>
    <row r="51" ht="15" customHeight="1">
      <c r="A51" t="inlineStr">
        <is>
          <t>A 26700-2022</t>
        </is>
      </c>
      <c r="B51" s="1" t="n">
        <v>44739</v>
      </c>
      <c r="C51" s="1" t="n">
        <v>46132</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67611-2021</t>
        </is>
      </c>
      <c r="B52" s="1" t="n">
        <v>44524</v>
      </c>
      <c r="C52" s="1" t="n">
        <v>46132</v>
      </c>
      <c r="D52" t="inlineStr">
        <is>
          <t>VÄSTMANLANDS LÄN</t>
        </is>
      </c>
      <c r="E52" t="inlineStr">
        <is>
          <t>SURAHAMMAR</t>
        </is>
      </c>
      <c r="F52" t="inlineStr">
        <is>
          <t>Kommuner</t>
        </is>
      </c>
      <c r="G52" t="n">
        <v>3.8</v>
      </c>
      <c r="H52" t="n">
        <v>0</v>
      </c>
      <c r="I52" t="n">
        <v>0</v>
      </c>
      <c r="J52" t="n">
        <v>1</v>
      </c>
      <c r="K52" t="n">
        <v>0</v>
      </c>
      <c r="L52" t="n">
        <v>0</v>
      </c>
      <c r="M52" t="n">
        <v>0</v>
      </c>
      <c r="N52" t="n">
        <v>0</v>
      </c>
      <c r="O52" t="n">
        <v>1</v>
      </c>
      <c r="P52" t="n">
        <v>0</v>
      </c>
      <c r="Q52" t="n">
        <v>1</v>
      </c>
      <c r="R52" s="2" t="inlineStr">
        <is>
          <t>Brödmärgsticka</t>
        </is>
      </c>
      <c r="S52">
        <f>HYPERLINK("https://klasma.github.io/Logging_1907/artfynd/A 67611-2021 artfynd.xlsx", "A 67611-2021")</f>
        <v/>
      </c>
      <c r="T52">
        <f>HYPERLINK("https://klasma.github.io/Logging_1907/kartor/A 67611-2021 karta.png", "A 67611-2021")</f>
        <v/>
      </c>
      <c r="V52">
        <f>HYPERLINK("https://klasma.github.io/Logging_1907/klagomål/A 67611-2021 FSC-klagomål.docx", "A 67611-2021")</f>
        <v/>
      </c>
      <c r="W52">
        <f>HYPERLINK("https://klasma.github.io/Logging_1907/klagomålsmail/A 67611-2021 FSC-klagomål mail.docx", "A 67611-2021")</f>
        <v/>
      </c>
      <c r="X52">
        <f>HYPERLINK("https://klasma.github.io/Logging_1907/tillsyn/A 67611-2021 tillsynsbegäran.docx", "A 67611-2021")</f>
        <v/>
      </c>
      <c r="Y52">
        <f>HYPERLINK("https://klasma.github.io/Logging_1907/tillsynsmail/A 67611-2021 tillsynsbegäran mail.docx", "A 67611-2021")</f>
        <v/>
      </c>
    </row>
    <row r="53" ht="15" customHeight="1">
      <c r="A53" t="inlineStr">
        <is>
          <t>A 56362-2023</t>
        </is>
      </c>
      <c r="B53" s="1" t="n">
        <v>45236</v>
      </c>
      <c r="C53" s="1" t="n">
        <v>46132</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39099-2022</t>
        </is>
      </c>
      <c r="B54" s="1" t="n">
        <v>44817</v>
      </c>
      <c r="C54" s="1" t="n">
        <v>46132</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34582-2025</t>
        </is>
      </c>
      <c r="B55" s="1" t="n">
        <v>45846</v>
      </c>
      <c r="C55" s="1" t="n">
        <v>46132</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46132</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13788-2025</t>
        </is>
      </c>
      <c r="B57" s="1" t="n">
        <v>45737.45327546296</v>
      </c>
      <c r="C57" s="1" t="n">
        <v>46132</v>
      </c>
      <c r="D57" t="inlineStr">
        <is>
          <t>VÄSTMANLANDS LÄN</t>
        </is>
      </c>
      <c r="E57" t="inlineStr">
        <is>
          <t>SURAHAMMAR</t>
        </is>
      </c>
      <c r="G57" t="n">
        <v>9.699999999999999</v>
      </c>
      <c r="H57" t="n">
        <v>1</v>
      </c>
      <c r="I57" t="n">
        <v>0</v>
      </c>
      <c r="J57" t="n">
        <v>0</v>
      </c>
      <c r="K57" t="n">
        <v>0</v>
      </c>
      <c r="L57" t="n">
        <v>0</v>
      </c>
      <c r="M57" t="n">
        <v>0</v>
      </c>
      <c r="N57" t="n">
        <v>0</v>
      </c>
      <c r="O57" t="n">
        <v>0</v>
      </c>
      <c r="P57" t="n">
        <v>0</v>
      </c>
      <c r="Q57" t="n">
        <v>1</v>
      </c>
      <c r="R57" s="2" t="inlineStr">
        <is>
          <t>Sparvuggla</t>
        </is>
      </c>
      <c r="S57">
        <f>HYPERLINK("https://klasma.github.io/Logging_1907/artfynd/A 13788-2025 artfynd.xlsx", "A 13788-2025")</f>
        <v/>
      </c>
      <c r="T57">
        <f>HYPERLINK("https://klasma.github.io/Logging_1907/kartor/A 13788-2025 karta.png", "A 13788-2025")</f>
        <v/>
      </c>
      <c r="V57">
        <f>HYPERLINK("https://klasma.github.io/Logging_1907/klagomål/A 13788-2025 FSC-klagomål.docx", "A 13788-2025")</f>
        <v/>
      </c>
      <c r="W57">
        <f>HYPERLINK("https://klasma.github.io/Logging_1907/klagomålsmail/A 13788-2025 FSC-klagomål mail.docx", "A 13788-2025")</f>
        <v/>
      </c>
      <c r="X57">
        <f>HYPERLINK("https://klasma.github.io/Logging_1907/tillsyn/A 13788-2025 tillsynsbegäran.docx", "A 13788-2025")</f>
        <v/>
      </c>
      <c r="Y57">
        <f>HYPERLINK("https://klasma.github.io/Logging_1907/tillsynsmail/A 13788-2025 tillsynsbegäran mail.docx", "A 13788-2025")</f>
        <v/>
      </c>
      <c r="Z57">
        <f>HYPERLINK("https://klasma.github.io/Logging_1907/fåglar/A 13788-2025 prioriterade fågelarter.docx", "A 13788-2025")</f>
        <v/>
      </c>
    </row>
    <row r="58" ht="15" customHeight="1">
      <c r="A58" t="inlineStr">
        <is>
          <t>A 69777-2021</t>
        </is>
      </c>
      <c r="B58" s="1" t="n">
        <v>44532</v>
      </c>
      <c r="C58" s="1" t="n">
        <v>46132</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14001-2023</t>
        </is>
      </c>
      <c r="B59" s="1" t="n">
        <v>45007</v>
      </c>
      <c r="C59" s="1" t="n">
        <v>46132</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55042-2025</t>
        </is>
      </c>
      <c r="B60" s="1" t="n">
        <v>45967.65858796296</v>
      </c>
      <c r="C60" s="1" t="n">
        <v>46132</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47453-2024</t>
        </is>
      </c>
      <c r="B61" s="1" t="n">
        <v>45587.55017361111</v>
      </c>
      <c r="C61" s="1" t="n">
        <v>46132</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55871-2025</t>
        </is>
      </c>
      <c r="B62" s="1" t="n">
        <v>45973.35452546296</v>
      </c>
      <c r="C62" s="1" t="n">
        <v>46132</v>
      </c>
      <c r="D62" t="inlineStr">
        <is>
          <t>VÄSTMANLANDS LÄN</t>
        </is>
      </c>
      <c r="E62" t="inlineStr">
        <is>
          <t>SURAHAMMAR</t>
        </is>
      </c>
      <c r="F62" t="inlineStr">
        <is>
          <t>Sveaskog</t>
        </is>
      </c>
      <c r="G62" t="n">
        <v>1.4</v>
      </c>
      <c r="H62" t="n">
        <v>1</v>
      </c>
      <c r="I62" t="n">
        <v>0</v>
      </c>
      <c r="J62" t="n">
        <v>0</v>
      </c>
      <c r="K62" t="n">
        <v>0</v>
      </c>
      <c r="L62" t="n">
        <v>0</v>
      </c>
      <c r="M62" t="n">
        <v>0</v>
      </c>
      <c r="N62" t="n">
        <v>0</v>
      </c>
      <c r="O62" t="n">
        <v>0</v>
      </c>
      <c r="P62" t="n">
        <v>0</v>
      </c>
      <c r="Q62" t="n">
        <v>1</v>
      </c>
      <c r="R62" s="2" t="inlineStr">
        <is>
          <t>Lopplummer (aggregat)</t>
        </is>
      </c>
      <c r="S62">
        <f>HYPERLINK("https://klasma.github.io/Logging_1907/artfynd/A 55871-2025 artfynd.xlsx", "A 55871-2025")</f>
        <v/>
      </c>
      <c r="T62">
        <f>HYPERLINK("https://klasma.github.io/Logging_1907/kartor/A 55871-2025 karta.png", "A 55871-2025")</f>
        <v/>
      </c>
      <c r="V62">
        <f>HYPERLINK("https://klasma.github.io/Logging_1907/klagomål/A 55871-2025 FSC-klagomål.docx", "A 55871-2025")</f>
        <v/>
      </c>
      <c r="W62">
        <f>HYPERLINK("https://klasma.github.io/Logging_1907/klagomålsmail/A 55871-2025 FSC-klagomål mail.docx", "A 55871-2025")</f>
        <v/>
      </c>
      <c r="X62">
        <f>HYPERLINK("https://klasma.github.io/Logging_1907/tillsyn/A 55871-2025 tillsynsbegäran.docx", "A 55871-2025")</f>
        <v/>
      </c>
      <c r="Y62">
        <f>HYPERLINK("https://klasma.github.io/Logging_1907/tillsynsmail/A 55871-2025 tillsynsbegäran mail.docx", "A 55871-2025")</f>
        <v/>
      </c>
    </row>
    <row r="63" ht="15" customHeight="1">
      <c r="A63" t="inlineStr">
        <is>
          <t>A 10819-2024</t>
        </is>
      </c>
      <c r="B63" s="1" t="n">
        <v>45369.66049768519</v>
      </c>
      <c r="C63" s="1" t="n">
        <v>46132</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56768-2025</t>
        </is>
      </c>
      <c r="B64" s="1" t="n">
        <v>45978</v>
      </c>
      <c r="C64" s="1" t="n">
        <v>46132</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63145-2025</t>
        </is>
      </c>
      <c r="B65" s="1" t="n">
        <v>46009</v>
      </c>
      <c r="C65" s="1" t="n">
        <v>46132</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40411-2021</t>
        </is>
      </c>
      <c r="B66" s="1" t="n">
        <v>44419</v>
      </c>
      <c r="C66" s="1" t="n">
        <v>46132</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33231-2024</t>
        </is>
      </c>
      <c r="B67" s="1" t="n">
        <v>45518</v>
      </c>
      <c r="C67" s="1" t="n">
        <v>46132</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30074-2023</t>
        </is>
      </c>
      <c r="B68" s="1" t="n">
        <v>45110</v>
      </c>
      <c r="C68" s="1" t="n">
        <v>46132</v>
      </c>
      <c r="D68" t="inlineStr">
        <is>
          <t>VÄSTMANLANDS LÄN</t>
        </is>
      </c>
      <c r="E68" t="inlineStr">
        <is>
          <t>SURAHAMMAR</t>
        </is>
      </c>
      <c r="F68" t="inlineStr">
        <is>
          <t>Sveaskog</t>
        </is>
      </c>
      <c r="G68" t="n">
        <v>1.1</v>
      </c>
      <c r="H68" t="n">
        <v>1</v>
      </c>
      <c r="I68" t="n">
        <v>0</v>
      </c>
      <c r="J68" t="n">
        <v>0</v>
      </c>
      <c r="K68" t="n">
        <v>0</v>
      </c>
      <c r="L68" t="n">
        <v>0</v>
      </c>
      <c r="M68" t="n">
        <v>0</v>
      </c>
      <c r="N68" t="n">
        <v>0</v>
      </c>
      <c r="O68" t="n">
        <v>0</v>
      </c>
      <c r="P68" t="n">
        <v>0</v>
      </c>
      <c r="Q68" t="n">
        <v>1</v>
      </c>
      <c r="R68" s="2" t="inlineStr">
        <is>
          <t>Revlummer</t>
        </is>
      </c>
      <c r="S68">
        <f>HYPERLINK("https://klasma.github.io/Logging_1907/artfynd/A 30074-2023 artfynd.xlsx", "A 30074-2023")</f>
        <v/>
      </c>
      <c r="T68">
        <f>HYPERLINK("https://klasma.github.io/Logging_1907/kartor/A 30074-2023 karta.png", "A 30074-2023")</f>
        <v/>
      </c>
      <c r="V68">
        <f>HYPERLINK("https://klasma.github.io/Logging_1907/klagomål/A 30074-2023 FSC-klagomål.docx", "A 30074-2023")</f>
        <v/>
      </c>
      <c r="W68">
        <f>HYPERLINK("https://klasma.github.io/Logging_1907/klagomålsmail/A 30074-2023 FSC-klagomål mail.docx", "A 30074-2023")</f>
        <v/>
      </c>
      <c r="X68">
        <f>HYPERLINK("https://klasma.github.io/Logging_1907/tillsyn/A 30074-2023 tillsynsbegäran.docx", "A 30074-2023")</f>
        <v/>
      </c>
      <c r="Y68">
        <f>HYPERLINK("https://klasma.github.io/Logging_1907/tillsynsmail/A 30074-2023 tillsynsbegäran mail.docx", "A 30074-2023")</f>
        <v/>
      </c>
    </row>
    <row r="69" ht="15" customHeight="1">
      <c r="A69" t="inlineStr">
        <is>
          <t>A 31176-2024</t>
        </is>
      </c>
      <c r="B69" s="1" t="n">
        <v>45503</v>
      </c>
      <c r="C69" s="1" t="n">
        <v>46132</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25583-2024</t>
        </is>
      </c>
      <c r="B70" s="1" t="n">
        <v>45463</v>
      </c>
      <c r="C70" s="1" t="n">
        <v>46132</v>
      </c>
      <c r="D70" t="inlineStr">
        <is>
          <t>VÄSTMANLANDS LÄN</t>
        </is>
      </c>
      <c r="E70" t="inlineStr">
        <is>
          <t>SURAHAMMAR</t>
        </is>
      </c>
      <c r="F70" t="inlineStr">
        <is>
          <t>Bergvik skog väst AB</t>
        </is>
      </c>
      <c r="G70" t="n">
        <v>7.8</v>
      </c>
      <c r="H70" t="n">
        <v>1</v>
      </c>
      <c r="I70" t="n">
        <v>0</v>
      </c>
      <c r="J70" t="n">
        <v>0</v>
      </c>
      <c r="K70" t="n">
        <v>0</v>
      </c>
      <c r="L70" t="n">
        <v>0</v>
      </c>
      <c r="M70" t="n">
        <v>0</v>
      </c>
      <c r="N70" t="n">
        <v>0</v>
      </c>
      <c r="O70" t="n">
        <v>0</v>
      </c>
      <c r="P70" t="n">
        <v>0</v>
      </c>
      <c r="Q70" t="n">
        <v>1</v>
      </c>
      <c r="R70" s="2" t="inlineStr">
        <is>
          <t>Blåsippa</t>
        </is>
      </c>
      <c r="S70">
        <f>HYPERLINK("https://klasma.github.io/Logging_1907/artfynd/A 25583-2024 artfynd.xlsx", "A 25583-2024")</f>
        <v/>
      </c>
      <c r="T70">
        <f>HYPERLINK("https://klasma.github.io/Logging_1907/kartor/A 25583-2024 karta.png", "A 25583-2024")</f>
        <v/>
      </c>
      <c r="V70">
        <f>HYPERLINK("https://klasma.github.io/Logging_1907/klagomål/A 25583-2024 FSC-klagomål.docx", "A 25583-2024")</f>
        <v/>
      </c>
      <c r="W70">
        <f>HYPERLINK("https://klasma.github.io/Logging_1907/klagomålsmail/A 25583-2024 FSC-klagomål mail.docx", "A 25583-2024")</f>
        <v/>
      </c>
      <c r="X70">
        <f>HYPERLINK("https://klasma.github.io/Logging_1907/tillsyn/A 25583-2024 tillsynsbegäran.docx", "A 25583-2024")</f>
        <v/>
      </c>
      <c r="Y70">
        <f>HYPERLINK("https://klasma.github.io/Logging_1907/tillsynsmail/A 25583-2024 tillsynsbegäran mail.docx", "A 25583-2024")</f>
        <v/>
      </c>
    </row>
    <row r="71" ht="15" customHeight="1">
      <c r="A71" t="inlineStr">
        <is>
          <t>A 13971-2023</t>
        </is>
      </c>
      <c r="B71" s="1" t="n">
        <v>45007</v>
      </c>
      <c r="C71" s="1" t="n">
        <v>46132</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42765-2022</t>
        </is>
      </c>
      <c r="B72" s="1" t="n">
        <v>44832</v>
      </c>
      <c r="C72" s="1" t="n">
        <v>46132</v>
      </c>
      <c r="D72" t="inlineStr">
        <is>
          <t>VÄSTMANLANDS LÄN</t>
        </is>
      </c>
      <c r="E72" t="inlineStr">
        <is>
          <t>SURAHAMMAR</t>
        </is>
      </c>
      <c r="G72" t="n">
        <v>1.8</v>
      </c>
      <c r="H72" t="n">
        <v>1</v>
      </c>
      <c r="I72" t="n">
        <v>0</v>
      </c>
      <c r="J72" t="n">
        <v>0</v>
      </c>
      <c r="K72" t="n">
        <v>0</v>
      </c>
      <c r="L72" t="n">
        <v>0</v>
      </c>
      <c r="M72" t="n">
        <v>0</v>
      </c>
      <c r="N72" t="n">
        <v>0</v>
      </c>
      <c r="O72" t="n">
        <v>0</v>
      </c>
      <c r="P72" t="n">
        <v>0</v>
      </c>
      <c r="Q72" t="n">
        <v>1</v>
      </c>
      <c r="R72" s="2" t="inlineStr">
        <is>
          <t>Blåsippa</t>
        </is>
      </c>
      <c r="S72">
        <f>HYPERLINK("https://klasma.github.io/Logging_1907/artfynd/A 42765-2022 artfynd.xlsx", "A 42765-2022")</f>
        <v/>
      </c>
      <c r="T72">
        <f>HYPERLINK("https://klasma.github.io/Logging_1907/kartor/A 42765-2022 karta.png", "A 42765-2022")</f>
        <v/>
      </c>
      <c r="V72">
        <f>HYPERLINK("https://klasma.github.io/Logging_1907/klagomål/A 42765-2022 FSC-klagomål.docx", "A 42765-2022")</f>
        <v/>
      </c>
      <c r="W72">
        <f>HYPERLINK("https://klasma.github.io/Logging_1907/klagomålsmail/A 42765-2022 FSC-klagomål mail.docx", "A 42765-2022")</f>
        <v/>
      </c>
      <c r="X72">
        <f>HYPERLINK("https://klasma.github.io/Logging_1907/tillsyn/A 42765-2022 tillsynsbegäran.docx", "A 42765-2022")</f>
        <v/>
      </c>
      <c r="Y72">
        <f>HYPERLINK("https://klasma.github.io/Logging_1907/tillsynsmail/A 42765-2022 tillsynsbegäran mail.docx", "A 42765-2022")</f>
        <v/>
      </c>
    </row>
    <row r="73" ht="15" customHeight="1">
      <c r="A73" t="inlineStr">
        <is>
          <t>A 44356-2024</t>
        </is>
      </c>
      <c r="B73" s="1" t="n">
        <v>45573</v>
      </c>
      <c r="C73" s="1" t="n">
        <v>46132</v>
      </c>
      <c r="D73" t="inlineStr">
        <is>
          <t>VÄSTMANLANDS LÄN</t>
        </is>
      </c>
      <c r="E73" t="inlineStr">
        <is>
          <t>SURAHAMMAR</t>
        </is>
      </c>
      <c r="F73" t="inlineStr">
        <is>
          <t>Sveaskog</t>
        </is>
      </c>
      <c r="G73" t="n">
        <v>0.7</v>
      </c>
      <c r="H73" t="n">
        <v>1</v>
      </c>
      <c r="I73" t="n">
        <v>0</v>
      </c>
      <c r="J73" t="n">
        <v>0</v>
      </c>
      <c r="K73" t="n">
        <v>0</v>
      </c>
      <c r="L73" t="n">
        <v>0</v>
      </c>
      <c r="M73" t="n">
        <v>0</v>
      </c>
      <c r="N73" t="n">
        <v>0</v>
      </c>
      <c r="O73" t="n">
        <v>0</v>
      </c>
      <c r="P73" t="n">
        <v>0</v>
      </c>
      <c r="Q73" t="n">
        <v>1</v>
      </c>
      <c r="R73" s="2" t="inlineStr">
        <is>
          <t>Revlummer</t>
        </is>
      </c>
      <c r="S73">
        <f>HYPERLINK("https://klasma.github.io/Logging_1907/artfynd/A 44356-2024 artfynd.xlsx", "A 44356-2024")</f>
        <v/>
      </c>
      <c r="T73">
        <f>HYPERLINK("https://klasma.github.io/Logging_1907/kartor/A 44356-2024 karta.png", "A 44356-2024")</f>
        <v/>
      </c>
      <c r="V73">
        <f>HYPERLINK("https://klasma.github.io/Logging_1907/klagomål/A 44356-2024 FSC-klagomål.docx", "A 44356-2024")</f>
        <v/>
      </c>
      <c r="W73">
        <f>HYPERLINK("https://klasma.github.io/Logging_1907/klagomålsmail/A 44356-2024 FSC-klagomål mail.docx", "A 44356-2024")</f>
        <v/>
      </c>
      <c r="X73">
        <f>HYPERLINK("https://klasma.github.io/Logging_1907/tillsyn/A 44356-2024 tillsynsbegäran.docx", "A 44356-2024")</f>
        <v/>
      </c>
      <c r="Y73">
        <f>HYPERLINK("https://klasma.github.io/Logging_1907/tillsynsmail/A 44356-2024 tillsynsbegäran mail.docx", "A 44356-2024")</f>
        <v/>
      </c>
    </row>
    <row r="74" ht="15" customHeight="1">
      <c r="A74" t="inlineStr">
        <is>
          <t>A 17632-2022</t>
        </is>
      </c>
      <c r="B74" s="1" t="n">
        <v>44680</v>
      </c>
      <c r="C74" s="1" t="n">
        <v>46132</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22840-2023</t>
        </is>
      </c>
      <c r="B75" s="1" t="n">
        <v>45072</v>
      </c>
      <c r="C75" s="1" t="n">
        <v>46132</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43451-2024</t>
        </is>
      </c>
      <c r="B76" s="1" t="n">
        <v>45568</v>
      </c>
      <c r="C76" s="1" t="n">
        <v>46132</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46132</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46132</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46132</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46132</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46132</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46132</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46132</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46132</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46132</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46132</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46132</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46132</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46132</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46132</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46132</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46132</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46132</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46132</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46132</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46132</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46132</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15739-2023</t>
        </is>
      </c>
      <c r="B98" s="1" t="n">
        <v>45021</v>
      </c>
      <c r="C98" s="1" t="n">
        <v>46132</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46132</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42088-2025</t>
        </is>
      </c>
      <c r="B100" s="1" t="n">
        <v>45902</v>
      </c>
      <c r="C100" s="1" t="n">
        <v>46132</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32808-2024</t>
        </is>
      </c>
      <c r="B101" s="1" t="n">
        <v>45516</v>
      </c>
      <c r="C101" s="1" t="n">
        <v>46132</v>
      </c>
      <c r="D101" t="inlineStr">
        <is>
          <t>VÄSTMANLANDS LÄN</t>
        </is>
      </c>
      <c r="E101" t="inlineStr">
        <is>
          <t>SURAHAMMAR</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43255-2025</t>
        </is>
      </c>
      <c r="B102" s="1" t="n">
        <v>45910.55325231481</v>
      </c>
      <c r="C102" s="1" t="n">
        <v>46132</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46132</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46132</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3818-2022</t>
        </is>
      </c>
      <c r="B105" s="1" t="n">
        <v>44587</v>
      </c>
      <c r="C105" s="1" t="n">
        <v>46132</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13119-2022</t>
        </is>
      </c>
      <c r="B106" s="1" t="n">
        <v>44643</v>
      </c>
      <c r="C106" s="1" t="n">
        <v>46132</v>
      </c>
      <c r="D106" t="inlineStr">
        <is>
          <t>VÄSTMANLANDS LÄN</t>
        </is>
      </c>
      <c r="E106" t="inlineStr">
        <is>
          <t>SURAHAMMAR</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46132</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14626-2023</t>
        </is>
      </c>
      <c r="B108" s="1" t="n">
        <v>45012</v>
      </c>
      <c r="C108" s="1" t="n">
        <v>46132</v>
      </c>
      <c r="D108" t="inlineStr">
        <is>
          <t>VÄSTMANLANDS LÄN</t>
        </is>
      </c>
      <c r="E108" t="inlineStr">
        <is>
          <t>SURAHAMMAR</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55868-2025</t>
        </is>
      </c>
      <c r="B109" s="1" t="n">
        <v>45973.35263888889</v>
      </c>
      <c r="C109" s="1" t="n">
        <v>46132</v>
      </c>
      <c r="D109" t="inlineStr">
        <is>
          <t>VÄSTMANLANDS LÄN</t>
        </is>
      </c>
      <c r="E109" t="inlineStr">
        <is>
          <t>SURAHAMMAR</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55874-2025</t>
        </is>
      </c>
      <c r="B110" s="1" t="n">
        <v>45973.3569212963</v>
      </c>
      <c r="C110" s="1" t="n">
        <v>46132</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8553-2023</t>
        </is>
      </c>
      <c r="B111" s="1" t="n">
        <v>44977</v>
      </c>
      <c r="C111" s="1" t="n">
        <v>46132</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46132</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46132</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34584-2025</t>
        </is>
      </c>
      <c r="B114" s="1" t="n">
        <v>45846</v>
      </c>
      <c r="C114" s="1" t="n">
        <v>46132</v>
      </c>
      <c r="D114" t="inlineStr">
        <is>
          <t>VÄSTMANLANDS LÄN</t>
        </is>
      </c>
      <c r="E114" t="inlineStr">
        <is>
          <t>SURAHAMMAR</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55873-2025</t>
        </is>
      </c>
      <c r="B115" s="1" t="n">
        <v>45973.35608796297</v>
      </c>
      <c r="C115" s="1" t="n">
        <v>46132</v>
      </c>
      <c r="D115" t="inlineStr">
        <is>
          <t>VÄSTMANLANDS LÄN</t>
        </is>
      </c>
      <c r="E115" t="inlineStr">
        <is>
          <t>SURAHAMMAR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46132</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46132</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46132</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56543-2025</t>
        </is>
      </c>
      <c r="B119" s="1" t="n">
        <v>45975</v>
      </c>
      <c r="C119" s="1" t="n">
        <v>46132</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32910-2025</t>
        </is>
      </c>
      <c r="B120" s="1" t="n">
        <v>45839</v>
      </c>
      <c r="C120" s="1" t="n">
        <v>46132</v>
      </c>
      <c r="D120" t="inlineStr">
        <is>
          <t>VÄSTMANLANDS LÄN</t>
        </is>
      </c>
      <c r="E120" t="inlineStr">
        <is>
          <t>SURAHAMMAR</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32916-2025</t>
        </is>
      </c>
      <c r="B121" s="1" t="n">
        <v>45839</v>
      </c>
      <c r="C121" s="1" t="n">
        <v>46132</v>
      </c>
      <c r="D121" t="inlineStr">
        <is>
          <t>VÄSTMANLANDS LÄN</t>
        </is>
      </c>
      <c r="E121" t="inlineStr">
        <is>
          <t>SURAHAMMAR</t>
        </is>
      </c>
      <c r="F121" t="inlineStr">
        <is>
          <t>Kommuner</t>
        </is>
      </c>
      <c r="G121" t="n">
        <v>4.9</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46132</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34955-2022</t>
        </is>
      </c>
      <c r="B123" s="1" t="n">
        <v>44796</v>
      </c>
      <c r="C123" s="1" t="n">
        <v>46132</v>
      </c>
      <c r="D123" t="inlineStr">
        <is>
          <t>VÄSTMANLANDS LÄN</t>
        </is>
      </c>
      <c r="E123" t="inlineStr">
        <is>
          <t>SURAHAMMAR</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37013-2025</t>
        </is>
      </c>
      <c r="B124" s="1" t="n">
        <v>45874</v>
      </c>
      <c r="C124" s="1" t="n">
        <v>46132</v>
      </c>
      <c r="D124" t="inlineStr">
        <is>
          <t>VÄSTMANLANDS LÄN</t>
        </is>
      </c>
      <c r="E124" t="inlineStr">
        <is>
          <t>SURAHAMMAR</t>
        </is>
      </c>
      <c r="F124" t="inlineStr">
        <is>
          <t>Bergvik skog väst AB</t>
        </is>
      </c>
      <c r="G124" t="n">
        <v>10.7</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46132</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37954-2025</t>
        </is>
      </c>
      <c r="B126" s="1" t="n">
        <v>45881</v>
      </c>
      <c r="C126" s="1" t="n">
        <v>46132</v>
      </c>
      <c r="D126" t="inlineStr">
        <is>
          <t>VÄSTMANLANDS LÄN</t>
        </is>
      </c>
      <c r="E126" t="inlineStr">
        <is>
          <t>SURAHAMMAR</t>
        </is>
      </c>
      <c r="G126" t="n">
        <v>9.5</v>
      </c>
      <c r="H126" t="n">
        <v>0</v>
      </c>
      <c r="I126" t="n">
        <v>0</v>
      </c>
      <c r="J126" t="n">
        <v>0</v>
      </c>
      <c r="K126" t="n">
        <v>0</v>
      </c>
      <c r="L126" t="n">
        <v>0</v>
      </c>
      <c r="M126" t="n">
        <v>0</v>
      </c>
      <c r="N126" t="n">
        <v>0</v>
      </c>
      <c r="O126" t="n">
        <v>0</v>
      </c>
      <c r="P126" t="n">
        <v>0</v>
      </c>
      <c r="Q126" t="n">
        <v>0</v>
      </c>
      <c r="R126" s="2" t="inlineStr"/>
    </row>
    <row r="127" ht="15" customHeight="1">
      <c r="A127" t="inlineStr">
        <is>
          <t>A 59399-2025</t>
        </is>
      </c>
      <c r="B127" s="1" t="n">
        <v>45989</v>
      </c>
      <c r="C127" s="1" t="n">
        <v>46132</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48205-2023</t>
        </is>
      </c>
      <c r="B128" s="1" t="n">
        <v>45205</v>
      </c>
      <c r="C128" s="1" t="n">
        <v>46132</v>
      </c>
      <c r="D128" t="inlineStr">
        <is>
          <t>VÄSTMANLANDS LÄN</t>
        </is>
      </c>
      <c r="E128" t="inlineStr">
        <is>
          <t>SURAHAMMAR</t>
        </is>
      </c>
      <c r="F128" t="inlineStr">
        <is>
          <t>Allmännings- och besparingsskogar</t>
        </is>
      </c>
      <c r="G128" t="n">
        <v>7.6</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46132</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33931-2022</t>
        </is>
      </c>
      <c r="B130" s="1" t="n">
        <v>44790.65153935185</v>
      </c>
      <c r="C130" s="1" t="n">
        <v>46132</v>
      </c>
      <c r="D130" t="inlineStr">
        <is>
          <t>VÄSTMANLANDS LÄN</t>
        </is>
      </c>
      <c r="E130" t="inlineStr">
        <is>
          <t>SURAHAMMAR</t>
        </is>
      </c>
      <c r="G130" t="n">
        <v>2.2</v>
      </c>
      <c r="H130" t="n">
        <v>0</v>
      </c>
      <c r="I130" t="n">
        <v>0</v>
      </c>
      <c r="J130" t="n">
        <v>0</v>
      </c>
      <c r="K130" t="n">
        <v>0</v>
      </c>
      <c r="L130" t="n">
        <v>0</v>
      </c>
      <c r="M130" t="n">
        <v>0</v>
      </c>
      <c r="N130" t="n">
        <v>0</v>
      </c>
      <c r="O130" t="n">
        <v>0</v>
      </c>
      <c r="P130" t="n">
        <v>0</v>
      </c>
      <c r="Q130" t="n">
        <v>0</v>
      </c>
      <c r="R130" s="2" t="inlineStr"/>
    </row>
    <row r="131" ht="15" customHeight="1">
      <c r="A131" t="inlineStr">
        <is>
          <t>A 22662-2023</t>
        </is>
      </c>
      <c r="B131" s="1" t="n">
        <v>45071</v>
      </c>
      <c r="C131" s="1" t="n">
        <v>46132</v>
      </c>
      <c r="D131" t="inlineStr">
        <is>
          <t>VÄSTMANLANDS LÄN</t>
        </is>
      </c>
      <c r="E131" t="inlineStr">
        <is>
          <t>SURAHAMMAR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63138-2025</t>
        </is>
      </c>
      <c r="B132" s="1" t="n">
        <v>46009</v>
      </c>
      <c r="C132" s="1" t="n">
        <v>46132</v>
      </c>
      <c r="D132" t="inlineStr">
        <is>
          <t>VÄSTMANLANDS LÄN</t>
        </is>
      </c>
      <c r="E132" t="inlineStr">
        <is>
          <t>SURAHAMMAR</t>
        </is>
      </c>
      <c r="F132" t="inlineStr">
        <is>
          <t>Bergvik skog väst AB</t>
        </is>
      </c>
      <c r="G132" t="n">
        <v>2.5</v>
      </c>
      <c r="H132" t="n">
        <v>0</v>
      </c>
      <c r="I132" t="n">
        <v>0</v>
      </c>
      <c r="J132" t="n">
        <v>0</v>
      </c>
      <c r="K132" t="n">
        <v>0</v>
      </c>
      <c r="L132" t="n">
        <v>0</v>
      </c>
      <c r="M132" t="n">
        <v>0</v>
      </c>
      <c r="N132" t="n">
        <v>0</v>
      </c>
      <c r="O132" t="n">
        <v>0</v>
      </c>
      <c r="P132" t="n">
        <v>0</v>
      </c>
      <c r="Q132" t="n">
        <v>0</v>
      </c>
      <c r="R132" s="2" t="inlineStr"/>
    </row>
    <row r="133" ht="15" customHeight="1">
      <c r="A133" t="inlineStr">
        <is>
          <t>A 30076-2023</t>
        </is>
      </c>
      <c r="B133" s="1" t="n">
        <v>45110</v>
      </c>
      <c r="C133" s="1" t="n">
        <v>46132</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46132</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25450-2024</t>
        </is>
      </c>
      <c r="B135" s="1" t="n">
        <v>45463</v>
      </c>
      <c r="C135" s="1" t="n">
        <v>46132</v>
      </c>
      <c r="D135" t="inlineStr">
        <is>
          <t>VÄSTMANLANDS LÄN</t>
        </is>
      </c>
      <c r="E135" t="inlineStr">
        <is>
          <t>SURAHAMMAR</t>
        </is>
      </c>
      <c r="F135" t="inlineStr">
        <is>
          <t>Bergvik skog väst AB</t>
        </is>
      </c>
      <c r="G135" t="n">
        <v>2.4</v>
      </c>
      <c r="H135" t="n">
        <v>0</v>
      </c>
      <c r="I135" t="n">
        <v>0</v>
      </c>
      <c r="J135" t="n">
        <v>0</v>
      </c>
      <c r="K135" t="n">
        <v>0</v>
      </c>
      <c r="L135" t="n">
        <v>0</v>
      </c>
      <c r="M135" t="n">
        <v>0</v>
      </c>
      <c r="N135" t="n">
        <v>0</v>
      </c>
      <c r="O135" t="n">
        <v>0</v>
      </c>
      <c r="P135" t="n">
        <v>0</v>
      </c>
      <c r="Q135" t="n">
        <v>0</v>
      </c>
      <c r="R135" s="2" t="inlineStr"/>
    </row>
    <row r="136" ht="15" customHeight="1">
      <c r="A136" t="inlineStr">
        <is>
          <t>A 10883-2023</t>
        </is>
      </c>
      <c r="B136" s="1" t="n">
        <v>44991</v>
      </c>
      <c r="C136" s="1" t="n">
        <v>46132</v>
      </c>
      <c r="D136" t="inlineStr">
        <is>
          <t>VÄSTMANLANDS LÄN</t>
        </is>
      </c>
      <c r="E136" t="inlineStr">
        <is>
          <t>SURAHAMMAR</t>
        </is>
      </c>
      <c r="F136" t="inlineStr">
        <is>
          <t>Övriga Aktiebolag</t>
        </is>
      </c>
      <c r="G136" t="n">
        <v>12.5</v>
      </c>
      <c r="H136" t="n">
        <v>0</v>
      </c>
      <c r="I136" t="n">
        <v>0</v>
      </c>
      <c r="J136" t="n">
        <v>0</v>
      </c>
      <c r="K136" t="n">
        <v>0</v>
      </c>
      <c r="L136" t="n">
        <v>0</v>
      </c>
      <c r="M136" t="n">
        <v>0</v>
      </c>
      <c r="N136" t="n">
        <v>0</v>
      </c>
      <c r="O136" t="n">
        <v>0</v>
      </c>
      <c r="P136" t="n">
        <v>0</v>
      </c>
      <c r="Q136" t="n">
        <v>0</v>
      </c>
      <c r="R136" s="2" t="inlineStr"/>
    </row>
    <row r="137" ht="15" customHeight="1">
      <c r="A137" t="inlineStr">
        <is>
          <t>A 24665-2023</t>
        </is>
      </c>
      <c r="B137" s="1" t="n">
        <v>45084.48592592592</v>
      </c>
      <c r="C137" s="1" t="n">
        <v>46132</v>
      </c>
      <c r="D137" t="inlineStr">
        <is>
          <t>VÄSTMANLANDS LÄN</t>
        </is>
      </c>
      <c r="E137" t="inlineStr">
        <is>
          <t>SURAHAMMAR</t>
        </is>
      </c>
      <c r="G137" t="n">
        <v>0.9</v>
      </c>
      <c r="H137" t="n">
        <v>0</v>
      </c>
      <c r="I137" t="n">
        <v>0</v>
      </c>
      <c r="J137" t="n">
        <v>0</v>
      </c>
      <c r="K137" t="n">
        <v>0</v>
      </c>
      <c r="L137" t="n">
        <v>0</v>
      </c>
      <c r="M137" t="n">
        <v>0</v>
      </c>
      <c r="N137" t="n">
        <v>0</v>
      </c>
      <c r="O137" t="n">
        <v>0</v>
      </c>
      <c r="P137" t="n">
        <v>0</v>
      </c>
      <c r="Q137" t="n">
        <v>0</v>
      </c>
      <c r="R137" s="2" t="inlineStr"/>
    </row>
    <row r="138" ht="15" customHeight="1">
      <c r="A138" t="inlineStr">
        <is>
          <t>A 24167-2024</t>
        </is>
      </c>
      <c r="B138" s="1" t="n">
        <v>45456</v>
      </c>
      <c r="C138" s="1" t="n">
        <v>46132</v>
      </c>
      <c r="D138" t="inlineStr">
        <is>
          <t>VÄSTMANLANDS LÄN</t>
        </is>
      </c>
      <c r="E138" t="inlineStr">
        <is>
          <t>SURAHAMMAR</t>
        </is>
      </c>
      <c r="G138" t="n">
        <v>0.6</v>
      </c>
      <c r="H138" t="n">
        <v>0</v>
      </c>
      <c r="I138" t="n">
        <v>0</v>
      </c>
      <c r="J138" t="n">
        <v>0</v>
      </c>
      <c r="K138" t="n">
        <v>0</v>
      </c>
      <c r="L138" t="n">
        <v>0</v>
      </c>
      <c r="M138" t="n">
        <v>0</v>
      </c>
      <c r="N138" t="n">
        <v>0</v>
      </c>
      <c r="O138" t="n">
        <v>0</v>
      </c>
      <c r="P138" t="n">
        <v>0</v>
      </c>
      <c r="Q138" t="n">
        <v>0</v>
      </c>
      <c r="R138" s="2" t="inlineStr"/>
    </row>
    <row r="139" ht="15" customHeight="1">
      <c r="A139" t="inlineStr">
        <is>
          <t>A 4724-2026</t>
        </is>
      </c>
      <c r="B139" s="1" t="n">
        <v>46048</v>
      </c>
      <c r="C139" s="1" t="n">
        <v>46132</v>
      </c>
      <c r="D139" t="inlineStr">
        <is>
          <t>VÄSTMANLANDS LÄN</t>
        </is>
      </c>
      <c r="E139" t="inlineStr">
        <is>
          <t>SURAHAMMAR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4734-2026</t>
        </is>
      </c>
      <c r="B140" s="1" t="n">
        <v>46048</v>
      </c>
      <c r="C140" s="1" t="n">
        <v>46132</v>
      </c>
      <c r="D140" t="inlineStr">
        <is>
          <t>VÄSTMANLANDS LÄN</t>
        </is>
      </c>
      <c r="E140" t="inlineStr">
        <is>
          <t>SURAHAMMAR</t>
        </is>
      </c>
      <c r="G140" t="n">
        <v>0.7</v>
      </c>
      <c r="H140" t="n">
        <v>0</v>
      </c>
      <c r="I140" t="n">
        <v>0</v>
      </c>
      <c r="J140" t="n">
        <v>0</v>
      </c>
      <c r="K140" t="n">
        <v>0</v>
      </c>
      <c r="L140" t="n">
        <v>0</v>
      </c>
      <c r="M140" t="n">
        <v>0</v>
      </c>
      <c r="N140" t="n">
        <v>0</v>
      </c>
      <c r="O140" t="n">
        <v>0</v>
      </c>
      <c r="P140" t="n">
        <v>0</v>
      </c>
      <c r="Q140" t="n">
        <v>0</v>
      </c>
      <c r="R140" s="2" t="inlineStr"/>
    </row>
    <row r="141" ht="15" customHeight="1">
      <c r="A141" t="inlineStr">
        <is>
          <t>A 12841-2026</t>
        </is>
      </c>
      <c r="B141" s="1" t="n">
        <v>46091</v>
      </c>
      <c r="C141" s="1" t="n">
        <v>46132</v>
      </c>
      <c r="D141" t="inlineStr">
        <is>
          <t>VÄSTMANLANDS LÄN</t>
        </is>
      </c>
      <c r="E141" t="inlineStr">
        <is>
          <t>SURAHAMMAR</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5698-2026</t>
        </is>
      </c>
      <c r="B142" s="1" t="n">
        <v>46051.50196759259</v>
      </c>
      <c r="C142" s="1" t="n">
        <v>46132</v>
      </c>
      <c r="D142" t="inlineStr">
        <is>
          <t>VÄSTMANLANDS LÄN</t>
        </is>
      </c>
      <c r="E142" t="inlineStr">
        <is>
          <t>SURAHAMMAR</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5696-2026</t>
        </is>
      </c>
      <c r="B143" s="1" t="n">
        <v>46051.4975</v>
      </c>
      <c r="C143" s="1" t="n">
        <v>46132</v>
      </c>
      <c r="D143" t="inlineStr">
        <is>
          <t>VÄSTMANLANDS LÄN</t>
        </is>
      </c>
      <c r="E143" t="inlineStr">
        <is>
          <t>SURAHAMMAR</t>
        </is>
      </c>
      <c r="F143" t="inlineStr">
        <is>
          <t>Sveaskog</t>
        </is>
      </c>
      <c r="G143" t="n">
        <v>10.4</v>
      </c>
      <c r="H143" t="n">
        <v>0</v>
      </c>
      <c r="I143" t="n">
        <v>0</v>
      </c>
      <c r="J143" t="n">
        <v>0</v>
      </c>
      <c r="K143" t="n">
        <v>0</v>
      </c>
      <c r="L143" t="n">
        <v>0</v>
      </c>
      <c r="M143" t="n">
        <v>0</v>
      </c>
      <c r="N143" t="n">
        <v>0</v>
      </c>
      <c r="O143" t="n">
        <v>0</v>
      </c>
      <c r="P143" t="n">
        <v>0</v>
      </c>
      <c r="Q143" t="n">
        <v>0</v>
      </c>
      <c r="R143" s="2" t="inlineStr"/>
    </row>
    <row r="144" ht="15" customHeight="1">
      <c r="A144" t="inlineStr">
        <is>
          <t>A 5697-2026</t>
        </is>
      </c>
      <c r="B144" s="1" t="n">
        <v>46051.50020833333</v>
      </c>
      <c r="C144" s="1" t="n">
        <v>46132</v>
      </c>
      <c r="D144" t="inlineStr">
        <is>
          <t>VÄSTMANLANDS LÄN</t>
        </is>
      </c>
      <c r="E144" t="inlineStr">
        <is>
          <t>SURAHAMMAR</t>
        </is>
      </c>
      <c r="F144" t="inlineStr">
        <is>
          <t>Sveaskog</t>
        </is>
      </c>
      <c r="G144" t="n">
        <v>3</v>
      </c>
      <c r="H144" t="n">
        <v>0</v>
      </c>
      <c r="I144" t="n">
        <v>0</v>
      </c>
      <c r="J144" t="n">
        <v>0</v>
      </c>
      <c r="K144" t="n">
        <v>0</v>
      </c>
      <c r="L144" t="n">
        <v>0</v>
      </c>
      <c r="M144" t="n">
        <v>0</v>
      </c>
      <c r="N144" t="n">
        <v>0</v>
      </c>
      <c r="O144" t="n">
        <v>0</v>
      </c>
      <c r="P144" t="n">
        <v>0</v>
      </c>
      <c r="Q144" t="n">
        <v>0</v>
      </c>
      <c r="R144" s="2" t="inlineStr"/>
    </row>
    <row r="145" ht="15" customHeight="1">
      <c r="A145" t="inlineStr">
        <is>
          <t>A 72367-2021</t>
        </is>
      </c>
      <c r="B145" s="1" t="n">
        <v>44545</v>
      </c>
      <c r="C145" s="1" t="n">
        <v>46132</v>
      </c>
      <c r="D145" t="inlineStr">
        <is>
          <t>VÄSTMANLANDS LÄN</t>
        </is>
      </c>
      <c r="E145" t="inlineStr">
        <is>
          <t>SURAHAMMAR</t>
        </is>
      </c>
      <c r="G145" t="n">
        <v>2.5</v>
      </c>
      <c r="H145" t="n">
        <v>0</v>
      </c>
      <c r="I145" t="n">
        <v>0</v>
      </c>
      <c r="J145" t="n">
        <v>0</v>
      </c>
      <c r="K145" t="n">
        <v>0</v>
      </c>
      <c r="L145" t="n">
        <v>0</v>
      </c>
      <c r="M145" t="n">
        <v>0</v>
      </c>
      <c r="N145" t="n">
        <v>0</v>
      </c>
      <c r="O145" t="n">
        <v>0</v>
      </c>
      <c r="P145" t="n">
        <v>0</v>
      </c>
      <c r="Q145" t="n">
        <v>0</v>
      </c>
      <c r="R145" s="2" t="inlineStr"/>
    </row>
    <row r="146" ht="15" customHeight="1">
      <c r="A146" t="inlineStr">
        <is>
          <t>A 42714-2022</t>
        </is>
      </c>
      <c r="B146" s="1" t="n">
        <v>44832</v>
      </c>
      <c r="C146" s="1" t="n">
        <v>46132</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37287-2023</t>
        </is>
      </c>
      <c r="B147" s="1" t="n">
        <v>45156</v>
      </c>
      <c r="C147" s="1" t="n">
        <v>46132</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49058-2024</t>
        </is>
      </c>
      <c r="B148" s="1" t="n">
        <v>45594</v>
      </c>
      <c r="C148" s="1" t="n">
        <v>46132</v>
      </c>
      <c r="D148" t="inlineStr">
        <is>
          <t>VÄSTMANLANDS LÄN</t>
        </is>
      </c>
      <c r="E148" t="inlineStr">
        <is>
          <t>SURAHAMMAR</t>
        </is>
      </c>
      <c r="F148" t="inlineStr">
        <is>
          <t>Sveaskog</t>
        </is>
      </c>
      <c r="G148" t="n">
        <v>11.4</v>
      </c>
      <c r="H148" t="n">
        <v>0</v>
      </c>
      <c r="I148" t="n">
        <v>0</v>
      </c>
      <c r="J148" t="n">
        <v>0</v>
      </c>
      <c r="K148" t="n">
        <v>0</v>
      </c>
      <c r="L148" t="n">
        <v>0</v>
      </c>
      <c r="M148" t="n">
        <v>0</v>
      </c>
      <c r="N148" t="n">
        <v>0</v>
      </c>
      <c r="O148" t="n">
        <v>0</v>
      </c>
      <c r="P148" t="n">
        <v>0</v>
      </c>
      <c r="Q148" t="n">
        <v>0</v>
      </c>
      <c r="R148" s="2" t="inlineStr"/>
    </row>
    <row r="149" ht="15" customHeight="1">
      <c r="A149" t="inlineStr">
        <is>
          <t>A 49060-2024</t>
        </is>
      </c>
      <c r="B149" s="1" t="n">
        <v>45594</v>
      </c>
      <c r="C149" s="1" t="n">
        <v>46132</v>
      </c>
      <c r="D149" t="inlineStr">
        <is>
          <t>VÄSTMANLANDS LÄN</t>
        </is>
      </c>
      <c r="E149" t="inlineStr">
        <is>
          <t>SURAHAMMAR</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46132</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25780-2023</t>
        </is>
      </c>
      <c r="B151" s="1" t="n">
        <v>45090.47523148148</v>
      </c>
      <c r="C151" s="1" t="n">
        <v>46132</v>
      </c>
      <c r="D151" t="inlineStr">
        <is>
          <t>VÄSTMANLANDS LÄN</t>
        </is>
      </c>
      <c r="E151" t="inlineStr">
        <is>
          <t>SURAHAMMAR</t>
        </is>
      </c>
      <c r="G151" t="n">
        <v>2.8</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46132</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10244-2026</t>
        </is>
      </c>
      <c r="B153" s="1" t="n">
        <v>46076.55032407407</v>
      </c>
      <c r="C153" s="1" t="n">
        <v>46132</v>
      </c>
      <c r="D153" t="inlineStr">
        <is>
          <t>VÄSTMANLANDS LÄN</t>
        </is>
      </c>
      <c r="E153" t="inlineStr">
        <is>
          <t>SURAHAMMAR</t>
        </is>
      </c>
      <c r="F153" t="inlineStr">
        <is>
          <t>Allmännings- och besparingsskogar</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10512-2026</t>
        </is>
      </c>
      <c r="B154" s="1" t="n">
        <v>46077.56861111111</v>
      </c>
      <c r="C154" s="1" t="n">
        <v>46132</v>
      </c>
      <c r="D154" t="inlineStr">
        <is>
          <t>VÄSTMANLANDS LÄN</t>
        </is>
      </c>
      <c r="E154" t="inlineStr">
        <is>
          <t>SURAHAMMAR</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10249-2026</t>
        </is>
      </c>
      <c r="B155" s="1" t="n">
        <v>46076.55456018518</v>
      </c>
      <c r="C155" s="1" t="n">
        <v>46132</v>
      </c>
      <c r="D155" t="inlineStr">
        <is>
          <t>VÄSTMANLANDS LÄN</t>
        </is>
      </c>
      <c r="E155" t="inlineStr">
        <is>
          <t>SURAHAMMAR</t>
        </is>
      </c>
      <c r="F155" t="inlineStr">
        <is>
          <t>Allmännings- och besparingsskogar</t>
        </is>
      </c>
      <c r="G155" t="n">
        <v>4.8</v>
      </c>
      <c r="H155" t="n">
        <v>0</v>
      </c>
      <c r="I155" t="n">
        <v>0</v>
      </c>
      <c r="J155" t="n">
        <v>0</v>
      </c>
      <c r="K155" t="n">
        <v>0</v>
      </c>
      <c r="L155" t="n">
        <v>0</v>
      </c>
      <c r="M155" t="n">
        <v>0</v>
      </c>
      <c r="N155" t="n">
        <v>0</v>
      </c>
      <c r="O155" t="n">
        <v>0</v>
      </c>
      <c r="P155" t="n">
        <v>0</v>
      </c>
      <c r="Q155" t="n">
        <v>0</v>
      </c>
      <c r="R155" s="2" t="inlineStr"/>
    </row>
    <row r="156" ht="15" customHeight="1">
      <c r="A156" t="inlineStr">
        <is>
          <t>A 10562-2026</t>
        </is>
      </c>
      <c r="B156" s="1" t="n">
        <v>46077.64043981482</v>
      </c>
      <c r="C156" s="1" t="n">
        <v>46132</v>
      </c>
      <c r="D156" t="inlineStr">
        <is>
          <t>VÄSTMANLANDS LÄN</t>
        </is>
      </c>
      <c r="E156" t="inlineStr">
        <is>
          <t>SURAHAMMAR</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35682-2022</t>
        </is>
      </c>
      <c r="B157" s="1" t="n">
        <v>44799.60422453703</v>
      </c>
      <c r="C157" s="1" t="n">
        <v>46132</v>
      </c>
      <c r="D157" t="inlineStr">
        <is>
          <t>VÄSTMANLANDS LÄN</t>
        </is>
      </c>
      <c r="E157" t="inlineStr">
        <is>
          <t>SURAHAMMAR</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2867-2024</t>
        </is>
      </c>
      <c r="B158" s="1" t="n">
        <v>45315</v>
      </c>
      <c r="C158" s="1" t="n">
        <v>46132</v>
      </c>
      <c r="D158" t="inlineStr">
        <is>
          <t>VÄSTMANLANDS LÄN</t>
        </is>
      </c>
      <c r="E158" t="inlineStr">
        <is>
          <t>SURAHAMMAR</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2660-2024</t>
        </is>
      </c>
      <c r="B159" s="1" t="n">
        <v>45310</v>
      </c>
      <c r="C159" s="1" t="n">
        <v>46132</v>
      </c>
      <c r="D159" t="inlineStr">
        <is>
          <t>VÄSTMANLANDS LÄN</t>
        </is>
      </c>
      <c r="E159" t="inlineStr">
        <is>
          <t>SURAHAMMAR</t>
        </is>
      </c>
      <c r="G159" t="n">
        <v>2.1</v>
      </c>
      <c r="H159" t="n">
        <v>0</v>
      </c>
      <c r="I159" t="n">
        <v>0</v>
      </c>
      <c r="J159" t="n">
        <v>0</v>
      </c>
      <c r="K159" t="n">
        <v>0</v>
      </c>
      <c r="L159" t="n">
        <v>0</v>
      </c>
      <c r="M159" t="n">
        <v>0</v>
      </c>
      <c r="N159" t="n">
        <v>0</v>
      </c>
      <c r="O159" t="n">
        <v>0</v>
      </c>
      <c r="P159" t="n">
        <v>0</v>
      </c>
      <c r="Q159" t="n">
        <v>0</v>
      </c>
      <c r="R159" s="2" t="inlineStr"/>
    </row>
    <row r="160" ht="15" customHeight="1">
      <c r="A160" t="inlineStr">
        <is>
          <t>A 41555-2022</t>
        </is>
      </c>
      <c r="B160" s="1" t="n">
        <v>44826</v>
      </c>
      <c r="C160" s="1" t="n">
        <v>46132</v>
      </c>
      <c r="D160" t="inlineStr">
        <is>
          <t>VÄSTMANLANDS LÄN</t>
        </is>
      </c>
      <c r="E160" t="inlineStr">
        <is>
          <t>SURAHAMMAR</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10347-2026</t>
        </is>
      </c>
      <c r="B161" s="1" t="n">
        <v>46076.69101851852</v>
      </c>
      <c r="C161" s="1" t="n">
        <v>46132</v>
      </c>
      <c r="D161" t="inlineStr">
        <is>
          <t>VÄSTMANLANDS LÄN</t>
        </is>
      </c>
      <c r="E161" t="inlineStr">
        <is>
          <t>SURAHAMMAR</t>
        </is>
      </c>
      <c r="F161" t="inlineStr">
        <is>
          <t>Allmännings- och besparingsskogar</t>
        </is>
      </c>
      <c r="G161" t="n">
        <v>3</v>
      </c>
      <c r="H161" t="n">
        <v>0</v>
      </c>
      <c r="I161" t="n">
        <v>0</v>
      </c>
      <c r="J161" t="n">
        <v>0</v>
      </c>
      <c r="K161" t="n">
        <v>0</v>
      </c>
      <c r="L161" t="n">
        <v>0</v>
      </c>
      <c r="M161" t="n">
        <v>0</v>
      </c>
      <c r="N161" t="n">
        <v>0</v>
      </c>
      <c r="O161" t="n">
        <v>0</v>
      </c>
      <c r="P161" t="n">
        <v>0</v>
      </c>
      <c r="Q161" t="n">
        <v>0</v>
      </c>
      <c r="R161" s="2" t="inlineStr"/>
    </row>
    <row r="162" ht="15" customHeight="1">
      <c r="A162" t="inlineStr">
        <is>
          <t>A 5567-2022</t>
        </is>
      </c>
      <c r="B162" s="1" t="n">
        <v>44595</v>
      </c>
      <c r="C162" s="1" t="n">
        <v>46132</v>
      </c>
      <c r="D162" t="inlineStr">
        <is>
          <t>VÄSTMANLANDS LÄN</t>
        </is>
      </c>
      <c r="E162" t="inlineStr">
        <is>
          <t>SURAHAMMAR</t>
        </is>
      </c>
      <c r="G162" t="n">
        <v>1.3</v>
      </c>
      <c r="H162" t="n">
        <v>0</v>
      </c>
      <c r="I162" t="n">
        <v>0</v>
      </c>
      <c r="J162" t="n">
        <v>0</v>
      </c>
      <c r="K162" t="n">
        <v>0</v>
      </c>
      <c r="L162" t="n">
        <v>0</v>
      </c>
      <c r="M162" t="n">
        <v>0</v>
      </c>
      <c r="N162" t="n">
        <v>0</v>
      </c>
      <c r="O162" t="n">
        <v>0</v>
      </c>
      <c r="P162" t="n">
        <v>0</v>
      </c>
      <c r="Q162" t="n">
        <v>0</v>
      </c>
      <c r="R162" s="2" t="inlineStr"/>
    </row>
    <row r="163" ht="15" customHeight="1">
      <c r="A163" t="inlineStr">
        <is>
          <t>A 3085-2023</t>
        </is>
      </c>
      <c r="B163" s="1" t="n">
        <v>44946</v>
      </c>
      <c r="C163" s="1" t="n">
        <v>46132</v>
      </c>
      <c r="D163" t="inlineStr">
        <is>
          <t>VÄSTMANLANDS LÄN</t>
        </is>
      </c>
      <c r="E163" t="inlineStr">
        <is>
          <t>SURAHAMMAR</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44608.58400462963</v>
      </c>
      <c r="C164" s="1" t="n">
        <v>46132</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46132</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15743-2023</t>
        </is>
      </c>
      <c r="B166" s="1" t="n">
        <v>45021</v>
      </c>
      <c r="C166" s="1" t="n">
        <v>46132</v>
      </c>
      <c r="D166" t="inlineStr">
        <is>
          <t>VÄSTMANLANDS LÄN</t>
        </is>
      </c>
      <c r="E166" t="inlineStr">
        <is>
          <t>SURAHAMMAR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44662.89638888889</v>
      </c>
      <c r="C167" s="1" t="n">
        <v>46132</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19786-2023</t>
        </is>
      </c>
      <c r="B168" s="1" t="n">
        <v>45050</v>
      </c>
      <c r="C168" s="1" t="n">
        <v>46132</v>
      </c>
      <c r="D168" t="inlineStr">
        <is>
          <t>VÄSTMANLANDS LÄN</t>
        </is>
      </c>
      <c r="E168" t="inlineStr">
        <is>
          <t>SURAHAMMAR</t>
        </is>
      </c>
      <c r="F168" t="inlineStr">
        <is>
          <t>Bergvik skog väst AB</t>
        </is>
      </c>
      <c r="G168" t="n">
        <v>8.1</v>
      </c>
      <c r="H168" t="n">
        <v>0</v>
      </c>
      <c r="I168" t="n">
        <v>0</v>
      </c>
      <c r="J168" t="n">
        <v>0</v>
      </c>
      <c r="K168" t="n">
        <v>0</v>
      </c>
      <c r="L168" t="n">
        <v>0</v>
      </c>
      <c r="M168" t="n">
        <v>0</v>
      </c>
      <c r="N168" t="n">
        <v>0</v>
      </c>
      <c r="O168" t="n">
        <v>0</v>
      </c>
      <c r="P168" t="n">
        <v>0</v>
      </c>
      <c r="Q168" t="n">
        <v>0</v>
      </c>
      <c r="R168" s="2" t="inlineStr"/>
    </row>
    <row r="169">
      <c r="A169" t="inlineStr">
        <is>
          <t>A 7787-2024</t>
        </is>
      </c>
      <c r="B169" s="1" t="n">
        <v>45348</v>
      </c>
      <c r="C169" s="1" t="n">
        <v>46132</v>
      </c>
      <c r="D169" t="inlineStr">
        <is>
          <t>VÄSTMANLANDS LÄN</t>
        </is>
      </c>
      <c r="E169" t="inlineStr">
        <is>
          <t>SURAHAMMAR</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2026-04-20T10:28:06Z</dcterms:created>
  <dcterms:modified xmlns:dcterms="http://purl.org/dc/terms/" xmlns:xsi="http://www.w3.org/2001/XMLSchema-instance" xsi:type="dcterms:W3CDTF">2026-04-20T10:28:06Z</dcterms:modified>
</cp:coreProperties>
</file>