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45890</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45890</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45890</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45890</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45890</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45890</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45890</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45890</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45890</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45890</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45890</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45890</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45890</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45890</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45890</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45890</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45890</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45890</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45890</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8552-2022</t>
        </is>
      </c>
      <c r="B27" s="1" t="n">
        <v>44613</v>
      </c>
      <c r="C27" s="1" t="n">
        <v>45890</v>
      </c>
      <c r="D27" t="inlineStr">
        <is>
          <t>VÄSTMANLANDS LÄN</t>
        </is>
      </c>
      <c r="E27" t="inlineStr">
        <is>
          <t>SURAHAMMAR</t>
        </is>
      </c>
      <c r="F27" t="inlineStr">
        <is>
          <t>Bergvik skog väst AB</t>
        </is>
      </c>
      <c r="G27" t="n">
        <v>3.2</v>
      </c>
      <c r="H27" t="n">
        <v>2</v>
      </c>
      <c r="I27" t="n">
        <v>1</v>
      </c>
      <c r="J27" t="n">
        <v>2</v>
      </c>
      <c r="K27" t="n">
        <v>0</v>
      </c>
      <c r="L27" t="n">
        <v>0</v>
      </c>
      <c r="M27" t="n">
        <v>0</v>
      </c>
      <c r="N27" t="n">
        <v>0</v>
      </c>
      <c r="O27" t="n">
        <v>2</v>
      </c>
      <c r="P27" t="n">
        <v>0</v>
      </c>
      <c r="Q27" t="n">
        <v>3</v>
      </c>
      <c r="R27" s="2" t="inlineStr">
        <is>
          <t>Spillkråka
Talltita
Mindre märgborre</t>
        </is>
      </c>
      <c r="S27">
        <f>HYPERLINK("https://klasma.github.io/Logging_1907/artfynd/A 8552-2022 artfynd.xlsx", "A 8552-2022")</f>
        <v/>
      </c>
      <c r="T27">
        <f>HYPERLINK("https://klasma.github.io/Logging_1907/kartor/A 8552-2022 karta.png", "A 8552-2022")</f>
        <v/>
      </c>
      <c r="V27">
        <f>HYPERLINK("https://klasma.github.io/Logging_1907/klagomål/A 8552-2022 FSC-klagomål.docx", "A 8552-2022")</f>
        <v/>
      </c>
      <c r="W27">
        <f>HYPERLINK("https://klasma.github.io/Logging_1907/klagomålsmail/A 8552-2022 FSC-klagomål mail.docx", "A 8552-2022")</f>
        <v/>
      </c>
      <c r="X27">
        <f>HYPERLINK("https://klasma.github.io/Logging_1907/tillsyn/A 8552-2022 tillsynsbegäran.docx", "A 8552-2022")</f>
        <v/>
      </c>
      <c r="Y27">
        <f>HYPERLINK("https://klasma.github.io/Logging_1907/tillsynsmail/A 8552-2022 tillsynsbegäran mail.docx", "A 8552-2022")</f>
        <v/>
      </c>
      <c r="Z27">
        <f>HYPERLINK("https://klasma.github.io/Logging_1907/fåglar/A 8552-2022 prioriterade fågelarter.docx", "A 8552-2022")</f>
        <v/>
      </c>
    </row>
    <row r="28" ht="15" customHeight="1">
      <c r="A28" t="inlineStr">
        <is>
          <t>A 42860-2022</t>
        </is>
      </c>
      <c r="B28" s="1" t="n">
        <v>44832</v>
      </c>
      <c r="C28" s="1" t="n">
        <v>45890</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45890</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42708-2022</t>
        </is>
      </c>
      <c r="B30" s="1" t="n">
        <v>44832</v>
      </c>
      <c r="C30" s="1" t="n">
        <v>45890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42853-2022</t>
        </is>
      </c>
      <c r="B31" s="1" t="n">
        <v>44832</v>
      </c>
      <c r="C31" s="1" t="n">
        <v>45890</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45890</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45890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45890</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45890</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45890</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45890</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45890</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45890</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45890</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45890</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45890</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45890</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31176-2024</t>
        </is>
      </c>
      <c r="B44" s="1" t="n">
        <v>45503</v>
      </c>
      <c r="C44" s="1" t="n">
        <v>45890</v>
      </c>
      <c r="D44" t="inlineStr">
        <is>
          <t>VÄSTMANLANDS LÄN</t>
        </is>
      </c>
      <c r="E44" t="inlineStr">
        <is>
          <t>SURAHAMMAR</t>
        </is>
      </c>
      <c r="F44" t="inlineStr">
        <is>
          <t>Allmännings- och besparingsskogar</t>
        </is>
      </c>
      <c r="G44" t="n">
        <v>10.7</v>
      </c>
      <c r="H44" t="n">
        <v>0</v>
      </c>
      <c r="I44" t="n">
        <v>0</v>
      </c>
      <c r="J44" t="n">
        <v>1</v>
      </c>
      <c r="K44" t="n">
        <v>0</v>
      </c>
      <c r="L44" t="n">
        <v>0</v>
      </c>
      <c r="M44" t="n">
        <v>0</v>
      </c>
      <c r="N44" t="n">
        <v>0</v>
      </c>
      <c r="O44" t="n">
        <v>1</v>
      </c>
      <c r="P44" t="n">
        <v>0</v>
      </c>
      <c r="Q44" t="n">
        <v>1</v>
      </c>
      <c r="R44" s="2" t="inlineStr">
        <is>
          <t>Doftskinn</t>
        </is>
      </c>
      <c r="S44">
        <f>HYPERLINK("https://klasma.github.io/Logging_1907/artfynd/A 31176-2024 artfynd.xlsx", "A 31176-2024")</f>
        <v/>
      </c>
      <c r="T44">
        <f>HYPERLINK("https://klasma.github.io/Logging_1907/kartor/A 31176-2024 karta.png", "A 31176-2024")</f>
        <v/>
      </c>
      <c r="V44">
        <f>HYPERLINK("https://klasma.github.io/Logging_1907/klagomål/A 31176-2024 FSC-klagomål.docx", "A 31176-2024")</f>
        <v/>
      </c>
      <c r="W44">
        <f>HYPERLINK("https://klasma.github.io/Logging_1907/klagomålsmail/A 31176-2024 FSC-klagomål mail.docx", "A 31176-2024")</f>
        <v/>
      </c>
      <c r="X44">
        <f>HYPERLINK("https://klasma.github.io/Logging_1907/tillsyn/A 31176-2024 tillsynsbegäran.docx", "A 31176-2024")</f>
        <v/>
      </c>
      <c r="Y44">
        <f>HYPERLINK("https://klasma.github.io/Logging_1907/tillsynsmail/A 31176-2024 tillsynsbegäran mail.docx", "A 31176-2024")</f>
        <v/>
      </c>
    </row>
    <row r="45" ht="15" customHeight="1">
      <c r="A45" t="inlineStr">
        <is>
          <t>A 30074-2023</t>
        </is>
      </c>
      <c r="B45" s="1" t="n">
        <v>45110</v>
      </c>
      <c r="C45" s="1" t="n">
        <v>45890</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45890</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43451-2024</t>
        </is>
      </c>
      <c r="B47" s="1" t="n">
        <v>45568</v>
      </c>
      <c r="C47" s="1" t="n">
        <v>45890</v>
      </c>
      <c r="D47" t="inlineStr">
        <is>
          <t>VÄSTMANLANDS LÄN</t>
        </is>
      </c>
      <c r="E47" t="inlineStr">
        <is>
          <t>SURAHAMMAR</t>
        </is>
      </c>
      <c r="F47" t="inlineStr">
        <is>
          <t>Bergvik skog väst AB</t>
        </is>
      </c>
      <c r="G47" t="n">
        <v>2.9</v>
      </c>
      <c r="H47" t="n">
        <v>0</v>
      </c>
      <c r="I47" t="n">
        <v>0</v>
      </c>
      <c r="J47" t="n">
        <v>1</v>
      </c>
      <c r="K47" t="n">
        <v>0</v>
      </c>
      <c r="L47" t="n">
        <v>0</v>
      </c>
      <c r="M47" t="n">
        <v>0</v>
      </c>
      <c r="N47" t="n">
        <v>0</v>
      </c>
      <c r="O47" t="n">
        <v>1</v>
      </c>
      <c r="P47" t="n">
        <v>0</v>
      </c>
      <c r="Q47" t="n">
        <v>1</v>
      </c>
      <c r="R47" s="2" t="inlineStr">
        <is>
          <t>Ullticka</t>
        </is>
      </c>
      <c r="S47">
        <f>HYPERLINK("https://klasma.github.io/Logging_1907/artfynd/A 43451-2024 artfynd.xlsx", "A 43451-2024")</f>
        <v/>
      </c>
      <c r="T47">
        <f>HYPERLINK("https://klasma.github.io/Logging_1907/kartor/A 43451-2024 karta.png", "A 43451-2024")</f>
        <v/>
      </c>
      <c r="V47">
        <f>HYPERLINK("https://klasma.github.io/Logging_1907/klagomål/A 43451-2024 FSC-klagomål.docx", "A 43451-2024")</f>
        <v/>
      </c>
      <c r="W47">
        <f>HYPERLINK("https://klasma.github.io/Logging_1907/klagomålsmail/A 43451-2024 FSC-klagomål mail.docx", "A 43451-2024")</f>
        <v/>
      </c>
      <c r="X47">
        <f>HYPERLINK("https://klasma.github.io/Logging_1907/tillsyn/A 43451-2024 tillsynsbegäran.docx", "A 43451-2024")</f>
        <v/>
      </c>
      <c r="Y47">
        <f>HYPERLINK("https://klasma.github.io/Logging_1907/tillsynsmail/A 43451-2024 tillsynsbegäran mail.docx", "A 43451-2024")</f>
        <v/>
      </c>
    </row>
    <row r="48" ht="15" customHeight="1">
      <c r="A48" t="inlineStr">
        <is>
          <t>A 21716-2025</t>
        </is>
      </c>
      <c r="B48" s="1" t="n">
        <v>45783.54804398148</v>
      </c>
      <c r="C48" s="1" t="n">
        <v>45890</v>
      </c>
      <c r="D48" t="inlineStr">
        <is>
          <t>VÄSTMANLANDS LÄN</t>
        </is>
      </c>
      <c r="E48" t="inlineStr">
        <is>
          <t>SURAHAMMAR</t>
        </is>
      </c>
      <c r="F48" t="inlineStr">
        <is>
          <t>Allmännings- och besparingsskogar</t>
        </is>
      </c>
      <c r="G48" t="n">
        <v>21.1</v>
      </c>
      <c r="H48" t="n">
        <v>1</v>
      </c>
      <c r="I48" t="n">
        <v>0</v>
      </c>
      <c r="J48" t="n">
        <v>1</v>
      </c>
      <c r="K48" t="n">
        <v>0</v>
      </c>
      <c r="L48" t="n">
        <v>0</v>
      </c>
      <c r="M48" t="n">
        <v>0</v>
      </c>
      <c r="N48" t="n">
        <v>0</v>
      </c>
      <c r="O48" t="n">
        <v>1</v>
      </c>
      <c r="P48" t="n">
        <v>0</v>
      </c>
      <c r="Q48" t="n">
        <v>1</v>
      </c>
      <c r="R48" s="2" t="inlineStr">
        <is>
          <t>Spillkråka</t>
        </is>
      </c>
      <c r="S48">
        <f>HYPERLINK("https://klasma.github.io/Logging_1907/artfynd/A 21716-2025 artfynd.xlsx", "A 21716-2025")</f>
        <v/>
      </c>
      <c r="T48">
        <f>HYPERLINK("https://klasma.github.io/Logging_1907/kartor/A 21716-2025 karta.png", "A 21716-2025")</f>
        <v/>
      </c>
      <c r="V48">
        <f>HYPERLINK("https://klasma.github.io/Logging_1907/klagomål/A 21716-2025 FSC-klagomål.docx", "A 21716-2025")</f>
        <v/>
      </c>
      <c r="W48">
        <f>HYPERLINK("https://klasma.github.io/Logging_1907/klagomålsmail/A 21716-2025 FSC-klagomål mail.docx", "A 21716-2025")</f>
        <v/>
      </c>
      <c r="X48">
        <f>HYPERLINK("https://klasma.github.io/Logging_1907/tillsyn/A 21716-2025 tillsynsbegäran.docx", "A 21716-2025")</f>
        <v/>
      </c>
      <c r="Y48">
        <f>HYPERLINK("https://klasma.github.io/Logging_1907/tillsynsmail/A 21716-2025 tillsynsbegäran mail.docx", "A 21716-2025")</f>
        <v/>
      </c>
      <c r="Z48">
        <f>HYPERLINK("https://klasma.github.io/Logging_1907/fåglar/A 21716-2025 prioriterade fågelarter.docx", "A 21716-2025")</f>
        <v/>
      </c>
    </row>
    <row r="49" ht="15" customHeight="1">
      <c r="A49" t="inlineStr">
        <is>
          <t>A 44356-2024</t>
        </is>
      </c>
      <c r="B49" s="1" t="n">
        <v>45573</v>
      </c>
      <c r="C49" s="1" t="n">
        <v>45890</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56362-2023</t>
        </is>
      </c>
      <c r="B50" s="1" t="n">
        <v>45236</v>
      </c>
      <c r="C50" s="1" t="n">
        <v>45890</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47453-2024</t>
        </is>
      </c>
      <c r="B51" s="1" t="n">
        <v>45587.55017361111</v>
      </c>
      <c r="C51" s="1" t="n">
        <v>45890</v>
      </c>
      <c r="D51" t="inlineStr">
        <is>
          <t>VÄSTMANLANDS LÄN</t>
        </is>
      </c>
      <c r="E51" t="inlineStr">
        <is>
          <t>SURAHAMMAR</t>
        </is>
      </c>
      <c r="G51" t="n">
        <v>5.1</v>
      </c>
      <c r="H51" t="n">
        <v>1</v>
      </c>
      <c r="I51" t="n">
        <v>0</v>
      </c>
      <c r="J51" t="n">
        <v>0</v>
      </c>
      <c r="K51" t="n">
        <v>0</v>
      </c>
      <c r="L51" t="n">
        <v>0</v>
      </c>
      <c r="M51" t="n">
        <v>0</v>
      </c>
      <c r="N51" t="n">
        <v>0</v>
      </c>
      <c r="O51" t="n">
        <v>0</v>
      </c>
      <c r="P51" t="n">
        <v>0</v>
      </c>
      <c r="Q51" t="n">
        <v>1</v>
      </c>
      <c r="R51" s="2" t="inlineStr">
        <is>
          <t>Göktyta</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22840-2023</t>
        </is>
      </c>
      <c r="B52" s="1" t="n">
        <v>45072</v>
      </c>
      <c r="C52" s="1" t="n">
        <v>45890</v>
      </c>
      <c r="D52" t="inlineStr">
        <is>
          <t>VÄSTMANLANDS LÄN</t>
        </is>
      </c>
      <c r="E52" t="inlineStr">
        <is>
          <t>SURAHAMMAR</t>
        </is>
      </c>
      <c r="G52" t="n">
        <v>4.3</v>
      </c>
      <c r="H52" t="n">
        <v>1</v>
      </c>
      <c r="I52" t="n">
        <v>0</v>
      </c>
      <c r="J52" t="n">
        <v>0</v>
      </c>
      <c r="K52" t="n">
        <v>0</v>
      </c>
      <c r="L52" t="n">
        <v>0</v>
      </c>
      <c r="M52" t="n">
        <v>0</v>
      </c>
      <c r="N52" t="n">
        <v>0</v>
      </c>
      <c r="O52" t="n">
        <v>0</v>
      </c>
      <c r="P52" t="n">
        <v>0</v>
      </c>
      <c r="Q52" t="n">
        <v>1</v>
      </c>
      <c r="R52" s="2" t="inlineStr">
        <is>
          <t>Fläcknycklar</t>
        </is>
      </c>
      <c r="S52">
        <f>HYPERLINK("https://klasma.github.io/Logging_1907/artfynd/A 22840-2023 artfynd.xlsx", "A 22840-2023")</f>
        <v/>
      </c>
      <c r="T52">
        <f>HYPERLINK("https://klasma.github.io/Logging_1907/kartor/A 22840-2023 karta.png", "A 22840-2023")</f>
        <v/>
      </c>
      <c r="V52">
        <f>HYPERLINK("https://klasma.github.io/Logging_1907/klagomål/A 22840-2023 FSC-klagomål.docx", "A 22840-2023")</f>
        <v/>
      </c>
      <c r="W52">
        <f>HYPERLINK("https://klasma.github.io/Logging_1907/klagomålsmail/A 22840-2023 FSC-klagomål mail.docx", "A 22840-2023")</f>
        <v/>
      </c>
      <c r="X52">
        <f>HYPERLINK("https://klasma.github.io/Logging_1907/tillsyn/A 22840-2023 tillsynsbegäran.docx", "A 22840-2023")</f>
        <v/>
      </c>
      <c r="Y52">
        <f>HYPERLINK("https://klasma.github.io/Logging_1907/tillsynsmail/A 22840-2023 tillsynsbegäran mail.docx", "A 22840-2023")</f>
        <v/>
      </c>
    </row>
    <row r="53" ht="15" customHeight="1">
      <c r="A53" t="inlineStr">
        <is>
          <t>A 33231-2024</t>
        </is>
      </c>
      <c r="B53" s="1" t="n">
        <v>45518</v>
      </c>
      <c r="C53" s="1" t="n">
        <v>45890</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25583-2024</t>
        </is>
      </c>
      <c r="B54" s="1" t="n">
        <v>45463</v>
      </c>
      <c r="C54" s="1" t="n">
        <v>45890</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13788-2025</t>
        </is>
      </c>
      <c r="B55" s="1" t="n">
        <v>45737.45327546296</v>
      </c>
      <c r="C55" s="1" t="n">
        <v>45890</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62097-2024</t>
        </is>
      </c>
      <c r="B56" s="1" t="n">
        <v>45646</v>
      </c>
      <c r="C56" s="1" t="n">
        <v>45890</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39099-2022</t>
        </is>
      </c>
      <c r="B57" s="1" t="n">
        <v>44817</v>
      </c>
      <c r="C57" s="1" t="n">
        <v>45890</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14001-2023</t>
        </is>
      </c>
      <c r="B58" s="1" t="n">
        <v>45007</v>
      </c>
      <c r="C58" s="1" t="n">
        <v>45890</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42765-2022</t>
        </is>
      </c>
      <c r="B59" s="1" t="n">
        <v>44832</v>
      </c>
      <c r="C59" s="1" t="n">
        <v>45890</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45890</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45890</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45890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45890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43177-2020</t>
        </is>
      </c>
      <c r="B64" s="1" t="n">
        <v>44081</v>
      </c>
      <c r="C64" s="1" t="n">
        <v>45890</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1492-2021</t>
        </is>
      </c>
      <c r="B65" s="1" t="n">
        <v>44209</v>
      </c>
      <c r="C65" s="1" t="n">
        <v>45890</v>
      </c>
      <c r="D65" t="inlineStr">
        <is>
          <t>VÄSTMANLANDS LÄN</t>
        </is>
      </c>
      <c r="E65" t="inlineStr">
        <is>
          <t>SURAHAMMAR</t>
        </is>
      </c>
      <c r="G65" t="n">
        <v>1.2</v>
      </c>
      <c r="H65" t="n">
        <v>0</v>
      </c>
      <c r="I65" t="n">
        <v>0</v>
      </c>
      <c r="J65" t="n">
        <v>0</v>
      </c>
      <c r="K65" t="n">
        <v>0</v>
      </c>
      <c r="L65" t="n">
        <v>0</v>
      </c>
      <c r="M65" t="n">
        <v>0</v>
      </c>
      <c r="N65" t="n">
        <v>0</v>
      </c>
      <c r="O65" t="n">
        <v>0</v>
      </c>
      <c r="P65" t="n">
        <v>0</v>
      </c>
      <c r="Q65" t="n">
        <v>0</v>
      </c>
      <c r="R65" s="2" t="inlineStr"/>
    </row>
    <row r="66" ht="15" customHeight="1">
      <c r="A66" t="inlineStr">
        <is>
          <t>A 64073-2021</t>
        </is>
      </c>
      <c r="B66" s="1" t="n">
        <v>44509</v>
      </c>
      <c r="C66" s="1" t="n">
        <v>45890</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45890</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45890</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45890</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45890</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45890</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45890</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45890</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45890</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45890</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45890</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45890</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45890</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66342-2021</t>
        </is>
      </c>
      <c r="B79" s="1" t="n">
        <v>44518</v>
      </c>
      <c r="C79" s="1" t="n">
        <v>45890</v>
      </c>
      <c r="D79" t="inlineStr">
        <is>
          <t>VÄSTMANLANDS LÄN</t>
        </is>
      </c>
      <c r="E79" t="inlineStr">
        <is>
          <t>SURAHAMMAR</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45890</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45890</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45890</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45890</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45890</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43590-2020</t>
        </is>
      </c>
      <c r="B86" s="1" t="n">
        <v>44082</v>
      </c>
      <c r="C86" s="1" t="n">
        <v>45890</v>
      </c>
      <c r="D86" t="inlineStr">
        <is>
          <t>VÄSTMANLANDS LÄN</t>
        </is>
      </c>
      <c r="E86" t="inlineStr">
        <is>
          <t>SURAHAMMAR</t>
        </is>
      </c>
      <c r="F86" t="inlineStr">
        <is>
          <t>Sveaskog</t>
        </is>
      </c>
      <c r="G86" t="n">
        <v>2.1</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45890</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45890</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45890</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45890</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22662-2023</t>
        </is>
      </c>
      <c r="B91" s="1" t="n">
        <v>45071</v>
      </c>
      <c r="C91" s="1" t="n">
        <v>45890</v>
      </c>
      <c r="D91" t="inlineStr">
        <is>
          <t>VÄSTMANLANDS LÄN</t>
        </is>
      </c>
      <c r="E91" t="inlineStr">
        <is>
          <t>SURAHAMMAR</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49058-2024</t>
        </is>
      </c>
      <c r="B92" s="1" t="n">
        <v>45594</v>
      </c>
      <c r="C92" s="1" t="n">
        <v>45890</v>
      </c>
      <c r="D92" t="inlineStr">
        <is>
          <t>VÄSTMANLANDS LÄN</t>
        </is>
      </c>
      <c r="E92" t="inlineStr">
        <is>
          <t>SURAHAMMAR</t>
        </is>
      </c>
      <c r="F92" t="inlineStr">
        <is>
          <t>Sveaskog</t>
        </is>
      </c>
      <c r="G92" t="n">
        <v>11.4</v>
      </c>
      <c r="H92" t="n">
        <v>0</v>
      </c>
      <c r="I92" t="n">
        <v>0</v>
      </c>
      <c r="J92" t="n">
        <v>0</v>
      </c>
      <c r="K92" t="n">
        <v>0</v>
      </c>
      <c r="L92" t="n">
        <v>0</v>
      </c>
      <c r="M92" t="n">
        <v>0</v>
      </c>
      <c r="N92" t="n">
        <v>0</v>
      </c>
      <c r="O92" t="n">
        <v>0</v>
      </c>
      <c r="P92" t="n">
        <v>0</v>
      </c>
      <c r="Q92" t="n">
        <v>0</v>
      </c>
      <c r="R92" s="2" t="inlineStr"/>
    </row>
    <row r="93" ht="15" customHeight="1">
      <c r="A93" t="inlineStr">
        <is>
          <t>A 49060-2024</t>
        </is>
      </c>
      <c r="B93" s="1" t="n">
        <v>45594</v>
      </c>
      <c r="C93" s="1" t="n">
        <v>45890</v>
      </c>
      <c r="D93" t="inlineStr">
        <is>
          <t>VÄSTMANLANDS LÄN</t>
        </is>
      </c>
      <c r="E93" t="inlineStr">
        <is>
          <t>SURAHAMMAR</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16013-2023</t>
        </is>
      </c>
      <c r="B94" s="1" t="n">
        <v>45026</v>
      </c>
      <c r="C94" s="1" t="n">
        <v>45890</v>
      </c>
      <c r="D94" t="inlineStr">
        <is>
          <t>VÄSTMANLANDS LÄN</t>
        </is>
      </c>
      <c r="E94" t="inlineStr">
        <is>
          <t>SURAHAMMAR</t>
        </is>
      </c>
      <c r="G94" t="n">
        <v>3.9</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45890</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45890</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45890</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41555-2022</t>
        </is>
      </c>
      <c r="B98" s="1" t="n">
        <v>44826</v>
      </c>
      <c r="C98" s="1" t="n">
        <v>45890</v>
      </c>
      <c r="D98" t="inlineStr">
        <is>
          <t>VÄSTMANLANDS LÄN</t>
        </is>
      </c>
      <c r="E98" t="inlineStr">
        <is>
          <t>SURAHAMMAR</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16608-2022</t>
        </is>
      </c>
      <c r="B99" s="1" t="n">
        <v>44672</v>
      </c>
      <c r="C99" s="1" t="n">
        <v>45890</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45890</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45890</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45890</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20904-2023</t>
        </is>
      </c>
      <c r="B103" s="1" t="n">
        <v>45060</v>
      </c>
      <c r="C103" s="1" t="n">
        <v>45890</v>
      </c>
      <c r="D103" t="inlineStr">
        <is>
          <t>VÄSTMANLANDS LÄN</t>
        </is>
      </c>
      <c r="E103" t="inlineStr">
        <is>
          <t>SURAHAMMAR</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8553-2023</t>
        </is>
      </c>
      <c r="B104" s="1" t="n">
        <v>44977</v>
      </c>
      <c r="C104" s="1" t="n">
        <v>45890</v>
      </c>
      <c r="D104" t="inlineStr">
        <is>
          <t>VÄSTMANLANDS LÄN</t>
        </is>
      </c>
      <c r="E104" t="inlineStr">
        <is>
          <t>SURAHAMMAR</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19786-2023</t>
        </is>
      </c>
      <c r="B105" s="1" t="n">
        <v>45050</v>
      </c>
      <c r="C105" s="1" t="n">
        <v>45890</v>
      </c>
      <c r="D105" t="inlineStr">
        <is>
          <t>VÄSTMANLANDS LÄN</t>
        </is>
      </c>
      <c r="E105" t="inlineStr">
        <is>
          <t>SURAHAMMAR</t>
        </is>
      </c>
      <c r="F105" t="inlineStr">
        <is>
          <t>Bergvik skog väst AB</t>
        </is>
      </c>
      <c r="G105" t="n">
        <v>8.1</v>
      </c>
      <c r="H105" t="n">
        <v>0</v>
      </c>
      <c r="I105" t="n">
        <v>0</v>
      </c>
      <c r="J105" t="n">
        <v>0</v>
      </c>
      <c r="K105" t="n">
        <v>0</v>
      </c>
      <c r="L105" t="n">
        <v>0</v>
      </c>
      <c r="M105" t="n">
        <v>0</v>
      </c>
      <c r="N105" t="n">
        <v>0</v>
      </c>
      <c r="O105" t="n">
        <v>0</v>
      </c>
      <c r="P105" t="n">
        <v>0</v>
      </c>
      <c r="Q105" t="n">
        <v>0</v>
      </c>
      <c r="R105" s="2" t="inlineStr"/>
    </row>
    <row r="106" ht="15" customHeight="1">
      <c r="A106" t="inlineStr">
        <is>
          <t>A 10883-2023</t>
        </is>
      </c>
      <c r="B106" s="1" t="n">
        <v>44991</v>
      </c>
      <c r="C106" s="1" t="n">
        <v>45890</v>
      </c>
      <c r="D106" t="inlineStr">
        <is>
          <t>VÄSTMANLANDS LÄN</t>
        </is>
      </c>
      <c r="E106" t="inlineStr">
        <is>
          <t>SURAHAMMAR</t>
        </is>
      </c>
      <c r="F106" t="inlineStr">
        <is>
          <t>Övriga Aktiebolag</t>
        </is>
      </c>
      <c r="G106" t="n">
        <v>12.5</v>
      </c>
      <c r="H106" t="n">
        <v>0</v>
      </c>
      <c r="I106" t="n">
        <v>0</v>
      </c>
      <c r="J106" t="n">
        <v>0</v>
      </c>
      <c r="K106" t="n">
        <v>0</v>
      </c>
      <c r="L106" t="n">
        <v>0</v>
      </c>
      <c r="M106" t="n">
        <v>0</v>
      </c>
      <c r="N106" t="n">
        <v>0</v>
      </c>
      <c r="O106" t="n">
        <v>0</v>
      </c>
      <c r="P106" t="n">
        <v>0</v>
      </c>
      <c r="Q106" t="n">
        <v>0</v>
      </c>
      <c r="R106" s="2" t="inlineStr"/>
    </row>
    <row r="107" ht="15" customHeight="1">
      <c r="A107" t="inlineStr">
        <is>
          <t>A 25780-2023</t>
        </is>
      </c>
      <c r="B107" s="1" t="n">
        <v>45090.47523148148</v>
      </c>
      <c r="C107" s="1" t="n">
        <v>45890</v>
      </c>
      <c r="D107" t="inlineStr">
        <is>
          <t>VÄSTMANLANDS LÄN</t>
        </is>
      </c>
      <c r="E107" t="inlineStr">
        <is>
          <t>SURAHAMMAR</t>
        </is>
      </c>
      <c r="G107" t="n">
        <v>2.8</v>
      </c>
      <c r="H107" t="n">
        <v>0</v>
      </c>
      <c r="I107" t="n">
        <v>0</v>
      </c>
      <c r="J107" t="n">
        <v>0</v>
      </c>
      <c r="K107" t="n">
        <v>0</v>
      </c>
      <c r="L107" t="n">
        <v>0</v>
      </c>
      <c r="M107" t="n">
        <v>0</v>
      </c>
      <c r="N107" t="n">
        <v>0</v>
      </c>
      <c r="O107" t="n">
        <v>0</v>
      </c>
      <c r="P107" t="n">
        <v>0</v>
      </c>
      <c r="Q107" t="n">
        <v>0</v>
      </c>
      <c r="R107" s="2" t="inlineStr"/>
    </row>
    <row r="108" ht="15" customHeight="1">
      <c r="A108" t="inlineStr">
        <is>
          <t>A 2660-2024</t>
        </is>
      </c>
      <c r="B108" s="1" t="n">
        <v>45310</v>
      </c>
      <c r="C108" s="1" t="n">
        <v>45890</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44357-2024</t>
        </is>
      </c>
      <c r="B109" s="1" t="n">
        <v>45573</v>
      </c>
      <c r="C109" s="1" t="n">
        <v>45890</v>
      </c>
      <c r="D109" t="inlineStr">
        <is>
          <t>VÄSTMANLANDS LÄN</t>
        </is>
      </c>
      <c r="E109" t="inlineStr">
        <is>
          <t>SURAHAMMAR</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13386-2025</t>
        </is>
      </c>
      <c r="B110" s="1" t="n">
        <v>45735</v>
      </c>
      <c r="C110" s="1" t="n">
        <v>45890</v>
      </c>
      <c r="D110" t="inlineStr">
        <is>
          <t>VÄSTMANLANDS LÄN</t>
        </is>
      </c>
      <c r="E110" t="inlineStr">
        <is>
          <t>SURAHAMMAR</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47785-2021</t>
        </is>
      </c>
      <c r="B111" s="1" t="n">
        <v>44448</v>
      </c>
      <c r="C111" s="1" t="n">
        <v>45890</v>
      </c>
      <c r="D111" t="inlineStr">
        <is>
          <t>VÄSTMANLANDS LÄN</t>
        </is>
      </c>
      <c r="E111" t="inlineStr">
        <is>
          <t>SURAHAMMAR</t>
        </is>
      </c>
      <c r="F111" t="inlineStr">
        <is>
          <t>Kommuner</t>
        </is>
      </c>
      <c r="G111" t="n">
        <v>3.3</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45890</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45890</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37798-2021</t>
        </is>
      </c>
      <c r="B114" s="1" t="n">
        <v>44402</v>
      </c>
      <c r="C114" s="1" t="n">
        <v>45890</v>
      </c>
      <c r="D114" t="inlineStr">
        <is>
          <t>VÄSTMANLANDS LÄN</t>
        </is>
      </c>
      <c r="E114" t="inlineStr">
        <is>
          <t>SURAHAMMAR</t>
        </is>
      </c>
      <c r="F114" t="inlineStr">
        <is>
          <t>Kommuner</t>
        </is>
      </c>
      <c r="G114" t="n">
        <v>1.2</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45890</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37287-2023</t>
        </is>
      </c>
      <c r="B116" s="1" t="n">
        <v>45156</v>
      </c>
      <c r="C116" s="1" t="n">
        <v>45890</v>
      </c>
      <c r="D116" t="inlineStr">
        <is>
          <t>VÄSTMANLANDS LÄN</t>
        </is>
      </c>
      <c r="E116" t="inlineStr">
        <is>
          <t>SURAHAMMAR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45890</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41576-2022</t>
        </is>
      </c>
      <c r="B118" s="1" t="n">
        <v>44826</v>
      </c>
      <c r="C118" s="1" t="n">
        <v>45890</v>
      </c>
      <c r="D118" t="inlineStr">
        <is>
          <t>VÄSTMANLANDS LÄN</t>
        </is>
      </c>
      <c r="E118" t="inlineStr">
        <is>
          <t>SURAHAMMAR</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45890</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45890</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45890</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45890</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7848-2022</t>
        </is>
      </c>
      <c r="B123" s="1" t="n">
        <v>44608.58400462963</v>
      </c>
      <c r="C123" s="1" t="n">
        <v>45890</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45890</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45890</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45890</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45890</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24158-2023</t>
        </is>
      </c>
      <c r="B128" s="1" t="n">
        <v>45079</v>
      </c>
      <c r="C128" s="1" t="n">
        <v>45890</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45890</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10396-2025</t>
        </is>
      </c>
      <c r="B130" s="1" t="n">
        <v>45720.60721064815</v>
      </c>
      <c r="C130" s="1" t="n">
        <v>45890</v>
      </c>
      <c r="D130" t="inlineStr">
        <is>
          <t>VÄSTMANLANDS LÄN</t>
        </is>
      </c>
      <c r="E130" t="inlineStr">
        <is>
          <t>SURAHAMMAR</t>
        </is>
      </c>
      <c r="F130" t="inlineStr">
        <is>
          <t>Allmännings- och besparingsskogar</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42714-2022</t>
        </is>
      </c>
      <c r="B131" s="1" t="n">
        <v>44832</v>
      </c>
      <c r="C131" s="1" t="n">
        <v>45890</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3818-2022</t>
        </is>
      </c>
      <c r="B132" s="1" t="n">
        <v>44587</v>
      </c>
      <c r="C132" s="1" t="n">
        <v>45890</v>
      </c>
      <c r="D132" t="inlineStr">
        <is>
          <t>VÄSTMANLANDS LÄN</t>
        </is>
      </c>
      <c r="E132" t="inlineStr">
        <is>
          <t>SURAHAMMAR</t>
        </is>
      </c>
      <c r="G132" t="n">
        <v>2.6</v>
      </c>
      <c r="H132" t="n">
        <v>0</v>
      </c>
      <c r="I132" t="n">
        <v>0</v>
      </c>
      <c r="J132" t="n">
        <v>0</v>
      </c>
      <c r="K132" t="n">
        <v>0</v>
      </c>
      <c r="L132" t="n">
        <v>0</v>
      </c>
      <c r="M132" t="n">
        <v>0</v>
      </c>
      <c r="N132" t="n">
        <v>0</v>
      </c>
      <c r="O132" t="n">
        <v>0</v>
      </c>
      <c r="P132" t="n">
        <v>0</v>
      </c>
      <c r="Q132" t="n">
        <v>0</v>
      </c>
      <c r="R132" s="2" t="inlineStr"/>
    </row>
    <row r="133" ht="15" customHeight="1">
      <c r="A133" t="inlineStr">
        <is>
          <t>A 35682-2022</t>
        </is>
      </c>
      <c r="B133" s="1" t="n">
        <v>44799.60422453703</v>
      </c>
      <c r="C133" s="1" t="n">
        <v>45890</v>
      </c>
      <c r="D133" t="inlineStr">
        <is>
          <t>VÄSTMANLANDS LÄN</t>
        </is>
      </c>
      <c r="E133" t="inlineStr">
        <is>
          <t>SURAHAMMAR</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37013-2025</t>
        </is>
      </c>
      <c r="B134" s="1" t="n">
        <v>45874</v>
      </c>
      <c r="C134" s="1" t="n">
        <v>45890</v>
      </c>
      <c r="D134" t="inlineStr">
        <is>
          <t>VÄSTMANLANDS LÄN</t>
        </is>
      </c>
      <c r="E134" t="inlineStr">
        <is>
          <t>SURAHAMMAR</t>
        </is>
      </c>
      <c r="F134" t="inlineStr">
        <is>
          <t>Bergvik skog väst AB</t>
        </is>
      </c>
      <c r="G134" t="n">
        <v>10.7</v>
      </c>
      <c r="H134" t="n">
        <v>0</v>
      </c>
      <c r="I134" t="n">
        <v>0</v>
      </c>
      <c r="J134" t="n">
        <v>0</v>
      </c>
      <c r="K134" t="n">
        <v>0</v>
      </c>
      <c r="L134" t="n">
        <v>0</v>
      </c>
      <c r="M134" t="n">
        <v>0</v>
      </c>
      <c r="N134" t="n">
        <v>0</v>
      </c>
      <c r="O134" t="n">
        <v>0</v>
      </c>
      <c r="P134" t="n">
        <v>0</v>
      </c>
      <c r="Q134" t="n">
        <v>0</v>
      </c>
      <c r="R134" s="2" t="inlineStr"/>
    </row>
    <row r="135" ht="15" customHeight="1">
      <c r="A135" t="inlineStr">
        <is>
          <t>A 11728-2023</t>
        </is>
      </c>
      <c r="B135" s="1" t="n">
        <v>44993</v>
      </c>
      <c r="C135" s="1" t="n">
        <v>45890</v>
      </c>
      <c r="D135" t="inlineStr">
        <is>
          <t>VÄSTMANLANDS LÄN</t>
        </is>
      </c>
      <c r="E135" t="inlineStr">
        <is>
          <t>SURAHAMMAR</t>
        </is>
      </c>
      <c r="F135" t="inlineStr">
        <is>
          <t>Bergvik skog väst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13796-2025</t>
        </is>
      </c>
      <c r="B136" s="1" t="n">
        <v>45737.47846064815</v>
      </c>
      <c r="C136" s="1" t="n">
        <v>45890</v>
      </c>
      <c r="D136" t="inlineStr">
        <is>
          <t>VÄSTMANLANDS LÄN</t>
        </is>
      </c>
      <c r="E136" t="inlineStr">
        <is>
          <t>SURAHAMMAR</t>
        </is>
      </c>
      <c r="G136" t="n">
        <v>3.3</v>
      </c>
      <c r="H136" t="n">
        <v>0</v>
      </c>
      <c r="I136" t="n">
        <v>0</v>
      </c>
      <c r="J136" t="n">
        <v>0</v>
      </c>
      <c r="K136" t="n">
        <v>0</v>
      </c>
      <c r="L136" t="n">
        <v>0</v>
      </c>
      <c r="M136" t="n">
        <v>0</v>
      </c>
      <c r="N136" t="n">
        <v>0</v>
      </c>
      <c r="O136" t="n">
        <v>0</v>
      </c>
      <c r="P136" t="n">
        <v>0</v>
      </c>
      <c r="Q136" t="n">
        <v>0</v>
      </c>
      <c r="R136" s="2" t="inlineStr"/>
    </row>
    <row r="137" ht="15" customHeight="1">
      <c r="A137" t="inlineStr">
        <is>
          <t>A 5567-2022</t>
        </is>
      </c>
      <c r="B137" s="1" t="n">
        <v>44595</v>
      </c>
      <c r="C137" s="1" t="n">
        <v>45890</v>
      </c>
      <c r="D137" t="inlineStr">
        <is>
          <t>VÄSTMANLANDS LÄN</t>
        </is>
      </c>
      <c r="E137" t="inlineStr">
        <is>
          <t>SURAHAMMAR</t>
        </is>
      </c>
      <c r="G137" t="n">
        <v>1.3</v>
      </c>
      <c r="H137" t="n">
        <v>0</v>
      </c>
      <c r="I137" t="n">
        <v>0</v>
      </c>
      <c r="J137" t="n">
        <v>0</v>
      </c>
      <c r="K137" t="n">
        <v>0</v>
      </c>
      <c r="L137" t="n">
        <v>0</v>
      </c>
      <c r="M137" t="n">
        <v>0</v>
      </c>
      <c r="N137" t="n">
        <v>0</v>
      </c>
      <c r="O137" t="n">
        <v>0</v>
      </c>
      <c r="P137" t="n">
        <v>0</v>
      </c>
      <c r="Q137" t="n">
        <v>0</v>
      </c>
      <c r="R137" s="2" t="inlineStr"/>
    </row>
    <row r="138" ht="15" customHeight="1">
      <c r="A138" t="inlineStr">
        <is>
          <t>A 42832-2022</t>
        </is>
      </c>
      <c r="B138" s="1" t="n">
        <v>44832</v>
      </c>
      <c r="C138" s="1" t="n">
        <v>45890</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24665-2023</t>
        </is>
      </c>
      <c r="B139" s="1" t="n">
        <v>45084.48592592592</v>
      </c>
      <c r="C139" s="1" t="n">
        <v>45890</v>
      </c>
      <c r="D139" t="inlineStr">
        <is>
          <t>VÄSTMANLANDS LÄN</t>
        </is>
      </c>
      <c r="E139" t="inlineStr">
        <is>
          <t>SURAHAMMAR</t>
        </is>
      </c>
      <c r="G139" t="n">
        <v>0.9</v>
      </c>
      <c r="H139" t="n">
        <v>0</v>
      </c>
      <c r="I139" t="n">
        <v>0</v>
      </c>
      <c r="J139" t="n">
        <v>0</v>
      </c>
      <c r="K139" t="n">
        <v>0</v>
      </c>
      <c r="L139" t="n">
        <v>0</v>
      </c>
      <c r="M139" t="n">
        <v>0</v>
      </c>
      <c r="N139" t="n">
        <v>0</v>
      </c>
      <c r="O139" t="n">
        <v>0</v>
      </c>
      <c r="P139" t="n">
        <v>0</v>
      </c>
      <c r="Q139" t="n">
        <v>0</v>
      </c>
      <c r="R139" s="2" t="inlineStr"/>
    </row>
    <row r="140" ht="15" customHeight="1">
      <c r="A140" t="inlineStr">
        <is>
          <t>A 32808-2024</t>
        </is>
      </c>
      <c r="B140" s="1" t="n">
        <v>45516</v>
      </c>
      <c r="C140" s="1" t="n">
        <v>45890</v>
      </c>
      <c r="D140" t="inlineStr">
        <is>
          <t>VÄSTMANLANDS LÄN</t>
        </is>
      </c>
      <c r="E140" t="inlineStr">
        <is>
          <t>SURAHAMMAR</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37954-2025</t>
        </is>
      </c>
      <c r="B141" s="1" t="n">
        <v>45881</v>
      </c>
      <c r="C141" s="1" t="n">
        <v>45890</v>
      </c>
      <c r="D141" t="inlineStr">
        <is>
          <t>VÄSTMANLANDS LÄN</t>
        </is>
      </c>
      <c r="E141" t="inlineStr">
        <is>
          <t>SURAHAMMAR</t>
        </is>
      </c>
      <c r="G141" t="n">
        <v>9.5</v>
      </c>
      <c r="H141" t="n">
        <v>0</v>
      </c>
      <c r="I141" t="n">
        <v>0</v>
      </c>
      <c r="J141" t="n">
        <v>0</v>
      </c>
      <c r="K141" t="n">
        <v>0</v>
      </c>
      <c r="L141" t="n">
        <v>0</v>
      </c>
      <c r="M141" t="n">
        <v>0</v>
      </c>
      <c r="N141" t="n">
        <v>0</v>
      </c>
      <c r="O141" t="n">
        <v>0</v>
      </c>
      <c r="P141" t="n">
        <v>0</v>
      </c>
      <c r="Q141" t="n">
        <v>0</v>
      </c>
      <c r="R141" s="2" t="inlineStr"/>
    </row>
    <row r="142" ht="15" customHeight="1">
      <c r="A142" t="inlineStr">
        <is>
          <t>A 25417-2024</t>
        </is>
      </c>
      <c r="B142" s="1" t="n">
        <v>45463</v>
      </c>
      <c r="C142" s="1" t="n">
        <v>45890</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42841-2022</t>
        </is>
      </c>
      <c r="B143" s="1" t="n">
        <v>44832</v>
      </c>
      <c r="C143" s="1" t="n">
        <v>45890</v>
      </c>
      <c r="D143" t="inlineStr">
        <is>
          <t>VÄSTMANLANDS LÄN</t>
        </is>
      </c>
      <c r="E143" t="inlineStr">
        <is>
          <t>SURAHAMMAR</t>
        </is>
      </c>
      <c r="G143" t="n">
        <v>1.8</v>
      </c>
      <c r="H143" t="n">
        <v>0</v>
      </c>
      <c r="I143" t="n">
        <v>0</v>
      </c>
      <c r="J143" t="n">
        <v>0</v>
      </c>
      <c r="K143" t="n">
        <v>0</v>
      </c>
      <c r="L143" t="n">
        <v>0</v>
      </c>
      <c r="M143" t="n">
        <v>0</v>
      </c>
      <c r="N143" t="n">
        <v>0</v>
      </c>
      <c r="O143" t="n">
        <v>0</v>
      </c>
      <c r="P143" t="n">
        <v>0</v>
      </c>
      <c r="Q143" t="n">
        <v>0</v>
      </c>
      <c r="R143" s="2" t="inlineStr"/>
    </row>
    <row r="144" ht="15" customHeight="1">
      <c r="A144" t="inlineStr">
        <is>
          <t>A 42829-2022</t>
        </is>
      </c>
      <c r="B144" s="1" t="n">
        <v>44832</v>
      </c>
      <c r="C144" s="1" t="n">
        <v>45890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45890</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45890</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32910-2025</t>
        </is>
      </c>
      <c r="B147" s="1" t="n">
        <v>45839</v>
      </c>
      <c r="C147" s="1" t="n">
        <v>45890</v>
      </c>
      <c r="D147" t="inlineStr">
        <is>
          <t>VÄSTMANLANDS LÄN</t>
        </is>
      </c>
      <c r="E147" t="inlineStr">
        <is>
          <t>SURAHAMMAR</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45890</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44358-2024</t>
        </is>
      </c>
      <c r="B149" s="1" t="n">
        <v>45573</v>
      </c>
      <c r="C149" s="1" t="n">
        <v>45890</v>
      </c>
      <c r="D149" t="inlineStr">
        <is>
          <t>VÄSTMANLANDS LÄN</t>
        </is>
      </c>
      <c r="E149" t="inlineStr">
        <is>
          <t>SURAHAMMAR</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44359-2024</t>
        </is>
      </c>
      <c r="B150" s="1" t="n">
        <v>45573</v>
      </c>
      <c r="C150" s="1" t="n">
        <v>45890</v>
      </c>
      <c r="D150" t="inlineStr">
        <is>
          <t>VÄSTMANLANDS LÄN</t>
        </is>
      </c>
      <c r="E150" t="inlineStr">
        <is>
          <t>SURAHAMMAR</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2867-2024</t>
        </is>
      </c>
      <c r="B151" s="1" t="n">
        <v>45315</v>
      </c>
      <c r="C151" s="1" t="n">
        <v>45890</v>
      </c>
      <c r="D151" t="inlineStr">
        <is>
          <t>VÄSTMANLANDS LÄN</t>
        </is>
      </c>
      <c r="E151" t="inlineStr">
        <is>
          <t>SURAHAMMAR</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21509-2024</t>
        </is>
      </c>
      <c r="B152" s="1" t="n">
        <v>45441</v>
      </c>
      <c r="C152" s="1" t="n">
        <v>45890</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c r="A153" t="inlineStr">
        <is>
          <t>A 3085-2023</t>
        </is>
      </c>
      <c r="B153" s="1" t="n">
        <v>44946</v>
      </c>
      <c r="C153" s="1" t="n">
        <v>45890</v>
      </c>
      <c r="D153" t="inlineStr">
        <is>
          <t>VÄSTMANLANDS LÄN</t>
        </is>
      </c>
      <c r="E153" t="inlineStr">
        <is>
          <t>SURAHAMMAR</t>
        </is>
      </c>
      <c r="F153" t="inlineStr">
        <is>
          <t>Kyrkan</t>
        </is>
      </c>
      <c r="G153" t="n">
        <v>13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2025-08-21T08:30:08Z</dcterms:created>
  <dcterms:modified xmlns:dcterms="http://purl.org/dc/terms/" xmlns:xsi="http://www.w3.org/2001/XMLSchema-instance" xsi:type="dcterms:W3CDTF">2025-08-21T08:30:08Z</dcterms:modified>
</cp:coreProperties>
</file>