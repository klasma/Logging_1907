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46070</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46070</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46070</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46070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46070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46070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46070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46070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46070</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46070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46070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46070</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46070</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46070</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65024-2023</t>
        </is>
      </c>
      <c r="B23" s="1" t="n">
        <v>45282</v>
      </c>
      <c r="C23" s="1" t="n">
        <v>46070</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46070</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46070</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46070</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46070</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48128-2023</t>
        </is>
      </c>
      <c r="B28" s="1" t="n">
        <v>45205</v>
      </c>
      <c r="C28" s="1" t="n">
        <v>46070</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46070</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46070</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46070</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46070</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46070</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46070</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46070</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46070</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46070</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46070</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46070</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41576-2022</t>
        </is>
      </c>
      <c r="B40" s="1" t="n">
        <v>44826</v>
      </c>
      <c r="C40" s="1" t="n">
        <v>46070</v>
      </c>
      <c r="D40" t="inlineStr">
        <is>
          <t>VÄSTMANLANDS LÄN</t>
        </is>
      </c>
      <c r="E40" t="inlineStr">
        <is>
          <t>SURAHAMMAR</t>
        </is>
      </c>
      <c r="F40" t="inlineStr">
        <is>
          <t>Bergvik skog väst AB</t>
        </is>
      </c>
      <c r="G40" t="n">
        <v>6.4</v>
      </c>
      <c r="H40" t="n">
        <v>2</v>
      </c>
      <c r="I40" t="n">
        <v>0</v>
      </c>
      <c r="J40" t="n">
        <v>1</v>
      </c>
      <c r="K40" t="n">
        <v>0</v>
      </c>
      <c r="L40" t="n">
        <v>0</v>
      </c>
      <c r="M40" t="n">
        <v>0</v>
      </c>
      <c r="N40" t="n">
        <v>0</v>
      </c>
      <c r="O40" t="n">
        <v>1</v>
      </c>
      <c r="P40" t="n">
        <v>0</v>
      </c>
      <c r="Q40" t="n">
        <v>2</v>
      </c>
      <c r="R40" s="2" t="inlineStr">
        <is>
          <t>Talltita
Kungsfågel</t>
        </is>
      </c>
      <c r="S40">
        <f>HYPERLINK("https://klasma.github.io/Logging_1907/artfynd/A 41576-2022 artfynd.xlsx", "A 41576-2022")</f>
        <v/>
      </c>
      <c r="T40">
        <f>HYPERLINK("https://klasma.github.io/Logging_1907/kartor/A 41576-2022 karta.png", "A 41576-2022")</f>
        <v/>
      </c>
      <c r="V40">
        <f>HYPERLINK("https://klasma.github.io/Logging_1907/klagomål/A 41576-2022 FSC-klagomål.docx", "A 41576-2022")</f>
        <v/>
      </c>
      <c r="W40">
        <f>HYPERLINK("https://klasma.github.io/Logging_1907/klagomålsmail/A 41576-2022 FSC-klagomål mail.docx", "A 41576-2022")</f>
        <v/>
      </c>
      <c r="X40">
        <f>HYPERLINK("https://klasma.github.io/Logging_1907/tillsyn/A 41576-2022 tillsynsbegäran.docx", "A 41576-2022")</f>
        <v/>
      </c>
      <c r="Y40">
        <f>HYPERLINK("https://klasma.github.io/Logging_1907/tillsynsmail/A 41576-2022 tillsynsbegäran mail.docx", "A 41576-2022")</f>
        <v/>
      </c>
      <c r="Z40">
        <f>HYPERLINK("https://klasma.github.io/Logging_1907/fåglar/A 41576-2022 prioriterade fågelarter.docx", "A 41576-2022")</f>
        <v/>
      </c>
    </row>
    <row r="41" ht="15" customHeight="1">
      <c r="A41" t="inlineStr">
        <is>
          <t>A 63146-2025</t>
        </is>
      </c>
      <c r="B41" s="1" t="n">
        <v>46009</v>
      </c>
      <c r="C41" s="1" t="n">
        <v>46070</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62097-2024</t>
        </is>
      </c>
      <c r="B42" s="1" t="n">
        <v>45646</v>
      </c>
      <c r="C42" s="1" t="n">
        <v>46070</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37800-2021</t>
        </is>
      </c>
      <c r="B43" s="1" t="n">
        <v>44402</v>
      </c>
      <c r="C43" s="1" t="n">
        <v>46070</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46070</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46070</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46070</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46070</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46070</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46070</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46070</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46070</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46070</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34582-2025</t>
        </is>
      </c>
      <c r="B53" s="1" t="n">
        <v>45846</v>
      </c>
      <c r="C53" s="1" t="n">
        <v>46070</v>
      </c>
      <c r="D53" t="inlineStr">
        <is>
          <t>VÄSTMANLANDS LÄN</t>
        </is>
      </c>
      <c r="E53" t="inlineStr">
        <is>
          <t>SURAHAMMAR</t>
        </is>
      </c>
      <c r="F53" t="inlineStr">
        <is>
          <t>Bergvik skog väst AB</t>
        </is>
      </c>
      <c r="G53" t="n">
        <v>2.6</v>
      </c>
      <c r="H53" t="n">
        <v>1</v>
      </c>
      <c r="I53" t="n">
        <v>0</v>
      </c>
      <c r="J53" t="n">
        <v>1</v>
      </c>
      <c r="K53" t="n">
        <v>0</v>
      </c>
      <c r="L53" t="n">
        <v>0</v>
      </c>
      <c r="M53" t="n">
        <v>0</v>
      </c>
      <c r="N53" t="n">
        <v>0</v>
      </c>
      <c r="O53" t="n">
        <v>1</v>
      </c>
      <c r="P53" t="n">
        <v>0</v>
      </c>
      <c r="Q53" t="n">
        <v>1</v>
      </c>
      <c r="R53" s="2" t="inlineStr">
        <is>
          <t>Järpe</t>
        </is>
      </c>
      <c r="S53">
        <f>HYPERLINK("https://klasma.github.io/Logging_1907/artfynd/A 34582-2025 artfynd.xlsx", "A 34582-2025")</f>
        <v/>
      </c>
      <c r="T53">
        <f>HYPERLINK("https://klasma.github.io/Logging_1907/kartor/A 34582-2025 karta.png", "A 34582-2025")</f>
        <v/>
      </c>
      <c r="V53">
        <f>HYPERLINK("https://klasma.github.io/Logging_1907/klagomål/A 34582-2025 FSC-klagomål.docx", "A 34582-2025")</f>
        <v/>
      </c>
      <c r="W53">
        <f>HYPERLINK("https://klasma.github.io/Logging_1907/klagomålsmail/A 34582-2025 FSC-klagomål mail.docx", "A 34582-2025")</f>
        <v/>
      </c>
      <c r="X53">
        <f>HYPERLINK("https://klasma.github.io/Logging_1907/tillsyn/A 34582-2025 tillsynsbegäran.docx", "A 34582-2025")</f>
        <v/>
      </c>
      <c r="Y53">
        <f>HYPERLINK("https://klasma.github.io/Logging_1907/tillsynsmail/A 34582-2025 tillsynsbegäran mail.docx", "A 34582-2025")</f>
        <v/>
      </c>
      <c r="Z53">
        <f>HYPERLINK("https://klasma.github.io/Logging_1907/fåglar/A 34582-2025 prioriterade fågelarter.docx", "A 34582-2025")</f>
        <v/>
      </c>
    </row>
    <row r="54" ht="15" customHeight="1">
      <c r="A54" t="inlineStr">
        <is>
          <t>A 13788-2025</t>
        </is>
      </c>
      <c r="B54" s="1" t="n">
        <v>45737.45327546296</v>
      </c>
      <c r="C54" s="1" t="n">
        <v>46070</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56362-2023</t>
        </is>
      </c>
      <c r="B55" s="1" t="n">
        <v>45236</v>
      </c>
      <c r="C55" s="1" t="n">
        <v>46070</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47453-2024</t>
        </is>
      </c>
      <c r="B56" s="1" t="n">
        <v>45587.55017361111</v>
      </c>
      <c r="C56" s="1" t="n">
        <v>46070</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42089-2025</t>
        </is>
      </c>
      <c r="B57" s="1" t="n">
        <v>45902</v>
      </c>
      <c r="C57" s="1" t="n">
        <v>46070</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63145-2025</t>
        </is>
      </c>
      <c r="B58" s="1" t="n">
        <v>46009</v>
      </c>
      <c r="C58" s="1" t="n">
        <v>46070</v>
      </c>
      <c r="D58" t="inlineStr">
        <is>
          <t>VÄSTMANLANDS LÄN</t>
        </is>
      </c>
      <c r="E58" t="inlineStr">
        <is>
          <t>SURAHAMMAR</t>
        </is>
      </c>
      <c r="F58" t="inlineStr">
        <is>
          <t>Bergvik skog väst AB</t>
        </is>
      </c>
      <c r="G58" t="n">
        <v>40.5</v>
      </c>
      <c r="H58" t="n">
        <v>0</v>
      </c>
      <c r="I58" t="n">
        <v>1</v>
      </c>
      <c r="J58" t="n">
        <v>0</v>
      </c>
      <c r="K58" t="n">
        <v>0</v>
      </c>
      <c r="L58" t="n">
        <v>0</v>
      </c>
      <c r="M58" t="n">
        <v>0</v>
      </c>
      <c r="N58" t="n">
        <v>0</v>
      </c>
      <c r="O58" t="n">
        <v>0</v>
      </c>
      <c r="P58" t="n">
        <v>0</v>
      </c>
      <c r="Q58" t="n">
        <v>1</v>
      </c>
      <c r="R58" s="2" t="inlineStr">
        <is>
          <t>Svart trolldruva</t>
        </is>
      </c>
      <c r="S58">
        <f>HYPERLINK("https://klasma.github.io/Logging_1907/artfynd/A 63145-2025 artfynd.xlsx", "A 63145-2025")</f>
        <v/>
      </c>
      <c r="T58">
        <f>HYPERLINK("https://klasma.github.io/Logging_1907/kartor/A 63145-2025 karta.png", "A 63145-2025")</f>
        <v/>
      </c>
      <c r="V58">
        <f>HYPERLINK("https://klasma.github.io/Logging_1907/klagomål/A 63145-2025 FSC-klagomål.docx", "A 63145-2025")</f>
        <v/>
      </c>
      <c r="W58">
        <f>HYPERLINK("https://klasma.github.io/Logging_1907/klagomålsmail/A 63145-2025 FSC-klagomål mail.docx", "A 63145-2025")</f>
        <v/>
      </c>
      <c r="X58">
        <f>HYPERLINK("https://klasma.github.io/Logging_1907/tillsyn/A 63145-2025 tillsynsbegäran.docx", "A 63145-2025")</f>
        <v/>
      </c>
      <c r="Y58">
        <f>HYPERLINK("https://klasma.github.io/Logging_1907/tillsynsmail/A 63145-2025 tillsynsbegäran mail.docx", "A 63145-2025")</f>
        <v/>
      </c>
    </row>
    <row r="59" ht="15" customHeight="1">
      <c r="A59" t="inlineStr">
        <is>
          <t>A 25583-2024</t>
        </is>
      </c>
      <c r="B59" s="1" t="n">
        <v>45463</v>
      </c>
      <c r="C59" s="1" t="n">
        <v>46070</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46070</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46070</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46070</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55042-2025</t>
        </is>
      </c>
      <c r="B63" s="1" t="n">
        <v>45967.65858796296</v>
      </c>
      <c r="C63" s="1" t="n">
        <v>46070</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56768-2025</t>
        </is>
      </c>
      <c r="B64" s="1" t="n">
        <v>45978</v>
      </c>
      <c r="C64" s="1" t="n">
        <v>46070</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69777-2021</t>
        </is>
      </c>
      <c r="B65" s="1" t="n">
        <v>44532</v>
      </c>
      <c r="C65" s="1" t="n">
        <v>46070</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17632-2022</t>
        </is>
      </c>
      <c r="B66" s="1" t="n">
        <v>44680</v>
      </c>
      <c r="C66" s="1" t="n">
        <v>46070</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44356-2024</t>
        </is>
      </c>
      <c r="B67" s="1" t="n">
        <v>45573</v>
      </c>
      <c r="C67" s="1" t="n">
        <v>46070</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22840-2023</t>
        </is>
      </c>
      <c r="B68" s="1" t="n">
        <v>45072</v>
      </c>
      <c r="C68" s="1" t="n">
        <v>46070</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46070</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14001-2023</t>
        </is>
      </c>
      <c r="B70" s="1" t="n">
        <v>45007</v>
      </c>
      <c r="C70" s="1" t="n">
        <v>46070</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46070</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46070</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46070</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46070</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46070</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46070</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46070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46070</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46070</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46070</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46070</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46070</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46070</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46070</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46070</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46070</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46070</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46070</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46070</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46070</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46070</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46070</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46070</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46070</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46070</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46070</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46070</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46070</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46070</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15739-2023</t>
        </is>
      </c>
      <c r="B100" s="1" t="n">
        <v>45021</v>
      </c>
      <c r="C100" s="1" t="n">
        <v>46070</v>
      </c>
      <c r="D100" t="inlineStr">
        <is>
          <t>VÄSTMANLANDS LÄN</t>
        </is>
      </c>
      <c r="E100" t="inlineStr">
        <is>
          <t>SURAHAMMAR</t>
        </is>
      </c>
      <c r="G100" t="n">
        <v>1.3</v>
      </c>
      <c r="H100" t="n">
        <v>0</v>
      </c>
      <c r="I100" t="n">
        <v>0</v>
      </c>
      <c r="J100" t="n">
        <v>0</v>
      </c>
      <c r="K100" t="n">
        <v>0</v>
      </c>
      <c r="L100" t="n">
        <v>0</v>
      </c>
      <c r="M100" t="n">
        <v>0</v>
      </c>
      <c r="N100" t="n">
        <v>0</v>
      </c>
      <c r="O100" t="n">
        <v>0</v>
      </c>
      <c r="P100" t="n">
        <v>0</v>
      </c>
      <c r="Q100" t="n">
        <v>0</v>
      </c>
      <c r="R100" s="2" t="inlineStr"/>
    </row>
    <row r="101" ht="15" customHeight="1">
      <c r="A101" t="inlineStr">
        <is>
          <t>A 7787-2024</t>
        </is>
      </c>
      <c r="B101" s="1" t="n">
        <v>45348</v>
      </c>
      <c r="C101" s="1" t="n">
        <v>46070</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38154-2021</t>
        </is>
      </c>
      <c r="B102" s="1" t="n">
        <v>44405.42373842592</v>
      </c>
      <c r="C102" s="1" t="n">
        <v>46070</v>
      </c>
      <c r="D102" t="inlineStr">
        <is>
          <t>VÄSTMANLANDS LÄN</t>
        </is>
      </c>
      <c r="E102" t="inlineStr">
        <is>
          <t>SURAHAMMAR</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42088-2025</t>
        </is>
      </c>
      <c r="B103" s="1" t="n">
        <v>45902</v>
      </c>
      <c r="C103" s="1" t="n">
        <v>46070</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4724-2026</t>
        </is>
      </c>
      <c r="B104" s="1" t="n">
        <v>46048</v>
      </c>
      <c r="C104" s="1" t="n">
        <v>46070</v>
      </c>
      <c r="D104" t="inlineStr">
        <is>
          <t>VÄSTMANLANDS LÄN</t>
        </is>
      </c>
      <c r="E104" t="inlineStr">
        <is>
          <t>SURAHAMMAR</t>
        </is>
      </c>
      <c r="G104" t="n">
        <v>1.7</v>
      </c>
      <c r="H104" t="n">
        <v>0</v>
      </c>
      <c r="I104" t="n">
        <v>0</v>
      </c>
      <c r="J104" t="n">
        <v>0</v>
      </c>
      <c r="K104" t="n">
        <v>0</v>
      </c>
      <c r="L104" t="n">
        <v>0</v>
      </c>
      <c r="M104" t="n">
        <v>0</v>
      </c>
      <c r="N104" t="n">
        <v>0</v>
      </c>
      <c r="O104" t="n">
        <v>0</v>
      </c>
      <c r="P104" t="n">
        <v>0</v>
      </c>
      <c r="Q104" t="n">
        <v>0</v>
      </c>
      <c r="R104" s="2" t="inlineStr"/>
    </row>
    <row r="105" ht="15" customHeight="1">
      <c r="A105" t="inlineStr">
        <is>
          <t>A 4734-2026</t>
        </is>
      </c>
      <c r="B105" s="1" t="n">
        <v>46048</v>
      </c>
      <c r="C105" s="1" t="n">
        <v>46070</v>
      </c>
      <c r="D105" t="inlineStr">
        <is>
          <t>VÄSTMANLANDS LÄN</t>
        </is>
      </c>
      <c r="E105" t="inlineStr">
        <is>
          <t>SURAHAMMAR</t>
        </is>
      </c>
      <c r="G105" t="n">
        <v>0.7</v>
      </c>
      <c r="H105" t="n">
        <v>0</v>
      </c>
      <c r="I105" t="n">
        <v>0</v>
      </c>
      <c r="J105" t="n">
        <v>0</v>
      </c>
      <c r="K105" t="n">
        <v>0</v>
      </c>
      <c r="L105" t="n">
        <v>0</v>
      </c>
      <c r="M105" t="n">
        <v>0</v>
      </c>
      <c r="N105" t="n">
        <v>0</v>
      </c>
      <c r="O105" t="n">
        <v>0</v>
      </c>
      <c r="P105" t="n">
        <v>0</v>
      </c>
      <c r="Q105" t="n">
        <v>0</v>
      </c>
      <c r="R105" s="2" t="inlineStr"/>
    </row>
    <row r="106" ht="15" customHeight="1">
      <c r="A106" t="inlineStr">
        <is>
          <t>A 37287-2023</t>
        </is>
      </c>
      <c r="B106" s="1" t="n">
        <v>45156</v>
      </c>
      <c r="C106" s="1" t="n">
        <v>46070</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31107-2025</t>
        </is>
      </c>
      <c r="B107" s="1" t="n">
        <v>45831</v>
      </c>
      <c r="C107" s="1" t="n">
        <v>46070</v>
      </c>
      <c r="D107" t="inlineStr">
        <is>
          <t>VÄSTMANLANDS LÄN</t>
        </is>
      </c>
      <c r="E107" t="inlineStr">
        <is>
          <t>SURAHAMMAR</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43249-2025</t>
        </is>
      </c>
      <c r="B108" s="1" t="n">
        <v>45910.55059027778</v>
      </c>
      <c r="C108" s="1" t="n">
        <v>46070</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43255-2025</t>
        </is>
      </c>
      <c r="B109" s="1" t="n">
        <v>45910.55325231481</v>
      </c>
      <c r="C109" s="1" t="n">
        <v>46070</v>
      </c>
      <c r="D109" t="inlineStr">
        <is>
          <t>VÄSTMANLANDS LÄN</t>
        </is>
      </c>
      <c r="E109" t="inlineStr">
        <is>
          <t>SURAHAMMAR</t>
        </is>
      </c>
      <c r="G109" t="n">
        <v>1.9</v>
      </c>
      <c r="H109" t="n">
        <v>0</v>
      </c>
      <c r="I109" t="n">
        <v>0</v>
      </c>
      <c r="J109" t="n">
        <v>0</v>
      </c>
      <c r="K109" t="n">
        <v>0</v>
      </c>
      <c r="L109" t="n">
        <v>0</v>
      </c>
      <c r="M109" t="n">
        <v>0</v>
      </c>
      <c r="N109" t="n">
        <v>0</v>
      </c>
      <c r="O109" t="n">
        <v>0</v>
      </c>
      <c r="P109" t="n">
        <v>0</v>
      </c>
      <c r="Q109" t="n">
        <v>0</v>
      </c>
      <c r="R109" s="2" t="inlineStr"/>
    </row>
    <row r="110" ht="15" customHeight="1">
      <c r="A110" t="inlineStr">
        <is>
          <t>A 5697-2026</t>
        </is>
      </c>
      <c r="B110" s="1" t="n">
        <v>46051.50020833333</v>
      </c>
      <c r="C110" s="1" t="n">
        <v>46070</v>
      </c>
      <c r="D110" t="inlineStr">
        <is>
          <t>VÄSTMANLANDS LÄN</t>
        </is>
      </c>
      <c r="E110" t="inlineStr">
        <is>
          <t>SURAHAMMAR</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5698-2026</t>
        </is>
      </c>
      <c r="B111" s="1" t="n">
        <v>46051.50196759259</v>
      </c>
      <c r="C111" s="1" t="n">
        <v>46070</v>
      </c>
      <c r="D111" t="inlineStr">
        <is>
          <t>VÄSTMANLANDS LÄN</t>
        </is>
      </c>
      <c r="E111" t="inlineStr">
        <is>
          <t>SURAHAMMAR</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5696-2026</t>
        </is>
      </c>
      <c r="B112" s="1" t="n">
        <v>46051.4975</v>
      </c>
      <c r="C112" s="1" t="n">
        <v>46070</v>
      </c>
      <c r="D112" t="inlineStr">
        <is>
          <t>VÄSTMANLANDS LÄN</t>
        </is>
      </c>
      <c r="E112" t="inlineStr">
        <is>
          <t>SURAHAMMAR</t>
        </is>
      </c>
      <c r="F112" t="inlineStr">
        <is>
          <t>Sveaskog</t>
        </is>
      </c>
      <c r="G112" t="n">
        <v>10.4</v>
      </c>
      <c r="H112" t="n">
        <v>0</v>
      </c>
      <c r="I112" t="n">
        <v>0</v>
      </c>
      <c r="J112" t="n">
        <v>0</v>
      </c>
      <c r="K112" t="n">
        <v>0</v>
      </c>
      <c r="L112" t="n">
        <v>0</v>
      </c>
      <c r="M112" t="n">
        <v>0</v>
      </c>
      <c r="N112" t="n">
        <v>0</v>
      </c>
      <c r="O112" t="n">
        <v>0</v>
      </c>
      <c r="P112" t="n">
        <v>0</v>
      </c>
      <c r="Q112" t="n">
        <v>0</v>
      </c>
      <c r="R112" s="2" t="inlineStr"/>
    </row>
    <row r="113" ht="15" customHeight="1">
      <c r="A113" t="inlineStr">
        <is>
          <t>A 63138-2025</t>
        </is>
      </c>
      <c r="B113" s="1" t="n">
        <v>46009</v>
      </c>
      <c r="C113" s="1" t="n">
        <v>46070</v>
      </c>
      <c r="D113" t="inlineStr">
        <is>
          <t>VÄSTMANLANDS LÄN</t>
        </is>
      </c>
      <c r="E113" t="inlineStr">
        <is>
          <t>SURAHAMMAR</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72367-2021</t>
        </is>
      </c>
      <c r="B114" s="1" t="n">
        <v>44545</v>
      </c>
      <c r="C114" s="1" t="n">
        <v>46070</v>
      </c>
      <c r="D114" t="inlineStr">
        <is>
          <t>VÄSTMANLANDS LÄN</t>
        </is>
      </c>
      <c r="E114" t="inlineStr">
        <is>
          <t>SURAHAMMAR</t>
        </is>
      </c>
      <c r="G114" t="n">
        <v>2.5</v>
      </c>
      <c r="H114" t="n">
        <v>0</v>
      </c>
      <c r="I114" t="n">
        <v>0</v>
      </c>
      <c r="J114" t="n">
        <v>0</v>
      </c>
      <c r="K114" t="n">
        <v>0</v>
      </c>
      <c r="L114" t="n">
        <v>0</v>
      </c>
      <c r="M114" t="n">
        <v>0</v>
      </c>
      <c r="N114" t="n">
        <v>0</v>
      </c>
      <c r="O114" t="n">
        <v>0</v>
      </c>
      <c r="P114" t="n">
        <v>0</v>
      </c>
      <c r="Q114" t="n">
        <v>0</v>
      </c>
      <c r="R114" s="2" t="inlineStr"/>
    </row>
    <row r="115" ht="15" customHeight="1">
      <c r="A115" t="inlineStr">
        <is>
          <t>A 33931-2022</t>
        </is>
      </c>
      <c r="B115" s="1" t="n">
        <v>44790.65153935185</v>
      </c>
      <c r="C115" s="1" t="n">
        <v>46070</v>
      </c>
      <c r="D115" t="inlineStr">
        <is>
          <t>VÄSTMANLANDS LÄN</t>
        </is>
      </c>
      <c r="E115" t="inlineStr">
        <is>
          <t>SURAHAMMAR</t>
        </is>
      </c>
      <c r="G115" t="n">
        <v>2.2</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46070</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32916-2025</t>
        </is>
      </c>
      <c r="B117" s="1" t="n">
        <v>45839</v>
      </c>
      <c r="C117" s="1" t="n">
        <v>46070</v>
      </c>
      <c r="D117" t="inlineStr">
        <is>
          <t>VÄSTMANLANDS LÄN</t>
        </is>
      </c>
      <c r="E117" t="inlineStr">
        <is>
          <t>SURAHAMMAR</t>
        </is>
      </c>
      <c r="F117" t="inlineStr">
        <is>
          <t>Kommuner</t>
        </is>
      </c>
      <c r="G117" t="n">
        <v>4.9</v>
      </c>
      <c r="H117" t="n">
        <v>0</v>
      </c>
      <c r="I117" t="n">
        <v>0</v>
      </c>
      <c r="J117" t="n">
        <v>0</v>
      </c>
      <c r="K117" t="n">
        <v>0</v>
      </c>
      <c r="L117" t="n">
        <v>0</v>
      </c>
      <c r="M117" t="n">
        <v>0</v>
      </c>
      <c r="N117" t="n">
        <v>0</v>
      </c>
      <c r="O117" t="n">
        <v>0</v>
      </c>
      <c r="P117" t="n">
        <v>0</v>
      </c>
      <c r="Q117" t="n">
        <v>0</v>
      </c>
      <c r="R117" s="2" t="inlineStr"/>
    </row>
    <row r="118" ht="15" customHeight="1">
      <c r="A118" t="inlineStr">
        <is>
          <t>A 32910-2025</t>
        </is>
      </c>
      <c r="B118" s="1" t="n">
        <v>45839</v>
      </c>
      <c r="C118" s="1" t="n">
        <v>46070</v>
      </c>
      <c r="D118" t="inlineStr">
        <is>
          <t>VÄSTMANLANDS LÄN</t>
        </is>
      </c>
      <c r="E118" t="inlineStr">
        <is>
          <t>SURAHAMMAR</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24158-2023</t>
        </is>
      </c>
      <c r="B119" s="1" t="n">
        <v>45079</v>
      </c>
      <c r="C119" s="1" t="n">
        <v>46070</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46070</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46070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37954-2025</t>
        </is>
      </c>
      <c r="B122" s="1" t="n">
        <v>45881</v>
      </c>
      <c r="C122" s="1" t="n">
        <v>46070</v>
      </c>
      <c r="D122" t="inlineStr">
        <is>
          <t>VÄSTMANLANDS LÄN</t>
        </is>
      </c>
      <c r="E122" t="inlineStr">
        <is>
          <t>SURAHAMMAR</t>
        </is>
      </c>
      <c r="G122" t="n">
        <v>9.5</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46070</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11728-2023</t>
        </is>
      </c>
      <c r="B124" s="1" t="n">
        <v>44993</v>
      </c>
      <c r="C124" s="1" t="n">
        <v>46070</v>
      </c>
      <c r="D124" t="inlineStr">
        <is>
          <t>VÄSTMANLANDS LÄN</t>
        </is>
      </c>
      <c r="E124" t="inlineStr">
        <is>
          <t>SURAHAMMAR</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5567-2022</t>
        </is>
      </c>
      <c r="B125" s="1" t="n">
        <v>44595</v>
      </c>
      <c r="C125" s="1" t="n">
        <v>46070</v>
      </c>
      <c r="D125" t="inlineStr">
        <is>
          <t>VÄSTMANLANDS LÄN</t>
        </is>
      </c>
      <c r="E125" t="inlineStr">
        <is>
          <t>SURAHAMMAR</t>
        </is>
      </c>
      <c r="G125" t="n">
        <v>1.3</v>
      </c>
      <c r="H125" t="n">
        <v>0</v>
      </c>
      <c r="I125" t="n">
        <v>0</v>
      </c>
      <c r="J125" t="n">
        <v>0</v>
      </c>
      <c r="K125" t="n">
        <v>0</v>
      </c>
      <c r="L125" t="n">
        <v>0</v>
      </c>
      <c r="M125" t="n">
        <v>0</v>
      </c>
      <c r="N125" t="n">
        <v>0</v>
      </c>
      <c r="O125" t="n">
        <v>0</v>
      </c>
      <c r="P125" t="n">
        <v>0</v>
      </c>
      <c r="Q125" t="n">
        <v>0</v>
      </c>
      <c r="R125" s="2" t="inlineStr"/>
    </row>
    <row r="126" ht="15" customHeight="1">
      <c r="A126" t="inlineStr">
        <is>
          <t>A 42832-2022</t>
        </is>
      </c>
      <c r="B126" s="1" t="n">
        <v>44832</v>
      </c>
      <c r="C126" s="1" t="n">
        <v>46070</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24665-2023</t>
        </is>
      </c>
      <c r="B127" s="1" t="n">
        <v>45084.48592592592</v>
      </c>
      <c r="C127" s="1" t="n">
        <v>46070</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32808-2024</t>
        </is>
      </c>
      <c r="B128" s="1" t="n">
        <v>45516</v>
      </c>
      <c r="C128" s="1" t="n">
        <v>46070</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46070</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55874-2025</t>
        </is>
      </c>
      <c r="B130" s="1" t="n">
        <v>45973.3569212963</v>
      </c>
      <c r="C130" s="1" t="n">
        <v>46070</v>
      </c>
      <c r="D130" t="inlineStr">
        <is>
          <t>VÄSTMANLANDS LÄN</t>
        </is>
      </c>
      <c r="E130" t="inlineStr">
        <is>
          <t>SURAHAMMAR</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55873-2025</t>
        </is>
      </c>
      <c r="B131" s="1" t="n">
        <v>45973.35608796297</v>
      </c>
      <c r="C131" s="1" t="n">
        <v>46070</v>
      </c>
      <c r="D131" t="inlineStr">
        <is>
          <t>VÄSTMANLANDS LÄN</t>
        </is>
      </c>
      <c r="E131" t="inlineStr">
        <is>
          <t>SURAHAMMAR</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55871-2025</t>
        </is>
      </c>
      <c r="B132" s="1" t="n">
        <v>45973.35452546296</v>
      </c>
      <c r="C132" s="1" t="n">
        <v>46070</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42841-2022</t>
        </is>
      </c>
      <c r="B133" s="1" t="n">
        <v>44832</v>
      </c>
      <c r="C133" s="1" t="n">
        <v>46070</v>
      </c>
      <c r="D133" t="inlineStr">
        <is>
          <t>VÄSTMANLANDS LÄN</t>
        </is>
      </c>
      <c r="E133" t="inlineStr">
        <is>
          <t>SURAHAMMAR</t>
        </is>
      </c>
      <c r="G133" t="n">
        <v>1.8</v>
      </c>
      <c r="H133" t="n">
        <v>0</v>
      </c>
      <c r="I133" t="n">
        <v>0</v>
      </c>
      <c r="J133" t="n">
        <v>0</v>
      </c>
      <c r="K133" t="n">
        <v>0</v>
      </c>
      <c r="L133" t="n">
        <v>0</v>
      </c>
      <c r="M133" t="n">
        <v>0</v>
      </c>
      <c r="N133" t="n">
        <v>0</v>
      </c>
      <c r="O133" t="n">
        <v>0</v>
      </c>
      <c r="P133" t="n">
        <v>0</v>
      </c>
      <c r="Q133" t="n">
        <v>0</v>
      </c>
      <c r="R133" s="2" t="inlineStr"/>
    </row>
    <row r="134" ht="15" customHeight="1">
      <c r="A134" t="inlineStr">
        <is>
          <t>A 56543-2025</t>
        </is>
      </c>
      <c r="B134" s="1" t="n">
        <v>45975</v>
      </c>
      <c r="C134" s="1" t="n">
        <v>46070</v>
      </c>
      <c r="D134" t="inlineStr">
        <is>
          <t>VÄSTMANLANDS LÄN</t>
        </is>
      </c>
      <c r="E134" t="inlineStr">
        <is>
          <t>SURAHAMMAR</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42829-2022</t>
        </is>
      </c>
      <c r="B135" s="1" t="n">
        <v>44832</v>
      </c>
      <c r="C135" s="1" t="n">
        <v>46070</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2867-2024</t>
        </is>
      </c>
      <c r="B136" s="1" t="n">
        <v>45315</v>
      </c>
      <c r="C136" s="1" t="n">
        <v>46070</v>
      </c>
      <c r="D136" t="inlineStr">
        <is>
          <t>VÄSTMANLANDS LÄN</t>
        </is>
      </c>
      <c r="E136" t="inlineStr">
        <is>
          <t>SURAHAMMAR</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3085-2023</t>
        </is>
      </c>
      <c r="B137" s="1" t="n">
        <v>44946</v>
      </c>
      <c r="C137" s="1" t="n">
        <v>46070</v>
      </c>
      <c r="D137" t="inlineStr">
        <is>
          <t>VÄSTMANLANDS LÄN</t>
        </is>
      </c>
      <c r="E137" t="inlineStr">
        <is>
          <t>SURAHAMMAR</t>
        </is>
      </c>
      <c r="F137" t="inlineStr">
        <is>
          <t>Kyrkan</t>
        </is>
      </c>
      <c r="G137" t="n">
        <v>13</v>
      </c>
      <c r="H137" t="n">
        <v>0</v>
      </c>
      <c r="I137" t="n">
        <v>0</v>
      </c>
      <c r="J137" t="n">
        <v>0</v>
      </c>
      <c r="K137" t="n">
        <v>0</v>
      </c>
      <c r="L137" t="n">
        <v>0</v>
      </c>
      <c r="M137" t="n">
        <v>0</v>
      </c>
      <c r="N137" t="n">
        <v>0</v>
      </c>
      <c r="O137" t="n">
        <v>0</v>
      </c>
      <c r="P137" t="n">
        <v>0</v>
      </c>
      <c r="Q137" t="n">
        <v>0</v>
      </c>
      <c r="R137" s="2" t="inlineStr"/>
    </row>
    <row r="138" ht="15" customHeight="1">
      <c r="A138" t="inlineStr">
        <is>
          <t>A 59399-2025</t>
        </is>
      </c>
      <c r="B138" s="1" t="n">
        <v>45989</v>
      </c>
      <c r="C138" s="1" t="n">
        <v>46070</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56541-2025</t>
        </is>
      </c>
      <c r="B139" s="1" t="n">
        <v>45975</v>
      </c>
      <c r="C139" s="1" t="n">
        <v>46070</v>
      </c>
      <c r="D139" t="inlineStr">
        <is>
          <t>VÄSTMANLANDS LÄN</t>
        </is>
      </c>
      <c r="E139" t="inlineStr">
        <is>
          <t>SURAHAMMAR</t>
        </is>
      </c>
      <c r="F139" t="inlineStr">
        <is>
          <t>Sveaskog</t>
        </is>
      </c>
      <c r="G139" t="n">
        <v>7.6</v>
      </c>
      <c r="H139" t="n">
        <v>0</v>
      </c>
      <c r="I139" t="n">
        <v>0</v>
      </c>
      <c r="J139" t="n">
        <v>0</v>
      </c>
      <c r="K139" t="n">
        <v>0</v>
      </c>
      <c r="L139" t="n">
        <v>0</v>
      </c>
      <c r="M139" t="n">
        <v>0</v>
      </c>
      <c r="N139" t="n">
        <v>0</v>
      </c>
      <c r="O139" t="n">
        <v>0</v>
      </c>
      <c r="P139" t="n">
        <v>0</v>
      </c>
      <c r="Q139" t="n">
        <v>0</v>
      </c>
      <c r="R139" s="2" t="inlineStr"/>
    </row>
    <row r="140" ht="15" customHeight="1">
      <c r="A140" t="inlineStr">
        <is>
          <t>A 49058-2024</t>
        </is>
      </c>
      <c r="B140" s="1" t="n">
        <v>45594</v>
      </c>
      <c r="C140" s="1" t="n">
        <v>46070</v>
      </c>
      <c r="D140" t="inlineStr">
        <is>
          <t>VÄSTMANLANDS LÄN</t>
        </is>
      </c>
      <c r="E140" t="inlineStr">
        <is>
          <t>SURAHAMMAR</t>
        </is>
      </c>
      <c r="F140" t="inlineStr">
        <is>
          <t>Sveaskog</t>
        </is>
      </c>
      <c r="G140" t="n">
        <v>11.4</v>
      </c>
      <c r="H140" t="n">
        <v>0</v>
      </c>
      <c r="I140" t="n">
        <v>0</v>
      </c>
      <c r="J140" t="n">
        <v>0</v>
      </c>
      <c r="K140" t="n">
        <v>0</v>
      </c>
      <c r="L140" t="n">
        <v>0</v>
      </c>
      <c r="M140" t="n">
        <v>0</v>
      </c>
      <c r="N140" t="n">
        <v>0</v>
      </c>
      <c r="O140" t="n">
        <v>0</v>
      </c>
      <c r="P140" t="n">
        <v>0</v>
      </c>
      <c r="Q140" t="n">
        <v>0</v>
      </c>
      <c r="R140" s="2" t="inlineStr"/>
    </row>
    <row r="141" ht="15" customHeight="1">
      <c r="A141" t="inlineStr">
        <is>
          <t>A 49060-2024</t>
        </is>
      </c>
      <c r="B141" s="1" t="n">
        <v>45594</v>
      </c>
      <c r="C141" s="1" t="n">
        <v>46070</v>
      </c>
      <c r="D141" t="inlineStr">
        <is>
          <t>VÄSTMANLANDS LÄN</t>
        </is>
      </c>
      <c r="E141" t="inlineStr">
        <is>
          <t>SURAHAMMAR</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34955-2022</t>
        </is>
      </c>
      <c r="B142" s="1" t="n">
        <v>44796</v>
      </c>
      <c r="C142" s="1" t="n">
        <v>46070</v>
      </c>
      <c r="D142" t="inlineStr">
        <is>
          <t>VÄSTMANLANDS LÄN</t>
        </is>
      </c>
      <c r="E142" t="inlineStr">
        <is>
          <t>SURAHAMMAR</t>
        </is>
      </c>
      <c r="F142" t="inlineStr">
        <is>
          <t>Sveaskog</t>
        </is>
      </c>
      <c r="G142" t="n">
        <v>4.6</v>
      </c>
      <c r="H142" t="n">
        <v>0</v>
      </c>
      <c r="I142" t="n">
        <v>0</v>
      </c>
      <c r="J142" t="n">
        <v>0</v>
      </c>
      <c r="K142" t="n">
        <v>0</v>
      </c>
      <c r="L142" t="n">
        <v>0</v>
      </c>
      <c r="M142" t="n">
        <v>0</v>
      </c>
      <c r="N142" t="n">
        <v>0</v>
      </c>
      <c r="O142" t="n">
        <v>0</v>
      </c>
      <c r="P142" t="n">
        <v>0</v>
      </c>
      <c r="Q142" t="n">
        <v>0</v>
      </c>
      <c r="R142" s="2" t="inlineStr"/>
    </row>
    <row r="143" ht="15" customHeight="1">
      <c r="A143" t="inlineStr">
        <is>
          <t>A 20904-2023</t>
        </is>
      </c>
      <c r="B143" s="1" t="n">
        <v>45060</v>
      </c>
      <c r="C143" s="1" t="n">
        <v>46070</v>
      </c>
      <c r="D143" t="inlineStr">
        <is>
          <t>VÄSTMANLANDS LÄN</t>
        </is>
      </c>
      <c r="E143" t="inlineStr">
        <is>
          <t>SURAHAMMAR</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10883-2023</t>
        </is>
      </c>
      <c r="B144" s="1" t="n">
        <v>44991</v>
      </c>
      <c r="C144" s="1" t="n">
        <v>46070</v>
      </c>
      <c r="D144" t="inlineStr">
        <is>
          <t>VÄSTMANLANDS LÄN</t>
        </is>
      </c>
      <c r="E144" t="inlineStr">
        <is>
          <t>SURAHAMMAR</t>
        </is>
      </c>
      <c r="F144" t="inlineStr">
        <is>
          <t>Övriga Aktiebolag</t>
        </is>
      </c>
      <c r="G144" t="n">
        <v>12.5</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46070</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14626-2023</t>
        </is>
      </c>
      <c r="B146" s="1" t="n">
        <v>45012</v>
      </c>
      <c r="C146" s="1" t="n">
        <v>46070</v>
      </c>
      <c r="D146" t="inlineStr">
        <is>
          <t>VÄSTMANLANDS LÄN</t>
        </is>
      </c>
      <c r="E146" t="inlineStr">
        <is>
          <t>SURAHAMMAR</t>
        </is>
      </c>
      <c r="F146" t="inlineStr">
        <is>
          <t>Bergvik skog väst AB</t>
        </is>
      </c>
      <c r="G146" t="n">
        <v>5</v>
      </c>
      <c r="H146" t="n">
        <v>0</v>
      </c>
      <c r="I146" t="n">
        <v>0</v>
      </c>
      <c r="J146" t="n">
        <v>0</v>
      </c>
      <c r="K146" t="n">
        <v>0</v>
      </c>
      <c r="L146" t="n">
        <v>0</v>
      </c>
      <c r="M146" t="n">
        <v>0</v>
      </c>
      <c r="N146" t="n">
        <v>0</v>
      </c>
      <c r="O146" t="n">
        <v>0</v>
      </c>
      <c r="P146" t="n">
        <v>0</v>
      </c>
      <c r="Q146" t="n">
        <v>0</v>
      </c>
      <c r="R146" s="2" t="inlineStr"/>
    </row>
    <row r="147" ht="15" customHeight="1">
      <c r="A147" t="inlineStr">
        <is>
          <t>A 37798-2021</t>
        </is>
      </c>
      <c r="B147" s="1" t="n">
        <v>44402</v>
      </c>
      <c r="C147" s="1" t="n">
        <v>46070</v>
      </c>
      <c r="D147" t="inlineStr">
        <is>
          <t>VÄSTMANLANDS LÄN</t>
        </is>
      </c>
      <c r="E147" t="inlineStr">
        <is>
          <t>SURAHAMMAR</t>
        </is>
      </c>
      <c r="F147" t="inlineStr">
        <is>
          <t>Kommuner</t>
        </is>
      </c>
      <c r="G147" t="n">
        <v>1.2</v>
      </c>
      <c r="H147" t="n">
        <v>0</v>
      </c>
      <c r="I147" t="n">
        <v>0</v>
      </c>
      <c r="J147" t="n">
        <v>0</v>
      </c>
      <c r="K147" t="n">
        <v>0</v>
      </c>
      <c r="L147" t="n">
        <v>0</v>
      </c>
      <c r="M147" t="n">
        <v>0</v>
      </c>
      <c r="N147" t="n">
        <v>0</v>
      </c>
      <c r="O147" t="n">
        <v>0</v>
      </c>
      <c r="P147" t="n">
        <v>0</v>
      </c>
      <c r="Q147" t="n">
        <v>0</v>
      </c>
      <c r="R147" s="2" t="inlineStr"/>
    </row>
    <row r="148" ht="15" customHeight="1">
      <c r="A148" t="inlineStr">
        <is>
          <t>A 25450-2024</t>
        </is>
      </c>
      <c r="B148" s="1" t="n">
        <v>45463</v>
      </c>
      <c r="C148" s="1" t="n">
        <v>46070</v>
      </c>
      <c r="D148" t="inlineStr">
        <is>
          <t>VÄSTMANLANDS LÄN</t>
        </is>
      </c>
      <c r="E148" t="inlineStr">
        <is>
          <t>SURAHAMMAR</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19782-2023</t>
        </is>
      </c>
      <c r="B149" s="1" t="n">
        <v>45050</v>
      </c>
      <c r="C149" s="1" t="n">
        <v>46070</v>
      </c>
      <c r="D149" t="inlineStr">
        <is>
          <t>VÄSTMANLANDS LÄN</t>
        </is>
      </c>
      <c r="E149" t="inlineStr">
        <is>
          <t>SURAHAMMAR</t>
        </is>
      </c>
      <c r="F149" t="inlineStr">
        <is>
          <t>Bergvik skog väst AB</t>
        </is>
      </c>
      <c r="G149" t="n">
        <v>5.2</v>
      </c>
      <c r="H149" t="n">
        <v>0</v>
      </c>
      <c r="I149" t="n">
        <v>0</v>
      </c>
      <c r="J149" t="n">
        <v>0</v>
      </c>
      <c r="K149" t="n">
        <v>0</v>
      </c>
      <c r="L149" t="n">
        <v>0</v>
      </c>
      <c r="M149" t="n">
        <v>0</v>
      </c>
      <c r="N149" t="n">
        <v>0</v>
      </c>
      <c r="O149" t="n">
        <v>0</v>
      </c>
      <c r="P149" t="n">
        <v>0</v>
      </c>
      <c r="Q149" t="n">
        <v>0</v>
      </c>
      <c r="R149" s="2" t="inlineStr"/>
    </row>
    <row r="150" ht="15" customHeight="1">
      <c r="A150" t="inlineStr">
        <is>
          <t>A 7848-2022</t>
        </is>
      </c>
      <c r="B150" s="1" t="n">
        <v>44608.58400462963</v>
      </c>
      <c r="C150" s="1" t="n">
        <v>46070</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24167-2024</t>
        </is>
      </c>
      <c r="B151" s="1" t="n">
        <v>45456</v>
      </c>
      <c r="C151" s="1" t="n">
        <v>46070</v>
      </c>
      <c r="D151" t="inlineStr">
        <is>
          <t>VÄSTMANLANDS LÄN</t>
        </is>
      </c>
      <c r="E151" t="inlineStr">
        <is>
          <t>SURAHAMMAR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56378-2023</t>
        </is>
      </c>
      <c r="B152" s="1" t="n">
        <v>45236</v>
      </c>
      <c r="C152" s="1" t="n">
        <v>46070</v>
      </c>
      <c r="D152" t="inlineStr">
        <is>
          <t>VÄSTMANLANDS LÄN</t>
        </is>
      </c>
      <c r="E152" t="inlineStr">
        <is>
          <t>SURAHAMMAR</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46070</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11501-2023</t>
        </is>
      </c>
      <c r="B154" s="1" t="n">
        <v>44991</v>
      </c>
      <c r="C154" s="1" t="n">
        <v>46070</v>
      </c>
      <c r="D154" t="inlineStr">
        <is>
          <t>VÄSTMANLANDS LÄN</t>
        </is>
      </c>
      <c r="E154" t="inlineStr">
        <is>
          <t>SURAHAMMAR</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3818-2022</t>
        </is>
      </c>
      <c r="B155" s="1" t="n">
        <v>44587</v>
      </c>
      <c r="C155" s="1" t="n">
        <v>46070</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21509-2024</t>
        </is>
      </c>
      <c r="B156" s="1" t="n">
        <v>45441</v>
      </c>
      <c r="C156" s="1" t="n">
        <v>46070</v>
      </c>
      <c r="D156" t="inlineStr">
        <is>
          <t>VÄSTMANLANDS LÄN</t>
        </is>
      </c>
      <c r="E156" t="inlineStr">
        <is>
          <t>SURAHAMMAR</t>
        </is>
      </c>
      <c r="F156" t="inlineStr">
        <is>
          <t>Bergvik skog väst AB</t>
        </is>
      </c>
      <c r="G156" t="n">
        <v>3.9</v>
      </c>
      <c r="H156" t="n">
        <v>0</v>
      </c>
      <c r="I156" t="n">
        <v>0</v>
      </c>
      <c r="J156" t="n">
        <v>0</v>
      </c>
      <c r="K156" t="n">
        <v>0</v>
      </c>
      <c r="L156" t="n">
        <v>0</v>
      </c>
      <c r="M156" t="n">
        <v>0</v>
      </c>
      <c r="N156" t="n">
        <v>0</v>
      </c>
      <c r="O156" t="n">
        <v>0</v>
      </c>
      <c r="P156" t="n">
        <v>0</v>
      </c>
      <c r="Q156" t="n">
        <v>0</v>
      </c>
      <c r="R156" s="2" t="inlineStr"/>
    </row>
    <row r="157" ht="15" customHeight="1">
      <c r="A157" t="inlineStr">
        <is>
          <t>A 22662-2023</t>
        </is>
      </c>
      <c r="B157" s="1" t="n">
        <v>45071</v>
      </c>
      <c r="C157" s="1" t="n">
        <v>46070</v>
      </c>
      <c r="D157" t="inlineStr">
        <is>
          <t>VÄSTMANLANDS LÄN</t>
        </is>
      </c>
      <c r="E157" t="inlineStr">
        <is>
          <t>SURAHAMMAR</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16013-2023</t>
        </is>
      </c>
      <c r="B158" s="1" t="n">
        <v>45026</v>
      </c>
      <c r="C158" s="1" t="n">
        <v>46070</v>
      </c>
      <c r="D158" t="inlineStr">
        <is>
          <t>VÄSTMANLANDS LÄN</t>
        </is>
      </c>
      <c r="E158" t="inlineStr">
        <is>
          <t>SURAHAMMAR</t>
        </is>
      </c>
      <c r="G158" t="n">
        <v>3.9</v>
      </c>
      <c r="H158" t="n">
        <v>0</v>
      </c>
      <c r="I158" t="n">
        <v>0</v>
      </c>
      <c r="J158" t="n">
        <v>0</v>
      </c>
      <c r="K158" t="n">
        <v>0</v>
      </c>
      <c r="L158" t="n">
        <v>0</v>
      </c>
      <c r="M158" t="n">
        <v>0</v>
      </c>
      <c r="N158" t="n">
        <v>0</v>
      </c>
      <c r="O158" t="n">
        <v>0</v>
      </c>
      <c r="P158" t="n">
        <v>0</v>
      </c>
      <c r="Q158" t="n">
        <v>0</v>
      </c>
      <c r="R158" s="2" t="inlineStr"/>
    </row>
    <row r="159" ht="15" customHeight="1">
      <c r="A159" t="inlineStr">
        <is>
          <t>A 41555-2022</t>
        </is>
      </c>
      <c r="B159" s="1" t="n">
        <v>44826</v>
      </c>
      <c r="C159" s="1" t="n">
        <v>46070</v>
      </c>
      <c r="D159" t="inlineStr">
        <is>
          <t>VÄSTMANLANDS LÄN</t>
        </is>
      </c>
      <c r="E159" t="inlineStr">
        <is>
          <t>SURAHAMMAR</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25780-2023</t>
        </is>
      </c>
      <c r="B160" s="1" t="n">
        <v>45090.47523148148</v>
      </c>
      <c r="C160" s="1" t="n">
        <v>46070</v>
      </c>
      <c r="D160" t="inlineStr">
        <is>
          <t>VÄSTMANLANDS LÄN</t>
        </is>
      </c>
      <c r="E160" t="inlineStr">
        <is>
          <t>SURAHAMMAR</t>
        </is>
      </c>
      <c r="G160" t="n">
        <v>2.8</v>
      </c>
      <c r="H160" t="n">
        <v>0</v>
      </c>
      <c r="I160" t="n">
        <v>0</v>
      </c>
      <c r="J160" t="n">
        <v>0</v>
      </c>
      <c r="K160" t="n">
        <v>0</v>
      </c>
      <c r="L160" t="n">
        <v>0</v>
      </c>
      <c r="M160" t="n">
        <v>0</v>
      </c>
      <c r="N160" t="n">
        <v>0</v>
      </c>
      <c r="O160" t="n">
        <v>0</v>
      </c>
      <c r="P160" t="n">
        <v>0</v>
      </c>
      <c r="Q160" t="n">
        <v>0</v>
      </c>
      <c r="R160" s="2" t="inlineStr"/>
    </row>
    <row r="161" ht="15" customHeight="1">
      <c r="A161" t="inlineStr">
        <is>
          <t>A 13386-2025</t>
        </is>
      </c>
      <c r="B161" s="1" t="n">
        <v>45735</v>
      </c>
      <c r="C161" s="1" t="n">
        <v>46070</v>
      </c>
      <c r="D161" t="inlineStr">
        <is>
          <t>VÄSTMANLANDS LÄN</t>
        </is>
      </c>
      <c r="E161" t="inlineStr">
        <is>
          <t>SURAHAMMAR</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c r="A162" t="inlineStr">
        <is>
          <t>A 47785-2021</t>
        </is>
      </c>
      <c r="B162" s="1" t="n">
        <v>44448</v>
      </c>
      <c r="C162" s="1" t="n">
        <v>46070</v>
      </c>
      <c r="D162" t="inlineStr">
        <is>
          <t>VÄSTMANLANDS LÄN</t>
        </is>
      </c>
      <c r="E162" t="inlineStr">
        <is>
          <t>SURAHAMMAR</t>
        </is>
      </c>
      <c r="F162" t="inlineStr">
        <is>
          <t>Kommuner</t>
        </is>
      </c>
      <c r="G162" t="n">
        <v>3.3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2026-02-17T11:44:22Z</dcterms:created>
  <dcterms:modified xmlns:dcterms="http://purl.org/dc/terms/" xmlns:xsi="http://www.w3.org/2001/XMLSchema-instance" xsi:type="dcterms:W3CDTF">2026-02-17T11:44:22Z</dcterms:modified>
</cp:coreProperties>
</file>