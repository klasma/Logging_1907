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46140</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46140</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46140</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46140</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46140</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46140</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46140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46140</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46140</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46140</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46140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46140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46140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46140</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46140</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46140</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46140</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46140</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46140</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46140</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46140</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46140</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46140</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42853-2022</t>
        </is>
      </c>
      <c r="B25" s="1" t="n">
        <v>44832</v>
      </c>
      <c r="C25" s="1" t="n">
        <v>46140</v>
      </c>
      <c r="D25" t="inlineStr">
        <is>
          <t>VÄSTMANLANDS LÄN</t>
        </is>
      </c>
      <c r="E25" t="inlineStr">
        <is>
          <t>SURAHAMMAR</t>
        </is>
      </c>
      <c r="G25" t="n">
        <v>7.4</v>
      </c>
      <c r="H25" t="n">
        <v>2</v>
      </c>
      <c r="I25" t="n">
        <v>1</v>
      </c>
      <c r="J25" t="n">
        <v>2</v>
      </c>
      <c r="K25" t="n">
        <v>0</v>
      </c>
      <c r="L25" t="n">
        <v>1</v>
      </c>
      <c r="M25" t="n">
        <v>0</v>
      </c>
      <c r="N25" t="n">
        <v>0</v>
      </c>
      <c r="O25" t="n">
        <v>3</v>
      </c>
      <c r="P25" t="n">
        <v>1</v>
      </c>
      <c r="Q25" t="n">
        <v>4</v>
      </c>
      <c r="R25" s="2" t="inlineStr">
        <is>
          <t>Ask
Kandelabersvamp
Mindre hackspett
Tvåblad</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c r="Z25">
        <f>HYPERLINK("https://klasma.github.io/Logging_1907/fåglar/A 42853-2022 prioriterade fågelarter.docx", "A 42853-2022")</f>
        <v/>
      </c>
    </row>
    <row r="26" ht="15" customHeight="1">
      <c r="A26" t="inlineStr">
        <is>
          <t>A 10236-2026</t>
        </is>
      </c>
      <c r="B26" s="1" t="n">
        <v>46076.54277777778</v>
      </c>
      <c r="C26" s="1" t="n">
        <v>46140</v>
      </c>
      <c r="D26" t="inlineStr">
        <is>
          <t>VÄSTMANLANDS LÄN</t>
        </is>
      </c>
      <c r="E26" t="inlineStr">
        <is>
          <t>SURAHAMMAR</t>
        </is>
      </c>
      <c r="F26" t="inlineStr">
        <is>
          <t>Allmännings- och besparingsskogar</t>
        </is>
      </c>
      <c r="G26" t="n">
        <v>2.8</v>
      </c>
      <c r="H26" t="n">
        <v>2</v>
      </c>
      <c r="I26" t="n">
        <v>1</v>
      </c>
      <c r="J26" t="n">
        <v>0</v>
      </c>
      <c r="K26" t="n">
        <v>1</v>
      </c>
      <c r="L26" t="n">
        <v>0</v>
      </c>
      <c r="M26" t="n">
        <v>0</v>
      </c>
      <c r="N26" t="n">
        <v>0</v>
      </c>
      <c r="O26" t="n">
        <v>1</v>
      </c>
      <c r="P26" t="n">
        <v>1</v>
      </c>
      <c r="Q26" t="n">
        <v>4</v>
      </c>
      <c r="R26" s="2" t="inlineStr">
        <is>
          <t>Vågticka
Brandticka
Lopplummer (aggregat)
Revlummer</t>
        </is>
      </c>
      <c r="S26">
        <f>HYPERLINK("https://klasma.github.io/Logging_1907/artfynd/A 10236-2026 artfynd.xlsx", "A 10236-2026")</f>
        <v/>
      </c>
      <c r="T26">
        <f>HYPERLINK("https://klasma.github.io/Logging_1907/kartor/A 10236-2026 karta.png", "A 10236-2026")</f>
        <v/>
      </c>
      <c r="V26">
        <f>HYPERLINK("https://klasma.github.io/Logging_1907/klagomål/A 10236-2026 FSC-klagomål.docx", "A 10236-2026")</f>
        <v/>
      </c>
      <c r="W26">
        <f>HYPERLINK("https://klasma.github.io/Logging_1907/klagomålsmail/A 10236-2026 FSC-klagomål mail.docx", "A 10236-2026")</f>
        <v/>
      </c>
      <c r="X26">
        <f>HYPERLINK("https://klasma.github.io/Logging_1907/tillsyn/A 10236-2026 tillsynsbegäran.docx", "A 10236-2026")</f>
        <v/>
      </c>
      <c r="Y26">
        <f>HYPERLINK("https://klasma.github.io/Logging_1907/tillsynsmail/A 10236-2026 tillsynsbegäran mail.docx", "A 10236-2026")</f>
        <v/>
      </c>
    </row>
    <row r="27" ht="15" customHeight="1">
      <c r="A27" t="inlineStr">
        <is>
          <t>A 21716-2025</t>
        </is>
      </c>
      <c r="B27" s="1" t="n">
        <v>45783.54804398148</v>
      </c>
      <c r="C27" s="1" t="n">
        <v>46140</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46140</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65024-2023</t>
        </is>
      </c>
      <c r="B29" s="1" t="n">
        <v>45282</v>
      </c>
      <c r="C29" s="1" t="n">
        <v>46140</v>
      </c>
      <c r="D29" t="inlineStr">
        <is>
          <t>VÄSTMANLANDS LÄN</t>
        </is>
      </c>
      <c r="E29" t="inlineStr">
        <is>
          <t>SURAHAMMAR</t>
        </is>
      </c>
      <c r="F29" t="inlineStr">
        <is>
          <t>Bergvik skog väst AB</t>
        </is>
      </c>
      <c r="G29" t="n">
        <v>14.9</v>
      </c>
      <c r="H29" t="n">
        <v>2</v>
      </c>
      <c r="I29" t="n">
        <v>1</v>
      </c>
      <c r="J29" t="n">
        <v>3</v>
      </c>
      <c r="K29" t="n">
        <v>0</v>
      </c>
      <c r="L29" t="n">
        <v>0</v>
      </c>
      <c r="M29" t="n">
        <v>0</v>
      </c>
      <c r="N29" t="n">
        <v>0</v>
      </c>
      <c r="O29" t="n">
        <v>3</v>
      </c>
      <c r="P29" t="n">
        <v>0</v>
      </c>
      <c r="Q29" t="n">
        <v>4</v>
      </c>
      <c r="R29" s="2" t="inlineStr">
        <is>
          <t>Gropticka
Spillkråka
Talltita
Blodticka</t>
        </is>
      </c>
      <c r="S29">
        <f>HYPERLINK("https://klasma.github.io/Logging_1907/artfynd/A 65024-2023 artfynd.xlsx", "A 65024-2023")</f>
        <v/>
      </c>
      <c r="T29">
        <f>HYPERLINK("https://klasma.github.io/Logging_1907/kartor/A 65024-2023 karta.png", "A 65024-2023")</f>
        <v/>
      </c>
      <c r="V29">
        <f>HYPERLINK("https://klasma.github.io/Logging_1907/klagomål/A 65024-2023 FSC-klagomål.docx", "A 65024-2023")</f>
        <v/>
      </c>
      <c r="W29">
        <f>HYPERLINK("https://klasma.github.io/Logging_1907/klagomålsmail/A 65024-2023 FSC-klagomål mail.docx", "A 65024-2023")</f>
        <v/>
      </c>
      <c r="X29">
        <f>HYPERLINK("https://klasma.github.io/Logging_1907/tillsyn/A 65024-2023 tillsynsbegäran.docx", "A 65024-2023")</f>
        <v/>
      </c>
      <c r="Y29">
        <f>HYPERLINK("https://klasma.github.io/Logging_1907/tillsynsmail/A 65024-2023 tillsynsbegäran mail.docx", "A 65024-2023")</f>
        <v/>
      </c>
      <c r="Z29">
        <f>HYPERLINK("https://klasma.github.io/Logging_1907/fåglar/A 65024-2023 prioriterade fågelarter.docx", "A 65024-2023")</f>
        <v/>
      </c>
    </row>
    <row r="30" ht="15" customHeight="1">
      <c r="A30" t="inlineStr">
        <is>
          <t>A 42860-2022</t>
        </is>
      </c>
      <c r="B30" s="1" t="n">
        <v>44832</v>
      </c>
      <c r="C30" s="1" t="n">
        <v>46140</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46140</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46140</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46140</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46140</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39694-2025</t>
        </is>
      </c>
      <c r="B35" s="1" t="n">
        <v>45890</v>
      </c>
      <c r="C35" s="1" t="n">
        <v>46140</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8552-2022</t>
        </is>
      </c>
      <c r="B36" s="1" t="n">
        <v>44613</v>
      </c>
      <c r="C36" s="1" t="n">
        <v>46140</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4082-2025</t>
        </is>
      </c>
      <c r="B37" s="1" t="n">
        <v>45684</v>
      </c>
      <c r="C37" s="1" t="n">
        <v>46140</v>
      </c>
      <c r="D37" t="inlineStr">
        <is>
          <t>VÄSTMANLANDS LÄN</t>
        </is>
      </c>
      <c r="E37" t="inlineStr">
        <is>
          <t>SURAHAMMAR</t>
        </is>
      </c>
      <c r="F37" t="inlineStr">
        <is>
          <t>Bergvik skog väst AB</t>
        </is>
      </c>
      <c r="G37" t="n">
        <v>11.6</v>
      </c>
      <c r="H37" t="n">
        <v>2</v>
      </c>
      <c r="I37" t="n">
        <v>2</v>
      </c>
      <c r="J37" t="n">
        <v>0</v>
      </c>
      <c r="K37" t="n">
        <v>0</v>
      </c>
      <c r="L37" t="n">
        <v>0</v>
      </c>
      <c r="M37" t="n">
        <v>0</v>
      </c>
      <c r="N37" t="n">
        <v>0</v>
      </c>
      <c r="O37" t="n">
        <v>0</v>
      </c>
      <c r="P37" t="n">
        <v>0</v>
      </c>
      <c r="Q37" t="n">
        <v>3</v>
      </c>
      <c r="R37" s="2" t="inlineStr">
        <is>
          <t>Grönpyrola
Plattlummer
Lopplummer (aggregat)</t>
        </is>
      </c>
      <c r="S37">
        <f>HYPERLINK("https://klasma.github.io/Logging_1907/artfynd/A 4082-2025 artfynd.xlsx", "A 4082-2025")</f>
        <v/>
      </c>
      <c r="T37">
        <f>HYPERLINK("https://klasma.github.io/Logging_1907/kartor/A 4082-2025 karta.png", "A 4082-2025")</f>
        <v/>
      </c>
      <c r="V37">
        <f>HYPERLINK("https://klasma.github.io/Logging_1907/klagomål/A 4082-2025 FSC-klagomål.docx", "A 4082-2025")</f>
        <v/>
      </c>
      <c r="W37">
        <f>HYPERLINK("https://klasma.github.io/Logging_1907/klagomålsmail/A 4082-2025 FSC-klagomål mail.docx", "A 4082-2025")</f>
        <v/>
      </c>
      <c r="X37">
        <f>HYPERLINK("https://klasma.github.io/Logging_1907/tillsyn/A 4082-2025 tillsynsbegäran.docx", "A 4082-2025")</f>
        <v/>
      </c>
      <c r="Y37">
        <f>HYPERLINK("https://klasma.github.io/Logging_1907/tillsynsmail/A 4082-2025 tillsynsbegäran mail.docx", "A 4082-2025")</f>
        <v/>
      </c>
    </row>
    <row r="38" ht="15" customHeight="1">
      <c r="A38" t="inlineStr">
        <is>
          <t>A 42708-2022</t>
        </is>
      </c>
      <c r="B38" s="1" t="n">
        <v>44832</v>
      </c>
      <c r="C38" s="1" t="n">
        <v>46140</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29707-2025</t>
        </is>
      </c>
      <c r="B39" s="1" t="n">
        <v>45825.56100694444</v>
      </c>
      <c r="C39" s="1" t="n">
        <v>46140</v>
      </c>
      <c r="D39" t="inlineStr">
        <is>
          <t>VÄSTMANLANDS LÄN</t>
        </is>
      </c>
      <c r="E39" t="inlineStr">
        <is>
          <t>SURAHAMMAR</t>
        </is>
      </c>
      <c r="F39" t="inlineStr">
        <is>
          <t>Bergvik skog väst AB</t>
        </is>
      </c>
      <c r="G39" t="n">
        <v>5.1</v>
      </c>
      <c r="H39" t="n">
        <v>0</v>
      </c>
      <c r="I39" t="n">
        <v>1</v>
      </c>
      <c r="J39" t="n">
        <v>1</v>
      </c>
      <c r="K39" t="n">
        <v>0</v>
      </c>
      <c r="L39" t="n">
        <v>0</v>
      </c>
      <c r="M39" t="n">
        <v>1</v>
      </c>
      <c r="N39" t="n">
        <v>0</v>
      </c>
      <c r="O39" t="n">
        <v>2</v>
      </c>
      <c r="P39" t="n">
        <v>1</v>
      </c>
      <c r="Q39" t="n">
        <v>3</v>
      </c>
      <c r="R39" s="2" t="inlineStr">
        <is>
          <t>Skogsalm
Veckticka
Rävticka</t>
        </is>
      </c>
      <c r="S39">
        <f>HYPERLINK("https://klasma.github.io/Logging_1907/artfynd/A 29707-2025 artfynd.xlsx", "A 29707-2025")</f>
        <v/>
      </c>
      <c r="T39">
        <f>HYPERLINK("https://klasma.github.io/Logging_1907/kartor/A 29707-2025 karta.png", "A 29707-2025")</f>
        <v/>
      </c>
      <c r="V39">
        <f>HYPERLINK("https://klasma.github.io/Logging_1907/klagomål/A 29707-2025 FSC-klagomål.docx", "A 29707-2025")</f>
        <v/>
      </c>
      <c r="W39">
        <f>HYPERLINK("https://klasma.github.io/Logging_1907/klagomålsmail/A 29707-2025 FSC-klagomål mail.docx", "A 29707-2025")</f>
        <v/>
      </c>
      <c r="X39">
        <f>HYPERLINK("https://klasma.github.io/Logging_1907/tillsyn/A 29707-2025 tillsynsbegäran.docx", "A 29707-2025")</f>
        <v/>
      </c>
      <c r="Y39">
        <f>HYPERLINK("https://klasma.github.io/Logging_1907/tillsynsmail/A 29707-2025 tillsynsbegäran mail.docx", "A 29707-2025")</f>
        <v/>
      </c>
    </row>
    <row r="40" ht="15" customHeight="1">
      <c r="A40" t="inlineStr">
        <is>
          <t>A 37801-2021</t>
        </is>
      </c>
      <c r="B40" s="1" t="n">
        <v>44402</v>
      </c>
      <c r="C40" s="1" t="n">
        <v>46140</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46140</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40403-2025</t>
        </is>
      </c>
      <c r="B42" s="1" t="n">
        <v>45895</v>
      </c>
      <c r="C42" s="1" t="n">
        <v>46140</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62097-2024</t>
        </is>
      </c>
      <c r="B43" s="1" t="n">
        <v>45646</v>
      </c>
      <c r="C43" s="1" t="n">
        <v>46140</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46140</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46140</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41576-2022</t>
        </is>
      </c>
      <c r="B46" s="1" t="n">
        <v>44826</v>
      </c>
      <c r="C46" s="1" t="n">
        <v>46140</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37800-2021</t>
        </is>
      </c>
      <c r="B47" s="1" t="n">
        <v>44402</v>
      </c>
      <c r="C47" s="1" t="n">
        <v>46140</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46140</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46140</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46140</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46140</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46140</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46140</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69777-2021</t>
        </is>
      </c>
      <c r="B54" s="1" t="n">
        <v>44532</v>
      </c>
      <c r="C54" s="1" t="n">
        <v>46140</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46140</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46140</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10819-2024</t>
        </is>
      </c>
      <c r="B57" s="1" t="n">
        <v>45369.66049768519</v>
      </c>
      <c r="C57" s="1" t="n">
        <v>46140</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34582-2025</t>
        </is>
      </c>
      <c r="B58" s="1" t="n">
        <v>45846</v>
      </c>
      <c r="C58" s="1" t="n">
        <v>46140</v>
      </c>
      <c r="D58" t="inlineStr">
        <is>
          <t>VÄSTMANLANDS LÄN</t>
        </is>
      </c>
      <c r="E58" t="inlineStr">
        <is>
          <t>SURAHAMMAR</t>
        </is>
      </c>
      <c r="F58" t="inlineStr">
        <is>
          <t>Bergvik skog väst AB</t>
        </is>
      </c>
      <c r="G58" t="n">
        <v>2.6</v>
      </c>
      <c r="H58" t="n">
        <v>1</v>
      </c>
      <c r="I58" t="n">
        <v>0</v>
      </c>
      <c r="J58" t="n">
        <v>1</v>
      </c>
      <c r="K58" t="n">
        <v>0</v>
      </c>
      <c r="L58" t="n">
        <v>0</v>
      </c>
      <c r="M58" t="n">
        <v>0</v>
      </c>
      <c r="N58" t="n">
        <v>0</v>
      </c>
      <c r="O58" t="n">
        <v>1</v>
      </c>
      <c r="P58" t="n">
        <v>0</v>
      </c>
      <c r="Q58" t="n">
        <v>1</v>
      </c>
      <c r="R58" s="2" t="inlineStr">
        <is>
          <t>Järpe</t>
        </is>
      </c>
      <c r="S58">
        <f>HYPERLINK("https://klasma.github.io/Logging_1907/artfynd/A 34582-2025 artfynd.xlsx", "A 34582-2025")</f>
        <v/>
      </c>
      <c r="T58">
        <f>HYPERLINK("https://klasma.github.io/Logging_1907/kartor/A 34582-2025 karta.png", "A 34582-2025")</f>
        <v/>
      </c>
      <c r="V58">
        <f>HYPERLINK("https://klasma.github.io/Logging_1907/klagomål/A 34582-2025 FSC-klagomål.docx", "A 34582-2025")</f>
        <v/>
      </c>
      <c r="W58">
        <f>HYPERLINK("https://klasma.github.io/Logging_1907/klagomålsmail/A 34582-2025 FSC-klagomål mail.docx", "A 34582-2025")</f>
        <v/>
      </c>
      <c r="X58">
        <f>HYPERLINK("https://klasma.github.io/Logging_1907/tillsyn/A 34582-2025 tillsynsbegäran.docx", "A 34582-2025")</f>
        <v/>
      </c>
      <c r="Y58">
        <f>HYPERLINK("https://klasma.github.io/Logging_1907/tillsynsmail/A 34582-2025 tillsynsbegäran mail.docx", "A 34582-2025")</f>
        <v/>
      </c>
      <c r="Z58">
        <f>HYPERLINK("https://klasma.github.io/Logging_1907/fåglar/A 34582-2025 prioriterade fågelarter.docx", "A 34582-2025")</f>
        <v/>
      </c>
    </row>
    <row r="59" ht="15" customHeight="1">
      <c r="A59" t="inlineStr">
        <is>
          <t>A 42089-2025</t>
        </is>
      </c>
      <c r="B59" s="1" t="n">
        <v>45902</v>
      </c>
      <c r="C59" s="1" t="n">
        <v>46140</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40411-2021</t>
        </is>
      </c>
      <c r="B60" s="1" t="n">
        <v>44419</v>
      </c>
      <c r="C60" s="1" t="n">
        <v>46140</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46140</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46140</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46140</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25583-2024</t>
        </is>
      </c>
      <c r="B64" s="1" t="n">
        <v>45463</v>
      </c>
      <c r="C64" s="1" t="n">
        <v>46140</v>
      </c>
      <c r="D64" t="inlineStr">
        <is>
          <t>VÄSTMANLANDS LÄN</t>
        </is>
      </c>
      <c r="E64" t="inlineStr">
        <is>
          <t>SURAHAMMAR</t>
        </is>
      </c>
      <c r="F64" t="inlineStr">
        <is>
          <t>Bergvik skog väst AB</t>
        </is>
      </c>
      <c r="G64" t="n">
        <v>7.8</v>
      </c>
      <c r="H64" t="n">
        <v>1</v>
      </c>
      <c r="I64" t="n">
        <v>0</v>
      </c>
      <c r="J64" t="n">
        <v>0</v>
      </c>
      <c r="K64" t="n">
        <v>0</v>
      </c>
      <c r="L64" t="n">
        <v>0</v>
      </c>
      <c r="M64" t="n">
        <v>0</v>
      </c>
      <c r="N64" t="n">
        <v>0</v>
      </c>
      <c r="O64" t="n">
        <v>0</v>
      </c>
      <c r="P64" t="n">
        <v>0</v>
      </c>
      <c r="Q64" t="n">
        <v>1</v>
      </c>
      <c r="R64" s="2" t="inlineStr">
        <is>
          <t>Blåsippa</t>
        </is>
      </c>
      <c r="S64">
        <f>HYPERLINK("https://klasma.github.io/Logging_1907/artfynd/A 25583-2024 artfynd.xlsx", "A 25583-2024")</f>
        <v/>
      </c>
      <c r="T64">
        <f>HYPERLINK("https://klasma.github.io/Logging_1907/kartor/A 25583-2024 karta.png", "A 25583-2024")</f>
        <v/>
      </c>
      <c r="V64">
        <f>HYPERLINK("https://klasma.github.io/Logging_1907/klagomål/A 25583-2024 FSC-klagomål.docx", "A 25583-2024")</f>
        <v/>
      </c>
      <c r="W64">
        <f>HYPERLINK("https://klasma.github.io/Logging_1907/klagomålsmail/A 25583-2024 FSC-klagomål mail.docx", "A 25583-2024")</f>
        <v/>
      </c>
      <c r="X64">
        <f>HYPERLINK("https://klasma.github.io/Logging_1907/tillsyn/A 25583-2024 tillsynsbegäran.docx", "A 25583-2024")</f>
        <v/>
      </c>
      <c r="Y64">
        <f>HYPERLINK("https://klasma.github.io/Logging_1907/tillsynsmail/A 25583-2024 tillsynsbegäran mail.docx", "A 25583-2024")</f>
        <v/>
      </c>
    </row>
    <row r="65" ht="15" customHeight="1">
      <c r="A65" t="inlineStr">
        <is>
          <t>A 55042-2025</t>
        </is>
      </c>
      <c r="B65" s="1" t="n">
        <v>45967.65858796296</v>
      </c>
      <c r="C65" s="1" t="n">
        <v>46140</v>
      </c>
      <c r="D65" t="inlineStr">
        <is>
          <t>VÄSTMANLANDS LÄN</t>
        </is>
      </c>
      <c r="E65" t="inlineStr">
        <is>
          <t>SURAHAMMAR</t>
        </is>
      </c>
      <c r="F65" t="inlineStr">
        <is>
          <t>Sveaskog</t>
        </is>
      </c>
      <c r="G65" t="n">
        <v>7.2</v>
      </c>
      <c r="H65" t="n">
        <v>0</v>
      </c>
      <c r="I65" t="n">
        <v>0</v>
      </c>
      <c r="J65" t="n">
        <v>1</v>
      </c>
      <c r="K65" t="n">
        <v>0</v>
      </c>
      <c r="L65" t="n">
        <v>0</v>
      </c>
      <c r="M65" t="n">
        <v>0</v>
      </c>
      <c r="N65" t="n">
        <v>0</v>
      </c>
      <c r="O65" t="n">
        <v>1</v>
      </c>
      <c r="P65" t="n">
        <v>0</v>
      </c>
      <c r="Q65" t="n">
        <v>1</v>
      </c>
      <c r="R65" s="2" t="inlineStr">
        <is>
          <t>Motaggsvamp</t>
        </is>
      </c>
      <c r="S65">
        <f>HYPERLINK("https://klasma.github.io/Logging_1907/artfynd/A 55042-2025 artfynd.xlsx", "A 55042-2025")</f>
        <v/>
      </c>
      <c r="T65">
        <f>HYPERLINK("https://klasma.github.io/Logging_1907/kartor/A 55042-2025 karta.png", "A 55042-2025")</f>
        <v/>
      </c>
      <c r="V65">
        <f>HYPERLINK("https://klasma.github.io/Logging_1907/klagomål/A 55042-2025 FSC-klagomål.docx", "A 55042-2025")</f>
        <v/>
      </c>
      <c r="W65">
        <f>HYPERLINK("https://klasma.github.io/Logging_1907/klagomålsmail/A 55042-2025 FSC-klagomål mail.docx", "A 55042-2025")</f>
        <v/>
      </c>
      <c r="X65">
        <f>HYPERLINK("https://klasma.github.io/Logging_1907/tillsyn/A 55042-2025 tillsynsbegäran.docx", "A 55042-2025")</f>
        <v/>
      </c>
      <c r="Y65">
        <f>HYPERLINK("https://klasma.github.io/Logging_1907/tillsynsmail/A 55042-2025 tillsynsbegäran mail.docx", "A 55042-2025")</f>
        <v/>
      </c>
    </row>
    <row r="66" ht="15" customHeight="1">
      <c r="A66" t="inlineStr">
        <is>
          <t>A 55871-2025</t>
        </is>
      </c>
      <c r="B66" s="1" t="n">
        <v>45973.35452546296</v>
      </c>
      <c r="C66" s="1" t="n">
        <v>46140</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56768-2025</t>
        </is>
      </c>
      <c r="B67" s="1" t="n">
        <v>45978</v>
      </c>
      <c r="C67" s="1" t="n">
        <v>46140</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13971-2023</t>
        </is>
      </c>
      <c r="B68" s="1" t="n">
        <v>45007</v>
      </c>
      <c r="C68" s="1" t="n">
        <v>46140</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42765-2022</t>
        </is>
      </c>
      <c r="B69" s="1" t="n">
        <v>44832</v>
      </c>
      <c r="C69" s="1" t="n">
        <v>46140</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44356-2024</t>
        </is>
      </c>
      <c r="B70" s="1" t="n">
        <v>45573</v>
      </c>
      <c r="C70" s="1" t="n">
        <v>46140</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63145-2025</t>
        </is>
      </c>
      <c r="B71" s="1" t="n">
        <v>46009</v>
      </c>
      <c r="C71" s="1" t="n">
        <v>46140</v>
      </c>
      <c r="D71" t="inlineStr">
        <is>
          <t>VÄSTMANLANDS LÄN</t>
        </is>
      </c>
      <c r="E71" t="inlineStr">
        <is>
          <t>SURAHAMMAR</t>
        </is>
      </c>
      <c r="F71" t="inlineStr">
        <is>
          <t>Bergvik skog väst AB</t>
        </is>
      </c>
      <c r="G71" t="n">
        <v>40.5</v>
      </c>
      <c r="H71" t="n">
        <v>0</v>
      </c>
      <c r="I71" t="n">
        <v>1</v>
      </c>
      <c r="J71" t="n">
        <v>0</v>
      </c>
      <c r="K71" t="n">
        <v>0</v>
      </c>
      <c r="L71" t="n">
        <v>0</v>
      </c>
      <c r="M71" t="n">
        <v>0</v>
      </c>
      <c r="N71" t="n">
        <v>0</v>
      </c>
      <c r="O71" t="n">
        <v>0</v>
      </c>
      <c r="P71" t="n">
        <v>0</v>
      </c>
      <c r="Q71" t="n">
        <v>1</v>
      </c>
      <c r="R71" s="2" t="inlineStr">
        <is>
          <t>Svart trolldruva</t>
        </is>
      </c>
      <c r="S71">
        <f>HYPERLINK("https://klasma.github.io/Logging_1907/artfynd/A 63145-2025 artfynd.xlsx", "A 63145-2025")</f>
        <v/>
      </c>
      <c r="T71">
        <f>HYPERLINK("https://klasma.github.io/Logging_1907/kartor/A 63145-2025 karta.png", "A 63145-2025")</f>
        <v/>
      </c>
      <c r="V71">
        <f>HYPERLINK("https://klasma.github.io/Logging_1907/klagomål/A 63145-2025 FSC-klagomål.docx", "A 63145-2025")</f>
        <v/>
      </c>
      <c r="W71">
        <f>HYPERLINK("https://klasma.github.io/Logging_1907/klagomålsmail/A 63145-2025 FSC-klagomål mail.docx", "A 63145-2025")</f>
        <v/>
      </c>
      <c r="X71">
        <f>HYPERLINK("https://klasma.github.io/Logging_1907/tillsyn/A 63145-2025 tillsynsbegäran.docx", "A 63145-2025")</f>
        <v/>
      </c>
      <c r="Y71">
        <f>HYPERLINK("https://klasma.github.io/Logging_1907/tillsynsmail/A 63145-2025 tillsynsbegäran mail.docx", "A 63145-2025")</f>
        <v/>
      </c>
    </row>
    <row r="72" ht="15" customHeight="1">
      <c r="A72" t="inlineStr">
        <is>
          <t>A 17632-2022</t>
        </is>
      </c>
      <c r="B72" s="1" t="n">
        <v>44680</v>
      </c>
      <c r="C72" s="1" t="n">
        <v>46140</v>
      </c>
      <c r="D72" t="inlineStr">
        <is>
          <t>VÄSTMANLANDS LÄN</t>
        </is>
      </c>
      <c r="E72" t="inlineStr">
        <is>
          <t>SURAHAMMAR</t>
        </is>
      </c>
      <c r="G72" t="n">
        <v>5.2</v>
      </c>
      <c r="H72" t="n">
        <v>0</v>
      </c>
      <c r="I72" t="n">
        <v>1</v>
      </c>
      <c r="J72" t="n">
        <v>0</v>
      </c>
      <c r="K72" t="n">
        <v>0</v>
      </c>
      <c r="L72" t="n">
        <v>0</v>
      </c>
      <c r="M72" t="n">
        <v>0</v>
      </c>
      <c r="N72" t="n">
        <v>0</v>
      </c>
      <c r="O72" t="n">
        <v>0</v>
      </c>
      <c r="P72" t="n">
        <v>0</v>
      </c>
      <c r="Q72" t="n">
        <v>1</v>
      </c>
      <c r="R72" s="2" t="inlineStr">
        <is>
          <t>Blodticka</t>
        </is>
      </c>
      <c r="S72">
        <f>HYPERLINK("https://klasma.github.io/Logging_1907/artfynd/A 17632-2022 artfynd.xlsx", "A 17632-2022")</f>
        <v/>
      </c>
      <c r="T72">
        <f>HYPERLINK("https://klasma.github.io/Logging_1907/kartor/A 17632-2022 karta.png", "A 17632-2022")</f>
        <v/>
      </c>
      <c r="V72">
        <f>HYPERLINK("https://klasma.github.io/Logging_1907/klagomål/A 17632-2022 FSC-klagomål.docx", "A 17632-2022")</f>
        <v/>
      </c>
      <c r="W72">
        <f>HYPERLINK("https://klasma.github.io/Logging_1907/klagomålsmail/A 17632-2022 FSC-klagomål mail.docx", "A 17632-2022")</f>
        <v/>
      </c>
      <c r="X72">
        <f>HYPERLINK("https://klasma.github.io/Logging_1907/tillsyn/A 17632-2022 tillsynsbegäran.docx", "A 17632-2022")</f>
        <v/>
      </c>
      <c r="Y72">
        <f>HYPERLINK("https://klasma.github.io/Logging_1907/tillsynsmail/A 17632-2022 tillsynsbegäran mail.docx", "A 17632-2022")</f>
        <v/>
      </c>
    </row>
    <row r="73" ht="15" customHeight="1">
      <c r="A73" t="inlineStr">
        <is>
          <t>A 22840-2023</t>
        </is>
      </c>
      <c r="B73" s="1" t="n">
        <v>45072</v>
      </c>
      <c r="C73" s="1" t="n">
        <v>46140</v>
      </c>
      <c r="D73" t="inlineStr">
        <is>
          <t>VÄSTMANLANDS LÄN</t>
        </is>
      </c>
      <c r="E73" t="inlineStr">
        <is>
          <t>SURAHAMMAR</t>
        </is>
      </c>
      <c r="G73" t="n">
        <v>4.3</v>
      </c>
      <c r="H73" t="n">
        <v>1</v>
      </c>
      <c r="I73" t="n">
        <v>0</v>
      </c>
      <c r="J73" t="n">
        <v>0</v>
      </c>
      <c r="K73" t="n">
        <v>0</v>
      </c>
      <c r="L73" t="n">
        <v>0</v>
      </c>
      <c r="M73" t="n">
        <v>0</v>
      </c>
      <c r="N73" t="n">
        <v>0</v>
      </c>
      <c r="O73" t="n">
        <v>0</v>
      </c>
      <c r="P73" t="n">
        <v>0</v>
      </c>
      <c r="Q73" t="n">
        <v>1</v>
      </c>
      <c r="R73" s="2" t="inlineStr">
        <is>
          <t>Fläcknycklar</t>
        </is>
      </c>
      <c r="S73">
        <f>HYPERLINK("https://klasma.github.io/Logging_1907/artfynd/A 22840-2023 artfynd.xlsx", "A 22840-2023")</f>
        <v/>
      </c>
      <c r="T73">
        <f>HYPERLINK("https://klasma.github.io/Logging_1907/kartor/A 22840-2023 karta.png", "A 22840-2023")</f>
        <v/>
      </c>
      <c r="V73">
        <f>HYPERLINK("https://klasma.github.io/Logging_1907/klagomål/A 22840-2023 FSC-klagomål.docx", "A 22840-2023")</f>
        <v/>
      </c>
      <c r="W73">
        <f>HYPERLINK("https://klasma.github.io/Logging_1907/klagomålsmail/A 22840-2023 FSC-klagomål mail.docx", "A 22840-2023")</f>
        <v/>
      </c>
      <c r="X73">
        <f>HYPERLINK("https://klasma.github.io/Logging_1907/tillsyn/A 22840-2023 tillsynsbegäran.docx", "A 22840-2023")</f>
        <v/>
      </c>
      <c r="Y73">
        <f>HYPERLINK("https://klasma.github.io/Logging_1907/tillsynsmail/A 22840-2023 tillsynsbegäran mail.docx", "A 22840-2023")</f>
        <v/>
      </c>
    </row>
    <row r="74" ht="15" customHeight="1">
      <c r="A74" t="inlineStr">
        <is>
          <t>A 43451-2024</t>
        </is>
      </c>
      <c r="B74" s="1" t="n">
        <v>45568</v>
      </c>
      <c r="C74" s="1" t="n">
        <v>46140</v>
      </c>
      <c r="D74" t="inlineStr">
        <is>
          <t>VÄSTMANLANDS LÄN</t>
        </is>
      </c>
      <c r="E74" t="inlineStr">
        <is>
          <t>SURAHAMMAR</t>
        </is>
      </c>
      <c r="F74" t="inlineStr">
        <is>
          <t>Bergvik skog väst AB</t>
        </is>
      </c>
      <c r="G74" t="n">
        <v>2.9</v>
      </c>
      <c r="H74" t="n">
        <v>0</v>
      </c>
      <c r="I74" t="n">
        <v>0</v>
      </c>
      <c r="J74" t="n">
        <v>1</v>
      </c>
      <c r="K74" t="n">
        <v>0</v>
      </c>
      <c r="L74" t="n">
        <v>0</v>
      </c>
      <c r="M74" t="n">
        <v>0</v>
      </c>
      <c r="N74" t="n">
        <v>0</v>
      </c>
      <c r="O74" t="n">
        <v>1</v>
      </c>
      <c r="P74" t="n">
        <v>0</v>
      </c>
      <c r="Q74" t="n">
        <v>1</v>
      </c>
      <c r="R74" s="2" t="inlineStr">
        <is>
          <t>Ullticka</t>
        </is>
      </c>
      <c r="S74">
        <f>HYPERLINK("https://klasma.github.io/Logging_1907/artfynd/A 43451-2024 artfynd.xlsx", "A 43451-2024")</f>
        <v/>
      </c>
      <c r="T74">
        <f>HYPERLINK("https://klasma.github.io/Logging_1907/kartor/A 43451-2024 karta.png", "A 43451-2024")</f>
        <v/>
      </c>
      <c r="V74">
        <f>HYPERLINK("https://klasma.github.io/Logging_1907/klagomål/A 43451-2024 FSC-klagomål.docx", "A 43451-2024")</f>
        <v/>
      </c>
      <c r="W74">
        <f>HYPERLINK("https://klasma.github.io/Logging_1907/klagomålsmail/A 43451-2024 FSC-klagomål mail.docx", "A 43451-2024")</f>
        <v/>
      </c>
      <c r="X74">
        <f>HYPERLINK("https://klasma.github.io/Logging_1907/tillsyn/A 43451-2024 tillsynsbegäran.docx", "A 43451-2024")</f>
        <v/>
      </c>
      <c r="Y74">
        <f>HYPERLINK("https://klasma.github.io/Logging_1907/tillsynsmail/A 43451-2024 tillsynsbegäran mail.docx", "A 43451-2024")</f>
        <v/>
      </c>
    </row>
    <row r="75" ht="15" customHeight="1">
      <c r="A75" t="inlineStr">
        <is>
          <t>A 13788-2025</t>
        </is>
      </c>
      <c r="B75" s="1" t="n">
        <v>45737.45327546296</v>
      </c>
      <c r="C75" s="1" t="n">
        <v>46140</v>
      </c>
      <c r="D75" t="inlineStr">
        <is>
          <t>VÄSTMANLANDS LÄN</t>
        </is>
      </c>
      <c r="E75" t="inlineStr">
        <is>
          <t>SURAHAMMAR</t>
        </is>
      </c>
      <c r="G75" t="n">
        <v>9.699999999999999</v>
      </c>
      <c r="H75" t="n">
        <v>1</v>
      </c>
      <c r="I75" t="n">
        <v>0</v>
      </c>
      <c r="J75" t="n">
        <v>0</v>
      </c>
      <c r="K75" t="n">
        <v>0</v>
      </c>
      <c r="L75" t="n">
        <v>0</v>
      </c>
      <c r="M75" t="n">
        <v>0</v>
      </c>
      <c r="N75" t="n">
        <v>0</v>
      </c>
      <c r="O75" t="n">
        <v>0</v>
      </c>
      <c r="P75" t="n">
        <v>0</v>
      </c>
      <c r="Q75" t="n">
        <v>1</v>
      </c>
      <c r="R75" s="2" t="inlineStr">
        <is>
          <t>Sparvuggla</t>
        </is>
      </c>
      <c r="S75">
        <f>HYPERLINK("https://klasma.github.io/Logging_1907/artfynd/A 13788-2025 artfynd.xlsx", "A 13788-2025")</f>
        <v/>
      </c>
      <c r="T75">
        <f>HYPERLINK("https://klasma.github.io/Logging_1907/kartor/A 13788-2025 karta.png", "A 13788-2025")</f>
        <v/>
      </c>
      <c r="V75">
        <f>HYPERLINK("https://klasma.github.io/Logging_1907/klagomål/A 13788-2025 FSC-klagomål.docx", "A 13788-2025")</f>
        <v/>
      </c>
      <c r="W75">
        <f>HYPERLINK("https://klasma.github.io/Logging_1907/klagomålsmail/A 13788-2025 FSC-klagomål mail.docx", "A 13788-2025")</f>
        <v/>
      </c>
      <c r="X75">
        <f>HYPERLINK("https://klasma.github.io/Logging_1907/tillsyn/A 13788-2025 tillsynsbegäran.docx", "A 13788-2025")</f>
        <v/>
      </c>
      <c r="Y75">
        <f>HYPERLINK("https://klasma.github.io/Logging_1907/tillsynsmail/A 13788-2025 tillsynsbegäran mail.docx", "A 13788-2025")</f>
        <v/>
      </c>
      <c r="Z75">
        <f>HYPERLINK("https://klasma.github.io/Logging_1907/fåglar/A 13788-2025 prioriterade fågelarter.docx", "A 13788-2025")</f>
        <v/>
      </c>
    </row>
    <row r="76" ht="15" customHeight="1">
      <c r="A76" t="inlineStr">
        <is>
          <t>A 64073-2021</t>
        </is>
      </c>
      <c r="B76" s="1" t="n">
        <v>44509</v>
      </c>
      <c r="C76" s="1" t="n">
        <v>46140</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46140</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46140</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46140</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46140</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46140</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46140</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46140</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46140</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46140</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46140</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46140</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46140</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46140</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46140</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46140</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46140</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46140</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46140</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46140</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46140</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3818-2022</t>
        </is>
      </c>
      <c r="B97" s="1" t="n">
        <v>44587</v>
      </c>
      <c r="C97" s="1" t="n">
        <v>46140</v>
      </c>
      <c r="D97" t="inlineStr">
        <is>
          <t>VÄSTMANLANDS LÄN</t>
        </is>
      </c>
      <c r="E97" t="inlineStr">
        <is>
          <t>SURAHAMMAR</t>
        </is>
      </c>
      <c r="G97" t="n">
        <v>2.6</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46140</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14626-2023</t>
        </is>
      </c>
      <c r="B99" s="1" t="n">
        <v>45012</v>
      </c>
      <c r="C99" s="1" t="n">
        <v>46140</v>
      </c>
      <c r="D99" t="inlineStr">
        <is>
          <t>VÄSTMANLANDS LÄN</t>
        </is>
      </c>
      <c r="E99" t="inlineStr">
        <is>
          <t>SURAHAMMAR</t>
        </is>
      </c>
      <c r="F99" t="inlineStr">
        <is>
          <t>Bergvik skog väst AB</t>
        </is>
      </c>
      <c r="G99" t="n">
        <v>5</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46140</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19782-2023</t>
        </is>
      </c>
      <c r="B101" s="1" t="n">
        <v>45050</v>
      </c>
      <c r="C101" s="1" t="n">
        <v>46140</v>
      </c>
      <c r="D101" t="inlineStr">
        <is>
          <t>VÄSTMANLANDS LÄN</t>
        </is>
      </c>
      <c r="E101" t="inlineStr">
        <is>
          <t>SURAHAMMAR</t>
        </is>
      </c>
      <c r="F101" t="inlineStr">
        <is>
          <t>Bergvik skog väst AB</t>
        </is>
      </c>
      <c r="G101" t="n">
        <v>5.2</v>
      </c>
      <c r="H101" t="n">
        <v>0</v>
      </c>
      <c r="I101" t="n">
        <v>0</v>
      </c>
      <c r="J101" t="n">
        <v>0</v>
      </c>
      <c r="K101" t="n">
        <v>0</v>
      </c>
      <c r="L101" t="n">
        <v>0</v>
      </c>
      <c r="M101" t="n">
        <v>0</v>
      </c>
      <c r="N101" t="n">
        <v>0</v>
      </c>
      <c r="O101" t="n">
        <v>0</v>
      </c>
      <c r="P101" t="n">
        <v>0</v>
      </c>
      <c r="Q101" t="n">
        <v>0</v>
      </c>
      <c r="R101" s="2" t="inlineStr"/>
    </row>
    <row r="102" ht="15" customHeight="1">
      <c r="A102" t="inlineStr">
        <is>
          <t>A 56378-2023</t>
        </is>
      </c>
      <c r="B102" s="1" t="n">
        <v>45236</v>
      </c>
      <c r="C102" s="1" t="n">
        <v>46140</v>
      </c>
      <c r="D102" t="inlineStr">
        <is>
          <t>VÄSTMANLANDS LÄN</t>
        </is>
      </c>
      <c r="E102" t="inlineStr">
        <is>
          <t>SURAHAMMAR</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11728-2023</t>
        </is>
      </c>
      <c r="B103" s="1" t="n">
        <v>44993</v>
      </c>
      <c r="C103" s="1" t="n">
        <v>46140</v>
      </c>
      <c r="D103" t="inlineStr">
        <is>
          <t>VÄSTMANLANDS LÄN</t>
        </is>
      </c>
      <c r="E103" t="inlineStr">
        <is>
          <t>SURAHAMMAR</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37013-2025</t>
        </is>
      </c>
      <c r="B104" s="1" t="n">
        <v>45874</v>
      </c>
      <c r="C104" s="1" t="n">
        <v>46140</v>
      </c>
      <c r="D104" t="inlineStr">
        <is>
          <t>VÄSTMANLANDS LÄN</t>
        </is>
      </c>
      <c r="E104" t="inlineStr">
        <is>
          <t>SURAHAMMAR</t>
        </is>
      </c>
      <c r="F104" t="inlineStr">
        <is>
          <t>Bergvik skog väst AB</t>
        </is>
      </c>
      <c r="G104" t="n">
        <v>10.7</v>
      </c>
      <c r="H104" t="n">
        <v>0</v>
      </c>
      <c r="I104" t="n">
        <v>0</v>
      </c>
      <c r="J104" t="n">
        <v>0</v>
      </c>
      <c r="K104" t="n">
        <v>0</v>
      </c>
      <c r="L104" t="n">
        <v>0</v>
      </c>
      <c r="M104" t="n">
        <v>0</v>
      </c>
      <c r="N104" t="n">
        <v>0</v>
      </c>
      <c r="O104" t="n">
        <v>0</v>
      </c>
      <c r="P104" t="n">
        <v>0</v>
      </c>
      <c r="Q104" t="n">
        <v>0</v>
      </c>
      <c r="R104" s="2" t="inlineStr"/>
    </row>
    <row r="105" ht="15" customHeight="1">
      <c r="A105" t="inlineStr">
        <is>
          <t>A 37954-2025</t>
        </is>
      </c>
      <c r="B105" s="1" t="n">
        <v>45881</v>
      </c>
      <c r="C105" s="1" t="n">
        <v>46140</v>
      </c>
      <c r="D105" t="inlineStr">
        <is>
          <t>VÄSTMANLANDS LÄN</t>
        </is>
      </c>
      <c r="E105" t="inlineStr">
        <is>
          <t>SURAHAMMAR</t>
        </is>
      </c>
      <c r="G105" t="n">
        <v>9.5</v>
      </c>
      <c r="H105" t="n">
        <v>0</v>
      </c>
      <c r="I105" t="n">
        <v>0</v>
      </c>
      <c r="J105" t="n">
        <v>0</v>
      </c>
      <c r="K105" t="n">
        <v>0</v>
      </c>
      <c r="L105" t="n">
        <v>0</v>
      </c>
      <c r="M105" t="n">
        <v>0</v>
      </c>
      <c r="N105" t="n">
        <v>0</v>
      </c>
      <c r="O105" t="n">
        <v>0</v>
      </c>
      <c r="P105" t="n">
        <v>0</v>
      </c>
      <c r="Q105" t="n">
        <v>0</v>
      </c>
      <c r="R105" s="2" t="inlineStr"/>
    </row>
    <row r="106" ht="15" customHeight="1">
      <c r="A106" t="inlineStr">
        <is>
          <t>A 11501-2023</t>
        </is>
      </c>
      <c r="B106" s="1" t="n">
        <v>44991</v>
      </c>
      <c r="C106" s="1" t="n">
        <v>46140</v>
      </c>
      <c r="D106" t="inlineStr">
        <is>
          <t>VÄSTMANLANDS LÄN</t>
        </is>
      </c>
      <c r="E106" t="inlineStr">
        <is>
          <t>SURAHAMMAR</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16013-2023</t>
        </is>
      </c>
      <c r="B107" s="1" t="n">
        <v>45026</v>
      </c>
      <c r="C107" s="1" t="n">
        <v>46140</v>
      </c>
      <c r="D107" t="inlineStr">
        <is>
          <t>VÄSTMANLANDS LÄN</t>
        </is>
      </c>
      <c r="E107" t="inlineStr">
        <is>
          <t>SURAHAMMAR</t>
        </is>
      </c>
      <c r="G107" t="n">
        <v>3.9</v>
      </c>
      <c r="H107" t="n">
        <v>0</v>
      </c>
      <c r="I107" t="n">
        <v>0</v>
      </c>
      <c r="J107" t="n">
        <v>0</v>
      </c>
      <c r="K107" t="n">
        <v>0</v>
      </c>
      <c r="L107" t="n">
        <v>0</v>
      </c>
      <c r="M107" t="n">
        <v>0</v>
      </c>
      <c r="N107" t="n">
        <v>0</v>
      </c>
      <c r="O107" t="n">
        <v>0</v>
      </c>
      <c r="P107" t="n">
        <v>0</v>
      </c>
      <c r="Q107" t="n">
        <v>0</v>
      </c>
      <c r="R107" s="2" t="inlineStr"/>
    </row>
    <row r="108" ht="15" customHeight="1">
      <c r="A108" t="inlineStr">
        <is>
          <t>A 20904-2023</t>
        </is>
      </c>
      <c r="B108" s="1" t="n">
        <v>45060</v>
      </c>
      <c r="C108" s="1" t="n">
        <v>46140</v>
      </c>
      <c r="D108" t="inlineStr">
        <is>
          <t>VÄSTMANLANDS LÄN</t>
        </is>
      </c>
      <c r="E108" t="inlineStr">
        <is>
          <t>SURAHAMMAR</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42829-2022</t>
        </is>
      </c>
      <c r="B109" s="1" t="n">
        <v>44832</v>
      </c>
      <c r="C109" s="1" t="n">
        <v>46140</v>
      </c>
      <c r="D109" t="inlineStr">
        <is>
          <t>VÄSTMANLANDS LÄN</t>
        </is>
      </c>
      <c r="E109" t="inlineStr">
        <is>
          <t>SURAHAMMAR</t>
        </is>
      </c>
      <c r="G109" t="n">
        <v>1.6</v>
      </c>
      <c r="H109" t="n">
        <v>0</v>
      </c>
      <c r="I109" t="n">
        <v>0</v>
      </c>
      <c r="J109" t="n">
        <v>0</v>
      </c>
      <c r="K109" t="n">
        <v>0</v>
      </c>
      <c r="L109" t="n">
        <v>0</v>
      </c>
      <c r="M109" t="n">
        <v>0</v>
      </c>
      <c r="N109" t="n">
        <v>0</v>
      </c>
      <c r="O109" t="n">
        <v>0</v>
      </c>
      <c r="P109" t="n">
        <v>0</v>
      </c>
      <c r="Q109" t="n">
        <v>0</v>
      </c>
      <c r="R109" s="2" t="inlineStr"/>
    </row>
    <row r="110" ht="15" customHeight="1">
      <c r="A110" t="inlineStr">
        <is>
          <t>A 42088-2025</t>
        </is>
      </c>
      <c r="B110" s="1" t="n">
        <v>45902</v>
      </c>
      <c r="C110" s="1" t="n">
        <v>46140</v>
      </c>
      <c r="D110" t="inlineStr">
        <is>
          <t>VÄSTMANLANDS LÄN</t>
        </is>
      </c>
      <c r="E110" t="inlineStr">
        <is>
          <t>SURAHAMMAR</t>
        </is>
      </c>
      <c r="G110" t="n">
        <v>1</v>
      </c>
      <c r="H110" t="n">
        <v>0</v>
      </c>
      <c r="I110" t="n">
        <v>0</v>
      </c>
      <c r="J110" t="n">
        <v>0</v>
      </c>
      <c r="K110" t="n">
        <v>0</v>
      </c>
      <c r="L110" t="n">
        <v>0</v>
      </c>
      <c r="M110" t="n">
        <v>0</v>
      </c>
      <c r="N110" t="n">
        <v>0</v>
      </c>
      <c r="O110" t="n">
        <v>0</v>
      </c>
      <c r="P110" t="n">
        <v>0</v>
      </c>
      <c r="Q110" t="n">
        <v>0</v>
      </c>
      <c r="R110" s="2" t="inlineStr"/>
    </row>
    <row r="111" ht="15" customHeight="1">
      <c r="A111" t="inlineStr">
        <is>
          <t>A 34955-2022</t>
        </is>
      </c>
      <c r="B111" s="1" t="n">
        <v>44796</v>
      </c>
      <c r="C111" s="1" t="n">
        <v>46140</v>
      </c>
      <c r="D111" t="inlineStr">
        <is>
          <t>VÄSTMANLANDS LÄN</t>
        </is>
      </c>
      <c r="E111" t="inlineStr">
        <is>
          <t>SURAHAMMAR</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43255-2025</t>
        </is>
      </c>
      <c r="B112" s="1" t="n">
        <v>45910.55325231481</v>
      </c>
      <c r="C112" s="1" t="n">
        <v>46140</v>
      </c>
      <c r="D112" t="inlineStr">
        <is>
          <t>VÄSTMANLANDS LÄN</t>
        </is>
      </c>
      <c r="E112" t="inlineStr">
        <is>
          <t>SURAHAMMAR</t>
        </is>
      </c>
      <c r="G112" t="n">
        <v>1.9</v>
      </c>
      <c r="H112" t="n">
        <v>0</v>
      </c>
      <c r="I112" t="n">
        <v>0</v>
      </c>
      <c r="J112" t="n">
        <v>0</v>
      </c>
      <c r="K112" t="n">
        <v>0</v>
      </c>
      <c r="L112" t="n">
        <v>0</v>
      </c>
      <c r="M112" t="n">
        <v>0</v>
      </c>
      <c r="N112" t="n">
        <v>0</v>
      </c>
      <c r="O112" t="n">
        <v>0</v>
      </c>
      <c r="P112" t="n">
        <v>0</v>
      </c>
      <c r="Q112" t="n">
        <v>0</v>
      </c>
      <c r="R112" s="2" t="inlineStr"/>
    </row>
    <row r="113" ht="15" customHeight="1">
      <c r="A113" t="inlineStr">
        <is>
          <t>A 31107-2025</t>
        </is>
      </c>
      <c r="B113" s="1" t="n">
        <v>45831</v>
      </c>
      <c r="C113" s="1" t="n">
        <v>46140</v>
      </c>
      <c r="D113" t="inlineStr">
        <is>
          <t>VÄSTMANLANDS LÄN</t>
        </is>
      </c>
      <c r="E113" t="inlineStr">
        <is>
          <t>SURAHAMMAR</t>
        </is>
      </c>
      <c r="F113" t="inlineStr">
        <is>
          <t>Kommuner</t>
        </is>
      </c>
      <c r="G113" t="n">
        <v>1.7</v>
      </c>
      <c r="H113" t="n">
        <v>0</v>
      </c>
      <c r="I113" t="n">
        <v>0</v>
      </c>
      <c r="J113" t="n">
        <v>0</v>
      </c>
      <c r="K113" t="n">
        <v>0</v>
      </c>
      <c r="L113" t="n">
        <v>0</v>
      </c>
      <c r="M113" t="n">
        <v>0</v>
      </c>
      <c r="N113" t="n">
        <v>0</v>
      </c>
      <c r="O113" t="n">
        <v>0</v>
      </c>
      <c r="P113" t="n">
        <v>0</v>
      </c>
      <c r="Q113" t="n">
        <v>0</v>
      </c>
      <c r="R113" s="2" t="inlineStr"/>
    </row>
    <row r="114" ht="15" customHeight="1">
      <c r="A114" t="inlineStr">
        <is>
          <t>A 43249-2025</t>
        </is>
      </c>
      <c r="B114" s="1" t="n">
        <v>45910.55059027778</v>
      </c>
      <c r="C114" s="1" t="n">
        <v>46140</v>
      </c>
      <c r="D114" t="inlineStr">
        <is>
          <t>VÄSTMANLANDS LÄN</t>
        </is>
      </c>
      <c r="E114" t="inlineStr">
        <is>
          <t>SURAHAMMAR</t>
        </is>
      </c>
      <c r="G114" t="n">
        <v>1.9</v>
      </c>
      <c r="H114" t="n">
        <v>0</v>
      </c>
      <c r="I114" t="n">
        <v>0</v>
      </c>
      <c r="J114" t="n">
        <v>0</v>
      </c>
      <c r="K114" t="n">
        <v>0</v>
      </c>
      <c r="L114" t="n">
        <v>0</v>
      </c>
      <c r="M114" t="n">
        <v>0</v>
      </c>
      <c r="N114" t="n">
        <v>0</v>
      </c>
      <c r="O114" t="n">
        <v>0</v>
      </c>
      <c r="P114" t="n">
        <v>0</v>
      </c>
      <c r="Q114" t="n">
        <v>0</v>
      </c>
      <c r="R114" s="2" t="inlineStr"/>
    </row>
    <row r="115" ht="15" customHeight="1">
      <c r="A115" t="inlineStr">
        <is>
          <t>A 37798-2021</t>
        </is>
      </c>
      <c r="B115" s="1" t="n">
        <v>44402</v>
      </c>
      <c r="C115" s="1" t="n">
        <v>46140</v>
      </c>
      <c r="D115" t="inlineStr">
        <is>
          <t>VÄSTMANLANDS LÄN</t>
        </is>
      </c>
      <c r="E115" t="inlineStr">
        <is>
          <t>SURAHAMMAR</t>
        </is>
      </c>
      <c r="F115" t="inlineStr">
        <is>
          <t>Kommuner</t>
        </is>
      </c>
      <c r="G115" t="n">
        <v>1.2</v>
      </c>
      <c r="H115" t="n">
        <v>0</v>
      </c>
      <c r="I115" t="n">
        <v>0</v>
      </c>
      <c r="J115" t="n">
        <v>0</v>
      </c>
      <c r="K115" t="n">
        <v>0</v>
      </c>
      <c r="L115" t="n">
        <v>0</v>
      </c>
      <c r="M115" t="n">
        <v>0</v>
      </c>
      <c r="N115" t="n">
        <v>0</v>
      </c>
      <c r="O115" t="n">
        <v>0</v>
      </c>
      <c r="P115" t="n">
        <v>0</v>
      </c>
      <c r="Q115" t="n">
        <v>0</v>
      </c>
      <c r="R115" s="2" t="inlineStr"/>
    </row>
    <row r="116" ht="15" customHeight="1">
      <c r="A116" t="inlineStr">
        <is>
          <t>A 48205-2023</t>
        </is>
      </c>
      <c r="B116" s="1" t="n">
        <v>45205</v>
      </c>
      <c r="C116" s="1" t="n">
        <v>46140</v>
      </c>
      <c r="D116" t="inlineStr">
        <is>
          <t>VÄSTMANLANDS LÄN</t>
        </is>
      </c>
      <c r="E116" t="inlineStr">
        <is>
          <t>SURAHAMMAR</t>
        </is>
      </c>
      <c r="F116" t="inlineStr">
        <is>
          <t>Allmännings- och besparingsskogar</t>
        </is>
      </c>
      <c r="G116" t="n">
        <v>7.6</v>
      </c>
      <c r="H116" t="n">
        <v>0</v>
      </c>
      <c r="I116" t="n">
        <v>0</v>
      </c>
      <c r="J116" t="n">
        <v>0</v>
      </c>
      <c r="K116" t="n">
        <v>0</v>
      </c>
      <c r="L116" t="n">
        <v>0</v>
      </c>
      <c r="M116" t="n">
        <v>0</v>
      </c>
      <c r="N116" t="n">
        <v>0</v>
      </c>
      <c r="O116" t="n">
        <v>0</v>
      </c>
      <c r="P116" t="n">
        <v>0</v>
      </c>
      <c r="Q116" t="n">
        <v>0</v>
      </c>
      <c r="R116" s="2" t="inlineStr"/>
    </row>
    <row r="117" ht="15" customHeight="1">
      <c r="A117" t="inlineStr">
        <is>
          <t>A 33931-2022</t>
        </is>
      </c>
      <c r="B117" s="1" t="n">
        <v>44790.65153935185</v>
      </c>
      <c r="C117" s="1" t="n">
        <v>46140</v>
      </c>
      <c r="D117" t="inlineStr">
        <is>
          <t>VÄSTMANLANDS LÄN</t>
        </is>
      </c>
      <c r="E117" t="inlineStr">
        <is>
          <t>SURAHAMMAR</t>
        </is>
      </c>
      <c r="G117" t="n">
        <v>2.2</v>
      </c>
      <c r="H117" t="n">
        <v>0</v>
      </c>
      <c r="I117" t="n">
        <v>0</v>
      </c>
      <c r="J117" t="n">
        <v>0</v>
      </c>
      <c r="K117" t="n">
        <v>0</v>
      </c>
      <c r="L117" t="n">
        <v>0</v>
      </c>
      <c r="M117" t="n">
        <v>0</v>
      </c>
      <c r="N117" t="n">
        <v>0</v>
      </c>
      <c r="O117" t="n">
        <v>0</v>
      </c>
      <c r="P117" t="n">
        <v>0</v>
      </c>
      <c r="Q117" t="n">
        <v>0</v>
      </c>
      <c r="R117" s="2" t="inlineStr"/>
    </row>
    <row r="118" ht="15" customHeight="1">
      <c r="A118" t="inlineStr">
        <is>
          <t>A 22662-2023</t>
        </is>
      </c>
      <c r="B118" s="1" t="n">
        <v>45071</v>
      </c>
      <c r="C118" s="1" t="n">
        <v>46140</v>
      </c>
      <c r="D118" t="inlineStr">
        <is>
          <t>VÄSTMANLANDS LÄN</t>
        </is>
      </c>
      <c r="E118" t="inlineStr">
        <is>
          <t>SURAHAMMAR</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30076-2023</t>
        </is>
      </c>
      <c r="B119" s="1" t="n">
        <v>45110</v>
      </c>
      <c r="C119" s="1" t="n">
        <v>46140</v>
      </c>
      <c r="D119" t="inlineStr">
        <is>
          <t>VÄSTMANLANDS LÄN</t>
        </is>
      </c>
      <c r="E119" t="inlineStr">
        <is>
          <t>SURAHAMMAR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47785-2021</t>
        </is>
      </c>
      <c r="B120" s="1" t="n">
        <v>44448</v>
      </c>
      <c r="C120" s="1" t="n">
        <v>46140</v>
      </c>
      <c r="D120" t="inlineStr">
        <is>
          <t>VÄSTMANLANDS LÄN</t>
        </is>
      </c>
      <c r="E120" t="inlineStr">
        <is>
          <t>SURAHAMMAR</t>
        </is>
      </c>
      <c r="F120" t="inlineStr">
        <is>
          <t>Kommuner</t>
        </is>
      </c>
      <c r="G120" t="n">
        <v>3.3</v>
      </c>
      <c r="H120" t="n">
        <v>0</v>
      </c>
      <c r="I120" t="n">
        <v>0</v>
      </c>
      <c r="J120" t="n">
        <v>0</v>
      </c>
      <c r="K120" t="n">
        <v>0</v>
      </c>
      <c r="L120" t="n">
        <v>0</v>
      </c>
      <c r="M120" t="n">
        <v>0</v>
      </c>
      <c r="N120" t="n">
        <v>0</v>
      </c>
      <c r="O120" t="n">
        <v>0</v>
      </c>
      <c r="P120" t="n">
        <v>0</v>
      </c>
      <c r="Q120" t="n">
        <v>0</v>
      </c>
      <c r="R120" s="2" t="inlineStr"/>
    </row>
    <row r="121" ht="15" customHeight="1">
      <c r="A121" t="inlineStr">
        <is>
          <t>A 25450-2024</t>
        </is>
      </c>
      <c r="B121" s="1" t="n">
        <v>45463</v>
      </c>
      <c r="C121" s="1" t="n">
        <v>46140</v>
      </c>
      <c r="D121" t="inlineStr">
        <is>
          <t>VÄSTMANLANDS LÄN</t>
        </is>
      </c>
      <c r="E121" t="inlineStr">
        <is>
          <t>SURAHAMMAR</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10883-2023</t>
        </is>
      </c>
      <c r="B122" s="1" t="n">
        <v>44991</v>
      </c>
      <c r="C122" s="1" t="n">
        <v>46140</v>
      </c>
      <c r="D122" t="inlineStr">
        <is>
          <t>VÄSTMANLANDS LÄN</t>
        </is>
      </c>
      <c r="E122" t="inlineStr">
        <is>
          <t>SURAHAMMAR</t>
        </is>
      </c>
      <c r="F122" t="inlineStr">
        <is>
          <t>Övriga Aktiebolag</t>
        </is>
      </c>
      <c r="G122" t="n">
        <v>12.5</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46140</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46140</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46140</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46140</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46140</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72367-2021</t>
        </is>
      </c>
      <c r="B128" s="1" t="n">
        <v>44545</v>
      </c>
      <c r="C128" s="1" t="n">
        <v>46140</v>
      </c>
      <c r="D128" t="inlineStr">
        <is>
          <t>VÄSTMANLANDS LÄN</t>
        </is>
      </c>
      <c r="E128" t="inlineStr">
        <is>
          <t>SURAHAMMAR</t>
        </is>
      </c>
      <c r="G128" t="n">
        <v>2.5</v>
      </c>
      <c r="H128" t="n">
        <v>0</v>
      </c>
      <c r="I128" t="n">
        <v>0</v>
      </c>
      <c r="J128" t="n">
        <v>0</v>
      </c>
      <c r="K128" t="n">
        <v>0</v>
      </c>
      <c r="L128" t="n">
        <v>0</v>
      </c>
      <c r="M128" t="n">
        <v>0</v>
      </c>
      <c r="N128" t="n">
        <v>0</v>
      </c>
      <c r="O128" t="n">
        <v>0</v>
      </c>
      <c r="P128" t="n">
        <v>0</v>
      </c>
      <c r="Q128" t="n">
        <v>0</v>
      </c>
      <c r="R128" s="2" t="inlineStr"/>
    </row>
    <row r="129" ht="15" customHeight="1">
      <c r="A129" t="inlineStr">
        <is>
          <t>A 56543-2025</t>
        </is>
      </c>
      <c r="B129" s="1" t="n">
        <v>45975</v>
      </c>
      <c r="C129" s="1" t="n">
        <v>46140</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42714-2022</t>
        </is>
      </c>
      <c r="B130" s="1" t="n">
        <v>44832</v>
      </c>
      <c r="C130" s="1" t="n">
        <v>46140</v>
      </c>
      <c r="D130" t="inlineStr">
        <is>
          <t>VÄSTMANLANDS LÄN</t>
        </is>
      </c>
      <c r="E130" t="inlineStr">
        <is>
          <t>SURAHAMMAR</t>
        </is>
      </c>
      <c r="G130" t="n">
        <v>1.1</v>
      </c>
      <c r="H130" t="n">
        <v>0</v>
      </c>
      <c r="I130" t="n">
        <v>0</v>
      </c>
      <c r="J130" t="n">
        <v>0</v>
      </c>
      <c r="K130" t="n">
        <v>0</v>
      </c>
      <c r="L130" t="n">
        <v>0</v>
      </c>
      <c r="M130" t="n">
        <v>0</v>
      </c>
      <c r="N130" t="n">
        <v>0</v>
      </c>
      <c r="O130" t="n">
        <v>0</v>
      </c>
      <c r="P130" t="n">
        <v>0</v>
      </c>
      <c r="Q130" t="n">
        <v>0</v>
      </c>
      <c r="R130" s="2" t="inlineStr"/>
    </row>
    <row r="131" ht="15" customHeight="1">
      <c r="A131" t="inlineStr">
        <is>
          <t>A 37287-2023</t>
        </is>
      </c>
      <c r="B131" s="1" t="n">
        <v>45156</v>
      </c>
      <c r="C131" s="1" t="n">
        <v>46140</v>
      </c>
      <c r="D131" t="inlineStr">
        <is>
          <t>VÄSTMANLANDS LÄN</t>
        </is>
      </c>
      <c r="E131" t="inlineStr">
        <is>
          <t>SURAHAMMAR</t>
        </is>
      </c>
      <c r="G131" t="n">
        <v>0.6</v>
      </c>
      <c r="H131" t="n">
        <v>0</v>
      </c>
      <c r="I131" t="n">
        <v>0</v>
      </c>
      <c r="J131" t="n">
        <v>0</v>
      </c>
      <c r="K131" t="n">
        <v>0</v>
      </c>
      <c r="L131" t="n">
        <v>0</v>
      </c>
      <c r="M131" t="n">
        <v>0</v>
      </c>
      <c r="N131" t="n">
        <v>0</v>
      </c>
      <c r="O131" t="n">
        <v>0</v>
      </c>
      <c r="P131" t="n">
        <v>0</v>
      </c>
      <c r="Q131" t="n">
        <v>0</v>
      </c>
      <c r="R131" s="2" t="inlineStr"/>
    </row>
    <row r="132" ht="15" customHeight="1">
      <c r="A132" t="inlineStr">
        <is>
          <t>A 49058-2024</t>
        </is>
      </c>
      <c r="B132" s="1" t="n">
        <v>45594</v>
      </c>
      <c r="C132" s="1" t="n">
        <v>46140</v>
      </c>
      <c r="D132" t="inlineStr">
        <is>
          <t>VÄSTMANLANDS LÄN</t>
        </is>
      </c>
      <c r="E132" t="inlineStr">
        <is>
          <t>SURAHAMMAR</t>
        </is>
      </c>
      <c r="F132" t="inlineStr">
        <is>
          <t>Sveaskog</t>
        </is>
      </c>
      <c r="G132" t="n">
        <v>11.4</v>
      </c>
      <c r="H132" t="n">
        <v>0</v>
      </c>
      <c r="I132" t="n">
        <v>0</v>
      </c>
      <c r="J132" t="n">
        <v>0</v>
      </c>
      <c r="K132" t="n">
        <v>0</v>
      </c>
      <c r="L132" t="n">
        <v>0</v>
      </c>
      <c r="M132" t="n">
        <v>0</v>
      </c>
      <c r="N132" t="n">
        <v>0</v>
      </c>
      <c r="O132" t="n">
        <v>0</v>
      </c>
      <c r="P132" t="n">
        <v>0</v>
      </c>
      <c r="Q132" t="n">
        <v>0</v>
      </c>
      <c r="R132" s="2" t="inlineStr"/>
    </row>
    <row r="133" ht="15" customHeight="1">
      <c r="A133" t="inlineStr">
        <is>
          <t>A 49060-2024</t>
        </is>
      </c>
      <c r="B133" s="1" t="n">
        <v>45594</v>
      </c>
      <c r="C133" s="1" t="n">
        <v>46140</v>
      </c>
      <c r="D133" t="inlineStr">
        <is>
          <t>VÄSTMANLANDS LÄN</t>
        </is>
      </c>
      <c r="E133" t="inlineStr">
        <is>
          <t>SURAHAMMAR</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59399-2025</t>
        </is>
      </c>
      <c r="B134" s="1" t="n">
        <v>45989</v>
      </c>
      <c r="C134" s="1" t="n">
        <v>46140</v>
      </c>
      <c r="D134" t="inlineStr">
        <is>
          <t>VÄSTMANLANDS LÄN</t>
        </is>
      </c>
      <c r="E134" t="inlineStr">
        <is>
          <t>SURAHAMMAR</t>
        </is>
      </c>
      <c r="F134" t="inlineStr">
        <is>
          <t>Kommuner</t>
        </is>
      </c>
      <c r="G134" t="n">
        <v>2.1</v>
      </c>
      <c r="H134" t="n">
        <v>0</v>
      </c>
      <c r="I134" t="n">
        <v>0</v>
      </c>
      <c r="J134" t="n">
        <v>0</v>
      </c>
      <c r="K134" t="n">
        <v>0</v>
      </c>
      <c r="L134" t="n">
        <v>0</v>
      </c>
      <c r="M134" t="n">
        <v>0</v>
      </c>
      <c r="N134" t="n">
        <v>0</v>
      </c>
      <c r="O134" t="n">
        <v>0</v>
      </c>
      <c r="P134" t="n">
        <v>0</v>
      </c>
      <c r="Q134" t="n">
        <v>0</v>
      </c>
      <c r="R134" s="2" t="inlineStr"/>
    </row>
    <row r="135" ht="15" customHeight="1">
      <c r="A135" t="inlineStr">
        <is>
          <t>A 56541-2025</t>
        </is>
      </c>
      <c r="B135" s="1" t="n">
        <v>45975</v>
      </c>
      <c r="C135" s="1" t="n">
        <v>46140</v>
      </c>
      <c r="D135" t="inlineStr">
        <is>
          <t>VÄSTMANLANDS LÄN</t>
        </is>
      </c>
      <c r="E135" t="inlineStr">
        <is>
          <t>SURAHAMMAR</t>
        </is>
      </c>
      <c r="F135" t="inlineStr">
        <is>
          <t>Sveaskog</t>
        </is>
      </c>
      <c r="G135" t="n">
        <v>7.6</v>
      </c>
      <c r="H135" t="n">
        <v>0</v>
      </c>
      <c r="I135" t="n">
        <v>0</v>
      </c>
      <c r="J135" t="n">
        <v>0</v>
      </c>
      <c r="K135" t="n">
        <v>0</v>
      </c>
      <c r="L135" t="n">
        <v>0</v>
      </c>
      <c r="M135" t="n">
        <v>0</v>
      </c>
      <c r="N135" t="n">
        <v>0</v>
      </c>
      <c r="O135" t="n">
        <v>0</v>
      </c>
      <c r="P135" t="n">
        <v>0</v>
      </c>
      <c r="Q135" t="n">
        <v>0</v>
      </c>
      <c r="R135" s="2" t="inlineStr"/>
    </row>
    <row r="136" ht="15" customHeight="1">
      <c r="A136" t="inlineStr">
        <is>
          <t>A 19099-2022</t>
        </is>
      </c>
      <c r="B136" s="1" t="n">
        <v>44691</v>
      </c>
      <c r="C136" s="1" t="n">
        <v>46140</v>
      </c>
      <c r="D136" t="inlineStr">
        <is>
          <t>VÄSTMANLANDS LÄN</t>
        </is>
      </c>
      <c r="E136" t="inlineStr">
        <is>
          <t>SURAHAMMAR</t>
        </is>
      </c>
      <c r="F136" t="inlineStr">
        <is>
          <t>Övriga Aktiebolag</t>
        </is>
      </c>
      <c r="G136" t="n">
        <v>3.4</v>
      </c>
      <c r="H136" t="n">
        <v>0</v>
      </c>
      <c r="I136" t="n">
        <v>0</v>
      </c>
      <c r="J136" t="n">
        <v>0</v>
      </c>
      <c r="K136" t="n">
        <v>0</v>
      </c>
      <c r="L136" t="n">
        <v>0</v>
      </c>
      <c r="M136" t="n">
        <v>0</v>
      </c>
      <c r="N136" t="n">
        <v>0</v>
      </c>
      <c r="O136" t="n">
        <v>0</v>
      </c>
      <c r="P136" t="n">
        <v>0</v>
      </c>
      <c r="Q136" t="n">
        <v>0</v>
      </c>
      <c r="R136" s="2" t="inlineStr"/>
    </row>
    <row r="137" ht="15" customHeight="1">
      <c r="A137" t="inlineStr">
        <is>
          <t>A 25780-2023</t>
        </is>
      </c>
      <c r="B137" s="1" t="n">
        <v>45090.47523148148</v>
      </c>
      <c r="C137" s="1" t="n">
        <v>46140</v>
      </c>
      <c r="D137" t="inlineStr">
        <is>
          <t>VÄSTMANLANDS LÄN</t>
        </is>
      </c>
      <c r="E137" t="inlineStr">
        <is>
          <t>SURAHAMMAR</t>
        </is>
      </c>
      <c r="G137" t="n">
        <v>2.8</v>
      </c>
      <c r="H137" t="n">
        <v>0</v>
      </c>
      <c r="I137" t="n">
        <v>0</v>
      </c>
      <c r="J137" t="n">
        <v>0</v>
      </c>
      <c r="K137" t="n">
        <v>0</v>
      </c>
      <c r="L137" t="n">
        <v>0</v>
      </c>
      <c r="M137" t="n">
        <v>0</v>
      </c>
      <c r="N137" t="n">
        <v>0</v>
      </c>
      <c r="O137" t="n">
        <v>0</v>
      </c>
      <c r="P137" t="n">
        <v>0</v>
      </c>
      <c r="Q137" t="n">
        <v>0</v>
      </c>
      <c r="R137" s="2" t="inlineStr"/>
    </row>
    <row r="138" ht="15" customHeight="1">
      <c r="A138" t="inlineStr">
        <is>
          <t>A 63138-2025</t>
        </is>
      </c>
      <c r="B138" s="1" t="n">
        <v>46009</v>
      </c>
      <c r="C138" s="1" t="n">
        <v>46140</v>
      </c>
      <c r="D138" t="inlineStr">
        <is>
          <t>VÄSTMANLANDS LÄN</t>
        </is>
      </c>
      <c r="E138" t="inlineStr">
        <is>
          <t>SURAHAMMAR</t>
        </is>
      </c>
      <c r="F138" t="inlineStr">
        <is>
          <t>Bergvik skog väst AB</t>
        </is>
      </c>
      <c r="G138" t="n">
        <v>2.5</v>
      </c>
      <c r="H138" t="n">
        <v>0</v>
      </c>
      <c r="I138" t="n">
        <v>0</v>
      </c>
      <c r="J138" t="n">
        <v>0</v>
      </c>
      <c r="K138" t="n">
        <v>0</v>
      </c>
      <c r="L138" t="n">
        <v>0</v>
      </c>
      <c r="M138" t="n">
        <v>0</v>
      </c>
      <c r="N138" t="n">
        <v>0</v>
      </c>
      <c r="O138" t="n">
        <v>0</v>
      </c>
      <c r="P138" t="n">
        <v>0</v>
      </c>
      <c r="Q138" t="n">
        <v>0</v>
      </c>
      <c r="R138" s="2" t="inlineStr"/>
    </row>
    <row r="139" ht="15" customHeight="1">
      <c r="A139" t="inlineStr">
        <is>
          <t>A 13386-2025</t>
        </is>
      </c>
      <c r="B139" s="1" t="n">
        <v>45735</v>
      </c>
      <c r="C139" s="1" t="n">
        <v>46140</v>
      </c>
      <c r="D139" t="inlineStr">
        <is>
          <t>VÄSTMANLANDS LÄN</t>
        </is>
      </c>
      <c r="E139" t="inlineStr">
        <is>
          <t>SURAHAMMAR</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35682-2022</t>
        </is>
      </c>
      <c r="B140" s="1" t="n">
        <v>44799.60422453703</v>
      </c>
      <c r="C140" s="1" t="n">
        <v>46140</v>
      </c>
      <c r="D140" t="inlineStr">
        <is>
          <t>VÄSTMANLANDS LÄN</t>
        </is>
      </c>
      <c r="E140" t="inlineStr">
        <is>
          <t>SURAHAMMAR</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2867-2024</t>
        </is>
      </c>
      <c r="B141" s="1" t="n">
        <v>45315</v>
      </c>
      <c r="C141" s="1" t="n">
        <v>46140</v>
      </c>
      <c r="D141" t="inlineStr">
        <is>
          <t>VÄSTMANLANDS LÄN</t>
        </is>
      </c>
      <c r="E141" t="inlineStr">
        <is>
          <t>SURAHAMMAR</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2660-2024</t>
        </is>
      </c>
      <c r="B142" s="1" t="n">
        <v>45310</v>
      </c>
      <c r="C142" s="1" t="n">
        <v>46140</v>
      </c>
      <c r="D142" t="inlineStr">
        <is>
          <t>VÄSTMANLANDS LÄN</t>
        </is>
      </c>
      <c r="E142" t="inlineStr">
        <is>
          <t>SURAHAMMAR</t>
        </is>
      </c>
      <c r="G142" t="n">
        <v>2.1</v>
      </c>
      <c r="H142" t="n">
        <v>0</v>
      </c>
      <c r="I142" t="n">
        <v>0</v>
      </c>
      <c r="J142" t="n">
        <v>0</v>
      </c>
      <c r="K142" t="n">
        <v>0</v>
      </c>
      <c r="L142" t="n">
        <v>0</v>
      </c>
      <c r="M142" t="n">
        <v>0</v>
      </c>
      <c r="N142" t="n">
        <v>0</v>
      </c>
      <c r="O142" t="n">
        <v>0</v>
      </c>
      <c r="P142" t="n">
        <v>0</v>
      </c>
      <c r="Q142" t="n">
        <v>0</v>
      </c>
      <c r="R142" s="2" t="inlineStr"/>
    </row>
    <row r="143" ht="15" customHeight="1">
      <c r="A143" t="inlineStr">
        <is>
          <t>A 41555-2022</t>
        </is>
      </c>
      <c r="B143" s="1" t="n">
        <v>44826</v>
      </c>
      <c r="C143" s="1" t="n">
        <v>46140</v>
      </c>
      <c r="D143" t="inlineStr">
        <is>
          <t>VÄSTMANLANDS LÄN</t>
        </is>
      </c>
      <c r="E143" t="inlineStr">
        <is>
          <t>SURAHAMMAR</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4724-2026</t>
        </is>
      </c>
      <c r="B144" s="1" t="n">
        <v>46048</v>
      </c>
      <c r="C144" s="1" t="n">
        <v>46140</v>
      </c>
      <c r="D144" t="inlineStr">
        <is>
          <t>VÄSTMANLANDS LÄN</t>
        </is>
      </c>
      <c r="E144" t="inlineStr">
        <is>
          <t>SURAHAMMAR</t>
        </is>
      </c>
      <c r="G144" t="n">
        <v>1.7</v>
      </c>
      <c r="H144" t="n">
        <v>0</v>
      </c>
      <c r="I144" t="n">
        <v>0</v>
      </c>
      <c r="J144" t="n">
        <v>0</v>
      </c>
      <c r="K144" t="n">
        <v>0</v>
      </c>
      <c r="L144" t="n">
        <v>0</v>
      </c>
      <c r="M144" t="n">
        <v>0</v>
      </c>
      <c r="N144" t="n">
        <v>0</v>
      </c>
      <c r="O144" t="n">
        <v>0</v>
      </c>
      <c r="P144" t="n">
        <v>0</v>
      </c>
      <c r="Q144" t="n">
        <v>0</v>
      </c>
      <c r="R144" s="2" t="inlineStr"/>
    </row>
    <row r="145" ht="15" customHeight="1">
      <c r="A145" t="inlineStr">
        <is>
          <t>A 4734-2026</t>
        </is>
      </c>
      <c r="B145" s="1" t="n">
        <v>46048</v>
      </c>
      <c r="C145" s="1" t="n">
        <v>46140</v>
      </c>
      <c r="D145" t="inlineStr">
        <is>
          <t>VÄSTMANLANDS LÄN</t>
        </is>
      </c>
      <c r="E145" t="inlineStr">
        <is>
          <t>SURAHAMMAR</t>
        </is>
      </c>
      <c r="G145" t="n">
        <v>0.7</v>
      </c>
      <c r="H145" t="n">
        <v>0</v>
      </c>
      <c r="I145" t="n">
        <v>0</v>
      </c>
      <c r="J145" t="n">
        <v>0</v>
      </c>
      <c r="K145" t="n">
        <v>0</v>
      </c>
      <c r="L145" t="n">
        <v>0</v>
      </c>
      <c r="M145" t="n">
        <v>0</v>
      </c>
      <c r="N145" t="n">
        <v>0</v>
      </c>
      <c r="O145" t="n">
        <v>0</v>
      </c>
      <c r="P145" t="n">
        <v>0</v>
      </c>
      <c r="Q145" t="n">
        <v>0</v>
      </c>
      <c r="R145" s="2" t="inlineStr"/>
    </row>
    <row r="146" ht="15" customHeight="1">
      <c r="A146" t="inlineStr">
        <is>
          <t>A 5567-2022</t>
        </is>
      </c>
      <c r="B146" s="1" t="n">
        <v>44595</v>
      </c>
      <c r="C146" s="1" t="n">
        <v>46140</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5698-2026</t>
        </is>
      </c>
      <c r="B147" s="1" t="n">
        <v>46051.50196759259</v>
      </c>
      <c r="C147" s="1" t="n">
        <v>46140</v>
      </c>
      <c r="D147" t="inlineStr">
        <is>
          <t>VÄSTMANLANDS LÄN</t>
        </is>
      </c>
      <c r="E147" t="inlineStr">
        <is>
          <t>SURAHAMMAR</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5696-2026</t>
        </is>
      </c>
      <c r="B148" s="1" t="n">
        <v>46051.4975</v>
      </c>
      <c r="C148" s="1" t="n">
        <v>46140</v>
      </c>
      <c r="D148" t="inlineStr">
        <is>
          <t>VÄSTMANLANDS LÄN</t>
        </is>
      </c>
      <c r="E148" t="inlineStr">
        <is>
          <t>SURAHAMMAR</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5697-2026</t>
        </is>
      </c>
      <c r="B149" s="1" t="n">
        <v>46051.50020833333</v>
      </c>
      <c r="C149" s="1" t="n">
        <v>46140</v>
      </c>
      <c r="D149" t="inlineStr">
        <is>
          <t>VÄSTMANLANDS LÄN</t>
        </is>
      </c>
      <c r="E149" t="inlineStr">
        <is>
          <t>SURAHAMMAR</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3085-2023</t>
        </is>
      </c>
      <c r="B150" s="1" t="n">
        <v>44946</v>
      </c>
      <c r="C150" s="1" t="n">
        <v>46140</v>
      </c>
      <c r="D150" t="inlineStr">
        <is>
          <t>VÄSTMANLANDS LÄN</t>
        </is>
      </c>
      <c r="E150" t="inlineStr">
        <is>
          <t>SURAHAMMAR</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7848-2022</t>
        </is>
      </c>
      <c r="B151" s="1" t="n">
        <v>44608.58400462963</v>
      </c>
      <c r="C151" s="1" t="n">
        <v>46140</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46140</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10244-2026</t>
        </is>
      </c>
      <c r="B153" s="1" t="n">
        <v>46076.55032407407</v>
      </c>
      <c r="C153" s="1" t="n">
        <v>46140</v>
      </c>
      <c r="D153" t="inlineStr">
        <is>
          <t>VÄSTMANLANDS LÄN</t>
        </is>
      </c>
      <c r="E153" t="inlineStr">
        <is>
          <t>SURAHAMMAR</t>
        </is>
      </c>
      <c r="F153" t="inlineStr">
        <is>
          <t>Allmännings- och besparingsskogar</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15743-2023</t>
        </is>
      </c>
      <c r="B154" s="1" t="n">
        <v>45021</v>
      </c>
      <c r="C154" s="1" t="n">
        <v>46140</v>
      </c>
      <c r="D154" t="inlineStr">
        <is>
          <t>VÄSTMANLANDS LÄN</t>
        </is>
      </c>
      <c r="E154" t="inlineStr">
        <is>
          <t>SURAHAMMAR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10512-2026</t>
        </is>
      </c>
      <c r="B155" s="1" t="n">
        <v>46077.56861111111</v>
      </c>
      <c r="C155" s="1" t="n">
        <v>46140</v>
      </c>
      <c r="D155" t="inlineStr">
        <is>
          <t>VÄSTMANLANDS LÄN</t>
        </is>
      </c>
      <c r="E155" t="inlineStr">
        <is>
          <t>SURAHAMMAR</t>
        </is>
      </c>
      <c r="F155" t="inlineStr">
        <is>
          <t>Övriga Aktiebolag</t>
        </is>
      </c>
      <c r="G155" t="n">
        <v>4.3</v>
      </c>
      <c r="H155" t="n">
        <v>0</v>
      </c>
      <c r="I155" t="n">
        <v>0</v>
      </c>
      <c r="J155" t="n">
        <v>0</v>
      </c>
      <c r="K155" t="n">
        <v>0</v>
      </c>
      <c r="L155" t="n">
        <v>0</v>
      </c>
      <c r="M155" t="n">
        <v>0</v>
      </c>
      <c r="N155" t="n">
        <v>0</v>
      </c>
      <c r="O155" t="n">
        <v>0</v>
      </c>
      <c r="P155" t="n">
        <v>0</v>
      </c>
      <c r="Q155" t="n">
        <v>0</v>
      </c>
      <c r="R155" s="2" t="inlineStr"/>
    </row>
    <row r="156" ht="15" customHeight="1">
      <c r="A156" t="inlineStr">
        <is>
          <t>A 10249-2026</t>
        </is>
      </c>
      <c r="B156" s="1" t="n">
        <v>46076.55456018518</v>
      </c>
      <c r="C156" s="1" t="n">
        <v>46140</v>
      </c>
      <c r="D156" t="inlineStr">
        <is>
          <t>VÄSTMANLANDS LÄN</t>
        </is>
      </c>
      <c r="E156" t="inlineStr">
        <is>
          <t>SURAHAMMAR</t>
        </is>
      </c>
      <c r="F156" t="inlineStr">
        <is>
          <t>Allmännings- och besparingsskogar</t>
        </is>
      </c>
      <c r="G156" t="n">
        <v>4.8</v>
      </c>
      <c r="H156" t="n">
        <v>0</v>
      </c>
      <c r="I156" t="n">
        <v>0</v>
      </c>
      <c r="J156" t="n">
        <v>0</v>
      </c>
      <c r="K156" t="n">
        <v>0</v>
      </c>
      <c r="L156" t="n">
        <v>0</v>
      </c>
      <c r="M156" t="n">
        <v>0</v>
      </c>
      <c r="N156" t="n">
        <v>0</v>
      </c>
      <c r="O156" t="n">
        <v>0</v>
      </c>
      <c r="P156" t="n">
        <v>0</v>
      </c>
      <c r="Q156" t="n">
        <v>0</v>
      </c>
      <c r="R156" s="2" t="inlineStr"/>
    </row>
    <row r="157" ht="15" customHeight="1">
      <c r="A157" t="inlineStr">
        <is>
          <t>A 10562-2026</t>
        </is>
      </c>
      <c r="B157" s="1" t="n">
        <v>46077.64043981482</v>
      </c>
      <c r="C157" s="1" t="n">
        <v>46140</v>
      </c>
      <c r="D157" t="inlineStr">
        <is>
          <t>VÄSTMANLANDS LÄN</t>
        </is>
      </c>
      <c r="E157" t="inlineStr">
        <is>
          <t>SURAHAMMAR</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10347-2026</t>
        </is>
      </c>
      <c r="B158" s="1" t="n">
        <v>46076.69101851852</v>
      </c>
      <c r="C158" s="1" t="n">
        <v>46140</v>
      </c>
      <c r="D158" t="inlineStr">
        <is>
          <t>VÄSTMANLANDS LÄN</t>
        </is>
      </c>
      <c r="E158" t="inlineStr">
        <is>
          <t>SURAHAMMAR</t>
        </is>
      </c>
      <c r="F158" t="inlineStr">
        <is>
          <t>Allmännings- och besparingsskogar</t>
        </is>
      </c>
      <c r="G158" t="n">
        <v>3</v>
      </c>
      <c r="H158" t="n">
        <v>0</v>
      </c>
      <c r="I158" t="n">
        <v>0</v>
      </c>
      <c r="J158" t="n">
        <v>0</v>
      </c>
      <c r="K158" t="n">
        <v>0</v>
      </c>
      <c r="L158" t="n">
        <v>0</v>
      </c>
      <c r="M158" t="n">
        <v>0</v>
      </c>
      <c r="N158" t="n">
        <v>0</v>
      </c>
      <c r="O158" t="n">
        <v>0</v>
      </c>
      <c r="P158" t="n">
        <v>0</v>
      </c>
      <c r="Q158" t="n">
        <v>0</v>
      </c>
      <c r="R158" s="2" t="inlineStr"/>
    </row>
    <row r="159" ht="15" customHeight="1">
      <c r="A159" t="inlineStr">
        <is>
          <t>A 15637-2022</t>
        </is>
      </c>
      <c r="B159" s="1" t="n">
        <v>44662.89638888889</v>
      </c>
      <c r="C159" s="1" t="n">
        <v>46140</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19786-2023</t>
        </is>
      </c>
      <c r="B160" s="1" t="n">
        <v>45050</v>
      </c>
      <c r="C160" s="1" t="n">
        <v>46140</v>
      </c>
      <c r="D160" t="inlineStr">
        <is>
          <t>VÄSTMANLANDS LÄN</t>
        </is>
      </c>
      <c r="E160" t="inlineStr">
        <is>
          <t>SURAHAMMAR</t>
        </is>
      </c>
      <c r="F160" t="inlineStr">
        <is>
          <t>Bergvik skog väst AB</t>
        </is>
      </c>
      <c r="G160" t="n">
        <v>8.1</v>
      </c>
      <c r="H160" t="n">
        <v>0</v>
      </c>
      <c r="I160" t="n">
        <v>0</v>
      </c>
      <c r="J160" t="n">
        <v>0</v>
      </c>
      <c r="K160" t="n">
        <v>0</v>
      </c>
      <c r="L160" t="n">
        <v>0</v>
      </c>
      <c r="M160" t="n">
        <v>0</v>
      </c>
      <c r="N160" t="n">
        <v>0</v>
      </c>
      <c r="O160" t="n">
        <v>0</v>
      </c>
      <c r="P160" t="n">
        <v>0</v>
      </c>
      <c r="Q160" t="n">
        <v>0</v>
      </c>
      <c r="R160" s="2" t="inlineStr"/>
    </row>
    <row r="161" ht="15" customHeight="1">
      <c r="A161" t="inlineStr">
        <is>
          <t>A 19246-2026</t>
        </is>
      </c>
      <c r="B161" s="1" t="n">
        <v>46132.66501157408</v>
      </c>
      <c r="C161" s="1" t="n">
        <v>46140</v>
      </c>
      <c r="D161" t="inlineStr">
        <is>
          <t>VÄSTMANLANDS LÄN</t>
        </is>
      </c>
      <c r="E161" t="inlineStr">
        <is>
          <t>SURAHAMMAR</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12841-2026</t>
        </is>
      </c>
      <c r="B162" s="1" t="n">
        <v>46091</v>
      </c>
      <c r="C162" s="1" t="n">
        <v>46140</v>
      </c>
      <c r="D162" t="inlineStr">
        <is>
          <t>VÄSTMANLANDS LÄN</t>
        </is>
      </c>
      <c r="E162" t="inlineStr">
        <is>
          <t>SURAHAMMAR</t>
        </is>
      </c>
      <c r="F162" t="inlineStr">
        <is>
          <t>Bergvik skog väst AB</t>
        </is>
      </c>
      <c r="G162" t="n">
        <v>4.3</v>
      </c>
      <c r="H162" t="n">
        <v>0</v>
      </c>
      <c r="I162" t="n">
        <v>0</v>
      </c>
      <c r="J162" t="n">
        <v>0</v>
      </c>
      <c r="K162" t="n">
        <v>0</v>
      </c>
      <c r="L162" t="n">
        <v>0</v>
      </c>
      <c r="M162" t="n">
        <v>0</v>
      </c>
      <c r="N162" t="n">
        <v>0</v>
      </c>
      <c r="O162" t="n">
        <v>0</v>
      </c>
      <c r="P162" t="n">
        <v>0</v>
      </c>
      <c r="Q162" t="n">
        <v>0</v>
      </c>
      <c r="R162" s="2" t="inlineStr"/>
    </row>
    <row r="163" ht="15" customHeight="1">
      <c r="A163" t="inlineStr">
        <is>
          <t>A 7787-2024</t>
        </is>
      </c>
      <c r="B163" s="1" t="n">
        <v>45348</v>
      </c>
      <c r="C163" s="1" t="n">
        <v>46140</v>
      </c>
      <c r="D163" t="inlineStr">
        <is>
          <t>VÄSTMANLANDS LÄN</t>
        </is>
      </c>
      <c r="E163" t="inlineStr">
        <is>
          <t>SURAHAMMAR</t>
        </is>
      </c>
      <c r="G163" t="n">
        <v>1</v>
      </c>
      <c r="H163" t="n">
        <v>0</v>
      </c>
      <c r="I163" t="n">
        <v>0</v>
      </c>
      <c r="J163" t="n">
        <v>0</v>
      </c>
      <c r="K163" t="n">
        <v>0</v>
      </c>
      <c r="L163" t="n">
        <v>0</v>
      </c>
      <c r="M163" t="n">
        <v>0</v>
      </c>
      <c r="N163" t="n">
        <v>0</v>
      </c>
      <c r="O163" t="n">
        <v>0</v>
      </c>
      <c r="P163" t="n">
        <v>0</v>
      </c>
      <c r="Q163" t="n">
        <v>0</v>
      </c>
      <c r="R163" s="2" t="inlineStr"/>
    </row>
    <row r="164" ht="15" customHeight="1">
      <c r="A164" t="inlineStr">
        <is>
          <t>A 15739-2023</t>
        </is>
      </c>
      <c r="B164" s="1" t="n">
        <v>45021</v>
      </c>
      <c r="C164" s="1" t="n">
        <v>46140</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44405.42373842592</v>
      </c>
      <c r="C165" s="1" t="n">
        <v>46140</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34584-2025</t>
        </is>
      </c>
      <c r="B166" s="1" t="n">
        <v>45846</v>
      </c>
      <c r="C166" s="1" t="n">
        <v>46140</v>
      </c>
      <c r="D166" t="inlineStr">
        <is>
          <t>VÄSTMANLANDS LÄN</t>
        </is>
      </c>
      <c r="E166" t="inlineStr">
        <is>
          <t>SURAHAMMAR</t>
        </is>
      </c>
      <c r="F166" t="inlineStr">
        <is>
          <t>Bergvik skog väst AB</t>
        </is>
      </c>
      <c r="G166" t="n">
        <v>2.7</v>
      </c>
      <c r="H166" t="n">
        <v>0</v>
      </c>
      <c r="I166" t="n">
        <v>0</v>
      </c>
      <c r="J166" t="n">
        <v>0</v>
      </c>
      <c r="K166" t="n">
        <v>0</v>
      </c>
      <c r="L166" t="n">
        <v>0</v>
      </c>
      <c r="M166" t="n">
        <v>0</v>
      </c>
      <c r="N166" t="n">
        <v>0</v>
      </c>
      <c r="O166" t="n">
        <v>0</v>
      </c>
      <c r="P166" t="n">
        <v>0</v>
      </c>
      <c r="Q166" t="n">
        <v>0</v>
      </c>
      <c r="R166" s="2" t="inlineStr"/>
    </row>
    <row r="167" ht="15" customHeight="1">
      <c r="A167" t="inlineStr">
        <is>
          <t>A 32910-2025</t>
        </is>
      </c>
      <c r="B167" s="1" t="n">
        <v>45839</v>
      </c>
      <c r="C167" s="1" t="n">
        <v>46140</v>
      </c>
      <c r="D167" t="inlineStr">
        <is>
          <t>VÄSTMANLANDS LÄN</t>
        </is>
      </c>
      <c r="E167" t="inlineStr">
        <is>
          <t>SURAHAMMAR</t>
        </is>
      </c>
      <c r="F167" t="inlineStr">
        <is>
          <t>Kommuner</t>
        </is>
      </c>
      <c r="G167" t="n">
        <v>1.1</v>
      </c>
      <c r="H167" t="n">
        <v>0</v>
      </c>
      <c r="I167" t="n">
        <v>0</v>
      </c>
      <c r="J167" t="n">
        <v>0</v>
      </c>
      <c r="K167" t="n">
        <v>0</v>
      </c>
      <c r="L167" t="n">
        <v>0</v>
      </c>
      <c r="M167" t="n">
        <v>0</v>
      </c>
      <c r="N167" t="n">
        <v>0</v>
      </c>
      <c r="O167" t="n">
        <v>0</v>
      </c>
      <c r="P167" t="n">
        <v>0</v>
      </c>
      <c r="Q167" t="n">
        <v>0</v>
      </c>
      <c r="R167" s="2" t="inlineStr"/>
    </row>
    <row r="168">
      <c r="A168" t="inlineStr">
        <is>
          <t>A 32916-2025</t>
        </is>
      </c>
      <c r="B168" s="1" t="n">
        <v>45839</v>
      </c>
      <c r="C168" s="1" t="n">
        <v>46140</v>
      </c>
      <c r="D168" t="inlineStr">
        <is>
          <t>VÄSTMANLANDS LÄN</t>
        </is>
      </c>
      <c r="E168" t="inlineStr">
        <is>
          <t>SURAHAMMAR</t>
        </is>
      </c>
      <c r="F168" t="inlineStr">
        <is>
          <t>Kommuner</t>
        </is>
      </c>
      <c r="G168" t="n">
        <v>4.9</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2026-04-28T10:48:43Z</dcterms:created>
  <dcterms:modified xmlns:dcterms="http://purl.org/dc/terms/" xmlns:xsi="http://www.w3.org/2001/XMLSchema-instance" xsi:type="dcterms:W3CDTF">2026-04-28T10:48:43Z</dcterms:modified>
</cp:coreProperties>
</file>