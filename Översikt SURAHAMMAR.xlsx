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45353</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45353</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45353</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45353</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45353</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45353</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45353</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45353</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45353</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45353</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45353</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45353</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45353</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45353</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45353</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45353</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45353</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45353</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45353</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45353</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45353</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45353</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45353</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45353</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45353</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45353</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45353</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59550-2020</t>
        </is>
      </c>
      <c r="B35" s="1" t="n">
        <v>44148</v>
      </c>
      <c r="C35" s="1" t="n">
        <v>45353</v>
      </c>
      <c r="D35" t="inlineStr">
        <is>
          <t>VÄSTMANLANDS LÄN</t>
        </is>
      </c>
      <c r="E35" t="inlineStr">
        <is>
          <t>SURAHAMMAR</t>
        </is>
      </c>
      <c r="G35" t="n">
        <v>0.8</v>
      </c>
      <c r="H35" t="n">
        <v>1</v>
      </c>
      <c r="I35" t="n">
        <v>0</v>
      </c>
      <c r="J35" t="n">
        <v>1</v>
      </c>
      <c r="K35" t="n">
        <v>0</v>
      </c>
      <c r="L35" t="n">
        <v>0</v>
      </c>
      <c r="M35" t="n">
        <v>0</v>
      </c>
      <c r="N35" t="n">
        <v>0</v>
      </c>
      <c r="O35" t="n">
        <v>1</v>
      </c>
      <c r="P35" t="n">
        <v>0</v>
      </c>
      <c r="Q35" t="n">
        <v>2</v>
      </c>
      <c r="R35" s="2" t="inlineStr">
        <is>
          <t>Ljusskivig lerskivling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18717-2021</t>
        </is>
      </c>
      <c r="B36" s="1" t="n">
        <v>44306</v>
      </c>
      <c r="C36" s="1" t="n">
        <v>45353</v>
      </c>
      <c r="D36" t="inlineStr">
        <is>
          <t>VÄSTMANLANDS LÄN</t>
        </is>
      </c>
      <c r="E36" t="inlineStr">
        <is>
          <t>SURAHAMMAR</t>
        </is>
      </c>
      <c r="F36" t="inlineStr">
        <is>
          <t>Bergvik skog väst AB</t>
        </is>
      </c>
      <c r="G36" t="n">
        <v>18</v>
      </c>
      <c r="H36" t="n">
        <v>2</v>
      </c>
      <c r="I36" t="n">
        <v>0</v>
      </c>
      <c r="J36" t="n">
        <v>0</v>
      </c>
      <c r="K36" t="n">
        <v>0</v>
      </c>
      <c r="L36" t="n">
        <v>0</v>
      </c>
      <c r="M36" t="n">
        <v>0</v>
      </c>
      <c r="N36" t="n">
        <v>0</v>
      </c>
      <c r="O36" t="n">
        <v>0</v>
      </c>
      <c r="P36" t="n">
        <v>0</v>
      </c>
      <c r="Q36" t="n">
        <v>2</v>
      </c>
      <c r="R36" s="2" t="inlineStr">
        <is>
          <t>Lopplummer
Revlummer</t>
        </is>
      </c>
      <c r="S36">
        <f>HYPERLINK("https://klasma.github.io/Logging_1907/artfynd/A 18717-2021 artfynd.xlsx", "A 18717-2021")</f>
        <v/>
      </c>
      <c r="T36">
        <f>HYPERLINK("https://klasma.github.io/Logging_1907/kartor/A 18717-2021 karta.png", "A 18717-2021")</f>
        <v/>
      </c>
      <c r="V36">
        <f>HYPERLINK("https://klasma.github.io/Logging_1907/klagomål/A 18717-2021 FSC-klagomål.docx", "A 18717-2021")</f>
        <v/>
      </c>
      <c r="W36">
        <f>HYPERLINK("https://klasma.github.io/Logging_1907/klagomålsmail/A 18717-2021 FSC-klagomål mail.docx", "A 18717-2021")</f>
        <v/>
      </c>
      <c r="X36">
        <f>HYPERLINK("https://klasma.github.io/Logging_1907/tillsyn/A 18717-2021 tillsynsbegäran.docx", "A 18717-2021")</f>
        <v/>
      </c>
      <c r="Y36">
        <f>HYPERLINK("https://klasma.github.io/Logging_1907/tillsynsmail/A 18717-2021 tillsynsbegäran mail.docx", "A 18717-2021")</f>
        <v/>
      </c>
    </row>
    <row r="37" ht="15" customHeight="1">
      <c r="A37" t="inlineStr">
        <is>
          <t>A 21825-2021</t>
        </is>
      </c>
      <c r="B37" s="1" t="n">
        <v>44322</v>
      </c>
      <c r="C37" s="1" t="n">
        <v>45353</v>
      </c>
      <c r="D37" t="inlineStr">
        <is>
          <t>VÄSTMANLANDS LÄN</t>
        </is>
      </c>
      <c r="E37" t="inlineStr">
        <is>
          <t>SURAHAMMAR</t>
        </is>
      </c>
      <c r="G37" t="n">
        <v>4.7</v>
      </c>
      <c r="H37" t="n">
        <v>1</v>
      </c>
      <c r="I37" t="n">
        <v>0</v>
      </c>
      <c r="J37" t="n">
        <v>1</v>
      </c>
      <c r="K37" t="n">
        <v>0</v>
      </c>
      <c r="L37" t="n">
        <v>0</v>
      </c>
      <c r="M37" t="n">
        <v>0</v>
      </c>
      <c r="N37" t="n">
        <v>0</v>
      </c>
      <c r="O37" t="n">
        <v>1</v>
      </c>
      <c r="P37" t="n">
        <v>0</v>
      </c>
      <c r="Q37" t="n">
        <v>2</v>
      </c>
      <c r="R37" s="2" t="inlineStr">
        <is>
          <t>Svinrot
Blåsippa</t>
        </is>
      </c>
      <c r="S37">
        <f>HYPERLINK("https://klasma.github.io/Logging_1907/artfynd/A 21825-2021 artfynd.xlsx", "A 21825-2021")</f>
        <v/>
      </c>
      <c r="T37">
        <f>HYPERLINK("https://klasma.github.io/Logging_1907/kartor/A 21825-2021 karta.png", "A 21825-2021")</f>
        <v/>
      </c>
      <c r="V37">
        <f>HYPERLINK("https://klasma.github.io/Logging_1907/klagomål/A 21825-2021 FSC-klagomål.docx", "A 21825-2021")</f>
        <v/>
      </c>
      <c r="W37">
        <f>HYPERLINK("https://klasma.github.io/Logging_1907/klagomålsmail/A 21825-2021 FSC-klagomål mail.docx", "A 21825-2021")</f>
        <v/>
      </c>
      <c r="X37">
        <f>HYPERLINK("https://klasma.github.io/Logging_1907/tillsyn/A 21825-2021 tillsynsbegäran.docx", "A 21825-2021")</f>
        <v/>
      </c>
      <c r="Y37">
        <f>HYPERLINK("https://klasma.github.io/Logging_1907/tillsynsmail/A 21825-2021 tillsynsbegäran mail.docx", "A 21825-2021")</f>
        <v/>
      </c>
    </row>
    <row r="38" ht="15" customHeight="1">
      <c r="A38" t="inlineStr">
        <is>
          <t>A 37801-2021</t>
        </is>
      </c>
      <c r="B38" s="1" t="n">
        <v>44402</v>
      </c>
      <c r="C38" s="1" t="n">
        <v>45353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45353</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38200-2021</t>
        </is>
      </c>
      <c r="B40" s="1" t="n">
        <v>44405</v>
      </c>
      <c r="C40" s="1" t="n">
        <v>45353</v>
      </c>
      <c r="D40" t="inlineStr">
        <is>
          <t>VÄSTMANLANDS LÄN</t>
        </is>
      </c>
      <c r="E40" t="inlineStr">
        <is>
          <t>SURAHAMMAR</t>
        </is>
      </c>
      <c r="F40" t="inlineStr">
        <is>
          <t>Sveaskog</t>
        </is>
      </c>
      <c r="G40" t="n">
        <v>1.5</v>
      </c>
      <c r="H40" t="n">
        <v>0</v>
      </c>
      <c r="I40" t="n">
        <v>0</v>
      </c>
      <c r="J40" t="n">
        <v>1</v>
      </c>
      <c r="K40" t="n">
        <v>1</v>
      </c>
      <c r="L40" t="n">
        <v>0</v>
      </c>
      <c r="M40" t="n">
        <v>0</v>
      </c>
      <c r="N40" t="n">
        <v>0</v>
      </c>
      <c r="O40" t="n">
        <v>2</v>
      </c>
      <c r="P40" t="n">
        <v>1</v>
      </c>
      <c r="Q40" t="n">
        <v>2</v>
      </c>
      <c r="R40" s="2" t="inlineStr">
        <is>
          <t>Vågticka
Svinrot</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7845-2022</t>
        </is>
      </c>
      <c r="B41" s="1" t="n">
        <v>44608</v>
      </c>
      <c r="C41" s="1" t="n">
        <v>45353</v>
      </c>
      <c r="D41" t="inlineStr">
        <is>
          <t>VÄSTMANLANDS LÄN</t>
        </is>
      </c>
      <c r="E41" t="inlineStr">
        <is>
          <t>SURAHAMMAR</t>
        </is>
      </c>
      <c r="G41" t="n">
        <v>3</v>
      </c>
      <c r="H41" t="n">
        <v>1</v>
      </c>
      <c r="I41" t="n">
        <v>1</v>
      </c>
      <c r="J41" t="n">
        <v>0</v>
      </c>
      <c r="K41" t="n">
        <v>1</v>
      </c>
      <c r="L41" t="n">
        <v>0</v>
      </c>
      <c r="M41" t="n">
        <v>0</v>
      </c>
      <c r="N41" t="n">
        <v>0</v>
      </c>
      <c r="O41" t="n">
        <v>1</v>
      </c>
      <c r="P41" t="n">
        <v>1</v>
      </c>
      <c r="Q41" t="n">
        <v>2</v>
      </c>
      <c r="R41" s="2" t="inlineStr">
        <is>
          <t>Knärot
Vedticka</t>
        </is>
      </c>
      <c r="S41">
        <f>HYPERLINK("https://klasma.github.io/Logging_1907/artfynd/A 7845-2022 artfynd.xlsx", "A 7845-2022")</f>
        <v/>
      </c>
      <c r="T41">
        <f>HYPERLINK("https://klasma.github.io/Logging_1907/kartor/A 7845-2022 karta.png", "A 7845-2022")</f>
        <v/>
      </c>
      <c r="U41">
        <f>HYPERLINK("https://klasma.github.io/Logging_1907/knärot/A 7845-2022 karta knärot.png", "A 7845-2022")</f>
        <v/>
      </c>
      <c r="V41">
        <f>HYPERLINK("https://klasma.github.io/Logging_1907/klagomål/A 7845-2022 FSC-klagomål.docx", "A 7845-2022")</f>
        <v/>
      </c>
      <c r="W41">
        <f>HYPERLINK("https://klasma.github.io/Logging_1907/klagomålsmail/A 7845-2022 FSC-klagomål mail.docx", "A 7845-2022")</f>
        <v/>
      </c>
      <c r="X41">
        <f>HYPERLINK("https://klasma.github.io/Logging_1907/tillsyn/A 7845-2022 tillsynsbegäran.docx", "A 7845-2022")</f>
        <v/>
      </c>
      <c r="Y41">
        <f>HYPERLINK("https://klasma.github.io/Logging_1907/tillsynsmail/A 7845-2022 tillsynsbegäran mail.docx", "A 7845-2022")</f>
        <v/>
      </c>
    </row>
    <row r="42" ht="15" customHeight="1">
      <c r="A42" t="inlineStr">
        <is>
          <t>A 16217-2023</t>
        </is>
      </c>
      <c r="B42" s="1" t="n">
        <v>45022</v>
      </c>
      <c r="C42" s="1" t="n">
        <v>45353</v>
      </c>
      <c r="D42" t="inlineStr">
        <is>
          <t>VÄSTMANLANDS LÄN</t>
        </is>
      </c>
      <c r="E42" t="inlineStr">
        <is>
          <t>SURAHAMMAR</t>
        </is>
      </c>
      <c r="G42" t="n">
        <v>2.6</v>
      </c>
      <c r="H42" t="n">
        <v>1</v>
      </c>
      <c r="I42" t="n">
        <v>1</v>
      </c>
      <c r="J42" t="n">
        <v>1</v>
      </c>
      <c r="K42" t="n">
        <v>0</v>
      </c>
      <c r="L42" t="n">
        <v>0</v>
      </c>
      <c r="M42" t="n">
        <v>0</v>
      </c>
      <c r="N42" t="n">
        <v>0</v>
      </c>
      <c r="O42" t="n">
        <v>1</v>
      </c>
      <c r="P42" t="n">
        <v>0</v>
      </c>
      <c r="Q42" t="n">
        <v>2</v>
      </c>
      <c r="R42" s="2" t="inlineStr">
        <is>
          <t>Tretåig hackspett
Gullgröppa</t>
        </is>
      </c>
      <c r="S42">
        <f>HYPERLINK("https://klasma.github.io/Logging_1907/artfynd/A 16217-2023 artfynd.xlsx", "A 16217-2023")</f>
        <v/>
      </c>
      <c r="T42">
        <f>HYPERLINK("https://klasma.github.io/Logging_1907/kartor/A 16217-2023 karta.png", "A 16217-2023")</f>
        <v/>
      </c>
      <c r="V42">
        <f>HYPERLINK("https://klasma.github.io/Logging_1907/klagomål/A 16217-2023 FSC-klagomål.docx", "A 16217-2023")</f>
        <v/>
      </c>
      <c r="W42">
        <f>HYPERLINK("https://klasma.github.io/Logging_1907/klagomålsmail/A 16217-2023 FSC-klagomål mail.docx", "A 16217-2023")</f>
        <v/>
      </c>
      <c r="X42">
        <f>HYPERLINK("https://klasma.github.io/Logging_1907/tillsyn/A 16217-2023 tillsynsbegäran.docx", "A 16217-2023")</f>
        <v/>
      </c>
      <c r="Y42">
        <f>HYPERLINK("https://klasma.github.io/Logging_1907/tillsynsmail/A 16217-2023 tillsynsbegäran mail.docx", "A 16217-2023")</f>
        <v/>
      </c>
      <c r="Z42">
        <f>HYPERLINK("https://klasma.github.io/Logging_1907/fåglar/A 16217-2023 prioriterade fågelarter.docx", "A 16217-2023")</f>
        <v/>
      </c>
    </row>
    <row r="43" ht="15" customHeight="1">
      <c r="A43" t="inlineStr">
        <is>
          <t>A 23734-2023</t>
        </is>
      </c>
      <c r="B43" s="1" t="n">
        <v>45077</v>
      </c>
      <c r="C43" s="1" t="n">
        <v>45353</v>
      </c>
      <c r="D43" t="inlineStr">
        <is>
          <t>VÄSTMANLANDS LÄN</t>
        </is>
      </c>
      <c r="E43" t="inlineStr">
        <is>
          <t>SURAHAMMAR</t>
        </is>
      </c>
      <c r="F43" t="inlineStr">
        <is>
          <t>Sveaskog</t>
        </is>
      </c>
      <c r="G43" t="n">
        <v>6.7</v>
      </c>
      <c r="H43" t="n">
        <v>0</v>
      </c>
      <c r="I43" t="n">
        <v>0</v>
      </c>
      <c r="J43" t="n">
        <v>1</v>
      </c>
      <c r="K43" t="n">
        <v>1</v>
      </c>
      <c r="L43" t="n">
        <v>0</v>
      </c>
      <c r="M43" t="n">
        <v>0</v>
      </c>
      <c r="N43" t="n">
        <v>0</v>
      </c>
      <c r="O43" t="n">
        <v>2</v>
      </c>
      <c r="P43" t="n">
        <v>1</v>
      </c>
      <c r="Q43" t="n">
        <v>2</v>
      </c>
      <c r="R43" s="2" t="inlineStr">
        <is>
          <t>Hängticka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row>
    <row r="44" ht="15" customHeight="1">
      <c r="A44" t="inlineStr">
        <is>
          <t>A 28043-2023</t>
        </is>
      </c>
      <c r="B44" s="1" t="n">
        <v>45099</v>
      </c>
      <c r="C44" s="1" t="n">
        <v>45353</v>
      </c>
      <c r="D44" t="inlineStr">
        <is>
          <t>VÄSTMANLANDS LÄN</t>
        </is>
      </c>
      <c r="E44" t="inlineStr">
        <is>
          <t>SURAHAMMAR</t>
        </is>
      </c>
      <c r="F44" t="inlineStr">
        <is>
          <t>Allmännings- och besparingsskogar</t>
        </is>
      </c>
      <c r="G44" t="n">
        <v>23.9</v>
      </c>
      <c r="H44" t="n">
        <v>1</v>
      </c>
      <c r="I44" t="n">
        <v>0</v>
      </c>
      <c r="J44" t="n">
        <v>1</v>
      </c>
      <c r="K44" t="n">
        <v>0</v>
      </c>
      <c r="L44" t="n">
        <v>0</v>
      </c>
      <c r="M44" t="n">
        <v>0</v>
      </c>
      <c r="N44" t="n">
        <v>0</v>
      </c>
      <c r="O44" t="n">
        <v>1</v>
      </c>
      <c r="P44" t="n">
        <v>0</v>
      </c>
      <c r="Q44" t="n">
        <v>2</v>
      </c>
      <c r="R44" s="2" t="inlineStr">
        <is>
          <t>Gropticka
Revlummer</t>
        </is>
      </c>
      <c r="S44">
        <f>HYPERLINK("https://klasma.github.io/Logging_1907/artfynd/A 28043-2023 artfynd.xlsx", "A 28043-2023")</f>
        <v/>
      </c>
      <c r="T44">
        <f>HYPERLINK("https://klasma.github.io/Logging_1907/kartor/A 28043-2023 karta.png", "A 28043-2023")</f>
        <v/>
      </c>
      <c r="V44">
        <f>HYPERLINK("https://klasma.github.io/Logging_1907/klagomål/A 28043-2023 FSC-klagomål.docx", "A 28043-2023")</f>
        <v/>
      </c>
      <c r="W44">
        <f>HYPERLINK("https://klasma.github.io/Logging_1907/klagomålsmail/A 28043-2023 FSC-klagomål mail.docx", "A 28043-2023")</f>
        <v/>
      </c>
      <c r="X44">
        <f>HYPERLINK("https://klasma.github.io/Logging_1907/tillsyn/A 28043-2023 tillsynsbegäran.docx", "A 28043-2023")</f>
        <v/>
      </c>
      <c r="Y44">
        <f>HYPERLINK("https://klasma.github.io/Logging_1907/tillsynsmail/A 28043-2023 tillsynsbegäran mail.docx", "A 28043-2023")</f>
        <v/>
      </c>
    </row>
    <row r="45" ht="15" customHeight="1">
      <c r="A45" t="inlineStr">
        <is>
          <t>A 41204-2023</t>
        </is>
      </c>
      <c r="B45" s="1" t="n">
        <v>45174</v>
      </c>
      <c r="C45" s="1" t="n">
        <v>45353</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7796-2024</t>
        </is>
      </c>
      <c r="B46" s="1" t="n">
        <v>45348</v>
      </c>
      <c r="C46" s="1" t="n">
        <v>45353</v>
      </c>
      <c r="D46" t="inlineStr">
        <is>
          <t>VÄSTMANLANDS LÄN</t>
        </is>
      </c>
      <c r="E46" t="inlineStr">
        <is>
          <t>SURAHAMMAR</t>
        </is>
      </c>
      <c r="G46" t="n">
        <v>10.5</v>
      </c>
      <c r="H46" t="n">
        <v>1</v>
      </c>
      <c r="I46" t="n">
        <v>1</v>
      </c>
      <c r="J46" t="n">
        <v>1</v>
      </c>
      <c r="K46" t="n">
        <v>0</v>
      </c>
      <c r="L46" t="n">
        <v>0</v>
      </c>
      <c r="M46" t="n">
        <v>0</v>
      </c>
      <c r="N46" t="n">
        <v>0</v>
      </c>
      <c r="O46" t="n">
        <v>1</v>
      </c>
      <c r="P46" t="n">
        <v>0</v>
      </c>
      <c r="Q46" t="n">
        <v>2</v>
      </c>
      <c r="R46" s="2" t="inlineStr">
        <is>
          <t>Ullticka
Plattlummer</t>
        </is>
      </c>
      <c r="S46">
        <f>HYPERLINK("https://klasma.github.io/Logging_1907/artfynd/A 7796-2024 artfynd.xlsx", "A 7796-2024")</f>
        <v/>
      </c>
      <c r="T46">
        <f>HYPERLINK("https://klasma.github.io/Logging_1907/kartor/A 7796-2024 karta.png", "A 7796-2024")</f>
        <v/>
      </c>
      <c r="V46">
        <f>HYPERLINK("https://klasma.github.io/Logging_1907/klagomål/A 7796-2024 FSC-klagomål.docx", "A 7796-2024")</f>
        <v/>
      </c>
      <c r="W46">
        <f>HYPERLINK("https://klasma.github.io/Logging_1907/klagomålsmail/A 7796-2024 FSC-klagomål mail.docx", "A 7796-2024")</f>
        <v/>
      </c>
      <c r="X46">
        <f>HYPERLINK("https://klasma.github.io/Logging_1907/tillsyn/A 7796-2024 tillsynsbegäran.docx", "A 7796-2024")</f>
        <v/>
      </c>
      <c r="Y46">
        <f>HYPERLINK("https://klasma.github.io/Logging_1907/tillsynsmail/A 7796-2024 tillsynsbegäran mail.docx", "A 7796-2024")</f>
        <v/>
      </c>
    </row>
    <row r="47" ht="15" customHeight="1">
      <c r="A47" t="inlineStr">
        <is>
          <t>A 4575-2019</t>
        </is>
      </c>
      <c r="B47" s="1" t="n">
        <v>43486</v>
      </c>
      <c r="C47" s="1" t="n">
        <v>45353</v>
      </c>
      <c r="D47" t="inlineStr">
        <is>
          <t>VÄSTMANLANDS LÄN</t>
        </is>
      </c>
      <c r="E47" t="inlineStr">
        <is>
          <t>SURAHAMMAR</t>
        </is>
      </c>
      <c r="G47" t="n">
        <v>8.800000000000001</v>
      </c>
      <c r="H47" t="n">
        <v>1</v>
      </c>
      <c r="I47" t="n">
        <v>0</v>
      </c>
      <c r="J47" t="n">
        <v>0</v>
      </c>
      <c r="K47" t="n">
        <v>1</v>
      </c>
      <c r="L47" t="n">
        <v>0</v>
      </c>
      <c r="M47" t="n">
        <v>0</v>
      </c>
      <c r="N47" t="n">
        <v>0</v>
      </c>
      <c r="O47" t="n">
        <v>1</v>
      </c>
      <c r="P47" t="n">
        <v>1</v>
      </c>
      <c r="Q47" t="n">
        <v>1</v>
      </c>
      <c r="R47" s="2" t="inlineStr">
        <is>
          <t>Knärot</t>
        </is>
      </c>
      <c r="S47">
        <f>HYPERLINK("https://klasma.github.io/Logging_1907/artfynd/A 4575-2019 artfynd.xlsx", "A 4575-2019")</f>
        <v/>
      </c>
      <c r="T47">
        <f>HYPERLINK("https://klasma.github.io/Logging_1907/kartor/A 4575-2019 karta.png", "A 4575-2019")</f>
        <v/>
      </c>
      <c r="U47">
        <f>HYPERLINK("https://klasma.github.io/Logging_1907/knärot/A 4575-2019 karta knärot.png", "A 4575-2019")</f>
        <v/>
      </c>
      <c r="V47">
        <f>HYPERLINK("https://klasma.github.io/Logging_1907/klagomål/A 4575-2019 FSC-klagomål.docx", "A 4575-2019")</f>
        <v/>
      </c>
      <c r="W47">
        <f>HYPERLINK("https://klasma.github.io/Logging_1907/klagomålsmail/A 4575-2019 FSC-klagomål mail.docx", "A 4575-2019")</f>
        <v/>
      </c>
      <c r="X47">
        <f>HYPERLINK("https://klasma.github.io/Logging_1907/tillsyn/A 4575-2019 tillsynsbegäran.docx", "A 4575-2019")</f>
        <v/>
      </c>
      <c r="Y47">
        <f>HYPERLINK("https://klasma.github.io/Logging_1907/tillsynsmail/A 4575-2019 tillsynsbegäran mail.docx", "A 4575-2019")</f>
        <v/>
      </c>
    </row>
    <row r="48" ht="15" customHeight="1">
      <c r="A48" t="inlineStr">
        <is>
          <t>A 11098-2019</t>
        </is>
      </c>
      <c r="B48" s="1" t="n">
        <v>43516</v>
      </c>
      <c r="C48" s="1" t="n">
        <v>45353</v>
      </c>
      <c r="D48" t="inlineStr">
        <is>
          <t>VÄSTMANLANDS LÄN</t>
        </is>
      </c>
      <c r="E48" t="inlineStr">
        <is>
          <t>SURAHAMMAR</t>
        </is>
      </c>
      <c r="F48" t="inlineStr">
        <is>
          <t>Övriga Aktiebolag</t>
        </is>
      </c>
      <c r="G48" t="n">
        <v>5.5</v>
      </c>
      <c r="H48" t="n">
        <v>0</v>
      </c>
      <c r="I48" t="n">
        <v>1</v>
      </c>
      <c r="J48" t="n">
        <v>0</v>
      </c>
      <c r="K48" t="n">
        <v>0</v>
      </c>
      <c r="L48" t="n">
        <v>0</v>
      </c>
      <c r="M48" t="n">
        <v>0</v>
      </c>
      <c r="N48" t="n">
        <v>0</v>
      </c>
      <c r="O48" t="n">
        <v>0</v>
      </c>
      <c r="P48" t="n">
        <v>0</v>
      </c>
      <c r="Q48" t="n">
        <v>1</v>
      </c>
      <c r="R48" s="2" t="inlineStr">
        <is>
          <t>Kamjordstjärna</t>
        </is>
      </c>
      <c r="S48">
        <f>HYPERLINK("https://klasma.github.io/Logging_1907/artfynd/A 11098-2019 artfynd.xlsx", "A 11098-2019")</f>
        <v/>
      </c>
      <c r="T48">
        <f>HYPERLINK("https://klasma.github.io/Logging_1907/kartor/A 11098-2019 karta.png", "A 11098-2019")</f>
        <v/>
      </c>
      <c r="V48">
        <f>HYPERLINK("https://klasma.github.io/Logging_1907/klagomål/A 11098-2019 FSC-klagomål.docx", "A 11098-2019")</f>
        <v/>
      </c>
      <c r="W48">
        <f>HYPERLINK("https://klasma.github.io/Logging_1907/klagomålsmail/A 11098-2019 FSC-klagomål mail.docx", "A 11098-2019")</f>
        <v/>
      </c>
      <c r="X48">
        <f>HYPERLINK("https://klasma.github.io/Logging_1907/tillsyn/A 11098-2019 tillsynsbegäran.docx", "A 11098-2019")</f>
        <v/>
      </c>
      <c r="Y48">
        <f>HYPERLINK("https://klasma.github.io/Logging_1907/tillsynsmail/A 11098-2019 tillsynsbegäran mail.docx", "A 11098-2019")</f>
        <v/>
      </c>
    </row>
    <row r="49" ht="15" customHeight="1">
      <c r="A49" t="inlineStr">
        <is>
          <t>A 16181-2019</t>
        </is>
      </c>
      <c r="B49" s="1" t="n">
        <v>43545</v>
      </c>
      <c r="C49" s="1" t="n">
        <v>45353</v>
      </c>
      <c r="D49" t="inlineStr">
        <is>
          <t>VÄSTMANLANDS LÄN</t>
        </is>
      </c>
      <c r="E49" t="inlineStr">
        <is>
          <t>SURAHAMMAR</t>
        </is>
      </c>
      <c r="G49" t="n">
        <v>0.6</v>
      </c>
      <c r="H49" t="n">
        <v>0</v>
      </c>
      <c r="I49" t="n">
        <v>1</v>
      </c>
      <c r="J49" t="n">
        <v>0</v>
      </c>
      <c r="K49" t="n">
        <v>0</v>
      </c>
      <c r="L49" t="n">
        <v>0</v>
      </c>
      <c r="M49" t="n">
        <v>0</v>
      </c>
      <c r="N49" t="n">
        <v>0</v>
      </c>
      <c r="O49" t="n">
        <v>0</v>
      </c>
      <c r="P49" t="n">
        <v>0</v>
      </c>
      <c r="Q49" t="n">
        <v>1</v>
      </c>
      <c r="R49" s="2" t="inlineStr">
        <is>
          <t>Sotlav</t>
        </is>
      </c>
      <c r="S49">
        <f>HYPERLINK("https://klasma.github.io/Logging_1907/artfynd/A 16181-2019 artfynd.xlsx", "A 16181-2019")</f>
        <v/>
      </c>
      <c r="T49">
        <f>HYPERLINK("https://klasma.github.io/Logging_1907/kartor/A 16181-2019 karta.png", "A 16181-2019")</f>
        <v/>
      </c>
      <c r="V49">
        <f>HYPERLINK("https://klasma.github.io/Logging_1907/klagomål/A 16181-2019 FSC-klagomål.docx", "A 16181-2019")</f>
        <v/>
      </c>
      <c r="W49">
        <f>HYPERLINK("https://klasma.github.io/Logging_1907/klagomålsmail/A 16181-2019 FSC-klagomål mail.docx", "A 16181-2019")</f>
        <v/>
      </c>
      <c r="X49">
        <f>HYPERLINK("https://klasma.github.io/Logging_1907/tillsyn/A 16181-2019 tillsynsbegäran.docx", "A 16181-2019")</f>
        <v/>
      </c>
      <c r="Y49">
        <f>HYPERLINK("https://klasma.github.io/Logging_1907/tillsynsmail/A 16181-2019 tillsynsbegäran mail.docx", "A 16181-2019")</f>
        <v/>
      </c>
    </row>
    <row r="50" ht="15" customHeight="1">
      <c r="A50" t="inlineStr">
        <is>
          <t>A 18948-2019</t>
        </is>
      </c>
      <c r="B50" s="1" t="n">
        <v>43563</v>
      </c>
      <c r="C50" s="1" t="n">
        <v>45353</v>
      </c>
      <c r="D50" t="inlineStr">
        <is>
          <t>VÄSTMANLANDS LÄN</t>
        </is>
      </c>
      <c r="E50" t="inlineStr">
        <is>
          <t>SURAHAMMAR</t>
        </is>
      </c>
      <c r="F50" t="inlineStr">
        <is>
          <t>Övriga Aktiebolag</t>
        </is>
      </c>
      <c r="G50" t="n">
        <v>1.9</v>
      </c>
      <c r="H50" t="n">
        <v>0</v>
      </c>
      <c r="I50" t="n">
        <v>0</v>
      </c>
      <c r="J50" t="n">
        <v>0</v>
      </c>
      <c r="K50" t="n">
        <v>0</v>
      </c>
      <c r="L50" t="n">
        <v>1</v>
      </c>
      <c r="M50" t="n">
        <v>0</v>
      </c>
      <c r="N50" t="n">
        <v>0</v>
      </c>
      <c r="O50" t="n">
        <v>1</v>
      </c>
      <c r="P50" t="n">
        <v>1</v>
      </c>
      <c r="Q50" t="n">
        <v>1</v>
      </c>
      <c r="R50" s="2" t="inlineStr">
        <is>
          <t>Ask</t>
        </is>
      </c>
      <c r="S50">
        <f>HYPERLINK("https://klasma.github.io/Logging_1907/artfynd/A 18948-2019 artfynd.xlsx", "A 18948-2019")</f>
        <v/>
      </c>
      <c r="T50">
        <f>HYPERLINK("https://klasma.github.io/Logging_1907/kartor/A 18948-2019 karta.png", "A 18948-2019")</f>
        <v/>
      </c>
      <c r="V50">
        <f>HYPERLINK("https://klasma.github.io/Logging_1907/klagomål/A 18948-2019 FSC-klagomål.docx", "A 18948-2019")</f>
        <v/>
      </c>
      <c r="W50">
        <f>HYPERLINK("https://klasma.github.io/Logging_1907/klagomålsmail/A 18948-2019 FSC-klagomål mail.docx", "A 18948-2019")</f>
        <v/>
      </c>
      <c r="X50">
        <f>HYPERLINK("https://klasma.github.io/Logging_1907/tillsyn/A 18948-2019 tillsynsbegäran.docx", "A 18948-2019")</f>
        <v/>
      </c>
      <c r="Y50">
        <f>HYPERLINK("https://klasma.github.io/Logging_1907/tillsynsmail/A 18948-2019 tillsynsbegäran mail.docx", "A 18948-2019")</f>
        <v/>
      </c>
    </row>
    <row r="51" ht="15" customHeight="1">
      <c r="A51" t="inlineStr">
        <is>
          <t>A 28276-2019</t>
        </is>
      </c>
      <c r="B51" s="1" t="n">
        <v>43623</v>
      </c>
      <c r="C51" s="1" t="n">
        <v>45353</v>
      </c>
      <c r="D51" t="inlineStr">
        <is>
          <t>VÄSTMANLANDS LÄN</t>
        </is>
      </c>
      <c r="E51" t="inlineStr">
        <is>
          <t>SURAHAMMAR</t>
        </is>
      </c>
      <c r="F51" t="inlineStr">
        <is>
          <t>Allmännings- och besparingsskogar</t>
        </is>
      </c>
      <c r="G51" t="n">
        <v>8.4</v>
      </c>
      <c r="H51" t="n">
        <v>0</v>
      </c>
      <c r="I51" t="n">
        <v>0</v>
      </c>
      <c r="J51" t="n">
        <v>1</v>
      </c>
      <c r="K51" t="n">
        <v>0</v>
      </c>
      <c r="L51" t="n">
        <v>0</v>
      </c>
      <c r="M51" t="n">
        <v>0</v>
      </c>
      <c r="N51" t="n">
        <v>0</v>
      </c>
      <c r="O51" t="n">
        <v>1</v>
      </c>
      <c r="P51" t="n">
        <v>0</v>
      </c>
      <c r="Q51" t="n">
        <v>1</v>
      </c>
      <c r="R51" s="2" t="inlineStr">
        <is>
          <t>Hapalopilus aurantiacus</t>
        </is>
      </c>
      <c r="S51">
        <f>HYPERLINK("https://klasma.github.io/Logging_1907/artfynd/A 28276-2019 artfynd.xlsx", "A 28276-2019")</f>
        <v/>
      </c>
      <c r="T51">
        <f>HYPERLINK("https://klasma.github.io/Logging_1907/kartor/A 28276-2019 karta.png", "A 28276-2019")</f>
        <v/>
      </c>
      <c r="V51">
        <f>HYPERLINK("https://klasma.github.io/Logging_1907/klagomål/A 28276-2019 FSC-klagomål.docx", "A 28276-2019")</f>
        <v/>
      </c>
      <c r="W51">
        <f>HYPERLINK("https://klasma.github.io/Logging_1907/klagomålsmail/A 28276-2019 FSC-klagomål mail.docx", "A 28276-2019")</f>
        <v/>
      </c>
      <c r="X51">
        <f>HYPERLINK("https://klasma.github.io/Logging_1907/tillsyn/A 28276-2019 tillsynsbegäran.docx", "A 28276-2019")</f>
        <v/>
      </c>
      <c r="Y51">
        <f>HYPERLINK("https://klasma.github.io/Logging_1907/tillsynsmail/A 28276-2019 tillsynsbegäran mail.docx", "A 28276-2019")</f>
        <v/>
      </c>
    </row>
    <row r="52" ht="15" customHeight="1">
      <c r="A52" t="inlineStr">
        <is>
          <t>A 33879-2019</t>
        </is>
      </c>
      <c r="B52" s="1" t="n">
        <v>43653</v>
      </c>
      <c r="C52" s="1" t="n">
        <v>45353</v>
      </c>
      <c r="D52" t="inlineStr">
        <is>
          <t>VÄSTMANLANDS LÄN</t>
        </is>
      </c>
      <c r="E52" t="inlineStr">
        <is>
          <t>SURAHAMMAR</t>
        </is>
      </c>
      <c r="F52" t="inlineStr">
        <is>
          <t>Kyrkan</t>
        </is>
      </c>
      <c r="G52" t="n">
        <v>1.8</v>
      </c>
      <c r="H52" t="n">
        <v>1</v>
      </c>
      <c r="I52" t="n">
        <v>0</v>
      </c>
      <c r="J52" t="n">
        <v>0</v>
      </c>
      <c r="K52" t="n">
        <v>1</v>
      </c>
      <c r="L52" t="n">
        <v>0</v>
      </c>
      <c r="M52" t="n">
        <v>0</v>
      </c>
      <c r="N52" t="n">
        <v>0</v>
      </c>
      <c r="O52" t="n">
        <v>1</v>
      </c>
      <c r="P52" t="n">
        <v>1</v>
      </c>
      <c r="Q52" t="n">
        <v>1</v>
      </c>
      <c r="R52" s="2" t="inlineStr">
        <is>
          <t>Bombmurkla</t>
        </is>
      </c>
      <c r="S52">
        <f>HYPERLINK("https://klasma.github.io/Logging_1907/artfynd/A 33879-2019 artfynd.xlsx", "A 33879-2019")</f>
        <v/>
      </c>
      <c r="T52">
        <f>HYPERLINK("https://klasma.github.io/Logging_1907/kartor/A 33879-2019 karta.png", "A 33879-2019")</f>
        <v/>
      </c>
      <c r="V52">
        <f>HYPERLINK("https://klasma.github.io/Logging_1907/klagomål/A 33879-2019 FSC-klagomål.docx", "A 33879-2019")</f>
        <v/>
      </c>
      <c r="W52">
        <f>HYPERLINK("https://klasma.github.io/Logging_1907/klagomålsmail/A 33879-2019 FSC-klagomål mail.docx", "A 33879-2019")</f>
        <v/>
      </c>
      <c r="X52">
        <f>HYPERLINK("https://klasma.github.io/Logging_1907/tillsyn/A 33879-2019 tillsynsbegäran.docx", "A 33879-2019")</f>
        <v/>
      </c>
      <c r="Y52">
        <f>HYPERLINK("https://klasma.github.io/Logging_1907/tillsynsmail/A 33879-2019 tillsynsbegäran mail.docx", "A 33879-2019")</f>
        <v/>
      </c>
    </row>
    <row r="53" ht="15" customHeight="1">
      <c r="A53" t="inlineStr">
        <is>
          <t>A 39755-2019</t>
        </is>
      </c>
      <c r="B53" s="1" t="n">
        <v>43692</v>
      </c>
      <c r="C53" s="1" t="n">
        <v>45353</v>
      </c>
      <c r="D53" t="inlineStr">
        <is>
          <t>VÄSTMANLANDS LÄN</t>
        </is>
      </c>
      <c r="E53" t="inlineStr">
        <is>
          <t>SURAHAMMAR</t>
        </is>
      </c>
      <c r="F53" t="inlineStr">
        <is>
          <t>Övriga Aktiebolag</t>
        </is>
      </c>
      <c r="G53" t="n">
        <v>11.8</v>
      </c>
      <c r="H53" t="n">
        <v>1</v>
      </c>
      <c r="I53" t="n">
        <v>0</v>
      </c>
      <c r="J53" t="n">
        <v>0</v>
      </c>
      <c r="K53" t="n">
        <v>0</v>
      </c>
      <c r="L53" t="n">
        <v>0</v>
      </c>
      <c r="M53" t="n">
        <v>0</v>
      </c>
      <c r="N53" t="n">
        <v>0</v>
      </c>
      <c r="O53" t="n">
        <v>0</v>
      </c>
      <c r="P53" t="n">
        <v>0</v>
      </c>
      <c r="Q53" t="n">
        <v>1</v>
      </c>
      <c r="R53" s="2" t="inlineStr">
        <is>
          <t>Kopparödla</t>
        </is>
      </c>
      <c r="S53">
        <f>HYPERLINK("https://klasma.github.io/Logging_1907/artfynd/A 39755-2019 artfynd.xlsx", "A 39755-2019")</f>
        <v/>
      </c>
      <c r="T53">
        <f>HYPERLINK("https://klasma.github.io/Logging_1907/kartor/A 39755-2019 karta.png", "A 39755-2019")</f>
        <v/>
      </c>
      <c r="V53">
        <f>HYPERLINK("https://klasma.github.io/Logging_1907/klagomål/A 39755-2019 FSC-klagomål.docx", "A 39755-2019")</f>
        <v/>
      </c>
      <c r="W53">
        <f>HYPERLINK("https://klasma.github.io/Logging_1907/klagomålsmail/A 39755-2019 FSC-klagomål mail.docx", "A 39755-2019")</f>
        <v/>
      </c>
      <c r="X53">
        <f>HYPERLINK("https://klasma.github.io/Logging_1907/tillsyn/A 39755-2019 tillsynsbegäran.docx", "A 39755-2019")</f>
        <v/>
      </c>
      <c r="Y53">
        <f>HYPERLINK("https://klasma.github.io/Logging_1907/tillsynsmail/A 39755-2019 tillsynsbegäran mail.docx", "A 39755-2019")</f>
        <v/>
      </c>
    </row>
    <row r="54" ht="15" customHeight="1">
      <c r="A54" t="inlineStr">
        <is>
          <t>A 2708-2020</t>
        </is>
      </c>
      <c r="B54" s="1" t="n">
        <v>43850</v>
      </c>
      <c r="C54" s="1" t="n">
        <v>45353</v>
      </c>
      <c r="D54" t="inlineStr">
        <is>
          <t>VÄSTMANLANDS LÄN</t>
        </is>
      </c>
      <c r="E54" t="inlineStr">
        <is>
          <t>SURAHAMMAR</t>
        </is>
      </c>
      <c r="F54" t="inlineStr">
        <is>
          <t>Övriga Aktiebolag</t>
        </is>
      </c>
      <c r="G54" t="n">
        <v>29.7</v>
      </c>
      <c r="H54" t="n">
        <v>0</v>
      </c>
      <c r="I54" t="n">
        <v>0</v>
      </c>
      <c r="J54" t="n">
        <v>1</v>
      </c>
      <c r="K54" t="n">
        <v>0</v>
      </c>
      <c r="L54" t="n">
        <v>0</v>
      </c>
      <c r="M54" t="n">
        <v>0</v>
      </c>
      <c r="N54" t="n">
        <v>0</v>
      </c>
      <c r="O54" t="n">
        <v>1</v>
      </c>
      <c r="P54" t="n">
        <v>0</v>
      </c>
      <c r="Q54" t="n">
        <v>1</v>
      </c>
      <c r="R54" s="2" t="inlineStr">
        <is>
          <t>Ullticka</t>
        </is>
      </c>
      <c r="S54">
        <f>HYPERLINK("https://klasma.github.io/Logging_1907/artfynd/A 2708-2020 artfynd.xlsx", "A 2708-2020")</f>
        <v/>
      </c>
      <c r="T54">
        <f>HYPERLINK("https://klasma.github.io/Logging_1907/kartor/A 2708-2020 karta.png", "A 2708-2020")</f>
        <v/>
      </c>
      <c r="V54">
        <f>HYPERLINK("https://klasma.github.io/Logging_1907/klagomål/A 2708-2020 FSC-klagomål.docx", "A 2708-2020")</f>
        <v/>
      </c>
      <c r="W54">
        <f>HYPERLINK("https://klasma.github.io/Logging_1907/klagomålsmail/A 2708-2020 FSC-klagomål mail.docx", "A 2708-2020")</f>
        <v/>
      </c>
      <c r="X54">
        <f>HYPERLINK("https://klasma.github.io/Logging_1907/tillsyn/A 2708-2020 tillsynsbegäran.docx", "A 2708-2020")</f>
        <v/>
      </c>
      <c r="Y54">
        <f>HYPERLINK("https://klasma.github.io/Logging_1907/tillsynsmail/A 2708-2020 tillsynsbegäran mail.docx", "A 2708-2020")</f>
        <v/>
      </c>
    </row>
    <row r="55" ht="15" customHeight="1">
      <c r="A55" t="inlineStr">
        <is>
          <t>A 6514-2020</t>
        </is>
      </c>
      <c r="B55" s="1" t="n">
        <v>43867</v>
      </c>
      <c r="C55" s="1" t="n">
        <v>45353</v>
      </c>
      <c r="D55" t="inlineStr">
        <is>
          <t>VÄSTMANLANDS LÄN</t>
        </is>
      </c>
      <c r="E55" t="inlineStr">
        <is>
          <t>SURAHAMMAR</t>
        </is>
      </c>
      <c r="G55" t="n">
        <v>2.2</v>
      </c>
      <c r="H55" t="n">
        <v>1</v>
      </c>
      <c r="I55" t="n">
        <v>0</v>
      </c>
      <c r="J55" t="n">
        <v>0</v>
      </c>
      <c r="K55" t="n">
        <v>1</v>
      </c>
      <c r="L55" t="n">
        <v>0</v>
      </c>
      <c r="M55" t="n">
        <v>0</v>
      </c>
      <c r="N55" t="n">
        <v>0</v>
      </c>
      <c r="O55" t="n">
        <v>1</v>
      </c>
      <c r="P55" t="n">
        <v>1</v>
      </c>
      <c r="Q55" t="n">
        <v>1</v>
      </c>
      <c r="R55" s="2" t="inlineStr">
        <is>
          <t>Bombmurkla</t>
        </is>
      </c>
      <c r="S55">
        <f>HYPERLINK("https://klasma.github.io/Logging_1907/artfynd/A 6514-2020 artfynd.xlsx", "A 6514-2020")</f>
        <v/>
      </c>
      <c r="T55">
        <f>HYPERLINK("https://klasma.github.io/Logging_1907/kartor/A 6514-2020 karta.png", "A 6514-2020")</f>
        <v/>
      </c>
      <c r="V55">
        <f>HYPERLINK("https://klasma.github.io/Logging_1907/klagomål/A 6514-2020 FSC-klagomål.docx", "A 6514-2020")</f>
        <v/>
      </c>
      <c r="W55">
        <f>HYPERLINK("https://klasma.github.io/Logging_1907/klagomålsmail/A 6514-2020 FSC-klagomål mail.docx", "A 6514-2020")</f>
        <v/>
      </c>
      <c r="X55">
        <f>HYPERLINK("https://klasma.github.io/Logging_1907/tillsyn/A 6514-2020 tillsynsbegäran.docx", "A 6514-2020")</f>
        <v/>
      </c>
      <c r="Y55">
        <f>HYPERLINK("https://klasma.github.io/Logging_1907/tillsynsmail/A 6514-2020 tillsynsbegäran mail.docx", "A 6514-2020")</f>
        <v/>
      </c>
    </row>
    <row r="56" ht="15" customHeight="1">
      <c r="A56" t="inlineStr">
        <is>
          <t>A 57412-2020</t>
        </is>
      </c>
      <c r="B56" s="1" t="n">
        <v>44138</v>
      </c>
      <c r="C56" s="1" t="n">
        <v>45353</v>
      </c>
      <c r="D56" t="inlineStr">
        <is>
          <t>VÄSTMANLANDS LÄN</t>
        </is>
      </c>
      <c r="E56" t="inlineStr">
        <is>
          <t>SURAHAMMAR</t>
        </is>
      </c>
      <c r="G56" t="n">
        <v>2.9</v>
      </c>
      <c r="H56" t="n">
        <v>1</v>
      </c>
      <c r="I56" t="n">
        <v>0</v>
      </c>
      <c r="J56" t="n">
        <v>1</v>
      </c>
      <c r="K56" t="n">
        <v>0</v>
      </c>
      <c r="L56" t="n">
        <v>0</v>
      </c>
      <c r="M56" t="n">
        <v>0</v>
      </c>
      <c r="N56" t="n">
        <v>0</v>
      </c>
      <c r="O56" t="n">
        <v>1</v>
      </c>
      <c r="P56" t="n">
        <v>0</v>
      </c>
      <c r="Q56" t="n">
        <v>1</v>
      </c>
      <c r="R56" s="2" t="inlineStr">
        <is>
          <t>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row>
    <row r="57" ht="15" customHeight="1">
      <c r="A57" t="inlineStr">
        <is>
          <t>A 20479-2021</t>
        </is>
      </c>
      <c r="B57" s="1" t="n">
        <v>44315</v>
      </c>
      <c r="C57" s="1" t="n">
        <v>45353</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45353</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45353</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45353</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45353</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45353</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45353</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45353</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45353</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45353</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45353</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45353</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45353</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45353</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45353</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45353</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45353</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45353</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45353</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45353</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45353</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45353</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45353</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45353</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45353</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45353</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45353</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45353</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45353</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45353</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45353</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45353</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45353</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45353</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45353</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45353</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45353</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45353</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45353</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45353</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45353</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45353</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45353</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45353</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45353</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45353</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45353</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45353</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45353</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45353</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45353</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45353</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45353</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45353</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45353</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45353</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45353</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45353</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45353</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45353</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45353</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45353</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45353</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45353</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45353</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45353</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45353</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45353</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45353</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45353</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45353</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45353</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45353</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45353</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45353</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45353</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45353</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45353</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45353</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45353</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45353</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45353</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45353</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45353</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45353</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45353</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45353</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45353</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45353</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45353</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45353</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45353</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45353</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45353</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45353</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45353</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45353</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45353</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45353</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45353</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45353</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45353</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45353</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45353</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45353</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45353</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45353</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45353</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45353</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45353</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45353</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45353</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45353</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45353</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45353</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45353</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45353</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45353</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45353</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45353</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45353</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45353</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45353</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45353</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45353</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45353</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45353</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45353</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45353</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45353</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45353</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45353</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45353</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45353</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45353</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45353</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45353</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45353</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45353</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45353</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45353</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45353</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45353</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45353</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45353</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45353</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45353</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45353</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45353</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45353</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45353</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45353</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45353</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45353</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45353</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45353</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45353</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45353</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45353</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45353</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45353</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45353</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45353</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45353</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45353</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45353</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45353</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45353</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45353</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45353</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45353</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45353</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45353</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45353</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45353</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45353</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45353</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45353</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45353</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45353</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45353</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45353</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45353</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45353</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45353</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45353</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45353</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7791-2024</t>
        </is>
      </c>
      <c r="B245" s="1" t="n">
        <v>45348</v>
      </c>
      <c r="C245" s="1" t="n">
        <v>45353</v>
      </c>
      <c r="D245" t="inlineStr">
        <is>
          <t>VÄSTMANLANDS LÄN</t>
        </is>
      </c>
      <c r="E245" t="inlineStr">
        <is>
          <t>SURAHAMMAR</t>
        </is>
      </c>
      <c r="G245" t="n">
        <v>9.6</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45353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45353</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45353</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2024-03-02T13:06:00Z</dcterms:created>
  <dcterms:modified xmlns:dcterms="http://purl.org/dc/terms/" xmlns:xsi="http://www.w3.org/2001/XMLSchema-instance" xsi:type="dcterms:W3CDTF">2024-03-02T13:06:00Z</dcterms:modified>
</cp:coreProperties>
</file>