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45350</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45350</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45350</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45350</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45350</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45350</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45350</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45350</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45350</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45350</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45350</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45350</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45350</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45350</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45350</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45350</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45350</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45350</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45350</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45350</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45350</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45350</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45350</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45350</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45350</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45350</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45350</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45350</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45350</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45350</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45350</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45350</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45350</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45350</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45350</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45350</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45350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7796-2024</t>
        </is>
      </c>
      <c r="B45" s="1" t="n">
        <v>45348</v>
      </c>
      <c r="C45" s="1" t="n">
        <v>45350</v>
      </c>
      <c r="D45" t="inlineStr">
        <is>
          <t>VÄSTMANLANDS LÄN</t>
        </is>
      </c>
      <c r="E45" t="inlineStr">
        <is>
          <t>SURAHAMMAR</t>
        </is>
      </c>
      <c r="G45" t="n">
        <v>10.5</v>
      </c>
      <c r="H45" t="n">
        <v>1</v>
      </c>
      <c r="I45" t="n">
        <v>1</v>
      </c>
      <c r="J45" t="n">
        <v>1</v>
      </c>
      <c r="K45" t="n">
        <v>0</v>
      </c>
      <c r="L45" t="n">
        <v>0</v>
      </c>
      <c r="M45" t="n">
        <v>0</v>
      </c>
      <c r="N45" t="n">
        <v>0</v>
      </c>
      <c r="O45" t="n">
        <v>1</v>
      </c>
      <c r="P45" t="n">
        <v>0</v>
      </c>
      <c r="Q45" t="n">
        <v>2</v>
      </c>
      <c r="R45" s="2" t="inlineStr">
        <is>
          <t>Ullticka
Plattlummer</t>
        </is>
      </c>
      <c r="S45">
        <f>HYPERLINK("https://klasma.github.io/Logging_1907/artfynd/A 7796-2024 artfynd.xlsx", "A 7796-2024")</f>
        <v/>
      </c>
      <c r="T45">
        <f>HYPERLINK("https://klasma.github.io/Logging_1907/kartor/A 7796-2024 karta.png", "A 7796-2024")</f>
        <v/>
      </c>
      <c r="V45">
        <f>HYPERLINK("https://klasma.github.io/Logging_1907/klagomål/A 7796-2024 FSC-klagomål.docx", "A 7796-2024")</f>
        <v/>
      </c>
      <c r="W45">
        <f>HYPERLINK("https://klasma.github.io/Logging_1907/klagomålsmail/A 7796-2024 FSC-klagomål mail.docx", "A 7796-2024")</f>
        <v/>
      </c>
      <c r="X45">
        <f>HYPERLINK("https://klasma.github.io/Logging_1907/tillsyn/A 7796-2024 tillsynsbegäran.docx", "A 7796-2024")</f>
        <v/>
      </c>
      <c r="Y45">
        <f>HYPERLINK("https://klasma.github.io/Logging_1907/tillsynsmail/A 7796-2024 tillsynsbegäran mail.docx", "A 7796-2024")</f>
        <v/>
      </c>
    </row>
    <row r="46" ht="15" customHeight="1">
      <c r="A46" t="inlineStr">
        <is>
          <t>A 4575-2019</t>
        </is>
      </c>
      <c r="B46" s="1" t="n">
        <v>43486</v>
      </c>
      <c r="C46" s="1" t="n">
        <v>45350</v>
      </c>
      <c r="D46" t="inlineStr">
        <is>
          <t>VÄSTMANLANDS LÄN</t>
        </is>
      </c>
      <c r="E46" t="inlineStr">
        <is>
          <t>SURAHAMMAR</t>
        </is>
      </c>
      <c r="G46" t="n">
        <v>8.800000000000001</v>
      </c>
      <c r="H46" t="n">
        <v>1</v>
      </c>
      <c r="I46" t="n">
        <v>0</v>
      </c>
      <c r="J46" t="n">
        <v>0</v>
      </c>
      <c r="K46" t="n">
        <v>1</v>
      </c>
      <c r="L46" t="n">
        <v>0</v>
      </c>
      <c r="M46" t="n">
        <v>0</v>
      </c>
      <c r="N46" t="n">
        <v>0</v>
      </c>
      <c r="O46" t="n">
        <v>1</v>
      </c>
      <c r="P46" t="n">
        <v>1</v>
      </c>
      <c r="Q46" t="n">
        <v>1</v>
      </c>
      <c r="R46" s="2" t="inlineStr">
        <is>
          <t>Knärot</t>
        </is>
      </c>
      <c r="S46">
        <f>HYPERLINK("https://klasma.github.io/Logging_1907/artfynd/A 4575-2019 artfynd.xlsx", "A 4575-2019")</f>
        <v/>
      </c>
      <c r="T46">
        <f>HYPERLINK("https://klasma.github.io/Logging_1907/kartor/A 4575-2019 karta.png", "A 4575-2019")</f>
        <v/>
      </c>
      <c r="U46">
        <f>HYPERLINK("https://klasma.github.io/Logging_1907/knärot/A 4575-2019 karta knärot.png", "A 4575-2019")</f>
        <v/>
      </c>
      <c r="V46">
        <f>HYPERLINK("https://klasma.github.io/Logging_1907/klagomål/A 4575-2019 FSC-klagomål.docx", "A 4575-2019")</f>
        <v/>
      </c>
      <c r="W46">
        <f>HYPERLINK("https://klasma.github.io/Logging_1907/klagomålsmail/A 4575-2019 FSC-klagomål mail.docx", "A 4575-2019")</f>
        <v/>
      </c>
      <c r="X46">
        <f>HYPERLINK("https://klasma.github.io/Logging_1907/tillsyn/A 4575-2019 tillsynsbegäran.docx", "A 4575-2019")</f>
        <v/>
      </c>
      <c r="Y46">
        <f>HYPERLINK("https://klasma.github.io/Logging_1907/tillsynsmail/A 4575-2019 tillsynsbegäran mail.docx", "A 4575-2019")</f>
        <v/>
      </c>
    </row>
    <row r="47" ht="15" customHeight="1">
      <c r="A47" t="inlineStr">
        <is>
          <t>A 11098-2019</t>
        </is>
      </c>
      <c r="B47" s="1" t="n">
        <v>43516</v>
      </c>
      <c r="C47" s="1" t="n">
        <v>45350</v>
      </c>
      <c r="D47" t="inlineStr">
        <is>
          <t>VÄSTMANLANDS LÄN</t>
        </is>
      </c>
      <c r="E47" t="inlineStr">
        <is>
          <t>SURAHAMMAR</t>
        </is>
      </c>
      <c r="F47" t="inlineStr">
        <is>
          <t>Övriga Aktiebolag</t>
        </is>
      </c>
      <c r="G47" t="n">
        <v>5.5</v>
      </c>
      <c r="H47" t="n">
        <v>0</v>
      </c>
      <c r="I47" t="n">
        <v>1</v>
      </c>
      <c r="J47" t="n">
        <v>0</v>
      </c>
      <c r="K47" t="n">
        <v>0</v>
      </c>
      <c r="L47" t="n">
        <v>0</v>
      </c>
      <c r="M47" t="n">
        <v>0</v>
      </c>
      <c r="N47" t="n">
        <v>0</v>
      </c>
      <c r="O47" t="n">
        <v>0</v>
      </c>
      <c r="P47" t="n">
        <v>0</v>
      </c>
      <c r="Q47" t="n">
        <v>1</v>
      </c>
      <c r="R47" s="2" t="inlineStr">
        <is>
          <t>Kamjordstjärna</t>
        </is>
      </c>
      <c r="S47">
        <f>HYPERLINK("https://klasma.github.io/Logging_1907/artfynd/A 11098-2019 artfynd.xlsx", "A 11098-2019")</f>
        <v/>
      </c>
      <c r="T47">
        <f>HYPERLINK("https://klasma.github.io/Logging_1907/kartor/A 11098-2019 karta.png", "A 11098-2019")</f>
        <v/>
      </c>
      <c r="V47">
        <f>HYPERLINK("https://klasma.github.io/Logging_1907/klagomål/A 11098-2019 FSC-klagomål.docx", "A 11098-2019")</f>
        <v/>
      </c>
      <c r="W47">
        <f>HYPERLINK("https://klasma.github.io/Logging_1907/klagomålsmail/A 11098-2019 FSC-klagomål mail.docx", "A 11098-2019")</f>
        <v/>
      </c>
      <c r="X47">
        <f>HYPERLINK("https://klasma.github.io/Logging_1907/tillsyn/A 11098-2019 tillsynsbegäran.docx", "A 11098-2019")</f>
        <v/>
      </c>
      <c r="Y47">
        <f>HYPERLINK("https://klasma.github.io/Logging_1907/tillsynsmail/A 11098-2019 tillsynsbegäran mail.docx", "A 11098-2019")</f>
        <v/>
      </c>
    </row>
    <row r="48" ht="15" customHeight="1">
      <c r="A48" t="inlineStr">
        <is>
          <t>A 16181-2019</t>
        </is>
      </c>
      <c r="B48" s="1" t="n">
        <v>43545</v>
      </c>
      <c r="C48" s="1" t="n">
        <v>45350</v>
      </c>
      <c r="D48" t="inlineStr">
        <is>
          <t>VÄSTMANLANDS LÄN</t>
        </is>
      </c>
      <c r="E48" t="inlineStr">
        <is>
          <t>SURAHAMMAR</t>
        </is>
      </c>
      <c r="G48" t="n">
        <v>0.6</v>
      </c>
      <c r="H48" t="n">
        <v>0</v>
      </c>
      <c r="I48" t="n">
        <v>1</v>
      </c>
      <c r="J48" t="n">
        <v>0</v>
      </c>
      <c r="K48" t="n">
        <v>0</v>
      </c>
      <c r="L48" t="n">
        <v>0</v>
      </c>
      <c r="M48" t="n">
        <v>0</v>
      </c>
      <c r="N48" t="n">
        <v>0</v>
      </c>
      <c r="O48" t="n">
        <v>0</v>
      </c>
      <c r="P48" t="n">
        <v>0</v>
      </c>
      <c r="Q48" t="n">
        <v>1</v>
      </c>
      <c r="R48" s="2" t="inlineStr">
        <is>
          <t>Sotlav</t>
        </is>
      </c>
      <c r="S48">
        <f>HYPERLINK("https://klasma.github.io/Logging_1907/artfynd/A 16181-2019 artfynd.xlsx", "A 16181-2019")</f>
        <v/>
      </c>
      <c r="T48">
        <f>HYPERLINK("https://klasma.github.io/Logging_1907/kartor/A 16181-2019 karta.png", "A 16181-2019")</f>
        <v/>
      </c>
      <c r="V48">
        <f>HYPERLINK("https://klasma.github.io/Logging_1907/klagomål/A 16181-2019 FSC-klagomål.docx", "A 16181-2019")</f>
        <v/>
      </c>
      <c r="W48">
        <f>HYPERLINK("https://klasma.github.io/Logging_1907/klagomålsmail/A 16181-2019 FSC-klagomål mail.docx", "A 16181-2019")</f>
        <v/>
      </c>
      <c r="X48">
        <f>HYPERLINK("https://klasma.github.io/Logging_1907/tillsyn/A 16181-2019 tillsynsbegäran.docx", "A 16181-2019")</f>
        <v/>
      </c>
      <c r="Y48">
        <f>HYPERLINK("https://klasma.github.io/Logging_1907/tillsynsmail/A 16181-2019 tillsynsbegäran mail.docx", "A 16181-2019")</f>
        <v/>
      </c>
    </row>
    <row r="49" ht="15" customHeight="1">
      <c r="A49" t="inlineStr">
        <is>
          <t>A 18948-2019</t>
        </is>
      </c>
      <c r="B49" s="1" t="n">
        <v>43563</v>
      </c>
      <c r="C49" s="1" t="n">
        <v>45350</v>
      </c>
      <c r="D49" t="inlineStr">
        <is>
          <t>VÄSTMANLANDS LÄN</t>
        </is>
      </c>
      <c r="E49" t="inlineStr">
        <is>
          <t>SURAHAMMAR</t>
        </is>
      </c>
      <c r="F49" t="inlineStr">
        <is>
          <t>Övriga Aktiebolag</t>
        </is>
      </c>
      <c r="G49" t="n">
        <v>1.9</v>
      </c>
      <c r="H49" t="n">
        <v>0</v>
      </c>
      <c r="I49" t="n">
        <v>0</v>
      </c>
      <c r="J49" t="n">
        <v>0</v>
      </c>
      <c r="K49" t="n">
        <v>0</v>
      </c>
      <c r="L49" t="n">
        <v>1</v>
      </c>
      <c r="M49" t="n">
        <v>0</v>
      </c>
      <c r="N49" t="n">
        <v>0</v>
      </c>
      <c r="O49" t="n">
        <v>1</v>
      </c>
      <c r="P49" t="n">
        <v>1</v>
      </c>
      <c r="Q49" t="n">
        <v>1</v>
      </c>
      <c r="R49" s="2" t="inlineStr">
        <is>
          <t>Ask</t>
        </is>
      </c>
      <c r="S49">
        <f>HYPERLINK("https://klasma.github.io/Logging_1907/artfynd/A 18948-2019 artfynd.xlsx", "A 18948-2019")</f>
        <v/>
      </c>
      <c r="T49">
        <f>HYPERLINK("https://klasma.github.io/Logging_1907/kartor/A 18948-2019 karta.png", "A 18948-2019")</f>
        <v/>
      </c>
      <c r="V49">
        <f>HYPERLINK("https://klasma.github.io/Logging_1907/klagomål/A 18948-2019 FSC-klagomål.docx", "A 18948-2019")</f>
        <v/>
      </c>
      <c r="W49">
        <f>HYPERLINK("https://klasma.github.io/Logging_1907/klagomålsmail/A 18948-2019 FSC-klagomål mail.docx", "A 18948-2019")</f>
        <v/>
      </c>
      <c r="X49">
        <f>HYPERLINK("https://klasma.github.io/Logging_1907/tillsyn/A 18948-2019 tillsynsbegäran.docx", "A 18948-2019")</f>
        <v/>
      </c>
      <c r="Y49">
        <f>HYPERLINK("https://klasma.github.io/Logging_1907/tillsynsmail/A 18948-2019 tillsynsbegäran mail.docx", "A 18948-2019")</f>
        <v/>
      </c>
    </row>
    <row r="50" ht="15" customHeight="1">
      <c r="A50" t="inlineStr">
        <is>
          <t>A 28276-2019</t>
        </is>
      </c>
      <c r="B50" s="1" t="n">
        <v>43623</v>
      </c>
      <c r="C50" s="1" t="n">
        <v>45350</v>
      </c>
      <c r="D50" t="inlineStr">
        <is>
          <t>VÄSTMANLANDS LÄN</t>
        </is>
      </c>
      <c r="E50" t="inlineStr">
        <is>
          <t>SURAHAMMAR</t>
        </is>
      </c>
      <c r="F50" t="inlineStr">
        <is>
          <t>Allmännings- och besparingsskogar</t>
        </is>
      </c>
      <c r="G50" t="n">
        <v>8.4</v>
      </c>
      <c r="H50" t="n">
        <v>0</v>
      </c>
      <c r="I50" t="n">
        <v>0</v>
      </c>
      <c r="J50" t="n">
        <v>1</v>
      </c>
      <c r="K50" t="n">
        <v>0</v>
      </c>
      <c r="L50" t="n">
        <v>0</v>
      </c>
      <c r="M50" t="n">
        <v>0</v>
      </c>
      <c r="N50" t="n">
        <v>0</v>
      </c>
      <c r="O50" t="n">
        <v>1</v>
      </c>
      <c r="P50" t="n">
        <v>0</v>
      </c>
      <c r="Q50" t="n">
        <v>1</v>
      </c>
      <c r="R50" s="2" t="inlineStr">
        <is>
          <t>Hapalopilus aurantiacus</t>
        </is>
      </c>
      <c r="S50">
        <f>HYPERLINK("https://klasma.github.io/Logging_1907/artfynd/A 28276-2019 artfynd.xlsx", "A 28276-2019")</f>
        <v/>
      </c>
      <c r="T50">
        <f>HYPERLINK("https://klasma.github.io/Logging_1907/kartor/A 28276-2019 karta.png", "A 28276-2019")</f>
        <v/>
      </c>
      <c r="V50">
        <f>HYPERLINK("https://klasma.github.io/Logging_1907/klagomål/A 28276-2019 FSC-klagomål.docx", "A 28276-2019")</f>
        <v/>
      </c>
      <c r="W50">
        <f>HYPERLINK("https://klasma.github.io/Logging_1907/klagomålsmail/A 28276-2019 FSC-klagomål mail.docx", "A 28276-2019")</f>
        <v/>
      </c>
      <c r="X50">
        <f>HYPERLINK("https://klasma.github.io/Logging_1907/tillsyn/A 28276-2019 tillsynsbegäran.docx", "A 28276-2019")</f>
        <v/>
      </c>
      <c r="Y50">
        <f>HYPERLINK("https://klasma.github.io/Logging_1907/tillsynsmail/A 28276-2019 tillsynsbegäran mail.docx", "A 28276-2019")</f>
        <v/>
      </c>
    </row>
    <row r="51" ht="15" customHeight="1">
      <c r="A51" t="inlineStr">
        <is>
          <t>A 33879-2019</t>
        </is>
      </c>
      <c r="B51" s="1" t="n">
        <v>43653</v>
      </c>
      <c r="C51" s="1" t="n">
        <v>45350</v>
      </c>
      <c r="D51" t="inlineStr">
        <is>
          <t>VÄSTMANLANDS LÄN</t>
        </is>
      </c>
      <c r="E51" t="inlineStr">
        <is>
          <t>SURAHAMMAR</t>
        </is>
      </c>
      <c r="F51" t="inlineStr">
        <is>
          <t>Kyrkan</t>
        </is>
      </c>
      <c r="G51" t="n">
        <v>1.8</v>
      </c>
      <c r="H51" t="n">
        <v>1</v>
      </c>
      <c r="I51" t="n">
        <v>0</v>
      </c>
      <c r="J51" t="n">
        <v>0</v>
      </c>
      <c r="K51" t="n">
        <v>1</v>
      </c>
      <c r="L51" t="n">
        <v>0</v>
      </c>
      <c r="M51" t="n">
        <v>0</v>
      </c>
      <c r="N51" t="n">
        <v>0</v>
      </c>
      <c r="O51" t="n">
        <v>1</v>
      </c>
      <c r="P51" t="n">
        <v>1</v>
      </c>
      <c r="Q51" t="n">
        <v>1</v>
      </c>
      <c r="R51" s="2" t="inlineStr">
        <is>
          <t>Bombmurkla</t>
        </is>
      </c>
      <c r="S51">
        <f>HYPERLINK("https://klasma.github.io/Logging_1907/artfynd/A 33879-2019 artfynd.xlsx", "A 33879-2019")</f>
        <v/>
      </c>
      <c r="T51">
        <f>HYPERLINK("https://klasma.github.io/Logging_1907/kartor/A 33879-2019 karta.png", "A 33879-2019")</f>
        <v/>
      </c>
      <c r="V51">
        <f>HYPERLINK("https://klasma.github.io/Logging_1907/klagomål/A 33879-2019 FSC-klagomål.docx", "A 33879-2019")</f>
        <v/>
      </c>
      <c r="W51">
        <f>HYPERLINK("https://klasma.github.io/Logging_1907/klagomålsmail/A 33879-2019 FSC-klagomål mail.docx", "A 33879-2019")</f>
        <v/>
      </c>
      <c r="X51">
        <f>HYPERLINK("https://klasma.github.io/Logging_1907/tillsyn/A 33879-2019 tillsynsbegäran.docx", "A 33879-2019")</f>
        <v/>
      </c>
      <c r="Y51">
        <f>HYPERLINK("https://klasma.github.io/Logging_1907/tillsynsmail/A 33879-2019 tillsynsbegäran mail.docx", "A 33879-2019")</f>
        <v/>
      </c>
    </row>
    <row r="52" ht="15" customHeight="1">
      <c r="A52" t="inlineStr">
        <is>
          <t>A 39755-2019</t>
        </is>
      </c>
      <c r="B52" s="1" t="n">
        <v>43692</v>
      </c>
      <c r="C52" s="1" t="n">
        <v>45350</v>
      </c>
      <c r="D52" t="inlineStr">
        <is>
          <t>VÄSTMANLANDS LÄN</t>
        </is>
      </c>
      <c r="E52" t="inlineStr">
        <is>
          <t>SURAHAMMAR</t>
        </is>
      </c>
      <c r="F52" t="inlineStr">
        <is>
          <t>Övriga Aktiebolag</t>
        </is>
      </c>
      <c r="G52" t="n">
        <v>11.8</v>
      </c>
      <c r="H52" t="n">
        <v>1</v>
      </c>
      <c r="I52" t="n">
        <v>0</v>
      </c>
      <c r="J52" t="n">
        <v>0</v>
      </c>
      <c r="K52" t="n">
        <v>0</v>
      </c>
      <c r="L52" t="n">
        <v>0</v>
      </c>
      <c r="M52" t="n">
        <v>0</v>
      </c>
      <c r="N52" t="n">
        <v>0</v>
      </c>
      <c r="O52" t="n">
        <v>0</v>
      </c>
      <c r="P52" t="n">
        <v>0</v>
      </c>
      <c r="Q52" t="n">
        <v>1</v>
      </c>
      <c r="R52" s="2" t="inlineStr">
        <is>
          <t>Kopparödla</t>
        </is>
      </c>
      <c r="S52">
        <f>HYPERLINK("https://klasma.github.io/Logging_1907/artfynd/A 39755-2019 artfynd.xlsx", "A 39755-2019")</f>
        <v/>
      </c>
      <c r="T52">
        <f>HYPERLINK("https://klasma.github.io/Logging_1907/kartor/A 39755-2019 karta.png", "A 39755-2019")</f>
        <v/>
      </c>
      <c r="V52">
        <f>HYPERLINK("https://klasma.github.io/Logging_1907/klagomål/A 39755-2019 FSC-klagomål.docx", "A 39755-2019")</f>
        <v/>
      </c>
      <c r="W52">
        <f>HYPERLINK("https://klasma.github.io/Logging_1907/klagomålsmail/A 39755-2019 FSC-klagomål mail.docx", "A 39755-2019")</f>
        <v/>
      </c>
      <c r="X52">
        <f>HYPERLINK("https://klasma.github.io/Logging_1907/tillsyn/A 39755-2019 tillsynsbegäran.docx", "A 39755-2019")</f>
        <v/>
      </c>
      <c r="Y52">
        <f>HYPERLINK("https://klasma.github.io/Logging_1907/tillsynsmail/A 39755-2019 tillsynsbegäran mail.docx", "A 39755-2019")</f>
        <v/>
      </c>
    </row>
    <row r="53" ht="15" customHeight="1">
      <c r="A53" t="inlineStr">
        <is>
          <t>A 2708-2020</t>
        </is>
      </c>
      <c r="B53" s="1" t="n">
        <v>43850</v>
      </c>
      <c r="C53" s="1" t="n">
        <v>45350</v>
      </c>
      <c r="D53" t="inlineStr">
        <is>
          <t>VÄSTMANLANDS LÄN</t>
        </is>
      </c>
      <c r="E53" t="inlineStr">
        <is>
          <t>SURAHAMMAR</t>
        </is>
      </c>
      <c r="F53" t="inlineStr">
        <is>
          <t>Övriga Aktiebolag</t>
        </is>
      </c>
      <c r="G53" t="n">
        <v>29.7</v>
      </c>
      <c r="H53" t="n">
        <v>0</v>
      </c>
      <c r="I53" t="n">
        <v>0</v>
      </c>
      <c r="J53" t="n">
        <v>1</v>
      </c>
      <c r="K53" t="n">
        <v>0</v>
      </c>
      <c r="L53" t="n">
        <v>0</v>
      </c>
      <c r="M53" t="n">
        <v>0</v>
      </c>
      <c r="N53" t="n">
        <v>0</v>
      </c>
      <c r="O53" t="n">
        <v>1</v>
      </c>
      <c r="P53" t="n">
        <v>0</v>
      </c>
      <c r="Q53" t="n">
        <v>1</v>
      </c>
      <c r="R53" s="2" t="inlineStr">
        <is>
          <t>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6514-2020</t>
        </is>
      </c>
      <c r="B54" s="1" t="n">
        <v>43867</v>
      </c>
      <c r="C54" s="1" t="n">
        <v>45350</v>
      </c>
      <c r="D54" t="inlineStr">
        <is>
          <t>VÄSTMANLANDS LÄN</t>
        </is>
      </c>
      <c r="E54" t="inlineStr">
        <is>
          <t>SURAHAMMAR</t>
        </is>
      </c>
      <c r="G54" t="n">
        <v>2.2</v>
      </c>
      <c r="H54" t="n">
        <v>1</v>
      </c>
      <c r="I54" t="n">
        <v>0</v>
      </c>
      <c r="J54" t="n">
        <v>0</v>
      </c>
      <c r="K54" t="n">
        <v>1</v>
      </c>
      <c r="L54" t="n">
        <v>0</v>
      </c>
      <c r="M54" t="n">
        <v>0</v>
      </c>
      <c r="N54" t="n">
        <v>0</v>
      </c>
      <c r="O54" t="n">
        <v>1</v>
      </c>
      <c r="P54" t="n">
        <v>1</v>
      </c>
      <c r="Q54" t="n">
        <v>1</v>
      </c>
      <c r="R54" s="2" t="inlineStr">
        <is>
          <t>Bombmurkla</t>
        </is>
      </c>
      <c r="S54">
        <f>HYPERLINK("https://klasma.github.io/Logging_1907/artfynd/A 6514-2020 artfynd.xlsx", "A 6514-2020")</f>
        <v/>
      </c>
      <c r="T54">
        <f>HYPERLINK("https://klasma.github.io/Logging_1907/kartor/A 6514-2020 karta.png", "A 6514-2020")</f>
        <v/>
      </c>
      <c r="V54">
        <f>HYPERLINK("https://klasma.github.io/Logging_1907/klagomål/A 6514-2020 FSC-klagomål.docx", "A 6514-2020")</f>
        <v/>
      </c>
      <c r="W54">
        <f>HYPERLINK("https://klasma.github.io/Logging_1907/klagomålsmail/A 6514-2020 FSC-klagomål mail.docx", "A 6514-2020")</f>
        <v/>
      </c>
      <c r="X54">
        <f>HYPERLINK("https://klasma.github.io/Logging_1907/tillsyn/A 6514-2020 tillsynsbegäran.docx", "A 6514-2020")</f>
        <v/>
      </c>
      <c r="Y54">
        <f>HYPERLINK("https://klasma.github.io/Logging_1907/tillsynsmail/A 6514-2020 tillsynsbegäran mail.docx", "A 6514-2020")</f>
        <v/>
      </c>
    </row>
    <row r="55" ht="15" customHeight="1">
      <c r="A55" t="inlineStr">
        <is>
          <t>A 57412-2020</t>
        </is>
      </c>
      <c r="B55" s="1" t="n">
        <v>44138</v>
      </c>
      <c r="C55" s="1" t="n">
        <v>45350</v>
      </c>
      <c r="D55" t="inlineStr">
        <is>
          <t>VÄSTMANLANDS LÄN</t>
        </is>
      </c>
      <c r="E55" t="inlineStr">
        <is>
          <t>SURAHAMMAR</t>
        </is>
      </c>
      <c r="G55" t="n">
        <v>2.9</v>
      </c>
      <c r="H55" t="n">
        <v>1</v>
      </c>
      <c r="I55" t="n">
        <v>0</v>
      </c>
      <c r="J55" t="n">
        <v>1</v>
      </c>
      <c r="K55" t="n">
        <v>0</v>
      </c>
      <c r="L55" t="n">
        <v>0</v>
      </c>
      <c r="M55" t="n">
        <v>0</v>
      </c>
      <c r="N55" t="n">
        <v>0</v>
      </c>
      <c r="O55" t="n">
        <v>1</v>
      </c>
      <c r="P55" t="n">
        <v>0</v>
      </c>
      <c r="Q55" t="n">
        <v>1</v>
      </c>
      <c r="R55" s="2" t="inlineStr">
        <is>
          <t>Gulsparv</t>
        </is>
      </c>
      <c r="S55">
        <f>HYPERLINK("https://klasma.github.io/Logging_1907/artfynd/A 57412-2020 artfynd.xlsx", "A 57412-2020")</f>
        <v/>
      </c>
      <c r="T55">
        <f>HYPERLINK("https://klasma.github.io/Logging_1907/kartor/A 57412-2020 karta.png", "A 57412-2020")</f>
        <v/>
      </c>
      <c r="V55">
        <f>HYPERLINK("https://klasma.github.io/Logging_1907/klagomål/A 57412-2020 FSC-klagomål.docx", "A 57412-2020")</f>
        <v/>
      </c>
      <c r="W55">
        <f>HYPERLINK("https://klasma.github.io/Logging_1907/klagomålsmail/A 57412-2020 FSC-klagomål mail.docx", "A 57412-2020")</f>
        <v/>
      </c>
      <c r="X55">
        <f>HYPERLINK("https://klasma.github.io/Logging_1907/tillsyn/A 57412-2020 tillsynsbegäran.docx", "A 57412-2020")</f>
        <v/>
      </c>
      <c r="Y55">
        <f>HYPERLINK("https://klasma.github.io/Logging_1907/tillsynsmail/A 57412-2020 tillsynsbegäran mail.docx", "A 57412-2020")</f>
        <v/>
      </c>
    </row>
    <row r="56" ht="15" customHeight="1">
      <c r="A56" t="inlineStr">
        <is>
          <t>A 59550-2020</t>
        </is>
      </c>
      <c r="B56" s="1" t="n">
        <v>44148</v>
      </c>
      <c r="C56" s="1" t="n">
        <v>45350</v>
      </c>
      <c r="D56" t="inlineStr">
        <is>
          <t>VÄSTMANLANDS LÄN</t>
        </is>
      </c>
      <c r="E56" t="inlineStr">
        <is>
          <t>SURAHAMMAR</t>
        </is>
      </c>
      <c r="G56" t="n">
        <v>0.8</v>
      </c>
      <c r="H56" t="n">
        <v>0</v>
      </c>
      <c r="I56" t="n">
        <v>0</v>
      </c>
      <c r="J56" t="n">
        <v>1</v>
      </c>
      <c r="K56" t="n">
        <v>0</v>
      </c>
      <c r="L56" t="n">
        <v>0</v>
      </c>
      <c r="M56" t="n">
        <v>0</v>
      </c>
      <c r="N56" t="n">
        <v>0</v>
      </c>
      <c r="O56" t="n">
        <v>1</v>
      </c>
      <c r="P56" t="n">
        <v>0</v>
      </c>
      <c r="Q56" t="n">
        <v>1</v>
      </c>
      <c r="R56" s="2" t="inlineStr">
        <is>
          <t>Ljusskivig lerskivling</t>
        </is>
      </c>
      <c r="S56">
        <f>HYPERLINK("https://klasma.github.io/Logging_1907/artfynd/A 59550-2020 artfynd.xlsx", "A 59550-2020")</f>
        <v/>
      </c>
      <c r="T56">
        <f>HYPERLINK("https://klasma.github.io/Logging_1907/kartor/A 59550-2020 karta.png", "A 59550-2020")</f>
        <v/>
      </c>
      <c r="V56">
        <f>HYPERLINK("https://klasma.github.io/Logging_1907/klagomål/A 59550-2020 FSC-klagomål.docx", "A 59550-2020")</f>
        <v/>
      </c>
      <c r="W56">
        <f>HYPERLINK("https://klasma.github.io/Logging_1907/klagomålsmail/A 59550-2020 FSC-klagomål mail.docx", "A 59550-2020")</f>
        <v/>
      </c>
      <c r="X56">
        <f>HYPERLINK("https://klasma.github.io/Logging_1907/tillsyn/A 59550-2020 tillsynsbegäran.docx", "A 59550-2020")</f>
        <v/>
      </c>
      <c r="Y56">
        <f>HYPERLINK("https://klasma.github.io/Logging_1907/tillsynsmail/A 59550-2020 tillsynsbegäran mail.docx", "A 59550-2020")</f>
        <v/>
      </c>
    </row>
    <row r="57" ht="15" customHeight="1">
      <c r="A57" t="inlineStr">
        <is>
          <t>A 20479-2021</t>
        </is>
      </c>
      <c r="B57" s="1" t="n">
        <v>44315</v>
      </c>
      <c r="C57" s="1" t="n">
        <v>45350</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45350</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45350</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45350</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45350</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45350</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45350</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45350</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45350</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45350</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45350</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45350</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45350</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45350</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45350</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45350</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45350</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45350</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45350</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45350</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45350</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45350</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45350</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45350</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45350</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45350</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45350</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45350</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45350</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45350</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45350</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45350</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45350</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45350</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45350</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45350</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45350</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45350</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45350</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45350</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45350</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45350</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45350</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45350</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45350</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45350</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45350</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45350</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45350</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45350</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45350</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45350</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45350</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45350</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45350</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45350</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45350</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45350</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45350</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45350</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45350</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45350</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45350</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45350</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45350</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45350</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45350</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45350</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45350</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45350</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45350</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45350</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45350</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45350</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45350</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45350</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45350</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45350</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45350</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45350</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45350</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45350</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45350</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45350</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45350</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45350</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45350</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45350</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45350</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45350</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45350</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45350</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45350</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45350</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45350</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45350</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45350</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45350</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45350</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45350</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45350</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45350</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45350</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45350</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45350</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45350</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45350</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45350</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45350</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45350</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45350</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45350</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45350</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45350</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45350</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45350</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45350</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45350</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45350</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45350</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45350</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45350</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45350</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45350</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45350</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45350</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45350</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45350</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45350</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45350</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45350</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45350</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45350</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45350</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45350</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45350</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45350</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45350</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45350</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45350</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45350</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45350</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45350</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45350</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45350</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45350</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45350</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45350</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45350</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45350</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45350</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45350</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45350</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45350</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45350</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45350</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45350</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45350</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45350</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45350</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45350</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45350</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45350</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45350</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45350</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45350</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45350</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45350</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45350</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45350</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45350</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45350</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45350</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45350</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45350</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45350</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45350</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45350</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45350</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45350</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45350</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45350</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45350</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45350</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45350</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45350</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45350</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7791-2024</t>
        </is>
      </c>
      <c r="B245" s="1" t="n">
        <v>45348</v>
      </c>
      <c r="C245" s="1" t="n">
        <v>45350</v>
      </c>
      <c r="D245" t="inlineStr">
        <is>
          <t>VÄSTMANLANDS LÄN</t>
        </is>
      </c>
      <c r="E245" t="inlineStr">
        <is>
          <t>SURAHAMMAR</t>
        </is>
      </c>
      <c r="G245" t="n">
        <v>9.6</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c r="A247" t="inlineStr">
        <is>
          <t>A 7782-2024</t>
        </is>
      </c>
      <c r="B247" s="1" t="n">
        <v>45349</v>
      </c>
      <c r="C247" s="1" t="n">
        <v>45350</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2024-02-28T12:27:46Z</dcterms:created>
  <dcterms:modified xmlns:dcterms="http://purl.org/dc/terms/" xmlns:xsi="http://www.w3.org/2001/XMLSchema-instance" xsi:type="dcterms:W3CDTF">2024-02-28T12:27:46Z</dcterms:modified>
</cp:coreProperties>
</file>