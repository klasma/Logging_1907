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45657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45657</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45657</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45657</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45657</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45657</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45657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45657</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45657</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45657</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45657</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45657</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45657</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45657</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45657</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45657</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45657</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45657</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45657</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45657</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45657</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45657</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45657</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45657</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45657</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45657</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45657</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45657</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45657</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45657</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45657</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45657</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45657</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45657</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45657</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45657</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45657</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45657</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45657</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45657</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45657</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45657</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45657</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45657</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45657</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45657</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45657</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45657</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57412-2020</t>
        </is>
      </c>
      <c r="B50" s="1" t="n">
        <v>44138</v>
      </c>
      <c r="C50" s="1" t="n">
        <v>45657</v>
      </c>
      <c r="D50" t="inlineStr">
        <is>
          <t>VÄSTMANLANDS LÄN</t>
        </is>
      </c>
      <c r="E50" t="inlineStr">
        <is>
          <t>SURAHAMMAR</t>
        </is>
      </c>
      <c r="G50" t="n">
        <v>2.9</v>
      </c>
      <c r="H50" t="n">
        <v>2</v>
      </c>
      <c r="I50" t="n">
        <v>0</v>
      </c>
      <c r="J50" t="n">
        <v>2</v>
      </c>
      <c r="K50" t="n">
        <v>0</v>
      </c>
      <c r="L50" t="n">
        <v>0</v>
      </c>
      <c r="M50" t="n">
        <v>0</v>
      </c>
      <c r="N50" t="n">
        <v>0</v>
      </c>
      <c r="O50" t="n">
        <v>2</v>
      </c>
      <c r="P50" t="n">
        <v>0</v>
      </c>
      <c r="Q50" t="n">
        <v>2</v>
      </c>
      <c r="R50" s="2" t="inlineStr">
        <is>
          <t>Duvhök
Gulsparv</t>
        </is>
      </c>
      <c r="S50">
        <f>HYPERLINK("https://klasma.github.io/Logging_1907/artfynd/A 57412-2020 artfynd.xlsx", "A 57412-2020")</f>
        <v/>
      </c>
      <c r="T50">
        <f>HYPERLINK("https://klasma.github.io/Logging_1907/kartor/A 57412-2020 karta.png", "A 57412-2020")</f>
        <v/>
      </c>
      <c r="V50">
        <f>HYPERLINK("https://klasma.github.io/Logging_1907/klagomål/A 57412-2020 FSC-klagomål.docx", "A 57412-2020")</f>
        <v/>
      </c>
      <c r="W50">
        <f>HYPERLINK("https://klasma.github.io/Logging_1907/klagomålsmail/A 57412-2020 FSC-klagomål mail.docx", "A 57412-2020")</f>
        <v/>
      </c>
      <c r="X50">
        <f>HYPERLINK("https://klasma.github.io/Logging_1907/tillsyn/A 57412-2020 tillsynsbegäran.docx", "A 57412-2020")</f>
        <v/>
      </c>
      <c r="Y50">
        <f>HYPERLINK("https://klasma.github.io/Logging_1907/tillsynsmail/A 57412-2020 tillsynsbegäran mail.docx", "A 57412-2020")</f>
        <v/>
      </c>
      <c r="Z50">
        <f>HYPERLINK("https://klasma.github.io/Logging_1907/fåglar/A 57412-2020 prioriterade fågelarter.docx", "A 57412-2020")</f>
        <v/>
      </c>
    </row>
    <row r="51" ht="15" customHeight="1">
      <c r="A51" t="inlineStr">
        <is>
          <t>A 18717-2021</t>
        </is>
      </c>
      <c r="B51" s="1" t="n">
        <v>44306</v>
      </c>
      <c r="C51" s="1" t="n">
        <v>45657</v>
      </c>
      <c r="D51" t="inlineStr">
        <is>
          <t>VÄSTMANLANDS LÄN</t>
        </is>
      </c>
      <c r="E51" t="inlineStr">
        <is>
          <t>SURAHAMMAR</t>
        </is>
      </c>
      <c r="F51" t="inlineStr">
        <is>
          <t>Bergvik skog väst AB</t>
        </is>
      </c>
      <c r="G51" t="n">
        <v>18</v>
      </c>
      <c r="H51" t="n">
        <v>2</v>
      </c>
      <c r="I51" t="n">
        <v>0</v>
      </c>
      <c r="J51" t="n">
        <v>0</v>
      </c>
      <c r="K51" t="n">
        <v>0</v>
      </c>
      <c r="L51" t="n">
        <v>0</v>
      </c>
      <c r="M51" t="n">
        <v>0</v>
      </c>
      <c r="N51" t="n">
        <v>0</v>
      </c>
      <c r="O51" t="n">
        <v>0</v>
      </c>
      <c r="P51" t="n">
        <v>0</v>
      </c>
      <c r="Q51" t="n">
        <v>2</v>
      </c>
      <c r="R51" s="2" t="inlineStr">
        <is>
          <t>Lopplummer
Revlummer</t>
        </is>
      </c>
      <c r="S51">
        <f>HYPERLINK("https://klasma.github.io/Logging_1907/artfynd/A 18717-2021 artfynd.xlsx", "A 18717-2021")</f>
        <v/>
      </c>
      <c r="T51">
        <f>HYPERLINK("https://klasma.github.io/Logging_1907/kartor/A 18717-2021 karta.png", "A 18717-2021")</f>
        <v/>
      </c>
      <c r="V51">
        <f>HYPERLINK("https://klasma.github.io/Logging_1907/klagomål/A 18717-2021 FSC-klagomål.docx", "A 18717-2021")</f>
        <v/>
      </c>
      <c r="W51">
        <f>HYPERLINK("https://klasma.github.io/Logging_1907/klagomålsmail/A 18717-2021 FSC-klagomål mail.docx", "A 18717-2021")</f>
        <v/>
      </c>
      <c r="X51">
        <f>HYPERLINK("https://klasma.github.io/Logging_1907/tillsyn/A 18717-2021 tillsynsbegäran.docx", "A 18717-2021")</f>
        <v/>
      </c>
      <c r="Y51">
        <f>HYPERLINK("https://klasma.github.io/Logging_1907/tillsynsmail/A 18717-2021 tillsynsbegäran mail.docx", "A 18717-2021")</f>
        <v/>
      </c>
    </row>
    <row r="52" ht="15" customHeight="1">
      <c r="A52" t="inlineStr">
        <is>
          <t>A 21825-2021</t>
        </is>
      </c>
      <c r="B52" s="1" t="n">
        <v>44322</v>
      </c>
      <c r="C52" s="1" t="n">
        <v>45657</v>
      </c>
      <c r="D52" t="inlineStr">
        <is>
          <t>VÄSTMANLANDS LÄN</t>
        </is>
      </c>
      <c r="E52" t="inlineStr">
        <is>
          <t>SURAHAMMAR</t>
        </is>
      </c>
      <c r="G52" t="n">
        <v>4.7</v>
      </c>
      <c r="H52" t="n">
        <v>1</v>
      </c>
      <c r="I52" t="n">
        <v>0</v>
      </c>
      <c r="J52" t="n">
        <v>1</v>
      </c>
      <c r="K52" t="n">
        <v>0</v>
      </c>
      <c r="L52" t="n">
        <v>0</v>
      </c>
      <c r="M52" t="n">
        <v>0</v>
      </c>
      <c r="N52" t="n">
        <v>0</v>
      </c>
      <c r="O52" t="n">
        <v>1</v>
      </c>
      <c r="P52" t="n">
        <v>0</v>
      </c>
      <c r="Q52" t="n">
        <v>2</v>
      </c>
      <c r="R52" s="2" t="inlineStr">
        <is>
          <t>Svinrot
Blåsippa</t>
        </is>
      </c>
      <c r="S52">
        <f>HYPERLINK("https://klasma.github.io/Logging_1907/artfynd/A 21825-2021 artfynd.xlsx", "A 21825-2021")</f>
        <v/>
      </c>
      <c r="T52">
        <f>HYPERLINK("https://klasma.github.io/Logging_1907/kartor/A 21825-2021 karta.png", "A 21825-2021")</f>
        <v/>
      </c>
      <c r="V52">
        <f>HYPERLINK("https://klasma.github.io/Logging_1907/klagomål/A 21825-2021 FSC-klagomål.docx", "A 21825-2021")</f>
        <v/>
      </c>
      <c r="W52">
        <f>HYPERLINK("https://klasma.github.io/Logging_1907/klagomålsmail/A 21825-2021 FSC-klagomål mail.docx", "A 21825-2021")</f>
        <v/>
      </c>
      <c r="X52">
        <f>HYPERLINK("https://klasma.github.io/Logging_1907/tillsyn/A 21825-2021 tillsynsbegäran.docx", "A 21825-2021")</f>
        <v/>
      </c>
      <c r="Y52">
        <f>HYPERLINK("https://klasma.github.io/Logging_1907/tillsynsmail/A 21825-2021 tillsynsbegäran mail.docx", "A 21825-2021")</f>
        <v/>
      </c>
    </row>
    <row r="53" ht="15" customHeight="1">
      <c r="A53" t="inlineStr">
        <is>
          <t>A 37801-2021</t>
        </is>
      </c>
      <c r="B53" s="1" t="n">
        <v>44402</v>
      </c>
      <c r="C53" s="1" t="n">
        <v>45657</v>
      </c>
      <c r="D53" t="inlineStr">
        <is>
          <t>VÄSTMANLANDS LÄN</t>
        </is>
      </c>
      <c r="E53" t="inlineStr">
        <is>
          <t>SURAHAMMAR</t>
        </is>
      </c>
      <c r="F53" t="inlineStr">
        <is>
          <t>Kommuner</t>
        </is>
      </c>
      <c r="G53" t="n">
        <v>2.3</v>
      </c>
      <c r="H53" t="n">
        <v>1</v>
      </c>
      <c r="I53" t="n">
        <v>0</v>
      </c>
      <c r="J53" t="n">
        <v>1</v>
      </c>
      <c r="K53" t="n">
        <v>0</v>
      </c>
      <c r="L53" t="n">
        <v>0</v>
      </c>
      <c r="M53" t="n">
        <v>0</v>
      </c>
      <c r="N53" t="n">
        <v>0</v>
      </c>
      <c r="O53" t="n">
        <v>1</v>
      </c>
      <c r="P53" t="n">
        <v>0</v>
      </c>
      <c r="Q53" t="n">
        <v>2</v>
      </c>
      <c r="R53" s="2" t="inlineStr">
        <is>
          <t>Veckticka
Nattviol</t>
        </is>
      </c>
      <c r="S53">
        <f>HYPERLINK("https://klasma.github.io/Logging_1907/artfynd/A 37801-2021 artfynd.xlsx", "A 37801-2021")</f>
        <v/>
      </c>
      <c r="T53">
        <f>HYPERLINK("https://klasma.github.io/Logging_1907/kartor/A 37801-2021 karta.png", "A 37801-2021")</f>
        <v/>
      </c>
      <c r="V53">
        <f>HYPERLINK("https://klasma.github.io/Logging_1907/klagomål/A 37801-2021 FSC-klagomål.docx", "A 37801-2021")</f>
        <v/>
      </c>
      <c r="W53">
        <f>HYPERLINK("https://klasma.github.io/Logging_1907/klagomålsmail/A 37801-2021 FSC-klagomål mail.docx", "A 37801-2021")</f>
        <v/>
      </c>
      <c r="X53">
        <f>HYPERLINK("https://klasma.github.io/Logging_1907/tillsyn/A 37801-2021 tillsynsbegäran.docx", "A 37801-2021")</f>
        <v/>
      </c>
      <c r="Y53">
        <f>HYPERLINK("https://klasma.github.io/Logging_1907/tillsynsmail/A 37801-2021 tillsynsbegäran mail.docx", "A 37801-2021")</f>
        <v/>
      </c>
    </row>
    <row r="54" ht="15" customHeight="1">
      <c r="A54" t="inlineStr">
        <is>
          <t>A 37800-2021</t>
        </is>
      </c>
      <c r="B54" s="1" t="n">
        <v>44402</v>
      </c>
      <c r="C54" s="1" t="n">
        <v>45657</v>
      </c>
      <c r="D54" t="inlineStr">
        <is>
          <t>VÄSTMANLANDS LÄN</t>
        </is>
      </c>
      <c r="E54" t="inlineStr">
        <is>
          <t>SURAHAMMAR</t>
        </is>
      </c>
      <c r="F54" t="inlineStr">
        <is>
          <t>Kommuner</t>
        </is>
      </c>
      <c r="G54" t="n">
        <v>1.3</v>
      </c>
      <c r="H54" t="n">
        <v>1</v>
      </c>
      <c r="I54" t="n">
        <v>0</v>
      </c>
      <c r="J54" t="n">
        <v>1</v>
      </c>
      <c r="K54" t="n">
        <v>0</v>
      </c>
      <c r="L54" t="n">
        <v>0</v>
      </c>
      <c r="M54" t="n">
        <v>0</v>
      </c>
      <c r="N54" t="n">
        <v>0</v>
      </c>
      <c r="O54" t="n">
        <v>1</v>
      </c>
      <c r="P54" t="n">
        <v>0</v>
      </c>
      <c r="Q54" t="n">
        <v>2</v>
      </c>
      <c r="R54" s="2" t="inlineStr">
        <is>
          <t>Svinrot
Grönvit nattviol</t>
        </is>
      </c>
      <c r="S54">
        <f>HYPERLINK("https://klasma.github.io/Logging_1907/artfynd/A 37800-2021 artfynd.xlsx", "A 37800-2021")</f>
        <v/>
      </c>
      <c r="T54">
        <f>HYPERLINK("https://klasma.github.io/Logging_1907/kartor/A 37800-2021 karta.png", "A 37800-2021")</f>
        <v/>
      </c>
      <c r="V54">
        <f>HYPERLINK("https://klasma.github.io/Logging_1907/klagomål/A 37800-2021 FSC-klagomål.docx", "A 37800-2021")</f>
        <v/>
      </c>
      <c r="W54">
        <f>HYPERLINK("https://klasma.github.io/Logging_1907/klagomålsmail/A 37800-2021 FSC-klagomål mail.docx", "A 37800-2021")</f>
        <v/>
      </c>
      <c r="X54">
        <f>HYPERLINK("https://klasma.github.io/Logging_1907/tillsyn/A 37800-2021 tillsynsbegäran.docx", "A 37800-2021")</f>
        <v/>
      </c>
      <c r="Y54">
        <f>HYPERLINK("https://klasma.github.io/Logging_1907/tillsynsmail/A 37800-2021 tillsynsbegäran mail.docx", "A 37800-2021")</f>
        <v/>
      </c>
    </row>
    <row r="55" ht="15" customHeight="1">
      <c r="A55" t="inlineStr">
        <is>
          <t>A 57168-2021</t>
        </is>
      </c>
      <c r="B55" s="1" t="n">
        <v>44482</v>
      </c>
      <c r="C55" s="1" t="n">
        <v>45657</v>
      </c>
      <c r="D55" t="inlineStr">
        <is>
          <t>VÄSTMANLANDS LÄN</t>
        </is>
      </c>
      <c r="E55" t="inlineStr">
        <is>
          <t>SURAHAMMAR</t>
        </is>
      </c>
      <c r="G55" t="n">
        <v>1.7</v>
      </c>
      <c r="H55" t="n">
        <v>0</v>
      </c>
      <c r="I55" t="n">
        <v>0</v>
      </c>
      <c r="J55" t="n">
        <v>1</v>
      </c>
      <c r="K55" t="n">
        <v>0</v>
      </c>
      <c r="L55" t="n">
        <v>1</v>
      </c>
      <c r="M55" t="n">
        <v>0</v>
      </c>
      <c r="N55" t="n">
        <v>0</v>
      </c>
      <c r="O55" t="n">
        <v>2</v>
      </c>
      <c r="P55" t="n">
        <v>1</v>
      </c>
      <c r="Q55" t="n">
        <v>2</v>
      </c>
      <c r="R55" s="2" t="inlineStr">
        <is>
          <t>Ask
Svartöra</t>
        </is>
      </c>
      <c r="S55">
        <f>HYPERLINK("https://klasma.github.io/Logging_1907/artfynd/A 57168-2021 artfynd.xlsx", "A 57168-2021")</f>
        <v/>
      </c>
      <c r="T55">
        <f>HYPERLINK("https://klasma.github.io/Logging_1907/kartor/A 57168-2021 karta.png", "A 57168-2021")</f>
        <v/>
      </c>
      <c r="V55">
        <f>HYPERLINK("https://klasma.github.io/Logging_1907/klagomål/A 57168-2021 FSC-klagomål.docx", "A 57168-2021")</f>
        <v/>
      </c>
      <c r="W55">
        <f>HYPERLINK("https://klasma.github.io/Logging_1907/klagomålsmail/A 57168-2021 FSC-klagomål mail.docx", "A 57168-2021")</f>
        <v/>
      </c>
      <c r="X55">
        <f>HYPERLINK("https://klasma.github.io/Logging_1907/tillsyn/A 57168-2021 tillsynsbegäran.docx", "A 57168-2021")</f>
        <v/>
      </c>
      <c r="Y55">
        <f>HYPERLINK("https://klasma.github.io/Logging_1907/tillsynsmail/A 57168-2021 tillsynsbegäran mail.docx", "A 57168-2021")</f>
        <v/>
      </c>
    </row>
    <row r="56" ht="15" customHeight="1">
      <c r="A56" t="inlineStr">
        <is>
          <t>A 66343-2021</t>
        </is>
      </c>
      <c r="B56" s="1" t="n">
        <v>44518</v>
      </c>
      <c r="C56" s="1" t="n">
        <v>45657</v>
      </c>
      <c r="D56" t="inlineStr">
        <is>
          <t>VÄSTMANLANDS LÄN</t>
        </is>
      </c>
      <c r="E56" t="inlineStr">
        <is>
          <t>SURAHAMMAR</t>
        </is>
      </c>
      <c r="F56" t="inlineStr">
        <is>
          <t>Sveaskog</t>
        </is>
      </c>
      <c r="G56" t="n">
        <v>2.5</v>
      </c>
      <c r="H56" t="n">
        <v>0</v>
      </c>
      <c r="I56" t="n">
        <v>1</v>
      </c>
      <c r="J56" t="n">
        <v>0</v>
      </c>
      <c r="K56" t="n">
        <v>1</v>
      </c>
      <c r="L56" t="n">
        <v>0</v>
      </c>
      <c r="M56" t="n">
        <v>0</v>
      </c>
      <c r="N56" t="n">
        <v>0</v>
      </c>
      <c r="O56" t="n">
        <v>1</v>
      </c>
      <c r="P56" t="n">
        <v>1</v>
      </c>
      <c r="Q56" t="n">
        <v>2</v>
      </c>
      <c r="R56" s="2" t="inlineStr">
        <is>
          <t>Torrmusseron
Blåmossa</t>
        </is>
      </c>
      <c r="S56">
        <f>HYPERLINK("https://klasma.github.io/Logging_1907/artfynd/A 66343-2021 artfynd.xlsx", "A 66343-2021")</f>
        <v/>
      </c>
      <c r="T56">
        <f>HYPERLINK("https://klasma.github.io/Logging_1907/kartor/A 66343-2021 karta.png", "A 66343-2021")</f>
        <v/>
      </c>
      <c r="V56">
        <f>HYPERLINK("https://klasma.github.io/Logging_1907/klagomål/A 66343-2021 FSC-klagomål.docx", "A 66343-2021")</f>
        <v/>
      </c>
      <c r="W56">
        <f>HYPERLINK("https://klasma.github.io/Logging_1907/klagomålsmail/A 66343-2021 FSC-klagomål mail.docx", "A 66343-2021")</f>
        <v/>
      </c>
      <c r="X56">
        <f>HYPERLINK("https://klasma.github.io/Logging_1907/tillsyn/A 66343-2021 tillsynsbegäran.docx", "A 66343-2021")</f>
        <v/>
      </c>
      <c r="Y56">
        <f>HYPERLINK("https://klasma.github.io/Logging_1907/tillsynsmail/A 66343-2021 tillsynsbegäran mail.docx", "A 66343-2021")</f>
        <v/>
      </c>
    </row>
    <row r="57" ht="15" customHeight="1">
      <c r="A57" t="inlineStr">
        <is>
          <t>A 7845-2022</t>
        </is>
      </c>
      <c r="B57" s="1" t="n">
        <v>44608</v>
      </c>
      <c r="C57" s="1" t="n">
        <v>45657</v>
      </c>
      <c r="D57" t="inlineStr">
        <is>
          <t>VÄSTMANLANDS LÄN</t>
        </is>
      </c>
      <c r="E57" t="inlineStr">
        <is>
          <t>SURAHAMMAR</t>
        </is>
      </c>
      <c r="G57" t="n">
        <v>3</v>
      </c>
      <c r="H57" t="n">
        <v>1</v>
      </c>
      <c r="I57" t="n">
        <v>1</v>
      </c>
      <c r="J57" t="n">
        <v>0</v>
      </c>
      <c r="K57" t="n">
        <v>1</v>
      </c>
      <c r="L57" t="n">
        <v>0</v>
      </c>
      <c r="M57" t="n">
        <v>0</v>
      </c>
      <c r="N57" t="n">
        <v>0</v>
      </c>
      <c r="O57" t="n">
        <v>1</v>
      </c>
      <c r="P57" t="n">
        <v>1</v>
      </c>
      <c r="Q57" t="n">
        <v>2</v>
      </c>
      <c r="R57" s="2" t="inlineStr">
        <is>
          <t>Knärot
Vedticka</t>
        </is>
      </c>
      <c r="S57">
        <f>HYPERLINK("https://klasma.github.io/Logging_1907/artfynd/A 7845-2022 artfynd.xlsx", "A 7845-2022")</f>
        <v/>
      </c>
      <c r="T57">
        <f>HYPERLINK("https://klasma.github.io/Logging_1907/kartor/A 7845-2022 karta.png", "A 7845-2022")</f>
        <v/>
      </c>
      <c r="U57">
        <f>HYPERLINK("https://klasma.github.io/Logging_1907/knärot/A 7845-2022 karta knärot.png", "A 7845-2022")</f>
        <v/>
      </c>
      <c r="V57">
        <f>HYPERLINK("https://klasma.github.io/Logging_1907/klagomål/A 7845-2022 FSC-klagomål.docx", "A 7845-2022")</f>
        <v/>
      </c>
      <c r="W57">
        <f>HYPERLINK("https://klasma.github.io/Logging_1907/klagomålsmail/A 7845-2022 FSC-klagomål mail.docx", "A 7845-2022")</f>
        <v/>
      </c>
      <c r="X57">
        <f>HYPERLINK("https://klasma.github.io/Logging_1907/tillsyn/A 7845-2022 tillsynsbegäran.docx", "A 7845-2022")</f>
        <v/>
      </c>
      <c r="Y57">
        <f>HYPERLINK("https://klasma.github.io/Logging_1907/tillsynsmail/A 7845-2022 tillsynsbegäran mail.docx", "A 7845-2022")</f>
        <v/>
      </c>
    </row>
    <row r="58" ht="15" customHeight="1">
      <c r="A58" t="inlineStr">
        <is>
          <t>A 16217-2023</t>
        </is>
      </c>
      <c r="B58" s="1" t="n">
        <v>45022</v>
      </c>
      <c r="C58" s="1" t="n">
        <v>45657</v>
      </c>
      <c r="D58" t="inlineStr">
        <is>
          <t>VÄSTMANLANDS LÄN</t>
        </is>
      </c>
      <c r="E58" t="inlineStr">
        <is>
          <t>SURAHAMMAR</t>
        </is>
      </c>
      <c r="G58" t="n">
        <v>2.6</v>
      </c>
      <c r="H58" t="n">
        <v>1</v>
      </c>
      <c r="I58" t="n">
        <v>1</v>
      </c>
      <c r="J58" t="n">
        <v>1</v>
      </c>
      <c r="K58" t="n">
        <v>0</v>
      </c>
      <c r="L58" t="n">
        <v>0</v>
      </c>
      <c r="M58" t="n">
        <v>0</v>
      </c>
      <c r="N58" t="n">
        <v>0</v>
      </c>
      <c r="O58" t="n">
        <v>1</v>
      </c>
      <c r="P58" t="n">
        <v>0</v>
      </c>
      <c r="Q58" t="n">
        <v>2</v>
      </c>
      <c r="R58" s="2" t="inlineStr">
        <is>
          <t>Tretåig hackspett
Gullgröppa</t>
        </is>
      </c>
      <c r="S58">
        <f>HYPERLINK("https://klasma.github.io/Logging_1907/artfynd/A 16217-2023 artfynd.xlsx", "A 16217-2023")</f>
        <v/>
      </c>
      <c r="T58">
        <f>HYPERLINK("https://klasma.github.io/Logging_1907/kartor/A 16217-2023 karta.png", "A 16217-2023")</f>
        <v/>
      </c>
      <c r="V58">
        <f>HYPERLINK("https://klasma.github.io/Logging_1907/klagomål/A 16217-2023 FSC-klagomål.docx", "A 16217-2023")</f>
        <v/>
      </c>
      <c r="W58">
        <f>HYPERLINK("https://klasma.github.io/Logging_1907/klagomålsmail/A 16217-2023 FSC-klagomål mail.docx", "A 16217-2023")</f>
        <v/>
      </c>
      <c r="X58">
        <f>HYPERLINK("https://klasma.github.io/Logging_1907/tillsyn/A 16217-2023 tillsynsbegäran.docx", "A 16217-2023")</f>
        <v/>
      </c>
      <c r="Y58">
        <f>HYPERLINK("https://klasma.github.io/Logging_1907/tillsynsmail/A 16217-2023 tillsynsbegäran mail.docx", "A 16217-2023")</f>
        <v/>
      </c>
      <c r="Z58">
        <f>HYPERLINK("https://klasma.github.io/Logging_1907/fåglar/A 16217-2023 prioriterade fågelarter.docx", "A 16217-2023")</f>
        <v/>
      </c>
    </row>
    <row r="59" ht="15" customHeight="1">
      <c r="A59" t="inlineStr">
        <is>
          <t>A 23734-2023</t>
        </is>
      </c>
      <c r="B59" s="1" t="n">
        <v>45077</v>
      </c>
      <c r="C59" s="1" t="n">
        <v>45657</v>
      </c>
      <c r="D59" t="inlineStr">
        <is>
          <t>VÄSTMANLANDS LÄN</t>
        </is>
      </c>
      <c r="E59" t="inlineStr">
        <is>
          <t>SURAHAMMAR</t>
        </is>
      </c>
      <c r="F59" t="inlineStr">
        <is>
          <t>Sveaskog</t>
        </is>
      </c>
      <c r="G59" t="n">
        <v>6.7</v>
      </c>
      <c r="H59" t="n">
        <v>0</v>
      </c>
      <c r="I59" t="n">
        <v>0</v>
      </c>
      <c r="J59" t="n">
        <v>1</v>
      </c>
      <c r="K59" t="n">
        <v>1</v>
      </c>
      <c r="L59" t="n">
        <v>0</v>
      </c>
      <c r="M59" t="n">
        <v>0</v>
      </c>
      <c r="N59" t="n">
        <v>0</v>
      </c>
      <c r="O59" t="n">
        <v>2</v>
      </c>
      <c r="P59" t="n">
        <v>1</v>
      </c>
      <c r="Q59" t="n">
        <v>2</v>
      </c>
      <c r="R59" s="2" t="inlineStr">
        <is>
          <t>Hängticka
Kandelabersvamp</t>
        </is>
      </c>
      <c r="S59">
        <f>HYPERLINK("https://klasma.github.io/Logging_1907/artfynd/A 23734-2023 artfynd.xlsx", "A 23734-2023")</f>
        <v/>
      </c>
      <c r="T59">
        <f>HYPERLINK("https://klasma.github.io/Logging_1907/kartor/A 23734-2023 karta.png", "A 23734-2023")</f>
        <v/>
      </c>
      <c r="V59">
        <f>HYPERLINK("https://klasma.github.io/Logging_1907/klagomål/A 23734-2023 FSC-klagomål.docx", "A 23734-2023")</f>
        <v/>
      </c>
      <c r="W59">
        <f>HYPERLINK("https://klasma.github.io/Logging_1907/klagomålsmail/A 23734-2023 FSC-klagomål mail.docx", "A 23734-2023")</f>
        <v/>
      </c>
      <c r="X59">
        <f>HYPERLINK("https://klasma.github.io/Logging_1907/tillsyn/A 23734-2023 tillsynsbegäran.docx", "A 23734-2023")</f>
        <v/>
      </c>
      <c r="Y59">
        <f>HYPERLINK("https://klasma.github.io/Logging_1907/tillsynsmail/A 23734-2023 tillsynsbegäran mail.docx", "A 23734-2023")</f>
        <v/>
      </c>
    </row>
    <row r="60" ht="15" customHeight="1">
      <c r="A60" t="inlineStr">
        <is>
          <t>A 28043-2023</t>
        </is>
      </c>
      <c r="B60" s="1" t="n">
        <v>45099</v>
      </c>
      <c r="C60" s="1" t="n">
        <v>45657</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45657</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45657</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45657</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45657</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45657</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45657</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45657</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45657</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45657</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45657</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45657</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45657</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45657</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45657</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45657</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45657</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45657</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45657</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45657</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45657</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45657</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45657</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45657</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45657</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45657</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45657</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45657</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45657</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45657</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45657</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45657</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45657</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45657</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45657</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45657</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45657</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45657</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45657</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45657</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45657</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45657</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45657</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45657</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62097-2024</t>
        </is>
      </c>
      <c r="B104" s="1" t="n">
        <v>45646</v>
      </c>
      <c r="C104" s="1" t="n">
        <v>45657</v>
      </c>
      <c r="D104" t="inlineStr">
        <is>
          <t>VÄSTMANLANDS LÄN</t>
        </is>
      </c>
      <c r="E104" t="inlineStr">
        <is>
          <t>SURAHAMMAR</t>
        </is>
      </c>
      <c r="F104" t="inlineStr">
        <is>
          <t>Bergvik skog väst AB</t>
        </is>
      </c>
      <c r="G104" t="n">
        <v>21.7</v>
      </c>
      <c r="H104" t="n">
        <v>1</v>
      </c>
      <c r="I104" t="n">
        <v>0</v>
      </c>
      <c r="J104" t="n">
        <v>0</v>
      </c>
      <c r="K104" t="n">
        <v>0</v>
      </c>
      <c r="L104" t="n">
        <v>0</v>
      </c>
      <c r="M104" t="n">
        <v>0</v>
      </c>
      <c r="N104" t="n">
        <v>0</v>
      </c>
      <c r="O104" t="n">
        <v>0</v>
      </c>
      <c r="P104" t="n">
        <v>0</v>
      </c>
      <c r="Q104" t="n">
        <v>1</v>
      </c>
      <c r="R104" s="2" t="inlineStr">
        <is>
          <t>Revlummer</t>
        </is>
      </c>
      <c r="S104">
        <f>HYPERLINK("https://klasma.github.io/Logging_1907/artfynd/A 62097-2024 artfynd.xlsx", "A 62097-2024")</f>
        <v/>
      </c>
      <c r="T104">
        <f>HYPERLINK("https://klasma.github.io/Logging_1907/kartor/A 62097-2024 karta.png", "A 62097-2024")</f>
        <v/>
      </c>
      <c r="V104">
        <f>HYPERLINK("https://klasma.github.io/Logging_1907/klagomål/A 62097-2024 FSC-klagomål.docx", "A 62097-2024")</f>
        <v/>
      </c>
      <c r="W104">
        <f>HYPERLINK("https://klasma.github.io/Logging_1907/klagomålsmail/A 62097-2024 FSC-klagomål mail.docx", "A 62097-2024")</f>
        <v/>
      </c>
      <c r="X104">
        <f>HYPERLINK("https://klasma.github.io/Logging_1907/tillsyn/A 62097-2024 tillsynsbegäran.docx", "A 62097-2024")</f>
        <v/>
      </c>
      <c r="Y104">
        <f>HYPERLINK("https://klasma.github.io/Logging_1907/tillsynsmail/A 62097-2024 tillsynsbegäran mail.docx", "A 62097-2024")</f>
        <v/>
      </c>
    </row>
    <row r="105" ht="15" customHeight="1">
      <c r="A105" t="inlineStr">
        <is>
          <t>A 17946-2019</t>
        </is>
      </c>
      <c r="B105" s="1" t="n">
        <v>43557</v>
      </c>
      <c r="C105" s="1" t="n">
        <v>45657</v>
      </c>
      <c r="D105" t="inlineStr">
        <is>
          <t>VÄSTMANLANDS LÄN</t>
        </is>
      </c>
      <c r="E105" t="inlineStr">
        <is>
          <t>SURAHAMMAR</t>
        </is>
      </c>
      <c r="G105" t="n">
        <v>9.9</v>
      </c>
      <c r="H105" t="n">
        <v>0</v>
      </c>
      <c r="I105" t="n">
        <v>0</v>
      </c>
      <c r="J105" t="n">
        <v>0</v>
      </c>
      <c r="K105" t="n">
        <v>0</v>
      </c>
      <c r="L105" t="n">
        <v>0</v>
      </c>
      <c r="M105" t="n">
        <v>0</v>
      </c>
      <c r="N105" t="n">
        <v>0</v>
      </c>
      <c r="O105" t="n">
        <v>0</v>
      </c>
      <c r="P105" t="n">
        <v>0</v>
      </c>
      <c r="Q105" t="n">
        <v>0</v>
      </c>
      <c r="R105" s="2" t="inlineStr"/>
    </row>
    <row r="106" ht="15" customHeight="1">
      <c r="A106" t="inlineStr">
        <is>
          <t>A 18953-2019</t>
        </is>
      </c>
      <c r="B106" s="1" t="n">
        <v>43563</v>
      </c>
      <c r="C106" s="1" t="n">
        <v>45657</v>
      </c>
      <c r="D106" t="inlineStr">
        <is>
          <t>VÄSTMANLANDS LÄN</t>
        </is>
      </c>
      <c r="E106" t="inlineStr">
        <is>
          <t>SURAHAMMAR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18960-2019</t>
        </is>
      </c>
      <c r="B107" s="1" t="n">
        <v>43563</v>
      </c>
      <c r="C107" s="1" t="n">
        <v>45657</v>
      </c>
      <c r="D107" t="inlineStr">
        <is>
          <t>VÄSTMANLANDS LÄN</t>
        </is>
      </c>
      <c r="E107" t="inlineStr">
        <is>
          <t>SURAHAMMAR</t>
        </is>
      </c>
      <c r="F107" t="inlineStr">
        <is>
          <t>Övriga Aktiebolag</t>
        </is>
      </c>
      <c r="G107" t="n">
        <v>4.1</v>
      </c>
      <c r="H107" t="n">
        <v>0</v>
      </c>
      <c r="I107" t="n">
        <v>0</v>
      </c>
      <c r="J107" t="n">
        <v>0</v>
      </c>
      <c r="K107" t="n">
        <v>0</v>
      </c>
      <c r="L107" t="n">
        <v>0</v>
      </c>
      <c r="M107" t="n">
        <v>0</v>
      </c>
      <c r="N107" t="n">
        <v>0</v>
      </c>
      <c r="O107" t="n">
        <v>0</v>
      </c>
      <c r="P107" t="n">
        <v>0</v>
      </c>
      <c r="Q107" t="n">
        <v>0</v>
      </c>
      <c r="R107" s="2" t="inlineStr"/>
    </row>
    <row r="108" ht="15" customHeight="1">
      <c r="A108" t="inlineStr">
        <is>
          <t>A 19659-2019</t>
        </is>
      </c>
      <c r="B108" s="1" t="n">
        <v>43566</v>
      </c>
      <c r="C108" s="1" t="n">
        <v>45657</v>
      </c>
      <c r="D108" t="inlineStr">
        <is>
          <t>VÄSTMANLANDS LÄN</t>
        </is>
      </c>
      <c r="E108" t="inlineStr">
        <is>
          <t>SURAHAMMAR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20127-2019</t>
        </is>
      </c>
      <c r="B109" s="1" t="n">
        <v>43570</v>
      </c>
      <c r="C109" s="1" t="n">
        <v>45657</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20904-2019</t>
        </is>
      </c>
      <c r="B110" s="1" t="n">
        <v>43578</v>
      </c>
      <c r="C110" s="1" t="n">
        <v>45657</v>
      </c>
      <c r="D110" t="inlineStr">
        <is>
          <t>VÄSTMANLANDS LÄN</t>
        </is>
      </c>
      <c r="E110" t="inlineStr">
        <is>
          <t>SURAHAMMAR</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22834-2019</t>
        </is>
      </c>
      <c r="B111" s="1" t="n">
        <v>43591</v>
      </c>
      <c r="C111" s="1" t="n">
        <v>45657</v>
      </c>
      <c r="D111" t="inlineStr">
        <is>
          <t>VÄSTMANLANDS LÄN</t>
        </is>
      </c>
      <c r="E111" t="inlineStr">
        <is>
          <t>SURAHAMMAR</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28274-2019</t>
        </is>
      </c>
      <c r="B112" s="1" t="n">
        <v>43623</v>
      </c>
      <c r="C112" s="1" t="n">
        <v>45657</v>
      </c>
      <c r="D112" t="inlineStr">
        <is>
          <t>VÄSTMANLANDS LÄN</t>
        </is>
      </c>
      <c r="E112" t="inlineStr">
        <is>
          <t>SURAHAMMAR</t>
        </is>
      </c>
      <c r="F112" t="inlineStr">
        <is>
          <t>Allmännings- och besparingsskogar</t>
        </is>
      </c>
      <c r="G112" t="n">
        <v>0.7</v>
      </c>
      <c r="H112" t="n">
        <v>0</v>
      </c>
      <c r="I112" t="n">
        <v>0</v>
      </c>
      <c r="J112" t="n">
        <v>0</v>
      </c>
      <c r="K112" t="n">
        <v>0</v>
      </c>
      <c r="L112" t="n">
        <v>0</v>
      </c>
      <c r="M112" t="n">
        <v>0</v>
      </c>
      <c r="N112" t="n">
        <v>0</v>
      </c>
      <c r="O112" t="n">
        <v>0</v>
      </c>
      <c r="P112" t="n">
        <v>0</v>
      </c>
      <c r="Q112" t="n">
        <v>0</v>
      </c>
      <c r="R112" s="2" t="inlineStr"/>
    </row>
    <row r="113" ht="15" customHeight="1">
      <c r="A113" t="inlineStr">
        <is>
          <t>A 29523-2019</t>
        </is>
      </c>
      <c r="B113" s="1" t="n">
        <v>43630</v>
      </c>
      <c r="C113" s="1" t="n">
        <v>45657</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31008-2019</t>
        </is>
      </c>
      <c r="B114" s="1" t="n">
        <v>43640</v>
      </c>
      <c r="C114" s="1" t="n">
        <v>45657</v>
      </c>
      <c r="D114" t="inlineStr">
        <is>
          <t>VÄSTMANLANDS LÄN</t>
        </is>
      </c>
      <c r="E114" t="inlineStr">
        <is>
          <t>SURAHAMMAR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39552-2019</t>
        </is>
      </c>
      <c r="B115" s="1" t="n">
        <v>43691</v>
      </c>
      <c r="C115" s="1" t="n">
        <v>45657</v>
      </c>
      <c r="D115" t="inlineStr">
        <is>
          <t>VÄSTMANLANDS LÄN</t>
        </is>
      </c>
      <c r="E115" t="inlineStr">
        <is>
          <t>SURAHAMMAR</t>
        </is>
      </c>
      <c r="F115" t="inlineStr">
        <is>
          <t>Övriga Aktiebolag</t>
        </is>
      </c>
      <c r="G115" t="n">
        <v>4.4</v>
      </c>
      <c r="H115" t="n">
        <v>0</v>
      </c>
      <c r="I115" t="n">
        <v>0</v>
      </c>
      <c r="J115" t="n">
        <v>0</v>
      </c>
      <c r="K115" t="n">
        <v>0</v>
      </c>
      <c r="L115" t="n">
        <v>0</v>
      </c>
      <c r="M115" t="n">
        <v>0</v>
      </c>
      <c r="N115" t="n">
        <v>0</v>
      </c>
      <c r="O115" t="n">
        <v>0</v>
      </c>
      <c r="P115" t="n">
        <v>0</v>
      </c>
      <c r="Q115" t="n">
        <v>0</v>
      </c>
      <c r="R115" s="2" t="inlineStr"/>
    </row>
    <row r="116" ht="15" customHeight="1">
      <c r="A116" t="inlineStr">
        <is>
          <t>A 39754-2019</t>
        </is>
      </c>
      <c r="B116" s="1" t="n">
        <v>43692</v>
      </c>
      <c r="C116" s="1" t="n">
        <v>45657</v>
      </c>
      <c r="D116" t="inlineStr">
        <is>
          <t>VÄSTMANLANDS LÄN</t>
        </is>
      </c>
      <c r="E116" t="inlineStr">
        <is>
          <t>SURAHAMMAR</t>
        </is>
      </c>
      <c r="F116" t="inlineStr">
        <is>
          <t>Övriga Aktiebolag</t>
        </is>
      </c>
      <c r="G116" t="n">
        <v>5.7</v>
      </c>
      <c r="H116" t="n">
        <v>0</v>
      </c>
      <c r="I116" t="n">
        <v>0</v>
      </c>
      <c r="J116" t="n">
        <v>0</v>
      </c>
      <c r="K116" t="n">
        <v>0</v>
      </c>
      <c r="L116" t="n">
        <v>0</v>
      </c>
      <c r="M116" t="n">
        <v>0</v>
      </c>
      <c r="N116" t="n">
        <v>0</v>
      </c>
      <c r="O116" t="n">
        <v>0</v>
      </c>
      <c r="P116" t="n">
        <v>0</v>
      </c>
      <c r="Q116" t="n">
        <v>0</v>
      </c>
      <c r="R116" s="2" t="inlineStr"/>
    </row>
    <row r="117" ht="15" customHeight="1">
      <c r="A117" t="inlineStr">
        <is>
          <t>A 40191-2019</t>
        </is>
      </c>
      <c r="B117" s="1" t="n">
        <v>43693</v>
      </c>
      <c r="C117" s="1" t="n">
        <v>45657</v>
      </c>
      <c r="D117" t="inlineStr">
        <is>
          <t>VÄSTMANLANDS LÄN</t>
        </is>
      </c>
      <c r="E117" t="inlineStr">
        <is>
          <t>SURAHAMMAR</t>
        </is>
      </c>
      <c r="F117" t="inlineStr">
        <is>
          <t>Bergvik skog väst AB</t>
        </is>
      </c>
      <c r="G117" t="n">
        <v>3.5</v>
      </c>
      <c r="H117" t="n">
        <v>0</v>
      </c>
      <c r="I117" t="n">
        <v>0</v>
      </c>
      <c r="J117" t="n">
        <v>0</v>
      </c>
      <c r="K117" t="n">
        <v>0</v>
      </c>
      <c r="L117" t="n">
        <v>0</v>
      </c>
      <c r="M117" t="n">
        <v>0</v>
      </c>
      <c r="N117" t="n">
        <v>0</v>
      </c>
      <c r="O117" t="n">
        <v>0</v>
      </c>
      <c r="P117" t="n">
        <v>0</v>
      </c>
      <c r="Q117" t="n">
        <v>0</v>
      </c>
      <c r="R117" s="2" t="inlineStr"/>
    </row>
    <row r="118" ht="15" customHeight="1">
      <c r="A118" t="inlineStr">
        <is>
          <t>A 60343-2019</t>
        </is>
      </c>
      <c r="B118" s="1" t="n">
        <v>43780</v>
      </c>
      <c r="C118" s="1" t="n">
        <v>45657</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64772-2019</t>
        </is>
      </c>
      <c r="B119" s="1" t="n">
        <v>43801</v>
      </c>
      <c r="C119" s="1" t="n">
        <v>45657</v>
      </c>
      <c r="D119" t="inlineStr">
        <is>
          <t>VÄSTMANLANDS LÄN</t>
        </is>
      </c>
      <c r="E119" t="inlineStr">
        <is>
          <t>SURAHAMMAR</t>
        </is>
      </c>
      <c r="F119" t="inlineStr">
        <is>
          <t>Övriga Aktiebolag</t>
        </is>
      </c>
      <c r="G119" t="n">
        <v>7</v>
      </c>
      <c r="H119" t="n">
        <v>0</v>
      </c>
      <c r="I119" t="n">
        <v>0</v>
      </c>
      <c r="J119" t="n">
        <v>0</v>
      </c>
      <c r="K119" t="n">
        <v>0</v>
      </c>
      <c r="L119" t="n">
        <v>0</v>
      </c>
      <c r="M119" t="n">
        <v>0</v>
      </c>
      <c r="N119" t="n">
        <v>0</v>
      </c>
      <c r="O119" t="n">
        <v>0</v>
      </c>
      <c r="P119" t="n">
        <v>0</v>
      </c>
      <c r="Q119" t="n">
        <v>0</v>
      </c>
      <c r="R119" s="2" t="inlineStr"/>
    </row>
    <row r="120" ht="15" customHeight="1">
      <c r="A120" t="inlineStr">
        <is>
          <t>A 66269-2019</t>
        </is>
      </c>
      <c r="B120" s="1" t="n">
        <v>43802</v>
      </c>
      <c r="C120" s="1" t="n">
        <v>45657</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65619-2019</t>
        </is>
      </c>
      <c r="B121" s="1" t="n">
        <v>43804</v>
      </c>
      <c r="C121" s="1" t="n">
        <v>45657</v>
      </c>
      <c r="D121" t="inlineStr">
        <is>
          <t>VÄSTMANLANDS LÄN</t>
        </is>
      </c>
      <c r="E121" t="inlineStr">
        <is>
          <t>SURAHAMMAR</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2039-2020</t>
        </is>
      </c>
      <c r="B122" s="1" t="n">
        <v>43839</v>
      </c>
      <c r="C122" s="1" t="n">
        <v>45657</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5804-2020</t>
        </is>
      </c>
      <c r="B123" s="1" t="n">
        <v>43864</v>
      </c>
      <c r="C123" s="1" t="n">
        <v>45657</v>
      </c>
      <c r="D123" t="inlineStr">
        <is>
          <t>VÄSTMANLANDS LÄN</t>
        </is>
      </c>
      <c r="E123" t="inlineStr">
        <is>
          <t>SURAHAMMAR</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8608-2020</t>
        </is>
      </c>
      <c r="B124" s="1" t="n">
        <v>43878</v>
      </c>
      <c r="C124" s="1" t="n">
        <v>45657</v>
      </c>
      <c r="D124" t="inlineStr">
        <is>
          <t>VÄSTMANLANDS LÄN</t>
        </is>
      </c>
      <c r="E124" t="inlineStr">
        <is>
          <t>SURAHAMMAR</t>
        </is>
      </c>
      <c r="F124" t="inlineStr">
        <is>
          <t>Övriga Aktiebolag</t>
        </is>
      </c>
      <c r="G124" t="n">
        <v>20.2</v>
      </c>
      <c r="H124" t="n">
        <v>0</v>
      </c>
      <c r="I124" t="n">
        <v>0</v>
      </c>
      <c r="J124" t="n">
        <v>0</v>
      </c>
      <c r="K124" t="n">
        <v>0</v>
      </c>
      <c r="L124" t="n">
        <v>0</v>
      </c>
      <c r="M124" t="n">
        <v>0</v>
      </c>
      <c r="N124" t="n">
        <v>0</v>
      </c>
      <c r="O124" t="n">
        <v>0</v>
      </c>
      <c r="P124" t="n">
        <v>0</v>
      </c>
      <c r="Q124" t="n">
        <v>0</v>
      </c>
      <c r="R124" s="2" t="inlineStr"/>
    </row>
    <row r="125" ht="15" customHeight="1">
      <c r="A125" t="inlineStr">
        <is>
          <t>A 40660-2020</t>
        </is>
      </c>
      <c r="B125" s="1" t="n">
        <v>44069</v>
      </c>
      <c r="C125" s="1" t="n">
        <v>45657</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43171-2020</t>
        </is>
      </c>
      <c r="B126" s="1" t="n">
        <v>44081</v>
      </c>
      <c r="C126" s="1" t="n">
        <v>45657</v>
      </c>
      <c r="D126" t="inlineStr">
        <is>
          <t>VÄSTMANLANDS LÄN</t>
        </is>
      </c>
      <c r="E126" t="inlineStr">
        <is>
          <t>SURAHAMMAR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43174-2020</t>
        </is>
      </c>
      <c r="B127" s="1" t="n">
        <v>44081</v>
      </c>
      <c r="C127" s="1" t="n">
        <v>45657</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43177-2020</t>
        </is>
      </c>
      <c r="B128" s="1" t="n">
        <v>44081</v>
      </c>
      <c r="C128" s="1" t="n">
        <v>45657</v>
      </c>
      <c r="D128" t="inlineStr">
        <is>
          <t>VÄSTMANLANDS LÄN</t>
        </is>
      </c>
      <c r="E128" t="inlineStr">
        <is>
          <t>SURAHAMMAR</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43590-2020</t>
        </is>
      </c>
      <c r="B129" s="1" t="n">
        <v>44082</v>
      </c>
      <c r="C129" s="1" t="n">
        <v>45657</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47997-2020</t>
        </is>
      </c>
      <c r="B130" s="1" t="n">
        <v>44099</v>
      </c>
      <c r="C130" s="1" t="n">
        <v>45657</v>
      </c>
      <c r="D130" t="inlineStr">
        <is>
          <t>VÄSTMANLANDS LÄN</t>
        </is>
      </c>
      <c r="E130" t="inlineStr">
        <is>
          <t>SURAHAMMAR</t>
        </is>
      </c>
      <c r="G130" t="n">
        <v>4.8</v>
      </c>
      <c r="H130" t="n">
        <v>0</v>
      </c>
      <c r="I130" t="n">
        <v>0</v>
      </c>
      <c r="J130" t="n">
        <v>0</v>
      </c>
      <c r="K130" t="n">
        <v>0</v>
      </c>
      <c r="L130" t="n">
        <v>0</v>
      </c>
      <c r="M130" t="n">
        <v>0</v>
      </c>
      <c r="N130" t="n">
        <v>0</v>
      </c>
      <c r="O130" t="n">
        <v>0</v>
      </c>
      <c r="P130" t="n">
        <v>0</v>
      </c>
      <c r="Q130" t="n">
        <v>0</v>
      </c>
      <c r="R130" s="2" t="inlineStr"/>
    </row>
    <row r="131" ht="15" customHeight="1">
      <c r="A131" t="inlineStr">
        <is>
          <t>A 52076-2020</t>
        </is>
      </c>
      <c r="B131" s="1" t="n">
        <v>44117</v>
      </c>
      <c r="C131" s="1" t="n">
        <v>45657</v>
      </c>
      <c r="D131" t="inlineStr">
        <is>
          <t>VÄSTMANLANDS LÄN</t>
        </is>
      </c>
      <c r="E131" t="inlineStr">
        <is>
          <t>SURAHAMMAR</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52074-2020</t>
        </is>
      </c>
      <c r="B132" s="1" t="n">
        <v>44117</v>
      </c>
      <c r="C132" s="1" t="n">
        <v>45657</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54962-2020</t>
        </is>
      </c>
      <c r="B133" s="1" t="n">
        <v>44130</v>
      </c>
      <c r="C133" s="1" t="n">
        <v>45657</v>
      </c>
      <c r="D133" t="inlineStr">
        <is>
          <t>VÄSTMANLANDS LÄN</t>
        </is>
      </c>
      <c r="E133" t="inlineStr">
        <is>
          <t>SURAHAMMAR</t>
        </is>
      </c>
      <c r="F133" t="inlineStr">
        <is>
          <t>Sveaskog</t>
        </is>
      </c>
      <c r="G133" t="n">
        <v>4.2</v>
      </c>
      <c r="H133" t="n">
        <v>0</v>
      </c>
      <c r="I133" t="n">
        <v>0</v>
      </c>
      <c r="J133" t="n">
        <v>0</v>
      </c>
      <c r="K133" t="n">
        <v>0</v>
      </c>
      <c r="L133" t="n">
        <v>0</v>
      </c>
      <c r="M133" t="n">
        <v>0</v>
      </c>
      <c r="N133" t="n">
        <v>0</v>
      </c>
      <c r="O133" t="n">
        <v>0</v>
      </c>
      <c r="P133" t="n">
        <v>0</v>
      </c>
      <c r="Q133" t="n">
        <v>0</v>
      </c>
      <c r="R133" s="2" t="inlineStr"/>
    </row>
    <row r="134" ht="15" customHeight="1">
      <c r="A134" t="inlineStr">
        <is>
          <t>A 55397-2020</t>
        </is>
      </c>
      <c r="B134" s="1" t="n">
        <v>44131</v>
      </c>
      <c r="C134" s="1" t="n">
        <v>45657</v>
      </c>
      <c r="D134" t="inlineStr">
        <is>
          <t>VÄSTMANLANDS LÄN</t>
        </is>
      </c>
      <c r="E134" t="inlineStr">
        <is>
          <t>SURAHAMMAR</t>
        </is>
      </c>
      <c r="F134" t="inlineStr">
        <is>
          <t>Sveaskog</t>
        </is>
      </c>
      <c r="G134" t="n">
        <v>5</v>
      </c>
      <c r="H134" t="n">
        <v>0</v>
      </c>
      <c r="I134" t="n">
        <v>0</v>
      </c>
      <c r="J134" t="n">
        <v>0</v>
      </c>
      <c r="K134" t="n">
        <v>0</v>
      </c>
      <c r="L134" t="n">
        <v>0</v>
      </c>
      <c r="M134" t="n">
        <v>0</v>
      </c>
      <c r="N134" t="n">
        <v>0</v>
      </c>
      <c r="O134" t="n">
        <v>0</v>
      </c>
      <c r="P134" t="n">
        <v>0</v>
      </c>
      <c r="Q134" t="n">
        <v>0</v>
      </c>
      <c r="R134" s="2" t="inlineStr"/>
    </row>
    <row r="135" ht="15" customHeight="1">
      <c r="A135" t="inlineStr">
        <is>
          <t>A 59543-2020</t>
        </is>
      </c>
      <c r="B135" s="1" t="n">
        <v>44148</v>
      </c>
      <c r="C135" s="1" t="n">
        <v>45657</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59740-2020</t>
        </is>
      </c>
      <c r="B136" s="1" t="n">
        <v>44151</v>
      </c>
      <c r="C136" s="1" t="n">
        <v>45657</v>
      </c>
      <c r="D136" t="inlineStr">
        <is>
          <t>VÄSTMANLANDS LÄN</t>
        </is>
      </c>
      <c r="E136" t="inlineStr">
        <is>
          <t>SURAHAMMAR</t>
        </is>
      </c>
      <c r="F136" t="inlineStr">
        <is>
          <t>Sveaskog</t>
        </is>
      </c>
      <c r="G136" t="n">
        <v>3.4</v>
      </c>
      <c r="H136" t="n">
        <v>0</v>
      </c>
      <c r="I136" t="n">
        <v>0</v>
      </c>
      <c r="J136" t="n">
        <v>0</v>
      </c>
      <c r="K136" t="n">
        <v>0</v>
      </c>
      <c r="L136" t="n">
        <v>0</v>
      </c>
      <c r="M136" t="n">
        <v>0</v>
      </c>
      <c r="N136" t="n">
        <v>0</v>
      </c>
      <c r="O136" t="n">
        <v>0</v>
      </c>
      <c r="P136" t="n">
        <v>0</v>
      </c>
      <c r="Q136" t="n">
        <v>0</v>
      </c>
      <c r="R136" s="2" t="inlineStr"/>
    </row>
    <row r="137" ht="15" customHeight="1">
      <c r="A137" t="inlineStr">
        <is>
          <t>A 59727-2020</t>
        </is>
      </c>
      <c r="B137" s="1" t="n">
        <v>44151</v>
      </c>
      <c r="C137" s="1" t="n">
        <v>45657</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1492-2021</t>
        </is>
      </c>
      <c r="B138" s="1" t="n">
        <v>44209</v>
      </c>
      <c r="C138" s="1" t="n">
        <v>45657</v>
      </c>
      <c r="D138" t="inlineStr">
        <is>
          <t>VÄSTMANLANDS LÄN</t>
        </is>
      </c>
      <c r="E138" t="inlineStr">
        <is>
          <t>SURAHAMMAR</t>
        </is>
      </c>
      <c r="G138" t="n">
        <v>1.2</v>
      </c>
      <c r="H138" t="n">
        <v>0</v>
      </c>
      <c r="I138" t="n">
        <v>0</v>
      </c>
      <c r="J138" t="n">
        <v>0</v>
      </c>
      <c r="K138" t="n">
        <v>0</v>
      </c>
      <c r="L138" t="n">
        <v>0</v>
      </c>
      <c r="M138" t="n">
        <v>0</v>
      </c>
      <c r="N138" t="n">
        <v>0</v>
      </c>
      <c r="O138" t="n">
        <v>0</v>
      </c>
      <c r="P138" t="n">
        <v>0</v>
      </c>
      <c r="Q138" t="n">
        <v>0</v>
      </c>
      <c r="R138" s="2" t="inlineStr"/>
    </row>
    <row r="139" ht="15" customHeight="1">
      <c r="A139" t="inlineStr">
        <is>
          <t>A 18723-2021</t>
        </is>
      </c>
      <c r="B139" s="1" t="n">
        <v>44306</v>
      </c>
      <c r="C139" s="1" t="n">
        <v>45657</v>
      </c>
      <c r="D139" t="inlineStr">
        <is>
          <t>VÄSTMANLANDS LÄN</t>
        </is>
      </c>
      <c r="E139" t="inlineStr">
        <is>
          <t>SURAHAMMAR</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20478-2021</t>
        </is>
      </c>
      <c r="B140" s="1" t="n">
        <v>44315</v>
      </c>
      <c r="C140" s="1" t="n">
        <v>45657</v>
      </c>
      <c r="D140" t="inlineStr">
        <is>
          <t>VÄSTMANLANDS LÄN</t>
        </is>
      </c>
      <c r="E140" t="inlineStr">
        <is>
          <t>SURAHAMMAR</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21839-2021</t>
        </is>
      </c>
      <c r="B141" s="1" t="n">
        <v>44322</v>
      </c>
      <c r="C141" s="1" t="n">
        <v>45657</v>
      </c>
      <c r="D141" t="inlineStr">
        <is>
          <t>VÄSTMANLANDS LÄN</t>
        </is>
      </c>
      <c r="E141" t="inlineStr">
        <is>
          <t>SURAHAMMAR</t>
        </is>
      </c>
      <c r="G141" t="n">
        <v>1.6</v>
      </c>
      <c r="H141" t="n">
        <v>0</v>
      </c>
      <c r="I141" t="n">
        <v>0</v>
      </c>
      <c r="J141" t="n">
        <v>0</v>
      </c>
      <c r="K141" t="n">
        <v>0</v>
      </c>
      <c r="L141" t="n">
        <v>0</v>
      </c>
      <c r="M141" t="n">
        <v>0</v>
      </c>
      <c r="N141" t="n">
        <v>0</v>
      </c>
      <c r="O141" t="n">
        <v>0</v>
      </c>
      <c r="P141" t="n">
        <v>0</v>
      </c>
      <c r="Q141" t="n">
        <v>0</v>
      </c>
      <c r="R141" s="2" t="inlineStr"/>
    </row>
    <row r="142" ht="15" customHeight="1">
      <c r="A142" t="inlineStr">
        <is>
          <t>A 24804-2021</t>
        </is>
      </c>
      <c r="B142" s="1" t="n">
        <v>44340</v>
      </c>
      <c r="C142" s="1" t="n">
        <v>45657</v>
      </c>
      <c r="D142" t="inlineStr">
        <is>
          <t>VÄSTMANLANDS LÄN</t>
        </is>
      </c>
      <c r="E142" t="inlineStr">
        <is>
          <t>SURAHAMMAR</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31468-2021</t>
        </is>
      </c>
      <c r="B143" s="1" t="n">
        <v>44369</v>
      </c>
      <c r="C143" s="1" t="n">
        <v>45657</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33998-2021</t>
        </is>
      </c>
      <c r="B144" s="1" t="n">
        <v>44378</v>
      </c>
      <c r="C144" s="1" t="n">
        <v>45657</v>
      </c>
      <c r="D144" t="inlineStr">
        <is>
          <t>VÄSTMANLANDS LÄN</t>
        </is>
      </c>
      <c r="E144" t="inlineStr">
        <is>
          <t>SURAHAMMAR</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34001-2021</t>
        </is>
      </c>
      <c r="B145" s="1" t="n">
        <v>44378</v>
      </c>
      <c r="C145" s="1" t="n">
        <v>45657</v>
      </c>
      <c r="D145" t="inlineStr">
        <is>
          <t>VÄSTMANLANDS LÄN</t>
        </is>
      </c>
      <c r="E145" t="inlineStr">
        <is>
          <t>SURAHAMMAR</t>
        </is>
      </c>
      <c r="F145" t="inlineStr">
        <is>
          <t>Bergvik skog väst AB</t>
        </is>
      </c>
      <c r="G145" t="n">
        <v>1.9</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45657</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37799-2021</t>
        </is>
      </c>
      <c r="B147" s="1" t="n">
        <v>44402</v>
      </c>
      <c r="C147" s="1" t="n">
        <v>45657</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38150-2021</t>
        </is>
      </c>
      <c r="B148" s="1" t="n">
        <v>44405</v>
      </c>
      <c r="C148" s="1" t="n">
        <v>45657</v>
      </c>
      <c r="D148" t="inlineStr">
        <is>
          <t>VÄSTMANLANDS LÄN</t>
        </is>
      </c>
      <c r="E148" t="inlineStr">
        <is>
          <t>SURAHAMMAR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38178-2021</t>
        </is>
      </c>
      <c r="B149" s="1" t="n">
        <v>44405</v>
      </c>
      <c r="C149" s="1" t="n">
        <v>45657</v>
      </c>
      <c r="D149" t="inlineStr">
        <is>
          <t>VÄSTMANLANDS LÄN</t>
        </is>
      </c>
      <c r="E149" t="inlineStr">
        <is>
          <t>SURAHAMMAR</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38149-2021</t>
        </is>
      </c>
      <c r="B150" s="1" t="n">
        <v>44405</v>
      </c>
      <c r="C150" s="1" t="n">
        <v>45657</v>
      </c>
      <c r="D150" t="inlineStr">
        <is>
          <t>VÄSTMANLANDS LÄN</t>
        </is>
      </c>
      <c r="E150" t="inlineStr">
        <is>
          <t>SURAHAMMAR</t>
        </is>
      </c>
      <c r="F150" t="inlineStr">
        <is>
          <t>Sveaskog</t>
        </is>
      </c>
      <c r="G150" t="n">
        <v>4.9</v>
      </c>
      <c r="H150" t="n">
        <v>0</v>
      </c>
      <c r="I150" t="n">
        <v>0</v>
      </c>
      <c r="J150" t="n">
        <v>0</v>
      </c>
      <c r="K150" t="n">
        <v>0</v>
      </c>
      <c r="L150" t="n">
        <v>0</v>
      </c>
      <c r="M150" t="n">
        <v>0</v>
      </c>
      <c r="N150" t="n">
        <v>0</v>
      </c>
      <c r="O150" t="n">
        <v>0</v>
      </c>
      <c r="P150" t="n">
        <v>0</v>
      </c>
      <c r="Q150" t="n">
        <v>0</v>
      </c>
      <c r="R150" s="2" t="inlineStr"/>
    </row>
    <row r="151" ht="15" customHeight="1">
      <c r="A151" t="inlineStr">
        <is>
          <t>A 38163-2021</t>
        </is>
      </c>
      <c r="B151" s="1" t="n">
        <v>44405</v>
      </c>
      <c r="C151" s="1" t="n">
        <v>45657</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v>
      </c>
      <c r="C152" s="1" t="n">
        <v>45657</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47852-2021</t>
        </is>
      </c>
      <c r="B153" s="1" t="n">
        <v>44448</v>
      </c>
      <c r="C153" s="1" t="n">
        <v>45657</v>
      </c>
      <c r="D153" t="inlineStr">
        <is>
          <t>VÄSTMANLANDS LÄN</t>
        </is>
      </c>
      <c r="E153" t="inlineStr">
        <is>
          <t>SURAHAMMAR</t>
        </is>
      </c>
      <c r="G153" t="n">
        <v>4.1</v>
      </c>
      <c r="H153" t="n">
        <v>0</v>
      </c>
      <c r="I153" t="n">
        <v>0</v>
      </c>
      <c r="J153" t="n">
        <v>0</v>
      </c>
      <c r="K153" t="n">
        <v>0</v>
      </c>
      <c r="L153" t="n">
        <v>0</v>
      </c>
      <c r="M153" t="n">
        <v>0</v>
      </c>
      <c r="N153" t="n">
        <v>0</v>
      </c>
      <c r="O153" t="n">
        <v>0</v>
      </c>
      <c r="P153" t="n">
        <v>0</v>
      </c>
      <c r="Q153" t="n">
        <v>0</v>
      </c>
      <c r="R153" s="2" t="inlineStr"/>
    </row>
    <row r="154" ht="15" customHeight="1">
      <c r="A154" t="inlineStr">
        <is>
          <t>A 47785-2021</t>
        </is>
      </c>
      <c r="B154" s="1" t="n">
        <v>44448</v>
      </c>
      <c r="C154" s="1" t="n">
        <v>45657</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64073-2021</t>
        </is>
      </c>
      <c r="B155" s="1" t="n">
        <v>44509</v>
      </c>
      <c r="C155" s="1" t="n">
        <v>45657</v>
      </c>
      <c r="D155" t="inlineStr">
        <is>
          <t>VÄSTMANLANDS LÄN</t>
        </is>
      </c>
      <c r="E155" t="inlineStr">
        <is>
          <t>SURAHAMMAR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66342-2021</t>
        </is>
      </c>
      <c r="B156" s="1" t="n">
        <v>44518</v>
      </c>
      <c r="C156" s="1" t="n">
        <v>45657</v>
      </c>
      <c r="D156" t="inlineStr">
        <is>
          <t>VÄSTMANLANDS LÄN</t>
        </is>
      </c>
      <c r="E156" t="inlineStr">
        <is>
          <t>SURAHAMMAR</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66350-2021</t>
        </is>
      </c>
      <c r="B157" s="1" t="n">
        <v>44518</v>
      </c>
      <c r="C157" s="1" t="n">
        <v>45657</v>
      </c>
      <c r="D157" t="inlineStr">
        <is>
          <t>VÄSTMANLANDS LÄN</t>
        </is>
      </c>
      <c r="E157" t="inlineStr">
        <is>
          <t>SURAHAMMAR</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67611-2021</t>
        </is>
      </c>
      <c r="B158" s="1" t="n">
        <v>44524</v>
      </c>
      <c r="C158" s="1" t="n">
        <v>45657</v>
      </c>
      <c r="D158" t="inlineStr">
        <is>
          <t>VÄSTMANLANDS LÄN</t>
        </is>
      </c>
      <c r="E158" t="inlineStr">
        <is>
          <t>SURAHAMMAR</t>
        </is>
      </c>
      <c r="F158" t="inlineStr">
        <is>
          <t>Kommuner</t>
        </is>
      </c>
      <c r="G158" t="n">
        <v>3.8</v>
      </c>
      <c r="H158" t="n">
        <v>0</v>
      </c>
      <c r="I158" t="n">
        <v>0</v>
      </c>
      <c r="J158" t="n">
        <v>0</v>
      </c>
      <c r="K158" t="n">
        <v>0</v>
      </c>
      <c r="L158" t="n">
        <v>0</v>
      </c>
      <c r="M158" t="n">
        <v>0</v>
      </c>
      <c r="N158" t="n">
        <v>0</v>
      </c>
      <c r="O158" t="n">
        <v>0</v>
      </c>
      <c r="P158" t="n">
        <v>0</v>
      </c>
      <c r="Q158" t="n">
        <v>0</v>
      </c>
      <c r="R158" s="2" t="inlineStr"/>
    </row>
    <row r="159" ht="15" customHeight="1">
      <c r="A159" t="inlineStr">
        <is>
          <t>A 72367-2021</t>
        </is>
      </c>
      <c r="B159" s="1" t="n">
        <v>44545</v>
      </c>
      <c r="C159" s="1" t="n">
        <v>45657</v>
      </c>
      <c r="D159" t="inlineStr">
        <is>
          <t>VÄSTMANLANDS LÄN</t>
        </is>
      </c>
      <c r="E159" t="inlineStr">
        <is>
          <t>SURAHAMMAR</t>
        </is>
      </c>
      <c r="G159" t="n">
        <v>2.5</v>
      </c>
      <c r="H159" t="n">
        <v>0</v>
      </c>
      <c r="I159" t="n">
        <v>0</v>
      </c>
      <c r="J159" t="n">
        <v>0</v>
      </c>
      <c r="K159" t="n">
        <v>0</v>
      </c>
      <c r="L159" t="n">
        <v>0</v>
      </c>
      <c r="M159" t="n">
        <v>0</v>
      </c>
      <c r="N159" t="n">
        <v>0</v>
      </c>
      <c r="O159" t="n">
        <v>0</v>
      </c>
      <c r="P159" t="n">
        <v>0</v>
      </c>
      <c r="Q159" t="n">
        <v>0</v>
      </c>
      <c r="R159" s="2" t="inlineStr"/>
    </row>
    <row r="160" ht="15" customHeight="1">
      <c r="A160" t="inlineStr">
        <is>
          <t>A 73156-2021</t>
        </is>
      </c>
      <c r="B160" s="1" t="n">
        <v>44550</v>
      </c>
      <c r="C160" s="1" t="n">
        <v>45657</v>
      </c>
      <c r="D160" t="inlineStr">
        <is>
          <t>VÄSTMANLANDS LÄN</t>
        </is>
      </c>
      <c r="E160" t="inlineStr">
        <is>
          <t>SURAHAMMAR</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3155-2022</t>
        </is>
      </c>
      <c r="B161" s="1" t="n">
        <v>44582</v>
      </c>
      <c r="C161" s="1" t="n">
        <v>45657</v>
      </c>
      <c r="D161" t="inlineStr">
        <is>
          <t>VÄSTMANLANDS LÄN</t>
        </is>
      </c>
      <c r="E161" t="inlineStr">
        <is>
          <t>SURAHAMMAR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3595-2022</t>
        </is>
      </c>
      <c r="B162" s="1" t="n">
        <v>44586</v>
      </c>
      <c r="C162" s="1" t="n">
        <v>45657</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3818-2022</t>
        </is>
      </c>
      <c r="B163" s="1" t="n">
        <v>44587</v>
      </c>
      <c r="C163" s="1" t="n">
        <v>45657</v>
      </c>
      <c r="D163" t="inlineStr">
        <is>
          <t>VÄSTMANLANDS LÄN</t>
        </is>
      </c>
      <c r="E163" t="inlineStr">
        <is>
          <t>SURAHAMMAR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5567-2022</t>
        </is>
      </c>
      <c r="B164" s="1" t="n">
        <v>44595</v>
      </c>
      <c r="C164" s="1" t="n">
        <v>45657</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v>
      </c>
      <c r="C165" s="1" t="n">
        <v>45657</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13119-2022</t>
        </is>
      </c>
      <c r="B166" s="1" t="n">
        <v>44643</v>
      </c>
      <c r="C166" s="1" t="n">
        <v>45657</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13070-2022</t>
        </is>
      </c>
      <c r="B167" s="1" t="n">
        <v>44643</v>
      </c>
      <c r="C167" s="1" t="n">
        <v>45657</v>
      </c>
      <c r="D167" t="inlineStr">
        <is>
          <t>VÄSTMANLANDS LÄN</t>
        </is>
      </c>
      <c r="E167" t="inlineStr">
        <is>
          <t>SURAHAMMAR</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v>
      </c>
      <c r="C168" s="1" t="n">
        <v>45657</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16608-2022</t>
        </is>
      </c>
      <c r="B169" s="1" t="n">
        <v>44672</v>
      </c>
      <c r="C169" s="1" t="n">
        <v>45657</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19099-2022</t>
        </is>
      </c>
      <c r="B170" s="1" t="n">
        <v>44691</v>
      </c>
      <c r="C170" s="1" t="n">
        <v>45657</v>
      </c>
      <c r="D170" t="inlineStr">
        <is>
          <t>VÄSTMANLANDS LÄN</t>
        </is>
      </c>
      <c r="E170" t="inlineStr">
        <is>
          <t>SURAHAMMAR</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19637-2022</t>
        </is>
      </c>
      <c r="B171" s="1" t="n">
        <v>44694</v>
      </c>
      <c r="C171" s="1" t="n">
        <v>45657</v>
      </c>
      <c r="D171" t="inlineStr">
        <is>
          <t>VÄSTMANLANDS LÄN</t>
        </is>
      </c>
      <c r="E171" t="inlineStr">
        <is>
          <t>SURAHAMMAR</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19844-2022</t>
        </is>
      </c>
      <c r="B172" s="1" t="n">
        <v>44696</v>
      </c>
      <c r="C172" s="1" t="n">
        <v>45657</v>
      </c>
      <c r="D172" t="inlineStr">
        <is>
          <t>VÄSTMANLANDS LÄN</t>
        </is>
      </c>
      <c r="E172" t="inlineStr">
        <is>
          <t>SURAHAMMAR</t>
        </is>
      </c>
      <c r="F172" t="inlineStr">
        <is>
          <t>Kommuner</t>
        </is>
      </c>
      <c r="G172" t="n">
        <v>2.1</v>
      </c>
      <c r="H172" t="n">
        <v>0</v>
      </c>
      <c r="I172" t="n">
        <v>0</v>
      </c>
      <c r="J172" t="n">
        <v>0</v>
      </c>
      <c r="K172" t="n">
        <v>0</v>
      </c>
      <c r="L172" t="n">
        <v>0</v>
      </c>
      <c r="M172" t="n">
        <v>0</v>
      </c>
      <c r="N172" t="n">
        <v>0</v>
      </c>
      <c r="O172" t="n">
        <v>0</v>
      </c>
      <c r="P172" t="n">
        <v>0</v>
      </c>
      <c r="Q172" t="n">
        <v>0</v>
      </c>
      <c r="R172" s="2" t="inlineStr"/>
    </row>
    <row r="173" ht="15" customHeight="1">
      <c r="A173" t="inlineStr">
        <is>
          <t>A 19845-2022</t>
        </is>
      </c>
      <c r="B173" s="1" t="n">
        <v>44696</v>
      </c>
      <c r="C173" s="1" t="n">
        <v>45657</v>
      </c>
      <c r="D173" t="inlineStr">
        <is>
          <t>VÄSTMANLANDS LÄN</t>
        </is>
      </c>
      <c r="E173" t="inlineStr">
        <is>
          <t>SURAHAMMAR</t>
        </is>
      </c>
      <c r="F173" t="inlineStr">
        <is>
          <t>Kommuner</t>
        </is>
      </c>
      <c r="G173" t="n">
        <v>3.3</v>
      </c>
      <c r="H173" t="n">
        <v>0</v>
      </c>
      <c r="I173" t="n">
        <v>0</v>
      </c>
      <c r="J173" t="n">
        <v>0</v>
      </c>
      <c r="K173" t="n">
        <v>0</v>
      </c>
      <c r="L173" t="n">
        <v>0</v>
      </c>
      <c r="M173" t="n">
        <v>0</v>
      </c>
      <c r="N173" t="n">
        <v>0</v>
      </c>
      <c r="O173" t="n">
        <v>0</v>
      </c>
      <c r="P173" t="n">
        <v>0</v>
      </c>
      <c r="Q173" t="n">
        <v>0</v>
      </c>
      <c r="R173" s="2" t="inlineStr"/>
    </row>
    <row r="174" ht="15" customHeight="1">
      <c r="A174" t="inlineStr">
        <is>
          <t>A 19846-2022</t>
        </is>
      </c>
      <c r="B174" s="1" t="n">
        <v>44696</v>
      </c>
      <c r="C174" s="1" t="n">
        <v>45657</v>
      </c>
      <c r="D174" t="inlineStr">
        <is>
          <t>VÄSTMANLANDS LÄN</t>
        </is>
      </c>
      <c r="E174" t="inlineStr">
        <is>
          <t>SURAHAMMAR</t>
        </is>
      </c>
      <c r="F174" t="inlineStr">
        <is>
          <t>Kommuner</t>
        </is>
      </c>
      <c r="G174" t="n">
        <v>3.4</v>
      </c>
      <c r="H174" t="n">
        <v>0</v>
      </c>
      <c r="I174" t="n">
        <v>0</v>
      </c>
      <c r="J174" t="n">
        <v>0</v>
      </c>
      <c r="K174" t="n">
        <v>0</v>
      </c>
      <c r="L174" t="n">
        <v>0</v>
      </c>
      <c r="M174" t="n">
        <v>0</v>
      </c>
      <c r="N174" t="n">
        <v>0</v>
      </c>
      <c r="O174" t="n">
        <v>0</v>
      </c>
      <c r="P174" t="n">
        <v>0</v>
      </c>
      <c r="Q174" t="n">
        <v>0</v>
      </c>
      <c r="R174" s="2" t="inlineStr"/>
    </row>
    <row r="175" ht="15" customHeight="1">
      <c r="A175" t="inlineStr">
        <is>
          <t>A 26700-2022</t>
        </is>
      </c>
      <c r="B175" s="1" t="n">
        <v>44739</v>
      </c>
      <c r="C175" s="1" t="n">
        <v>45657</v>
      </c>
      <c r="D175" t="inlineStr">
        <is>
          <t>VÄSTMANLANDS LÄN</t>
        </is>
      </c>
      <c r="E175" t="inlineStr">
        <is>
          <t>SURAHAMMAR</t>
        </is>
      </c>
      <c r="F175" t="inlineStr">
        <is>
          <t>Kommuner</t>
        </is>
      </c>
      <c r="G175" t="n">
        <v>3.1</v>
      </c>
      <c r="H175" t="n">
        <v>0</v>
      </c>
      <c r="I175" t="n">
        <v>0</v>
      </c>
      <c r="J175" t="n">
        <v>0</v>
      </c>
      <c r="K175" t="n">
        <v>0</v>
      </c>
      <c r="L175" t="n">
        <v>0</v>
      </c>
      <c r="M175" t="n">
        <v>0</v>
      </c>
      <c r="N175" t="n">
        <v>0</v>
      </c>
      <c r="O175" t="n">
        <v>0</v>
      </c>
      <c r="P175" t="n">
        <v>0</v>
      </c>
      <c r="Q175" t="n">
        <v>0</v>
      </c>
      <c r="R175" s="2" t="inlineStr"/>
    </row>
    <row r="176" ht="15" customHeight="1">
      <c r="A176" t="inlineStr">
        <is>
          <t>A 32475-2022</t>
        </is>
      </c>
      <c r="B176" s="1" t="n">
        <v>44782</v>
      </c>
      <c r="C176" s="1" t="n">
        <v>45657</v>
      </c>
      <c r="D176" t="inlineStr">
        <is>
          <t>VÄSTMANLANDS LÄN</t>
        </is>
      </c>
      <c r="E176" t="inlineStr">
        <is>
          <t>SURAHAMMAR</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32491-2022</t>
        </is>
      </c>
      <c r="B177" s="1" t="n">
        <v>44782</v>
      </c>
      <c r="C177" s="1" t="n">
        <v>45657</v>
      </c>
      <c r="D177" t="inlineStr">
        <is>
          <t>VÄSTMANLANDS LÄN</t>
        </is>
      </c>
      <c r="E177" t="inlineStr">
        <is>
          <t>SURAHAMMAR</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32492-2022</t>
        </is>
      </c>
      <c r="B178" s="1" t="n">
        <v>44782</v>
      </c>
      <c r="C178" s="1" t="n">
        <v>45657</v>
      </c>
      <c r="D178" t="inlineStr">
        <is>
          <t>VÄSTMANLANDS LÄN</t>
        </is>
      </c>
      <c r="E178" t="inlineStr">
        <is>
          <t>SURAHAMMAR</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33931-2022</t>
        </is>
      </c>
      <c r="B179" s="1" t="n">
        <v>44790</v>
      </c>
      <c r="C179" s="1" t="n">
        <v>45657</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33946-2022</t>
        </is>
      </c>
      <c r="B180" s="1" t="n">
        <v>44790</v>
      </c>
      <c r="C180" s="1" t="n">
        <v>45657</v>
      </c>
      <c r="D180" t="inlineStr">
        <is>
          <t>VÄSTMANLANDS LÄN</t>
        </is>
      </c>
      <c r="E180" t="inlineStr">
        <is>
          <t>SURAHAMMAR</t>
        </is>
      </c>
      <c r="G180" t="n">
        <v>2.3</v>
      </c>
      <c r="H180" t="n">
        <v>0</v>
      </c>
      <c r="I180" t="n">
        <v>0</v>
      </c>
      <c r="J180" t="n">
        <v>0</v>
      </c>
      <c r="K180" t="n">
        <v>0</v>
      </c>
      <c r="L180" t="n">
        <v>0</v>
      </c>
      <c r="M180" t="n">
        <v>0</v>
      </c>
      <c r="N180" t="n">
        <v>0</v>
      </c>
      <c r="O180" t="n">
        <v>0</v>
      </c>
      <c r="P180" t="n">
        <v>0</v>
      </c>
      <c r="Q180" t="n">
        <v>0</v>
      </c>
      <c r="R180" s="2" t="inlineStr"/>
    </row>
    <row r="181" ht="15" customHeight="1">
      <c r="A181" t="inlineStr">
        <is>
          <t>A 33953-2022</t>
        </is>
      </c>
      <c r="B181" s="1" t="n">
        <v>44790</v>
      </c>
      <c r="C181" s="1" t="n">
        <v>45657</v>
      </c>
      <c r="D181" t="inlineStr">
        <is>
          <t>VÄSTMANLANDS LÄN</t>
        </is>
      </c>
      <c r="E181" t="inlineStr">
        <is>
          <t>SURAHAMMAR</t>
        </is>
      </c>
      <c r="G181" t="n">
        <v>3</v>
      </c>
      <c r="H181" t="n">
        <v>0</v>
      </c>
      <c r="I181" t="n">
        <v>0</v>
      </c>
      <c r="J181" t="n">
        <v>0</v>
      </c>
      <c r="K181" t="n">
        <v>0</v>
      </c>
      <c r="L181" t="n">
        <v>0</v>
      </c>
      <c r="M181" t="n">
        <v>0</v>
      </c>
      <c r="N181" t="n">
        <v>0</v>
      </c>
      <c r="O181" t="n">
        <v>0</v>
      </c>
      <c r="P181" t="n">
        <v>0</v>
      </c>
      <c r="Q181" t="n">
        <v>0</v>
      </c>
      <c r="R181" s="2" t="inlineStr"/>
    </row>
    <row r="182" ht="15" customHeight="1">
      <c r="A182" t="inlineStr">
        <is>
          <t>A 34957-2022</t>
        </is>
      </c>
      <c r="B182" s="1" t="n">
        <v>44796</v>
      </c>
      <c r="C182" s="1" t="n">
        <v>45657</v>
      </c>
      <c r="D182" t="inlineStr">
        <is>
          <t>VÄSTMANLANDS LÄN</t>
        </is>
      </c>
      <c r="E182" t="inlineStr">
        <is>
          <t>SURAHAMMAR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34955-2022</t>
        </is>
      </c>
      <c r="B183" s="1" t="n">
        <v>44796</v>
      </c>
      <c r="C183" s="1" t="n">
        <v>45657</v>
      </c>
      <c r="D183" t="inlineStr">
        <is>
          <t>VÄSTMANLANDS LÄN</t>
        </is>
      </c>
      <c r="E183" t="inlineStr">
        <is>
          <t>SURAHAMMAR</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34956-2022</t>
        </is>
      </c>
      <c r="B184" s="1" t="n">
        <v>44796</v>
      </c>
      <c r="C184" s="1" t="n">
        <v>45657</v>
      </c>
      <c r="D184" t="inlineStr">
        <is>
          <t>VÄSTMANLANDS LÄN</t>
        </is>
      </c>
      <c r="E184" t="inlineStr">
        <is>
          <t>SURAHAMMAR</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35677-2022</t>
        </is>
      </c>
      <c r="B185" s="1" t="n">
        <v>44799</v>
      </c>
      <c r="C185" s="1" t="n">
        <v>45657</v>
      </c>
      <c r="D185" t="inlineStr">
        <is>
          <t>VÄSTMANLANDS LÄN</t>
        </is>
      </c>
      <c r="E185" t="inlineStr">
        <is>
          <t>SURAHAMMAR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35682-2022</t>
        </is>
      </c>
      <c r="B186" s="1" t="n">
        <v>44799</v>
      </c>
      <c r="C186" s="1" t="n">
        <v>45657</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35679-2022</t>
        </is>
      </c>
      <c r="B187" s="1" t="n">
        <v>44799</v>
      </c>
      <c r="C187" s="1" t="n">
        <v>45657</v>
      </c>
      <c r="D187" t="inlineStr">
        <is>
          <t>VÄSTMANLANDS LÄN</t>
        </is>
      </c>
      <c r="E187" t="inlineStr">
        <is>
          <t>SURAHAMMAR</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41576-2022</t>
        </is>
      </c>
      <c r="B188" s="1" t="n">
        <v>44826</v>
      </c>
      <c r="C188" s="1" t="n">
        <v>45657</v>
      </c>
      <c r="D188" t="inlineStr">
        <is>
          <t>VÄSTMANLANDS LÄN</t>
        </is>
      </c>
      <c r="E188" t="inlineStr">
        <is>
          <t>SURAHAMMAR</t>
        </is>
      </c>
      <c r="F188" t="inlineStr">
        <is>
          <t>Bergvik skog väst AB</t>
        </is>
      </c>
      <c r="G188" t="n">
        <v>6.4</v>
      </c>
      <c r="H188" t="n">
        <v>0</v>
      </c>
      <c r="I188" t="n">
        <v>0</v>
      </c>
      <c r="J188" t="n">
        <v>0</v>
      </c>
      <c r="K188" t="n">
        <v>0</v>
      </c>
      <c r="L188" t="n">
        <v>0</v>
      </c>
      <c r="M188" t="n">
        <v>0</v>
      </c>
      <c r="N188" t="n">
        <v>0</v>
      </c>
      <c r="O188" t="n">
        <v>0</v>
      </c>
      <c r="P188" t="n">
        <v>0</v>
      </c>
      <c r="Q188" t="n">
        <v>0</v>
      </c>
      <c r="R188" s="2" t="inlineStr"/>
    </row>
    <row r="189" ht="15" customHeight="1">
      <c r="A189" t="inlineStr">
        <is>
          <t>A 41555-2022</t>
        </is>
      </c>
      <c r="B189" s="1" t="n">
        <v>44826</v>
      </c>
      <c r="C189" s="1" t="n">
        <v>45657</v>
      </c>
      <c r="D189" t="inlineStr">
        <is>
          <t>VÄSTMANLANDS LÄN</t>
        </is>
      </c>
      <c r="E189" t="inlineStr">
        <is>
          <t>SURAHAMMAR</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42714-2022</t>
        </is>
      </c>
      <c r="B190" s="1" t="n">
        <v>44832</v>
      </c>
      <c r="C190" s="1" t="n">
        <v>45657</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42832-2022</t>
        </is>
      </c>
      <c r="B191" s="1" t="n">
        <v>44832</v>
      </c>
      <c r="C191" s="1" t="n">
        <v>45657</v>
      </c>
      <c r="D191" t="inlineStr">
        <is>
          <t>VÄSTMANLANDS LÄN</t>
        </is>
      </c>
      <c r="E191" t="inlineStr">
        <is>
          <t>SURAHAMMAR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42841-2022</t>
        </is>
      </c>
      <c r="B192" s="1" t="n">
        <v>44832</v>
      </c>
      <c r="C192" s="1" t="n">
        <v>45657</v>
      </c>
      <c r="D192" t="inlineStr">
        <is>
          <t>VÄSTMANLANDS LÄN</t>
        </is>
      </c>
      <c r="E192" t="inlineStr">
        <is>
          <t>SURAHAMMAR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42829-2022</t>
        </is>
      </c>
      <c r="B193" s="1" t="n">
        <v>44832</v>
      </c>
      <c r="C193" s="1" t="n">
        <v>45657</v>
      </c>
      <c r="D193" t="inlineStr">
        <is>
          <t>VÄSTMANLANDS LÄN</t>
        </is>
      </c>
      <c r="E193" t="inlineStr">
        <is>
          <t>SURAHAMMAR</t>
        </is>
      </c>
      <c r="G193" t="n">
        <v>1.6</v>
      </c>
      <c r="H193" t="n">
        <v>0</v>
      </c>
      <c r="I193" t="n">
        <v>0</v>
      </c>
      <c r="J193" t="n">
        <v>0</v>
      </c>
      <c r="K193" t="n">
        <v>0</v>
      </c>
      <c r="L193" t="n">
        <v>0</v>
      </c>
      <c r="M193" t="n">
        <v>0</v>
      </c>
      <c r="N193" t="n">
        <v>0</v>
      </c>
      <c r="O193" t="n">
        <v>0</v>
      </c>
      <c r="P193" t="n">
        <v>0</v>
      </c>
      <c r="Q193" t="n">
        <v>0</v>
      </c>
      <c r="R193" s="2" t="inlineStr"/>
    </row>
    <row r="194" ht="15" customHeight="1">
      <c r="A194" t="inlineStr">
        <is>
          <t>A 48581-2022</t>
        </is>
      </c>
      <c r="B194" s="1" t="n">
        <v>44859</v>
      </c>
      <c r="C194" s="1" t="n">
        <v>45657</v>
      </c>
      <c r="D194" t="inlineStr">
        <is>
          <t>VÄSTMANLANDS LÄN</t>
        </is>
      </c>
      <c r="E194" t="inlineStr">
        <is>
          <t>SURAHAMMAR</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49686-2022</t>
        </is>
      </c>
      <c r="B195" s="1" t="n">
        <v>44862</v>
      </c>
      <c r="C195" s="1" t="n">
        <v>45657</v>
      </c>
      <c r="D195" t="inlineStr">
        <is>
          <t>VÄSTMANLANDS LÄN</t>
        </is>
      </c>
      <c r="E195" t="inlineStr">
        <is>
          <t>SURAHAMMAR</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3085-2023</t>
        </is>
      </c>
      <c r="B196" s="1" t="n">
        <v>44946</v>
      </c>
      <c r="C196" s="1" t="n">
        <v>45657</v>
      </c>
      <c r="D196" t="inlineStr">
        <is>
          <t>VÄSTMANLANDS LÄN</t>
        </is>
      </c>
      <c r="E196" t="inlineStr">
        <is>
          <t>SURAHAMMAR</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8553-2023</t>
        </is>
      </c>
      <c r="B197" s="1" t="n">
        <v>44977</v>
      </c>
      <c r="C197" s="1" t="n">
        <v>45657</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10877-2023</t>
        </is>
      </c>
      <c r="B198" s="1" t="n">
        <v>44991</v>
      </c>
      <c r="C198" s="1" t="n">
        <v>45657</v>
      </c>
      <c r="D198" t="inlineStr">
        <is>
          <t>VÄSTMANLANDS LÄN</t>
        </is>
      </c>
      <c r="E198" t="inlineStr">
        <is>
          <t>SURAHAMMAR</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10883-2023</t>
        </is>
      </c>
      <c r="B199" s="1" t="n">
        <v>44991</v>
      </c>
      <c r="C199" s="1" t="n">
        <v>45657</v>
      </c>
      <c r="D199" t="inlineStr">
        <is>
          <t>VÄSTMANLANDS LÄN</t>
        </is>
      </c>
      <c r="E199" t="inlineStr">
        <is>
          <t>SURAHAMMAR</t>
        </is>
      </c>
      <c r="F199" t="inlineStr">
        <is>
          <t>Övriga Aktiebolag</t>
        </is>
      </c>
      <c r="G199" t="n">
        <v>12.5</v>
      </c>
      <c r="H199" t="n">
        <v>0</v>
      </c>
      <c r="I199" t="n">
        <v>0</v>
      </c>
      <c r="J199" t="n">
        <v>0</v>
      </c>
      <c r="K199" t="n">
        <v>0</v>
      </c>
      <c r="L199" t="n">
        <v>0</v>
      </c>
      <c r="M199" t="n">
        <v>0</v>
      </c>
      <c r="N199" t="n">
        <v>0</v>
      </c>
      <c r="O199" t="n">
        <v>0</v>
      </c>
      <c r="P199" t="n">
        <v>0</v>
      </c>
      <c r="Q199" t="n">
        <v>0</v>
      </c>
      <c r="R199" s="2" t="inlineStr"/>
    </row>
    <row r="200" ht="15" customHeight="1">
      <c r="A200" t="inlineStr">
        <is>
          <t>A 11501-2023</t>
        </is>
      </c>
      <c r="B200" s="1" t="n">
        <v>44991</v>
      </c>
      <c r="C200" s="1" t="n">
        <v>45657</v>
      </c>
      <c r="D200" t="inlineStr">
        <is>
          <t>VÄSTMANLANDS LÄN</t>
        </is>
      </c>
      <c r="E200" t="inlineStr">
        <is>
          <t>SURAHAMMAR</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11728-2023</t>
        </is>
      </c>
      <c r="B201" s="1" t="n">
        <v>44993</v>
      </c>
      <c r="C201" s="1" t="n">
        <v>45657</v>
      </c>
      <c r="D201" t="inlineStr">
        <is>
          <t>VÄSTMANLANDS LÄN</t>
        </is>
      </c>
      <c r="E201" t="inlineStr">
        <is>
          <t>SURAHAMMAR</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13479-2023</t>
        </is>
      </c>
      <c r="B202" s="1" t="n">
        <v>45005</v>
      </c>
      <c r="C202" s="1" t="n">
        <v>45657</v>
      </c>
      <c r="D202" t="inlineStr">
        <is>
          <t>VÄSTMANLANDS LÄN</t>
        </is>
      </c>
      <c r="E202" t="inlineStr">
        <is>
          <t>SURAHAMMAR</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14626-2023</t>
        </is>
      </c>
      <c r="B203" s="1" t="n">
        <v>45012</v>
      </c>
      <c r="C203" s="1" t="n">
        <v>45657</v>
      </c>
      <c r="D203" t="inlineStr">
        <is>
          <t>VÄSTMANLANDS LÄN</t>
        </is>
      </c>
      <c r="E203" t="inlineStr">
        <is>
          <t>SURAHAMMAR</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14583-2023</t>
        </is>
      </c>
      <c r="B204" s="1" t="n">
        <v>45013</v>
      </c>
      <c r="C204" s="1" t="n">
        <v>45657</v>
      </c>
      <c r="D204" t="inlineStr">
        <is>
          <t>VÄSTMANLANDS LÄN</t>
        </is>
      </c>
      <c r="E204" t="inlineStr">
        <is>
          <t>SURAHAMMAR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15743-2023</t>
        </is>
      </c>
      <c r="B205" s="1" t="n">
        <v>45021</v>
      </c>
      <c r="C205" s="1" t="n">
        <v>45657</v>
      </c>
      <c r="D205" t="inlineStr">
        <is>
          <t>VÄSTMANLANDS LÄN</t>
        </is>
      </c>
      <c r="E205" t="inlineStr">
        <is>
          <t>SURAHAMMAR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15739-2023</t>
        </is>
      </c>
      <c r="B206" s="1" t="n">
        <v>45021</v>
      </c>
      <c r="C206" s="1" t="n">
        <v>45657</v>
      </c>
      <c r="D206" t="inlineStr">
        <is>
          <t>VÄSTMANLANDS LÄN</t>
        </is>
      </c>
      <c r="E206" t="inlineStr">
        <is>
          <t>SURAHAMMAR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16013-2023</t>
        </is>
      </c>
      <c r="B207" s="1" t="n">
        <v>45026</v>
      </c>
      <c r="C207" s="1" t="n">
        <v>45657</v>
      </c>
      <c r="D207" t="inlineStr">
        <is>
          <t>VÄSTMANLANDS LÄN</t>
        </is>
      </c>
      <c r="E207" t="inlineStr">
        <is>
          <t>SURAHAMMAR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18223-2023</t>
        </is>
      </c>
      <c r="B208" s="1" t="n">
        <v>45041</v>
      </c>
      <c r="C208" s="1" t="n">
        <v>45657</v>
      </c>
      <c r="D208" t="inlineStr">
        <is>
          <t>VÄSTMANLANDS LÄN</t>
        </is>
      </c>
      <c r="E208" t="inlineStr">
        <is>
          <t>SURAHAMMAR</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19778-2023</t>
        </is>
      </c>
      <c r="B209" s="1" t="n">
        <v>45050</v>
      </c>
      <c r="C209" s="1" t="n">
        <v>45657</v>
      </c>
      <c r="D209" t="inlineStr">
        <is>
          <t>VÄSTMANLANDS LÄN</t>
        </is>
      </c>
      <c r="E209" t="inlineStr">
        <is>
          <t>SURAHAMMAR</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19779-2023</t>
        </is>
      </c>
      <c r="B210" s="1" t="n">
        <v>45050</v>
      </c>
      <c r="C210" s="1" t="n">
        <v>45657</v>
      </c>
      <c r="D210" t="inlineStr">
        <is>
          <t>VÄSTMANLANDS LÄN</t>
        </is>
      </c>
      <c r="E210" t="inlineStr">
        <is>
          <t>SURAHAMMAR</t>
        </is>
      </c>
      <c r="F210" t="inlineStr">
        <is>
          <t>Bergvik skog väst AB</t>
        </is>
      </c>
      <c r="G210" t="n">
        <v>11.1</v>
      </c>
      <c r="H210" t="n">
        <v>0</v>
      </c>
      <c r="I210" t="n">
        <v>0</v>
      </c>
      <c r="J210" t="n">
        <v>0</v>
      </c>
      <c r="K210" t="n">
        <v>0</v>
      </c>
      <c r="L210" t="n">
        <v>0</v>
      </c>
      <c r="M210" t="n">
        <v>0</v>
      </c>
      <c r="N210" t="n">
        <v>0</v>
      </c>
      <c r="O210" t="n">
        <v>0</v>
      </c>
      <c r="P210" t="n">
        <v>0</v>
      </c>
      <c r="Q210" t="n">
        <v>0</v>
      </c>
      <c r="R210" s="2" t="inlineStr"/>
    </row>
    <row r="211" ht="15" customHeight="1">
      <c r="A211" t="inlineStr">
        <is>
          <t>A 19786-2023</t>
        </is>
      </c>
      <c r="B211" s="1" t="n">
        <v>45050</v>
      </c>
      <c r="C211" s="1" t="n">
        <v>45657</v>
      </c>
      <c r="D211" t="inlineStr">
        <is>
          <t>VÄSTMANLANDS LÄN</t>
        </is>
      </c>
      <c r="E211" t="inlineStr">
        <is>
          <t>SURAHAMMAR</t>
        </is>
      </c>
      <c r="F211" t="inlineStr">
        <is>
          <t>Bergvik skog väst AB</t>
        </is>
      </c>
      <c r="G211" t="n">
        <v>8.1</v>
      </c>
      <c r="H211" t="n">
        <v>0</v>
      </c>
      <c r="I211" t="n">
        <v>0</v>
      </c>
      <c r="J211" t="n">
        <v>0</v>
      </c>
      <c r="K211" t="n">
        <v>0</v>
      </c>
      <c r="L211" t="n">
        <v>0</v>
      </c>
      <c r="M211" t="n">
        <v>0</v>
      </c>
      <c r="N211" t="n">
        <v>0</v>
      </c>
      <c r="O211" t="n">
        <v>0</v>
      </c>
      <c r="P211" t="n">
        <v>0</v>
      </c>
      <c r="Q211" t="n">
        <v>0</v>
      </c>
      <c r="R211" s="2" t="inlineStr"/>
    </row>
    <row r="212" ht="15" customHeight="1">
      <c r="A212" t="inlineStr">
        <is>
          <t>A 19782-2023</t>
        </is>
      </c>
      <c r="B212" s="1" t="n">
        <v>45050</v>
      </c>
      <c r="C212" s="1" t="n">
        <v>45657</v>
      </c>
      <c r="D212" t="inlineStr">
        <is>
          <t>VÄSTMANLANDS LÄN</t>
        </is>
      </c>
      <c r="E212" t="inlineStr">
        <is>
          <t>SURAHAMMAR</t>
        </is>
      </c>
      <c r="F212" t="inlineStr">
        <is>
          <t>Bergvik skog väst AB</t>
        </is>
      </c>
      <c r="G212" t="n">
        <v>5.2</v>
      </c>
      <c r="H212" t="n">
        <v>0</v>
      </c>
      <c r="I212" t="n">
        <v>0</v>
      </c>
      <c r="J212" t="n">
        <v>0</v>
      </c>
      <c r="K212" t="n">
        <v>0</v>
      </c>
      <c r="L212" t="n">
        <v>0</v>
      </c>
      <c r="M212" t="n">
        <v>0</v>
      </c>
      <c r="N212" t="n">
        <v>0</v>
      </c>
      <c r="O212" t="n">
        <v>0</v>
      </c>
      <c r="P212" t="n">
        <v>0</v>
      </c>
      <c r="Q212" t="n">
        <v>0</v>
      </c>
      <c r="R212" s="2" t="inlineStr"/>
    </row>
    <row r="213" ht="15" customHeight="1">
      <c r="A213" t="inlineStr">
        <is>
          <t>A 20020-2023</t>
        </is>
      </c>
      <c r="B213" s="1" t="n">
        <v>45054</v>
      </c>
      <c r="C213" s="1" t="n">
        <v>45657</v>
      </c>
      <c r="D213" t="inlineStr">
        <is>
          <t>VÄSTMANLANDS LÄN</t>
        </is>
      </c>
      <c r="E213" t="inlineStr">
        <is>
          <t>SURAHAMMAR</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20018-2023</t>
        </is>
      </c>
      <c r="B214" s="1" t="n">
        <v>45054</v>
      </c>
      <c r="C214" s="1" t="n">
        <v>45657</v>
      </c>
      <c r="D214" t="inlineStr">
        <is>
          <t>VÄSTMANLANDS LÄN</t>
        </is>
      </c>
      <c r="E214" t="inlineStr">
        <is>
          <t>SURAHAMMAR</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20019-2023</t>
        </is>
      </c>
      <c r="B215" s="1" t="n">
        <v>45054</v>
      </c>
      <c r="C215" s="1" t="n">
        <v>45657</v>
      </c>
      <c r="D215" t="inlineStr">
        <is>
          <t>VÄSTMANLANDS LÄN</t>
        </is>
      </c>
      <c r="E215" t="inlineStr">
        <is>
          <t>SURAHAMMAR</t>
        </is>
      </c>
      <c r="F215" t="inlineStr">
        <is>
          <t>Sveaskog</t>
        </is>
      </c>
      <c r="G215" t="n">
        <v>18.5</v>
      </c>
      <c r="H215" t="n">
        <v>0</v>
      </c>
      <c r="I215" t="n">
        <v>0</v>
      </c>
      <c r="J215" t="n">
        <v>0</v>
      </c>
      <c r="K215" t="n">
        <v>0</v>
      </c>
      <c r="L215" t="n">
        <v>0</v>
      </c>
      <c r="M215" t="n">
        <v>0</v>
      </c>
      <c r="N215" t="n">
        <v>0</v>
      </c>
      <c r="O215" t="n">
        <v>0</v>
      </c>
      <c r="P215" t="n">
        <v>0</v>
      </c>
      <c r="Q215" t="n">
        <v>0</v>
      </c>
      <c r="R215" s="2" t="inlineStr"/>
    </row>
    <row r="216" ht="15" customHeight="1">
      <c r="A216" t="inlineStr">
        <is>
          <t>A 20023-2023</t>
        </is>
      </c>
      <c r="B216" s="1" t="n">
        <v>45054</v>
      </c>
      <c r="C216" s="1" t="n">
        <v>45657</v>
      </c>
      <c r="D216" t="inlineStr">
        <is>
          <t>VÄSTMANLANDS LÄN</t>
        </is>
      </c>
      <c r="E216" t="inlineStr">
        <is>
          <t>SURAHAMMAR</t>
        </is>
      </c>
      <c r="F216" t="inlineStr">
        <is>
          <t>Sveaskog</t>
        </is>
      </c>
      <c r="G216" t="n">
        <v>7.8</v>
      </c>
      <c r="H216" t="n">
        <v>0</v>
      </c>
      <c r="I216" t="n">
        <v>0</v>
      </c>
      <c r="J216" t="n">
        <v>0</v>
      </c>
      <c r="K216" t="n">
        <v>0</v>
      </c>
      <c r="L216" t="n">
        <v>0</v>
      </c>
      <c r="M216" t="n">
        <v>0</v>
      </c>
      <c r="N216" t="n">
        <v>0</v>
      </c>
      <c r="O216" t="n">
        <v>0</v>
      </c>
      <c r="P216" t="n">
        <v>0</v>
      </c>
      <c r="Q216" t="n">
        <v>0</v>
      </c>
      <c r="R216" s="2" t="inlineStr"/>
    </row>
    <row r="217" ht="15" customHeight="1">
      <c r="A217" t="inlineStr">
        <is>
          <t>A 20429-2023</t>
        </is>
      </c>
      <c r="B217" s="1" t="n">
        <v>45056</v>
      </c>
      <c r="C217" s="1" t="n">
        <v>45657</v>
      </c>
      <c r="D217" t="inlineStr">
        <is>
          <t>VÄSTMANLANDS LÄN</t>
        </is>
      </c>
      <c r="E217" t="inlineStr">
        <is>
          <t>SURAHAMMAR</t>
        </is>
      </c>
      <c r="G217" t="n">
        <v>5</v>
      </c>
      <c r="H217" t="n">
        <v>0</v>
      </c>
      <c r="I217" t="n">
        <v>0</v>
      </c>
      <c r="J217" t="n">
        <v>0</v>
      </c>
      <c r="K217" t="n">
        <v>0</v>
      </c>
      <c r="L217" t="n">
        <v>0</v>
      </c>
      <c r="M217" t="n">
        <v>0</v>
      </c>
      <c r="N217" t="n">
        <v>0</v>
      </c>
      <c r="O217" t="n">
        <v>0</v>
      </c>
      <c r="P217" t="n">
        <v>0</v>
      </c>
      <c r="Q217" t="n">
        <v>0</v>
      </c>
      <c r="R217" s="2" t="inlineStr"/>
    </row>
    <row r="218" ht="15" customHeight="1">
      <c r="A218" t="inlineStr">
        <is>
          <t>A 20904-2023</t>
        </is>
      </c>
      <c r="B218" s="1" t="n">
        <v>45060</v>
      </c>
      <c r="C218" s="1" t="n">
        <v>45657</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21906-2023</t>
        </is>
      </c>
      <c r="B219" s="1" t="n">
        <v>45068</v>
      </c>
      <c r="C219" s="1" t="n">
        <v>45657</v>
      </c>
      <c r="D219" t="inlineStr">
        <is>
          <t>VÄSTMANLANDS LÄN</t>
        </is>
      </c>
      <c r="E219" t="inlineStr">
        <is>
          <t>SURAHAMMAR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21905-2023</t>
        </is>
      </c>
      <c r="B220" s="1" t="n">
        <v>45068</v>
      </c>
      <c r="C220" s="1" t="n">
        <v>45657</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21904-2023</t>
        </is>
      </c>
      <c r="B221" s="1" t="n">
        <v>45068</v>
      </c>
      <c r="C221" s="1" t="n">
        <v>45657</v>
      </c>
      <c r="D221" t="inlineStr">
        <is>
          <t>VÄSTMANLANDS LÄN</t>
        </is>
      </c>
      <c r="E221" t="inlineStr">
        <is>
          <t>SURAHAMMAR</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22915-2023</t>
        </is>
      </c>
      <c r="B222" s="1" t="n">
        <v>45070</v>
      </c>
      <c r="C222" s="1" t="n">
        <v>45657</v>
      </c>
      <c r="D222" t="inlineStr">
        <is>
          <t>VÄSTMANLANDS LÄN</t>
        </is>
      </c>
      <c r="E222" t="inlineStr">
        <is>
          <t>SURAHAMMAR</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22660-2023</t>
        </is>
      </c>
      <c r="B223" s="1" t="n">
        <v>45071</v>
      </c>
      <c r="C223" s="1" t="n">
        <v>45657</v>
      </c>
      <c r="D223" t="inlineStr">
        <is>
          <t>VÄSTMANLANDS LÄN</t>
        </is>
      </c>
      <c r="E223" t="inlineStr">
        <is>
          <t>SURAHAMMAR</t>
        </is>
      </c>
      <c r="F223" t="inlineStr">
        <is>
          <t>Sveaskog</t>
        </is>
      </c>
      <c r="G223" t="n">
        <v>15.3</v>
      </c>
      <c r="H223" t="n">
        <v>0</v>
      </c>
      <c r="I223" t="n">
        <v>0</v>
      </c>
      <c r="J223" t="n">
        <v>0</v>
      </c>
      <c r="K223" t="n">
        <v>0</v>
      </c>
      <c r="L223" t="n">
        <v>0</v>
      </c>
      <c r="M223" t="n">
        <v>0</v>
      </c>
      <c r="N223" t="n">
        <v>0</v>
      </c>
      <c r="O223" t="n">
        <v>0</v>
      </c>
      <c r="P223" t="n">
        <v>0</v>
      </c>
      <c r="Q223" t="n">
        <v>0</v>
      </c>
      <c r="R223" s="2" t="inlineStr"/>
    </row>
    <row r="224" ht="15" customHeight="1">
      <c r="A224" t="inlineStr">
        <is>
          <t>A 22662-2023</t>
        </is>
      </c>
      <c r="B224" s="1" t="n">
        <v>45071</v>
      </c>
      <c r="C224" s="1" t="n">
        <v>45657</v>
      </c>
      <c r="D224" t="inlineStr">
        <is>
          <t>VÄSTMANLANDS LÄN</t>
        </is>
      </c>
      <c r="E224" t="inlineStr">
        <is>
          <t>SURAHAMMAR</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22661-2023</t>
        </is>
      </c>
      <c r="B225" s="1" t="n">
        <v>45071</v>
      </c>
      <c r="C225" s="1" t="n">
        <v>45657</v>
      </c>
      <c r="D225" t="inlineStr">
        <is>
          <t>VÄSTMANLANDS LÄN</t>
        </is>
      </c>
      <c r="E225" t="inlineStr">
        <is>
          <t>SURAHAMMAR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22659-2023</t>
        </is>
      </c>
      <c r="B226" s="1" t="n">
        <v>45071</v>
      </c>
      <c r="C226" s="1" t="n">
        <v>45657</v>
      </c>
      <c r="D226" t="inlineStr">
        <is>
          <t>VÄSTMANLANDS LÄN</t>
        </is>
      </c>
      <c r="E226" t="inlineStr">
        <is>
          <t>SURAHAMMAR</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23731-2023</t>
        </is>
      </c>
      <c r="B227" s="1" t="n">
        <v>45077</v>
      </c>
      <c r="C227" s="1" t="n">
        <v>45657</v>
      </c>
      <c r="D227" t="inlineStr">
        <is>
          <t>VÄSTMANLANDS LÄN</t>
        </is>
      </c>
      <c r="E227" t="inlineStr">
        <is>
          <t>SURAHAMMAR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24156-2023</t>
        </is>
      </c>
      <c r="B228" s="1" t="n">
        <v>45079</v>
      </c>
      <c r="C228" s="1" t="n">
        <v>45657</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24158-2023</t>
        </is>
      </c>
      <c r="B229" s="1" t="n">
        <v>45079</v>
      </c>
      <c r="C229" s="1" t="n">
        <v>45657</v>
      </c>
      <c r="D229" t="inlineStr">
        <is>
          <t>VÄSTMANLANDS LÄN</t>
        </is>
      </c>
      <c r="E229" t="inlineStr">
        <is>
          <t>SURAHAMMAR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24197-2023</t>
        </is>
      </c>
      <c r="B230" s="1" t="n">
        <v>45079</v>
      </c>
      <c r="C230" s="1" t="n">
        <v>45657</v>
      </c>
      <c r="D230" t="inlineStr">
        <is>
          <t>VÄSTMANLANDS LÄN</t>
        </is>
      </c>
      <c r="E230" t="inlineStr">
        <is>
          <t>SURAHAMMAR</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24180-2023</t>
        </is>
      </c>
      <c r="B231" s="1" t="n">
        <v>45079</v>
      </c>
      <c r="C231" s="1" t="n">
        <v>45657</v>
      </c>
      <c r="D231" t="inlineStr">
        <is>
          <t>VÄSTMANLANDS LÄN</t>
        </is>
      </c>
      <c r="E231" t="inlineStr">
        <is>
          <t>SURAHAMMAR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24665-2023</t>
        </is>
      </c>
      <c r="B232" s="1" t="n">
        <v>45084</v>
      </c>
      <c r="C232" s="1" t="n">
        <v>45657</v>
      </c>
      <c r="D232" t="inlineStr">
        <is>
          <t>VÄSTMANLANDS LÄN</t>
        </is>
      </c>
      <c r="E232" t="inlineStr">
        <is>
          <t>SURAHAMMAR</t>
        </is>
      </c>
      <c r="G232" t="n">
        <v>0.9</v>
      </c>
      <c r="H232" t="n">
        <v>0</v>
      </c>
      <c r="I232" t="n">
        <v>0</v>
      </c>
      <c r="J232" t="n">
        <v>0</v>
      </c>
      <c r="K232" t="n">
        <v>0</v>
      </c>
      <c r="L232" t="n">
        <v>0</v>
      </c>
      <c r="M232" t="n">
        <v>0</v>
      </c>
      <c r="N232" t="n">
        <v>0</v>
      </c>
      <c r="O232" t="n">
        <v>0</v>
      </c>
      <c r="P232" t="n">
        <v>0</v>
      </c>
      <c r="Q232" t="n">
        <v>0</v>
      </c>
      <c r="R232" s="2" t="inlineStr"/>
    </row>
    <row r="233" ht="15" customHeight="1">
      <c r="A233" t="inlineStr">
        <is>
          <t>A 25775-2023</t>
        </is>
      </c>
      <c r="B233" s="1" t="n">
        <v>45090</v>
      </c>
      <c r="C233" s="1" t="n">
        <v>45657</v>
      </c>
      <c r="D233" t="inlineStr">
        <is>
          <t>VÄSTMANLANDS LÄN</t>
        </is>
      </c>
      <c r="E233" t="inlineStr">
        <is>
          <t>SURAHAMMAR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25780-2023</t>
        </is>
      </c>
      <c r="B234" s="1" t="n">
        <v>45090</v>
      </c>
      <c r="C234" s="1" t="n">
        <v>45657</v>
      </c>
      <c r="D234" t="inlineStr">
        <is>
          <t>VÄSTMANLANDS LÄN</t>
        </is>
      </c>
      <c r="E234" t="inlineStr">
        <is>
          <t>SURAHAMMAR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27140-2023</t>
        </is>
      </c>
      <c r="B235" s="1" t="n">
        <v>45096</v>
      </c>
      <c r="C235" s="1" t="n">
        <v>45657</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27156-2023</t>
        </is>
      </c>
      <c r="B236" s="1" t="n">
        <v>45096</v>
      </c>
      <c r="C236" s="1" t="n">
        <v>45657</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27142-2023</t>
        </is>
      </c>
      <c r="B237" s="1" t="n">
        <v>45096</v>
      </c>
      <c r="C237" s="1" t="n">
        <v>45657</v>
      </c>
      <c r="D237" t="inlineStr">
        <is>
          <t>VÄSTMANLANDS LÄN</t>
        </is>
      </c>
      <c r="E237" t="inlineStr">
        <is>
          <t>SURAHAMMAR</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27171-2023</t>
        </is>
      </c>
      <c r="B238" s="1" t="n">
        <v>45096</v>
      </c>
      <c r="C238" s="1" t="n">
        <v>45657</v>
      </c>
      <c r="D238" t="inlineStr">
        <is>
          <t>VÄSTMANLANDS LÄN</t>
        </is>
      </c>
      <c r="E238" t="inlineStr">
        <is>
          <t>SURAHAMMAR</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28051-2023</t>
        </is>
      </c>
      <c r="B239" s="1" t="n">
        <v>45099</v>
      </c>
      <c r="C239" s="1" t="n">
        <v>45657</v>
      </c>
      <c r="D239" t="inlineStr">
        <is>
          <t>VÄSTMANLANDS LÄN</t>
        </is>
      </c>
      <c r="E239" t="inlineStr">
        <is>
          <t>SURAHAMMAR</t>
        </is>
      </c>
      <c r="F239" t="inlineStr">
        <is>
          <t>Allmännings- och besparingsskogar</t>
        </is>
      </c>
      <c r="G239" t="n">
        <v>23.3</v>
      </c>
      <c r="H239" t="n">
        <v>0</v>
      </c>
      <c r="I239" t="n">
        <v>0</v>
      </c>
      <c r="J239" t="n">
        <v>0</v>
      </c>
      <c r="K239" t="n">
        <v>0</v>
      </c>
      <c r="L239" t="n">
        <v>0</v>
      </c>
      <c r="M239" t="n">
        <v>0</v>
      </c>
      <c r="N239" t="n">
        <v>0</v>
      </c>
      <c r="O239" t="n">
        <v>0</v>
      </c>
      <c r="P239" t="n">
        <v>0</v>
      </c>
      <c r="Q239" t="n">
        <v>0</v>
      </c>
      <c r="R239" s="2" t="inlineStr"/>
    </row>
    <row r="240" ht="15" customHeight="1">
      <c r="A240" t="inlineStr">
        <is>
          <t>A 30076-2023</t>
        </is>
      </c>
      <c r="B240" s="1" t="n">
        <v>45110</v>
      </c>
      <c r="C240" s="1" t="n">
        <v>45657</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37138-2023</t>
        </is>
      </c>
      <c r="B241" s="1" t="n">
        <v>45155</v>
      </c>
      <c r="C241" s="1" t="n">
        <v>45657</v>
      </c>
      <c r="D241" t="inlineStr">
        <is>
          <t>VÄSTMANLANDS LÄN</t>
        </is>
      </c>
      <c r="E241" t="inlineStr">
        <is>
          <t>SURAHAMMAR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37287-2023</t>
        </is>
      </c>
      <c r="B242" s="1" t="n">
        <v>45156</v>
      </c>
      <c r="C242" s="1" t="n">
        <v>45657</v>
      </c>
      <c r="D242" t="inlineStr">
        <is>
          <t>VÄSTMANLANDS LÄN</t>
        </is>
      </c>
      <c r="E242" t="inlineStr">
        <is>
          <t>SURAHAMMAR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37635-2023</t>
        </is>
      </c>
      <c r="B243" s="1" t="n">
        <v>45159</v>
      </c>
      <c r="C243" s="1" t="n">
        <v>45657</v>
      </c>
      <c r="D243" t="inlineStr">
        <is>
          <t>VÄSTMANLANDS LÄN</t>
        </is>
      </c>
      <c r="E243" t="inlineStr">
        <is>
          <t>SURAHAMMAR</t>
        </is>
      </c>
      <c r="G243" t="n">
        <v>1</v>
      </c>
      <c r="H243" t="n">
        <v>0</v>
      </c>
      <c r="I243" t="n">
        <v>0</v>
      </c>
      <c r="J243" t="n">
        <v>0</v>
      </c>
      <c r="K243" t="n">
        <v>0</v>
      </c>
      <c r="L243" t="n">
        <v>0</v>
      </c>
      <c r="M243" t="n">
        <v>0</v>
      </c>
      <c r="N243" t="n">
        <v>0</v>
      </c>
      <c r="O243" t="n">
        <v>0</v>
      </c>
      <c r="P243" t="n">
        <v>0</v>
      </c>
      <c r="Q243" t="n">
        <v>0</v>
      </c>
      <c r="R243" s="2" t="inlineStr"/>
    </row>
    <row r="244" ht="15" customHeight="1">
      <c r="A244" t="inlineStr">
        <is>
          <t>A 37639-2023</t>
        </is>
      </c>
      <c r="B244" s="1" t="n">
        <v>45159</v>
      </c>
      <c r="C244" s="1" t="n">
        <v>45657</v>
      </c>
      <c r="D244" t="inlineStr">
        <is>
          <t>VÄSTMANLANDS LÄN</t>
        </is>
      </c>
      <c r="E244" t="inlineStr">
        <is>
          <t>SURAHAMMAR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40956-2023</t>
        </is>
      </c>
      <c r="B245" s="1" t="n">
        <v>45169</v>
      </c>
      <c r="C245" s="1" t="n">
        <v>45657</v>
      </c>
      <c r="D245" t="inlineStr">
        <is>
          <t>VÄSTMANLANDS LÄN</t>
        </is>
      </c>
      <c r="E245" t="inlineStr">
        <is>
          <t>SURAHAMMAR</t>
        </is>
      </c>
      <c r="F245" t="inlineStr">
        <is>
          <t>Bergvik skog väst AB</t>
        </is>
      </c>
      <c r="G245" t="n">
        <v>7.6</v>
      </c>
      <c r="H245" t="n">
        <v>0</v>
      </c>
      <c r="I245" t="n">
        <v>0</v>
      </c>
      <c r="J245" t="n">
        <v>0</v>
      </c>
      <c r="K245" t="n">
        <v>0</v>
      </c>
      <c r="L245" t="n">
        <v>0</v>
      </c>
      <c r="M245" t="n">
        <v>0</v>
      </c>
      <c r="N245" t="n">
        <v>0</v>
      </c>
      <c r="O245" t="n">
        <v>0</v>
      </c>
      <c r="P245" t="n">
        <v>0</v>
      </c>
      <c r="Q245" t="n">
        <v>0</v>
      </c>
      <c r="R245" s="2" t="inlineStr"/>
    </row>
    <row r="246" ht="15" customHeight="1">
      <c r="A246" t="inlineStr">
        <is>
          <t>A 40445-2023</t>
        </is>
      </c>
      <c r="B246" s="1" t="n">
        <v>45170</v>
      </c>
      <c r="C246" s="1" t="n">
        <v>45657</v>
      </c>
      <c r="D246" t="inlineStr">
        <is>
          <t>VÄSTMANLANDS LÄN</t>
        </is>
      </c>
      <c r="E246" t="inlineStr">
        <is>
          <t>SURAHAMMAR</t>
        </is>
      </c>
      <c r="G246" t="n">
        <v>15.6</v>
      </c>
      <c r="H246" t="n">
        <v>0</v>
      </c>
      <c r="I246" t="n">
        <v>0</v>
      </c>
      <c r="J246" t="n">
        <v>0</v>
      </c>
      <c r="K246" t="n">
        <v>0</v>
      </c>
      <c r="L246" t="n">
        <v>0</v>
      </c>
      <c r="M246" t="n">
        <v>0</v>
      </c>
      <c r="N246" t="n">
        <v>0</v>
      </c>
      <c r="O246" t="n">
        <v>0</v>
      </c>
      <c r="P246" t="n">
        <v>0</v>
      </c>
      <c r="Q246" t="n">
        <v>0</v>
      </c>
      <c r="R246" s="2" t="inlineStr"/>
    </row>
    <row r="247" ht="15" customHeight="1">
      <c r="A247" t="inlineStr">
        <is>
          <t>A 48906-2023</t>
        </is>
      </c>
      <c r="B247" s="1" t="n">
        <v>45203</v>
      </c>
      <c r="C247" s="1" t="n">
        <v>45657</v>
      </c>
      <c r="D247" t="inlineStr">
        <is>
          <t>VÄSTMANLANDS LÄN</t>
        </is>
      </c>
      <c r="E247" t="inlineStr">
        <is>
          <t>SURAHAMMAR</t>
        </is>
      </c>
      <c r="F247" t="inlineStr">
        <is>
          <t>Bergvik skog väst AB</t>
        </is>
      </c>
      <c r="G247" t="n">
        <v>2.5</v>
      </c>
      <c r="H247" t="n">
        <v>0</v>
      </c>
      <c r="I247" t="n">
        <v>0</v>
      </c>
      <c r="J247" t="n">
        <v>0</v>
      </c>
      <c r="K247" t="n">
        <v>0</v>
      </c>
      <c r="L247" t="n">
        <v>0</v>
      </c>
      <c r="M247" t="n">
        <v>0</v>
      </c>
      <c r="N247" t="n">
        <v>0</v>
      </c>
      <c r="O247" t="n">
        <v>0</v>
      </c>
      <c r="P247" t="n">
        <v>0</v>
      </c>
      <c r="Q247" t="n">
        <v>0</v>
      </c>
      <c r="R247" s="2" t="inlineStr"/>
      <c r="U247">
        <f>HYPERLINK("https://klasma.github.io/Logging_1907/knärot/A 48906-2023 karta knärot.png", "A 48906-2023")</f>
        <v/>
      </c>
      <c r="V247">
        <f>HYPERLINK("https://klasma.github.io/Logging_1907/klagomål/A 48906-2023 FSC-klagomål.docx", "A 48906-2023")</f>
        <v/>
      </c>
      <c r="W247">
        <f>HYPERLINK("https://klasma.github.io/Logging_1907/klagomålsmail/A 48906-2023 FSC-klagomål mail.docx", "A 48906-2023")</f>
        <v/>
      </c>
      <c r="X247">
        <f>HYPERLINK("https://klasma.github.io/Logging_1907/tillsyn/A 48906-2023 tillsynsbegäran.docx", "A 48906-2023")</f>
        <v/>
      </c>
      <c r="Y247">
        <f>HYPERLINK("https://klasma.github.io/Logging_1907/tillsynsmail/A 48906-2023 tillsynsbegäran mail.docx", "A 48906-2023")</f>
        <v/>
      </c>
    </row>
    <row r="248" ht="15" customHeight="1">
      <c r="A248" t="inlineStr">
        <is>
          <t>A 48205-2023</t>
        </is>
      </c>
      <c r="B248" s="1" t="n">
        <v>45205</v>
      </c>
      <c r="C248" s="1" t="n">
        <v>45657</v>
      </c>
      <c r="D248" t="inlineStr">
        <is>
          <t>VÄSTMANLANDS LÄN</t>
        </is>
      </c>
      <c r="E248" t="inlineStr">
        <is>
          <t>SURAHAMMAR</t>
        </is>
      </c>
      <c r="F248" t="inlineStr">
        <is>
          <t>Allmännings- och besparingsskogar</t>
        </is>
      </c>
      <c r="G248" t="n">
        <v>7.6</v>
      </c>
      <c r="H248" t="n">
        <v>0</v>
      </c>
      <c r="I248" t="n">
        <v>0</v>
      </c>
      <c r="J248" t="n">
        <v>0</v>
      </c>
      <c r="K248" t="n">
        <v>0</v>
      </c>
      <c r="L248" t="n">
        <v>0</v>
      </c>
      <c r="M248" t="n">
        <v>0</v>
      </c>
      <c r="N248" t="n">
        <v>0</v>
      </c>
      <c r="O248" t="n">
        <v>0</v>
      </c>
      <c r="P248" t="n">
        <v>0</v>
      </c>
      <c r="Q248" t="n">
        <v>0</v>
      </c>
      <c r="R248" s="2" t="inlineStr"/>
    </row>
    <row r="249" ht="15" customHeight="1">
      <c r="A249" t="inlineStr">
        <is>
          <t>A 56378-2023</t>
        </is>
      </c>
      <c r="B249" s="1" t="n">
        <v>45236</v>
      </c>
      <c r="C249" s="1" t="n">
        <v>45657</v>
      </c>
      <c r="D249" t="inlineStr">
        <is>
          <t>VÄSTMANLANDS LÄN</t>
        </is>
      </c>
      <c r="E249" t="inlineStr">
        <is>
          <t>SURAHAMMAR</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56183-2023</t>
        </is>
      </c>
      <c r="B250" s="1" t="n">
        <v>45240</v>
      </c>
      <c r="C250" s="1" t="n">
        <v>45657</v>
      </c>
      <c r="D250" t="inlineStr">
        <is>
          <t>VÄSTMANLANDS LÄN</t>
        </is>
      </c>
      <c r="E250" t="inlineStr">
        <is>
          <t>SURAHAMMAR</t>
        </is>
      </c>
      <c r="F250" t="inlineStr">
        <is>
          <t>Allmännings- och besparingsskogar</t>
        </is>
      </c>
      <c r="G250" t="n">
        <v>2</v>
      </c>
      <c r="H250" t="n">
        <v>0</v>
      </c>
      <c r="I250" t="n">
        <v>0</v>
      </c>
      <c r="J250" t="n">
        <v>0</v>
      </c>
      <c r="K250" t="n">
        <v>0</v>
      </c>
      <c r="L250" t="n">
        <v>0</v>
      </c>
      <c r="M250" t="n">
        <v>0</v>
      </c>
      <c r="N250" t="n">
        <v>0</v>
      </c>
      <c r="O250" t="n">
        <v>0</v>
      </c>
      <c r="P250" t="n">
        <v>0</v>
      </c>
      <c r="Q250" t="n">
        <v>0</v>
      </c>
      <c r="R250" s="2" t="inlineStr"/>
    </row>
    <row r="251" ht="15" customHeight="1">
      <c r="A251" t="inlineStr">
        <is>
          <t>A 58338-2023</t>
        </is>
      </c>
      <c r="B251" s="1" t="n">
        <v>45250</v>
      </c>
      <c r="C251" s="1" t="n">
        <v>45657</v>
      </c>
      <c r="D251" t="inlineStr">
        <is>
          <t>VÄSTMANLANDS LÄN</t>
        </is>
      </c>
      <c r="E251" t="inlineStr">
        <is>
          <t>SURAHAMMAR</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58356-2023</t>
        </is>
      </c>
      <c r="B252" s="1" t="n">
        <v>45250</v>
      </c>
      <c r="C252" s="1" t="n">
        <v>45657</v>
      </c>
      <c r="D252" t="inlineStr">
        <is>
          <t>VÄSTMANLANDS LÄN</t>
        </is>
      </c>
      <c r="E252" t="inlineStr">
        <is>
          <t>SURAHAMMAR</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59317-2023</t>
        </is>
      </c>
      <c r="B253" s="1" t="n">
        <v>45253</v>
      </c>
      <c r="C253" s="1" t="n">
        <v>45657</v>
      </c>
      <c r="D253" t="inlineStr">
        <is>
          <t>VÄSTMANLANDS LÄN</t>
        </is>
      </c>
      <c r="E253" t="inlineStr">
        <is>
          <t>SURAHAMMAR</t>
        </is>
      </c>
      <c r="G253" t="n">
        <v>7.1</v>
      </c>
      <c r="H253" t="n">
        <v>0</v>
      </c>
      <c r="I253" t="n">
        <v>0</v>
      </c>
      <c r="J253" t="n">
        <v>0</v>
      </c>
      <c r="K253" t="n">
        <v>0</v>
      </c>
      <c r="L253" t="n">
        <v>0</v>
      </c>
      <c r="M253" t="n">
        <v>0</v>
      </c>
      <c r="N253" t="n">
        <v>0</v>
      </c>
      <c r="O253" t="n">
        <v>0</v>
      </c>
      <c r="P253" t="n">
        <v>0</v>
      </c>
      <c r="Q253" t="n">
        <v>0</v>
      </c>
      <c r="R253" s="2" t="inlineStr"/>
    </row>
    <row r="254" ht="15" customHeight="1">
      <c r="A254" t="inlineStr">
        <is>
          <t>A 64343-2023</t>
        </is>
      </c>
      <c r="B254" s="1" t="n">
        <v>45280</v>
      </c>
      <c r="C254" s="1" t="n">
        <v>45657</v>
      </c>
      <c r="D254" t="inlineStr">
        <is>
          <t>VÄSTMANLANDS LÄN</t>
        </is>
      </c>
      <c r="E254" t="inlineStr">
        <is>
          <t>SURAHAMMAR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1316-2024</t>
        </is>
      </c>
      <c r="B255" s="1" t="n">
        <v>45303</v>
      </c>
      <c r="C255" s="1" t="n">
        <v>45657</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2680-2024</t>
        </is>
      </c>
      <c r="B256" s="1" t="n">
        <v>45310</v>
      </c>
      <c r="C256" s="1" t="n">
        <v>45657</v>
      </c>
      <c r="D256" t="inlineStr">
        <is>
          <t>VÄSTMANLANDS LÄN</t>
        </is>
      </c>
      <c r="E256" t="inlineStr">
        <is>
          <t>SURAHAMMAR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2660-2024</t>
        </is>
      </c>
      <c r="B257" s="1" t="n">
        <v>45310</v>
      </c>
      <c r="C257" s="1" t="n">
        <v>45657</v>
      </c>
      <c r="D257" t="inlineStr">
        <is>
          <t>VÄSTMANLANDS LÄN</t>
        </is>
      </c>
      <c r="E257" t="inlineStr">
        <is>
          <t>SURAHAMMAR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2866-2024</t>
        </is>
      </c>
      <c r="B258" s="1" t="n">
        <v>45315</v>
      </c>
      <c r="C258" s="1" t="n">
        <v>45657</v>
      </c>
      <c r="D258" t="inlineStr">
        <is>
          <t>VÄSTMANLANDS LÄN</t>
        </is>
      </c>
      <c r="E258" t="inlineStr">
        <is>
          <t>SURAHAMMAR</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2867-2024</t>
        </is>
      </c>
      <c r="B259" s="1" t="n">
        <v>45315</v>
      </c>
      <c r="C259" s="1" t="n">
        <v>45657</v>
      </c>
      <c r="D259" t="inlineStr">
        <is>
          <t>VÄSTMANLANDS LÄN</t>
        </is>
      </c>
      <c r="E259" t="inlineStr">
        <is>
          <t>SURAHAMMAR</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4759-2024</t>
        </is>
      </c>
      <c r="B260" s="1" t="n">
        <v>45328</v>
      </c>
      <c r="C260" s="1" t="n">
        <v>45657</v>
      </c>
      <c r="D260" t="inlineStr">
        <is>
          <t>VÄSTMANLANDS LÄN</t>
        </is>
      </c>
      <c r="E260" t="inlineStr">
        <is>
          <t>SURAHAMMAR</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5168-2024</t>
        </is>
      </c>
      <c r="B261" s="1" t="n">
        <v>45330</v>
      </c>
      <c r="C261" s="1" t="n">
        <v>45657</v>
      </c>
      <c r="D261" t="inlineStr">
        <is>
          <t>VÄSTMANLANDS LÄN</t>
        </is>
      </c>
      <c r="E261" t="inlineStr">
        <is>
          <t>SURAHAMMAR</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7787-2024</t>
        </is>
      </c>
      <c r="B262" s="1" t="n">
        <v>45348</v>
      </c>
      <c r="C262" s="1" t="n">
        <v>45657</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7782-2024</t>
        </is>
      </c>
      <c r="B263" s="1" t="n">
        <v>45349</v>
      </c>
      <c r="C263" s="1" t="n">
        <v>45657</v>
      </c>
      <c r="D263" t="inlineStr">
        <is>
          <t>VÄSTMANLANDS LÄN</t>
        </is>
      </c>
      <c r="E263" t="inlineStr">
        <is>
          <t>SURAHAMMAR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8066-2024</t>
        </is>
      </c>
      <c r="B264" s="1" t="n">
        <v>45351</v>
      </c>
      <c r="C264" s="1" t="n">
        <v>45657</v>
      </c>
      <c r="D264" t="inlineStr">
        <is>
          <t>VÄSTMANLANDS LÄN</t>
        </is>
      </c>
      <c r="E264" t="inlineStr">
        <is>
          <t>SURAHAMMAR</t>
        </is>
      </c>
      <c r="G264" t="n">
        <v>12.7</v>
      </c>
      <c r="H264" t="n">
        <v>0</v>
      </c>
      <c r="I264" t="n">
        <v>0</v>
      </c>
      <c r="J264" t="n">
        <v>0</v>
      </c>
      <c r="K264" t="n">
        <v>0</v>
      </c>
      <c r="L264" t="n">
        <v>0</v>
      </c>
      <c r="M264" t="n">
        <v>0</v>
      </c>
      <c r="N264" t="n">
        <v>0</v>
      </c>
      <c r="O264" t="n">
        <v>0</v>
      </c>
      <c r="P264" t="n">
        <v>0</v>
      </c>
      <c r="Q264" t="n">
        <v>0</v>
      </c>
      <c r="R264" s="2" t="inlineStr"/>
    </row>
    <row r="265" ht="15" customHeight="1">
      <c r="A265" t="inlineStr">
        <is>
          <t>A 9741-2024</t>
        </is>
      </c>
      <c r="B265" s="1" t="n">
        <v>45362</v>
      </c>
      <c r="C265" s="1" t="n">
        <v>45657</v>
      </c>
      <c r="D265" t="inlineStr">
        <is>
          <t>VÄSTMANLANDS LÄN</t>
        </is>
      </c>
      <c r="E265" t="inlineStr">
        <is>
          <t>SURAHAMMAR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21509-2024</t>
        </is>
      </c>
      <c r="B266" s="1" t="n">
        <v>45441</v>
      </c>
      <c r="C266" s="1" t="n">
        <v>45657</v>
      </c>
      <c r="D266" t="inlineStr">
        <is>
          <t>VÄSTMANLANDS LÄN</t>
        </is>
      </c>
      <c r="E266" t="inlineStr">
        <is>
          <t>SURAHAMMAR</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24167-2024</t>
        </is>
      </c>
      <c r="B267" s="1" t="n">
        <v>45456</v>
      </c>
      <c r="C267" s="1" t="n">
        <v>45657</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24168-2024</t>
        </is>
      </c>
      <c r="B268" s="1" t="n">
        <v>45456</v>
      </c>
      <c r="C268" s="1" t="n">
        <v>45657</v>
      </c>
      <c r="D268" t="inlineStr">
        <is>
          <t>VÄSTMANLANDS LÄN</t>
        </is>
      </c>
      <c r="E268" t="inlineStr">
        <is>
          <t>SURAHAMMAR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24570-2024</t>
        </is>
      </c>
      <c r="B269" s="1" t="n">
        <v>45460</v>
      </c>
      <c r="C269" s="1" t="n">
        <v>45657</v>
      </c>
      <c r="D269" t="inlineStr">
        <is>
          <t>VÄSTMANLANDS LÄN</t>
        </is>
      </c>
      <c r="E269" t="inlineStr">
        <is>
          <t>SURAHAMMAR</t>
        </is>
      </c>
      <c r="G269" t="n">
        <v>0.8</v>
      </c>
      <c r="H269" t="n">
        <v>0</v>
      </c>
      <c r="I269" t="n">
        <v>0</v>
      </c>
      <c r="J269" t="n">
        <v>0</v>
      </c>
      <c r="K269" t="n">
        <v>0</v>
      </c>
      <c r="L269" t="n">
        <v>0</v>
      </c>
      <c r="M269" t="n">
        <v>0</v>
      </c>
      <c r="N269" t="n">
        <v>0</v>
      </c>
      <c r="O269" t="n">
        <v>0</v>
      </c>
      <c r="P269" t="n">
        <v>0</v>
      </c>
      <c r="Q269" t="n">
        <v>0</v>
      </c>
      <c r="R269" s="2" t="inlineStr"/>
    </row>
    <row r="270" ht="15" customHeight="1">
      <c r="A270" t="inlineStr">
        <is>
          <t>A 24530-2024</t>
        </is>
      </c>
      <c r="B270" s="1" t="n">
        <v>45460</v>
      </c>
      <c r="C270" s="1" t="n">
        <v>45657</v>
      </c>
      <c r="D270" t="inlineStr">
        <is>
          <t>VÄSTMANLANDS LÄN</t>
        </is>
      </c>
      <c r="E270" t="inlineStr">
        <is>
          <t>SURAHAMMAR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25450-2024</t>
        </is>
      </c>
      <c r="B271" s="1" t="n">
        <v>45463</v>
      </c>
      <c r="C271" s="1" t="n">
        <v>45657</v>
      </c>
      <c r="D271" t="inlineStr">
        <is>
          <t>VÄSTMANLANDS LÄN</t>
        </is>
      </c>
      <c r="E271" t="inlineStr">
        <is>
          <t>SURAHAMMAR</t>
        </is>
      </c>
      <c r="F271" t="inlineStr">
        <is>
          <t>Bergvik skog väst AB</t>
        </is>
      </c>
      <c r="G271" t="n">
        <v>6.7</v>
      </c>
      <c r="H271" t="n">
        <v>0</v>
      </c>
      <c r="I271" t="n">
        <v>0</v>
      </c>
      <c r="J271" t="n">
        <v>0</v>
      </c>
      <c r="K271" t="n">
        <v>0</v>
      </c>
      <c r="L271" t="n">
        <v>0</v>
      </c>
      <c r="M271" t="n">
        <v>0</v>
      </c>
      <c r="N271" t="n">
        <v>0</v>
      </c>
      <c r="O271" t="n">
        <v>0</v>
      </c>
      <c r="P271" t="n">
        <v>0</v>
      </c>
      <c r="Q271" t="n">
        <v>0</v>
      </c>
      <c r="R271" s="2" t="inlineStr"/>
    </row>
    <row r="272" ht="15" customHeight="1">
      <c r="A272" t="inlineStr">
        <is>
          <t>A 25417-2024</t>
        </is>
      </c>
      <c r="B272" s="1" t="n">
        <v>45463</v>
      </c>
      <c r="C272" s="1" t="n">
        <v>45657</v>
      </c>
      <c r="D272" t="inlineStr">
        <is>
          <t>VÄSTMANLANDS LÄN</t>
        </is>
      </c>
      <c r="E272" t="inlineStr">
        <is>
          <t>SURAHAMMAR</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26878-2024</t>
        </is>
      </c>
      <c r="B273" s="1" t="n">
        <v>45470</v>
      </c>
      <c r="C273" s="1" t="n">
        <v>45657</v>
      </c>
      <c r="D273" t="inlineStr">
        <is>
          <t>VÄSTMANLANDS LÄN</t>
        </is>
      </c>
      <c r="E273" t="inlineStr">
        <is>
          <t>SURAHAMMAR</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28812-2024</t>
        </is>
      </c>
      <c r="B274" s="1" t="n">
        <v>45478</v>
      </c>
      <c r="C274" s="1" t="n">
        <v>45657</v>
      </c>
      <c r="D274" t="inlineStr">
        <is>
          <t>VÄSTMANLANDS LÄN</t>
        </is>
      </c>
      <c r="E274" t="inlineStr">
        <is>
          <t>SURAHAMMAR</t>
        </is>
      </c>
      <c r="F274" t="inlineStr">
        <is>
          <t>Bergvik skog väst AB</t>
        </is>
      </c>
      <c r="G274" t="n">
        <v>17.8</v>
      </c>
      <c r="H274" t="n">
        <v>0</v>
      </c>
      <c r="I274" t="n">
        <v>0</v>
      </c>
      <c r="J274" t="n">
        <v>0</v>
      </c>
      <c r="K274" t="n">
        <v>0</v>
      </c>
      <c r="L274" t="n">
        <v>0</v>
      </c>
      <c r="M274" t="n">
        <v>0</v>
      </c>
      <c r="N274" t="n">
        <v>0</v>
      </c>
      <c r="O274" t="n">
        <v>0</v>
      </c>
      <c r="P274" t="n">
        <v>0</v>
      </c>
      <c r="Q274" t="n">
        <v>0</v>
      </c>
      <c r="R274" s="2" t="inlineStr"/>
    </row>
    <row r="275" ht="15" customHeight="1">
      <c r="A275" t="inlineStr">
        <is>
          <t>A 29158-2024</t>
        </is>
      </c>
      <c r="B275" s="1" t="n">
        <v>45482</v>
      </c>
      <c r="C275" s="1" t="n">
        <v>45657</v>
      </c>
      <c r="D275" t="inlineStr">
        <is>
          <t>VÄSTMANLANDS LÄN</t>
        </is>
      </c>
      <c r="E275" t="inlineStr">
        <is>
          <t>SURAHAMMAR</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31192-2024</t>
        </is>
      </c>
      <c r="B276" s="1" t="n">
        <v>45503</v>
      </c>
      <c r="C276" s="1" t="n">
        <v>45657</v>
      </c>
      <c r="D276" t="inlineStr">
        <is>
          <t>VÄSTMANLANDS LÄN</t>
        </is>
      </c>
      <c r="E276" t="inlineStr">
        <is>
          <t>SURAHAMMAR</t>
        </is>
      </c>
      <c r="F276" t="inlineStr">
        <is>
          <t>Allmännings- och besparingsskogar</t>
        </is>
      </c>
      <c r="G276" t="n">
        <v>17.2</v>
      </c>
      <c r="H276" t="n">
        <v>0</v>
      </c>
      <c r="I276" t="n">
        <v>0</v>
      </c>
      <c r="J276" t="n">
        <v>0</v>
      </c>
      <c r="K276" t="n">
        <v>0</v>
      </c>
      <c r="L276" t="n">
        <v>0</v>
      </c>
      <c r="M276" t="n">
        <v>0</v>
      </c>
      <c r="N276" t="n">
        <v>0</v>
      </c>
      <c r="O276" t="n">
        <v>0</v>
      </c>
      <c r="P276" t="n">
        <v>0</v>
      </c>
      <c r="Q276" t="n">
        <v>0</v>
      </c>
      <c r="R276" s="2" t="inlineStr"/>
    </row>
    <row r="277" ht="15" customHeight="1">
      <c r="A277" t="inlineStr">
        <is>
          <t>A 32808-2024</t>
        </is>
      </c>
      <c r="B277" s="1" t="n">
        <v>45516</v>
      </c>
      <c r="C277" s="1" t="n">
        <v>45657</v>
      </c>
      <c r="D277" t="inlineStr">
        <is>
          <t>VÄSTMANLANDS LÄN</t>
        </is>
      </c>
      <c r="E277" t="inlineStr">
        <is>
          <t>SURAHAMMAR</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33231-2024</t>
        </is>
      </c>
      <c r="B278" s="1" t="n">
        <v>45518</v>
      </c>
      <c r="C278" s="1" t="n">
        <v>45657</v>
      </c>
      <c r="D278" t="inlineStr">
        <is>
          <t>VÄSTMANLANDS LÄN</t>
        </is>
      </c>
      <c r="E278" t="inlineStr">
        <is>
          <t>SURAHAMMAR</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33160-2024</t>
        </is>
      </c>
      <c r="B279" s="1" t="n">
        <v>45518</v>
      </c>
      <c r="C279" s="1" t="n">
        <v>45657</v>
      </c>
      <c r="D279" t="inlineStr">
        <is>
          <t>VÄSTMANLANDS LÄN</t>
        </is>
      </c>
      <c r="E279" t="inlineStr">
        <is>
          <t>SURAHAMMAR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42406-2024</t>
        </is>
      </c>
      <c r="B280" s="1" t="n">
        <v>45565</v>
      </c>
      <c r="C280" s="1" t="n">
        <v>45657</v>
      </c>
      <c r="D280" t="inlineStr">
        <is>
          <t>VÄSTMANLANDS LÄN</t>
        </is>
      </c>
      <c r="E280" t="inlineStr">
        <is>
          <t>SURAHAMMAR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43455-2024</t>
        </is>
      </c>
      <c r="B281" s="1" t="n">
        <v>45568</v>
      </c>
      <c r="C281" s="1" t="n">
        <v>45657</v>
      </c>
      <c r="D281" t="inlineStr">
        <is>
          <t>VÄSTMANLANDS LÄN</t>
        </is>
      </c>
      <c r="E281" t="inlineStr">
        <is>
          <t>SURAHAMMAR</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43461-2024</t>
        </is>
      </c>
      <c r="B282" s="1" t="n">
        <v>45568</v>
      </c>
      <c r="C282" s="1" t="n">
        <v>45657</v>
      </c>
      <c r="D282" t="inlineStr">
        <is>
          <t>VÄSTMANLANDS LÄN</t>
        </is>
      </c>
      <c r="E282" t="inlineStr">
        <is>
          <t>SURAHAMMAR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44357-2024</t>
        </is>
      </c>
      <c r="B283" s="1" t="n">
        <v>45573</v>
      </c>
      <c r="C283" s="1" t="n">
        <v>45657</v>
      </c>
      <c r="D283" t="inlineStr">
        <is>
          <t>VÄSTMANLANDS LÄN</t>
        </is>
      </c>
      <c r="E283" t="inlineStr">
        <is>
          <t>SURAHAMMAR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45657</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44353-2024</t>
        </is>
      </c>
      <c r="B285" s="1" t="n">
        <v>45573</v>
      </c>
      <c r="C285" s="1" t="n">
        <v>45657</v>
      </c>
      <c r="D285" t="inlineStr">
        <is>
          <t>VÄSTMANLANDS LÄN</t>
        </is>
      </c>
      <c r="E285" t="inlineStr">
        <is>
          <t>SURAHAMMAR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44359-2024</t>
        </is>
      </c>
      <c r="B286" s="1" t="n">
        <v>45573</v>
      </c>
      <c r="C286" s="1" t="n">
        <v>45657</v>
      </c>
      <c r="D286" t="inlineStr">
        <is>
          <t>VÄSTMANLANDS LÄN</t>
        </is>
      </c>
      <c r="E286" t="inlineStr">
        <is>
          <t>SURAHAMMAR</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47453-2024</t>
        </is>
      </c>
      <c r="B287" s="1" t="n">
        <v>45587</v>
      </c>
      <c r="C287" s="1" t="n">
        <v>45657</v>
      </c>
      <c r="D287" t="inlineStr">
        <is>
          <t>VÄSTMANLANDS LÄN</t>
        </is>
      </c>
      <c r="E287" t="inlineStr">
        <is>
          <t>SURAHAMMAR</t>
        </is>
      </c>
      <c r="G287" t="n">
        <v>5.1</v>
      </c>
      <c r="H287" t="n">
        <v>0</v>
      </c>
      <c r="I287" t="n">
        <v>0</v>
      </c>
      <c r="J287" t="n">
        <v>0</v>
      </c>
      <c r="K287" t="n">
        <v>0</v>
      </c>
      <c r="L287" t="n">
        <v>0</v>
      </c>
      <c r="M287" t="n">
        <v>0</v>
      </c>
      <c r="N287" t="n">
        <v>0</v>
      </c>
      <c r="O287" t="n">
        <v>0</v>
      </c>
      <c r="P287" t="n">
        <v>0</v>
      </c>
      <c r="Q287" t="n">
        <v>0</v>
      </c>
      <c r="R287" s="2" t="inlineStr"/>
    </row>
    <row r="288" ht="15" customHeight="1">
      <c r="A288" t="inlineStr">
        <is>
          <t>A 47447-2024</t>
        </is>
      </c>
      <c r="B288" s="1" t="n">
        <v>45587</v>
      </c>
      <c r="C288" s="1" t="n">
        <v>45657</v>
      </c>
      <c r="D288" t="inlineStr">
        <is>
          <t>VÄSTMANLANDS LÄN</t>
        </is>
      </c>
      <c r="E288" t="inlineStr">
        <is>
          <t>SURAHAMMAR</t>
        </is>
      </c>
      <c r="G288" t="n">
        <v>13.9</v>
      </c>
      <c r="H288" t="n">
        <v>0</v>
      </c>
      <c r="I288" t="n">
        <v>0</v>
      </c>
      <c r="J288" t="n">
        <v>0</v>
      </c>
      <c r="K288" t="n">
        <v>0</v>
      </c>
      <c r="L288" t="n">
        <v>0</v>
      </c>
      <c r="M288" t="n">
        <v>0</v>
      </c>
      <c r="N288" t="n">
        <v>0</v>
      </c>
      <c r="O288" t="n">
        <v>0</v>
      </c>
      <c r="P288" t="n">
        <v>0</v>
      </c>
      <c r="Q288" t="n">
        <v>0</v>
      </c>
      <c r="R288" s="2" t="inlineStr"/>
    </row>
    <row r="289" ht="15" customHeight="1">
      <c r="A289" t="inlineStr">
        <is>
          <t>A 49060-2024</t>
        </is>
      </c>
      <c r="B289" s="1" t="n">
        <v>45594</v>
      </c>
      <c r="C289" s="1" t="n">
        <v>45657</v>
      </c>
      <c r="D289" t="inlineStr">
        <is>
          <t>VÄSTMANLANDS LÄN</t>
        </is>
      </c>
      <c r="E289" t="inlineStr">
        <is>
          <t>SURAHAMMAR</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49058-2024</t>
        </is>
      </c>
      <c r="B290" s="1" t="n">
        <v>45594</v>
      </c>
      <c r="C290" s="1" t="n">
        <v>45657</v>
      </c>
      <c r="D290" t="inlineStr">
        <is>
          <t>VÄSTMANLANDS LÄN</t>
        </is>
      </c>
      <c r="E290" t="inlineStr">
        <is>
          <t>SURAHAMMAR</t>
        </is>
      </c>
      <c r="F290" t="inlineStr">
        <is>
          <t>Sveaskog</t>
        </is>
      </c>
      <c r="G290" t="n">
        <v>11.4</v>
      </c>
      <c r="H290" t="n">
        <v>0</v>
      </c>
      <c r="I290" t="n">
        <v>0</v>
      </c>
      <c r="J290" t="n">
        <v>0</v>
      </c>
      <c r="K290" t="n">
        <v>0</v>
      </c>
      <c r="L290" t="n">
        <v>0</v>
      </c>
      <c r="M290" t="n">
        <v>0</v>
      </c>
      <c r="N290" t="n">
        <v>0</v>
      </c>
      <c r="O290" t="n">
        <v>0</v>
      </c>
      <c r="P290" t="n">
        <v>0</v>
      </c>
      <c r="Q290" t="n">
        <v>0</v>
      </c>
      <c r="R290" s="2" t="inlineStr"/>
    </row>
    <row r="291" ht="15" customHeight="1">
      <c r="A291" t="inlineStr">
        <is>
          <t>A 54671-2024</t>
        </is>
      </c>
      <c r="B291" s="1" t="n">
        <v>45618</v>
      </c>
      <c r="C291" s="1" t="n">
        <v>45657</v>
      </c>
      <c r="D291" t="inlineStr">
        <is>
          <t>VÄSTMANLANDS LÄN</t>
        </is>
      </c>
      <c r="E291" t="inlineStr">
        <is>
          <t>SURAHAMMAR</t>
        </is>
      </c>
      <c r="G291" t="n">
        <v>1.2</v>
      </c>
      <c r="H291" t="n">
        <v>0</v>
      </c>
      <c r="I291" t="n">
        <v>0</v>
      </c>
      <c r="J291" t="n">
        <v>0</v>
      </c>
      <c r="K291" t="n">
        <v>0</v>
      </c>
      <c r="L291" t="n">
        <v>0</v>
      </c>
      <c r="M291" t="n">
        <v>0</v>
      </c>
      <c r="N291" t="n">
        <v>0</v>
      </c>
      <c r="O291" t="n">
        <v>0</v>
      </c>
      <c r="P291" t="n">
        <v>0</v>
      </c>
      <c r="Q291" t="n">
        <v>0</v>
      </c>
      <c r="R291" s="2" t="inlineStr"/>
    </row>
    <row r="292">
      <c r="A292" t="inlineStr">
        <is>
          <t>A 60030-2024</t>
        </is>
      </c>
      <c r="B292" s="1" t="n">
        <v>45642</v>
      </c>
      <c r="C292" s="1" t="n">
        <v>45657</v>
      </c>
      <c r="D292" t="inlineStr">
        <is>
          <t>VÄSTMANLANDS LÄN</t>
        </is>
      </c>
      <c r="E292" t="inlineStr">
        <is>
          <t>SURAHAMMAR</t>
        </is>
      </c>
      <c r="G292" t="n">
        <v>3.1</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2024-12-31T15:47:38Z</dcterms:created>
  <dcterms:modified xmlns:dcterms="http://purl.org/dc/terms/" xmlns:xsi="http://www.w3.org/2001/XMLSchema-instance" xsi:type="dcterms:W3CDTF">2024-12-31T15:47:39Z</dcterms:modified>
</cp:coreProperties>
</file>