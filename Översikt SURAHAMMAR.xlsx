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45967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45967</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45967</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45967</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45967</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45967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45967</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45967</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45967</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45967</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45967</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45967</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45967</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45967</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44798-2024</t>
        </is>
      </c>
      <c r="B17" s="1" t="n">
        <v>45574</v>
      </c>
      <c r="C17" s="1" t="n">
        <v>45967</v>
      </c>
      <c r="D17" t="inlineStr">
        <is>
          <t>VÄSTMANLANDS LÄN</t>
        </is>
      </c>
      <c r="E17" t="inlineStr">
        <is>
          <t>SURAHAMMAR</t>
        </is>
      </c>
      <c r="F17" t="inlineStr">
        <is>
          <t>Bergvik skog väst AB</t>
        </is>
      </c>
      <c r="G17" t="n">
        <v>4.4</v>
      </c>
      <c r="H17" t="n">
        <v>0</v>
      </c>
      <c r="I17" t="n">
        <v>1</v>
      </c>
      <c r="J17" t="n">
        <v>4</v>
      </c>
      <c r="K17" t="n">
        <v>1</v>
      </c>
      <c r="L17" t="n">
        <v>0</v>
      </c>
      <c r="M17" t="n">
        <v>0</v>
      </c>
      <c r="N17" t="n">
        <v>0</v>
      </c>
      <c r="O17" t="n">
        <v>5</v>
      </c>
      <c r="P17" t="n">
        <v>1</v>
      </c>
      <c r="Q17" t="n">
        <v>6</v>
      </c>
      <c r="R17" s="2" t="inlineStr">
        <is>
          <t>Rosetticka
Brunklöver
Persiljespindling
Svinrot
Ullticka
Brandticka</t>
        </is>
      </c>
      <c r="S17">
        <f>HYPERLINK("https://klasma.github.io/Logging_1907/artfynd/A 44798-2024 artfynd.xlsx", "A 44798-2024")</f>
        <v/>
      </c>
      <c r="T17">
        <f>HYPERLINK("https://klasma.github.io/Logging_1907/kartor/A 44798-2024 karta.png", "A 44798-2024")</f>
        <v/>
      </c>
      <c r="V17">
        <f>HYPERLINK("https://klasma.github.io/Logging_1907/klagomål/A 44798-2024 FSC-klagomål.docx", "A 44798-2024")</f>
        <v/>
      </c>
      <c r="W17">
        <f>HYPERLINK("https://klasma.github.io/Logging_1907/klagomålsmail/A 44798-2024 FSC-klagomål mail.docx", "A 44798-2024")</f>
        <v/>
      </c>
      <c r="X17">
        <f>HYPERLINK("https://klasma.github.io/Logging_1907/tillsyn/A 44798-2024 tillsynsbegäran.docx", "A 44798-2024")</f>
        <v/>
      </c>
      <c r="Y17">
        <f>HYPERLINK("https://klasma.github.io/Logging_1907/tillsynsmail/A 44798-2024 tillsynsbegäran mail.docx", "A 44798-2024")</f>
        <v/>
      </c>
    </row>
    <row r="18" ht="15" customHeight="1">
      <c r="A18" t="inlineStr">
        <is>
          <t>A 14815-2025</t>
        </is>
      </c>
      <c r="B18" s="1" t="n">
        <v>45743.34931712963</v>
      </c>
      <c r="C18" s="1" t="n">
        <v>45967</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45967</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45967</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45967</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45967</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45967</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45967</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21716-2025</t>
        </is>
      </c>
      <c r="B25" s="1" t="n">
        <v>45783.54804398148</v>
      </c>
      <c r="C25" s="1" t="n">
        <v>45967</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45967</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45967</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45967</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59550-2020</t>
        </is>
      </c>
      <c r="B29" s="1" t="n">
        <v>44148</v>
      </c>
      <c r="C29" s="1" t="n">
        <v>45967</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42860-2022</t>
        </is>
      </c>
      <c r="B30" s="1" t="n">
        <v>44832</v>
      </c>
      <c r="C30" s="1" t="n">
        <v>45967</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45967</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45967</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45967</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48128-2023</t>
        </is>
      </c>
      <c r="B34" s="1" t="n">
        <v>45205</v>
      </c>
      <c r="C34" s="1" t="n">
        <v>45967</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39694-2025</t>
        </is>
      </c>
      <c r="B35" s="1" t="n">
        <v>45890</v>
      </c>
      <c r="C35" s="1" t="n">
        <v>45967</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42708-2022</t>
        </is>
      </c>
      <c r="B36" s="1" t="n">
        <v>44832</v>
      </c>
      <c r="C36" s="1" t="n">
        <v>45967</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8552-2022</t>
        </is>
      </c>
      <c r="B37" s="1" t="n">
        <v>44613</v>
      </c>
      <c r="C37" s="1" t="n">
        <v>45967</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42853-2022</t>
        </is>
      </c>
      <c r="B38" s="1" t="n">
        <v>44832</v>
      </c>
      <c r="C38" s="1" t="n">
        <v>45967</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29707-2025</t>
        </is>
      </c>
      <c r="B39" s="1" t="n">
        <v>45825.56100694444</v>
      </c>
      <c r="C39" s="1" t="n">
        <v>45967</v>
      </c>
      <c r="D39" t="inlineStr">
        <is>
          <t>VÄSTMANLANDS LÄN</t>
        </is>
      </c>
      <c r="E39" t="inlineStr">
        <is>
          <t>SURAHAMMAR</t>
        </is>
      </c>
      <c r="F39" t="inlineStr">
        <is>
          <t>Bergvik skog väst AB</t>
        </is>
      </c>
      <c r="G39" t="n">
        <v>5.1</v>
      </c>
      <c r="H39" t="n">
        <v>0</v>
      </c>
      <c r="I39" t="n">
        <v>1</v>
      </c>
      <c r="J39" t="n">
        <v>1</v>
      </c>
      <c r="K39" t="n">
        <v>0</v>
      </c>
      <c r="L39" t="n">
        <v>0</v>
      </c>
      <c r="M39" t="n">
        <v>1</v>
      </c>
      <c r="N39" t="n">
        <v>0</v>
      </c>
      <c r="O39" t="n">
        <v>2</v>
      </c>
      <c r="P39" t="n">
        <v>1</v>
      </c>
      <c r="Q39" t="n">
        <v>3</v>
      </c>
      <c r="R39" s="2" t="inlineStr">
        <is>
          <t>Skogsalm
Veckticka
Rävticka</t>
        </is>
      </c>
      <c r="S39">
        <f>HYPERLINK("https://klasma.github.io/Logging_1907/artfynd/A 29707-2025 artfynd.xlsx", "A 29707-2025")</f>
        <v/>
      </c>
      <c r="T39">
        <f>HYPERLINK("https://klasma.github.io/Logging_1907/kartor/A 29707-2025 karta.png", "A 29707-2025")</f>
        <v/>
      </c>
      <c r="V39">
        <f>HYPERLINK("https://klasma.github.io/Logging_1907/klagomål/A 29707-2025 FSC-klagomål.docx", "A 29707-2025")</f>
        <v/>
      </c>
      <c r="W39">
        <f>HYPERLINK("https://klasma.github.io/Logging_1907/klagomålsmail/A 29707-2025 FSC-klagomål mail.docx", "A 29707-2025")</f>
        <v/>
      </c>
      <c r="X39">
        <f>HYPERLINK("https://klasma.github.io/Logging_1907/tillsyn/A 29707-2025 tillsynsbegäran.docx", "A 29707-2025")</f>
        <v/>
      </c>
      <c r="Y39">
        <f>HYPERLINK("https://klasma.github.io/Logging_1907/tillsynsmail/A 29707-2025 tillsynsbegäran mail.docx", "A 29707-2025")</f>
        <v/>
      </c>
    </row>
    <row r="40" ht="15" customHeight="1">
      <c r="A40" t="inlineStr">
        <is>
          <t>A 37801-2021</t>
        </is>
      </c>
      <c r="B40" s="1" t="n">
        <v>44402</v>
      </c>
      <c r="C40" s="1" t="n">
        <v>45967</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4082-2025</t>
        </is>
      </c>
      <c r="B41" s="1" t="n">
        <v>45684</v>
      </c>
      <c r="C41" s="1" t="n">
        <v>45967</v>
      </c>
      <c r="D41" t="inlineStr">
        <is>
          <t>VÄSTMANLANDS LÄN</t>
        </is>
      </c>
      <c r="E41" t="inlineStr">
        <is>
          <t>SURAHAMMAR</t>
        </is>
      </c>
      <c r="F41" t="inlineStr">
        <is>
          <t>Bergvik skog väst AB</t>
        </is>
      </c>
      <c r="G41" t="n">
        <v>11.6</v>
      </c>
      <c r="H41" t="n">
        <v>1</v>
      </c>
      <c r="I41" t="n">
        <v>2</v>
      </c>
      <c r="J41" t="n">
        <v>0</v>
      </c>
      <c r="K41" t="n">
        <v>0</v>
      </c>
      <c r="L41" t="n">
        <v>0</v>
      </c>
      <c r="M41" t="n">
        <v>0</v>
      </c>
      <c r="N41" t="n">
        <v>0</v>
      </c>
      <c r="O41" t="n">
        <v>0</v>
      </c>
      <c r="P41" t="n">
        <v>0</v>
      </c>
      <c r="Q41" t="n">
        <v>2</v>
      </c>
      <c r="R41" s="2" t="inlineStr">
        <is>
          <t>Grönpyrola
Plattlummer</t>
        </is>
      </c>
      <c r="S41">
        <f>HYPERLINK("https://klasma.github.io/Logging_1907/artfynd/A 4082-2025 artfynd.xlsx", "A 4082-2025")</f>
        <v/>
      </c>
      <c r="T41">
        <f>HYPERLINK("https://klasma.github.io/Logging_1907/kartor/A 4082-2025 karta.png", "A 4082-2025")</f>
        <v/>
      </c>
      <c r="V41">
        <f>HYPERLINK("https://klasma.github.io/Logging_1907/klagomål/A 4082-2025 FSC-klagomål.docx", "A 4082-2025")</f>
        <v/>
      </c>
      <c r="W41">
        <f>HYPERLINK("https://klasma.github.io/Logging_1907/klagomålsmail/A 4082-2025 FSC-klagomål mail.docx", "A 4082-2025")</f>
        <v/>
      </c>
      <c r="X41">
        <f>HYPERLINK("https://klasma.github.io/Logging_1907/tillsyn/A 4082-2025 tillsynsbegäran.docx", "A 4082-2025")</f>
        <v/>
      </c>
      <c r="Y41">
        <f>HYPERLINK("https://klasma.github.io/Logging_1907/tillsynsmail/A 4082-2025 tillsynsbegäran mail.docx", "A 4082-2025")</f>
        <v/>
      </c>
    </row>
    <row r="42" ht="15" customHeight="1">
      <c r="A42" t="inlineStr">
        <is>
          <t>A 62097-2024</t>
        </is>
      </c>
      <c r="B42" s="1" t="n">
        <v>45646</v>
      </c>
      <c r="C42" s="1" t="n">
        <v>45967</v>
      </c>
      <c r="D42" t="inlineStr">
        <is>
          <t>VÄSTMANLANDS LÄN</t>
        </is>
      </c>
      <c r="E42" t="inlineStr">
        <is>
          <t>SURAHAMMAR</t>
        </is>
      </c>
      <c r="F42" t="inlineStr">
        <is>
          <t>Bergvik skog väst AB</t>
        </is>
      </c>
      <c r="G42" t="n">
        <v>21.7</v>
      </c>
      <c r="H42" t="n">
        <v>2</v>
      </c>
      <c r="I42" t="n">
        <v>0</v>
      </c>
      <c r="J42" t="n">
        <v>0</v>
      </c>
      <c r="K42" t="n">
        <v>0</v>
      </c>
      <c r="L42" t="n">
        <v>0</v>
      </c>
      <c r="M42" t="n">
        <v>0</v>
      </c>
      <c r="N42" t="n">
        <v>0</v>
      </c>
      <c r="O42" t="n">
        <v>0</v>
      </c>
      <c r="P42" t="n">
        <v>0</v>
      </c>
      <c r="Q42" t="n">
        <v>2</v>
      </c>
      <c r="R42" s="2" t="inlineStr">
        <is>
          <t>Mattlummer
Revlummer</t>
        </is>
      </c>
      <c r="S42">
        <f>HYPERLINK("https://klasma.github.io/Logging_1907/artfynd/A 62097-2024 artfynd.xlsx", "A 62097-2024")</f>
        <v/>
      </c>
      <c r="T42">
        <f>HYPERLINK("https://klasma.github.io/Logging_1907/kartor/A 62097-2024 karta.png", "A 62097-2024")</f>
        <v/>
      </c>
      <c r="V42">
        <f>HYPERLINK("https://klasma.github.io/Logging_1907/klagomål/A 62097-2024 FSC-klagomål.docx", "A 62097-2024")</f>
        <v/>
      </c>
      <c r="W42">
        <f>HYPERLINK("https://klasma.github.io/Logging_1907/klagomålsmail/A 62097-2024 FSC-klagomål mail.docx", "A 62097-2024")</f>
        <v/>
      </c>
      <c r="X42">
        <f>HYPERLINK("https://klasma.github.io/Logging_1907/tillsyn/A 62097-2024 tillsynsbegäran.docx", "A 62097-2024")</f>
        <v/>
      </c>
      <c r="Y42">
        <f>HYPERLINK("https://klasma.github.io/Logging_1907/tillsynsmail/A 62097-2024 tillsynsbegäran mail.docx", "A 62097-2024")</f>
        <v/>
      </c>
    </row>
    <row r="43" ht="15" customHeight="1">
      <c r="A43" t="inlineStr">
        <is>
          <t>A 21618-2025</t>
        </is>
      </c>
      <c r="B43" s="1" t="n">
        <v>45783</v>
      </c>
      <c r="C43" s="1" t="n">
        <v>45967</v>
      </c>
      <c r="D43" t="inlineStr">
        <is>
          <t>VÄSTMANLANDS LÄN</t>
        </is>
      </c>
      <c r="E43" t="inlineStr">
        <is>
          <t>SURAHAMMAR</t>
        </is>
      </c>
      <c r="F43" t="inlineStr">
        <is>
          <t>Bergvik skog väst AB</t>
        </is>
      </c>
      <c r="G43" t="n">
        <v>1.1</v>
      </c>
      <c r="H43" t="n">
        <v>2</v>
      </c>
      <c r="I43" t="n">
        <v>1</v>
      </c>
      <c r="J43" t="n">
        <v>0</v>
      </c>
      <c r="K43" t="n">
        <v>0</v>
      </c>
      <c r="L43" t="n">
        <v>0</v>
      </c>
      <c r="M43" t="n">
        <v>0</v>
      </c>
      <c r="N43" t="n">
        <v>0</v>
      </c>
      <c r="O43" t="n">
        <v>0</v>
      </c>
      <c r="P43" t="n">
        <v>0</v>
      </c>
      <c r="Q43" t="n">
        <v>2</v>
      </c>
      <c r="R43" s="2" t="inlineStr">
        <is>
          <t>Plattlummer
Mattlummer</t>
        </is>
      </c>
      <c r="S43">
        <f>HYPERLINK("https://klasma.github.io/Logging_1907/artfynd/A 21618-2025 artfynd.xlsx", "A 21618-2025")</f>
        <v/>
      </c>
      <c r="T43">
        <f>HYPERLINK("https://klasma.github.io/Logging_1907/kartor/A 21618-2025 karta.png", "A 21618-2025")</f>
        <v/>
      </c>
      <c r="V43">
        <f>HYPERLINK("https://klasma.github.io/Logging_1907/klagomål/A 21618-2025 FSC-klagomål.docx", "A 21618-2025")</f>
        <v/>
      </c>
      <c r="W43">
        <f>HYPERLINK("https://klasma.github.io/Logging_1907/klagomålsmail/A 21618-2025 FSC-klagomål mail.docx", "A 21618-2025")</f>
        <v/>
      </c>
      <c r="X43">
        <f>HYPERLINK("https://klasma.github.io/Logging_1907/tillsyn/A 21618-2025 tillsynsbegäran.docx", "A 21618-2025")</f>
        <v/>
      </c>
      <c r="Y43">
        <f>HYPERLINK("https://klasma.github.io/Logging_1907/tillsynsmail/A 21618-2025 tillsynsbegäran mail.docx", "A 21618-2025")</f>
        <v/>
      </c>
    </row>
    <row r="44" ht="15" customHeight="1">
      <c r="A44" t="inlineStr">
        <is>
          <t>A 41204-2023</t>
        </is>
      </c>
      <c r="B44" s="1" t="n">
        <v>45174</v>
      </c>
      <c r="C44" s="1" t="n">
        <v>45967</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37800-2021</t>
        </is>
      </c>
      <c r="B45" s="1" t="n">
        <v>44402</v>
      </c>
      <c r="C45" s="1" t="n">
        <v>45967</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38170-2021</t>
        </is>
      </c>
      <c r="B46" s="1" t="n">
        <v>44405.43472222222</v>
      </c>
      <c r="C46" s="1" t="n">
        <v>45967</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45967</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45967</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45967</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25583-2024</t>
        </is>
      </c>
      <c r="B50" s="1" t="n">
        <v>45463</v>
      </c>
      <c r="C50" s="1" t="n">
        <v>45967</v>
      </c>
      <c r="D50" t="inlineStr">
        <is>
          <t>VÄSTMANLANDS LÄN</t>
        </is>
      </c>
      <c r="E50" t="inlineStr">
        <is>
          <t>SURAHAMMAR</t>
        </is>
      </c>
      <c r="F50" t="inlineStr">
        <is>
          <t>Bergvik skog väst AB</t>
        </is>
      </c>
      <c r="G50" t="n">
        <v>7.8</v>
      </c>
      <c r="H50" t="n">
        <v>1</v>
      </c>
      <c r="I50" t="n">
        <v>0</v>
      </c>
      <c r="J50" t="n">
        <v>0</v>
      </c>
      <c r="K50" t="n">
        <v>0</v>
      </c>
      <c r="L50" t="n">
        <v>0</v>
      </c>
      <c r="M50" t="n">
        <v>0</v>
      </c>
      <c r="N50" t="n">
        <v>0</v>
      </c>
      <c r="O50" t="n">
        <v>0</v>
      </c>
      <c r="P50" t="n">
        <v>0</v>
      </c>
      <c r="Q50" t="n">
        <v>1</v>
      </c>
      <c r="R50" s="2" t="inlineStr">
        <is>
          <t>Blåsippa</t>
        </is>
      </c>
      <c r="S50">
        <f>HYPERLINK("https://klasma.github.io/Logging_1907/artfynd/A 25583-2024 artfynd.xlsx", "A 25583-2024")</f>
        <v/>
      </c>
      <c r="T50">
        <f>HYPERLINK("https://klasma.github.io/Logging_1907/kartor/A 25583-2024 karta.png", "A 25583-2024")</f>
        <v/>
      </c>
      <c r="V50">
        <f>HYPERLINK("https://klasma.github.io/Logging_1907/klagomål/A 25583-2024 FSC-klagomål.docx", "A 25583-2024")</f>
        <v/>
      </c>
      <c r="W50">
        <f>HYPERLINK("https://klasma.github.io/Logging_1907/klagomålsmail/A 25583-2024 FSC-klagomål mail.docx", "A 25583-2024")</f>
        <v/>
      </c>
      <c r="X50">
        <f>HYPERLINK("https://klasma.github.io/Logging_1907/tillsyn/A 25583-2024 tillsynsbegäran.docx", "A 25583-2024")</f>
        <v/>
      </c>
      <c r="Y50">
        <f>HYPERLINK("https://klasma.github.io/Logging_1907/tillsynsmail/A 25583-2024 tillsynsbegäran mail.docx", "A 25583-2024")</f>
        <v/>
      </c>
    </row>
    <row r="51" ht="15" customHeight="1">
      <c r="A51" t="inlineStr">
        <is>
          <t>A 13971-2023</t>
        </is>
      </c>
      <c r="B51" s="1" t="n">
        <v>45007</v>
      </c>
      <c r="C51" s="1" t="n">
        <v>45967</v>
      </c>
      <c r="D51" t="inlineStr">
        <is>
          <t>VÄSTMANLANDS LÄN</t>
        </is>
      </c>
      <c r="E51" t="inlineStr">
        <is>
          <t>SURAHAMMAR</t>
        </is>
      </c>
      <c r="F51" t="inlineStr">
        <is>
          <t>Bergvik skog väst AB</t>
        </is>
      </c>
      <c r="G51" t="n">
        <v>2.9</v>
      </c>
      <c r="H51" t="n">
        <v>1</v>
      </c>
      <c r="I51" t="n">
        <v>0</v>
      </c>
      <c r="J51" t="n">
        <v>0</v>
      </c>
      <c r="K51" t="n">
        <v>0</v>
      </c>
      <c r="L51" t="n">
        <v>0</v>
      </c>
      <c r="M51" t="n">
        <v>0</v>
      </c>
      <c r="N51" t="n">
        <v>0</v>
      </c>
      <c r="O51" t="n">
        <v>0</v>
      </c>
      <c r="P51" t="n">
        <v>0</v>
      </c>
      <c r="Q51" t="n">
        <v>1</v>
      </c>
      <c r="R51" s="2" t="inlineStr">
        <is>
          <t>Fläcknycklar</t>
        </is>
      </c>
      <c r="S51">
        <f>HYPERLINK("https://klasma.github.io/Logging_1907/artfynd/A 13971-2023 artfynd.xlsx", "A 13971-2023")</f>
        <v/>
      </c>
      <c r="T51">
        <f>HYPERLINK("https://klasma.github.io/Logging_1907/kartor/A 13971-2023 karta.png", "A 13971-2023")</f>
        <v/>
      </c>
      <c r="V51">
        <f>HYPERLINK("https://klasma.github.io/Logging_1907/klagomål/A 13971-2023 FSC-klagomål.docx", "A 13971-2023")</f>
        <v/>
      </c>
      <c r="W51">
        <f>HYPERLINK("https://klasma.github.io/Logging_1907/klagomålsmail/A 13971-2023 FSC-klagomål mail.docx", "A 13971-2023")</f>
        <v/>
      </c>
      <c r="X51">
        <f>HYPERLINK("https://klasma.github.io/Logging_1907/tillsyn/A 13971-2023 tillsynsbegäran.docx", "A 13971-2023")</f>
        <v/>
      </c>
      <c r="Y51">
        <f>HYPERLINK("https://klasma.github.io/Logging_1907/tillsynsmail/A 13971-2023 tillsynsbegäran mail.docx", "A 13971-2023")</f>
        <v/>
      </c>
    </row>
    <row r="52" ht="15" customHeight="1">
      <c r="A52" t="inlineStr">
        <is>
          <t>A 42765-2022</t>
        </is>
      </c>
      <c r="B52" s="1" t="n">
        <v>44832</v>
      </c>
      <c r="C52" s="1" t="n">
        <v>45967</v>
      </c>
      <c r="D52" t="inlineStr">
        <is>
          <t>VÄSTMANLANDS LÄN</t>
        </is>
      </c>
      <c r="E52" t="inlineStr">
        <is>
          <t>SURAHAMMAR</t>
        </is>
      </c>
      <c r="G52" t="n">
        <v>1.8</v>
      </c>
      <c r="H52" t="n">
        <v>1</v>
      </c>
      <c r="I52" t="n">
        <v>0</v>
      </c>
      <c r="J52" t="n">
        <v>0</v>
      </c>
      <c r="K52" t="n">
        <v>0</v>
      </c>
      <c r="L52" t="n">
        <v>0</v>
      </c>
      <c r="M52" t="n">
        <v>0</v>
      </c>
      <c r="N52" t="n">
        <v>0</v>
      </c>
      <c r="O52" t="n">
        <v>0</v>
      </c>
      <c r="P52" t="n">
        <v>0</v>
      </c>
      <c r="Q52" t="n">
        <v>1</v>
      </c>
      <c r="R52" s="2" t="inlineStr">
        <is>
          <t>Blåsippa</t>
        </is>
      </c>
      <c r="S52">
        <f>HYPERLINK("https://klasma.github.io/Logging_1907/artfynd/A 42765-2022 artfynd.xlsx", "A 42765-2022")</f>
        <v/>
      </c>
      <c r="T52">
        <f>HYPERLINK("https://klasma.github.io/Logging_1907/kartor/A 42765-2022 karta.png", "A 42765-2022")</f>
        <v/>
      </c>
      <c r="V52">
        <f>HYPERLINK("https://klasma.github.io/Logging_1907/klagomål/A 42765-2022 FSC-klagomål.docx", "A 42765-2022")</f>
        <v/>
      </c>
      <c r="W52">
        <f>HYPERLINK("https://klasma.github.io/Logging_1907/klagomålsmail/A 42765-2022 FSC-klagomål mail.docx", "A 42765-2022")</f>
        <v/>
      </c>
      <c r="X52">
        <f>HYPERLINK("https://klasma.github.io/Logging_1907/tillsyn/A 42765-2022 tillsynsbegäran.docx", "A 42765-2022")</f>
        <v/>
      </c>
      <c r="Y52">
        <f>HYPERLINK("https://klasma.github.io/Logging_1907/tillsynsmail/A 42765-2022 tillsynsbegäran mail.docx", "A 42765-2022")</f>
        <v/>
      </c>
    </row>
    <row r="53" ht="15" customHeight="1">
      <c r="A53" t="inlineStr">
        <is>
          <t>A 69777-2021</t>
        </is>
      </c>
      <c r="B53" s="1" t="n">
        <v>44532</v>
      </c>
      <c r="C53" s="1" t="n">
        <v>45967</v>
      </c>
      <c r="D53" t="inlineStr">
        <is>
          <t>VÄSTMANLANDS LÄN</t>
        </is>
      </c>
      <c r="E53" t="inlineStr">
        <is>
          <t>SURAHAMMAR</t>
        </is>
      </c>
      <c r="G53" t="n">
        <v>2.3</v>
      </c>
      <c r="H53" t="n">
        <v>1</v>
      </c>
      <c r="I53" t="n">
        <v>0</v>
      </c>
      <c r="J53" t="n">
        <v>0</v>
      </c>
      <c r="K53" t="n">
        <v>1</v>
      </c>
      <c r="L53" t="n">
        <v>0</v>
      </c>
      <c r="M53" t="n">
        <v>0</v>
      </c>
      <c r="N53" t="n">
        <v>0</v>
      </c>
      <c r="O53" t="n">
        <v>1</v>
      </c>
      <c r="P53" t="n">
        <v>1</v>
      </c>
      <c r="Q53" t="n">
        <v>1</v>
      </c>
      <c r="R53" s="2" t="inlineStr">
        <is>
          <t>Bombmurkla</t>
        </is>
      </c>
      <c r="S53">
        <f>HYPERLINK("https://klasma.github.io/Logging_1907/artfynd/A 69777-2021 artfynd.xlsx", "A 69777-2021")</f>
        <v/>
      </c>
      <c r="T53">
        <f>HYPERLINK("https://klasma.github.io/Logging_1907/kartor/A 69777-2021 karta.png", "A 69777-2021")</f>
        <v/>
      </c>
      <c r="V53">
        <f>HYPERLINK("https://klasma.github.io/Logging_1907/klagomål/A 69777-2021 FSC-klagomål.docx", "A 69777-2021")</f>
        <v/>
      </c>
      <c r="W53">
        <f>HYPERLINK("https://klasma.github.io/Logging_1907/klagomålsmail/A 69777-2021 FSC-klagomål mail.docx", "A 69777-2021")</f>
        <v/>
      </c>
      <c r="X53">
        <f>HYPERLINK("https://klasma.github.io/Logging_1907/tillsyn/A 69777-2021 tillsynsbegäran.docx", "A 69777-2021")</f>
        <v/>
      </c>
      <c r="Y53">
        <f>HYPERLINK("https://klasma.github.io/Logging_1907/tillsynsmail/A 69777-2021 tillsynsbegäran mail.docx", "A 69777-2021")</f>
        <v/>
      </c>
    </row>
    <row r="54" ht="15" customHeight="1">
      <c r="A54" t="inlineStr">
        <is>
          <t>A 56362-2023</t>
        </is>
      </c>
      <c r="B54" s="1" t="n">
        <v>45236</v>
      </c>
      <c r="C54" s="1" t="n">
        <v>45967</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14001-2023</t>
        </is>
      </c>
      <c r="B55" s="1" t="n">
        <v>45007</v>
      </c>
      <c r="C55" s="1" t="n">
        <v>45967</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44356-2024</t>
        </is>
      </c>
      <c r="B56" s="1" t="n">
        <v>45573</v>
      </c>
      <c r="C56" s="1" t="n">
        <v>45967</v>
      </c>
      <c r="D56" t="inlineStr">
        <is>
          <t>VÄSTMANLANDS LÄN</t>
        </is>
      </c>
      <c r="E56" t="inlineStr">
        <is>
          <t>SURAHAMMAR</t>
        </is>
      </c>
      <c r="F56" t="inlineStr">
        <is>
          <t>Sveaskog</t>
        </is>
      </c>
      <c r="G56" t="n">
        <v>0.7</v>
      </c>
      <c r="H56" t="n">
        <v>1</v>
      </c>
      <c r="I56" t="n">
        <v>0</v>
      </c>
      <c r="J56" t="n">
        <v>0</v>
      </c>
      <c r="K56" t="n">
        <v>0</v>
      </c>
      <c r="L56" t="n">
        <v>0</v>
      </c>
      <c r="M56" t="n">
        <v>0</v>
      </c>
      <c r="N56" t="n">
        <v>0</v>
      </c>
      <c r="O56" t="n">
        <v>0</v>
      </c>
      <c r="P56" t="n">
        <v>0</v>
      </c>
      <c r="Q56" t="n">
        <v>1</v>
      </c>
      <c r="R56" s="2" t="inlineStr">
        <is>
          <t>Revlummer</t>
        </is>
      </c>
      <c r="S56">
        <f>HYPERLINK("https://klasma.github.io/Logging_1907/artfynd/A 44356-2024 artfynd.xlsx", "A 44356-2024")</f>
        <v/>
      </c>
      <c r="T56">
        <f>HYPERLINK("https://klasma.github.io/Logging_1907/kartor/A 44356-2024 karta.png", "A 44356-2024")</f>
        <v/>
      </c>
      <c r="V56">
        <f>HYPERLINK("https://klasma.github.io/Logging_1907/klagomål/A 44356-2024 FSC-klagomål.docx", "A 44356-2024")</f>
        <v/>
      </c>
      <c r="W56">
        <f>HYPERLINK("https://klasma.github.io/Logging_1907/klagomålsmail/A 44356-2024 FSC-klagomål mail.docx", "A 44356-2024")</f>
        <v/>
      </c>
      <c r="X56">
        <f>HYPERLINK("https://klasma.github.io/Logging_1907/tillsyn/A 44356-2024 tillsynsbegäran.docx", "A 44356-2024")</f>
        <v/>
      </c>
      <c r="Y56">
        <f>HYPERLINK("https://klasma.github.io/Logging_1907/tillsynsmail/A 44356-2024 tillsynsbegäran mail.docx", "A 44356-2024")</f>
        <v/>
      </c>
    </row>
    <row r="57" ht="15" customHeight="1">
      <c r="A57" t="inlineStr">
        <is>
          <t>A 39099-2022</t>
        </is>
      </c>
      <c r="B57" s="1" t="n">
        <v>44817</v>
      </c>
      <c r="C57" s="1" t="n">
        <v>45967</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47453-2024</t>
        </is>
      </c>
      <c r="B58" s="1" t="n">
        <v>45587.55017361111</v>
      </c>
      <c r="C58" s="1" t="n">
        <v>45967</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10819-2024</t>
        </is>
      </c>
      <c r="B59" s="1" t="n">
        <v>45369.66049768519</v>
      </c>
      <c r="C59" s="1" t="n">
        <v>45967</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40403-2025</t>
        </is>
      </c>
      <c r="B60" s="1" t="n">
        <v>45895</v>
      </c>
      <c r="C60" s="1" t="n">
        <v>45967</v>
      </c>
      <c r="D60" t="inlineStr">
        <is>
          <t>VÄSTMANLANDS LÄN</t>
        </is>
      </c>
      <c r="E60" t="inlineStr">
        <is>
          <t>SURAHAMMAR</t>
        </is>
      </c>
      <c r="F60" t="inlineStr">
        <is>
          <t>Kommuner</t>
        </is>
      </c>
      <c r="G60" t="n">
        <v>3.9</v>
      </c>
      <c r="H60" t="n">
        <v>0</v>
      </c>
      <c r="I60" t="n">
        <v>0</v>
      </c>
      <c r="J60" t="n">
        <v>1</v>
      </c>
      <c r="K60" t="n">
        <v>0</v>
      </c>
      <c r="L60" t="n">
        <v>0</v>
      </c>
      <c r="M60" t="n">
        <v>0</v>
      </c>
      <c r="N60" t="n">
        <v>0</v>
      </c>
      <c r="O60" t="n">
        <v>1</v>
      </c>
      <c r="P60" t="n">
        <v>0</v>
      </c>
      <c r="Q60" t="n">
        <v>1</v>
      </c>
      <c r="R60" s="2" t="inlineStr">
        <is>
          <t>Igelkott</t>
        </is>
      </c>
      <c r="S60">
        <f>HYPERLINK("https://klasma.github.io/Logging_1907/artfynd/A 40403-2025 artfynd.xlsx", "A 40403-2025")</f>
        <v/>
      </c>
      <c r="T60">
        <f>HYPERLINK("https://klasma.github.io/Logging_1907/kartor/A 40403-2025 karta.png", "A 40403-2025")</f>
        <v/>
      </c>
      <c r="V60">
        <f>HYPERLINK("https://klasma.github.io/Logging_1907/klagomål/A 40403-2025 FSC-klagomål.docx", "A 40403-2025")</f>
        <v/>
      </c>
      <c r="W60">
        <f>HYPERLINK("https://klasma.github.io/Logging_1907/klagomålsmail/A 40403-2025 FSC-klagomål mail.docx", "A 40403-2025")</f>
        <v/>
      </c>
      <c r="X60">
        <f>HYPERLINK("https://klasma.github.io/Logging_1907/tillsyn/A 40403-2025 tillsynsbegäran.docx", "A 40403-2025")</f>
        <v/>
      </c>
      <c r="Y60">
        <f>HYPERLINK("https://klasma.github.io/Logging_1907/tillsynsmail/A 40403-2025 tillsynsbegäran mail.docx", "A 40403-2025")</f>
        <v/>
      </c>
    </row>
    <row r="61" ht="15" customHeight="1">
      <c r="A61" t="inlineStr">
        <is>
          <t>A 17632-2022</t>
        </is>
      </c>
      <c r="B61" s="1" t="n">
        <v>44680</v>
      </c>
      <c r="C61" s="1" t="n">
        <v>45967</v>
      </c>
      <c r="D61" t="inlineStr">
        <is>
          <t>VÄSTMANLANDS LÄN</t>
        </is>
      </c>
      <c r="E61" t="inlineStr">
        <is>
          <t>SURAHAMMAR</t>
        </is>
      </c>
      <c r="G61" t="n">
        <v>5.2</v>
      </c>
      <c r="H61" t="n">
        <v>0</v>
      </c>
      <c r="I61" t="n">
        <v>1</v>
      </c>
      <c r="J61" t="n">
        <v>0</v>
      </c>
      <c r="K61" t="n">
        <v>0</v>
      </c>
      <c r="L61" t="n">
        <v>0</v>
      </c>
      <c r="M61" t="n">
        <v>0</v>
      </c>
      <c r="N61" t="n">
        <v>0</v>
      </c>
      <c r="O61" t="n">
        <v>0</v>
      </c>
      <c r="P61" t="n">
        <v>0</v>
      </c>
      <c r="Q61" t="n">
        <v>1</v>
      </c>
      <c r="R61" s="2" t="inlineStr">
        <is>
          <t>Blodticka</t>
        </is>
      </c>
      <c r="S61">
        <f>HYPERLINK("https://klasma.github.io/Logging_1907/artfynd/A 17632-2022 artfynd.xlsx", "A 17632-2022")</f>
        <v/>
      </c>
      <c r="T61">
        <f>HYPERLINK("https://klasma.github.io/Logging_1907/kartor/A 17632-2022 karta.png", "A 17632-2022")</f>
        <v/>
      </c>
      <c r="V61">
        <f>HYPERLINK("https://klasma.github.io/Logging_1907/klagomål/A 17632-2022 FSC-klagomål.docx", "A 17632-2022")</f>
        <v/>
      </c>
      <c r="W61">
        <f>HYPERLINK("https://klasma.github.io/Logging_1907/klagomålsmail/A 17632-2022 FSC-klagomål mail.docx", "A 17632-2022")</f>
        <v/>
      </c>
      <c r="X61">
        <f>HYPERLINK("https://klasma.github.io/Logging_1907/tillsyn/A 17632-2022 tillsynsbegäran.docx", "A 17632-2022")</f>
        <v/>
      </c>
      <c r="Y61">
        <f>HYPERLINK("https://klasma.github.io/Logging_1907/tillsynsmail/A 17632-2022 tillsynsbegäran mail.docx", "A 17632-2022")</f>
        <v/>
      </c>
    </row>
    <row r="62" ht="15" customHeight="1">
      <c r="A62" t="inlineStr">
        <is>
          <t>A 42089-2025</t>
        </is>
      </c>
      <c r="B62" s="1" t="n">
        <v>45902</v>
      </c>
      <c r="C62" s="1" t="n">
        <v>45967</v>
      </c>
      <c r="D62" t="inlineStr">
        <is>
          <t>VÄSTMANLANDS LÄN</t>
        </is>
      </c>
      <c r="E62" t="inlineStr">
        <is>
          <t>SURAHAMMAR</t>
        </is>
      </c>
      <c r="G62" t="n">
        <v>2.2</v>
      </c>
      <c r="H62" t="n">
        <v>0</v>
      </c>
      <c r="I62" t="n">
        <v>0</v>
      </c>
      <c r="J62" t="n">
        <v>1</v>
      </c>
      <c r="K62" t="n">
        <v>0</v>
      </c>
      <c r="L62" t="n">
        <v>0</v>
      </c>
      <c r="M62" t="n">
        <v>0</v>
      </c>
      <c r="N62" t="n">
        <v>0</v>
      </c>
      <c r="O62" t="n">
        <v>1</v>
      </c>
      <c r="P62" t="n">
        <v>0</v>
      </c>
      <c r="Q62" t="n">
        <v>1</v>
      </c>
      <c r="R62" s="2" t="inlineStr">
        <is>
          <t>Motaggsvamp</t>
        </is>
      </c>
      <c r="S62">
        <f>HYPERLINK("https://klasma.github.io/Logging_1907/artfynd/A 42089-2025 artfynd.xlsx", "A 42089-2025")</f>
        <v/>
      </c>
      <c r="T62">
        <f>HYPERLINK("https://klasma.github.io/Logging_1907/kartor/A 42089-2025 karta.png", "A 42089-2025")</f>
        <v/>
      </c>
      <c r="V62">
        <f>HYPERLINK("https://klasma.github.io/Logging_1907/klagomål/A 42089-2025 FSC-klagomål.docx", "A 42089-2025")</f>
        <v/>
      </c>
      <c r="W62">
        <f>HYPERLINK("https://klasma.github.io/Logging_1907/klagomålsmail/A 42089-2025 FSC-klagomål mail.docx", "A 42089-2025")</f>
        <v/>
      </c>
      <c r="X62">
        <f>HYPERLINK("https://klasma.github.io/Logging_1907/tillsyn/A 42089-2025 tillsynsbegäran.docx", "A 42089-2025")</f>
        <v/>
      </c>
      <c r="Y62">
        <f>HYPERLINK("https://klasma.github.io/Logging_1907/tillsynsmail/A 42089-2025 tillsynsbegäran mail.docx", "A 42089-2025")</f>
        <v/>
      </c>
    </row>
    <row r="63" ht="15" customHeight="1">
      <c r="A63" t="inlineStr">
        <is>
          <t>A 40411-2021</t>
        </is>
      </c>
      <c r="B63" s="1" t="n">
        <v>44419</v>
      </c>
      <c r="C63" s="1" t="n">
        <v>45967</v>
      </c>
      <c r="D63" t="inlineStr">
        <is>
          <t>VÄSTMANLANDS LÄN</t>
        </is>
      </c>
      <c r="E63" t="inlineStr">
        <is>
          <t>SURAHAMMAR</t>
        </is>
      </c>
      <c r="F63" t="inlineStr">
        <is>
          <t>Sveaskog</t>
        </is>
      </c>
      <c r="G63" t="n">
        <v>2.4</v>
      </c>
      <c r="H63" t="n">
        <v>1</v>
      </c>
      <c r="I63" t="n">
        <v>0</v>
      </c>
      <c r="J63" t="n">
        <v>0</v>
      </c>
      <c r="K63" t="n">
        <v>0</v>
      </c>
      <c r="L63" t="n">
        <v>0</v>
      </c>
      <c r="M63" t="n">
        <v>0</v>
      </c>
      <c r="N63" t="n">
        <v>0</v>
      </c>
      <c r="O63" t="n">
        <v>0</v>
      </c>
      <c r="P63" t="n">
        <v>0</v>
      </c>
      <c r="Q63" t="n">
        <v>1</v>
      </c>
      <c r="R63" s="2" t="inlineStr">
        <is>
          <t>Kopparödla</t>
        </is>
      </c>
      <c r="S63">
        <f>HYPERLINK("https://klasma.github.io/Logging_1907/artfynd/A 40411-2021 artfynd.xlsx", "A 40411-2021")</f>
        <v/>
      </c>
      <c r="T63">
        <f>HYPERLINK("https://klasma.github.io/Logging_1907/kartor/A 40411-2021 karta.png", "A 40411-2021")</f>
        <v/>
      </c>
      <c r="V63">
        <f>HYPERLINK("https://klasma.github.io/Logging_1907/klagomål/A 40411-2021 FSC-klagomål.docx", "A 40411-2021")</f>
        <v/>
      </c>
      <c r="W63">
        <f>HYPERLINK("https://klasma.github.io/Logging_1907/klagomålsmail/A 40411-2021 FSC-klagomål mail.docx", "A 40411-2021")</f>
        <v/>
      </c>
      <c r="X63">
        <f>HYPERLINK("https://klasma.github.io/Logging_1907/tillsyn/A 40411-2021 tillsynsbegäran.docx", "A 40411-2021")</f>
        <v/>
      </c>
      <c r="Y63">
        <f>HYPERLINK("https://klasma.github.io/Logging_1907/tillsynsmail/A 40411-2021 tillsynsbegäran mail.docx", "A 40411-2021")</f>
        <v/>
      </c>
    </row>
    <row r="64" ht="15" customHeight="1">
      <c r="A64" t="inlineStr">
        <is>
          <t>A 33231-2024</t>
        </is>
      </c>
      <c r="B64" s="1" t="n">
        <v>45518</v>
      </c>
      <c r="C64" s="1" t="n">
        <v>45967</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22840-2023</t>
        </is>
      </c>
      <c r="B65" s="1" t="n">
        <v>45072</v>
      </c>
      <c r="C65" s="1" t="n">
        <v>45967</v>
      </c>
      <c r="D65" t="inlineStr">
        <is>
          <t>VÄSTMANLANDS LÄN</t>
        </is>
      </c>
      <c r="E65" t="inlineStr">
        <is>
          <t>SURAHAMMAR</t>
        </is>
      </c>
      <c r="G65" t="n">
        <v>4.3</v>
      </c>
      <c r="H65" t="n">
        <v>1</v>
      </c>
      <c r="I65" t="n">
        <v>0</v>
      </c>
      <c r="J65" t="n">
        <v>0</v>
      </c>
      <c r="K65" t="n">
        <v>0</v>
      </c>
      <c r="L65" t="n">
        <v>0</v>
      </c>
      <c r="M65" t="n">
        <v>0</v>
      </c>
      <c r="N65" t="n">
        <v>0</v>
      </c>
      <c r="O65" t="n">
        <v>0</v>
      </c>
      <c r="P65" t="n">
        <v>0</v>
      </c>
      <c r="Q65" t="n">
        <v>1</v>
      </c>
      <c r="R65" s="2" t="inlineStr">
        <is>
          <t>Fläcknycklar</t>
        </is>
      </c>
      <c r="S65">
        <f>HYPERLINK("https://klasma.github.io/Logging_1907/artfynd/A 22840-2023 artfynd.xlsx", "A 22840-2023")</f>
        <v/>
      </c>
      <c r="T65">
        <f>HYPERLINK("https://klasma.github.io/Logging_1907/kartor/A 22840-2023 karta.png", "A 22840-2023")</f>
        <v/>
      </c>
      <c r="V65">
        <f>HYPERLINK("https://klasma.github.io/Logging_1907/klagomål/A 22840-2023 FSC-klagomål.docx", "A 22840-2023")</f>
        <v/>
      </c>
      <c r="W65">
        <f>HYPERLINK("https://klasma.github.io/Logging_1907/klagomålsmail/A 22840-2023 FSC-klagomål mail.docx", "A 22840-2023")</f>
        <v/>
      </c>
      <c r="X65">
        <f>HYPERLINK("https://klasma.github.io/Logging_1907/tillsyn/A 22840-2023 tillsynsbegäran.docx", "A 22840-2023")</f>
        <v/>
      </c>
      <c r="Y65">
        <f>HYPERLINK("https://klasma.github.io/Logging_1907/tillsynsmail/A 22840-2023 tillsynsbegäran mail.docx", "A 22840-2023")</f>
        <v/>
      </c>
    </row>
    <row r="66" ht="15" customHeight="1">
      <c r="A66" t="inlineStr">
        <is>
          <t>A 30074-2023</t>
        </is>
      </c>
      <c r="B66" s="1" t="n">
        <v>45110</v>
      </c>
      <c r="C66" s="1" t="n">
        <v>45967</v>
      </c>
      <c r="D66" t="inlineStr">
        <is>
          <t>VÄSTMANLANDS LÄN</t>
        </is>
      </c>
      <c r="E66" t="inlineStr">
        <is>
          <t>SURAHAMMAR</t>
        </is>
      </c>
      <c r="F66" t="inlineStr">
        <is>
          <t>Sveaskog</t>
        </is>
      </c>
      <c r="G66" t="n">
        <v>1.1</v>
      </c>
      <c r="H66" t="n">
        <v>1</v>
      </c>
      <c r="I66" t="n">
        <v>0</v>
      </c>
      <c r="J66" t="n">
        <v>0</v>
      </c>
      <c r="K66" t="n">
        <v>0</v>
      </c>
      <c r="L66" t="n">
        <v>0</v>
      </c>
      <c r="M66" t="n">
        <v>0</v>
      </c>
      <c r="N66" t="n">
        <v>0</v>
      </c>
      <c r="O66" t="n">
        <v>0</v>
      </c>
      <c r="P66" t="n">
        <v>0</v>
      </c>
      <c r="Q66" t="n">
        <v>1</v>
      </c>
      <c r="R66" s="2" t="inlineStr">
        <is>
          <t>Revlummer</t>
        </is>
      </c>
      <c r="S66">
        <f>HYPERLINK("https://klasma.github.io/Logging_1907/artfynd/A 30074-2023 artfynd.xlsx", "A 30074-2023")</f>
        <v/>
      </c>
      <c r="T66">
        <f>HYPERLINK("https://klasma.github.io/Logging_1907/kartor/A 30074-2023 karta.png", "A 30074-2023")</f>
        <v/>
      </c>
      <c r="V66">
        <f>HYPERLINK("https://klasma.github.io/Logging_1907/klagomål/A 30074-2023 FSC-klagomål.docx", "A 30074-2023")</f>
        <v/>
      </c>
      <c r="W66">
        <f>HYPERLINK("https://klasma.github.io/Logging_1907/klagomålsmail/A 30074-2023 FSC-klagomål mail.docx", "A 30074-2023")</f>
        <v/>
      </c>
      <c r="X66">
        <f>HYPERLINK("https://klasma.github.io/Logging_1907/tillsyn/A 30074-2023 tillsynsbegäran.docx", "A 30074-2023")</f>
        <v/>
      </c>
      <c r="Y66">
        <f>HYPERLINK("https://klasma.github.io/Logging_1907/tillsynsmail/A 30074-2023 tillsynsbegäran mail.docx", "A 30074-2023")</f>
        <v/>
      </c>
    </row>
    <row r="67" ht="15" customHeight="1">
      <c r="A67" t="inlineStr">
        <is>
          <t>A 13788-2025</t>
        </is>
      </c>
      <c r="B67" s="1" t="n">
        <v>45737.45327546296</v>
      </c>
      <c r="C67" s="1" t="n">
        <v>45967</v>
      </c>
      <c r="D67" t="inlineStr">
        <is>
          <t>VÄSTMANLANDS LÄN</t>
        </is>
      </c>
      <c r="E67" t="inlineStr">
        <is>
          <t>SURAHAMMAR</t>
        </is>
      </c>
      <c r="G67" t="n">
        <v>9.699999999999999</v>
      </c>
      <c r="H67" t="n">
        <v>1</v>
      </c>
      <c r="I67" t="n">
        <v>0</v>
      </c>
      <c r="J67" t="n">
        <v>0</v>
      </c>
      <c r="K67" t="n">
        <v>0</v>
      </c>
      <c r="L67" t="n">
        <v>0</v>
      </c>
      <c r="M67" t="n">
        <v>0</v>
      </c>
      <c r="N67" t="n">
        <v>0</v>
      </c>
      <c r="O67" t="n">
        <v>0</v>
      </c>
      <c r="P67" t="n">
        <v>0</v>
      </c>
      <c r="Q67" t="n">
        <v>1</v>
      </c>
      <c r="R67" s="2" t="inlineStr">
        <is>
          <t>Sparvuggla</t>
        </is>
      </c>
      <c r="S67">
        <f>HYPERLINK("https://klasma.github.io/Logging_1907/artfynd/A 13788-2025 artfynd.xlsx", "A 13788-2025")</f>
        <v/>
      </c>
      <c r="T67">
        <f>HYPERLINK("https://klasma.github.io/Logging_1907/kartor/A 13788-2025 karta.png", "A 13788-2025")</f>
        <v/>
      </c>
      <c r="V67">
        <f>HYPERLINK("https://klasma.github.io/Logging_1907/klagomål/A 13788-2025 FSC-klagomål.docx", "A 13788-2025")</f>
        <v/>
      </c>
      <c r="W67">
        <f>HYPERLINK("https://klasma.github.io/Logging_1907/klagomålsmail/A 13788-2025 FSC-klagomål mail.docx", "A 13788-2025")</f>
        <v/>
      </c>
      <c r="X67">
        <f>HYPERLINK("https://klasma.github.io/Logging_1907/tillsyn/A 13788-2025 tillsynsbegäran.docx", "A 13788-2025")</f>
        <v/>
      </c>
      <c r="Y67">
        <f>HYPERLINK("https://klasma.github.io/Logging_1907/tillsynsmail/A 13788-2025 tillsynsbegäran mail.docx", "A 13788-2025")</f>
        <v/>
      </c>
      <c r="Z67">
        <f>HYPERLINK("https://klasma.github.io/Logging_1907/fåglar/A 13788-2025 prioriterade fågelarter.docx", "A 13788-2025")</f>
        <v/>
      </c>
    </row>
    <row r="68" ht="15" customHeight="1">
      <c r="A68" t="inlineStr">
        <is>
          <t>A 31176-2024</t>
        </is>
      </c>
      <c r="B68" s="1" t="n">
        <v>45503</v>
      </c>
      <c r="C68" s="1" t="n">
        <v>45967</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43451-2024</t>
        </is>
      </c>
      <c r="B69" s="1" t="n">
        <v>45568</v>
      </c>
      <c r="C69" s="1" t="n">
        <v>45967</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1492-2021</t>
        </is>
      </c>
      <c r="B70" s="1" t="n">
        <v>44209</v>
      </c>
      <c r="C70" s="1" t="n">
        <v>45967</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45967</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45967</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45967</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45967</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45967</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45967</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45967</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45967</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45967</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66350-2021</t>
        </is>
      </c>
      <c r="B80" s="1" t="n">
        <v>44518</v>
      </c>
      <c r="C80" s="1" t="n">
        <v>45967</v>
      </c>
      <c r="D80" t="inlineStr">
        <is>
          <t>VÄSTMANLANDS LÄN</t>
        </is>
      </c>
      <c r="E80" t="inlineStr">
        <is>
          <t>SURAHAMMAR</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19846-2022</t>
        </is>
      </c>
      <c r="B81" s="1" t="n">
        <v>44696.89327546296</v>
      </c>
      <c r="C81" s="1" t="n">
        <v>45967</v>
      </c>
      <c r="D81" t="inlineStr">
        <is>
          <t>VÄSTMANLANDS LÄN</t>
        </is>
      </c>
      <c r="E81" t="inlineStr">
        <is>
          <t>SURAHAMMAR</t>
        </is>
      </c>
      <c r="F81" t="inlineStr">
        <is>
          <t>Kommuner</t>
        </is>
      </c>
      <c r="G81" t="n">
        <v>3.4</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45967</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45967</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66342-2021</t>
        </is>
      </c>
      <c r="B84" s="1" t="n">
        <v>44518</v>
      </c>
      <c r="C84" s="1" t="n">
        <v>45967</v>
      </c>
      <c r="D84" t="inlineStr">
        <is>
          <t>VÄSTMANLANDS LÄN</t>
        </is>
      </c>
      <c r="E84" t="inlineStr">
        <is>
          <t>SURAHAMMAR</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45967</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45967</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45967</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45967</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18723-2021</t>
        </is>
      </c>
      <c r="B89" s="1" t="n">
        <v>44306</v>
      </c>
      <c r="C89" s="1" t="n">
        <v>45967</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10883-2023</t>
        </is>
      </c>
      <c r="B90" s="1" t="n">
        <v>44991</v>
      </c>
      <c r="C90" s="1" t="n">
        <v>45967</v>
      </c>
      <c r="D90" t="inlineStr">
        <is>
          <t>VÄSTMANLANDS LÄN</t>
        </is>
      </c>
      <c r="E90" t="inlineStr">
        <is>
          <t>SURAHAMMAR</t>
        </is>
      </c>
      <c r="F90" t="inlineStr">
        <is>
          <t>Övriga Aktiebolag</t>
        </is>
      </c>
      <c r="G90" t="n">
        <v>12.5</v>
      </c>
      <c r="H90" t="n">
        <v>0</v>
      </c>
      <c r="I90" t="n">
        <v>0</v>
      </c>
      <c r="J90" t="n">
        <v>0</v>
      </c>
      <c r="K90" t="n">
        <v>0</v>
      </c>
      <c r="L90" t="n">
        <v>0</v>
      </c>
      <c r="M90" t="n">
        <v>0</v>
      </c>
      <c r="N90" t="n">
        <v>0</v>
      </c>
      <c r="O90" t="n">
        <v>0</v>
      </c>
      <c r="P90" t="n">
        <v>0</v>
      </c>
      <c r="Q90" t="n">
        <v>0</v>
      </c>
      <c r="R90" s="2" t="inlineStr"/>
    </row>
    <row r="91" ht="15" customHeight="1">
      <c r="A91" t="inlineStr">
        <is>
          <t>A 24665-2023</t>
        </is>
      </c>
      <c r="B91" s="1" t="n">
        <v>45084.48592592592</v>
      </c>
      <c r="C91" s="1" t="n">
        <v>45967</v>
      </c>
      <c r="D91" t="inlineStr">
        <is>
          <t>VÄSTMANLANDS LÄN</t>
        </is>
      </c>
      <c r="E91" t="inlineStr">
        <is>
          <t>SURAHAMMAR</t>
        </is>
      </c>
      <c r="G91" t="n">
        <v>0.9</v>
      </c>
      <c r="H91" t="n">
        <v>0</v>
      </c>
      <c r="I91" t="n">
        <v>0</v>
      </c>
      <c r="J91" t="n">
        <v>0</v>
      </c>
      <c r="K91" t="n">
        <v>0</v>
      </c>
      <c r="L91" t="n">
        <v>0</v>
      </c>
      <c r="M91" t="n">
        <v>0</v>
      </c>
      <c r="N91" t="n">
        <v>0</v>
      </c>
      <c r="O91" t="n">
        <v>0</v>
      </c>
      <c r="P91" t="n">
        <v>0</v>
      </c>
      <c r="Q91" t="n">
        <v>0</v>
      </c>
      <c r="R91" s="2" t="inlineStr"/>
    </row>
    <row r="92" ht="15" customHeight="1">
      <c r="A92" t="inlineStr">
        <is>
          <t>A 24167-2024</t>
        </is>
      </c>
      <c r="B92" s="1" t="n">
        <v>45456</v>
      </c>
      <c r="C92" s="1" t="n">
        <v>45967</v>
      </c>
      <c r="D92" t="inlineStr">
        <is>
          <t>VÄSTMANLANDS LÄN</t>
        </is>
      </c>
      <c r="E92" t="inlineStr">
        <is>
          <t>SURAHAMMAR</t>
        </is>
      </c>
      <c r="G92" t="n">
        <v>0.6</v>
      </c>
      <c r="H92" t="n">
        <v>0</v>
      </c>
      <c r="I92" t="n">
        <v>0</v>
      </c>
      <c r="J92" t="n">
        <v>0</v>
      </c>
      <c r="K92" t="n">
        <v>0</v>
      </c>
      <c r="L92" t="n">
        <v>0</v>
      </c>
      <c r="M92" t="n">
        <v>0</v>
      </c>
      <c r="N92" t="n">
        <v>0</v>
      </c>
      <c r="O92" t="n">
        <v>0</v>
      </c>
      <c r="P92" t="n">
        <v>0</v>
      </c>
      <c r="Q92" t="n">
        <v>0</v>
      </c>
      <c r="R92" s="2" t="inlineStr"/>
    </row>
    <row r="93" ht="15" customHeight="1">
      <c r="A93" t="inlineStr">
        <is>
          <t>A 32808-2024</t>
        </is>
      </c>
      <c r="B93" s="1" t="n">
        <v>45516</v>
      </c>
      <c r="C93" s="1" t="n">
        <v>45967</v>
      </c>
      <c r="D93" t="inlineStr">
        <is>
          <t>VÄSTMANLANDS LÄN</t>
        </is>
      </c>
      <c r="E93" t="inlineStr">
        <is>
          <t>SURAHAMMAR</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72367-2021</t>
        </is>
      </c>
      <c r="B94" s="1" t="n">
        <v>44545</v>
      </c>
      <c r="C94" s="1" t="n">
        <v>45967</v>
      </c>
      <c r="D94" t="inlineStr">
        <is>
          <t>VÄSTMANLANDS LÄN</t>
        </is>
      </c>
      <c r="E94" t="inlineStr">
        <is>
          <t>SURAHAMMAR</t>
        </is>
      </c>
      <c r="G94" t="n">
        <v>2.5</v>
      </c>
      <c r="H94" t="n">
        <v>0</v>
      </c>
      <c r="I94" t="n">
        <v>0</v>
      </c>
      <c r="J94" t="n">
        <v>0</v>
      </c>
      <c r="K94" t="n">
        <v>0</v>
      </c>
      <c r="L94" t="n">
        <v>0</v>
      </c>
      <c r="M94" t="n">
        <v>0</v>
      </c>
      <c r="N94" t="n">
        <v>0</v>
      </c>
      <c r="O94" t="n">
        <v>0</v>
      </c>
      <c r="P94" t="n">
        <v>0</v>
      </c>
      <c r="Q94" t="n">
        <v>0</v>
      </c>
      <c r="R94" s="2" t="inlineStr"/>
    </row>
    <row r="95" ht="15" customHeight="1">
      <c r="A95" t="inlineStr">
        <is>
          <t>A 34957-2022</t>
        </is>
      </c>
      <c r="B95" s="1" t="n">
        <v>44796.64672453704</v>
      </c>
      <c r="C95" s="1" t="n">
        <v>45967</v>
      </c>
      <c r="D95" t="inlineStr">
        <is>
          <t>VÄSTMANLANDS LÄN</t>
        </is>
      </c>
      <c r="E95" t="inlineStr">
        <is>
          <t>SURAHAMMAR</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7787-2024</t>
        </is>
      </c>
      <c r="B96" s="1" t="n">
        <v>45348</v>
      </c>
      <c r="C96" s="1" t="n">
        <v>45967</v>
      </c>
      <c r="D96" t="inlineStr">
        <is>
          <t>VÄSTMANLANDS LÄN</t>
        </is>
      </c>
      <c r="E96" t="inlineStr">
        <is>
          <t>SURAHAMMAR</t>
        </is>
      </c>
      <c r="G96" t="n">
        <v>1</v>
      </c>
      <c r="H96" t="n">
        <v>0</v>
      </c>
      <c r="I96" t="n">
        <v>0</v>
      </c>
      <c r="J96" t="n">
        <v>0</v>
      </c>
      <c r="K96" t="n">
        <v>0</v>
      </c>
      <c r="L96" t="n">
        <v>0</v>
      </c>
      <c r="M96" t="n">
        <v>0</v>
      </c>
      <c r="N96" t="n">
        <v>0</v>
      </c>
      <c r="O96" t="n">
        <v>0</v>
      </c>
      <c r="P96" t="n">
        <v>0</v>
      </c>
      <c r="Q96" t="n">
        <v>0</v>
      </c>
      <c r="R96" s="2" t="inlineStr"/>
    </row>
    <row r="97" ht="15" customHeight="1">
      <c r="A97" t="inlineStr">
        <is>
          <t>A 21509-2024</t>
        </is>
      </c>
      <c r="B97" s="1" t="n">
        <v>45441</v>
      </c>
      <c r="C97" s="1" t="n">
        <v>45967</v>
      </c>
      <c r="D97" t="inlineStr">
        <is>
          <t>VÄSTMANLANDS LÄN</t>
        </is>
      </c>
      <c r="E97" t="inlineStr">
        <is>
          <t>SURAHAMMAR</t>
        </is>
      </c>
      <c r="F97" t="inlineStr">
        <is>
          <t>Bergvik skog väst AB</t>
        </is>
      </c>
      <c r="G97" t="n">
        <v>3.9</v>
      </c>
      <c r="H97" t="n">
        <v>0</v>
      </c>
      <c r="I97" t="n">
        <v>0</v>
      </c>
      <c r="J97" t="n">
        <v>0</v>
      </c>
      <c r="K97" t="n">
        <v>0</v>
      </c>
      <c r="L97" t="n">
        <v>0</v>
      </c>
      <c r="M97" t="n">
        <v>0</v>
      </c>
      <c r="N97" t="n">
        <v>0</v>
      </c>
      <c r="O97" t="n">
        <v>0</v>
      </c>
      <c r="P97" t="n">
        <v>0</v>
      </c>
      <c r="Q97" t="n">
        <v>0</v>
      </c>
      <c r="R97" s="2" t="inlineStr"/>
    </row>
    <row r="98" ht="15" customHeight="1">
      <c r="A98" t="inlineStr">
        <is>
          <t>A 42832-2022</t>
        </is>
      </c>
      <c r="B98" s="1" t="n">
        <v>44832</v>
      </c>
      <c r="C98" s="1" t="n">
        <v>45967</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42841-2022</t>
        </is>
      </c>
      <c r="B99" s="1" t="n">
        <v>44832</v>
      </c>
      <c r="C99" s="1" t="n">
        <v>45967</v>
      </c>
      <c r="D99" t="inlineStr">
        <is>
          <t>VÄSTMANLANDS LÄN</t>
        </is>
      </c>
      <c r="E99" t="inlineStr">
        <is>
          <t>SURAHAMMAR</t>
        </is>
      </c>
      <c r="G99" t="n">
        <v>1.8</v>
      </c>
      <c r="H99" t="n">
        <v>0</v>
      </c>
      <c r="I99" t="n">
        <v>0</v>
      </c>
      <c r="J99" t="n">
        <v>0</v>
      </c>
      <c r="K99" t="n">
        <v>0</v>
      </c>
      <c r="L99" t="n">
        <v>0</v>
      </c>
      <c r="M99" t="n">
        <v>0</v>
      </c>
      <c r="N99" t="n">
        <v>0</v>
      </c>
      <c r="O99" t="n">
        <v>0</v>
      </c>
      <c r="P99" t="n">
        <v>0</v>
      </c>
      <c r="Q99" t="n">
        <v>0</v>
      </c>
      <c r="R99" s="2" t="inlineStr"/>
    </row>
    <row r="100" ht="15" customHeight="1">
      <c r="A100" t="inlineStr">
        <is>
          <t>A 24158-2023</t>
        </is>
      </c>
      <c r="B100" s="1" t="n">
        <v>45079</v>
      </c>
      <c r="C100" s="1" t="n">
        <v>45967</v>
      </c>
      <c r="D100" t="inlineStr">
        <is>
          <t>VÄSTMANLANDS LÄN</t>
        </is>
      </c>
      <c r="E100" t="inlineStr">
        <is>
          <t>SURAHAMMAR</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3818-2022</t>
        </is>
      </c>
      <c r="B101" s="1" t="n">
        <v>44587</v>
      </c>
      <c r="C101" s="1" t="n">
        <v>45967</v>
      </c>
      <c r="D101" t="inlineStr">
        <is>
          <t>VÄSTMANLANDS LÄN</t>
        </is>
      </c>
      <c r="E101" t="inlineStr">
        <is>
          <t>SURAHAMMAR</t>
        </is>
      </c>
      <c r="G101" t="n">
        <v>2.6</v>
      </c>
      <c r="H101" t="n">
        <v>0</v>
      </c>
      <c r="I101" t="n">
        <v>0</v>
      </c>
      <c r="J101" t="n">
        <v>0</v>
      </c>
      <c r="K101" t="n">
        <v>0</v>
      </c>
      <c r="L101" t="n">
        <v>0</v>
      </c>
      <c r="M101" t="n">
        <v>0</v>
      </c>
      <c r="N101" t="n">
        <v>0</v>
      </c>
      <c r="O101" t="n">
        <v>0</v>
      </c>
      <c r="P101" t="n">
        <v>0</v>
      </c>
      <c r="Q101" t="n">
        <v>0</v>
      </c>
      <c r="R101" s="2" t="inlineStr"/>
    </row>
    <row r="102" ht="15" customHeight="1">
      <c r="A102" t="inlineStr">
        <is>
          <t>A 42714-2022</t>
        </is>
      </c>
      <c r="B102" s="1" t="n">
        <v>44832</v>
      </c>
      <c r="C102" s="1" t="n">
        <v>45967</v>
      </c>
      <c r="D102" t="inlineStr">
        <is>
          <t>VÄSTMANLANDS LÄN</t>
        </is>
      </c>
      <c r="E102" t="inlineStr">
        <is>
          <t>SURAHAMMAR</t>
        </is>
      </c>
      <c r="G102" t="n">
        <v>1.1</v>
      </c>
      <c r="H102" t="n">
        <v>0</v>
      </c>
      <c r="I102" t="n">
        <v>0</v>
      </c>
      <c r="J102" t="n">
        <v>0</v>
      </c>
      <c r="K102" t="n">
        <v>0</v>
      </c>
      <c r="L102" t="n">
        <v>0</v>
      </c>
      <c r="M102" t="n">
        <v>0</v>
      </c>
      <c r="N102" t="n">
        <v>0</v>
      </c>
      <c r="O102" t="n">
        <v>0</v>
      </c>
      <c r="P102" t="n">
        <v>0</v>
      </c>
      <c r="Q102" t="n">
        <v>0</v>
      </c>
      <c r="R102" s="2" t="inlineStr"/>
    </row>
    <row r="103" ht="15" customHeight="1">
      <c r="A103" t="inlineStr">
        <is>
          <t>A 37287-2023</t>
        </is>
      </c>
      <c r="B103" s="1" t="n">
        <v>45156</v>
      </c>
      <c r="C103" s="1" t="n">
        <v>45967</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49058-2024</t>
        </is>
      </c>
      <c r="B104" s="1" t="n">
        <v>45594</v>
      </c>
      <c r="C104" s="1" t="n">
        <v>45967</v>
      </c>
      <c r="D104" t="inlineStr">
        <is>
          <t>VÄSTMANLANDS LÄN</t>
        </is>
      </c>
      <c r="E104" t="inlineStr">
        <is>
          <t>SURAHAMMAR</t>
        </is>
      </c>
      <c r="F104" t="inlineStr">
        <is>
          <t>Sveaskog</t>
        </is>
      </c>
      <c r="G104" t="n">
        <v>11.4</v>
      </c>
      <c r="H104" t="n">
        <v>0</v>
      </c>
      <c r="I104" t="n">
        <v>0</v>
      </c>
      <c r="J104" t="n">
        <v>0</v>
      </c>
      <c r="K104" t="n">
        <v>0</v>
      </c>
      <c r="L104" t="n">
        <v>0</v>
      </c>
      <c r="M104" t="n">
        <v>0</v>
      </c>
      <c r="N104" t="n">
        <v>0</v>
      </c>
      <c r="O104" t="n">
        <v>0</v>
      </c>
      <c r="P104" t="n">
        <v>0</v>
      </c>
      <c r="Q104" t="n">
        <v>0</v>
      </c>
      <c r="R104" s="2" t="inlineStr"/>
    </row>
    <row r="105" ht="15" customHeight="1">
      <c r="A105" t="inlineStr">
        <is>
          <t>A 49060-2024</t>
        </is>
      </c>
      <c r="B105" s="1" t="n">
        <v>45594</v>
      </c>
      <c r="C105" s="1" t="n">
        <v>45967</v>
      </c>
      <c r="D105" t="inlineStr">
        <is>
          <t>VÄSTMANLANDS LÄN</t>
        </is>
      </c>
      <c r="E105" t="inlineStr">
        <is>
          <t>SURAHAMMAR</t>
        </is>
      </c>
      <c r="F105" t="inlineStr">
        <is>
          <t>Sveaskog</t>
        </is>
      </c>
      <c r="G105" t="n">
        <v>4.4</v>
      </c>
      <c r="H105" t="n">
        <v>0</v>
      </c>
      <c r="I105" t="n">
        <v>0</v>
      </c>
      <c r="J105" t="n">
        <v>0</v>
      </c>
      <c r="K105" t="n">
        <v>0</v>
      </c>
      <c r="L105" t="n">
        <v>0</v>
      </c>
      <c r="M105" t="n">
        <v>0</v>
      </c>
      <c r="N105" t="n">
        <v>0</v>
      </c>
      <c r="O105" t="n">
        <v>0</v>
      </c>
      <c r="P105" t="n">
        <v>0</v>
      </c>
      <c r="Q105" t="n">
        <v>0</v>
      </c>
      <c r="R105" s="2" t="inlineStr"/>
    </row>
    <row r="106" ht="15" customHeight="1">
      <c r="A106" t="inlineStr">
        <is>
          <t>A 13119-2022</t>
        </is>
      </c>
      <c r="B106" s="1" t="n">
        <v>44643</v>
      </c>
      <c r="C106" s="1" t="n">
        <v>45967</v>
      </c>
      <c r="D106" t="inlineStr">
        <is>
          <t>VÄSTMANLANDS LÄN</t>
        </is>
      </c>
      <c r="E106" t="inlineStr">
        <is>
          <t>SURAHAMMAR</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19782-2023</t>
        </is>
      </c>
      <c r="B107" s="1" t="n">
        <v>45050</v>
      </c>
      <c r="C107" s="1" t="n">
        <v>45967</v>
      </c>
      <c r="D107" t="inlineStr">
        <is>
          <t>VÄSTMANLANDS LÄN</t>
        </is>
      </c>
      <c r="E107" t="inlineStr">
        <is>
          <t>SURAHAMMAR</t>
        </is>
      </c>
      <c r="F107" t="inlineStr">
        <is>
          <t>Bergvik skog väst AB</t>
        </is>
      </c>
      <c r="G107" t="n">
        <v>5.2</v>
      </c>
      <c r="H107" t="n">
        <v>0</v>
      </c>
      <c r="I107" t="n">
        <v>0</v>
      </c>
      <c r="J107" t="n">
        <v>0</v>
      </c>
      <c r="K107" t="n">
        <v>0</v>
      </c>
      <c r="L107" t="n">
        <v>0</v>
      </c>
      <c r="M107" t="n">
        <v>0</v>
      </c>
      <c r="N107" t="n">
        <v>0</v>
      </c>
      <c r="O107" t="n">
        <v>0</v>
      </c>
      <c r="P107" t="n">
        <v>0</v>
      </c>
      <c r="Q107" t="n">
        <v>0</v>
      </c>
      <c r="R107" s="2" t="inlineStr"/>
    </row>
    <row r="108" ht="15" customHeight="1">
      <c r="A108" t="inlineStr">
        <is>
          <t>A 19099-2022</t>
        </is>
      </c>
      <c r="B108" s="1" t="n">
        <v>44691</v>
      </c>
      <c r="C108" s="1" t="n">
        <v>45967</v>
      </c>
      <c r="D108" t="inlineStr">
        <is>
          <t>VÄSTMANLANDS LÄN</t>
        </is>
      </c>
      <c r="E108" t="inlineStr">
        <is>
          <t>SURAHAMMAR</t>
        </is>
      </c>
      <c r="F108" t="inlineStr">
        <is>
          <t>Övriga Aktiebolag</t>
        </is>
      </c>
      <c r="G108" t="n">
        <v>3.4</v>
      </c>
      <c r="H108" t="n">
        <v>0</v>
      </c>
      <c r="I108" t="n">
        <v>0</v>
      </c>
      <c r="J108" t="n">
        <v>0</v>
      </c>
      <c r="K108" t="n">
        <v>0</v>
      </c>
      <c r="L108" t="n">
        <v>0</v>
      </c>
      <c r="M108" t="n">
        <v>0</v>
      </c>
      <c r="N108" t="n">
        <v>0</v>
      </c>
      <c r="O108" t="n">
        <v>0</v>
      </c>
      <c r="P108" t="n">
        <v>0</v>
      </c>
      <c r="Q108" t="n">
        <v>0</v>
      </c>
      <c r="R108" s="2" t="inlineStr"/>
    </row>
    <row r="109" ht="15" customHeight="1">
      <c r="A109" t="inlineStr">
        <is>
          <t>A 14626-2023</t>
        </is>
      </c>
      <c r="B109" s="1" t="n">
        <v>45012</v>
      </c>
      <c r="C109" s="1" t="n">
        <v>45967</v>
      </c>
      <c r="D109" t="inlineStr">
        <is>
          <t>VÄSTMANLANDS LÄN</t>
        </is>
      </c>
      <c r="E109" t="inlineStr">
        <is>
          <t>SURAHAMMAR</t>
        </is>
      </c>
      <c r="F109" t="inlineStr">
        <is>
          <t>Bergvik skog väst AB</t>
        </is>
      </c>
      <c r="G109" t="n">
        <v>5</v>
      </c>
      <c r="H109" t="n">
        <v>0</v>
      </c>
      <c r="I109" t="n">
        <v>0</v>
      </c>
      <c r="J109" t="n">
        <v>0</v>
      </c>
      <c r="K109" t="n">
        <v>0</v>
      </c>
      <c r="L109" t="n">
        <v>0</v>
      </c>
      <c r="M109" t="n">
        <v>0</v>
      </c>
      <c r="N109" t="n">
        <v>0</v>
      </c>
      <c r="O109" t="n">
        <v>0</v>
      </c>
      <c r="P109" t="n">
        <v>0</v>
      </c>
      <c r="Q109" t="n">
        <v>0</v>
      </c>
      <c r="R109" s="2" t="inlineStr"/>
    </row>
    <row r="110" ht="15" customHeight="1">
      <c r="A110" t="inlineStr">
        <is>
          <t>A 8553-2023</t>
        </is>
      </c>
      <c r="B110" s="1" t="n">
        <v>44977</v>
      </c>
      <c r="C110" s="1" t="n">
        <v>45967</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25780-2023</t>
        </is>
      </c>
      <c r="B111" s="1" t="n">
        <v>45090.47523148148</v>
      </c>
      <c r="C111" s="1" t="n">
        <v>45967</v>
      </c>
      <c r="D111" t="inlineStr">
        <is>
          <t>VÄSTMANLANDS LÄN</t>
        </is>
      </c>
      <c r="E111" t="inlineStr">
        <is>
          <t>SURAHAMMAR</t>
        </is>
      </c>
      <c r="G111" t="n">
        <v>2.8</v>
      </c>
      <c r="H111" t="n">
        <v>0</v>
      </c>
      <c r="I111" t="n">
        <v>0</v>
      </c>
      <c r="J111" t="n">
        <v>0</v>
      </c>
      <c r="K111" t="n">
        <v>0</v>
      </c>
      <c r="L111" t="n">
        <v>0</v>
      </c>
      <c r="M111" t="n">
        <v>0</v>
      </c>
      <c r="N111" t="n">
        <v>0</v>
      </c>
      <c r="O111" t="n">
        <v>0</v>
      </c>
      <c r="P111" t="n">
        <v>0</v>
      </c>
      <c r="Q111" t="n">
        <v>0</v>
      </c>
      <c r="R111" s="2" t="inlineStr"/>
    </row>
    <row r="112" ht="15" customHeight="1">
      <c r="A112" t="inlineStr">
        <is>
          <t>A 56378-2023</t>
        </is>
      </c>
      <c r="B112" s="1" t="n">
        <v>45236</v>
      </c>
      <c r="C112" s="1" t="n">
        <v>45967</v>
      </c>
      <c r="D112" t="inlineStr">
        <is>
          <t>VÄSTMANLANDS LÄN</t>
        </is>
      </c>
      <c r="E112" t="inlineStr">
        <is>
          <t>SURAHAMMAR</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11728-2023</t>
        </is>
      </c>
      <c r="B113" s="1" t="n">
        <v>44993</v>
      </c>
      <c r="C113" s="1" t="n">
        <v>45967</v>
      </c>
      <c r="D113" t="inlineStr">
        <is>
          <t>VÄSTMANLANDS LÄN</t>
        </is>
      </c>
      <c r="E113" t="inlineStr">
        <is>
          <t>SURAHAMMAR</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13386-2025</t>
        </is>
      </c>
      <c r="B114" s="1" t="n">
        <v>45735</v>
      </c>
      <c r="C114" s="1" t="n">
        <v>45967</v>
      </c>
      <c r="D114" t="inlineStr">
        <is>
          <t>VÄSTMANLANDS LÄN</t>
        </is>
      </c>
      <c r="E114" t="inlineStr">
        <is>
          <t>SURAHAMMAR</t>
        </is>
      </c>
      <c r="F114" t="inlineStr">
        <is>
          <t>Bergvik skog väst AB</t>
        </is>
      </c>
      <c r="G114" t="n">
        <v>4</v>
      </c>
      <c r="H114" t="n">
        <v>0</v>
      </c>
      <c r="I114" t="n">
        <v>0</v>
      </c>
      <c r="J114" t="n">
        <v>0</v>
      </c>
      <c r="K114" t="n">
        <v>0</v>
      </c>
      <c r="L114" t="n">
        <v>0</v>
      </c>
      <c r="M114" t="n">
        <v>0</v>
      </c>
      <c r="N114" t="n">
        <v>0</v>
      </c>
      <c r="O114" t="n">
        <v>0</v>
      </c>
      <c r="P114" t="n">
        <v>0</v>
      </c>
      <c r="Q114" t="n">
        <v>0</v>
      </c>
      <c r="R114" s="2" t="inlineStr"/>
    </row>
    <row r="115" ht="15" customHeight="1">
      <c r="A115" t="inlineStr">
        <is>
          <t>A 35682-2022</t>
        </is>
      </c>
      <c r="B115" s="1" t="n">
        <v>44799.60422453703</v>
      </c>
      <c r="C115" s="1" t="n">
        <v>45967</v>
      </c>
      <c r="D115" t="inlineStr">
        <is>
          <t>VÄSTMANLANDS LÄN</t>
        </is>
      </c>
      <c r="E115" t="inlineStr">
        <is>
          <t>SURAHAMMAR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11501-2023</t>
        </is>
      </c>
      <c r="B116" s="1" t="n">
        <v>44991</v>
      </c>
      <c r="C116" s="1" t="n">
        <v>45967</v>
      </c>
      <c r="D116" t="inlineStr">
        <is>
          <t>VÄSTMANLANDS LÄN</t>
        </is>
      </c>
      <c r="E116" t="inlineStr">
        <is>
          <t>SURAHAMMAR</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16013-2023</t>
        </is>
      </c>
      <c r="B117" s="1" t="n">
        <v>45026</v>
      </c>
      <c r="C117" s="1" t="n">
        <v>45967</v>
      </c>
      <c r="D117" t="inlineStr">
        <is>
          <t>VÄSTMANLANDS LÄN</t>
        </is>
      </c>
      <c r="E117" t="inlineStr">
        <is>
          <t>SURAHAMMAR</t>
        </is>
      </c>
      <c r="G117" t="n">
        <v>3.9</v>
      </c>
      <c r="H117" t="n">
        <v>0</v>
      </c>
      <c r="I117" t="n">
        <v>0</v>
      </c>
      <c r="J117" t="n">
        <v>0</v>
      </c>
      <c r="K117" t="n">
        <v>0</v>
      </c>
      <c r="L117" t="n">
        <v>0</v>
      </c>
      <c r="M117" t="n">
        <v>0</v>
      </c>
      <c r="N117" t="n">
        <v>0</v>
      </c>
      <c r="O117" t="n">
        <v>0</v>
      </c>
      <c r="P117" t="n">
        <v>0</v>
      </c>
      <c r="Q117" t="n">
        <v>0</v>
      </c>
      <c r="R117" s="2" t="inlineStr"/>
    </row>
    <row r="118" ht="15" customHeight="1">
      <c r="A118" t="inlineStr">
        <is>
          <t>A 20904-2023</t>
        </is>
      </c>
      <c r="B118" s="1" t="n">
        <v>45060</v>
      </c>
      <c r="C118" s="1" t="n">
        <v>45967</v>
      </c>
      <c r="D118" t="inlineStr">
        <is>
          <t>VÄSTMANLANDS LÄN</t>
        </is>
      </c>
      <c r="E118" t="inlineStr">
        <is>
          <t>SURAHAMMAR</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2867-2024</t>
        </is>
      </c>
      <c r="B119" s="1" t="n">
        <v>45315</v>
      </c>
      <c r="C119" s="1" t="n">
        <v>45967</v>
      </c>
      <c r="D119" t="inlineStr">
        <is>
          <t>VÄSTMANLANDS LÄN</t>
        </is>
      </c>
      <c r="E119" t="inlineStr">
        <is>
          <t>SURAHAMMAR</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34582-2025</t>
        </is>
      </c>
      <c r="B120" s="1" t="n">
        <v>45846</v>
      </c>
      <c r="C120" s="1" t="n">
        <v>45967</v>
      </c>
      <c r="D120" t="inlineStr">
        <is>
          <t>VÄSTMANLANDS LÄN</t>
        </is>
      </c>
      <c r="E120" t="inlineStr">
        <is>
          <t>SURAHAMMAR</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42829-2022</t>
        </is>
      </c>
      <c r="B121" s="1" t="n">
        <v>44832</v>
      </c>
      <c r="C121" s="1" t="n">
        <v>45967</v>
      </c>
      <c r="D121" t="inlineStr">
        <is>
          <t>VÄSTMANLANDS LÄN</t>
        </is>
      </c>
      <c r="E121" t="inlineStr">
        <is>
          <t>SURAHAMMAR</t>
        </is>
      </c>
      <c r="G121" t="n">
        <v>1.6</v>
      </c>
      <c r="H121" t="n">
        <v>0</v>
      </c>
      <c r="I121" t="n">
        <v>0</v>
      </c>
      <c r="J121" t="n">
        <v>0</v>
      </c>
      <c r="K121" t="n">
        <v>0</v>
      </c>
      <c r="L121" t="n">
        <v>0</v>
      </c>
      <c r="M121" t="n">
        <v>0</v>
      </c>
      <c r="N121" t="n">
        <v>0</v>
      </c>
      <c r="O121" t="n">
        <v>0</v>
      </c>
      <c r="P121" t="n">
        <v>0</v>
      </c>
      <c r="Q121" t="n">
        <v>0</v>
      </c>
      <c r="R121" s="2" t="inlineStr"/>
    </row>
    <row r="122" ht="15" customHeight="1">
      <c r="A122" t="inlineStr">
        <is>
          <t>A 2660-2024</t>
        </is>
      </c>
      <c r="B122" s="1" t="n">
        <v>45310</v>
      </c>
      <c r="C122" s="1" t="n">
        <v>45967</v>
      </c>
      <c r="D122" t="inlineStr">
        <is>
          <t>VÄSTMANLANDS LÄN</t>
        </is>
      </c>
      <c r="E122" t="inlineStr">
        <is>
          <t>SURAHAMMAR</t>
        </is>
      </c>
      <c r="G122" t="n">
        <v>2.1</v>
      </c>
      <c r="H122" t="n">
        <v>0</v>
      </c>
      <c r="I122" t="n">
        <v>0</v>
      </c>
      <c r="J122" t="n">
        <v>0</v>
      </c>
      <c r="K122" t="n">
        <v>0</v>
      </c>
      <c r="L122" t="n">
        <v>0</v>
      </c>
      <c r="M122" t="n">
        <v>0</v>
      </c>
      <c r="N122" t="n">
        <v>0</v>
      </c>
      <c r="O122" t="n">
        <v>0</v>
      </c>
      <c r="P122" t="n">
        <v>0</v>
      </c>
      <c r="Q122" t="n">
        <v>0</v>
      </c>
      <c r="R122" s="2" t="inlineStr"/>
    </row>
    <row r="123" ht="15" customHeight="1">
      <c r="A123" t="inlineStr">
        <is>
          <t>A 34955-2022</t>
        </is>
      </c>
      <c r="B123" s="1" t="n">
        <v>44796</v>
      </c>
      <c r="C123" s="1" t="n">
        <v>45967</v>
      </c>
      <c r="D123" t="inlineStr">
        <is>
          <t>VÄSTMANLANDS LÄN</t>
        </is>
      </c>
      <c r="E123" t="inlineStr">
        <is>
          <t>SURAHAMMAR</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41555-2022</t>
        </is>
      </c>
      <c r="B124" s="1" t="n">
        <v>44826</v>
      </c>
      <c r="C124" s="1" t="n">
        <v>45967</v>
      </c>
      <c r="D124" t="inlineStr">
        <is>
          <t>VÄSTMANLANDS LÄN</t>
        </is>
      </c>
      <c r="E124" t="inlineStr">
        <is>
          <t>SURAHAMMAR</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5567-2022</t>
        </is>
      </c>
      <c r="B125" s="1" t="n">
        <v>44595</v>
      </c>
      <c r="C125" s="1" t="n">
        <v>45967</v>
      </c>
      <c r="D125" t="inlineStr">
        <is>
          <t>VÄSTMANLANDS LÄN</t>
        </is>
      </c>
      <c r="E125" t="inlineStr">
        <is>
          <t>SURAHAMMAR</t>
        </is>
      </c>
      <c r="G125" t="n">
        <v>1.3</v>
      </c>
      <c r="H125" t="n">
        <v>0</v>
      </c>
      <c r="I125" t="n">
        <v>0</v>
      </c>
      <c r="J125" t="n">
        <v>0</v>
      </c>
      <c r="K125" t="n">
        <v>0</v>
      </c>
      <c r="L125" t="n">
        <v>0</v>
      </c>
      <c r="M125" t="n">
        <v>0</v>
      </c>
      <c r="N125" t="n">
        <v>0</v>
      </c>
      <c r="O125" t="n">
        <v>0</v>
      </c>
      <c r="P125" t="n">
        <v>0</v>
      </c>
      <c r="Q125" t="n">
        <v>0</v>
      </c>
      <c r="R125" s="2" t="inlineStr"/>
    </row>
    <row r="126" ht="15" customHeight="1">
      <c r="A126" t="inlineStr">
        <is>
          <t>A 41576-2022</t>
        </is>
      </c>
      <c r="B126" s="1" t="n">
        <v>44826</v>
      </c>
      <c r="C126" s="1" t="n">
        <v>45967</v>
      </c>
      <c r="D126" t="inlineStr">
        <is>
          <t>VÄSTMANLANDS LÄN</t>
        </is>
      </c>
      <c r="E126" t="inlineStr">
        <is>
          <t>SURAHAMMAR</t>
        </is>
      </c>
      <c r="F126" t="inlineStr">
        <is>
          <t>Bergvik skog väst AB</t>
        </is>
      </c>
      <c r="G126" t="n">
        <v>6.4</v>
      </c>
      <c r="H126" t="n">
        <v>0</v>
      </c>
      <c r="I126" t="n">
        <v>0</v>
      </c>
      <c r="J126" t="n">
        <v>0</v>
      </c>
      <c r="K126" t="n">
        <v>0</v>
      </c>
      <c r="L126" t="n">
        <v>0</v>
      </c>
      <c r="M126" t="n">
        <v>0</v>
      </c>
      <c r="N126" t="n">
        <v>0</v>
      </c>
      <c r="O126" t="n">
        <v>0</v>
      </c>
      <c r="P126" t="n">
        <v>0</v>
      </c>
      <c r="Q126" t="n">
        <v>0</v>
      </c>
      <c r="R126" s="2" t="inlineStr"/>
    </row>
    <row r="127" ht="15" customHeight="1">
      <c r="A127" t="inlineStr">
        <is>
          <t>A 37798-2021</t>
        </is>
      </c>
      <c r="B127" s="1" t="n">
        <v>44402</v>
      </c>
      <c r="C127" s="1" t="n">
        <v>45967</v>
      </c>
      <c r="D127" t="inlineStr">
        <is>
          <t>VÄSTMANLANDS LÄN</t>
        </is>
      </c>
      <c r="E127" t="inlineStr">
        <is>
          <t>SURAHAMMAR</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42088-2025</t>
        </is>
      </c>
      <c r="B128" s="1" t="n">
        <v>45902</v>
      </c>
      <c r="C128" s="1" t="n">
        <v>45967</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48205-2023</t>
        </is>
      </c>
      <c r="B129" s="1" t="n">
        <v>45205</v>
      </c>
      <c r="C129" s="1" t="n">
        <v>45967</v>
      </c>
      <c r="D129" t="inlineStr">
        <is>
          <t>VÄSTMANLANDS LÄN</t>
        </is>
      </c>
      <c r="E129" t="inlineStr">
        <is>
          <t>SURAHAMMAR</t>
        </is>
      </c>
      <c r="F129" t="inlineStr">
        <is>
          <t>Allmännings- och besparingsskogar</t>
        </is>
      </c>
      <c r="G129" t="n">
        <v>7.6</v>
      </c>
      <c r="H129" t="n">
        <v>0</v>
      </c>
      <c r="I129" t="n">
        <v>0</v>
      </c>
      <c r="J129" t="n">
        <v>0</v>
      </c>
      <c r="K129" t="n">
        <v>0</v>
      </c>
      <c r="L129" t="n">
        <v>0</v>
      </c>
      <c r="M129" t="n">
        <v>0</v>
      </c>
      <c r="N129" t="n">
        <v>0</v>
      </c>
      <c r="O129" t="n">
        <v>0</v>
      </c>
      <c r="P129" t="n">
        <v>0</v>
      </c>
      <c r="Q129" t="n">
        <v>0</v>
      </c>
      <c r="R129" s="2" t="inlineStr"/>
    </row>
    <row r="130" ht="15" customHeight="1">
      <c r="A130" t="inlineStr">
        <is>
          <t>A 15739-2023</t>
        </is>
      </c>
      <c r="B130" s="1" t="n">
        <v>45021</v>
      </c>
      <c r="C130" s="1" t="n">
        <v>45967</v>
      </c>
      <c r="D130" t="inlineStr">
        <is>
          <t>VÄSTMANLANDS LÄN</t>
        </is>
      </c>
      <c r="E130" t="inlineStr">
        <is>
          <t>SURAHAMMAR</t>
        </is>
      </c>
      <c r="G130" t="n">
        <v>1.3</v>
      </c>
      <c r="H130" t="n">
        <v>0</v>
      </c>
      <c r="I130" t="n">
        <v>0</v>
      </c>
      <c r="J130" t="n">
        <v>0</v>
      </c>
      <c r="K130" t="n">
        <v>0</v>
      </c>
      <c r="L130" t="n">
        <v>0</v>
      </c>
      <c r="M130" t="n">
        <v>0</v>
      </c>
      <c r="N130" t="n">
        <v>0</v>
      </c>
      <c r="O130" t="n">
        <v>0</v>
      </c>
      <c r="P130" t="n">
        <v>0</v>
      </c>
      <c r="Q130" t="n">
        <v>0</v>
      </c>
      <c r="R130" s="2" t="inlineStr"/>
    </row>
    <row r="131" ht="15" customHeight="1">
      <c r="A131" t="inlineStr">
        <is>
          <t>A 33931-2022</t>
        </is>
      </c>
      <c r="B131" s="1" t="n">
        <v>44790.65153935185</v>
      </c>
      <c r="C131" s="1" t="n">
        <v>45967</v>
      </c>
      <c r="D131" t="inlineStr">
        <is>
          <t>VÄSTMANLANDS LÄN</t>
        </is>
      </c>
      <c r="E131" t="inlineStr">
        <is>
          <t>SURAHAMMAR</t>
        </is>
      </c>
      <c r="G131" t="n">
        <v>2.2</v>
      </c>
      <c r="H131" t="n">
        <v>0</v>
      </c>
      <c r="I131" t="n">
        <v>0</v>
      </c>
      <c r="J131" t="n">
        <v>0</v>
      </c>
      <c r="K131" t="n">
        <v>0</v>
      </c>
      <c r="L131" t="n">
        <v>0</v>
      </c>
      <c r="M131" t="n">
        <v>0</v>
      </c>
      <c r="N131" t="n">
        <v>0</v>
      </c>
      <c r="O131" t="n">
        <v>0</v>
      </c>
      <c r="P131" t="n">
        <v>0</v>
      </c>
      <c r="Q131" t="n">
        <v>0</v>
      </c>
      <c r="R131" s="2" t="inlineStr"/>
    </row>
    <row r="132" ht="15" customHeight="1">
      <c r="A132" t="inlineStr">
        <is>
          <t>A 38154-2021</t>
        </is>
      </c>
      <c r="B132" s="1" t="n">
        <v>44405.42373842592</v>
      </c>
      <c r="C132" s="1" t="n">
        <v>45967</v>
      </c>
      <c r="D132" t="inlineStr">
        <is>
          <t>VÄSTMANLANDS LÄN</t>
        </is>
      </c>
      <c r="E132" t="inlineStr">
        <is>
          <t>SURAHAMMAR</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22662-2023</t>
        </is>
      </c>
      <c r="B133" s="1" t="n">
        <v>45071</v>
      </c>
      <c r="C133" s="1" t="n">
        <v>45967</v>
      </c>
      <c r="D133" t="inlineStr">
        <is>
          <t>VÄSTMANLANDS LÄN</t>
        </is>
      </c>
      <c r="E133" t="inlineStr">
        <is>
          <t>SURAHAMMAR</t>
        </is>
      </c>
      <c r="F133" t="inlineStr">
        <is>
          <t>Sveaskog</t>
        </is>
      </c>
      <c r="G133" t="n">
        <v>0.6</v>
      </c>
      <c r="H133" t="n">
        <v>0</v>
      </c>
      <c r="I133" t="n">
        <v>0</v>
      </c>
      <c r="J133" t="n">
        <v>0</v>
      </c>
      <c r="K133" t="n">
        <v>0</v>
      </c>
      <c r="L133" t="n">
        <v>0</v>
      </c>
      <c r="M133" t="n">
        <v>0</v>
      </c>
      <c r="N133" t="n">
        <v>0</v>
      </c>
      <c r="O133" t="n">
        <v>0</v>
      </c>
      <c r="P133" t="n">
        <v>0</v>
      </c>
      <c r="Q133" t="n">
        <v>0</v>
      </c>
      <c r="R133" s="2" t="inlineStr"/>
    </row>
    <row r="134" ht="15" customHeight="1">
      <c r="A134" t="inlineStr">
        <is>
          <t>A 3085-2023</t>
        </is>
      </c>
      <c r="B134" s="1" t="n">
        <v>44946</v>
      </c>
      <c r="C134" s="1" t="n">
        <v>45967</v>
      </c>
      <c r="D134" t="inlineStr">
        <is>
          <t>VÄSTMANLANDS LÄN</t>
        </is>
      </c>
      <c r="E134" t="inlineStr">
        <is>
          <t>SURAHAMMAR</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43255-2025</t>
        </is>
      </c>
      <c r="B135" s="1" t="n">
        <v>45910.55325231481</v>
      </c>
      <c r="C135" s="1" t="n">
        <v>45967</v>
      </c>
      <c r="D135" t="inlineStr">
        <is>
          <t>VÄSTMANLANDS LÄN</t>
        </is>
      </c>
      <c r="E135" t="inlineStr">
        <is>
          <t>SURAHAMMAR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31107-2025</t>
        </is>
      </c>
      <c r="B136" s="1" t="n">
        <v>45831</v>
      </c>
      <c r="C136" s="1" t="n">
        <v>45967</v>
      </c>
      <c r="D136" t="inlineStr">
        <is>
          <t>VÄSTMANLANDS LÄN</t>
        </is>
      </c>
      <c r="E136" t="inlineStr">
        <is>
          <t>SURAHAMMAR</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43249-2025</t>
        </is>
      </c>
      <c r="B137" s="1" t="n">
        <v>45910.55059027778</v>
      </c>
      <c r="C137" s="1" t="n">
        <v>45967</v>
      </c>
      <c r="D137" t="inlineStr">
        <is>
          <t>VÄSTMANLANDS LÄN</t>
        </is>
      </c>
      <c r="E137" t="inlineStr">
        <is>
          <t>SURAHAMMAR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7848-2022</t>
        </is>
      </c>
      <c r="B138" s="1" t="n">
        <v>44608.58400462963</v>
      </c>
      <c r="C138" s="1" t="n">
        <v>45967</v>
      </c>
      <c r="D138" t="inlineStr">
        <is>
          <t>VÄSTMANLANDS LÄN</t>
        </is>
      </c>
      <c r="E138" t="inlineStr">
        <is>
          <t>SURAHAMMAR</t>
        </is>
      </c>
      <c r="G138" t="n">
        <v>2.1</v>
      </c>
      <c r="H138" t="n">
        <v>0</v>
      </c>
      <c r="I138" t="n">
        <v>0</v>
      </c>
      <c r="J138" t="n">
        <v>0</v>
      </c>
      <c r="K138" t="n">
        <v>0</v>
      </c>
      <c r="L138" t="n">
        <v>0</v>
      </c>
      <c r="M138" t="n">
        <v>0</v>
      </c>
      <c r="N138" t="n">
        <v>0</v>
      </c>
      <c r="O138" t="n">
        <v>0</v>
      </c>
      <c r="P138" t="n">
        <v>0</v>
      </c>
      <c r="Q138" t="n">
        <v>0</v>
      </c>
      <c r="R138" s="2" t="inlineStr"/>
    </row>
    <row r="139" ht="15" customHeight="1">
      <c r="A139" t="inlineStr">
        <is>
          <t>A 30076-2023</t>
        </is>
      </c>
      <c r="B139" s="1" t="n">
        <v>45110</v>
      </c>
      <c r="C139" s="1" t="n">
        <v>45967</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16608-2022</t>
        </is>
      </c>
      <c r="B140" s="1" t="n">
        <v>44672</v>
      </c>
      <c r="C140" s="1" t="n">
        <v>45967</v>
      </c>
      <c r="D140" t="inlineStr">
        <is>
          <t>VÄSTMANLANDS LÄN</t>
        </is>
      </c>
      <c r="E140" t="inlineStr">
        <is>
          <t>SURAHAMMAR</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47785-2021</t>
        </is>
      </c>
      <c r="B141" s="1" t="n">
        <v>44448</v>
      </c>
      <c r="C141" s="1" t="n">
        <v>45967</v>
      </c>
      <c r="D141" t="inlineStr">
        <is>
          <t>VÄSTMANLANDS LÄN</t>
        </is>
      </c>
      <c r="E141" t="inlineStr">
        <is>
          <t>SURAHAMMAR</t>
        </is>
      </c>
      <c r="F141" t="inlineStr">
        <is>
          <t>Kommuner</t>
        </is>
      </c>
      <c r="G141" t="n">
        <v>3.3</v>
      </c>
      <c r="H141" t="n">
        <v>0</v>
      </c>
      <c r="I141" t="n">
        <v>0</v>
      </c>
      <c r="J141" t="n">
        <v>0</v>
      </c>
      <c r="K141" t="n">
        <v>0</v>
      </c>
      <c r="L141" t="n">
        <v>0</v>
      </c>
      <c r="M141" t="n">
        <v>0</v>
      </c>
      <c r="N141" t="n">
        <v>0</v>
      </c>
      <c r="O141" t="n">
        <v>0</v>
      </c>
      <c r="P141" t="n">
        <v>0</v>
      </c>
      <c r="Q141" t="n">
        <v>0</v>
      </c>
      <c r="R141" s="2" t="inlineStr"/>
    </row>
    <row r="142" ht="15" customHeight="1">
      <c r="A142" t="inlineStr">
        <is>
          <t>A 15743-2023</t>
        </is>
      </c>
      <c r="B142" s="1" t="n">
        <v>45021</v>
      </c>
      <c r="C142" s="1" t="n">
        <v>45967</v>
      </c>
      <c r="D142" t="inlineStr">
        <is>
          <t>VÄSTMANLANDS LÄN</t>
        </is>
      </c>
      <c r="E142" t="inlineStr">
        <is>
          <t>SURAHAMMAR</t>
        </is>
      </c>
      <c r="G142" t="n">
        <v>0.5</v>
      </c>
      <c r="H142" t="n">
        <v>0</v>
      </c>
      <c r="I142" t="n">
        <v>0</v>
      </c>
      <c r="J142" t="n">
        <v>0</v>
      </c>
      <c r="K142" t="n">
        <v>0</v>
      </c>
      <c r="L142" t="n">
        <v>0</v>
      </c>
      <c r="M142" t="n">
        <v>0</v>
      </c>
      <c r="N142" t="n">
        <v>0</v>
      </c>
      <c r="O142" t="n">
        <v>0</v>
      </c>
      <c r="P142" t="n">
        <v>0</v>
      </c>
      <c r="Q142" t="n">
        <v>0</v>
      </c>
      <c r="R142" s="2" t="inlineStr"/>
    </row>
    <row r="143" ht="15" customHeight="1">
      <c r="A143" t="inlineStr">
        <is>
          <t>A 25450-2024</t>
        </is>
      </c>
      <c r="B143" s="1" t="n">
        <v>45463</v>
      </c>
      <c r="C143" s="1" t="n">
        <v>45967</v>
      </c>
      <c r="D143" t="inlineStr">
        <is>
          <t>VÄSTMANLANDS LÄN</t>
        </is>
      </c>
      <c r="E143" t="inlineStr">
        <is>
          <t>SURAHAMMAR</t>
        </is>
      </c>
      <c r="F143" t="inlineStr">
        <is>
          <t>Bergvik skog väst AB</t>
        </is>
      </c>
      <c r="G143" t="n">
        <v>2.4</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44662.89638888889</v>
      </c>
      <c r="C144" s="1" t="n">
        <v>45967</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19786-2023</t>
        </is>
      </c>
      <c r="B145" s="1" t="n">
        <v>45050</v>
      </c>
      <c r="C145" s="1" t="n">
        <v>45967</v>
      </c>
      <c r="D145" t="inlineStr">
        <is>
          <t>VÄSTMANLANDS LÄN</t>
        </is>
      </c>
      <c r="E145" t="inlineStr">
        <is>
          <t>SURAHAMMAR</t>
        </is>
      </c>
      <c r="F145" t="inlineStr">
        <is>
          <t>Bergvik skog väst AB</t>
        </is>
      </c>
      <c r="G145" t="n">
        <v>8.1</v>
      </c>
      <c r="H145" t="n">
        <v>0</v>
      </c>
      <c r="I145" t="n">
        <v>0</v>
      </c>
      <c r="J145" t="n">
        <v>0</v>
      </c>
      <c r="K145" t="n">
        <v>0</v>
      </c>
      <c r="L145" t="n">
        <v>0</v>
      </c>
      <c r="M145" t="n">
        <v>0</v>
      </c>
      <c r="N145" t="n">
        <v>0</v>
      </c>
      <c r="O145" t="n">
        <v>0</v>
      </c>
      <c r="P145" t="n">
        <v>0</v>
      </c>
      <c r="Q145" t="n">
        <v>0</v>
      </c>
      <c r="R145" s="2" t="inlineStr"/>
    </row>
    <row r="146" ht="15" customHeight="1">
      <c r="A146" t="inlineStr">
        <is>
          <t>A 34584-2025</t>
        </is>
      </c>
      <c r="B146" s="1" t="n">
        <v>45846</v>
      </c>
      <c r="C146" s="1" t="n">
        <v>45967</v>
      </c>
      <c r="D146" t="inlineStr">
        <is>
          <t>VÄSTMANLANDS LÄN</t>
        </is>
      </c>
      <c r="E146" t="inlineStr">
        <is>
          <t>SURAHAMMAR</t>
        </is>
      </c>
      <c r="F146" t="inlineStr">
        <is>
          <t>Bergvik skog väst AB</t>
        </is>
      </c>
      <c r="G146" t="n">
        <v>2.7</v>
      </c>
      <c r="H146" t="n">
        <v>0</v>
      </c>
      <c r="I146" t="n">
        <v>0</v>
      </c>
      <c r="J146" t="n">
        <v>0</v>
      </c>
      <c r="K146" t="n">
        <v>0</v>
      </c>
      <c r="L146" t="n">
        <v>0</v>
      </c>
      <c r="M146" t="n">
        <v>0</v>
      </c>
      <c r="N146" t="n">
        <v>0</v>
      </c>
      <c r="O146" t="n">
        <v>0</v>
      </c>
      <c r="P146" t="n">
        <v>0</v>
      </c>
      <c r="Q146" t="n">
        <v>0</v>
      </c>
      <c r="R146" s="2" t="inlineStr"/>
    </row>
    <row r="147" ht="15" customHeight="1">
      <c r="A147" t="inlineStr">
        <is>
          <t>A 32910-2025</t>
        </is>
      </c>
      <c r="B147" s="1" t="n">
        <v>45839</v>
      </c>
      <c r="C147" s="1" t="n">
        <v>45967</v>
      </c>
      <c r="D147" t="inlineStr">
        <is>
          <t>VÄSTMANLANDS LÄN</t>
        </is>
      </c>
      <c r="E147" t="inlineStr">
        <is>
          <t>SURAHAMMAR</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32916-2025</t>
        </is>
      </c>
      <c r="B148" s="1" t="n">
        <v>45839</v>
      </c>
      <c r="C148" s="1" t="n">
        <v>45967</v>
      </c>
      <c r="D148" t="inlineStr">
        <is>
          <t>VÄSTMANLANDS LÄN</t>
        </is>
      </c>
      <c r="E148" t="inlineStr">
        <is>
          <t>SURAHAMMAR</t>
        </is>
      </c>
      <c r="F148" t="inlineStr">
        <is>
          <t>Kommuner</t>
        </is>
      </c>
      <c r="G148" t="n">
        <v>4.9</v>
      </c>
      <c r="H148" t="n">
        <v>0</v>
      </c>
      <c r="I148" t="n">
        <v>0</v>
      </c>
      <c r="J148" t="n">
        <v>0</v>
      </c>
      <c r="K148" t="n">
        <v>0</v>
      </c>
      <c r="L148" t="n">
        <v>0</v>
      </c>
      <c r="M148" t="n">
        <v>0</v>
      </c>
      <c r="N148" t="n">
        <v>0</v>
      </c>
      <c r="O148" t="n">
        <v>0</v>
      </c>
      <c r="P148" t="n">
        <v>0</v>
      </c>
      <c r="Q148" t="n">
        <v>0</v>
      </c>
      <c r="R148" s="2" t="inlineStr"/>
    </row>
    <row r="149" ht="15" customHeight="1">
      <c r="A149" t="inlineStr">
        <is>
          <t>A 37013-2025</t>
        </is>
      </c>
      <c r="B149" s="1" t="n">
        <v>45874</v>
      </c>
      <c r="C149" s="1" t="n">
        <v>45967</v>
      </c>
      <c r="D149" t="inlineStr">
        <is>
          <t>VÄSTMANLANDS LÄN</t>
        </is>
      </c>
      <c r="E149" t="inlineStr">
        <is>
          <t>SURAHAMMAR</t>
        </is>
      </c>
      <c r="F149" t="inlineStr">
        <is>
          <t>Bergvik skog väst AB</t>
        </is>
      </c>
      <c r="G149" t="n">
        <v>10.7</v>
      </c>
      <c r="H149" t="n">
        <v>0</v>
      </c>
      <c r="I149" t="n">
        <v>0</v>
      </c>
      <c r="J149" t="n">
        <v>0</v>
      </c>
      <c r="K149" t="n">
        <v>0</v>
      </c>
      <c r="L149" t="n">
        <v>0</v>
      </c>
      <c r="M149" t="n">
        <v>0</v>
      </c>
      <c r="N149" t="n">
        <v>0</v>
      </c>
      <c r="O149" t="n">
        <v>0</v>
      </c>
      <c r="P149" t="n">
        <v>0</v>
      </c>
      <c r="Q149" t="n">
        <v>0</v>
      </c>
      <c r="R149" s="2" t="inlineStr"/>
    </row>
    <row r="150">
      <c r="A150" t="inlineStr">
        <is>
          <t>A 37954-2025</t>
        </is>
      </c>
      <c r="B150" s="1" t="n">
        <v>45881</v>
      </c>
      <c r="C150" s="1" t="n">
        <v>45967</v>
      </c>
      <c r="D150" t="inlineStr">
        <is>
          <t>VÄSTMANLANDS LÄN</t>
        </is>
      </c>
      <c r="E150" t="inlineStr">
        <is>
          <t>SURAHAMMAR</t>
        </is>
      </c>
      <c r="G150" t="n">
        <v>9.5</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2025-11-06T10:18:12Z</dcterms:created>
  <dcterms:modified xmlns:dcterms="http://purl.org/dc/terms/" xmlns:xsi="http://www.w3.org/2001/XMLSchema-instance" xsi:type="dcterms:W3CDTF">2025-11-06T10:18:13Z</dcterms:modified>
</cp:coreProperties>
</file>