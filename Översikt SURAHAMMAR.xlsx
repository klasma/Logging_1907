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46040</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46040</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46040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46040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46040</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46040</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20389-2024</t>
        </is>
      </c>
      <c r="B12" s="1" t="n">
        <v>45435</v>
      </c>
      <c r="C12" s="1" t="n">
        <v>46040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46040</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46040</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39594-2025</t>
        </is>
      </c>
      <c r="B19" s="1" t="n">
        <v>45890</v>
      </c>
      <c r="C19" s="1" t="n">
        <v>46040</v>
      </c>
      <c r="D19" t="inlineStr">
        <is>
          <t>VÄSTMANLANDS LÄN</t>
        </is>
      </c>
      <c r="E19" t="inlineStr">
        <is>
          <t>SURAHAMMAR</t>
        </is>
      </c>
      <c r="F19" t="inlineStr">
        <is>
          <t>Bergvik skog väst AB</t>
        </is>
      </c>
      <c r="G19" t="n">
        <v>7</v>
      </c>
      <c r="H19" t="n">
        <v>1</v>
      </c>
      <c r="I19" t="n">
        <v>3</v>
      </c>
      <c r="J19" t="n">
        <v>2</v>
      </c>
      <c r="K19" t="n">
        <v>0</v>
      </c>
      <c r="L19" t="n">
        <v>0</v>
      </c>
      <c r="M19" t="n">
        <v>0</v>
      </c>
      <c r="N19" t="n">
        <v>0</v>
      </c>
      <c r="O19" t="n">
        <v>2</v>
      </c>
      <c r="P19" t="n">
        <v>0</v>
      </c>
      <c r="Q19" t="n">
        <v>5</v>
      </c>
      <c r="R19" s="2" t="inlineStr">
        <is>
          <t>Gropticka
Talltita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56299-2021</t>
        </is>
      </c>
      <c r="B20" s="1" t="n">
        <v>44477</v>
      </c>
      <c r="C20" s="1" t="n">
        <v>46040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66343-2021</t>
        </is>
      </c>
      <c r="B21" s="1" t="n">
        <v>44518</v>
      </c>
      <c r="C21" s="1" t="n">
        <v>46040</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46040</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46040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46040</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46040</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46040</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46040</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39694-2025</t>
        </is>
      </c>
      <c r="B28" s="1" t="n">
        <v>45890</v>
      </c>
      <c r="C28" s="1" t="n">
        <v>46040</v>
      </c>
      <c r="D28" t="inlineStr">
        <is>
          <t>VÄSTMANLANDS LÄN</t>
        </is>
      </c>
      <c r="E28" t="inlineStr">
        <is>
          <t>SURAHAMMAR</t>
        </is>
      </c>
      <c r="F28" t="inlineStr">
        <is>
          <t>Bergvik skog väst AB</t>
        </is>
      </c>
      <c r="G28" t="n">
        <v>2.9</v>
      </c>
      <c r="H28" t="n">
        <v>1</v>
      </c>
      <c r="I28" t="n">
        <v>1</v>
      </c>
      <c r="J28" t="n">
        <v>1</v>
      </c>
      <c r="K28" t="n">
        <v>0</v>
      </c>
      <c r="L28" t="n">
        <v>0</v>
      </c>
      <c r="M28" t="n">
        <v>0</v>
      </c>
      <c r="N28" t="n">
        <v>0</v>
      </c>
      <c r="O28" t="n">
        <v>1</v>
      </c>
      <c r="P28" t="n">
        <v>0</v>
      </c>
      <c r="Q28" t="n">
        <v>3</v>
      </c>
      <c r="R28" s="2" t="inlineStr">
        <is>
          <t>Motaggsvamp
Mindre märgborre
Tjäder</t>
        </is>
      </c>
      <c r="S28">
        <f>HYPERLINK("https://klasma.github.io/Logging_1907/artfynd/A 39694-2025 artfynd.xlsx", "A 39694-2025")</f>
        <v/>
      </c>
      <c r="T28">
        <f>HYPERLINK("https://klasma.github.io/Logging_1907/kartor/A 39694-2025 karta.png", "A 39694-2025")</f>
        <v/>
      </c>
      <c r="V28">
        <f>HYPERLINK("https://klasma.github.io/Logging_1907/klagomål/A 39694-2025 FSC-klagomål.docx", "A 39694-2025")</f>
        <v/>
      </c>
      <c r="W28">
        <f>HYPERLINK("https://klasma.github.io/Logging_1907/klagomålsmail/A 39694-2025 FSC-klagomål mail.docx", "A 39694-2025")</f>
        <v/>
      </c>
      <c r="X28">
        <f>HYPERLINK("https://klasma.github.io/Logging_1907/tillsyn/A 39694-2025 tillsynsbegäran.docx", "A 39694-2025")</f>
        <v/>
      </c>
      <c r="Y28">
        <f>HYPERLINK("https://klasma.github.io/Logging_1907/tillsynsmail/A 39694-2025 tillsynsbegäran mail.docx", "A 39694-2025")</f>
        <v/>
      </c>
      <c r="Z28">
        <f>HYPERLINK("https://klasma.github.io/Logging_1907/fåglar/A 39694-2025 prioriterade fågelarter.docx", "A 39694-2025")</f>
        <v/>
      </c>
    </row>
    <row r="29" ht="15" customHeight="1">
      <c r="A29" t="inlineStr">
        <is>
          <t>A 42860-2022</t>
        </is>
      </c>
      <c r="B29" s="1" t="n">
        <v>44832</v>
      </c>
      <c r="C29" s="1" t="n">
        <v>46040</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46040</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46040</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46040</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46040</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46040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46040</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42853-2022</t>
        </is>
      </c>
      <c r="B36" s="1" t="n">
        <v>44832</v>
      </c>
      <c r="C36" s="1" t="n">
        <v>46040</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46040</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46040</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46040</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4082-2025</t>
        </is>
      </c>
      <c r="B40" s="1" t="n">
        <v>45684</v>
      </c>
      <c r="C40" s="1" t="n">
        <v>46040</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63146-2025</t>
        </is>
      </c>
      <c r="B41" s="1" t="n">
        <v>46009</v>
      </c>
      <c r="C41" s="1" t="n">
        <v>46040</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41576-2022</t>
        </is>
      </c>
      <c r="B42" s="1" t="n">
        <v>44826</v>
      </c>
      <c r="C42" s="1" t="n">
        <v>46040</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37800-2021</t>
        </is>
      </c>
      <c r="B43" s="1" t="n">
        <v>44402</v>
      </c>
      <c r="C43" s="1" t="n">
        <v>46040</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62097-2024</t>
        </is>
      </c>
      <c r="B44" s="1" t="n">
        <v>45646</v>
      </c>
      <c r="C44" s="1" t="n">
        <v>46040</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46040</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46040</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46040</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46040</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46040</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46040</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40411-2021</t>
        </is>
      </c>
      <c r="B51" s="1" t="n">
        <v>44419</v>
      </c>
      <c r="C51" s="1" t="n">
        <v>46040</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33231-2024</t>
        </is>
      </c>
      <c r="B52" s="1" t="n">
        <v>45518</v>
      </c>
      <c r="C52" s="1" t="n">
        <v>46040</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34582-2025</t>
        </is>
      </c>
      <c r="B53" s="1" t="n">
        <v>45846</v>
      </c>
      <c r="C53" s="1" t="n">
        <v>46040</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30074-2023</t>
        </is>
      </c>
      <c r="B54" s="1" t="n">
        <v>45110</v>
      </c>
      <c r="C54" s="1" t="n">
        <v>46040</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56768-2025</t>
        </is>
      </c>
      <c r="B55" s="1" t="n">
        <v>45978</v>
      </c>
      <c r="C55" s="1" t="n">
        <v>46040</v>
      </c>
      <c r="D55" t="inlineStr">
        <is>
          <t>VÄSTMANLANDS LÄN</t>
        </is>
      </c>
      <c r="E55" t="inlineStr">
        <is>
          <t>SURAHAMMAR</t>
        </is>
      </c>
      <c r="F55" t="inlineStr">
        <is>
          <t>Sveaskog</t>
        </is>
      </c>
      <c r="G55" t="n">
        <v>3.8</v>
      </c>
      <c r="H55" t="n">
        <v>0</v>
      </c>
      <c r="I55" t="n">
        <v>0</v>
      </c>
      <c r="J55" t="n">
        <v>1</v>
      </c>
      <c r="K55" t="n">
        <v>0</v>
      </c>
      <c r="L55" t="n">
        <v>0</v>
      </c>
      <c r="M55" t="n">
        <v>0</v>
      </c>
      <c r="N55" t="n">
        <v>0</v>
      </c>
      <c r="O55" t="n">
        <v>1</v>
      </c>
      <c r="P55" t="n">
        <v>0</v>
      </c>
      <c r="Q55" t="n">
        <v>1</v>
      </c>
      <c r="R55" s="2" t="inlineStr">
        <is>
          <t>Motaggsvamp</t>
        </is>
      </c>
      <c r="S55">
        <f>HYPERLINK("https://klasma.github.io/Logging_1907/artfynd/A 56768-2025 artfynd.xlsx", "A 56768-2025")</f>
        <v/>
      </c>
      <c r="T55">
        <f>HYPERLINK("https://klasma.github.io/Logging_1907/kartor/A 56768-2025 karta.png", "A 56768-2025")</f>
        <v/>
      </c>
      <c r="V55">
        <f>HYPERLINK("https://klasma.github.io/Logging_1907/klagomål/A 56768-2025 FSC-klagomål.docx", "A 56768-2025")</f>
        <v/>
      </c>
      <c r="W55">
        <f>HYPERLINK("https://klasma.github.io/Logging_1907/klagomålsmail/A 56768-2025 FSC-klagomål mail.docx", "A 56768-2025")</f>
        <v/>
      </c>
      <c r="X55">
        <f>HYPERLINK("https://klasma.github.io/Logging_1907/tillsyn/A 56768-2025 tillsynsbegäran.docx", "A 56768-2025")</f>
        <v/>
      </c>
      <c r="Y55">
        <f>HYPERLINK("https://klasma.github.io/Logging_1907/tillsynsmail/A 56768-2025 tillsynsbegäran mail.docx", "A 56768-2025")</f>
        <v/>
      </c>
    </row>
    <row r="56" ht="15" customHeight="1">
      <c r="A56" t="inlineStr">
        <is>
          <t>A 42089-2025</t>
        </is>
      </c>
      <c r="B56" s="1" t="n">
        <v>45902</v>
      </c>
      <c r="C56" s="1" t="n">
        <v>46040</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31176-2024</t>
        </is>
      </c>
      <c r="B57" s="1" t="n">
        <v>45503</v>
      </c>
      <c r="C57" s="1" t="n">
        <v>46040</v>
      </c>
      <c r="D57" t="inlineStr">
        <is>
          <t>VÄSTMANLANDS LÄN</t>
        </is>
      </c>
      <c r="E57" t="inlineStr">
        <is>
          <t>SURAHAMMAR</t>
        </is>
      </c>
      <c r="F57" t="inlineStr">
        <is>
          <t>Allmännings- och besparingsskogar</t>
        </is>
      </c>
      <c r="G57" t="n">
        <v>10.7</v>
      </c>
      <c r="H57" t="n">
        <v>0</v>
      </c>
      <c r="I57" t="n">
        <v>0</v>
      </c>
      <c r="J57" t="n">
        <v>1</v>
      </c>
      <c r="K57" t="n">
        <v>0</v>
      </c>
      <c r="L57" t="n">
        <v>0</v>
      </c>
      <c r="M57" t="n">
        <v>0</v>
      </c>
      <c r="N57" t="n">
        <v>0</v>
      </c>
      <c r="O57" t="n">
        <v>1</v>
      </c>
      <c r="P57" t="n">
        <v>0</v>
      </c>
      <c r="Q57" t="n">
        <v>1</v>
      </c>
      <c r="R57" s="2" t="inlineStr">
        <is>
          <t>Doftskinn</t>
        </is>
      </c>
      <c r="S57">
        <f>HYPERLINK("https://klasma.github.io/Logging_1907/artfynd/A 31176-2024 artfynd.xlsx", "A 31176-2024")</f>
        <v/>
      </c>
      <c r="T57">
        <f>HYPERLINK("https://klasma.github.io/Logging_1907/kartor/A 31176-2024 karta.png", "A 31176-2024")</f>
        <v/>
      </c>
      <c r="V57">
        <f>HYPERLINK("https://klasma.github.io/Logging_1907/klagomål/A 31176-2024 FSC-klagomål.docx", "A 31176-2024")</f>
        <v/>
      </c>
      <c r="W57">
        <f>HYPERLINK("https://klasma.github.io/Logging_1907/klagomålsmail/A 31176-2024 FSC-klagomål mail.docx", "A 31176-2024")</f>
        <v/>
      </c>
      <c r="X57">
        <f>HYPERLINK("https://klasma.github.io/Logging_1907/tillsyn/A 31176-2024 tillsynsbegäran.docx", "A 31176-2024")</f>
        <v/>
      </c>
      <c r="Y57">
        <f>HYPERLINK("https://klasma.github.io/Logging_1907/tillsynsmail/A 31176-2024 tillsynsbegäran mail.docx", "A 31176-2024")</f>
        <v/>
      </c>
    </row>
    <row r="58" ht="15" customHeight="1">
      <c r="A58" t="inlineStr">
        <is>
          <t>A 56362-2023</t>
        </is>
      </c>
      <c r="B58" s="1" t="n">
        <v>45236</v>
      </c>
      <c r="C58" s="1" t="n">
        <v>46040</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25583-2024</t>
        </is>
      </c>
      <c r="B59" s="1" t="n">
        <v>45463</v>
      </c>
      <c r="C59" s="1" t="n">
        <v>46040</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46040</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13971-2023</t>
        </is>
      </c>
      <c r="B61" s="1" t="n">
        <v>45007</v>
      </c>
      <c r="C61" s="1" t="n">
        <v>46040</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42765-2022</t>
        </is>
      </c>
      <c r="B62" s="1" t="n">
        <v>44832</v>
      </c>
      <c r="C62" s="1" t="n">
        <v>46040</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44356-2024</t>
        </is>
      </c>
      <c r="B63" s="1" t="n">
        <v>45573</v>
      </c>
      <c r="C63" s="1" t="n">
        <v>46040</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55042-2025</t>
        </is>
      </c>
      <c r="B64" s="1" t="n">
        <v>45967.65858796296</v>
      </c>
      <c r="C64" s="1" t="n">
        <v>46040</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17632-2022</t>
        </is>
      </c>
      <c r="B65" s="1" t="n">
        <v>44680</v>
      </c>
      <c r="C65" s="1" t="n">
        <v>46040</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63145-2025</t>
        </is>
      </c>
      <c r="B66" s="1" t="n">
        <v>46009</v>
      </c>
      <c r="C66" s="1" t="n">
        <v>46040</v>
      </c>
      <c r="D66" t="inlineStr">
        <is>
          <t>VÄSTMANLANDS LÄN</t>
        </is>
      </c>
      <c r="E66" t="inlineStr">
        <is>
          <t>SURAHAMMAR</t>
        </is>
      </c>
      <c r="F66" t="inlineStr">
        <is>
          <t>Bergvik skog väst AB</t>
        </is>
      </c>
      <c r="G66" t="n">
        <v>40.5</v>
      </c>
      <c r="H66" t="n">
        <v>0</v>
      </c>
      <c r="I66" t="n">
        <v>1</v>
      </c>
      <c r="J66" t="n">
        <v>0</v>
      </c>
      <c r="K66" t="n">
        <v>0</v>
      </c>
      <c r="L66" t="n">
        <v>0</v>
      </c>
      <c r="M66" t="n">
        <v>0</v>
      </c>
      <c r="N66" t="n">
        <v>0</v>
      </c>
      <c r="O66" t="n">
        <v>0</v>
      </c>
      <c r="P66" t="n">
        <v>0</v>
      </c>
      <c r="Q66" t="n">
        <v>1</v>
      </c>
      <c r="R66" s="2" t="inlineStr">
        <is>
          <t>Svart trolldruva</t>
        </is>
      </c>
      <c r="S66">
        <f>HYPERLINK("https://klasma.github.io/Logging_1907/artfynd/A 63145-2025 artfynd.xlsx", "A 63145-2025")</f>
        <v/>
      </c>
      <c r="T66">
        <f>HYPERLINK("https://klasma.github.io/Logging_1907/kartor/A 63145-2025 karta.png", "A 63145-2025")</f>
        <v/>
      </c>
      <c r="V66">
        <f>HYPERLINK("https://klasma.github.io/Logging_1907/klagomål/A 63145-2025 FSC-klagomål.docx", "A 63145-2025")</f>
        <v/>
      </c>
      <c r="W66">
        <f>HYPERLINK("https://klasma.github.io/Logging_1907/klagomålsmail/A 63145-2025 FSC-klagomål mail.docx", "A 63145-2025")</f>
        <v/>
      </c>
      <c r="X66">
        <f>HYPERLINK("https://klasma.github.io/Logging_1907/tillsyn/A 63145-2025 tillsynsbegäran.docx", "A 63145-2025")</f>
        <v/>
      </c>
      <c r="Y66">
        <f>HYPERLINK("https://klasma.github.io/Logging_1907/tillsynsmail/A 63145-2025 tillsynsbegäran mail.docx", "A 63145-2025")</f>
        <v/>
      </c>
    </row>
    <row r="67" ht="15" customHeight="1">
      <c r="A67" t="inlineStr">
        <is>
          <t>A 69777-2021</t>
        </is>
      </c>
      <c r="B67" s="1" t="n">
        <v>44532</v>
      </c>
      <c r="C67" s="1" t="n">
        <v>46040</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14001-2023</t>
        </is>
      </c>
      <c r="B68" s="1" t="n">
        <v>45007</v>
      </c>
      <c r="C68" s="1" t="n">
        <v>46040</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47453-2024</t>
        </is>
      </c>
      <c r="B69" s="1" t="n">
        <v>45587.55017361111</v>
      </c>
      <c r="C69" s="1" t="n">
        <v>46040</v>
      </c>
      <c r="D69" t="inlineStr">
        <is>
          <t>VÄSTMANLANDS LÄN</t>
        </is>
      </c>
      <c r="E69" t="inlineStr">
        <is>
          <t>SURAHAMMAR</t>
        </is>
      </c>
      <c r="G69" t="n">
        <v>5.1</v>
      </c>
      <c r="H69" t="n">
        <v>1</v>
      </c>
      <c r="I69" t="n">
        <v>0</v>
      </c>
      <c r="J69" t="n">
        <v>0</v>
      </c>
      <c r="K69" t="n">
        <v>0</v>
      </c>
      <c r="L69" t="n">
        <v>0</v>
      </c>
      <c r="M69" t="n">
        <v>0</v>
      </c>
      <c r="N69" t="n">
        <v>0</v>
      </c>
      <c r="O69" t="n">
        <v>0</v>
      </c>
      <c r="P69" t="n">
        <v>0</v>
      </c>
      <c r="Q69" t="n">
        <v>1</v>
      </c>
      <c r="R69" s="2" t="inlineStr">
        <is>
          <t>Göktyta</t>
        </is>
      </c>
      <c r="S69">
        <f>HYPERLINK("https://klasma.github.io/Logging_1907/artfynd/A 47453-2024 artfynd.xlsx", "A 47453-2024")</f>
        <v/>
      </c>
      <c r="T69">
        <f>HYPERLINK("https://klasma.github.io/Logging_1907/kartor/A 47453-2024 karta.png", "A 47453-2024")</f>
        <v/>
      </c>
      <c r="V69">
        <f>HYPERLINK("https://klasma.github.io/Logging_1907/klagomål/A 47453-2024 FSC-klagomål.docx", "A 47453-2024")</f>
        <v/>
      </c>
      <c r="W69">
        <f>HYPERLINK("https://klasma.github.io/Logging_1907/klagomålsmail/A 47453-2024 FSC-klagomål mail.docx", "A 47453-2024")</f>
        <v/>
      </c>
      <c r="X69">
        <f>HYPERLINK("https://klasma.github.io/Logging_1907/tillsyn/A 47453-2024 tillsynsbegäran.docx", "A 47453-2024")</f>
        <v/>
      </c>
      <c r="Y69">
        <f>HYPERLINK("https://klasma.github.io/Logging_1907/tillsynsmail/A 47453-2024 tillsynsbegäran mail.docx", "A 47453-2024")</f>
        <v/>
      </c>
      <c r="Z69">
        <f>HYPERLINK("https://klasma.github.io/Logging_1907/fåglar/A 47453-2024 prioriterade fågelarter.docx", "A 47453-2024")</f>
        <v/>
      </c>
    </row>
    <row r="70" ht="15" customHeight="1">
      <c r="A70" t="inlineStr">
        <is>
          <t>A 22840-2023</t>
        </is>
      </c>
      <c r="B70" s="1" t="n">
        <v>45072</v>
      </c>
      <c r="C70" s="1" t="n">
        <v>46040</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10819-2024</t>
        </is>
      </c>
      <c r="B71" s="1" t="n">
        <v>45369.66049768519</v>
      </c>
      <c r="C71" s="1" t="n">
        <v>46040</v>
      </c>
      <c r="D71" t="inlineStr">
        <is>
          <t>VÄSTMANLANDS LÄN</t>
        </is>
      </c>
      <c r="E71" t="inlineStr">
        <is>
          <t>SURAHAMMAR</t>
        </is>
      </c>
      <c r="G71" t="n">
        <v>2</v>
      </c>
      <c r="H71" t="n">
        <v>0</v>
      </c>
      <c r="I71" t="n">
        <v>1</v>
      </c>
      <c r="J71" t="n">
        <v>0</v>
      </c>
      <c r="K71" t="n">
        <v>0</v>
      </c>
      <c r="L71" t="n">
        <v>0</v>
      </c>
      <c r="M71" t="n">
        <v>0</v>
      </c>
      <c r="N71" t="n">
        <v>0</v>
      </c>
      <c r="O71" t="n">
        <v>0</v>
      </c>
      <c r="P71" t="n">
        <v>0</v>
      </c>
      <c r="Q71" t="n">
        <v>1</v>
      </c>
      <c r="R71" s="2" t="inlineStr">
        <is>
          <t>Tibast</t>
        </is>
      </c>
      <c r="S71">
        <f>HYPERLINK("https://klasma.github.io/Logging_1907/artfynd/A 10819-2024 artfynd.xlsx", "A 10819-2024")</f>
        <v/>
      </c>
      <c r="T71">
        <f>HYPERLINK("https://klasma.github.io/Logging_1907/kartor/A 10819-2024 karta.png", "A 10819-2024")</f>
        <v/>
      </c>
      <c r="V71">
        <f>HYPERLINK("https://klasma.github.io/Logging_1907/klagomål/A 10819-2024 FSC-klagomål.docx", "A 10819-2024")</f>
        <v/>
      </c>
      <c r="W71">
        <f>HYPERLINK("https://klasma.github.io/Logging_1907/klagomålsmail/A 10819-2024 FSC-klagomål mail.docx", "A 10819-2024")</f>
        <v/>
      </c>
      <c r="X71">
        <f>HYPERLINK("https://klasma.github.io/Logging_1907/tillsyn/A 10819-2024 tillsynsbegäran.docx", "A 10819-2024")</f>
        <v/>
      </c>
      <c r="Y71">
        <f>HYPERLINK("https://klasma.github.io/Logging_1907/tillsynsmail/A 10819-2024 tillsynsbegäran mail.docx", "A 10819-2024")</f>
        <v/>
      </c>
    </row>
    <row r="72" ht="15" customHeight="1">
      <c r="A72" t="inlineStr">
        <is>
          <t>A 43451-2024</t>
        </is>
      </c>
      <c r="B72" s="1" t="n">
        <v>45568</v>
      </c>
      <c r="C72" s="1" t="n">
        <v>46040</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46040</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46040</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46040</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46040</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46040</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46040</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46040</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46040</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46040</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46040</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46040</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46040</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46040</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46040</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46040</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33931-2022</t>
        </is>
      </c>
      <c r="B91" s="1" t="n">
        <v>44790.65153935185</v>
      </c>
      <c r="C91" s="1" t="n">
        <v>46040</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37013-2025</t>
        </is>
      </c>
      <c r="B92" s="1" t="n">
        <v>45874</v>
      </c>
      <c r="C92" s="1" t="n">
        <v>46040</v>
      </c>
      <c r="D92" t="inlineStr">
        <is>
          <t>VÄSTMANLANDS LÄN</t>
        </is>
      </c>
      <c r="E92" t="inlineStr">
        <is>
          <t>SURAHAMMAR</t>
        </is>
      </c>
      <c r="F92" t="inlineStr">
        <is>
          <t>Bergvik skog väst AB</t>
        </is>
      </c>
      <c r="G92" t="n">
        <v>10.7</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46040</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18723-2021</t>
        </is>
      </c>
      <c r="B94" s="1" t="n">
        <v>44306</v>
      </c>
      <c r="C94" s="1" t="n">
        <v>46040</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37954-2025</t>
        </is>
      </c>
      <c r="B95" s="1" t="n">
        <v>45881</v>
      </c>
      <c r="C95" s="1" t="n">
        <v>46040</v>
      </c>
      <c r="D95" t="inlineStr">
        <is>
          <t>VÄSTMANLANDS LÄN</t>
        </is>
      </c>
      <c r="E95" t="inlineStr">
        <is>
          <t>SURAHAMMAR</t>
        </is>
      </c>
      <c r="G95" t="n">
        <v>9.5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46040</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56543-2025</t>
        </is>
      </c>
      <c r="B97" s="1" t="n">
        <v>45975</v>
      </c>
      <c r="C97" s="1" t="n">
        <v>46040</v>
      </c>
      <c r="D97" t="inlineStr">
        <is>
          <t>VÄSTMANLANDS LÄN</t>
        </is>
      </c>
      <c r="E97" t="inlineStr">
        <is>
          <t>SURAHAMMAR</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46040</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21509-2024</t>
        </is>
      </c>
      <c r="B99" s="1" t="n">
        <v>45441</v>
      </c>
      <c r="C99" s="1" t="n">
        <v>46040</v>
      </c>
      <c r="D99" t="inlineStr">
        <is>
          <t>VÄSTMANLANDS LÄN</t>
        </is>
      </c>
      <c r="E99" t="inlineStr">
        <is>
          <t>SURAHAMMAR</t>
        </is>
      </c>
      <c r="F99" t="inlineStr">
        <is>
          <t>Bergvik skog väst AB</t>
        </is>
      </c>
      <c r="G99" t="n">
        <v>3.9</v>
      </c>
      <c r="H99" t="n">
        <v>0</v>
      </c>
      <c r="I99" t="n">
        <v>0</v>
      </c>
      <c r="J99" t="n">
        <v>0</v>
      </c>
      <c r="K99" t="n">
        <v>0</v>
      </c>
      <c r="L99" t="n">
        <v>0</v>
      </c>
      <c r="M99" t="n">
        <v>0</v>
      </c>
      <c r="N99" t="n">
        <v>0</v>
      </c>
      <c r="O99" t="n">
        <v>0</v>
      </c>
      <c r="P99" t="n">
        <v>0</v>
      </c>
      <c r="Q99" t="n">
        <v>0</v>
      </c>
      <c r="R99" s="2" t="inlineStr"/>
    </row>
    <row r="100" ht="15" customHeight="1">
      <c r="A100" t="inlineStr">
        <is>
          <t>A 42832-2022</t>
        </is>
      </c>
      <c r="B100" s="1" t="n">
        <v>44832</v>
      </c>
      <c r="C100" s="1" t="n">
        <v>46040</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46040</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46040</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24158-2023</t>
        </is>
      </c>
      <c r="B103" s="1" t="n">
        <v>45079</v>
      </c>
      <c r="C103" s="1" t="n">
        <v>46040</v>
      </c>
      <c r="D103" t="inlineStr">
        <is>
          <t>VÄSTMANLANDS LÄN</t>
        </is>
      </c>
      <c r="E103" t="inlineStr">
        <is>
          <t>SURAHAMMAR</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46040</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46040</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46040</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25450-2024</t>
        </is>
      </c>
      <c r="B107" s="1" t="n">
        <v>45463</v>
      </c>
      <c r="C107" s="1" t="n">
        <v>46040</v>
      </c>
      <c r="D107" t="inlineStr">
        <is>
          <t>VÄSTMANLANDS LÄN</t>
        </is>
      </c>
      <c r="E107" t="inlineStr">
        <is>
          <t>SURAHAMMAR</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59399-2025</t>
        </is>
      </c>
      <c r="B108" s="1" t="n">
        <v>45989</v>
      </c>
      <c r="C108" s="1" t="n">
        <v>46040</v>
      </c>
      <c r="D108" t="inlineStr">
        <is>
          <t>VÄSTMANLANDS LÄN</t>
        </is>
      </c>
      <c r="E108" t="inlineStr">
        <is>
          <t>SURAHAMMAR</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10883-2023</t>
        </is>
      </c>
      <c r="B109" s="1" t="n">
        <v>44991</v>
      </c>
      <c r="C109" s="1" t="n">
        <v>46040</v>
      </c>
      <c r="D109" t="inlineStr">
        <is>
          <t>VÄSTMANLANDS LÄN</t>
        </is>
      </c>
      <c r="E109" t="inlineStr">
        <is>
          <t>SURAHAMMAR</t>
        </is>
      </c>
      <c r="F109" t="inlineStr">
        <is>
          <t>Övriga Aktiebolag</t>
        </is>
      </c>
      <c r="G109" t="n">
        <v>12.5</v>
      </c>
      <c r="H109" t="n">
        <v>0</v>
      </c>
      <c r="I109" t="n">
        <v>0</v>
      </c>
      <c r="J109" t="n">
        <v>0</v>
      </c>
      <c r="K109" t="n">
        <v>0</v>
      </c>
      <c r="L109" t="n">
        <v>0</v>
      </c>
      <c r="M109" t="n">
        <v>0</v>
      </c>
      <c r="N109" t="n">
        <v>0</v>
      </c>
      <c r="O109" t="n">
        <v>0</v>
      </c>
      <c r="P109" t="n">
        <v>0</v>
      </c>
      <c r="Q109" t="n">
        <v>0</v>
      </c>
      <c r="R109" s="2" t="inlineStr"/>
    </row>
    <row r="110" ht="15" customHeight="1">
      <c r="A110" t="inlineStr">
        <is>
          <t>A 24665-2023</t>
        </is>
      </c>
      <c r="B110" s="1" t="n">
        <v>45084.48592592592</v>
      </c>
      <c r="C110" s="1" t="n">
        <v>46040</v>
      </c>
      <c r="D110" t="inlineStr">
        <is>
          <t>VÄSTMANLANDS LÄN</t>
        </is>
      </c>
      <c r="E110" t="inlineStr">
        <is>
          <t>SURAHAMMAR</t>
        </is>
      </c>
      <c r="G110" t="n">
        <v>0.9</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46040</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56541-2025</t>
        </is>
      </c>
      <c r="B112" s="1" t="n">
        <v>45975</v>
      </c>
      <c r="C112" s="1" t="n">
        <v>46040</v>
      </c>
      <c r="D112" t="inlineStr">
        <is>
          <t>VÄSTMANLANDS LÄN</t>
        </is>
      </c>
      <c r="E112" t="inlineStr">
        <is>
          <t>SURAHAMMAR</t>
        </is>
      </c>
      <c r="F112" t="inlineStr">
        <is>
          <t>Sveaskog</t>
        </is>
      </c>
      <c r="G112" t="n">
        <v>7.6</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46040</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46040</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46040</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49058-2024</t>
        </is>
      </c>
      <c r="B116" s="1" t="n">
        <v>45594</v>
      </c>
      <c r="C116" s="1" t="n">
        <v>46040</v>
      </c>
      <c r="D116" t="inlineStr">
        <is>
          <t>VÄSTMANLANDS LÄN</t>
        </is>
      </c>
      <c r="E116" t="inlineStr">
        <is>
          <t>SURAHAMMAR</t>
        </is>
      </c>
      <c r="F116" t="inlineStr">
        <is>
          <t>Sveaskog</t>
        </is>
      </c>
      <c r="G116" t="n">
        <v>11.4</v>
      </c>
      <c r="H116" t="n">
        <v>0</v>
      </c>
      <c r="I116" t="n">
        <v>0</v>
      </c>
      <c r="J116" t="n">
        <v>0</v>
      </c>
      <c r="K116" t="n">
        <v>0</v>
      </c>
      <c r="L116" t="n">
        <v>0</v>
      </c>
      <c r="M116" t="n">
        <v>0</v>
      </c>
      <c r="N116" t="n">
        <v>0</v>
      </c>
      <c r="O116" t="n">
        <v>0</v>
      </c>
      <c r="P116" t="n">
        <v>0</v>
      </c>
      <c r="Q116" t="n">
        <v>0</v>
      </c>
      <c r="R116" s="2" t="inlineStr"/>
    </row>
    <row r="117" ht="15" customHeight="1">
      <c r="A117" t="inlineStr">
        <is>
          <t>A 49060-2024</t>
        </is>
      </c>
      <c r="B117" s="1" t="n">
        <v>45594</v>
      </c>
      <c r="C117" s="1" t="n">
        <v>46040</v>
      </c>
      <c r="D117" t="inlineStr">
        <is>
          <t>VÄSTMANLANDS LÄN</t>
        </is>
      </c>
      <c r="E117" t="inlineStr">
        <is>
          <t>SURAHAMMAR</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19099-2022</t>
        </is>
      </c>
      <c r="B118" s="1" t="n">
        <v>44691</v>
      </c>
      <c r="C118" s="1" t="n">
        <v>46040</v>
      </c>
      <c r="D118" t="inlineStr">
        <is>
          <t>VÄSTMANLANDS LÄN</t>
        </is>
      </c>
      <c r="E118" t="inlineStr">
        <is>
          <t>SURAHAMMAR</t>
        </is>
      </c>
      <c r="F118" t="inlineStr">
        <is>
          <t>Övriga Aktiebolag</t>
        </is>
      </c>
      <c r="G118" t="n">
        <v>3.4</v>
      </c>
      <c r="H118" t="n">
        <v>0</v>
      </c>
      <c r="I118" t="n">
        <v>0</v>
      </c>
      <c r="J118" t="n">
        <v>0</v>
      </c>
      <c r="K118" t="n">
        <v>0</v>
      </c>
      <c r="L118" t="n">
        <v>0</v>
      </c>
      <c r="M118" t="n">
        <v>0</v>
      </c>
      <c r="N118" t="n">
        <v>0</v>
      </c>
      <c r="O118" t="n">
        <v>0</v>
      </c>
      <c r="P118" t="n">
        <v>0</v>
      </c>
      <c r="Q118" t="n">
        <v>0</v>
      </c>
      <c r="R118" s="2" t="inlineStr"/>
    </row>
    <row r="119" ht="15" customHeight="1">
      <c r="A119" t="inlineStr">
        <is>
          <t>A 25780-2023</t>
        </is>
      </c>
      <c r="B119" s="1" t="n">
        <v>45090.47523148148</v>
      </c>
      <c r="C119" s="1" t="n">
        <v>46040</v>
      </c>
      <c r="D119" t="inlineStr">
        <is>
          <t>VÄSTMANLANDS LÄN</t>
        </is>
      </c>
      <c r="E119" t="inlineStr">
        <is>
          <t>SURAHAMMAR</t>
        </is>
      </c>
      <c r="G119" t="n">
        <v>2.8</v>
      </c>
      <c r="H119" t="n">
        <v>0</v>
      </c>
      <c r="I119" t="n">
        <v>0</v>
      </c>
      <c r="J119" t="n">
        <v>0</v>
      </c>
      <c r="K119" t="n">
        <v>0</v>
      </c>
      <c r="L119" t="n">
        <v>0</v>
      </c>
      <c r="M119" t="n">
        <v>0</v>
      </c>
      <c r="N119" t="n">
        <v>0</v>
      </c>
      <c r="O119" t="n">
        <v>0</v>
      </c>
      <c r="P119" t="n">
        <v>0</v>
      </c>
      <c r="Q119" t="n">
        <v>0</v>
      </c>
      <c r="R119" s="2" t="inlineStr"/>
    </row>
    <row r="120" ht="15" customHeight="1">
      <c r="A120" t="inlineStr">
        <is>
          <t>A 13386-2025</t>
        </is>
      </c>
      <c r="B120" s="1" t="n">
        <v>45735</v>
      </c>
      <c r="C120" s="1" t="n">
        <v>46040</v>
      </c>
      <c r="D120" t="inlineStr">
        <is>
          <t>VÄSTMANLANDS LÄN</t>
        </is>
      </c>
      <c r="E120" t="inlineStr">
        <is>
          <t>SURAHAMMAR</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46040</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32808-2024</t>
        </is>
      </c>
      <c r="B122" s="1" t="n">
        <v>45516</v>
      </c>
      <c r="C122" s="1" t="n">
        <v>46040</v>
      </c>
      <c r="D122" t="inlineStr">
        <is>
          <t>VÄSTMANLANDS LÄN</t>
        </is>
      </c>
      <c r="E122" t="inlineStr">
        <is>
          <t>SURAHAMMAR</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46040</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2660-2024</t>
        </is>
      </c>
      <c r="B124" s="1" t="n">
        <v>45310</v>
      </c>
      <c r="C124" s="1" t="n">
        <v>46040</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41555-2022</t>
        </is>
      </c>
      <c r="B125" s="1" t="n">
        <v>44826</v>
      </c>
      <c r="C125" s="1" t="n">
        <v>46040</v>
      </c>
      <c r="D125" t="inlineStr">
        <is>
          <t>VÄSTMANLANDS LÄN</t>
        </is>
      </c>
      <c r="E125" t="inlineStr">
        <is>
          <t>SURAHAMMAR</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63138-2025</t>
        </is>
      </c>
      <c r="B126" s="1" t="n">
        <v>46009</v>
      </c>
      <c r="C126" s="1" t="n">
        <v>46040</v>
      </c>
      <c r="D126" t="inlineStr">
        <is>
          <t>VÄSTMANLANDS LÄN</t>
        </is>
      </c>
      <c r="E126" t="inlineStr">
        <is>
          <t>SURAHAMMAR</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46040</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3818-2022</t>
        </is>
      </c>
      <c r="B128" s="1" t="n">
        <v>44587</v>
      </c>
      <c r="C128" s="1" t="n">
        <v>46040</v>
      </c>
      <c r="D128" t="inlineStr">
        <is>
          <t>VÄSTMANLANDS LÄN</t>
        </is>
      </c>
      <c r="E128" t="inlineStr">
        <is>
          <t>SURAHAMMAR</t>
        </is>
      </c>
      <c r="G128" t="n">
        <v>2.6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46040</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46040</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46040</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55873-2025</t>
        </is>
      </c>
      <c r="B132" s="1" t="n">
        <v>45973.35608796297</v>
      </c>
      <c r="C132" s="1" t="n">
        <v>46040</v>
      </c>
      <c r="D132" t="inlineStr">
        <is>
          <t>VÄSTMANLANDS LÄN</t>
        </is>
      </c>
      <c r="E132" t="inlineStr">
        <is>
          <t>SURAHAMMAR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46040</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13119-2022</t>
        </is>
      </c>
      <c r="B134" s="1" t="n">
        <v>44643</v>
      </c>
      <c r="C134" s="1" t="n">
        <v>46040</v>
      </c>
      <c r="D134" t="inlineStr">
        <is>
          <t>VÄSTMANLANDS LÄN</t>
        </is>
      </c>
      <c r="E134" t="inlineStr">
        <is>
          <t>SURAHAMMAR</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19782-2023</t>
        </is>
      </c>
      <c r="B135" s="1" t="n">
        <v>45050</v>
      </c>
      <c r="C135" s="1" t="n">
        <v>46040</v>
      </c>
      <c r="D135" t="inlineStr">
        <is>
          <t>VÄSTMANLANDS LÄN</t>
        </is>
      </c>
      <c r="E135" t="inlineStr">
        <is>
          <t>SURAHAMMAR</t>
        </is>
      </c>
      <c r="F135" t="inlineStr">
        <is>
          <t>Bergvik skog väst AB</t>
        </is>
      </c>
      <c r="G135" t="n">
        <v>5.2</v>
      </c>
      <c r="H135" t="n">
        <v>0</v>
      </c>
      <c r="I135" t="n">
        <v>0</v>
      </c>
      <c r="J135" t="n">
        <v>0</v>
      </c>
      <c r="K135" t="n">
        <v>0</v>
      </c>
      <c r="L135" t="n">
        <v>0</v>
      </c>
      <c r="M135" t="n">
        <v>0</v>
      </c>
      <c r="N135" t="n">
        <v>0</v>
      </c>
      <c r="O135" t="n">
        <v>0</v>
      </c>
      <c r="P135" t="n">
        <v>0</v>
      </c>
      <c r="Q135" t="n">
        <v>0</v>
      </c>
      <c r="R135" s="2" t="inlineStr"/>
    </row>
    <row r="136" ht="15" customHeight="1">
      <c r="A136" t="inlineStr">
        <is>
          <t>A 14626-2023</t>
        </is>
      </c>
      <c r="B136" s="1" t="n">
        <v>45012</v>
      </c>
      <c r="C136" s="1" t="n">
        <v>46040</v>
      </c>
      <c r="D136" t="inlineStr">
        <is>
          <t>VÄSTMANLANDS LÄN</t>
        </is>
      </c>
      <c r="E136" t="inlineStr">
        <is>
          <t>SURAHAMMAR</t>
        </is>
      </c>
      <c r="F136" t="inlineStr">
        <is>
          <t>Bergvik skog väst AB</t>
        </is>
      </c>
      <c r="G136" t="n">
        <v>5</v>
      </c>
      <c r="H136" t="n">
        <v>0</v>
      </c>
      <c r="I136" t="n">
        <v>0</v>
      </c>
      <c r="J136" t="n">
        <v>0</v>
      </c>
      <c r="K136" t="n">
        <v>0</v>
      </c>
      <c r="L136" t="n">
        <v>0</v>
      </c>
      <c r="M136" t="n">
        <v>0</v>
      </c>
      <c r="N136" t="n">
        <v>0</v>
      </c>
      <c r="O136" t="n">
        <v>0</v>
      </c>
      <c r="P136" t="n">
        <v>0</v>
      </c>
      <c r="Q136" t="n">
        <v>0</v>
      </c>
      <c r="R136" s="2" t="inlineStr"/>
    </row>
    <row r="137" ht="15" customHeight="1">
      <c r="A137" t="inlineStr">
        <is>
          <t>A 7848-2022</t>
        </is>
      </c>
      <c r="B137" s="1" t="n">
        <v>44608.58400462963</v>
      </c>
      <c r="C137" s="1" t="n">
        <v>46040</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8553-2023</t>
        </is>
      </c>
      <c r="B138" s="1" t="n">
        <v>44977</v>
      </c>
      <c r="C138" s="1" t="n">
        <v>46040</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56378-2023</t>
        </is>
      </c>
      <c r="B139" s="1" t="n">
        <v>45236</v>
      </c>
      <c r="C139" s="1" t="n">
        <v>46040</v>
      </c>
      <c r="D139" t="inlineStr">
        <is>
          <t>VÄSTMANLANDS LÄN</t>
        </is>
      </c>
      <c r="E139" t="inlineStr">
        <is>
          <t>SURAHAMMAR</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16608-2022</t>
        </is>
      </c>
      <c r="B140" s="1" t="n">
        <v>44672</v>
      </c>
      <c r="C140" s="1" t="n">
        <v>46040</v>
      </c>
      <c r="D140" t="inlineStr">
        <is>
          <t>VÄSTMANLANDS LÄN</t>
        </is>
      </c>
      <c r="E140" t="inlineStr">
        <is>
          <t>SURAHAMMAR</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11728-2023</t>
        </is>
      </c>
      <c r="B141" s="1" t="n">
        <v>44993</v>
      </c>
      <c r="C141" s="1" t="n">
        <v>46040</v>
      </c>
      <c r="D141" t="inlineStr">
        <is>
          <t>VÄSTMANLANDS LÄN</t>
        </is>
      </c>
      <c r="E141" t="inlineStr">
        <is>
          <t>SURAHAMMAR</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15743-2023</t>
        </is>
      </c>
      <c r="B142" s="1" t="n">
        <v>45021</v>
      </c>
      <c r="C142" s="1" t="n">
        <v>46040</v>
      </c>
      <c r="D142" t="inlineStr">
        <is>
          <t>VÄSTMANLANDS LÄN</t>
        </is>
      </c>
      <c r="E142" t="inlineStr">
        <is>
          <t>SURAHAMMAR</t>
        </is>
      </c>
      <c r="G142" t="n">
        <v>0.5</v>
      </c>
      <c r="H142" t="n">
        <v>0</v>
      </c>
      <c r="I142" t="n">
        <v>0</v>
      </c>
      <c r="J142" t="n">
        <v>0</v>
      </c>
      <c r="K142" t="n">
        <v>0</v>
      </c>
      <c r="L142" t="n">
        <v>0</v>
      </c>
      <c r="M142" t="n">
        <v>0</v>
      </c>
      <c r="N142" t="n">
        <v>0</v>
      </c>
      <c r="O142" t="n">
        <v>0</v>
      </c>
      <c r="P142" t="n">
        <v>0</v>
      </c>
      <c r="Q142" t="n">
        <v>0</v>
      </c>
      <c r="R142" s="2" t="inlineStr"/>
    </row>
    <row r="143" ht="15" customHeight="1">
      <c r="A143" t="inlineStr">
        <is>
          <t>A 11501-2023</t>
        </is>
      </c>
      <c r="B143" s="1" t="n">
        <v>44991</v>
      </c>
      <c r="C143" s="1" t="n">
        <v>46040</v>
      </c>
      <c r="D143" t="inlineStr">
        <is>
          <t>VÄSTMANLANDS LÄN</t>
        </is>
      </c>
      <c r="E143" t="inlineStr">
        <is>
          <t>SURAHAMMAR</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16013-2023</t>
        </is>
      </c>
      <c r="B144" s="1" t="n">
        <v>45026</v>
      </c>
      <c r="C144" s="1" t="n">
        <v>46040</v>
      </c>
      <c r="D144" t="inlineStr">
        <is>
          <t>VÄSTMANLANDS LÄN</t>
        </is>
      </c>
      <c r="E144" t="inlineStr">
        <is>
          <t>SURAHAMMAR</t>
        </is>
      </c>
      <c r="G144" t="n">
        <v>3.9</v>
      </c>
      <c r="H144" t="n">
        <v>0</v>
      </c>
      <c r="I144" t="n">
        <v>0</v>
      </c>
      <c r="J144" t="n">
        <v>0</v>
      </c>
      <c r="K144" t="n">
        <v>0</v>
      </c>
      <c r="L144" t="n">
        <v>0</v>
      </c>
      <c r="M144" t="n">
        <v>0</v>
      </c>
      <c r="N144" t="n">
        <v>0</v>
      </c>
      <c r="O144" t="n">
        <v>0</v>
      </c>
      <c r="P144" t="n">
        <v>0</v>
      </c>
      <c r="Q144" t="n">
        <v>0</v>
      </c>
      <c r="R144" s="2" t="inlineStr"/>
    </row>
    <row r="145" ht="15" customHeight="1">
      <c r="A145" t="inlineStr">
        <is>
          <t>A 20904-2023</t>
        </is>
      </c>
      <c r="B145" s="1" t="n">
        <v>45060</v>
      </c>
      <c r="C145" s="1" t="n">
        <v>46040</v>
      </c>
      <c r="D145" t="inlineStr">
        <is>
          <t>VÄSTMANLANDS LÄN</t>
        </is>
      </c>
      <c r="E145" t="inlineStr">
        <is>
          <t>SURAHAMMAR</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42829-2022</t>
        </is>
      </c>
      <c r="B146" s="1" t="n">
        <v>44832</v>
      </c>
      <c r="C146" s="1" t="n">
        <v>46040</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34955-2022</t>
        </is>
      </c>
      <c r="B147" s="1" t="n">
        <v>44796</v>
      </c>
      <c r="C147" s="1" t="n">
        <v>46040</v>
      </c>
      <c r="D147" t="inlineStr">
        <is>
          <t>VÄSTMANLANDS LÄN</t>
        </is>
      </c>
      <c r="E147" t="inlineStr">
        <is>
          <t>SURAHAMMAR</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44662.89638888889</v>
      </c>
      <c r="C148" s="1" t="n">
        <v>46040</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19786-2023</t>
        </is>
      </c>
      <c r="B149" s="1" t="n">
        <v>45050</v>
      </c>
      <c r="C149" s="1" t="n">
        <v>46040</v>
      </c>
      <c r="D149" t="inlineStr">
        <is>
          <t>VÄSTMANLANDS LÄN</t>
        </is>
      </c>
      <c r="E149" t="inlineStr">
        <is>
          <t>SURAHAMMAR</t>
        </is>
      </c>
      <c r="F149" t="inlineStr">
        <is>
          <t>Bergvik skog väst AB</t>
        </is>
      </c>
      <c r="G149" t="n">
        <v>8.1</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46040</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48205-2023</t>
        </is>
      </c>
      <c r="B151" s="1" t="n">
        <v>45205</v>
      </c>
      <c r="C151" s="1" t="n">
        <v>46040</v>
      </c>
      <c r="D151" t="inlineStr">
        <is>
          <t>VÄSTMANLANDS LÄN</t>
        </is>
      </c>
      <c r="E151" t="inlineStr">
        <is>
          <t>SURAHAMMAR</t>
        </is>
      </c>
      <c r="F151" t="inlineStr">
        <is>
          <t>Allmännings- och besparingsskogar</t>
        </is>
      </c>
      <c r="G151" t="n">
        <v>7.6</v>
      </c>
      <c r="H151" t="n">
        <v>0</v>
      </c>
      <c r="I151" t="n">
        <v>0</v>
      </c>
      <c r="J151" t="n">
        <v>0</v>
      </c>
      <c r="K151" t="n">
        <v>0</v>
      </c>
      <c r="L151" t="n">
        <v>0</v>
      </c>
      <c r="M151" t="n">
        <v>0</v>
      </c>
      <c r="N151" t="n">
        <v>0</v>
      </c>
      <c r="O151" t="n">
        <v>0</v>
      </c>
      <c r="P151" t="n">
        <v>0</v>
      </c>
      <c r="Q151" t="n">
        <v>0</v>
      </c>
      <c r="R151" s="2" t="inlineStr"/>
    </row>
    <row r="152" ht="15" customHeight="1">
      <c r="A152" t="inlineStr">
        <is>
          <t>A 7787-2024</t>
        </is>
      </c>
      <c r="B152" s="1" t="n">
        <v>45348</v>
      </c>
      <c r="C152" s="1" t="n">
        <v>46040</v>
      </c>
      <c r="D152" t="inlineStr">
        <is>
          <t>VÄSTMANLANDS LÄN</t>
        </is>
      </c>
      <c r="E152" t="inlineStr">
        <is>
          <t>SURAHAMMAR</t>
        </is>
      </c>
      <c r="G152" t="n">
        <v>1</v>
      </c>
      <c r="H152" t="n">
        <v>0</v>
      </c>
      <c r="I152" t="n">
        <v>0</v>
      </c>
      <c r="J152" t="n">
        <v>0</v>
      </c>
      <c r="K152" t="n">
        <v>0</v>
      </c>
      <c r="L152" t="n">
        <v>0</v>
      </c>
      <c r="M152" t="n">
        <v>0</v>
      </c>
      <c r="N152" t="n">
        <v>0</v>
      </c>
      <c r="O152" t="n">
        <v>0</v>
      </c>
      <c r="P152" t="n">
        <v>0</v>
      </c>
      <c r="Q152" t="n">
        <v>0</v>
      </c>
      <c r="R152" s="2" t="inlineStr"/>
    </row>
    <row r="153" ht="15" customHeight="1">
      <c r="A153" t="inlineStr">
        <is>
          <t>A 15739-2023</t>
        </is>
      </c>
      <c r="B153" s="1" t="n">
        <v>45021</v>
      </c>
      <c r="C153" s="1" t="n">
        <v>46040</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38154-2021</t>
        </is>
      </c>
      <c r="B154" s="1" t="n">
        <v>44405.42373842592</v>
      </c>
      <c r="C154" s="1" t="n">
        <v>46040</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34584-2025</t>
        </is>
      </c>
      <c r="B155" s="1" t="n">
        <v>45846</v>
      </c>
      <c r="C155" s="1" t="n">
        <v>46040</v>
      </c>
      <c r="D155" t="inlineStr">
        <is>
          <t>VÄSTMANLANDS LÄN</t>
        </is>
      </c>
      <c r="E155" t="inlineStr">
        <is>
          <t>SURAHAMMAR</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32910-2025</t>
        </is>
      </c>
      <c r="B156" s="1" t="n">
        <v>45839</v>
      </c>
      <c r="C156" s="1" t="n">
        <v>46040</v>
      </c>
      <c r="D156" t="inlineStr">
        <is>
          <t>VÄSTMANLANDS LÄN</t>
        </is>
      </c>
      <c r="E156" t="inlineStr">
        <is>
          <t>SURAHAMMAR</t>
        </is>
      </c>
      <c r="F156" t="inlineStr">
        <is>
          <t>Kommuner</t>
        </is>
      </c>
      <c r="G156" t="n">
        <v>1.1</v>
      </c>
      <c r="H156" t="n">
        <v>0</v>
      </c>
      <c r="I156" t="n">
        <v>0</v>
      </c>
      <c r="J156" t="n">
        <v>0</v>
      </c>
      <c r="K156" t="n">
        <v>0</v>
      </c>
      <c r="L156" t="n">
        <v>0</v>
      </c>
      <c r="M156" t="n">
        <v>0</v>
      </c>
      <c r="N156" t="n">
        <v>0</v>
      </c>
      <c r="O156" t="n">
        <v>0</v>
      </c>
      <c r="P156" t="n">
        <v>0</v>
      </c>
      <c r="Q156" t="n">
        <v>0</v>
      </c>
      <c r="R156" s="2" t="inlineStr"/>
    </row>
    <row r="157">
      <c r="A157" t="inlineStr">
        <is>
          <t>A 32916-2025</t>
        </is>
      </c>
      <c r="B157" s="1" t="n">
        <v>45839</v>
      </c>
      <c r="C157" s="1" t="n">
        <v>46040</v>
      </c>
      <c r="D157" t="inlineStr">
        <is>
          <t>VÄSTMANLANDS LÄN</t>
        </is>
      </c>
      <c r="E157" t="inlineStr">
        <is>
          <t>SURAHAMMAR</t>
        </is>
      </c>
      <c r="F157" t="inlineStr">
        <is>
          <t>Kommuner</t>
        </is>
      </c>
      <c r="G157" t="n">
        <v>4.9</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2026-01-18T10:58:13Z</dcterms:created>
  <dcterms:modified xmlns:dcterms="http://purl.org/dc/terms/" xmlns:xsi="http://www.w3.org/2001/XMLSchema-instance" xsi:type="dcterms:W3CDTF">2026-01-18T10:58:14Z</dcterms:modified>
</cp:coreProperties>
</file>