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46271</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46271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46271</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46271</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46271</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46271</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46271</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46271</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46271</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46271</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46271</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46271</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46271</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46271</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46271</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46271</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46271</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46271</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46271</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46271</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46271</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38172-2024</t>
        </is>
      </c>
      <c r="B30" t="inlineStr">
        <is>
          <t>avverkningsanmälan</t>
        </is>
      </c>
      <c r="C30" t="inlineStr">
        <is>
          <t>Avverkning för att bevara och utveckla /försöksver</t>
        </is>
      </c>
      <c r="D30" s="1" t="n">
        <v>45545</v>
      </c>
      <c r="E30" s="1" t="n">
        <v>46271</v>
      </c>
      <c r="F30" t="inlineStr">
        <is>
          <t>VÄSTMANLANDS LÄN</t>
        </is>
      </c>
      <c r="G30" t="inlineStr">
        <is>
          <t>SURAHAMMAR</t>
        </is>
      </c>
      <c r="H30" t="inlineStr">
        <is>
          <t>Sveaskog</t>
        </is>
      </c>
      <c r="I30" t="n">
        <v>5.2</v>
      </c>
      <c r="J30" t="n">
        <v>5</v>
      </c>
      <c r="K30" t="n">
        <v>0</v>
      </c>
      <c r="L30" t="n">
        <v>3</v>
      </c>
      <c r="M30" t="n">
        <v>1</v>
      </c>
      <c r="N30" t="n">
        <v>0</v>
      </c>
      <c r="O30" t="n">
        <v>0</v>
      </c>
      <c r="P30" t="n">
        <v>0</v>
      </c>
      <c r="Q30" t="n">
        <v>4</v>
      </c>
      <c r="R30" t="n">
        <v>1</v>
      </c>
      <c r="S30" t="n">
        <v>7</v>
      </c>
      <c r="T30" t="n">
        <v>8</v>
      </c>
      <c r="U30" t="n">
        <v>2</v>
      </c>
      <c r="V30" s="2" t="inlineStr">
        <is>
          <t>Knärot
Gropticka
Sädesärla
Vedtrappmossa
Stjärtmes
Lopplummer (aggregat)
Revlummer</t>
        </is>
      </c>
      <c r="W30">
        <f>HYPERLINK("https://klasma.github.io/Logging_1907/artfynd/A 38172-2024 artfynd.xlsx", "A 38172-2024")</f>
        <v/>
      </c>
      <c r="X30">
        <f>HYPERLINK("https://klasma.github.io/Logging_1907/kartor/A 38172-2024 karta.png", "A 38172-2024")</f>
        <v/>
      </c>
      <c r="Y30">
        <f>HYPERLINK("https://klasma.github.io/Logging_1907/kartor_geotiff/A 38172-2024 georefererad karta.tif", "A 38172-2024")</f>
        <v/>
      </c>
      <c r="Z30">
        <f>HYPERLINK("https://klasma.github.io/Logging_1907/knärot/A 38172-2024 karta knärot.png", "A 38172-2024")</f>
        <v/>
      </c>
      <c r="AA30">
        <f>HYPERLINK("https://klasma.github.io/Logging_1907/klagomål/A 38172-2024 FSC-klagomål.docx", "A 38172-2024")</f>
        <v/>
      </c>
      <c r="AB30">
        <f>HYPERLINK("https://klasma.github.io/Logging_1907/klagomålsmail/A 38172-2024 FSC-klagomål mail.docx", "A 38172-2024")</f>
        <v/>
      </c>
      <c r="AC30">
        <f>HYPERLINK("https://klasma.github.io/Logging_1907/tillsyn/A 38172-2024 tillsynsbegäran.docx", "A 38172-2024")</f>
        <v/>
      </c>
      <c r="AD30">
        <f>HYPERLINK("https://klasma.github.io/Logging_1907/tillsynsmail/A 38172-2024 tillsynsbegäran mail.docx", "A 38172-2024")</f>
        <v/>
      </c>
      <c r="AE30">
        <f>HYPERLINK("https://klasma.github.io/Logging_1907/fåglar/A 38172-2024 prioriterade fågelarter.docx", "A 38172-2024")</f>
        <v/>
      </c>
    </row>
    <row r="31" ht="15" customHeight="1">
      <c r="A31" t="inlineStr">
        <is>
          <t>A 36260-2026</t>
        </is>
      </c>
      <c r="B31" t="inlineStr">
        <is>
          <t>avverkningsanmälan</t>
        </is>
      </c>
      <c r="C31" t="inlineStr">
        <is>
          <t>Föryngringsavverkning</t>
        </is>
      </c>
      <c r="D31" s="1" t="n">
        <v>46268</v>
      </c>
      <c r="E31" s="1" t="n">
        <v>46271</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46271</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46271</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46271</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46271</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46271</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46271</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46271</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46271</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46271</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46271</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46271</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46271</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46271</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63146-2025</t>
        </is>
      </c>
      <c r="B47" t="inlineStr">
        <is>
          <t>avverkningsanmälan</t>
        </is>
      </c>
      <c r="C47" t="inlineStr">
        <is>
          <t>Föryngringsavverkning</t>
        </is>
      </c>
      <c r="D47" s="1" t="n">
        <v>46009</v>
      </c>
      <c r="E47" s="1" t="n">
        <v>46271</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46271</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46271</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46271</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46271</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46271</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46271</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46271</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46271</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46271</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46271</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46271</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46271</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46271</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46271</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46271</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46271</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46271</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46271</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46271</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46271</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46271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46271</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46271</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46271</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46271</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46271</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46271</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46271</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46271</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46271</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46271</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46271</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46271</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46271</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31589-2026</t>
        </is>
      </c>
      <c r="B86" t="inlineStr">
        <is>
          <t>avverkningsanmälan</t>
        </is>
      </c>
      <c r="C86" t="inlineStr">
        <is>
          <t>Föryngringsavverkning</t>
        </is>
      </c>
      <c r="D86" s="1" t="n">
        <v>46224</v>
      </c>
      <c r="E86" s="1" t="n">
        <v>46271</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46271</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46271</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46271</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46271</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46271</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46271</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46271</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46271</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46271</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46271</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46271</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46271</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46271</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46271</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46271</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46271</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46271</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46271</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46271</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46271</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4724-2026</t>
        </is>
      </c>
      <c r="B107" t="inlineStr">
        <is>
          <t>avverkningsanmälan</t>
        </is>
      </c>
      <c r="C107" t="inlineStr">
        <is>
          <t>Föryngringsavverkning</t>
        </is>
      </c>
      <c r="D107" s="1" t="n">
        <v>46048</v>
      </c>
      <c r="E107" s="1" t="n">
        <v>46271</v>
      </c>
      <c r="F107" t="inlineStr">
        <is>
          <t>VÄSTMANLANDS LÄN</t>
        </is>
      </c>
      <c r="G107" t="inlineStr">
        <is>
          <t>SURAHAMMAR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4734-2026</t>
        </is>
      </c>
      <c r="B108" t="inlineStr">
        <is>
          <t>avverkningsanmälan</t>
        </is>
      </c>
      <c r="C108" t="inlineStr">
        <is>
          <t>Föryngringsavverkning</t>
        </is>
      </c>
      <c r="D108" s="1" t="n">
        <v>46048</v>
      </c>
      <c r="E108" s="1" t="n">
        <v>46271</v>
      </c>
      <c r="F108" t="inlineStr">
        <is>
          <t>VÄSTMANLANDS LÄN</t>
        </is>
      </c>
      <c r="G108" t="inlineStr">
        <is>
          <t>SURAHAMMAR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46271</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46271</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46271</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46271</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46271</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46271</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46271</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10249-2026</t>
        </is>
      </c>
      <c r="B116" t="inlineStr">
        <is>
          <t>avverkningsanmälan</t>
        </is>
      </c>
      <c r="C116" t="inlineStr">
        <is>
          <t>Föryngringsavverkning</t>
        </is>
      </c>
      <c r="D116" s="1" t="n">
        <v>46076</v>
      </c>
      <c r="E116" s="1" t="n">
        <v>46271</v>
      </c>
      <c r="F116" t="inlineStr">
        <is>
          <t>VÄSTMANLANDS LÄN</t>
        </is>
      </c>
      <c r="G116" t="inlineStr">
        <is>
          <t>SURAHAMMAR</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10244-2026</t>
        </is>
      </c>
      <c r="B117" t="inlineStr">
        <is>
          <t>avverkningsanmälan</t>
        </is>
      </c>
      <c r="C117" t="inlineStr">
        <is>
          <t>Föryngringsavverkning</t>
        </is>
      </c>
      <c r="D117" s="1" t="n">
        <v>46076</v>
      </c>
      <c r="E117" s="1" t="n">
        <v>46271</v>
      </c>
      <c r="F117" t="inlineStr">
        <is>
          <t>VÄSTMANLANDS LÄN</t>
        </is>
      </c>
      <c r="G117" t="inlineStr">
        <is>
          <t>SURAHAMMAR</t>
        </is>
      </c>
      <c r="H117" t="inlineStr">
        <is>
          <t>Allmännings- och besparingsskogar</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10562-2026</t>
        </is>
      </c>
      <c r="B118" t="inlineStr">
        <is>
          <t>avverkningsanmälan</t>
        </is>
      </c>
      <c r="C118" t="inlineStr">
        <is>
          <t>Föryngringsavverkning</t>
        </is>
      </c>
      <c r="D118" s="1" t="n">
        <v>46077</v>
      </c>
      <c r="E118" s="1" t="n">
        <v>46271</v>
      </c>
      <c r="F118" t="inlineStr">
        <is>
          <t>VÄSTMANLANDS LÄN</t>
        </is>
      </c>
      <c r="G118" t="inlineStr">
        <is>
          <t>SURAHAMMAR</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46271</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46271</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12841-2026</t>
        </is>
      </c>
      <c r="B121" t="inlineStr">
        <is>
          <t>avverkningsanmälan</t>
        </is>
      </c>
      <c r="C121" t="inlineStr">
        <is>
          <t>Föryngringsavverkning</t>
        </is>
      </c>
      <c r="D121" s="1" t="n">
        <v>46091</v>
      </c>
      <c r="E121" s="1" t="n">
        <v>46271</v>
      </c>
      <c r="F121" t="inlineStr">
        <is>
          <t>VÄSTMANLANDS LÄN</t>
        </is>
      </c>
      <c r="G121" t="inlineStr">
        <is>
          <t>SURAHAMMAR</t>
        </is>
      </c>
      <c r="H121" t="inlineStr">
        <is>
          <t>Bergvik skog väst AB</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46271</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46271</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19246-2026</t>
        </is>
      </c>
      <c r="B124" t="inlineStr">
        <is>
          <t>avverkningsanmälan</t>
        </is>
      </c>
      <c r="C124" t="inlineStr">
        <is>
          <t>Avverkning för annat ändamål</t>
        </is>
      </c>
      <c r="D124" s="1" t="n">
        <v>46132</v>
      </c>
      <c r="E124" s="1" t="n">
        <v>46271</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32808-2024</t>
        </is>
      </c>
      <c r="B125" t="inlineStr">
        <is>
          <t>avverkningsanmälan</t>
        </is>
      </c>
      <c r="C125" t="inlineStr">
        <is>
          <t>Föryngringsavverkning</t>
        </is>
      </c>
      <c r="D125" s="1" t="n">
        <v>45516</v>
      </c>
      <c r="E125" s="1" t="n">
        <v>46271</v>
      </c>
      <c r="F125" t="inlineStr">
        <is>
          <t>VÄSTMANLANDS LÄN</t>
        </is>
      </c>
      <c r="G125" t="inlineStr">
        <is>
          <t>SURAHAMMAR</t>
        </is>
      </c>
      <c r="H125" t="inlineStr">
        <is>
          <t>Övriga Aktiebolag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14626-2023</t>
        </is>
      </c>
      <c r="B126" t="inlineStr">
        <is>
          <t>avverkningsanmälan</t>
        </is>
      </c>
      <c r="C126" t="inlineStr">
        <is>
          <t>Föryngringsavverkning</t>
        </is>
      </c>
      <c r="D126" s="1" t="n">
        <v>45012</v>
      </c>
      <c r="E126" s="1" t="n">
        <v>46271</v>
      </c>
      <c r="F126" t="inlineStr">
        <is>
          <t>VÄSTMANLANDS LÄN</t>
        </is>
      </c>
      <c r="G126" t="inlineStr">
        <is>
          <t>SURAHAMMAR</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49058-2024</t>
        </is>
      </c>
      <c r="B127" t="inlineStr">
        <is>
          <t>avverkningsanmälan</t>
        </is>
      </c>
      <c r="C127" t="inlineStr">
        <is>
          <t>Föryngringsavverkning</t>
        </is>
      </c>
      <c r="D127" s="1" t="n">
        <v>45594</v>
      </c>
      <c r="E127" s="1" t="n">
        <v>46271</v>
      </c>
      <c r="F127" t="inlineStr">
        <is>
          <t>VÄSTMANLANDS LÄN</t>
        </is>
      </c>
      <c r="G127" t="inlineStr">
        <is>
          <t>SURAHAMMAR</t>
        </is>
      </c>
      <c r="H127" t="inlineStr">
        <is>
          <t>Sveaskog</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20535-2026</t>
        </is>
      </c>
      <c r="B128" t="inlineStr">
        <is>
          <t>avverkningsanmälan</t>
        </is>
      </c>
      <c r="C128" t="inlineStr">
        <is>
          <t>Avverkning för annat ändamål</t>
        </is>
      </c>
      <c r="D128" s="1" t="n">
        <v>46140</v>
      </c>
      <c r="E128" s="1" t="n">
        <v>46271</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46271</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46271</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46271</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46271</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46271</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24201-2026</t>
        </is>
      </c>
      <c r="B134" t="inlineStr">
        <is>
          <t>avverkningsanmälan</t>
        </is>
      </c>
      <c r="C134" t="inlineStr">
        <is>
          <t>Föryngringsavverkning</t>
        </is>
      </c>
      <c r="D134" s="1" t="n">
        <v>46168</v>
      </c>
      <c r="E134" s="1" t="n">
        <v>46271</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46271</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46271</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46271</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46271</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21509-2024</t>
        </is>
      </c>
      <c r="B139" t="inlineStr">
        <is>
          <t>avverkningsanmälan</t>
        </is>
      </c>
      <c r="C139" t="inlineStr">
        <is>
          <t>Föryngringsavverkning</t>
        </is>
      </c>
      <c r="D139" s="1" t="n">
        <v>45441</v>
      </c>
      <c r="E139" s="1" t="n">
        <v>46271</v>
      </c>
      <c r="F139" t="inlineStr">
        <is>
          <t>VÄSTMANLANDS LÄN</t>
        </is>
      </c>
      <c r="G139" t="inlineStr">
        <is>
          <t>SURAHAMMAR</t>
        </is>
      </c>
      <c r="H139" t="inlineStr">
        <is>
          <t>Bergvik skog väst AB</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22662-2023</t>
        </is>
      </c>
      <c r="B140" t="inlineStr">
        <is>
          <t>avverkningsanmälan</t>
        </is>
      </c>
      <c r="C140" t="inlineStr">
        <is>
          <t>Avverkning för att bevara och utveckla /försöksver</t>
        </is>
      </c>
      <c r="D140" s="1" t="n">
        <v>45071</v>
      </c>
      <c r="E140" s="1" t="n">
        <v>46271</v>
      </c>
      <c r="F140" t="inlineStr">
        <is>
          <t>VÄSTMANLANDS LÄN</t>
        </is>
      </c>
      <c r="G140" t="inlineStr">
        <is>
          <t>SURAHAMMAR</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25780-2023</t>
        </is>
      </c>
      <c r="B141" t="inlineStr">
        <is>
          <t>avverkningsanmälan</t>
        </is>
      </c>
      <c r="C141" t="inlineStr">
        <is>
          <t>Föryngringsavverkning</t>
        </is>
      </c>
      <c r="D141" s="1" t="n">
        <v>45090</v>
      </c>
      <c r="E141" s="1" t="n">
        <v>46271</v>
      </c>
      <c r="F141" t="inlineStr">
        <is>
          <t>VÄSTMANLANDS LÄN</t>
        </is>
      </c>
      <c r="G141" t="inlineStr">
        <is>
          <t>SURAHAMMAR</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46271</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31061-2026</t>
        </is>
      </c>
      <c r="B143" t="inlineStr">
        <is>
          <t>avverkningsanmälan</t>
        </is>
      </c>
      <c r="C143" t="inlineStr">
        <is>
          <t>Föryngringsavverkning</t>
        </is>
      </c>
      <c r="D143" s="1" t="n">
        <v>46215</v>
      </c>
      <c r="E143" s="1" t="n">
        <v>46271</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15739-2023</t>
        </is>
      </c>
      <c r="B144" t="inlineStr">
        <is>
          <t>avverkningsanmälan</t>
        </is>
      </c>
      <c r="C144" t="inlineStr">
        <is>
          <t>Föryngringsavverkning</t>
        </is>
      </c>
      <c r="D144" s="1" t="n">
        <v>45021</v>
      </c>
      <c r="E144" s="1" t="n">
        <v>46271</v>
      </c>
      <c r="F144" t="inlineStr">
        <is>
          <t>VÄSTMANLANDS LÄN</t>
        </is>
      </c>
      <c r="G144" t="inlineStr">
        <is>
          <t>SURAHAMMAR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46271</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46271</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46271</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2026-09-06T02:06:56Z</dcterms:created>
  <dcterms:modified xmlns:dcterms="http://purl.org/dc/terms/" xmlns:xsi="http://www.w3.org/2001/XMLSchema-instance" xsi:type="dcterms:W3CDTF">2026-09-06T02:06:56Z</dcterms:modified>
</cp:coreProperties>
</file>