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45905</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45905</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45905</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45905</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45905</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45905</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45905</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45905</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45905</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45905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45905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45905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45905</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45905</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45905</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45905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45905</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45905</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45905</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45905</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45905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45905</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45905</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45905</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45905</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45905</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45905</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48128-2023</t>
        </is>
      </c>
      <c r="B30" s="1" t="n">
        <v>45205</v>
      </c>
      <c r="C30" s="1" t="n">
        <v>45905</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42708-2022</t>
        </is>
      </c>
      <c r="B31" s="1" t="n">
        <v>44832</v>
      </c>
      <c r="C31" s="1" t="n">
        <v>45905</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45905</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45905</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45905</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45905</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45905</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45905</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45905</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45905</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45905</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45905</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45905</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45905</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45905</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25583-2024</t>
        </is>
      </c>
      <c r="B45" s="1" t="n">
        <v>45463</v>
      </c>
      <c r="C45" s="1" t="n">
        <v>45905</v>
      </c>
      <c r="D45" t="inlineStr">
        <is>
          <t>VÄSTMANLANDS LÄN</t>
        </is>
      </c>
      <c r="E45" t="inlineStr">
        <is>
          <t>SURAHAMMAR</t>
        </is>
      </c>
      <c r="F45" t="inlineStr">
        <is>
          <t>Bergvik skog väst AB</t>
        </is>
      </c>
      <c r="G45" t="n">
        <v>7.8</v>
      </c>
      <c r="H45" t="n">
        <v>1</v>
      </c>
      <c r="I45" t="n">
        <v>0</v>
      </c>
      <c r="J45" t="n">
        <v>0</v>
      </c>
      <c r="K45" t="n">
        <v>0</v>
      </c>
      <c r="L45" t="n">
        <v>0</v>
      </c>
      <c r="M45" t="n">
        <v>0</v>
      </c>
      <c r="N45" t="n">
        <v>0</v>
      </c>
      <c r="O45" t="n">
        <v>0</v>
      </c>
      <c r="P45" t="n">
        <v>0</v>
      </c>
      <c r="Q45" t="n">
        <v>1</v>
      </c>
      <c r="R45" s="2" t="inlineStr">
        <is>
          <t>Blåsippa</t>
        </is>
      </c>
      <c r="S45">
        <f>HYPERLINK("https://klasma.github.io/Logging_1907/artfynd/A 25583-2024 artfynd.xlsx", "A 25583-2024")</f>
        <v/>
      </c>
      <c r="T45">
        <f>HYPERLINK("https://klasma.github.io/Logging_1907/kartor/A 25583-2024 karta.png", "A 25583-2024")</f>
        <v/>
      </c>
      <c r="V45">
        <f>HYPERLINK("https://klasma.github.io/Logging_1907/klagomål/A 25583-2024 FSC-klagomål.docx", "A 25583-2024")</f>
        <v/>
      </c>
      <c r="W45">
        <f>HYPERLINK("https://klasma.github.io/Logging_1907/klagomålsmail/A 25583-2024 FSC-klagomål mail.docx", "A 25583-2024")</f>
        <v/>
      </c>
      <c r="X45">
        <f>HYPERLINK("https://klasma.github.io/Logging_1907/tillsyn/A 25583-2024 tillsynsbegäran.docx", "A 25583-2024")</f>
        <v/>
      </c>
      <c r="Y45">
        <f>HYPERLINK("https://klasma.github.io/Logging_1907/tillsynsmail/A 25583-2024 tillsynsbegäran mail.docx", "A 25583-2024")</f>
        <v/>
      </c>
    </row>
    <row r="46" ht="15" customHeight="1">
      <c r="A46" t="inlineStr">
        <is>
          <t>A 39099-2022</t>
        </is>
      </c>
      <c r="B46" s="1" t="n">
        <v>44817</v>
      </c>
      <c r="C46" s="1" t="n">
        <v>45905</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21716-2025</t>
        </is>
      </c>
      <c r="B47" s="1" t="n">
        <v>45783.54804398148</v>
      </c>
      <c r="C47" s="1" t="n">
        <v>45905</v>
      </c>
      <c r="D47" t="inlineStr">
        <is>
          <t>VÄSTMANLANDS LÄN</t>
        </is>
      </c>
      <c r="E47" t="inlineStr">
        <is>
          <t>SURAHAMMAR</t>
        </is>
      </c>
      <c r="F47" t="inlineStr">
        <is>
          <t>Allmännings- och besparingsskogar</t>
        </is>
      </c>
      <c r="G47" t="n">
        <v>21.1</v>
      </c>
      <c r="H47" t="n">
        <v>1</v>
      </c>
      <c r="I47" t="n">
        <v>0</v>
      </c>
      <c r="J47" t="n">
        <v>1</v>
      </c>
      <c r="K47" t="n">
        <v>0</v>
      </c>
      <c r="L47" t="n">
        <v>0</v>
      </c>
      <c r="M47" t="n">
        <v>0</v>
      </c>
      <c r="N47" t="n">
        <v>0</v>
      </c>
      <c r="O47" t="n">
        <v>1</v>
      </c>
      <c r="P47" t="n">
        <v>0</v>
      </c>
      <c r="Q47" t="n">
        <v>1</v>
      </c>
      <c r="R47" s="2" t="inlineStr">
        <is>
          <t>Spillkråka</t>
        </is>
      </c>
      <c r="S47">
        <f>HYPERLINK("https://klasma.github.io/Logging_1907/artfynd/A 21716-2025 artfynd.xlsx", "A 21716-2025")</f>
        <v/>
      </c>
      <c r="T47">
        <f>HYPERLINK("https://klasma.github.io/Logging_1907/kartor/A 21716-2025 karta.png", "A 21716-2025")</f>
        <v/>
      </c>
      <c r="V47">
        <f>HYPERLINK("https://klasma.github.io/Logging_1907/klagomål/A 21716-2025 FSC-klagomål.docx", "A 21716-2025")</f>
        <v/>
      </c>
      <c r="W47">
        <f>HYPERLINK("https://klasma.github.io/Logging_1907/klagomålsmail/A 21716-2025 FSC-klagomål mail.docx", "A 21716-2025")</f>
        <v/>
      </c>
      <c r="X47">
        <f>HYPERLINK("https://klasma.github.io/Logging_1907/tillsyn/A 21716-2025 tillsynsbegäran.docx", "A 21716-2025")</f>
        <v/>
      </c>
      <c r="Y47">
        <f>HYPERLINK("https://klasma.github.io/Logging_1907/tillsynsmail/A 21716-2025 tillsynsbegäran mail.docx", "A 21716-2025")</f>
        <v/>
      </c>
      <c r="Z47">
        <f>HYPERLINK("https://klasma.github.io/Logging_1907/fåglar/A 21716-2025 prioriterade fågelarter.docx", "A 21716-2025")</f>
        <v/>
      </c>
    </row>
    <row r="48" ht="15" customHeight="1">
      <c r="A48" t="inlineStr">
        <is>
          <t>A 13971-2023</t>
        </is>
      </c>
      <c r="B48" s="1" t="n">
        <v>45007</v>
      </c>
      <c r="C48" s="1" t="n">
        <v>45905</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45905</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44356-2024</t>
        </is>
      </c>
      <c r="B50" s="1" t="n">
        <v>45573</v>
      </c>
      <c r="C50" s="1" t="n">
        <v>45905</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69777-2021</t>
        </is>
      </c>
      <c r="B51" s="1" t="n">
        <v>44532</v>
      </c>
      <c r="C51" s="1" t="n">
        <v>45905</v>
      </c>
      <c r="D51" t="inlineStr">
        <is>
          <t>VÄSTMANLANDS LÄN</t>
        </is>
      </c>
      <c r="E51" t="inlineStr">
        <is>
          <t>SURAHAMMAR</t>
        </is>
      </c>
      <c r="G51" t="n">
        <v>2.3</v>
      </c>
      <c r="H51" t="n">
        <v>1</v>
      </c>
      <c r="I51" t="n">
        <v>0</v>
      </c>
      <c r="J51" t="n">
        <v>0</v>
      </c>
      <c r="K51" t="n">
        <v>1</v>
      </c>
      <c r="L51" t="n">
        <v>0</v>
      </c>
      <c r="M51" t="n">
        <v>0</v>
      </c>
      <c r="N51" t="n">
        <v>0</v>
      </c>
      <c r="O51" t="n">
        <v>1</v>
      </c>
      <c r="P51" t="n">
        <v>1</v>
      </c>
      <c r="Q51" t="n">
        <v>1</v>
      </c>
      <c r="R51" s="2" t="inlineStr">
        <is>
          <t>Bombmurkla</t>
        </is>
      </c>
      <c r="S51">
        <f>HYPERLINK("https://klasma.github.io/Logging_1907/artfynd/A 69777-2021 artfynd.xlsx", "A 69777-2021")</f>
        <v/>
      </c>
      <c r="T51">
        <f>HYPERLINK("https://klasma.github.io/Logging_1907/kartor/A 69777-2021 karta.png", "A 69777-2021")</f>
        <v/>
      </c>
      <c r="V51">
        <f>HYPERLINK("https://klasma.github.io/Logging_1907/klagomål/A 69777-2021 FSC-klagomål.docx", "A 69777-2021")</f>
        <v/>
      </c>
      <c r="W51">
        <f>HYPERLINK("https://klasma.github.io/Logging_1907/klagomålsmail/A 69777-2021 FSC-klagomål mail.docx", "A 69777-2021")</f>
        <v/>
      </c>
      <c r="X51">
        <f>HYPERLINK("https://klasma.github.io/Logging_1907/tillsyn/A 69777-2021 tillsynsbegäran.docx", "A 69777-2021")</f>
        <v/>
      </c>
      <c r="Y51">
        <f>HYPERLINK("https://klasma.github.io/Logging_1907/tillsynsmail/A 69777-2021 tillsynsbegäran mail.docx", "A 69777-2021")</f>
        <v/>
      </c>
    </row>
    <row r="52" ht="15" customHeight="1">
      <c r="A52" t="inlineStr">
        <is>
          <t>A 14001-2023</t>
        </is>
      </c>
      <c r="B52" s="1" t="n">
        <v>45007</v>
      </c>
      <c r="C52" s="1" t="n">
        <v>45905</v>
      </c>
      <c r="D52" t="inlineStr">
        <is>
          <t>VÄSTMANLANDS LÄN</t>
        </is>
      </c>
      <c r="E52" t="inlineStr">
        <is>
          <t>SURAHAMMAR</t>
        </is>
      </c>
      <c r="F52" t="inlineStr">
        <is>
          <t>Bergvik skog väst AB</t>
        </is>
      </c>
      <c r="G52" t="n">
        <v>1</v>
      </c>
      <c r="H52" t="n">
        <v>0</v>
      </c>
      <c r="I52" t="n">
        <v>0</v>
      </c>
      <c r="J52" t="n">
        <v>1</v>
      </c>
      <c r="K52" t="n">
        <v>0</v>
      </c>
      <c r="L52" t="n">
        <v>0</v>
      </c>
      <c r="M52" t="n">
        <v>0</v>
      </c>
      <c r="N52" t="n">
        <v>0</v>
      </c>
      <c r="O52" t="n">
        <v>1</v>
      </c>
      <c r="P52" t="n">
        <v>0</v>
      </c>
      <c r="Q52" t="n">
        <v>1</v>
      </c>
      <c r="R52" s="2" t="inlineStr">
        <is>
          <t>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13788-2025</t>
        </is>
      </c>
      <c r="B53" s="1" t="n">
        <v>45737.45327546296</v>
      </c>
      <c r="C53" s="1" t="n">
        <v>45905</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47453-2024</t>
        </is>
      </c>
      <c r="B54" s="1" t="n">
        <v>45587.55017361111</v>
      </c>
      <c r="C54" s="1" t="n">
        <v>45905</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45905</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62097-2024</t>
        </is>
      </c>
      <c r="B56" s="1" t="n">
        <v>45646</v>
      </c>
      <c r="C56" s="1" t="n">
        <v>45905</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17632-2022</t>
        </is>
      </c>
      <c r="B57" s="1" t="n">
        <v>44680</v>
      </c>
      <c r="C57" s="1" t="n">
        <v>45905</v>
      </c>
      <c r="D57" t="inlineStr">
        <is>
          <t>VÄSTMANLANDS LÄN</t>
        </is>
      </c>
      <c r="E57" t="inlineStr">
        <is>
          <t>SURAHAMMAR</t>
        </is>
      </c>
      <c r="G57" t="n">
        <v>5.2</v>
      </c>
      <c r="H57" t="n">
        <v>0</v>
      </c>
      <c r="I57" t="n">
        <v>1</v>
      </c>
      <c r="J57" t="n">
        <v>0</v>
      </c>
      <c r="K57" t="n">
        <v>0</v>
      </c>
      <c r="L57" t="n">
        <v>0</v>
      </c>
      <c r="M57" t="n">
        <v>0</v>
      </c>
      <c r="N57" t="n">
        <v>0</v>
      </c>
      <c r="O57" t="n">
        <v>0</v>
      </c>
      <c r="P57" t="n">
        <v>0</v>
      </c>
      <c r="Q57" t="n">
        <v>1</v>
      </c>
      <c r="R57" s="2" t="inlineStr">
        <is>
          <t>Blodticka</t>
        </is>
      </c>
      <c r="S57">
        <f>HYPERLINK("https://klasma.github.io/Logging_1907/artfynd/A 17632-2022 artfynd.xlsx", "A 17632-2022")</f>
        <v/>
      </c>
      <c r="T57">
        <f>HYPERLINK("https://klasma.github.io/Logging_1907/kartor/A 17632-2022 karta.png", "A 17632-2022")</f>
        <v/>
      </c>
      <c r="V57">
        <f>HYPERLINK("https://klasma.github.io/Logging_1907/klagomål/A 17632-2022 FSC-klagomål.docx", "A 17632-2022")</f>
        <v/>
      </c>
      <c r="W57">
        <f>HYPERLINK("https://klasma.github.io/Logging_1907/klagomålsmail/A 17632-2022 FSC-klagomål mail.docx", "A 17632-2022")</f>
        <v/>
      </c>
      <c r="X57">
        <f>HYPERLINK("https://klasma.github.io/Logging_1907/tillsyn/A 17632-2022 tillsynsbegäran.docx", "A 17632-2022")</f>
        <v/>
      </c>
      <c r="Y57">
        <f>HYPERLINK("https://klasma.github.io/Logging_1907/tillsynsmail/A 17632-2022 tillsynsbegäran mail.docx", "A 17632-2022")</f>
        <v/>
      </c>
    </row>
    <row r="58" ht="15" customHeight="1">
      <c r="A58" t="inlineStr">
        <is>
          <t>A 40403-2025</t>
        </is>
      </c>
      <c r="B58" s="1" t="n">
        <v>45895</v>
      </c>
      <c r="C58" s="1" t="n">
        <v>45905</v>
      </c>
      <c r="D58" t="inlineStr">
        <is>
          <t>VÄSTMANLANDS LÄN</t>
        </is>
      </c>
      <c r="E58" t="inlineStr">
        <is>
          <t>SURAHAMMAR</t>
        </is>
      </c>
      <c r="F58" t="inlineStr">
        <is>
          <t>Kommuner</t>
        </is>
      </c>
      <c r="G58" t="n">
        <v>3.9</v>
      </c>
      <c r="H58" t="n">
        <v>0</v>
      </c>
      <c r="I58" t="n">
        <v>0</v>
      </c>
      <c r="J58" t="n">
        <v>1</v>
      </c>
      <c r="K58" t="n">
        <v>0</v>
      </c>
      <c r="L58" t="n">
        <v>0</v>
      </c>
      <c r="M58" t="n">
        <v>0</v>
      </c>
      <c r="N58" t="n">
        <v>0</v>
      </c>
      <c r="O58" t="n">
        <v>1</v>
      </c>
      <c r="P58" t="n">
        <v>0</v>
      </c>
      <c r="Q58" t="n">
        <v>1</v>
      </c>
      <c r="R58" s="2" t="inlineStr">
        <is>
          <t>Igelkott</t>
        </is>
      </c>
      <c r="S58">
        <f>HYPERLINK("https://klasma.github.io/Logging_1907/artfynd/A 40403-2025 artfynd.xlsx", "A 40403-2025")</f>
        <v/>
      </c>
      <c r="T58">
        <f>HYPERLINK("https://klasma.github.io/Logging_1907/kartor/A 40403-2025 karta.png", "A 40403-2025")</f>
        <v/>
      </c>
      <c r="V58">
        <f>HYPERLINK("https://klasma.github.io/Logging_1907/klagomål/A 40403-2025 FSC-klagomål.docx", "A 40403-2025")</f>
        <v/>
      </c>
      <c r="W58">
        <f>HYPERLINK("https://klasma.github.io/Logging_1907/klagomålsmail/A 40403-2025 FSC-klagomål mail.docx", "A 40403-2025")</f>
        <v/>
      </c>
      <c r="X58">
        <f>HYPERLINK("https://klasma.github.io/Logging_1907/tillsyn/A 40403-2025 tillsynsbegäran.docx", "A 40403-2025")</f>
        <v/>
      </c>
      <c r="Y58">
        <f>HYPERLINK("https://klasma.github.io/Logging_1907/tillsynsmail/A 40403-2025 tillsynsbegäran mail.docx", "A 40403-2025")</f>
        <v/>
      </c>
    </row>
    <row r="59" ht="15" customHeight="1">
      <c r="A59" t="inlineStr">
        <is>
          <t>A 42089-2025</t>
        </is>
      </c>
      <c r="B59" s="1" t="n">
        <v>45902</v>
      </c>
      <c r="C59" s="1" t="n">
        <v>45905</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22840-2023</t>
        </is>
      </c>
      <c r="B60" s="1" t="n">
        <v>45072</v>
      </c>
      <c r="C60" s="1" t="n">
        <v>45905</v>
      </c>
      <c r="D60" t="inlineStr">
        <is>
          <t>VÄSTMANLANDS LÄN</t>
        </is>
      </c>
      <c r="E60" t="inlineStr">
        <is>
          <t>SURAHAMMAR</t>
        </is>
      </c>
      <c r="G60" t="n">
        <v>4.3</v>
      </c>
      <c r="H60" t="n">
        <v>1</v>
      </c>
      <c r="I60" t="n">
        <v>0</v>
      </c>
      <c r="J60" t="n">
        <v>0</v>
      </c>
      <c r="K60" t="n">
        <v>0</v>
      </c>
      <c r="L60" t="n">
        <v>0</v>
      </c>
      <c r="M60" t="n">
        <v>0</v>
      </c>
      <c r="N60" t="n">
        <v>0</v>
      </c>
      <c r="O60" t="n">
        <v>0</v>
      </c>
      <c r="P60" t="n">
        <v>0</v>
      </c>
      <c r="Q60" t="n">
        <v>1</v>
      </c>
      <c r="R60" s="2" t="inlineStr">
        <is>
          <t>Fläcknycklar</t>
        </is>
      </c>
      <c r="S60">
        <f>HYPERLINK("https://klasma.github.io/Logging_1907/artfynd/A 22840-2023 artfynd.xlsx", "A 22840-2023")</f>
        <v/>
      </c>
      <c r="T60">
        <f>HYPERLINK("https://klasma.github.io/Logging_1907/kartor/A 22840-2023 karta.png", "A 22840-2023")</f>
        <v/>
      </c>
      <c r="V60">
        <f>HYPERLINK("https://klasma.github.io/Logging_1907/klagomål/A 22840-2023 FSC-klagomål.docx", "A 22840-2023")</f>
        <v/>
      </c>
      <c r="W60">
        <f>HYPERLINK("https://klasma.github.io/Logging_1907/klagomålsmail/A 22840-2023 FSC-klagomål mail.docx", "A 22840-2023")</f>
        <v/>
      </c>
      <c r="X60">
        <f>HYPERLINK("https://klasma.github.io/Logging_1907/tillsyn/A 22840-2023 tillsynsbegäran.docx", "A 22840-2023")</f>
        <v/>
      </c>
      <c r="Y60">
        <f>HYPERLINK("https://klasma.github.io/Logging_1907/tillsynsmail/A 22840-2023 tillsynsbegäran mail.docx", "A 22840-2023")</f>
        <v/>
      </c>
    </row>
    <row r="61" ht="15" customHeight="1">
      <c r="A61" t="inlineStr">
        <is>
          <t>A 40411-2021</t>
        </is>
      </c>
      <c r="B61" s="1" t="n">
        <v>44419</v>
      </c>
      <c r="C61" s="1" t="n">
        <v>45905</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33231-2024</t>
        </is>
      </c>
      <c r="B62" s="1" t="n">
        <v>45518</v>
      </c>
      <c r="C62" s="1" t="n">
        <v>45905</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30074-2023</t>
        </is>
      </c>
      <c r="B63" s="1" t="n">
        <v>45110</v>
      </c>
      <c r="C63" s="1" t="n">
        <v>45905</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31176-2024</t>
        </is>
      </c>
      <c r="B64" s="1" t="n">
        <v>45503</v>
      </c>
      <c r="C64" s="1" t="n">
        <v>45905</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43451-2024</t>
        </is>
      </c>
      <c r="B65" s="1" t="n">
        <v>45568</v>
      </c>
      <c r="C65" s="1" t="n">
        <v>45905</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43177-2020</t>
        </is>
      </c>
      <c r="B66" s="1" t="n">
        <v>44081</v>
      </c>
      <c r="C66" s="1" t="n">
        <v>45905</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45905</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45905</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45905</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45905</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45905</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47997-2020</t>
        </is>
      </c>
      <c r="B72" s="1" t="n">
        <v>44099</v>
      </c>
      <c r="C72" s="1" t="n">
        <v>45905</v>
      </c>
      <c r="D72" t="inlineStr">
        <is>
          <t>VÄSTMANLANDS LÄN</t>
        </is>
      </c>
      <c r="E72" t="inlineStr">
        <is>
          <t>SURAHAMMAR</t>
        </is>
      </c>
      <c r="G72" t="n">
        <v>4.8</v>
      </c>
      <c r="H72" t="n">
        <v>0</v>
      </c>
      <c r="I72" t="n">
        <v>0</v>
      </c>
      <c r="J72" t="n">
        <v>0</v>
      </c>
      <c r="K72" t="n">
        <v>0</v>
      </c>
      <c r="L72" t="n">
        <v>0</v>
      </c>
      <c r="M72" t="n">
        <v>0</v>
      </c>
      <c r="N72" t="n">
        <v>0</v>
      </c>
      <c r="O72" t="n">
        <v>0</v>
      </c>
      <c r="P72" t="n">
        <v>0</v>
      </c>
      <c r="Q72" t="n">
        <v>0</v>
      </c>
      <c r="R72" s="2" t="inlineStr"/>
    </row>
    <row r="73" ht="15" customHeight="1">
      <c r="A73" t="inlineStr">
        <is>
          <t>A 32491-2022</t>
        </is>
      </c>
      <c r="B73" s="1" t="n">
        <v>44782</v>
      </c>
      <c r="C73" s="1" t="n">
        <v>45905</v>
      </c>
      <c r="D73" t="inlineStr">
        <is>
          <t>VÄSTMANLANDS LÄN</t>
        </is>
      </c>
      <c r="E73" t="inlineStr">
        <is>
          <t>SURAHAMMAR</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59727-2020</t>
        </is>
      </c>
      <c r="B74" s="1" t="n">
        <v>44151</v>
      </c>
      <c r="C74" s="1" t="n">
        <v>45905</v>
      </c>
      <c r="D74" t="inlineStr">
        <is>
          <t>VÄSTMANLANDS LÄN</t>
        </is>
      </c>
      <c r="E74" t="inlineStr">
        <is>
          <t>SURAHAMMAR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37799-2021</t>
        </is>
      </c>
      <c r="B75" s="1" t="n">
        <v>44402</v>
      </c>
      <c r="C75" s="1" t="n">
        <v>45905</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73156-2021</t>
        </is>
      </c>
      <c r="B76" s="1" t="n">
        <v>44550</v>
      </c>
      <c r="C76" s="1" t="n">
        <v>45905</v>
      </c>
      <c r="D76" t="inlineStr">
        <is>
          <t>VÄSTMANLANDS LÄN</t>
        </is>
      </c>
      <c r="E76" t="inlineStr">
        <is>
          <t>SURAHAMMAR</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38178-2021</t>
        </is>
      </c>
      <c r="B77" s="1" t="n">
        <v>44405</v>
      </c>
      <c r="C77" s="1" t="n">
        <v>45905</v>
      </c>
      <c r="D77" t="inlineStr">
        <is>
          <t>VÄSTMANLANDS LÄN</t>
        </is>
      </c>
      <c r="E77" t="inlineStr">
        <is>
          <t>SURAHAMMAR</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45905</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45905</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45905</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45905</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45905</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45905</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45905</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45905</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43590-2020</t>
        </is>
      </c>
      <c r="B86" s="1" t="n">
        <v>44082</v>
      </c>
      <c r="C86" s="1" t="n">
        <v>45905</v>
      </c>
      <c r="D86" t="inlineStr">
        <is>
          <t>VÄSTMANLANDS LÄN</t>
        </is>
      </c>
      <c r="E86" t="inlineStr">
        <is>
          <t>SURAHAMMAR</t>
        </is>
      </c>
      <c r="F86" t="inlineStr">
        <is>
          <t>Sveaskog</t>
        </is>
      </c>
      <c r="G86" t="n">
        <v>2.1</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45905</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45905</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45905</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45905</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21509-2024</t>
        </is>
      </c>
      <c r="B91" s="1" t="n">
        <v>45441</v>
      </c>
      <c r="C91" s="1" t="n">
        <v>45905</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42832-2022</t>
        </is>
      </c>
      <c r="B92" s="1" t="n">
        <v>44832</v>
      </c>
      <c r="C92" s="1" t="n">
        <v>45905</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42841-2022</t>
        </is>
      </c>
      <c r="B93" s="1" t="n">
        <v>44832</v>
      </c>
      <c r="C93" s="1" t="n">
        <v>45905</v>
      </c>
      <c r="D93" t="inlineStr">
        <is>
          <t>VÄSTMANLANDS LÄN</t>
        </is>
      </c>
      <c r="E93" t="inlineStr">
        <is>
          <t>SURAHAMMAR</t>
        </is>
      </c>
      <c r="G93" t="n">
        <v>1.8</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45905</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19846-2022</t>
        </is>
      </c>
      <c r="B95" s="1" t="n">
        <v>44696.89327546296</v>
      </c>
      <c r="C95" s="1" t="n">
        <v>45905</v>
      </c>
      <c r="D95" t="inlineStr">
        <is>
          <t>VÄSTMANLANDS LÄN</t>
        </is>
      </c>
      <c r="E95" t="inlineStr">
        <is>
          <t>SURAHAMMAR</t>
        </is>
      </c>
      <c r="F95" t="inlineStr">
        <is>
          <t>Kommuner</t>
        </is>
      </c>
      <c r="G95" t="n">
        <v>3.4</v>
      </c>
      <c r="H95" t="n">
        <v>0</v>
      </c>
      <c r="I95" t="n">
        <v>0</v>
      </c>
      <c r="J95" t="n">
        <v>0</v>
      </c>
      <c r="K95" t="n">
        <v>0</v>
      </c>
      <c r="L95" t="n">
        <v>0</v>
      </c>
      <c r="M95" t="n">
        <v>0</v>
      </c>
      <c r="N95" t="n">
        <v>0</v>
      </c>
      <c r="O95" t="n">
        <v>0</v>
      </c>
      <c r="P95" t="n">
        <v>0</v>
      </c>
      <c r="Q95" t="n">
        <v>0</v>
      </c>
      <c r="R95" s="2" t="inlineStr"/>
    </row>
    <row r="96" ht="15" customHeight="1">
      <c r="A96" t="inlineStr">
        <is>
          <t>A 7787-2024</t>
        </is>
      </c>
      <c r="B96" s="1" t="n">
        <v>45348</v>
      </c>
      <c r="C96" s="1" t="n">
        <v>45905</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47785-2021</t>
        </is>
      </c>
      <c r="B97" s="1" t="n">
        <v>44448</v>
      </c>
      <c r="C97" s="1" t="n">
        <v>45905</v>
      </c>
      <c r="D97" t="inlineStr">
        <is>
          <t>VÄSTMANLANDS LÄN</t>
        </is>
      </c>
      <c r="E97" t="inlineStr">
        <is>
          <t>SURAHAMMAR</t>
        </is>
      </c>
      <c r="F97" t="inlineStr">
        <is>
          <t>Kommuner</t>
        </is>
      </c>
      <c r="G97" t="n">
        <v>3.3</v>
      </c>
      <c r="H97" t="n">
        <v>0</v>
      </c>
      <c r="I97" t="n">
        <v>0</v>
      </c>
      <c r="J97" t="n">
        <v>0</v>
      </c>
      <c r="K97" t="n">
        <v>0</v>
      </c>
      <c r="L97" t="n">
        <v>0</v>
      </c>
      <c r="M97" t="n">
        <v>0</v>
      </c>
      <c r="N97" t="n">
        <v>0</v>
      </c>
      <c r="O97" t="n">
        <v>0</v>
      </c>
      <c r="P97" t="n">
        <v>0</v>
      </c>
      <c r="Q97" t="n">
        <v>0</v>
      </c>
      <c r="R97" s="2" t="inlineStr"/>
    </row>
    <row r="98" ht="15" customHeight="1">
      <c r="A98" t="inlineStr">
        <is>
          <t>A 25417-2024</t>
        </is>
      </c>
      <c r="B98" s="1" t="n">
        <v>45463</v>
      </c>
      <c r="C98" s="1" t="n">
        <v>45905</v>
      </c>
      <c r="D98" t="inlineStr">
        <is>
          <t>VÄSTMANLANDS LÄN</t>
        </is>
      </c>
      <c r="E98" t="inlineStr">
        <is>
          <t>SURAHAMMAR</t>
        </is>
      </c>
      <c r="F98" t="inlineStr">
        <is>
          <t>Sveaskog</t>
        </is>
      </c>
      <c r="G98" t="n">
        <v>3.4</v>
      </c>
      <c r="H98" t="n">
        <v>0</v>
      </c>
      <c r="I98" t="n">
        <v>0</v>
      </c>
      <c r="J98" t="n">
        <v>0</v>
      </c>
      <c r="K98" t="n">
        <v>0</v>
      </c>
      <c r="L98" t="n">
        <v>0</v>
      </c>
      <c r="M98" t="n">
        <v>0</v>
      </c>
      <c r="N98" t="n">
        <v>0</v>
      </c>
      <c r="O98" t="n">
        <v>0</v>
      </c>
      <c r="P98" t="n">
        <v>0</v>
      </c>
      <c r="Q98" t="n">
        <v>0</v>
      </c>
      <c r="R98" s="2" t="inlineStr"/>
    </row>
    <row r="99" ht="15" customHeight="1">
      <c r="A99" t="inlineStr">
        <is>
          <t>A 25450-2024</t>
        </is>
      </c>
      <c r="B99" s="1" t="n">
        <v>45463</v>
      </c>
      <c r="C99" s="1" t="n">
        <v>45905</v>
      </c>
      <c r="D99" t="inlineStr">
        <is>
          <t>VÄSTMANLANDS LÄN</t>
        </is>
      </c>
      <c r="E99" t="inlineStr">
        <is>
          <t>SURAHAMMAR</t>
        </is>
      </c>
      <c r="F99" t="inlineStr">
        <is>
          <t>Bergvik skog väst AB</t>
        </is>
      </c>
      <c r="G99" t="n">
        <v>2.4</v>
      </c>
      <c r="H99" t="n">
        <v>0</v>
      </c>
      <c r="I99" t="n">
        <v>0</v>
      </c>
      <c r="J99" t="n">
        <v>0</v>
      </c>
      <c r="K99" t="n">
        <v>0</v>
      </c>
      <c r="L99" t="n">
        <v>0</v>
      </c>
      <c r="M99" t="n">
        <v>0</v>
      </c>
      <c r="N99" t="n">
        <v>0</v>
      </c>
      <c r="O99" t="n">
        <v>0</v>
      </c>
      <c r="P99" t="n">
        <v>0</v>
      </c>
      <c r="Q99" t="n">
        <v>0</v>
      </c>
      <c r="R99" s="2" t="inlineStr"/>
    </row>
    <row r="100" ht="15" customHeight="1">
      <c r="A100" t="inlineStr">
        <is>
          <t>A 10883-2023</t>
        </is>
      </c>
      <c r="B100" s="1" t="n">
        <v>44991</v>
      </c>
      <c r="C100" s="1" t="n">
        <v>45905</v>
      </c>
      <c r="D100" t="inlineStr">
        <is>
          <t>VÄSTMANLANDS LÄN</t>
        </is>
      </c>
      <c r="E100" t="inlineStr">
        <is>
          <t>SURAHAMMAR</t>
        </is>
      </c>
      <c r="F100" t="inlineStr">
        <is>
          <t>Övriga Aktiebolag</t>
        </is>
      </c>
      <c r="G100" t="n">
        <v>12.5</v>
      </c>
      <c r="H100" t="n">
        <v>0</v>
      </c>
      <c r="I100" t="n">
        <v>0</v>
      </c>
      <c r="J100" t="n">
        <v>0</v>
      </c>
      <c r="K100" t="n">
        <v>0</v>
      </c>
      <c r="L100" t="n">
        <v>0</v>
      </c>
      <c r="M100" t="n">
        <v>0</v>
      </c>
      <c r="N100" t="n">
        <v>0</v>
      </c>
      <c r="O100" t="n">
        <v>0</v>
      </c>
      <c r="P100" t="n">
        <v>0</v>
      </c>
      <c r="Q100" t="n">
        <v>0</v>
      </c>
      <c r="R100" s="2" t="inlineStr"/>
    </row>
    <row r="101" ht="15" customHeight="1">
      <c r="A101" t="inlineStr">
        <is>
          <t>A 44358-2024</t>
        </is>
      </c>
      <c r="B101" s="1" t="n">
        <v>45573</v>
      </c>
      <c r="C101" s="1" t="n">
        <v>45905</v>
      </c>
      <c r="D101" t="inlineStr">
        <is>
          <t>VÄSTMANLANDS LÄN</t>
        </is>
      </c>
      <c r="E101" t="inlineStr">
        <is>
          <t>SURAHAMMAR</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44359-2024</t>
        </is>
      </c>
      <c r="B102" s="1" t="n">
        <v>45573</v>
      </c>
      <c r="C102" s="1" t="n">
        <v>45905</v>
      </c>
      <c r="D102" t="inlineStr">
        <is>
          <t>VÄSTMANLANDS LÄN</t>
        </is>
      </c>
      <c r="E102" t="inlineStr">
        <is>
          <t>SURAHAMMAR</t>
        </is>
      </c>
      <c r="F102" t="inlineStr">
        <is>
          <t>Sveaskog</t>
        </is>
      </c>
      <c r="G102" t="n">
        <v>2.7</v>
      </c>
      <c r="H102" t="n">
        <v>0</v>
      </c>
      <c r="I102" t="n">
        <v>0</v>
      </c>
      <c r="J102" t="n">
        <v>0</v>
      </c>
      <c r="K102" t="n">
        <v>0</v>
      </c>
      <c r="L102" t="n">
        <v>0</v>
      </c>
      <c r="M102" t="n">
        <v>0</v>
      </c>
      <c r="N102" t="n">
        <v>0</v>
      </c>
      <c r="O102" t="n">
        <v>0</v>
      </c>
      <c r="P102" t="n">
        <v>0</v>
      </c>
      <c r="Q102" t="n">
        <v>0</v>
      </c>
      <c r="R102" s="2" t="inlineStr"/>
    </row>
    <row r="103" ht="15" customHeight="1">
      <c r="A103" t="inlineStr">
        <is>
          <t>A 24665-2023</t>
        </is>
      </c>
      <c r="B103" s="1" t="n">
        <v>45084.48592592592</v>
      </c>
      <c r="C103" s="1" t="n">
        <v>45905</v>
      </c>
      <c r="D103" t="inlineStr">
        <is>
          <t>VÄSTMANLANDS LÄN</t>
        </is>
      </c>
      <c r="E103" t="inlineStr">
        <is>
          <t>SURAHAMMAR</t>
        </is>
      </c>
      <c r="G103" t="n">
        <v>0.9</v>
      </c>
      <c r="H103" t="n">
        <v>0</v>
      </c>
      <c r="I103" t="n">
        <v>0</v>
      </c>
      <c r="J103" t="n">
        <v>0</v>
      </c>
      <c r="K103" t="n">
        <v>0</v>
      </c>
      <c r="L103" t="n">
        <v>0</v>
      </c>
      <c r="M103" t="n">
        <v>0</v>
      </c>
      <c r="N103" t="n">
        <v>0</v>
      </c>
      <c r="O103" t="n">
        <v>0</v>
      </c>
      <c r="P103" t="n">
        <v>0</v>
      </c>
      <c r="Q103" t="n">
        <v>0</v>
      </c>
      <c r="R103" s="2" t="inlineStr"/>
    </row>
    <row r="104" ht="15" customHeight="1">
      <c r="A104" t="inlineStr">
        <is>
          <t>A 24167-2024</t>
        </is>
      </c>
      <c r="B104" s="1" t="n">
        <v>45456</v>
      </c>
      <c r="C104" s="1" t="n">
        <v>45905</v>
      </c>
      <c r="D104" t="inlineStr">
        <is>
          <t>VÄSTMANLANDS LÄN</t>
        </is>
      </c>
      <c r="E104" t="inlineStr">
        <is>
          <t>SURAHAMMAR</t>
        </is>
      </c>
      <c r="G104" t="n">
        <v>0.6</v>
      </c>
      <c r="H104" t="n">
        <v>0</v>
      </c>
      <c r="I104" t="n">
        <v>0</v>
      </c>
      <c r="J104" t="n">
        <v>0</v>
      </c>
      <c r="K104" t="n">
        <v>0</v>
      </c>
      <c r="L104" t="n">
        <v>0</v>
      </c>
      <c r="M104" t="n">
        <v>0</v>
      </c>
      <c r="N104" t="n">
        <v>0</v>
      </c>
      <c r="O104" t="n">
        <v>0</v>
      </c>
      <c r="P104" t="n">
        <v>0</v>
      </c>
      <c r="Q104" t="n">
        <v>0</v>
      </c>
      <c r="R104" s="2" t="inlineStr"/>
    </row>
    <row r="105" ht="15" customHeight="1">
      <c r="A105" t="inlineStr">
        <is>
          <t>A 72367-2021</t>
        </is>
      </c>
      <c r="B105" s="1" t="n">
        <v>44545</v>
      </c>
      <c r="C105" s="1" t="n">
        <v>45905</v>
      </c>
      <c r="D105" t="inlineStr">
        <is>
          <t>VÄSTMANLANDS LÄN</t>
        </is>
      </c>
      <c r="E105" t="inlineStr">
        <is>
          <t>SURAHAMMAR</t>
        </is>
      </c>
      <c r="G105" t="n">
        <v>2.5</v>
      </c>
      <c r="H105" t="n">
        <v>0</v>
      </c>
      <c r="I105" t="n">
        <v>0</v>
      </c>
      <c r="J105" t="n">
        <v>0</v>
      </c>
      <c r="K105" t="n">
        <v>0</v>
      </c>
      <c r="L105" t="n">
        <v>0</v>
      </c>
      <c r="M105" t="n">
        <v>0</v>
      </c>
      <c r="N105" t="n">
        <v>0</v>
      </c>
      <c r="O105" t="n">
        <v>0</v>
      </c>
      <c r="P105" t="n">
        <v>0</v>
      </c>
      <c r="Q105" t="n">
        <v>0</v>
      </c>
      <c r="R105" s="2" t="inlineStr"/>
    </row>
    <row r="106" ht="15" customHeight="1">
      <c r="A106" t="inlineStr">
        <is>
          <t>A 15739-2023</t>
        </is>
      </c>
      <c r="B106" s="1" t="n">
        <v>45021</v>
      </c>
      <c r="C106" s="1" t="n">
        <v>45905</v>
      </c>
      <c r="D106" t="inlineStr">
        <is>
          <t>VÄSTMANLANDS LÄN</t>
        </is>
      </c>
      <c r="E106" t="inlineStr">
        <is>
          <t>SURAHAMMAR</t>
        </is>
      </c>
      <c r="G106" t="n">
        <v>1.3</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45905</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45905</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45905</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38154-2021</t>
        </is>
      </c>
      <c r="B110" s="1" t="n">
        <v>44405.42373842592</v>
      </c>
      <c r="C110" s="1" t="n">
        <v>45905</v>
      </c>
      <c r="D110" t="inlineStr">
        <is>
          <t>VÄSTMANLANDS LÄN</t>
        </is>
      </c>
      <c r="E110" t="inlineStr">
        <is>
          <t>SURAHAMMAR</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49058-2024</t>
        </is>
      </c>
      <c r="B111" s="1" t="n">
        <v>45594</v>
      </c>
      <c r="C111" s="1" t="n">
        <v>45905</v>
      </c>
      <c r="D111" t="inlineStr">
        <is>
          <t>VÄSTMANLANDS LÄN</t>
        </is>
      </c>
      <c r="E111" t="inlineStr">
        <is>
          <t>SURAHAMMAR</t>
        </is>
      </c>
      <c r="F111" t="inlineStr">
        <is>
          <t>Sveaskog</t>
        </is>
      </c>
      <c r="G111" t="n">
        <v>11.4</v>
      </c>
      <c r="H111" t="n">
        <v>0</v>
      </c>
      <c r="I111" t="n">
        <v>0</v>
      </c>
      <c r="J111" t="n">
        <v>0</v>
      </c>
      <c r="K111" t="n">
        <v>0</v>
      </c>
      <c r="L111" t="n">
        <v>0</v>
      </c>
      <c r="M111" t="n">
        <v>0</v>
      </c>
      <c r="N111" t="n">
        <v>0</v>
      </c>
      <c r="O111" t="n">
        <v>0</v>
      </c>
      <c r="P111" t="n">
        <v>0</v>
      </c>
      <c r="Q111" t="n">
        <v>0</v>
      </c>
      <c r="R111" s="2" t="inlineStr"/>
    </row>
    <row r="112" ht="15" customHeight="1">
      <c r="A112" t="inlineStr">
        <is>
          <t>A 3818-2022</t>
        </is>
      </c>
      <c r="B112" s="1" t="n">
        <v>44587</v>
      </c>
      <c r="C112" s="1" t="n">
        <v>45905</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49060-2024</t>
        </is>
      </c>
      <c r="B113" s="1" t="n">
        <v>45594</v>
      </c>
      <c r="C113" s="1" t="n">
        <v>45905</v>
      </c>
      <c r="D113" t="inlineStr">
        <is>
          <t>VÄSTMANLANDS LÄN</t>
        </is>
      </c>
      <c r="E113" t="inlineStr">
        <is>
          <t>SURAHAMMAR</t>
        </is>
      </c>
      <c r="F113" t="inlineStr">
        <is>
          <t>Sveaskog</t>
        </is>
      </c>
      <c r="G113" t="n">
        <v>4.4</v>
      </c>
      <c r="H113" t="n">
        <v>0</v>
      </c>
      <c r="I113" t="n">
        <v>0</v>
      </c>
      <c r="J113" t="n">
        <v>0</v>
      </c>
      <c r="K113" t="n">
        <v>0</v>
      </c>
      <c r="L113" t="n">
        <v>0</v>
      </c>
      <c r="M113" t="n">
        <v>0</v>
      </c>
      <c r="N113" t="n">
        <v>0</v>
      </c>
      <c r="O113" t="n">
        <v>0</v>
      </c>
      <c r="P113" t="n">
        <v>0</v>
      </c>
      <c r="Q113" t="n">
        <v>0</v>
      </c>
      <c r="R113" s="2" t="inlineStr"/>
    </row>
    <row r="114" ht="15" customHeight="1">
      <c r="A114" t="inlineStr">
        <is>
          <t>A 19099-2022</t>
        </is>
      </c>
      <c r="B114" s="1" t="n">
        <v>44691</v>
      </c>
      <c r="C114" s="1" t="n">
        <v>45905</v>
      </c>
      <c r="D114" t="inlineStr">
        <is>
          <t>VÄSTMANLANDS LÄN</t>
        </is>
      </c>
      <c r="E114" t="inlineStr">
        <is>
          <t>SURAHAMMAR</t>
        </is>
      </c>
      <c r="F114" t="inlineStr">
        <is>
          <t>Övriga Aktiebolag</t>
        </is>
      </c>
      <c r="G114" t="n">
        <v>3.4</v>
      </c>
      <c r="H114" t="n">
        <v>0</v>
      </c>
      <c r="I114" t="n">
        <v>0</v>
      </c>
      <c r="J114" t="n">
        <v>0</v>
      </c>
      <c r="K114" t="n">
        <v>0</v>
      </c>
      <c r="L114" t="n">
        <v>0</v>
      </c>
      <c r="M114" t="n">
        <v>0</v>
      </c>
      <c r="N114" t="n">
        <v>0</v>
      </c>
      <c r="O114" t="n">
        <v>0</v>
      </c>
      <c r="P114" t="n">
        <v>0</v>
      </c>
      <c r="Q114" t="n">
        <v>0</v>
      </c>
      <c r="R114" s="2" t="inlineStr"/>
    </row>
    <row r="115" ht="15" customHeight="1">
      <c r="A115" t="inlineStr">
        <is>
          <t>A 13119-2022</t>
        </is>
      </c>
      <c r="B115" s="1" t="n">
        <v>44643</v>
      </c>
      <c r="C115" s="1" t="n">
        <v>45905</v>
      </c>
      <c r="D115" t="inlineStr">
        <is>
          <t>VÄSTMANLANDS LÄN</t>
        </is>
      </c>
      <c r="E115" t="inlineStr">
        <is>
          <t>SURAHAMMAR</t>
        </is>
      </c>
      <c r="F115" t="inlineStr">
        <is>
          <t>Bergvik skog väst AB</t>
        </is>
      </c>
      <c r="G115" t="n">
        <v>2</v>
      </c>
      <c r="H115" t="n">
        <v>0</v>
      </c>
      <c r="I115" t="n">
        <v>0</v>
      </c>
      <c r="J115" t="n">
        <v>0</v>
      </c>
      <c r="K115" t="n">
        <v>0</v>
      </c>
      <c r="L115" t="n">
        <v>0</v>
      </c>
      <c r="M115" t="n">
        <v>0</v>
      </c>
      <c r="N115" t="n">
        <v>0</v>
      </c>
      <c r="O115" t="n">
        <v>0</v>
      </c>
      <c r="P115" t="n">
        <v>0</v>
      </c>
      <c r="Q115" t="n">
        <v>0</v>
      </c>
      <c r="R115" s="2" t="inlineStr"/>
    </row>
    <row r="116" ht="15" customHeight="1">
      <c r="A116" t="inlineStr">
        <is>
          <t>A 19782-2023</t>
        </is>
      </c>
      <c r="B116" s="1" t="n">
        <v>45050</v>
      </c>
      <c r="C116" s="1" t="n">
        <v>45905</v>
      </c>
      <c r="D116" t="inlineStr">
        <is>
          <t>VÄSTMANLANDS LÄN</t>
        </is>
      </c>
      <c r="E116" t="inlineStr">
        <is>
          <t>SURAHAMMAR</t>
        </is>
      </c>
      <c r="F116" t="inlineStr">
        <is>
          <t>Bergvik skog väst AB</t>
        </is>
      </c>
      <c r="G116" t="n">
        <v>5.2</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45905</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25780-2023</t>
        </is>
      </c>
      <c r="B118" s="1" t="n">
        <v>45090.47523148148</v>
      </c>
      <c r="C118" s="1" t="n">
        <v>45905</v>
      </c>
      <c r="D118" t="inlineStr">
        <is>
          <t>VÄSTMANLANDS LÄN</t>
        </is>
      </c>
      <c r="E118" t="inlineStr">
        <is>
          <t>SURAHAMMAR</t>
        </is>
      </c>
      <c r="G118" t="n">
        <v>2.8</v>
      </c>
      <c r="H118" t="n">
        <v>0</v>
      </c>
      <c r="I118" t="n">
        <v>0</v>
      </c>
      <c r="J118" t="n">
        <v>0</v>
      </c>
      <c r="K118" t="n">
        <v>0</v>
      </c>
      <c r="L118" t="n">
        <v>0</v>
      </c>
      <c r="M118" t="n">
        <v>0</v>
      </c>
      <c r="N118" t="n">
        <v>0</v>
      </c>
      <c r="O118" t="n">
        <v>0</v>
      </c>
      <c r="P118" t="n">
        <v>0</v>
      </c>
      <c r="Q118" t="n">
        <v>0</v>
      </c>
      <c r="R118" s="2" t="inlineStr"/>
    </row>
    <row r="119" ht="15" customHeight="1">
      <c r="A119" t="inlineStr">
        <is>
          <t>A 8553-2023</t>
        </is>
      </c>
      <c r="B119" s="1" t="n">
        <v>44977</v>
      </c>
      <c r="C119" s="1" t="n">
        <v>45905</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56378-2023</t>
        </is>
      </c>
      <c r="B120" s="1" t="n">
        <v>45236</v>
      </c>
      <c r="C120" s="1" t="n">
        <v>45905</v>
      </c>
      <c r="D120" t="inlineStr">
        <is>
          <t>VÄSTMANLANDS LÄN</t>
        </is>
      </c>
      <c r="E120" t="inlineStr">
        <is>
          <t>SURAHAMMAR</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13386-2025</t>
        </is>
      </c>
      <c r="B121" s="1" t="n">
        <v>45735</v>
      </c>
      <c r="C121" s="1" t="n">
        <v>45905</v>
      </c>
      <c r="D121" t="inlineStr">
        <is>
          <t>VÄSTMANLANDS LÄN</t>
        </is>
      </c>
      <c r="E121" t="inlineStr">
        <is>
          <t>SURAHAMMAR</t>
        </is>
      </c>
      <c r="F121" t="inlineStr">
        <is>
          <t>Bergvik skog väst AB</t>
        </is>
      </c>
      <c r="G121" t="n">
        <v>4</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45905</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45905</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2867-2024</t>
        </is>
      </c>
      <c r="B124" s="1" t="n">
        <v>45315</v>
      </c>
      <c r="C124" s="1" t="n">
        <v>45905</v>
      </c>
      <c r="D124" t="inlineStr">
        <is>
          <t>VÄSTMANLANDS LÄN</t>
        </is>
      </c>
      <c r="E124" t="inlineStr">
        <is>
          <t>SURAHAMMAR</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45905</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2660-2024</t>
        </is>
      </c>
      <c r="B126" s="1" t="n">
        <v>45310</v>
      </c>
      <c r="C126" s="1" t="n">
        <v>45905</v>
      </c>
      <c r="D126" t="inlineStr">
        <is>
          <t>VÄSTMANLANDS LÄN</t>
        </is>
      </c>
      <c r="E126" t="inlineStr">
        <is>
          <t>SURAHAMMAR</t>
        </is>
      </c>
      <c r="G126" t="n">
        <v>2.1</v>
      </c>
      <c r="H126" t="n">
        <v>0</v>
      </c>
      <c r="I126" t="n">
        <v>0</v>
      </c>
      <c r="J126" t="n">
        <v>0</v>
      </c>
      <c r="K126" t="n">
        <v>0</v>
      </c>
      <c r="L126" t="n">
        <v>0</v>
      </c>
      <c r="M126" t="n">
        <v>0</v>
      </c>
      <c r="N126" t="n">
        <v>0</v>
      </c>
      <c r="O126" t="n">
        <v>0</v>
      </c>
      <c r="P126" t="n">
        <v>0</v>
      </c>
      <c r="Q126" t="n">
        <v>0</v>
      </c>
      <c r="R126" s="2" t="inlineStr"/>
    </row>
    <row r="127" ht="15" customHeight="1">
      <c r="A127" t="inlineStr">
        <is>
          <t>A 16013-2023</t>
        </is>
      </c>
      <c r="B127" s="1" t="n">
        <v>45026</v>
      </c>
      <c r="C127" s="1" t="n">
        <v>45905</v>
      </c>
      <c r="D127" t="inlineStr">
        <is>
          <t>VÄSTMANLANDS LÄN</t>
        </is>
      </c>
      <c r="E127" t="inlineStr">
        <is>
          <t>SURAHAMMAR</t>
        </is>
      </c>
      <c r="G127" t="n">
        <v>3.9</v>
      </c>
      <c r="H127" t="n">
        <v>0</v>
      </c>
      <c r="I127" t="n">
        <v>0</v>
      </c>
      <c r="J127" t="n">
        <v>0</v>
      </c>
      <c r="K127" t="n">
        <v>0</v>
      </c>
      <c r="L127" t="n">
        <v>0</v>
      </c>
      <c r="M127" t="n">
        <v>0</v>
      </c>
      <c r="N127" t="n">
        <v>0</v>
      </c>
      <c r="O127" t="n">
        <v>0</v>
      </c>
      <c r="P127" t="n">
        <v>0</v>
      </c>
      <c r="Q127" t="n">
        <v>0</v>
      </c>
      <c r="R127" s="2" t="inlineStr"/>
    </row>
    <row r="128" ht="15" customHeight="1">
      <c r="A128" t="inlineStr">
        <is>
          <t>A 20904-2023</t>
        </is>
      </c>
      <c r="B128" s="1" t="n">
        <v>45060</v>
      </c>
      <c r="C128" s="1" t="n">
        <v>45905</v>
      </c>
      <c r="D128" t="inlineStr">
        <is>
          <t>VÄSTMANLANDS LÄN</t>
        </is>
      </c>
      <c r="E128" t="inlineStr">
        <is>
          <t>SURAHAMMAR</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41555-2022</t>
        </is>
      </c>
      <c r="B129" s="1" t="n">
        <v>44826</v>
      </c>
      <c r="C129" s="1" t="n">
        <v>45905</v>
      </c>
      <c r="D129" t="inlineStr">
        <is>
          <t>VÄSTMANLANDS LÄN</t>
        </is>
      </c>
      <c r="E129" t="inlineStr">
        <is>
          <t>SURAHAMMAR</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37013-2025</t>
        </is>
      </c>
      <c r="B130" s="1" t="n">
        <v>45874</v>
      </c>
      <c r="C130" s="1" t="n">
        <v>45905</v>
      </c>
      <c r="D130" t="inlineStr">
        <is>
          <t>VÄSTMANLANDS LÄN</t>
        </is>
      </c>
      <c r="E130" t="inlineStr">
        <is>
          <t>SURAHAMMAR</t>
        </is>
      </c>
      <c r="F130" t="inlineStr">
        <is>
          <t>Bergvik skog väst AB</t>
        </is>
      </c>
      <c r="G130" t="n">
        <v>10.7</v>
      </c>
      <c r="H130" t="n">
        <v>0</v>
      </c>
      <c r="I130" t="n">
        <v>0</v>
      </c>
      <c r="J130" t="n">
        <v>0</v>
      </c>
      <c r="K130" t="n">
        <v>0</v>
      </c>
      <c r="L130" t="n">
        <v>0</v>
      </c>
      <c r="M130" t="n">
        <v>0</v>
      </c>
      <c r="N130" t="n">
        <v>0</v>
      </c>
      <c r="O130" t="n">
        <v>0</v>
      </c>
      <c r="P130" t="n">
        <v>0</v>
      </c>
      <c r="Q130" t="n">
        <v>0</v>
      </c>
      <c r="R130" s="2" t="inlineStr"/>
    </row>
    <row r="131" ht="15" customHeight="1">
      <c r="A131" t="inlineStr">
        <is>
          <t>A 42829-2022</t>
        </is>
      </c>
      <c r="B131" s="1" t="n">
        <v>44832</v>
      </c>
      <c r="C131" s="1" t="n">
        <v>45905</v>
      </c>
      <c r="D131" t="inlineStr">
        <is>
          <t>VÄSTMANLANDS LÄN</t>
        </is>
      </c>
      <c r="E131" t="inlineStr">
        <is>
          <t>SURAHAMMAR</t>
        </is>
      </c>
      <c r="G131" t="n">
        <v>1.6</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45905</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37954-2025</t>
        </is>
      </c>
      <c r="B133" s="1" t="n">
        <v>45881</v>
      </c>
      <c r="C133" s="1" t="n">
        <v>45905</v>
      </c>
      <c r="D133" t="inlineStr">
        <is>
          <t>VÄSTMANLANDS LÄN</t>
        </is>
      </c>
      <c r="E133" t="inlineStr">
        <is>
          <t>SURAHAMMAR</t>
        </is>
      </c>
      <c r="G133" t="n">
        <v>9.5</v>
      </c>
      <c r="H133" t="n">
        <v>0</v>
      </c>
      <c r="I133" t="n">
        <v>0</v>
      </c>
      <c r="J133" t="n">
        <v>0</v>
      </c>
      <c r="K133" t="n">
        <v>0</v>
      </c>
      <c r="L133" t="n">
        <v>0</v>
      </c>
      <c r="M133" t="n">
        <v>0</v>
      </c>
      <c r="N133" t="n">
        <v>0</v>
      </c>
      <c r="O133" t="n">
        <v>0</v>
      </c>
      <c r="P133" t="n">
        <v>0</v>
      </c>
      <c r="Q133" t="n">
        <v>0</v>
      </c>
      <c r="R133" s="2" t="inlineStr"/>
    </row>
    <row r="134" ht="15" customHeight="1">
      <c r="A134" t="inlineStr">
        <is>
          <t>A 5567-2022</t>
        </is>
      </c>
      <c r="B134" s="1" t="n">
        <v>44595</v>
      </c>
      <c r="C134" s="1" t="n">
        <v>45905</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41576-2022</t>
        </is>
      </c>
      <c r="B135" s="1" t="n">
        <v>44826</v>
      </c>
      <c r="C135" s="1" t="n">
        <v>45905</v>
      </c>
      <c r="D135" t="inlineStr">
        <is>
          <t>VÄSTMANLANDS LÄN</t>
        </is>
      </c>
      <c r="E135" t="inlineStr">
        <is>
          <t>SURAHAMMAR</t>
        </is>
      </c>
      <c r="F135" t="inlineStr">
        <is>
          <t>Bergvik skog väst AB</t>
        </is>
      </c>
      <c r="G135" t="n">
        <v>6.4</v>
      </c>
      <c r="H135" t="n">
        <v>0</v>
      </c>
      <c r="I135" t="n">
        <v>0</v>
      </c>
      <c r="J135" t="n">
        <v>0</v>
      </c>
      <c r="K135" t="n">
        <v>0</v>
      </c>
      <c r="L135" t="n">
        <v>0</v>
      </c>
      <c r="M135" t="n">
        <v>0</v>
      </c>
      <c r="N135" t="n">
        <v>0</v>
      </c>
      <c r="O135" t="n">
        <v>0</v>
      </c>
      <c r="P135" t="n">
        <v>0</v>
      </c>
      <c r="Q135" t="n">
        <v>0</v>
      </c>
      <c r="R135" s="2" t="inlineStr"/>
    </row>
    <row r="136" ht="15" customHeight="1">
      <c r="A136" t="inlineStr">
        <is>
          <t>A 34584-2025</t>
        </is>
      </c>
      <c r="B136" s="1" t="n">
        <v>45846</v>
      </c>
      <c r="C136" s="1" t="n">
        <v>45905</v>
      </c>
      <c r="D136" t="inlineStr">
        <is>
          <t>VÄSTMANLANDS LÄN</t>
        </is>
      </c>
      <c r="E136" t="inlineStr">
        <is>
          <t>SURAHAMMAR</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37798-2021</t>
        </is>
      </c>
      <c r="B137" s="1" t="n">
        <v>44402</v>
      </c>
      <c r="C137" s="1" t="n">
        <v>45905</v>
      </c>
      <c r="D137" t="inlineStr">
        <is>
          <t>VÄSTMANLANDS LÄN</t>
        </is>
      </c>
      <c r="E137" t="inlineStr">
        <is>
          <t>SURAHAMMAR</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34582-2025</t>
        </is>
      </c>
      <c r="B138" s="1" t="n">
        <v>45846</v>
      </c>
      <c r="C138" s="1" t="n">
        <v>45905</v>
      </c>
      <c r="D138" t="inlineStr">
        <is>
          <t>VÄSTMANLANDS LÄN</t>
        </is>
      </c>
      <c r="E138" t="inlineStr">
        <is>
          <t>SURAHAMMAR</t>
        </is>
      </c>
      <c r="F138" t="inlineStr">
        <is>
          <t>Bergvik skog väst AB</t>
        </is>
      </c>
      <c r="G138" t="n">
        <v>2.6</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45905</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48205-2023</t>
        </is>
      </c>
      <c r="B140" s="1" t="n">
        <v>45205</v>
      </c>
      <c r="C140" s="1" t="n">
        <v>45905</v>
      </c>
      <c r="D140" t="inlineStr">
        <is>
          <t>VÄSTMANLANDS LÄN</t>
        </is>
      </c>
      <c r="E140" t="inlineStr">
        <is>
          <t>SURAHAMMAR</t>
        </is>
      </c>
      <c r="F140" t="inlineStr">
        <is>
          <t>Allmännings- och besparingsskogar</t>
        </is>
      </c>
      <c r="G140" t="n">
        <v>7.6</v>
      </c>
      <c r="H140" t="n">
        <v>0</v>
      </c>
      <c r="I140" t="n">
        <v>0</v>
      </c>
      <c r="J140" t="n">
        <v>0</v>
      </c>
      <c r="K140" t="n">
        <v>0</v>
      </c>
      <c r="L140" t="n">
        <v>0</v>
      </c>
      <c r="M140" t="n">
        <v>0</v>
      </c>
      <c r="N140" t="n">
        <v>0</v>
      </c>
      <c r="O140" t="n">
        <v>0</v>
      </c>
      <c r="P140" t="n">
        <v>0</v>
      </c>
      <c r="Q140" t="n">
        <v>0</v>
      </c>
      <c r="R140" s="2" t="inlineStr"/>
    </row>
    <row r="141" ht="15" customHeight="1">
      <c r="A141" t="inlineStr">
        <is>
          <t>A 32910-2025</t>
        </is>
      </c>
      <c r="B141" s="1" t="n">
        <v>45839</v>
      </c>
      <c r="C141" s="1" t="n">
        <v>45905</v>
      </c>
      <c r="D141" t="inlineStr">
        <is>
          <t>VÄSTMANLANDS LÄN</t>
        </is>
      </c>
      <c r="E141" t="inlineStr">
        <is>
          <t>SURAHAMMAR</t>
        </is>
      </c>
      <c r="F141" t="inlineStr">
        <is>
          <t>Kommuner</t>
        </is>
      </c>
      <c r="G141" t="n">
        <v>1.1</v>
      </c>
      <c r="H141" t="n">
        <v>0</v>
      </c>
      <c r="I141" t="n">
        <v>0</v>
      </c>
      <c r="J141" t="n">
        <v>0</v>
      </c>
      <c r="K141" t="n">
        <v>0</v>
      </c>
      <c r="L141" t="n">
        <v>0</v>
      </c>
      <c r="M141" t="n">
        <v>0</v>
      </c>
      <c r="N141" t="n">
        <v>0</v>
      </c>
      <c r="O141" t="n">
        <v>0</v>
      </c>
      <c r="P141" t="n">
        <v>0</v>
      </c>
      <c r="Q141" t="n">
        <v>0</v>
      </c>
      <c r="R141" s="2" t="inlineStr"/>
    </row>
    <row r="142" ht="15" customHeight="1">
      <c r="A142" t="inlineStr">
        <is>
          <t>A 32916-2025</t>
        </is>
      </c>
      <c r="B142" s="1" t="n">
        <v>45839</v>
      </c>
      <c r="C142" s="1" t="n">
        <v>45905</v>
      </c>
      <c r="D142" t="inlineStr">
        <is>
          <t>VÄSTMANLANDS LÄN</t>
        </is>
      </c>
      <c r="E142" t="inlineStr">
        <is>
          <t>SURAHAMMAR</t>
        </is>
      </c>
      <c r="F142" t="inlineStr">
        <is>
          <t>Kommuner</t>
        </is>
      </c>
      <c r="G142" t="n">
        <v>4.9</v>
      </c>
      <c r="H142" t="n">
        <v>0</v>
      </c>
      <c r="I142" t="n">
        <v>0</v>
      </c>
      <c r="J142" t="n">
        <v>0</v>
      </c>
      <c r="K142" t="n">
        <v>0</v>
      </c>
      <c r="L142" t="n">
        <v>0</v>
      </c>
      <c r="M142" t="n">
        <v>0</v>
      </c>
      <c r="N142" t="n">
        <v>0</v>
      </c>
      <c r="O142" t="n">
        <v>0</v>
      </c>
      <c r="P142" t="n">
        <v>0</v>
      </c>
      <c r="Q142" t="n">
        <v>0</v>
      </c>
      <c r="R142" s="2" t="inlineStr"/>
    </row>
    <row r="143" ht="15" customHeight="1">
      <c r="A143" t="inlineStr">
        <is>
          <t>A 3085-2023</t>
        </is>
      </c>
      <c r="B143" s="1" t="n">
        <v>44946</v>
      </c>
      <c r="C143" s="1" t="n">
        <v>45905</v>
      </c>
      <c r="D143" t="inlineStr">
        <is>
          <t>VÄSTMANLANDS LÄN</t>
        </is>
      </c>
      <c r="E143" t="inlineStr">
        <is>
          <t>SURAHAMMAR</t>
        </is>
      </c>
      <c r="F143" t="inlineStr">
        <is>
          <t>Kyrkan</t>
        </is>
      </c>
      <c r="G143" t="n">
        <v>13</v>
      </c>
      <c r="H143" t="n">
        <v>0</v>
      </c>
      <c r="I143" t="n">
        <v>0</v>
      </c>
      <c r="J143" t="n">
        <v>0</v>
      </c>
      <c r="K143" t="n">
        <v>0</v>
      </c>
      <c r="L143" t="n">
        <v>0</v>
      </c>
      <c r="M143" t="n">
        <v>0</v>
      </c>
      <c r="N143" t="n">
        <v>0</v>
      </c>
      <c r="O143" t="n">
        <v>0</v>
      </c>
      <c r="P143" t="n">
        <v>0</v>
      </c>
      <c r="Q143" t="n">
        <v>0</v>
      </c>
      <c r="R143" s="2" t="inlineStr"/>
    </row>
    <row r="144" ht="15" customHeight="1">
      <c r="A144" t="inlineStr">
        <is>
          <t>A 33931-2022</t>
        </is>
      </c>
      <c r="B144" s="1" t="n">
        <v>44790.65153935185</v>
      </c>
      <c r="C144" s="1" t="n">
        <v>45905</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45905</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42088-2025</t>
        </is>
      </c>
      <c r="B146" s="1" t="n">
        <v>45902</v>
      </c>
      <c r="C146" s="1" t="n">
        <v>45905</v>
      </c>
      <c r="D146" t="inlineStr">
        <is>
          <t>VÄSTMANLANDS LÄN</t>
        </is>
      </c>
      <c r="E146" t="inlineStr">
        <is>
          <t>SURAHAMMAR</t>
        </is>
      </c>
      <c r="G146" t="n">
        <v>1</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44608.58400462963</v>
      </c>
      <c r="C147" s="1" t="n">
        <v>45905</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45905</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30076-2023</t>
        </is>
      </c>
      <c r="B149" s="1" t="n">
        <v>45110</v>
      </c>
      <c r="C149" s="1" t="n">
        <v>45905</v>
      </c>
      <c r="D149" t="inlineStr">
        <is>
          <t>VÄSTMANLANDS LÄN</t>
        </is>
      </c>
      <c r="E149" t="inlineStr">
        <is>
          <t>SURAHAMMAR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15743-2023</t>
        </is>
      </c>
      <c r="B150" s="1" t="n">
        <v>45021</v>
      </c>
      <c r="C150" s="1" t="n">
        <v>45905</v>
      </c>
      <c r="D150" t="inlineStr">
        <is>
          <t>VÄSTMANLANDS LÄN</t>
        </is>
      </c>
      <c r="E150" t="inlineStr">
        <is>
          <t>SURAHAMMAR</t>
        </is>
      </c>
      <c r="G150" t="n">
        <v>0.5</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44662.89638888889</v>
      </c>
      <c r="C151" s="1" t="n">
        <v>45905</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19786-2023</t>
        </is>
      </c>
      <c r="B152" s="1" t="n">
        <v>45050</v>
      </c>
      <c r="C152" s="1" t="n">
        <v>45905</v>
      </c>
      <c r="D152" t="inlineStr">
        <is>
          <t>VÄSTMANLANDS LÄN</t>
        </is>
      </c>
      <c r="E152" t="inlineStr">
        <is>
          <t>SURAHAMMAR</t>
        </is>
      </c>
      <c r="F152" t="inlineStr">
        <is>
          <t>Bergvik skog väst AB</t>
        </is>
      </c>
      <c r="G152" t="n">
        <v>8.1</v>
      </c>
      <c r="H152" t="n">
        <v>0</v>
      </c>
      <c r="I152" t="n">
        <v>0</v>
      </c>
      <c r="J152" t="n">
        <v>0</v>
      </c>
      <c r="K152" t="n">
        <v>0</v>
      </c>
      <c r="L152" t="n">
        <v>0</v>
      </c>
      <c r="M152" t="n">
        <v>0</v>
      </c>
      <c r="N152" t="n">
        <v>0</v>
      </c>
      <c r="O152" t="n">
        <v>0</v>
      </c>
      <c r="P152" t="n">
        <v>0</v>
      </c>
      <c r="Q152" t="n">
        <v>0</v>
      </c>
      <c r="R152" s="2" t="inlineStr"/>
    </row>
    <row r="153">
      <c r="A153" t="inlineStr">
        <is>
          <t>A 10396-2025</t>
        </is>
      </c>
      <c r="B153" s="1" t="n">
        <v>45720.60721064815</v>
      </c>
      <c r="C153" s="1" t="n">
        <v>45905</v>
      </c>
      <c r="D153" t="inlineStr">
        <is>
          <t>VÄSTMANLANDS LÄN</t>
        </is>
      </c>
      <c r="E153" t="inlineStr">
        <is>
          <t>SURAHAMMAR</t>
        </is>
      </c>
      <c r="F153" t="inlineStr">
        <is>
          <t>Allmännings- och besparingsskogar</t>
        </is>
      </c>
      <c r="G153" t="n">
        <v>9.300000000000001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2025-09-05T08:47:10Z</dcterms:created>
  <dcterms:modified xmlns:dcterms="http://purl.org/dc/terms/" xmlns:xsi="http://www.w3.org/2001/XMLSchema-instance" xsi:type="dcterms:W3CDTF">2025-09-05T08:47:10Z</dcterms:modified>
</cp:coreProperties>
</file>