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45904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45904</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45904</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45904</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45904</v>
      </c>
      <c r="D6" t="inlineStr">
        <is>
          <t>VÄSTMANLANDS LÄN</t>
        </is>
      </c>
      <c r="E6" t="inlineStr">
        <is>
          <t>SURAHAMMAR</t>
        </is>
      </c>
      <c r="F6" t="inlineStr">
        <is>
          <t>Bergvik skog väst AB</t>
        </is>
      </c>
      <c r="G6" t="n">
        <v>38.3</v>
      </c>
      <c r="H6" t="n">
        <v>6</v>
      </c>
      <c r="I6" t="n">
        <v>5</v>
      </c>
      <c r="J6" t="n">
        <v>7</v>
      </c>
      <c r="K6" t="n">
        <v>1</v>
      </c>
      <c r="L6" t="n">
        <v>0</v>
      </c>
      <c r="M6" t="n">
        <v>0</v>
      </c>
      <c r="N6" t="n">
        <v>0</v>
      </c>
      <c r="O6" t="n">
        <v>8</v>
      </c>
      <c r="P6" t="n">
        <v>1</v>
      </c>
      <c r="Q6" t="n">
        <v>15</v>
      </c>
      <c r="R6" s="2" t="inlineStr">
        <is>
          <t>Knärot
Blå taggsvamp
Grantaggsvamp
Motaggsvamp
Skogshare
Spillkråka
Talltita
Ullticka
Dropptaggsvamp
Grönpyrola
Mindre märgborre
Plattlummer
Vedticka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24725-2021</t>
        </is>
      </c>
      <c r="B7" s="1" t="n">
        <v>44340</v>
      </c>
      <c r="C7" s="1" t="n">
        <v>45904</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25573-2024</t>
        </is>
      </c>
      <c r="B8" s="1" t="n">
        <v>45463</v>
      </c>
      <c r="C8" s="1" t="n">
        <v>45904</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45904</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45904</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45904</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45904</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45904</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45904</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45904</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14815-2025</t>
        </is>
      </c>
      <c r="B16" s="1" t="n">
        <v>45743.34931712963</v>
      </c>
      <c r="C16" s="1" t="n">
        <v>45904</v>
      </c>
      <c r="D16" t="inlineStr">
        <is>
          <t>VÄSTMANLANDS LÄN</t>
        </is>
      </c>
      <c r="E16" t="inlineStr">
        <is>
          <t>SURAHAMMAR</t>
        </is>
      </c>
      <c r="F16" t="inlineStr">
        <is>
          <t>Allmännings- och besparingsskogar</t>
        </is>
      </c>
      <c r="G16" t="n">
        <v>6.8</v>
      </c>
      <c r="H16" t="n">
        <v>2</v>
      </c>
      <c r="I16" t="n">
        <v>3</v>
      </c>
      <c r="J16" t="n">
        <v>1</v>
      </c>
      <c r="K16" t="n">
        <v>1</v>
      </c>
      <c r="L16" t="n">
        <v>0</v>
      </c>
      <c r="M16" t="n">
        <v>0</v>
      </c>
      <c r="N16" t="n">
        <v>0</v>
      </c>
      <c r="O16" t="n">
        <v>2</v>
      </c>
      <c r="P16" t="n">
        <v>1</v>
      </c>
      <c r="Q16" t="n">
        <v>6</v>
      </c>
      <c r="R16" s="2" t="inlineStr">
        <is>
          <t>Bombmurkla
Veckticka
Brandticka
Vedticka
Vårärt
Blåsippa</t>
        </is>
      </c>
      <c r="S16">
        <f>HYPERLINK("https://klasma.github.io/Logging_1907/artfynd/A 14815-2025 artfynd.xlsx", "A 14815-2025")</f>
        <v/>
      </c>
      <c r="T16">
        <f>HYPERLINK("https://klasma.github.io/Logging_1907/kartor/A 14815-2025 karta.png", "A 14815-2025")</f>
        <v/>
      </c>
      <c r="V16">
        <f>HYPERLINK("https://klasma.github.io/Logging_1907/klagomål/A 14815-2025 FSC-klagomål.docx", "A 14815-2025")</f>
        <v/>
      </c>
      <c r="W16">
        <f>HYPERLINK("https://klasma.github.io/Logging_1907/klagomålsmail/A 14815-2025 FSC-klagomål mail.docx", "A 14815-2025")</f>
        <v/>
      </c>
      <c r="X16">
        <f>HYPERLINK("https://klasma.github.io/Logging_1907/tillsyn/A 14815-2025 tillsynsbegäran.docx", "A 14815-2025")</f>
        <v/>
      </c>
      <c r="Y16">
        <f>HYPERLINK("https://klasma.github.io/Logging_1907/tillsynsmail/A 14815-2025 tillsynsbegäran mail.docx", "A 14815-2025")</f>
        <v/>
      </c>
    </row>
    <row r="17" ht="15" customHeight="1">
      <c r="A17" t="inlineStr">
        <is>
          <t>A 7791-2024</t>
        </is>
      </c>
      <c r="B17" s="1" t="n">
        <v>45348</v>
      </c>
      <c r="C17" s="1" t="n">
        <v>45904</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44798-2024</t>
        </is>
      </c>
      <c r="B18" s="1" t="n">
        <v>45574</v>
      </c>
      <c r="C18" s="1" t="n">
        <v>45904</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56299-2021</t>
        </is>
      </c>
      <c r="B19" s="1" t="n">
        <v>44477</v>
      </c>
      <c r="C19" s="1" t="n">
        <v>45904</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45904</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4105-2025</t>
        </is>
      </c>
      <c r="B21" s="1" t="n">
        <v>45684</v>
      </c>
      <c r="C21" s="1" t="n">
        <v>45904</v>
      </c>
      <c r="D21" t="inlineStr">
        <is>
          <t>VÄSTMANLANDS LÄN</t>
        </is>
      </c>
      <c r="E21" t="inlineStr">
        <is>
          <t>SURAHAMMAR</t>
        </is>
      </c>
      <c r="F21" t="inlineStr">
        <is>
          <t>Bergvik skog väst AB</t>
        </is>
      </c>
      <c r="G21" t="n">
        <v>14.7</v>
      </c>
      <c r="H21" t="n">
        <v>3</v>
      </c>
      <c r="I21" t="n">
        <v>0</v>
      </c>
      <c r="J21" t="n">
        <v>2</v>
      </c>
      <c r="K21" t="n">
        <v>1</v>
      </c>
      <c r="L21" t="n">
        <v>0</v>
      </c>
      <c r="M21" t="n">
        <v>0</v>
      </c>
      <c r="N21" t="n">
        <v>0</v>
      </c>
      <c r="O21" t="n">
        <v>3</v>
      </c>
      <c r="P21" t="n">
        <v>1</v>
      </c>
      <c r="Q21" t="n">
        <v>4</v>
      </c>
      <c r="R21" s="2" t="inlineStr">
        <is>
          <t>Knärot
Havsörn
Ullticka
Revlummer</t>
        </is>
      </c>
      <c r="S21">
        <f>HYPERLINK("https://klasma.github.io/Logging_1907/artfynd/A 4105-2025 artfynd.xlsx", "A 4105-2025")</f>
        <v/>
      </c>
      <c r="T21">
        <f>HYPERLINK("https://klasma.github.io/Logging_1907/kartor/A 4105-2025 karta.png", "A 4105-2025")</f>
        <v/>
      </c>
      <c r="U21">
        <f>HYPERLINK("https://klasma.github.io/Logging_1907/knärot/A 4105-2025 karta knärot.png", "A 4105-2025")</f>
        <v/>
      </c>
      <c r="V21">
        <f>HYPERLINK("https://klasma.github.io/Logging_1907/klagomål/A 4105-2025 FSC-klagomål.docx", "A 4105-2025")</f>
        <v/>
      </c>
      <c r="W21">
        <f>HYPERLINK("https://klasma.github.io/Logging_1907/klagomålsmail/A 4105-2025 FSC-klagomål mail.docx", "A 4105-2025")</f>
        <v/>
      </c>
      <c r="X21">
        <f>HYPERLINK("https://klasma.github.io/Logging_1907/tillsyn/A 4105-2025 tillsynsbegäran.docx", "A 4105-2025")</f>
        <v/>
      </c>
      <c r="Y21">
        <f>HYPERLINK("https://klasma.github.io/Logging_1907/tillsynsmail/A 4105-2025 tillsynsbegäran mail.docx", "A 4105-2025")</f>
        <v/>
      </c>
      <c r="Z21">
        <f>HYPERLINK("https://klasma.github.io/Logging_1907/fåglar/A 4105-2025 prioriterade fågelarter.docx", "A 4105-2025")</f>
        <v/>
      </c>
    </row>
    <row r="22" ht="15" customHeight="1">
      <c r="A22" t="inlineStr">
        <is>
          <t>A 38172-2024</t>
        </is>
      </c>
      <c r="B22" s="1" t="n">
        <v>45545</v>
      </c>
      <c r="C22" s="1" t="n">
        <v>45904</v>
      </c>
      <c r="D22" t="inlineStr">
        <is>
          <t>VÄSTMANLANDS LÄN</t>
        </is>
      </c>
      <c r="E22" t="inlineStr">
        <is>
          <t>SURAHAMMAR</t>
        </is>
      </c>
      <c r="F22" t="inlineStr">
        <is>
          <t>Sveaskog</t>
        </is>
      </c>
      <c r="G22" t="n">
        <v>5.2</v>
      </c>
      <c r="H22" t="n">
        <v>2</v>
      </c>
      <c r="I22" t="n">
        <v>0</v>
      </c>
      <c r="J22" t="n">
        <v>2</v>
      </c>
      <c r="K22" t="n">
        <v>1</v>
      </c>
      <c r="L22" t="n">
        <v>0</v>
      </c>
      <c r="M22" t="n">
        <v>0</v>
      </c>
      <c r="N22" t="n">
        <v>0</v>
      </c>
      <c r="O22" t="n">
        <v>3</v>
      </c>
      <c r="P22" t="n">
        <v>1</v>
      </c>
      <c r="Q22" t="n">
        <v>4</v>
      </c>
      <c r="R22" s="2" t="inlineStr">
        <is>
          <t>Knärot
Gropticka
Vedtrappmossa
Revlummer</t>
        </is>
      </c>
      <c r="S22">
        <f>HYPERLINK("https://klasma.github.io/Logging_1907/artfynd/A 38172-2024 artfynd.xlsx", "A 38172-2024")</f>
        <v/>
      </c>
      <c r="T22">
        <f>HYPERLINK("https://klasma.github.io/Logging_1907/kartor/A 38172-2024 karta.png", "A 38172-2024")</f>
        <v/>
      </c>
      <c r="U22">
        <f>HYPERLINK("https://klasma.github.io/Logging_1907/knärot/A 38172-2024 karta knärot.png", "A 38172-2024")</f>
        <v/>
      </c>
      <c r="V22">
        <f>HYPERLINK("https://klasma.github.io/Logging_1907/klagomål/A 38172-2024 FSC-klagomål.docx", "A 38172-2024")</f>
        <v/>
      </c>
      <c r="W22">
        <f>HYPERLINK("https://klasma.github.io/Logging_1907/klagomålsmail/A 38172-2024 FSC-klagomål mail.docx", "A 38172-2024")</f>
        <v/>
      </c>
      <c r="X22">
        <f>HYPERLINK("https://klasma.github.io/Logging_1907/tillsyn/A 38172-2024 tillsynsbegäran.docx", "A 38172-2024")</f>
        <v/>
      </c>
      <c r="Y22">
        <f>HYPERLINK("https://klasma.github.io/Logging_1907/tillsynsmail/A 38172-2024 tillsynsbegäran mail.docx", "A 38172-2024")</f>
        <v/>
      </c>
    </row>
    <row r="23" ht="15" customHeight="1">
      <c r="A23" t="inlineStr">
        <is>
          <t>A 65024-2023</t>
        </is>
      </c>
      <c r="B23" s="1" t="n">
        <v>45282</v>
      </c>
      <c r="C23" s="1" t="n">
        <v>45904</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48891-2023</t>
        </is>
      </c>
      <c r="B24" s="1" t="n">
        <v>45203</v>
      </c>
      <c r="C24" s="1" t="n">
        <v>45904</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59550-2020</t>
        </is>
      </c>
      <c r="B25" s="1" t="n">
        <v>44148</v>
      </c>
      <c r="C25" s="1" t="n">
        <v>45904</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48128-2023</t>
        </is>
      </c>
      <c r="B26" s="1" t="n">
        <v>45205</v>
      </c>
      <c r="C26" s="1" t="n">
        <v>45904</v>
      </c>
      <c r="D26" t="inlineStr">
        <is>
          <t>VÄSTMANLANDS LÄN</t>
        </is>
      </c>
      <c r="E26" t="inlineStr">
        <is>
          <t>SURAHAMMAR</t>
        </is>
      </c>
      <c r="F26" t="inlineStr">
        <is>
          <t>Allmännings- och besparingsskogar</t>
        </is>
      </c>
      <c r="G26" t="n">
        <v>11.8</v>
      </c>
      <c r="H26" t="n">
        <v>0</v>
      </c>
      <c r="I26" t="n">
        <v>2</v>
      </c>
      <c r="J26" t="n">
        <v>1</v>
      </c>
      <c r="K26" t="n">
        <v>0</v>
      </c>
      <c r="L26" t="n">
        <v>0</v>
      </c>
      <c r="M26" t="n">
        <v>0</v>
      </c>
      <c r="N26" t="n">
        <v>0</v>
      </c>
      <c r="O26" t="n">
        <v>1</v>
      </c>
      <c r="P26" t="n">
        <v>0</v>
      </c>
      <c r="Q26" t="n">
        <v>3</v>
      </c>
      <c r="R26" s="2" t="inlineStr">
        <is>
          <t>Svinrot
Blodticka
Vedticka</t>
        </is>
      </c>
      <c r="S26">
        <f>HYPERLINK("https://klasma.github.io/Logging_1907/artfynd/A 48128-2023 artfynd.xlsx", "A 48128-2023")</f>
        <v/>
      </c>
      <c r="T26">
        <f>HYPERLINK("https://klasma.github.io/Logging_1907/kartor/A 48128-2023 karta.png", "A 48128-2023")</f>
        <v/>
      </c>
      <c r="V26">
        <f>HYPERLINK("https://klasma.github.io/Logging_1907/klagomål/A 48128-2023 FSC-klagomål.docx", "A 48128-2023")</f>
        <v/>
      </c>
      <c r="W26">
        <f>HYPERLINK("https://klasma.github.io/Logging_1907/klagomålsmail/A 48128-2023 FSC-klagomål mail.docx", "A 48128-2023")</f>
        <v/>
      </c>
      <c r="X26">
        <f>HYPERLINK("https://klasma.github.io/Logging_1907/tillsyn/A 48128-2023 tillsynsbegäran.docx", "A 48128-2023")</f>
        <v/>
      </c>
      <c r="Y26">
        <f>HYPERLINK("https://klasma.github.io/Logging_1907/tillsynsmail/A 48128-2023 tillsynsbegäran mail.docx", "A 48128-2023")</f>
        <v/>
      </c>
    </row>
    <row r="27" ht="15" customHeight="1">
      <c r="A27" t="inlineStr">
        <is>
          <t>A 20391-2024</t>
        </is>
      </c>
      <c r="B27" s="1" t="n">
        <v>45435</v>
      </c>
      <c r="C27" s="1" t="n">
        <v>45904</v>
      </c>
      <c r="D27" t="inlineStr">
        <is>
          <t>VÄSTMANLANDS LÄN</t>
        </is>
      </c>
      <c r="E27" t="inlineStr">
        <is>
          <t>SURAHAMMAR</t>
        </is>
      </c>
      <c r="G27" t="n">
        <v>1.5</v>
      </c>
      <c r="H27" t="n">
        <v>0</v>
      </c>
      <c r="I27" t="n">
        <v>2</v>
      </c>
      <c r="J27" t="n">
        <v>1</v>
      </c>
      <c r="K27" t="n">
        <v>0</v>
      </c>
      <c r="L27" t="n">
        <v>0</v>
      </c>
      <c r="M27" t="n">
        <v>0</v>
      </c>
      <c r="N27" t="n">
        <v>0</v>
      </c>
      <c r="O27" t="n">
        <v>1</v>
      </c>
      <c r="P27" t="n">
        <v>0</v>
      </c>
      <c r="Q27" t="n">
        <v>3</v>
      </c>
      <c r="R27" s="2" t="inlineStr">
        <is>
          <t>Vedtrappmossa
Kattfotslav
Stubbspretmossa</t>
        </is>
      </c>
      <c r="S27">
        <f>HYPERLINK("https://klasma.github.io/Logging_1907/artfynd/A 20391-2024 artfynd.xlsx", "A 20391-2024")</f>
        <v/>
      </c>
      <c r="T27">
        <f>HYPERLINK("https://klasma.github.io/Logging_1907/kartor/A 20391-2024 karta.png", "A 20391-2024")</f>
        <v/>
      </c>
      <c r="V27">
        <f>HYPERLINK("https://klasma.github.io/Logging_1907/klagomål/A 20391-2024 FSC-klagomål.docx", "A 20391-2024")</f>
        <v/>
      </c>
      <c r="W27">
        <f>HYPERLINK("https://klasma.github.io/Logging_1907/klagomålsmail/A 20391-2024 FSC-klagomål mail.docx", "A 20391-2024")</f>
        <v/>
      </c>
      <c r="X27">
        <f>HYPERLINK("https://klasma.github.io/Logging_1907/tillsyn/A 20391-2024 tillsynsbegäran.docx", "A 20391-2024")</f>
        <v/>
      </c>
      <c r="Y27">
        <f>HYPERLINK("https://klasma.github.io/Logging_1907/tillsynsmail/A 20391-2024 tillsynsbegäran mail.docx", "A 20391-2024")</f>
        <v/>
      </c>
    </row>
    <row r="28" ht="15" customHeight="1">
      <c r="A28" t="inlineStr">
        <is>
          <t>A 42860-2022</t>
        </is>
      </c>
      <c r="B28" s="1" t="n">
        <v>44832</v>
      </c>
      <c r="C28" s="1" t="n">
        <v>45904</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42853-2022</t>
        </is>
      </c>
      <c r="B29" s="1" t="n">
        <v>44832</v>
      </c>
      <c r="C29" s="1" t="n">
        <v>45904</v>
      </c>
      <c r="D29" t="inlineStr">
        <is>
          <t>VÄSTMANLANDS LÄN</t>
        </is>
      </c>
      <c r="E29" t="inlineStr">
        <is>
          <t>SURAHAMMAR</t>
        </is>
      </c>
      <c r="G29" t="n">
        <v>7.4</v>
      </c>
      <c r="H29" t="n">
        <v>1</v>
      </c>
      <c r="I29" t="n">
        <v>1</v>
      </c>
      <c r="J29" t="n">
        <v>1</v>
      </c>
      <c r="K29" t="n">
        <v>0</v>
      </c>
      <c r="L29" t="n">
        <v>1</v>
      </c>
      <c r="M29" t="n">
        <v>0</v>
      </c>
      <c r="N29" t="n">
        <v>0</v>
      </c>
      <c r="O29" t="n">
        <v>2</v>
      </c>
      <c r="P29" t="n">
        <v>1</v>
      </c>
      <c r="Q29" t="n">
        <v>3</v>
      </c>
      <c r="R29" s="2" t="inlineStr">
        <is>
          <t>Ask
Kandelabersvamp
Tvåblad</t>
        </is>
      </c>
      <c r="S29">
        <f>HYPERLINK("https://klasma.github.io/Logging_1907/artfynd/A 42853-2022 artfynd.xlsx", "A 42853-2022")</f>
        <v/>
      </c>
      <c r="T29">
        <f>HYPERLINK("https://klasma.github.io/Logging_1907/kartor/A 42853-2022 karta.png", "A 42853-2022")</f>
        <v/>
      </c>
      <c r="V29">
        <f>HYPERLINK("https://klasma.github.io/Logging_1907/klagomål/A 42853-2022 FSC-klagomål.docx", "A 42853-2022")</f>
        <v/>
      </c>
      <c r="W29">
        <f>HYPERLINK("https://klasma.github.io/Logging_1907/klagomålsmail/A 42853-2022 FSC-klagomål mail.docx", "A 42853-2022")</f>
        <v/>
      </c>
      <c r="X29">
        <f>HYPERLINK("https://klasma.github.io/Logging_1907/tillsyn/A 42853-2022 tillsynsbegäran.docx", "A 42853-2022")</f>
        <v/>
      </c>
      <c r="Y29">
        <f>HYPERLINK("https://klasma.github.io/Logging_1907/tillsynsmail/A 42853-2022 tillsynsbegäran mail.docx", "A 42853-2022")</f>
        <v/>
      </c>
    </row>
    <row r="30" ht="15" customHeight="1">
      <c r="A30" t="inlineStr">
        <is>
          <t>A 42708-2022</t>
        </is>
      </c>
      <c r="B30" s="1" t="n">
        <v>44832</v>
      </c>
      <c r="C30" s="1" t="n">
        <v>45904</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38200-2021</t>
        </is>
      </c>
      <c r="B31" s="1" t="n">
        <v>44405</v>
      </c>
      <c r="C31" s="1" t="n">
        <v>45904</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29707-2025</t>
        </is>
      </c>
      <c r="B32" s="1" t="n">
        <v>45825.56100694444</v>
      </c>
      <c r="C32" s="1" t="n">
        <v>45904</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49718-2023</t>
        </is>
      </c>
      <c r="B33" s="1" t="n">
        <v>45212</v>
      </c>
      <c r="C33" s="1" t="n">
        <v>45904</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45904</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37801-2021</t>
        </is>
      </c>
      <c r="B35" s="1" t="n">
        <v>44402</v>
      </c>
      <c r="C35" s="1" t="n">
        <v>45904</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45904</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45904</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37800-2021</t>
        </is>
      </c>
      <c r="B38" s="1" t="n">
        <v>44402</v>
      </c>
      <c r="C38" s="1" t="n">
        <v>45904</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4082-2025</t>
        </is>
      </c>
      <c r="B39" s="1" t="n">
        <v>45684</v>
      </c>
      <c r="C39" s="1" t="n">
        <v>45904</v>
      </c>
      <c r="D39" t="inlineStr">
        <is>
          <t>VÄSTMANLANDS LÄN</t>
        </is>
      </c>
      <c r="E39" t="inlineStr">
        <is>
          <t>SURAHAMMAR</t>
        </is>
      </c>
      <c r="F39" t="inlineStr">
        <is>
          <t>Bergvik skog väst AB</t>
        </is>
      </c>
      <c r="G39" t="n">
        <v>11.6</v>
      </c>
      <c r="H39" t="n">
        <v>1</v>
      </c>
      <c r="I39" t="n">
        <v>2</v>
      </c>
      <c r="J39" t="n">
        <v>0</v>
      </c>
      <c r="K39" t="n">
        <v>0</v>
      </c>
      <c r="L39" t="n">
        <v>0</v>
      </c>
      <c r="M39" t="n">
        <v>0</v>
      </c>
      <c r="N39" t="n">
        <v>0</v>
      </c>
      <c r="O39" t="n">
        <v>0</v>
      </c>
      <c r="P39" t="n">
        <v>0</v>
      </c>
      <c r="Q39" t="n">
        <v>2</v>
      </c>
      <c r="R39" s="2" t="inlineStr">
        <is>
          <t>Grönpyrola
Plattlummer</t>
        </is>
      </c>
      <c r="S39">
        <f>HYPERLINK("https://klasma.github.io/Logging_1907/artfynd/A 4082-2025 artfynd.xlsx", "A 4082-2025")</f>
        <v/>
      </c>
      <c r="T39">
        <f>HYPERLINK("https://klasma.github.io/Logging_1907/kartor/A 4082-2025 karta.png", "A 4082-2025")</f>
        <v/>
      </c>
      <c r="V39">
        <f>HYPERLINK("https://klasma.github.io/Logging_1907/klagomål/A 4082-2025 FSC-klagomål.docx", "A 4082-2025")</f>
        <v/>
      </c>
      <c r="W39">
        <f>HYPERLINK("https://klasma.github.io/Logging_1907/klagomålsmail/A 4082-2025 FSC-klagomål mail.docx", "A 4082-2025")</f>
        <v/>
      </c>
      <c r="X39">
        <f>HYPERLINK("https://klasma.github.io/Logging_1907/tillsyn/A 4082-2025 tillsynsbegäran.docx", "A 4082-2025")</f>
        <v/>
      </c>
      <c r="Y39">
        <f>HYPERLINK("https://klasma.github.io/Logging_1907/tillsynsmail/A 4082-2025 tillsynsbegäran mail.docx", "A 4082-2025")</f>
        <v/>
      </c>
    </row>
    <row r="40" ht="15" customHeight="1">
      <c r="A40" t="inlineStr">
        <is>
          <t>A 41204-2023</t>
        </is>
      </c>
      <c r="B40" s="1" t="n">
        <v>45174</v>
      </c>
      <c r="C40" s="1" t="n">
        <v>45904</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38170-2021</t>
        </is>
      </c>
      <c r="B41" s="1" t="n">
        <v>44405.43472222222</v>
      </c>
      <c r="C41" s="1" t="n">
        <v>45904</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45904</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45904</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30074-2023</t>
        </is>
      </c>
      <c r="B44" s="1" t="n">
        <v>45110</v>
      </c>
      <c r="C44" s="1" t="n">
        <v>45904</v>
      </c>
      <c r="D44" t="inlineStr">
        <is>
          <t>VÄSTMANLANDS LÄN</t>
        </is>
      </c>
      <c r="E44" t="inlineStr">
        <is>
          <t>SURAHAMMAR</t>
        </is>
      </c>
      <c r="F44" t="inlineStr">
        <is>
          <t>Sveaskog</t>
        </is>
      </c>
      <c r="G44" t="n">
        <v>1.1</v>
      </c>
      <c r="H44" t="n">
        <v>1</v>
      </c>
      <c r="I44" t="n">
        <v>0</v>
      </c>
      <c r="J44" t="n">
        <v>0</v>
      </c>
      <c r="K44" t="n">
        <v>0</v>
      </c>
      <c r="L44" t="n">
        <v>0</v>
      </c>
      <c r="M44" t="n">
        <v>0</v>
      </c>
      <c r="N44" t="n">
        <v>0</v>
      </c>
      <c r="O44" t="n">
        <v>0</v>
      </c>
      <c r="P44" t="n">
        <v>0</v>
      </c>
      <c r="Q44" t="n">
        <v>1</v>
      </c>
      <c r="R44" s="2" t="inlineStr">
        <is>
          <t>Revlummer</t>
        </is>
      </c>
      <c r="S44">
        <f>HYPERLINK("https://klasma.github.io/Logging_1907/artfynd/A 30074-2023 artfynd.xlsx", "A 30074-2023")</f>
        <v/>
      </c>
      <c r="T44">
        <f>HYPERLINK("https://klasma.github.io/Logging_1907/kartor/A 30074-2023 karta.png", "A 30074-2023")</f>
        <v/>
      </c>
      <c r="V44">
        <f>HYPERLINK("https://klasma.github.io/Logging_1907/klagomål/A 30074-2023 FSC-klagomål.docx", "A 30074-2023")</f>
        <v/>
      </c>
      <c r="W44">
        <f>HYPERLINK("https://klasma.github.io/Logging_1907/klagomålsmail/A 30074-2023 FSC-klagomål mail.docx", "A 30074-2023")</f>
        <v/>
      </c>
      <c r="X44">
        <f>HYPERLINK("https://klasma.github.io/Logging_1907/tillsyn/A 30074-2023 tillsynsbegäran.docx", "A 30074-2023")</f>
        <v/>
      </c>
      <c r="Y44">
        <f>HYPERLINK("https://klasma.github.io/Logging_1907/tillsynsmail/A 30074-2023 tillsynsbegäran mail.docx", "A 30074-2023")</f>
        <v/>
      </c>
    </row>
    <row r="45" ht="15" customHeight="1">
      <c r="A45" t="inlineStr">
        <is>
          <t>A 21716-2025</t>
        </is>
      </c>
      <c r="B45" s="1" t="n">
        <v>45783.54804398148</v>
      </c>
      <c r="C45" s="1" t="n">
        <v>45904</v>
      </c>
      <c r="D45" t="inlineStr">
        <is>
          <t>VÄSTMANLANDS LÄN</t>
        </is>
      </c>
      <c r="E45" t="inlineStr">
        <is>
          <t>SURAHAMMAR</t>
        </is>
      </c>
      <c r="F45" t="inlineStr">
        <is>
          <t>Allmännings- och besparingsskogar</t>
        </is>
      </c>
      <c r="G45" t="n">
        <v>21.1</v>
      </c>
      <c r="H45" t="n">
        <v>1</v>
      </c>
      <c r="I45" t="n">
        <v>0</v>
      </c>
      <c r="J45" t="n">
        <v>1</v>
      </c>
      <c r="K45" t="n">
        <v>0</v>
      </c>
      <c r="L45" t="n">
        <v>0</v>
      </c>
      <c r="M45" t="n">
        <v>0</v>
      </c>
      <c r="N45" t="n">
        <v>0</v>
      </c>
      <c r="O45" t="n">
        <v>1</v>
      </c>
      <c r="P45" t="n">
        <v>0</v>
      </c>
      <c r="Q45" t="n">
        <v>1</v>
      </c>
      <c r="R45" s="2" t="inlineStr">
        <is>
          <t>Spillkråka</t>
        </is>
      </c>
      <c r="S45">
        <f>HYPERLINK("https://klasma.github.io/Logging_1907/artfynd/A 21716-2025 artfynd.xlsx", "A 21716-2025")</f>
        <v/>
      </c>
      <c r="T45">
        <f>HYPERLINK("https://klasma.github.io/Logging_1907/kartor/A 21716-2025 karta.png", "A 21716-2025")</f>
        <v/>
      </c>
      <c r="V45">
        <f>HYPERLINK("https://klasma.github.io/Logging_1907/klagomål/A 21716-2025 FSC-klagomål.docx", "A 21716-2025")</f>
        <v/>
      </c>
      <c r="W45">
        <f>HYPERLINK("https://klasma.github.io/Logging_1907/klagomålsmail/A 21716-2025 FSC-klagomål mail.docx", "A 21716-2025")</f>
        <v/>
      </c>
      <c r="X45">
        <f>HYPERLINK("https://klasma.github.io/Logging_1907/tillsyn/A 21716-2025 tillsynsbegäran.docx", "A 21716-2025")</f>
        <v/>
      </c>
      <c r="Y45">
        <f>HYPERLINK("https://klasma.github.io/Logging_1907/tillsynsmail/A 21716-2025 tillsynsbegäran mail.docx", "A 21716-2025")</f>
        <v/>
      </c>
      <c r="Z45">
        <f>HYPERLINK("https://klasma.github.io/Logging_1907/fåglar/A 21716-2025 prioriterade fågelarter.docx", "A 21716-2025")</f>
        <v/>
      </c>
    </row>
    <row r="46" ht="15" customHeight="1">
      <c r="A46" t="inlineStr">
        <is>
          <t>A 40411-2021</t>
        </is>
      </c>
      <c r="B46" s="1" t="n">
        <v>44419</v>
      </c>
      <c r="C46" s="1" t="n">
        <v>45904</v>
      </c>
      <c r="D46" t="inlineStr">
        <is>
          <t>VÄSTMANLANDS LÄN</t>
        </is>
      </c>
      <c r="E46" t="inlineStr">
        <is>
          <t>SURAHAMMAR</t>
        </is>
      </c>
      <c r="F46" t="inlineStr">
        <is>
          <t>Sveaskog</t>
        </is>
      </c>
      <c r="G46" t="n">
        <v>2.4</v>
      </c>
      <c r="H46" t="n">
        <v>1</v>
      </c>
      <c r="I46" t="n">
        <v>0</v>
      </c>
      <c r="J46" t="n">
        <v>0</v>
      </c>
      <c r="K46" t="n">
        <v>0</v>
      </c>
      <c r="L46" t="n">
        <v>0</v>
      </c>
      <c r="M46" t="n">
        <v>0</v>
      </c>
      <c r="N46" t="n">
        <v>0</v>
      </c>
      <c r="O46" t="n">
        <v>0</v>
      </c>
      <c r="P46" t="n">
        <v>0</v>
      </c>
      <c r="Q46" t="n">
        <v>1</v>
      </c>
      <c r="R46" s="2" t="inlineStr">
        <is>
          <t>Kopparödla</t>
        </is>
      </c>
      <c r="S46">
        <f>HYPERLINK("https://klasma.github.io/Logging_1907/artfynd/A 40411-2021 artfynd.xlsx", "A 40411-2021")</f>
        <v/>
      </c>
      <c r="T46">
        <f>HYPERLINK("https://klasma.github.io/Logging_1907/kartor/A 40411-2021 karta.png", "A 40411-2021")</f>
        <v/>
      </c>
      <c r="V46">
        <f>HYPERLINK("https://klasma.github.io/Logging_1907/klagomål/A 40411-2021 FSC-klagomål.docx", "A 40411-2021")</f>
        <v/>
      </c>
      <c r="W46">
        <f>HYPERLINK("https://klasma.github.io/Logging_1907/klagomålsmail/A 40411-2021 FSC-klagomål mail.docx", "A 40411-2021")</f>
        <v/>
      </c>
      <c r="X46">
        <f>HYPERLINK("https://klasma.github.io/Logging_1907/tillsyn/A 40411-2021 tillsynsbegäran.docx", "A 40411-2021")</f>
        <v/>
      </c>
      <c r="Y46">
        <f>HYPERLINK("https://klasma.github.io/Logging_1907/tillsynsmail/A 40411-2021 tillsynsbegäran mail.docx", "A 40411-2021")</f>
        <v/>
      </c>
    </row>
    <row r="47" ht="15" customHeight="1">
      <c r="A47" t="inlineStr">
        <is>
          <t>A 44356-2024</t>
        </is>
      </c>
      <c r="B47" s="1" t="n">
        <v>45573</v>
      </c>
      <c r="C47" s="1" t="n">
        <v>45904</v>
      </c>
      <c r="D47" t="inlineStr">
        <is>
          <t>VÄSTMANLANDS LÄN</t>
        </is>
      </c>
      <c r="E47" t="inlineStr">
        <is>
          <t>SURAHAMMAR</t>
        </is>
      </c>
      <c r="F47" t="inlineStr">
        <is>
          <t>Sveaskog</t>
        </is>
      </c>
      <c r="G47" t="n">
        <v>0.7</v>
      </c>
      <c r="H47" t="n">
        <v>1</v>
      </c>
      <c r="I47" t="n">
        <v>0</v>
      </c>
      <c r="J47" t="n">
        <v>0</v>
      </c>
      <c r="K47" t="n">
        <v>0</v>
      </c>
      <c r="L47" t="n">
        <v>0</v>
      </c>
      <c r="M47" t="n">
        <v>0</v>
      </c>
      <c r="N47" t="n">
        <v>0</v>
      </c>
      <c r="O47" t="n">
        <v>0</v>
      </c>
      <c r="P47" t="n">
        <v>0</v>
      </c>
      <c r="Q47" t="n">
        <v>1</v>
      </c>
      <c r="R47" s="2" t="inlineStr">
        <is>
          <t>Revlummer</t>
        </is>
      </c>
      <c r="S47">
        <f>HYPERLINK("https://klasma.github.io/Logging_1907/artfynd/A 44356-2024 artfynd.xlsx", "A 44356-2024")</f>
        <v/>
      </c>
      <c r="T47">
        <f>HYPERLINK("https://klasma.github.io/Logging_1907/kartor/A 44356-2024 karta.png", "A 44356-2024")</f>
        <v/>
      </c>
      <c r="V47">
        <f>HYPERLINK("https://klasma.github.io/Logging_1907/klagomål/A 44356-2024 FSC-klagomål.docx", "A 44356-2024")</f>
        <v/>
      </c>
      <c r="W47">
        <f>HYPERLINK("https://klasma.github.io/Logging_1907/klagomålsmail/A 44356-2024 FSC-klagomål mail.docx", "A 44356-2024")</f>
        <v/>
      </c>
      <c r="X47">
        <f>HYPERLINK("https://klasma.github.io/Logging_1907/tillsyn/A 44356-2024 tillsynsbegäran.docx", "A 44356-2024")</f>
        <v/>
      </c>
      <c r="Y47">
        <f>HYPERLINK("https://klasma.github.io/Logging_1907/tillsynsmail/A 44356-2024 tillsynsbegäran mail.docx", "A 44356-2024")</f>
        <v/>
      </c>
    </row>
    <row r="48" ht="15" customHeight="1">
      <c r="A48" t="inlineStr">
        <is>
          <t>A 22840-2023</t>
        </is>
      </c>
      <c r="B48" s="1" t="n">
        <v>45072</v>
      </c>
      <c r="C48" s="1" t="n">
        <v>45904</v>
      </c>
      <c r="D48" t="inlineStr">
        <is>
          <t>VÄSTMANLANDS LÄN</t>
        </is>
      </c>
      <c r="E48" t="inlineStr">
        <is>
          <t>SURAHAMMAR</t>
        </is>
      </c>
      <c r="G48" t="n">
        <v>4.3</v>
      </c>
      <c r="H48" t="n">
        <v>1</v>
      </c>
      <c r="I48" t="n">
        <v>0</v>
      </c>
      <c r="J48" t="n">
        <v>0</v>
      </c>
      <c r="K48" t="n">
        <v>0</v>
      </c>
      <c r="L48" t="n">
        <v>0</v>
      </c>
      <c r="M48" t="n">
        <v>0</v>
      </c>
      <c r="N48" t="n">
        <v>0</v>
      </c>
      <c r="O48" t="n">
        <v>0</v>
      </c>
      <c r="P48" t="n">
        <v>0</v>
      </c>
      <c r="Q48" t="n">
        <v>1</v>
      </c>
      <c r="R48" s="2" t="inlineStr">
        <is>
          <t>Fläcknycklar</t>
        </is>
      </c>
      <c r="S48">
        <f>HYPERLINK("https://klasma.github.io/Logging_1907/artfynd/A 22840-2023 artfynd.xlsx", "A 22840-2023")</f>
        <v/>
      </c>
      <c r="T48">
        <f>HYPERLINK("https://klasma.github.io/Logging_1907/kartor/A 22840-2023 karta.png", "A 22840-2023")</f>
        <v/>
      </c>
      <c r="V48">
        <f>HYPERLINK("https://klasma.github.io/Logging_1907/klagomål/A 22840-2023 FSC-klagomål.docx", "A 22840-2023")</f>
        <v/>
      </c>
      <c r="W48">
        <f>HYPERLINK("https://klasma.github.io/Logging_1907/klagomålsmail/A 22840-2023 FSC-klagomål mail.docx", "A 22840-2023")</f>
        <v/>
      </c>
      <c r="X48">
        <f>HYPERLINK("https://klasma.github.io/Logging_1907/tillsyn/A 22840-2023 tillsynsbegäran.docx", "A 22840-2023")</f>
        <v/>
      </c>
      <c r="Y48">
        <f>HYPERLINK("https://klasma.github.io/Logging_1907/tillsynsmail/A 22840-2023 tillsynsbegäran mail.docx", "A 22840-2023")</f>
        <v/>
      </c>
    </row>
    <row r="49" ht="15" customHeight="1">
      <c r="A49" t="inlineStr">
        <is>
          <t>A 33231-2024</t>
        </is>
      </c>
      <c r="B49" s="1" t="n">
        <v>45518</v>
      </c>
      <c r="C49" s="1" t="n">
        <v>45904</v>
      </c>
      <c r="D49" t="inlineStr">
        <is>
          <t>VÄSTMANLANDS LÄN</t>
        </is>
      </c>
      <c r="E49" t="inlineStr">
        <is>
          <t>SURAHAMMAR</t>
        </is>
      </c>
      <c r="F49" t="inlineStr">
        <is>
          <t>Bergvik skog väst AB</t>
        </is>
      </c>
      <c r="G49" t="n">
        <v>1.5</v>
      </c>
      <c r="H49" t="n">
        <v>1</v>
      </c>
      <c r="I49" t="n">
        <v>0</v>
      </c>
      <c r="J49" t="n">
        <v>0</v>
      </c>
      <c r="K49" t="n">
        <v>0</v>
      </c>
      <c r="L49" t="n">
        <v>0</v>
      </c>
      <c r="M49" t="n">
        <v>0</v>
      </c>
      <c r="N49" t="n">
        <v>0</v>
      </c>
      <c r="O49" t="n">
        <v>0</v>
      </c>
      <c r="P49" t="n">
        <v>0</v>
      </c>
      <c r="Q49" t="n">
        <v>1</v>
      </c>
      <c r="R49" s="2" t="inlineStr">
        <is>
          <t>Mindre vattensalamander</t>
        </is>
      </c>
      <c r="S49">
        <f>HYPERLINK("https://klasma.github.io/Logging_1907/artfynd/A 33231-2024 artfynd.xlsx", "A 33231-2024")</f>
        <v/>
      </c>
      <c r="T49">
        <f>HYPERLINK("https://klasma.github.io/Logging_1907/kartor/A 33231-2024 karta.png", "A 33231-2024")</f>
        <v/>
      </c>
      <c r="V49">
        <f>HYPERLINK("https://klasma.github.io/Logging_1907/klagomål/A 33231-2024 FSC-klagomål.docx", "A 33231-2024")</f>
        <v/>
      </c>
      <c r="W49">
        <f>HYPERLINK("https://klasma.github.io/Logging_1907/klagomålsmail/A 33231-2024 FSC-klagomål mail.docx", "A 33231-2024")</f>
        <v/>
      </c>
      <c r="X49">
        <f>HYPERLINK("https://klasma.github.io/Logging_1907/tillsyn/A 33231-2024 tillsynsbegäran.docx", "A 33231-2024")</f>
        <v/>
      </c>
      <c r="Y49">
        <f>HYPERLINK("https://klasma.github.io/Logging_1907/tillsynsmail/A 33231-2024 tillsynsbegäran mail.docx", "A 33231-2024")</f>
        <v/>
      </c>
    </row>
    <row r="50" ht="15" customHeight="1">
      <c r="A50" t="inlineStr">
        <is>
          <t>A 13788-2025</t>
        </is>
      </c>
      <c r="B50" s="1" t="n">
        <v>45737.45327546296</v>
      </c>
      <c r="C50" s="1" t="n">
        <v>45904</v>
      </c>
      <c r="D50" t="inlineStr">
        <is>
          <t>VÄSTMANLANDS LÄN</t>
        </is>
      </c>
      <c r="E50" t="inlineStr">
        <is>
          <t>SURAHAMMAR</t>
        </is>
      </c>
      <c r="G50" t="n">
        <v>9.699999999999999</v>
      </c>
      <c r="H50" t="n">
        <v>1</v>
      </c>
      <c r="I50" t="n">
        <v>0</v>
      </c>
      <c r="J50" t="n">
        <v>0</v>
      </c>
      <c r="K50" t="n">
        <v>0</v>
      </c>
      <c r="L50" t="n">
        <v>0</v>
      </c>
      <c r="M50" t="n">
        <v>0</v>
      </c>
      <c r="N50" t="n">
        <v>0</v>
      </c>
      <c r="O50" t="n">
        <v>0</v>
      </c>
      <c r="P50" t="n">
        <v>0</v>
      </c>
      <c r="Q50" t="n">
        <v>1</v>
      </c>
      <c r="R50" s="2" t="inlineStr">
        <is>
          <t>Sparvuggla</t>
        </is>
      </c>
      <c r="S50">
        <f>HYPERLINK("https://klasma.github.io/Logging_1907/artfynd/A 13788-2025 artfynd.xlsx", "A 13788-2025")</f>
        <v/>
      </c>
      <c r="T50">
        <f>HYPERLINK("https://klasma.github.io/Logging_1907/kartor/A 13788-2025 karta.png", "A 13788-2025")</f>
        <v/>
      </c>
      <c r="V50">
        <f>HYPERLINK("https://klasma.github.io/Logging_1907/klagomål/A 13788-2025 FSC-klagomål.docx", "A 13788-2025")</f>
        <v/>
      </c>
      <c r="W50">
        <f>HYPERLINK("https://klasma.github.io/Logging_1907/klagomålsmail/A 13788-2025 FSC-klagomål mail.docx", "A 13788-2025")</f>
        <v/>
      </c>
      <c r="X50">
        <f>HYPERLINK("https://klasma.github.io/Logging_1907/tillsyn/A 13788-2025 tillsynsbegäran.docx", "A 13788-2025")</f>
        <v/>
      </c>
      <c r="Y50">
        <f>HYPERLINK("https://klasma.github.io/Logging_1907/tillsynsmail/A 13788-2025 tillsynsbegäran mail.docx", "A 13788-2025")</f>
        <v/>
      </c>
      <c r="Z50">
        <f>HYPERLINK("https://klasma.github.io/Logging_1907/fåglar/A 13788-2025 prioriterade fågelarter.docx", "A 13788-2025")</f>
        <v/>
      </c>
    </row>
    <row r="51" ht="15" customHeight="1">
      <c r="A51" t="inlineStr">
        <is>
          <t>A 56362-2023</t>
        </is>
      </c>
      <c r="B51" s="1" t="n">
        <v>45236</v>
      </c>
      <c r="C51" s="1" t="n">
        <v>45904</v>
      </c>
      <c r="D51" t="inlineStr">
        <is>
          <t>VÄSTMANLANDS LÄN</t>
        </is>
      </c>
      <c r="E51" t="inlineStr">
        <is>
          <t>SURAHAMMAR</t>
        </is>
      </c>
      <c r="F51" t="inlineStr">
        <is>
          <t>Bergvik skog väst AB</t>
        </is>
      </c>
      <c r="G51" t="n">
        <v>15.2</v>
      </c>
      <c r="H51" t="n">
        <v>0</v>
      </c>
      <c r="I51" t="n">
        <v>1</v>
      </c>
      <c r="J51" t="n">
        <v>0</v>
      </c>
      <c r="K51" t="n">
        <v>0</v>
      </c>
      <c r="L51" t="n">
        <v>0</v>
      </c>
      <c r="M51" t="n">
        <v>0</v>
      </c>
      <c r="N51" t="n">
        <v>0</v>
      </c>
      <c r="O51" t="n">
        <v>0</v>
      </c>
      <c r="P51" t="n">
        <v>0</v>
      </c>
      <c r="Q51" t="n">
        <v>1</v>
      </c>
      <c r="R51" s="2" t="inlineStr">
        <is>
          <t>Grönpyrola</t>
        </is>
      </c>
      <c r="S51">
        <f>HYPERLINK("https://klasma.github.io/Logging_1907/artfynd/A 56362-2023 artfynd.xlsx", "A 56362-2023")</f>
        <v/>
      </c>
      <c r="T51">
        <f>HYPERLINK("https://klasma.github.io/Logging_1907/kartor/A 56362-2023 karta.png", "A 56362-2023")</f>
        <v/>
      </c>
      <c r="V51">
        <f>HYPERLINK("https://klasma.github.io/Logging_1907/klagomål/A 56362-2023 FSC-klagomål.docx", "A 56362-2023")</f>
        <v/>
      </c>
      <c r="W51">
        <f>HYPERLINK("https://klasma.github.io/Logging_1907/klagomålsmail/A 56362-2023 FSC-klagomål mail.docx", "A 56362-2023")</f>
        <v/>
      </c>
      <c r="X51">
        <f>HYPERLINK("https://klasma.github.io/Logging_1907/tillsyn/A 56362-2023 tillsynsbegäran.docx", "A 56362-2023")</f>
        <v/>
      </c>
      <c r="Y51">
        <f>HYPERLINK("https://klasma.github.io/Logging_1907/tillsynsmail/A 56362-2023 tillsynsbegäran mail.docx", "A 56362-2023")</f>
        <v/>
      </c>
    </row>
    <row r="52" ht="15" customHeight="1">
      <c r="A52" t="inlineStr">
        <is>
          <t>A 47453-2024</t>
        </is>
      </c>
      <c r="B52" s="1" t="n">
        <v>45587.55017361111</v>
      </c>
      <c r="C52" s="1" t="n">
        <v>45904</v>
      </c>
      <c r="D52" t="inlineStr">
        <is>
          <t>VÄSTMANLANDS LÄN</t>
        </is>
      </c>
      <c r="E52" t="inlineStr">
        <is>
          <t>SURAHAMMAR</t>
        </is>
      </c>
      <c r="G52" t="n">
        <v>5.1</v>
      </c>
      <c r="H52" t="n">
        <v>1</v>
      </c>
      <c r="I52" t="n">
        <v>0</v>
      </c>
      <c r="J52" t="n">
        <v>0</v>
      </c>
      <c r="K52" t="n">
        <v>0</v>
      </c>
      <c r="L52" t="n">
        <v>0</v>
      </c>
      <c r="M52" t="n">
        <v>0</v>
      </c>
      <c r="N52" t="n">
        <v>0</v>
      </c>
      <c r="O52" t="n">
        <v>0</v>
      </c>
      <c r="P52" t="n">
        <v>0</v>
      </c>
      <c r="Q52" t="n">
        <v>1</v>
      </c>
      <c r="R52" s="2" t="inlineStr">
        <is>
          <t>Göktyta</t>
        </is>
      </c>
      <c r="S52">
        <f>HYPERLINK("https://klasma.github.io/Logging_1907/artfynd/A 47453-2024 artfynd.xlsx", "A 47453-2024")</f>
        <v/>
      </c>
      <c r="T52">
        <f>HYPERLINK("https://klasma.github.io/Logging_1907/kartor/A 47453-2024 karta.png", "A 47453-2024")</f>
        <v/>
      </c>
      <c r="V52">
        <f>HYPERLINK("https://klasma.github.io/Logging_1907/klagomål/A 47453-2024 FSC-klagomål.docx", "A 47453-2024")</f>
        <v/>
      </c>
      <c r="W52">
        <f>HYPERLINK("https://klasma.github.io/Logging_1907/klagomålsmail/A 47453-2024 FSC-klagomål mail.docx", "A 47453-2024")</f>
        <v/>
      </c>
      <c r="X52">
        <f>HYPERLINK("https://klasma.github.io/Logging_1907/tillsyn/A 47453-2024 tillsynsbegäran.docx", "A 47453-2024")</f>
        <v/>
      </c>
      <c r="Y52">
        <f>HYPERLINK("https://klasma.github.io/Logging_1907/tillsynsmail/A 47453-2024 tillsynsbegäran mail.docx", "A 47453-2024")</f>
        <v/>
      </c>
      <c r="Z52">
        <f>HYPERLINK("https://klasma.github.io/Logging_1907/fåglar/A 47453-2024 prioriterade fågelarter.docx", "A 47453-2024")</f>
        <v/>
      </c>
    </row>
    <row r="53" ht="15" customHeight="1">
      <c r="A53" t="inlineStr">
        <is>
          <t>A 25583-2024</t>
        </is>
      </c>
      <c r="B53" s="1" t="n">
        <v>45463</v>
      </c>
      <c r="C53" s="1" t="n">
        <v>45904</v>
      </c>
      <c r="D53" t="inlineStr">
        <is>
          <t>VÄSTMANLANDS LÄN</t>
        </is>
      </c>
      <c r="E53" t="inlineStr">
        <is>
          <t>SURAHAMMAR</t>
        </is>
      </c>
      <c r="F53" t="inlineStr">
        <is>
          <t>Bergvik skog väst AB</t>
        </is>
      </c>
      <c r="G53" t="n">
        <v>7.8</v>
      </c>
      <c r="H53" t="n">
        <v>1</v>
      </c>
      <c r="I53" t="n">
        <v>0</v>
      </c>
      <c r="J53" t="n">
        <v>0</v>
      </c>
      <c r="K53" t="n">
        <v>0</v>
      </c>
      <c r="L53" t="n">
        <v>0</v>
      </c>
      <c r="M53" t="n">
        <v>0</v>
      </c>
      <c r="N53" t="n">
        <v>0</v>
      </c>
      <c r="O53" t="n">
        <v>0</v>
      </c>
      <c r="P53" t="n">
        <v>0</v>
      </c>
      <c r="Q53" t="n">
        <v>1</v>
      </c>
      <c r="R53" s="2" t="inlineStr">
        <is>
          <t>Blåsippa</t>
        </is>
      </c>
      <c r="S53">
        <f>HYPERLINK("https://klasma.github.io/Logging_1907/artfynd/A 25583-2024 artfynd.xlsx", "A 25583-2024")</f>
        <v/>
      </c>
      <c r="T53">
        <f>HYPERLINK("https://klasma.github.io/Logging_1907/kartor/A 25583-2024 karta.png", "A 25583-2024")</f>
        <v/>
      </c>
      <c r="V53">
        <f>HYPERLINK("https://klasma.github.io/Logging_1907/klagomål/A 25583-2024 FSC-klagomål.docx", "A 25583-2024")</f>
        <v/>
      </c>
      <c r="W53">
        <f>HYPERLINK("https://klasma.github.io/Logging_1907/klagomålsmail/A 25583-2024 FSC-klagomål mail.docx", "A 25583-2024")</f>
        <v/>
      </c>
      <c r="X53">
        <f>HYPERLINK("https://klasma.github.io/Logging_1907/tillsyn/A 25583-2024 tillsynsbegäran.docx", "A 25583-2024")</f>
        <v/>
      </c>
      <c r="Y53">
        <f>HYPERLINK("https://klasma.github.io/Logging_1907/tillsynsmail/A 25583-2024 tillsynsbegäran mail.docx", "A 25583-2024")</f>
        <v/>
      </c>
    </row>
    <row r="54" ht="15" customHeight="1">
      <c r="A54" t="inlineStr">
        <is>
          <t>A 62097-2024</t>
        </is>
      </c>
      <c r="B54" s="1" t="n">
        <v>45646</v>
      </c>
      <c r="C54" s="1" t="n">
        <v>45904</v>
      </c>
      <c r="D54" t="inlineStr">
        <is>
          <t>VÄSTMANLANDS LÄN</t>
        </is>
      </c>
      <c r="E54" t="inlineStr">
        <is>
          <t>SURAHAMMAR</t>
        </is>
      </c>
      <c r="F54" t="inlineStr">
        <is>
          <t>Bergvik skog väst AB</t>
        </is>
      </c>
      <c r="G54" t="n">
        <v>21.7</v>
      </c>
      <c r="H54" t="n">
        <v>1</v>
      </c>
      <c r="I54" t="n">
        <v>0</v>
      </c>
      <c r="J54" t="n">
        <v>0</v>
      </c>
      <c r="K54" t="n">
        <v>0</v>
      </c>
      <c r="L54" t="n">
        <v>0</v>
      </c>
      <c r="M54" t="n">
        <v>0</v>
      </c>
      <c r="N54" t="n">
        <v>0</v>
      </c>
      <c r="O54" t="n">
        <v>0</v>
      </c>
      <c r="P54" t="n">
        <v>0</v>
      </c>
      <c r="Q54" t="n">
        <v>1</v>
      </c>
      <c r="R54" s="2" t="inlineStr">
        <is>
          <t>Revlummer</t>
        </is>
      </c>
      <c r="S54">
        <f>HYPERLINK("https://klasma.github.io/Logging_1907/artfynd/A 62097-2024 artfynd.xlsx", "A 62097-2024")</f>
        <v/>
      </c>
      <c r="T54">
        <f>HYPERLINK("https://klasma.github.io/Logging_1907/kartor/A 62097-2024 karta.png", "A 62097-2024")</f>
        <v/>
      </c>
      <c r="V54">
        <f>HYPERLINK("https://klasma.github.io/Logging_1907/klagomål/A 62097-2024 FSC-klagomål.docx", "A 62097-2024")</f>
        <v/>
      </c>
      <c r="W54">
        <f>HYPERLINK("https://klasma.github.io/Logging_1907/klagomålsmail/A 62097-2024 FSC-klagomål mail.docx", "A 62097-2024")</f>
        <v/>
      </c>
      <c r="X54">
        <f>HYPERLINK("https://klasma.github.io/Logging_1907/tillsyn/A 62097-2024 tillsynsbegäran.docx", "A 62097-2024")</f>
        <v/>
      </c>
      <c r="Y54">
        <f>HYPERLINK("https://klasma.github.io/Logging_1907/tillsynsmail/A 62097-2024 tillsynsbegäran mail.docx", "A 62097-2024")</f>
        <v/>
      </c>
    </row>
    <row r="55" ht="15" customHeight="1">
      <c r="A55" t="inlineStr">
        <is>
          <t>A 39099-2022</t>
        </is>
      </c>
      <c r="B55" s="1" t="n">
        <v>44817</v>
      </c>
      <c r="C55" s="1" t="n">
        <v>45904</v>
      </c>
      <c r="D55" t="inlineStr">
        <is>
          <t>VÄSTMANLANDS LÄN</t>
        </is>
      </c>
      <c r="E55" t="inlineStr">
        <is>
          <t>SURAHAMMAR</t>
        </is>
      </c>
      <c r="F55" t="inlineStr">
        <is>
          <t>Bergvik skog väst AB</t>
        </is>
      </c>
      <c r="G55" t="n">
        <v>7.4</v>
      </c>
      <c r="H55" t="n">
        <v>0</v>
      </c>
      <c r="I55" t="n">
        <v>1</v>
      </c>
      <c r="J55" t="n">
        <v>0</v>
      </c>
      <c r="K55" t="n">
        <v>0</v>
      </c>
      <c r="L55" t="n">
        <v>0</v>
      </c>
      <c r="M55" t="n">
        <v>0</v>
      </c>
      <c r="N55" t="n">
        <v>0</v>
      </c>
      <c r="O55" t="n">
        <v>0</v>
      </c>
      <c r="P55" t="n">
        <v>0</v>
      </c>
      <c r="Q55" t="n">
        <v>1</v>
      </c>
      <c r="R55" s="2" t="inlineStr">
        <is>
          <t>Stekelbock</t>
        </is>
      </c>
      <c r="S55">
        <f>HYPERLINK("https://klasma.github.io/Logging_1907/artfynd/A 39099-2022 artfynd.xlsx", "A 39099-2022")</f>
        <v/>
      </c>
      <c r="T55">
        <f>HYPERLINK("https://klasma.github.io/Logging_1907/kartor/A 39099-2022 karta.png", "A 39099-2022")</f>
        <v/>
      </c>
      <c r="V55">
        <f>HYPERLINK("https://klasma.github.io/Logging_1907/klagomål/A 39099-2022 FSC-klagomål.docx", "A 39099-2022")</f>
        <v/>
      </c>
      <c r="W55">
        <f>HYPERLINK("https://klasma.github.io/Logging_1907/klagomålsmail/A 39099-2022 FSC-klagomål mail.docx", "A 39099-2022")</f>
        <v/>
      </c>
      <c r="X55">
        <f>HYPERLINK("https://klasma.github.io/Logging_1907/tillsyn/A 39099-2022 tillsynsbegäran.docx", "A 39099-2022")</f>
        <v/>
      </c>
      <c r="Y55">
        <f>HYPERLINK("https://klasma.github.io/Logging_1907/tillsynsmail/A 39099-2022 tillsynsbegäran mail.docx", "A 39099-2022")</f>
        <v/>
      </c>
    </row>
    <row r="56" ht="15" customHeight="1">
      <c r="A56" t="inlineStr">
        <is>
          <t>A 14001-2023</t>
        </is>
      </c>
      <c r="B56" s="1" t="n">
        <v>45007</v>
      </c>
      <c r="C56" s="1" t="n">
        <v>45904</v>
      </c>
      <c r="D56" t="inlineStr">
        <is>
          <t>VÄSTMANLANDS LÄN</t>
        </is>
      </c>
      <c r="E56" t="inlineStr">
        <is>
          <t>SURAHAMMAR</t>
        </is>
      </c>
      <c r="F56" t="inlineStr">
        <is>
          <t>Bergvik skog väst AB</t>
        </is>
      </c>
      <c r="G56" t="n">
        <v>1</v>
      </c>
      <c r="H56" t="n">
        <v>0</v>
      </c>
      <c r="I56" t="n">
        <v>0</v>
      </c>
      <c r="J56" t="n">
        <v>1</v>
      </c>
      <c r="K56" t="n">
        <v>0</v>
      </c>
      <c r="L56" t="n">
        <v>0</v>
      </c>
      <c r="M56" t="n">
        <v>0</v>
      </c>
      <c r="N56" t="n">
        <v>0</v>
      </c>
      <c r="O56" t="n">
        <v>1</v>
      </c>
      <c r="P56" t="n">
        <v>0</v>
      </c>
      <c r="Q56" t="n">
        <v>1</v>
      </c>
      <c r="R56" s="2" t="inlineStr">
        <is>
          <t>Motaggsvamp</t>
        </is>
      </c>
      <c r="S56">
        <f>HYPERLINK("https://klasma.github.io/Logging_1907/artfynd/A 14001-2023 artfynd.xlsx", "A 14001-2023")</f>
        <v/>
      </c>
      <c r="T56">
        <f>HYPERLINK("https://klasma.github.io/Logging_1907/kartor/A 14001-2023 karta.png", "A 14001-2023")</f>
        <v/>
      </c>
      <c r="V56">
        <f>HYPERLINK("https://klasma.github.io/Logging_1907/klagomål/A 14001-2023 FSC-klagomål.docx", "A 14001-2023")</f>
        <v/>
      </c>
      <c r="W56">
        <f>HYPERLINK("https://klasma.github.io/Logging_1907/klagomålsmail/A 14001-2023 FSC-klagomål mail.docx", "A 14001-2023")</f>
        <v/>
      </c>
      <c r="X56">
        <f>HYPERLINK("https://klasma.github.io/Logging_1907/tillsyn/A 14001-2023 tillsynsbegäran.docx", "A 14001-2023")</f>
        <v/>
      </c>
      <c r="Y56">
        <f>HYPERLINK("https://klasma.github.io/Logging_1907/tillsynsmail/A 14001-2023 tillsynsbegäran mail.docx", "A 14001-2023")</f>
        <v/>
      </c>
    </row>
    <row r="57" ht="15" customHeight="1">
      <c r="A57" t="inlineStr">
        <is>
          <t>A 42765-2022</t>
        </is>
      </c>
      <c r="B57" s="1" t="n">
        <v>44832</v>
      </c>
      <c r="C57" s="1" t="n">
        <v>45904</v>
      </c>
      <c r="D57" t="inlineStr">
        <is>
          <t>VÄSTMANLANDS LÄN</t>
        </is>
      </c>
      <c r="E57" t="inlineStr">
        <is>
          <t>SURAHAMMAR</t>
        </is>
      </c>
      <c r="G57" t="n">
        <v>1.8</v>
      </c>
      <c r="H57" t="n">
        <v>1</v>
      </c>
      <c r="I57" t="n">
        <v>0</v>
      </c>
      <c r="J57" t="n">
        <v>0</v>
      </c>
      <c r="K57" t="n">
        <v>0</v>
      </c>
      <c r="L57" t="n">
        <v>0</v>
      </c>
      <c r="M57" t="n">
        <v>0</v>
      </c>
      <c r="N57" t="n">
        <v>0</v>
      </c>
      <c r="O57" t="n">
        <v>0</v>
      </c>
      <c r="P57" t="n">
        <v>0</v>
      </c>
      <c r="Q57" t="n">
        <v>1</v>
      </c>
      <c r="R57" s="2" t="inlineStr">
        <is>
          <t>Blåsippa</t>
        </is>
      </c>
      <c r="S57">
        <f>HYPERLINK("https://klasma.github.io/Logging_1907/artfynd/A 42765-2022 artfynd.xlsx", "A 42765-2022")</f>
        <v/>
      </c>
      <c r="T57">
        <f>HYPERLINK("https://klasma.github.io/Logging_1907/kartor/A 42765-2022 karta.png", "A 42765-2022")</f>
        <v/>
      </c>
      <c r="V57">
        <f>HYPERLINK("https://klasma.github.io/Logging_1907/klagomål/A 42765-2022 FSC-klagomål.docx", "A 42765-2022")</f>
        <v/>
      </c>
      <c r="W57">
        <f>HYPERLINK("https://klasma.github.io/Logging_1907/klagomålsmail/A 42765-2022 FSC-klagomål mail.docx", "A 42765-2022")</f>
        <v/>
      </c>
      <c r="X57">
        <f>HYPERLINK("https://klasma.github.io/Logging_1907/tillsyn/A 42765-2022 tillsynsbegäran.docx", "A 42765-2022")</f>
        <v/>
      </c>
      <c r="Y57">
        <f>HYPERLINK("https://klasma.github.io/Logging_1907/tillsynsmail/A 42765-2022 tillsynsbegäran mail.docx", "A 42765-2022")</f>
        <v/>
      </c>
    </row>
    <row r="58" ht="15" customHeight="1">
      <c r="A58" t="inlineStr">
        <is>
          <t>A 40403-2025</t>
        </is>
      </c>
      <c r="B58" s="1" t="n">
        <v>45895</v>
      </c>
      <c r="C58" s="1" t="n">
        <v>45904</v>
      </c>
      <c r="D58" t="inlineStr">
        <is>
          <t>VÄSTMANLANDS LÄN</t>
        </is>
      </c>
      <c r="E58" t="inlineStr">
        <is>
          <t>SURAHAMMAR</t>
        </is>
      </c>
      <c r="F58" t="inlineStr">
        <is>
          <t>Kommuner</t>
        </is>
      </c>
      <c r="G58" t="n">
        <v>3.9</v>
      </c>
      <c r="H58" t="n">
        <v>0</v>
      </c>
      <c r="I58" t="n">
        <v>0</v>
      </c>
      <c r="J58" t="n">
        <v>1</v>
      </c>
      <c r="K58" t="n">
        <v>0</v>
      </c>
      <c r="L58" t="n">
        <v>0</v>
      </c>
      <c r="M58" t="n">
        <v>0</v>
      </c>
      <c r="N58" t="n">
        <v>0</v>
      </c>
      <c r="O58" t="n">
        <v>1</v>
      </c>
      <c r="P58" t="n">
        <v>0</v>
      </c>
      <c r="Q58" t="n">
        <v>1</v>
      </c>
      <c r="R58" s="2" t="inlineStr">
        <is>
          <t>Igelkott</t>
        </is>
      </c>
      <c r="S58">
        <f>HYPERLINK("https://klasma.github.io/Logging_1907/artfynd/A 40403-2025 artfynd.xlsx", "A 40403-2025")</f>
        <v/>
      </c>
      <c r="T58">
        <f>HYPERLINK("https://klasma.github.io/Logging_1907/kartor/A 40403-2025 karta.png", "A 40403-2025")</f>
        <v/>
      </c>
      <c r="V58">
        <f>HYPERLINK("https://klasma.github.io/Logging_1907/klagomål/A 40403-2025 FSC-klagomål.docx", "A 40403-2025")</f>
        <v/>
      </c>
      <c r="W58">
        <f>HYPERLINK("https://klasma.github.io/Logging_1907/klagomålsmail/A 40403-2025 FSC-klagomål mail.docx", "A 40403-2025")</f>
        <v/>
      </c>
      <c r="X58">
        <f>HYPERLINK("https://klasma.github.io/Logging_1907/tillsyn/A 40403-2025 tillsynsbegäran.docx", "A 40403-2025")</f>
        <v/>
      </c>
      <c r="Y58">
        <f>HYPERLINK("https://klasma.github.io/Logging_1907/tillsynsmail/A 40403-2025 tillsynsbegäran mail.docx", "A 40403-2025")</f>
        <v/>
      </c>
    </row>
    <row r="59" ht="15" customHeight="1">
      <c r="A59" t="inlineStr">
        <is>
          <t>A 42089-2025</t>
        </is>
      </c>
      <c r="B59" s="1" t="n">
        <v>45902</v>
      </c>
      <c r="C59" s="1" t="n">
        <v>45904</v>
      </c>
      <c r="D59" t="inlineStr">
        <is>
          <t>VÄSTMANLANDS LÄN</t>
        </is>
      </c>
      <c r="E59" t="inlineStr">
        <is>
          <t>SURAHAMMAR</t>
        </is>
      </c>
      <c r="G59" t="n">
        <v>2.2</v>
      </c>
      <c r="H59" t="n">
        <v>0</v>
      </c>
      <c r="I59" t="n">
        <v>0</v>
      </c>
      <c r="J59" t="n">
        <v>1</v>
      </c>
      <c r="K59" t="n">
        <v>0</v>
      </c>
      <c r="L59" t="n">
        <v>0</v>
      </c>
      <c r="M59" t="n">
        <v>0</v>
      </c>
      <c r="N59" t="n">
        <v>0</v>
      </c>
      <c r="O59" t="n">
        <v>1</v>
      </c>
      <c r="P59" t="n">
        <v>0</v>
      </c>
      <c r="Q59" t="n">
        <v>1</v>
      </c>
      <c r="R59" s="2" t="inlineStr">
        <is>
          <t>Motaggsvamp</t>
        </is>
      </c>
      <c r="S59">
        <f>HYPERLINK("https://klasma.github.io/Logging_1907/artfynd/A 42089-2025 artfynd.xlsx", "A 42089-2025")</f>
        <v/>
      </c>
      <c r="T59">
        <f>HYPERLINK("https://klasma.github.io/Logging_1907/kartor/A 42089-2025 karta.png", "A 42089-2025")</f>
        <v/>
      </c>
      <c r="V59">
        <f>HYPERLINK("https://klasma.github.io/Logging_1907/klagomål/A 42089-2025 FSC-klagomål.docx", "A 42089-2025")</f>
        <v/>
      </c>
      <c r="W59">
        <f>HYPERLINK("https://klasma.github.io/Logging_1907/klagomålsmail/A 42089-2025 FSC-klagomål mail.docx", "A 42089-2025")</f>
        <v/>
      </c>
      <c r="X59">
        <f>HYPERLINK("https://klasma.github.io/Logging_1907/tillsyn/A 42089-2025 tillsynsbegäran.docx", "A 42089-2025")</f>
        <v/>
      </c>
      <c r="Y59">
        <f>HYPERLINK("https://klasma.github.io/Logging_1907/tillsynsmail/A 42089-2025 tillsynsbegäran mail.docx", "A 42089-2025")</f>
        <v/>
      </c>
    </row>
    <row r="60" ht="15" customHeight="1">
      <c r="A60" t="inlineStr">
        <is>
          <t>A 10819-2024</t>
        </is>
      </c>
      <c r="B60" s="1" t="n">
        <v>45369.66049768519</v>
      </c>
      <c r="C60" s="1" t="n">
        <v>45904</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13971-2023</t>
        </is>
      </c>
      <c r="B61" s="1" t="n">
        <v>45007</v>
      </c>
      <c r="C61" s="1" t="n">
        <v>45904</v>
      </c>
      <c r="D61" t="inlineStr">
        <is>
          <t>VÄSTMANLANDS LÄN</t>
        </is>
      </c>
      <c r="E61" t="inlineStr">
        <is>
          <t>SURAHAMMAR</t>
        </is>
      </c>
      <c r="F61" t="inlineStr">
        <is>
          <t>Bergvik skog väst AB</t>
        </is>
      </c>
      <c r="G61" t="n">
        <v>2.9</v>
      </c>
      <c r="H61" t="n">
        <v>1</v>
      </c>
      <c r="I61" t="n">
        <v>0</v>
      </c>
      <c r="J61" t="n">
        <v>0</v>
      </c>
      <c r="K61" t="n">
        <v>0</v>
      </c>
      <c r="L61" t="n">
        <v>0</v>
      </c>
      <c r="M61" t="n">
        <v>0</v>
      </c>
      <c r="N61" t="n">
        <v>0</v>
      </c>
      <c r="O61" t="n">
        <v>0</v>
      </c>
      <c r="P61" t="n">
        <v>0</v>
      </c>
      <c r="Q61" t="n">
        <v>1</v>
      </c>
      <c r="R61" s="2" t="inlineStr">
        <is>
          <t>Fläcknycklar</t>
        </is>
      </c>
      <c r="S61">
        <f>HYPERLINK("https://klasma.github.io/Logging_1907/artfynd/A 13971-2023 artfynd.xlsx", "A 13971-2023")</f>
        <v/>
      </c>
      <c r="T61">
        <f>HYPERLINK("https://klasma.github.io/Logging_1907/kartor/A 13971-2023 karta.png", "A 13971-2023")</f>
        <v/>
      </c>
      <c r="V61">
        <f>HYPERLINK("https://klasma.github.io/Logging_1907/klagomål/A 13971-2023 FSC-klagomål.docx", "A 13971-2023")</f>
        <v/>
      </c>
      <c r="W61">
        <f>HYPERLINK("https://klasma.github.io/Logging_1907/klagomålsmail/A 13971-2023 FSC-klagomål mail.docx", "A 13971-2023")</f>
        <v/>
      </c>
      <c r="X61">
        <f>HYPERLINK("https://klasma.github.io/Logging_1907/tillsyn/A 13971-2023 tillsynsbegäran.docx", "A 13971-2023")</f>
        <v/>
      </c>
      <c r="Y61">
        <f>HYPERLINK("https://klasma.github.io/Logging_1907/tillsynsmail/A 13971-2023 tillsynsbegäran mail.docx", "A 13971-2023")</f>
        <v/>
      </c>
    </row>
    <row r="62" ht="15" customHeight="1">
      <c r="A62" t="inlineStr">
        <is>
          <t>A 69777-2021</t>
        </is>
      </c>
      <c r="B62" s="1" t="n">
        <v>44532</v>
      </c>
      <c r="C62" s="1" t="n">
        <v>45904</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17632-2022</t>
        </is>
      </c>
      <c r="B63" s="1" t="n">
        <v>44680</v>
      </c>
      <c r="C63" s="1" t="n">
        <v>45904</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31176-2024</t>
        </is>
      </c>
      <c r="B64" s="1" t="n">
        <v>45503</v>
      </c>
      <c r="C64" s="1" t="n">
        <v>45904</v>
      </c>
      <c r="D64" t="inlineStr">
        <is>
          <t>VÄSTMANLANDS LÄN</t>
        </is>
      </c>
      <c r="E64" t="inlineStr">
        <is>
          <t>SURAHAMMAR</t>
        </is>
      </c>
      <c r="F64" t="inlineStr">
        <is>
          <t>Allmännings- och besparingsskogar</t>
        </is>
      </c>
      <c r="G64" t="n">
        <v>10.7</v>
      </c>
      <c r="H64" t="n">
        <v>0</v>
      </c>
      <c r="I64" t="n">
        <v>0</v>
      </c>
      <c r="J64" t="n">
        <v>1</v>
      </c>
      <c r="K64" t="n">
        <v>0</v>
      </c>
      <c r="L64" t="n">
        <v>0</v>
      </c>
      <c r="M64" t="n">
        <v>0</v>
      </c>
      <c r="N64" t="n">
        <v>0</v>
      </c>
      <c r="O64" t="n">
        <v>1</v>
      </c>
      <c r="P64" t="n">
        <v>0</v>
      </c>
      <c r="Q64" t="n">
        <v>1</v>
      </c>
      <c r="R64" s="2" t="inlineStr">
        <is>
          <t>Doftskinn</t>
        </is>
      </c>
      <c r="S64">
        <f>HYPERLINK("https://klasma.github.io/Logging_1907/artfynd/A 31176-2024 artfynd.xlsx", "A 31176-2024")</f>
        <v/>
      </c>
      <c r="T64">
        <f>HYPERLINK("https://klasma.github.io/Logging_1907/kartor/A 31176-2024 karta.png", "A 31176-2024")</f>
        <v/>
      </c>
      <c r="V64">
        <f>HYPERLINK("https://klasma.github.io/Logging_1907/klagomål/A 31176-2024 FSC-klagomål.docx", "A 31176-2024")</f>
        <v/>
      </c>
      <c r="W64">
        <f>HYPERLINK("https://klasma.github.io/Logging_1907/klagomålsmail/A 31176-2024 FSC-klagomål mail.docx", "A 31176-2024")</f>
        <v/>
      </c>
      <c r="X64">
        <f>HYPERLINK("https://klasma.github.io/Logging_1907/tillsyn/A 31176-2024 tillsynsbegäran.docx", "A 31176-2024")</f>
        <v/>
      </c>
      <c r="Y64">
        <f>HYPERLINK("https://klasma.github.io/Logging_1907/tillsynsmail/A 31176-2024 tillsynsbegäran mail.docx", "A 31176-2024")</f>
        <v/>
      </c>
    </row>
    <row r="65" ht="15" customHeight="1">
      <c r="A65" t="inlineStr">
        <is>
          <t>A 43451-2024</t>
        </is>
      </c>
      <c r="B65" s="1" t="n">
        <v>45568</v>
      </c>
      <c r="C65" s="1" t="n">
        <v>45904</v>
      </c>
      <c r="D65" t="inlineStr">
        <is>
          <t>VÄSTMANLANDS LÄN</t>
        </is>
      </c>
      <c r="E65" t="inlineStr">
        <is>
          <t>SURAHAMMAR</t>
        </is>
      </c>
      <c r="F65" t="inlineStr">
        <is>
          <t>Bergvik skog väst AB</t>
        </is>
      </c>
      <c r="G65" t="n">
        <v>2.9</v>
      </c>
      <c r="H65" t="n">
        <v>0</v>
      </c>
      <c r="I65" t="n">
        <v>0</v>
      </c>
      <c r="J65" t="n">
        <v>1</v>
      </c>
      <c r="K65" t="n">
        <v>0</v>
      </c>
      <c r="L65" t="n">
        <v>0</v>
      </c>
      <c r="M65" t="n">
        <v>0</v>
      </c>
      <c r="N65" t="n">
        <v>0</v>
      </c>
      <c r="O65" t="n">
        <v>1</v>
      </c>
      <c r="P65" t="n">
        <v>0</v>
      </c>
      <c r="Q65" t="n">
        <v>1</v>
      </c>
      <c r="R65" s="2" t="inlineStr">
        <is>
          <t>Ullticka</t>
        </is>
      </c>
      <c r="S65">
        <f>HYPERLINK("https://klasma.github.io/Logging_1907/artfynd/A 43451-2024 artfynd.xlsx", "A 43451-2024")</f>
        <v/>
      </c>
      <c r="T65">
        <f>HYPERLINK("https://klasma.github.io/Logging_1907/kartor/A 43451-2024 karta.png", "A 43451-2024")</f>
        <v/>
      </c>
      <c r="V65">
        <f>HYPERLINK("https://klasma.github.io/Logging_1907/klagomål/A 43451-2024 FSC-klagomål.docx", "A 43451-2024")</f>
        <v/>
      </c>
      <c r="W65">
        <f>HYPERLINK("https://klasma.github.io/Logging_1907/klagomålsmail/A 43451-2024 FSC-klagomål mail.docx", "A 43451-2024")</f>
        <v/>
      </c>
      <c r="X65">
        <f>HYPERLINK("https://klasma.github.io/Logging_1907/tillsyn/A 43451-2024 tillsynsbegäran.docx", "A 43451-2024")</f>
        <v/>
      </c>
      <c r="Y65">
        <f>HYPERLINK("https://klasma.github.io/Logging_1907/tillsynsmail/A 43451-2024 tillsynsbegäran mail.docx", "A 43451-2024")</f>
        <v/>
      </c>
    </row>
    <row r="66" ht="15" customHeight="1">
      <c r="A66" t="inlineStr">
        <is>
          <t>A 43177-2020</t>
        </is>
      </c>
      <c r="B66" s="1" t="n">
        <v>44081</v>
      </c>
      <c r="C66" s="1" t="n">
        <v>45904</v>
      </c>
      <c r="D66" t="inlineStr">
        <is>
          <t>VÄSTMANLANDS LÄN</t>
        </is>
      </c>
      <c r="E66" t="inlineStr">
        <is>
          <t>SURAHAMMAR</t>
        </is>
      </c>
      <c r="F66" t="inlineStr">
        <is>
          <t>Sveaskog</t>
        </is>
      </c>
      <c r="G66" t="n">
        <v>2.3</v>
      </c>
      <c r="H66" t="n">
        <v>0</v>
      </c>
      <c r="I66" t="n">
        <v>0</v>
      </c>
      <c r="J66" t="n">
        <v>0</v>
      </c>
      <c r="K66" t="n">
        <v>0</v>
      </c>
      <c r="L66" t="n">
        <v>0</v>
      </c>
      <c r="M66" t="n">
        <v>0</v>
      </c>
      <c r="N66" t="n">
        <v>0</v>
      </c>
      <c r="O66" t="n">
        <v>0</v>
      </c>
      <c r="P66" t="n">
        <v>0</v>
      </c>
      <c r="Q66" t="n">
        <v>0</v>
      </c>
      <c r="R66" s="2" t="inlineStr"/>
    </row>
    <row r="67" ht="15" customHeight="1">
      <c r="A67" t="inlineStr">
        <is>
          <t>A 1492-2021</t>
        </is>
      </c>
      <c r="B67" s="1" t="n">
        <v>44209</v>
      </c>
      <c r="C67" s="1" t="n">
        <v>45904</v>
      </c>
      <c r="D67" t="inlineStr">
        <is>
          <t>VÄSTMANLANDS LÄN</t>
        </is>
      </c>
      <c r="E67" t="inlineStr">
        <is>
          <t>SURAHAMMAR</t>
        </is>
      </c>
      <c r="G67" t="n">
        <v>1.2</v>
      </c>
      <c r="H67" t="n">
        <v>0</v>
      </c>
      <c r="I67" t="n">
        <v>0</v>
      </c>
      <c r="J67" t="n">
        <v>0</v>
      </c>
      <c r="K67" t="n">
        <v>0</v>
      </c>
      <c r="L67" t="n">
        <v>0</v>
      </c>
      <c r="M67" t="n">
        <v>0</v>
      </c>
      <c r="N67" t="n">
        <v>0</v>
      </c>
      <c r="O67" t="n">
        <v>0</v>
      </c>
      <c r="P67" t="n">
        <v>0</v>
      </c>
      <c r="Q67" t="n">
        <v>0</v>
      </c>
      <c r="R67" s="2" t="inlineStr"/>
    </row>
    <row r="68" ht="15" customHeight="1">
      <c r="A68" t="inlineStr">
        <is>
          <t>A 64073-2021</t>
        </is>
      </c>
      <c r="B68" s="1" t="n">
        <v>44509</v>
      </c>
      <c r="C68" s="1" t="n">
        <v>45904</v>
      </c>
      <c r="D68" t="inlineStr">
        <is>
          <t>VÄSTMANLANDS LÄN</t>
        </is>
      </c>
      <c r="E68" t="inlineStr">
        <is>
          <t>SURAHAMMAR</t>
        </is>
      </c>
      <c r="G68" t="n">
        <v>0.4</v>
      </c>
      <c r="H68" t="n">
        <v>0</v>
      </c>
      <c r="I68" t="n">
        <v>0</v>
      </c>
      <c r="J68" t="n">
        <v>0</v>
      </c>
      <c r="K68" t="n">
        <v>0</v>
      </c>
      <c r="L68" t="n">
        <v>0</v>
      </c>
      <c r="M68" t="n">
        <v>0</v>
      </c>
      <c r="N68" t="n">
        <v>0</v>
      </c>
      <c r="O68" t="n">
        <v>0</v>
      </c>
      <c r="P68" t="n">
        <v>0</v>
      </c>
      <c r="Q68" t="n">
        <v>0</v>
      </c>
      <c r="R68" s="2" t="inlineStr"/>
    </row>
    <row r="69" ht="15" customHeight="1">
      <c r="A69" t="inlineStr">
        <is>
          <t>A 24804-2021</t>
        </is>
      </c>
      <c r="B69" s="1" t="n">
        <v>44340</v>
      </c>
      <c r="C69" s="1" t="n">
        <v>45904</v>
      </c>
      <c r="D69" t="inlineStr">
        <is>
          <t>VÄSTMANLANDS LÄN</t>
        </is>
      </c>
      <c r="E69" t="inlineStr">
        <is>
          <t>SURAHAMMAR</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19845-2022</t>
        </is>
      </c>
      <c r="B70" s="1" t="n">
        <v>44696.88850694444</v>
      </c>
      <c r="C70" s="1" t="n">
        <v>45904</v>
      </c>
      <c r="D70" t="inlineStr">
        <is>
          <t>VÄSTMANLANDS LÄN</t>
        </is>
      </c>
      <c r="E70" t="inlineStr">
        <is>
          <t>SURAHAMMAR</t>
        </is>
      </c>
      <c r="F70" t="inlineStr">
        <is>
          <t>Kommuner</t>
        </is>
      </c>
      <c r="G70" t="n">
        <v>3.3</v>
      </c>
      <c r="H70" t="n">
        <v>0</v>
      </c>
      <c r="I70" t="n">
        <v>0</v>
      </c>
      <c r="J70" t="n">
        <v>0</v>
      </c>
      <c r="K70" t="n">
        <v>0</v>
      </c>
      <c r="L70" t="n">
        <v>0</v>
      </c>
      <c r="M70" t="n">
        <v>0</v>
      </c>
      <c r="N70" t="n">
        <v>0</v>
      </c>
      <c r="O70" t="n">
        <v>0</v>
      </c>
      <c r="P70" t="n">
        <v>0</v>
      </c>
      <c r="Q70" t="n">
        <v>0</v>
      </c>
      <c r="R70" s="2" t="inlineStr"/>
    </row>
    <row r="71" ht="15" customHeight="1">
      <c r="A71" t="inlineStr">
        <is>
          <t>A 19844-2022</t>
        </is>
      </c>
      <c r="B71" s="1" t="n">
        <v>44696.88001157407</v>
      </c>
      <c r="C71" s="1" t="n">
        <v>45904</v>
      </c>
      <c r="D71" t="inlineStr">
        <is>
          <t>VÄSTMANLANDS LÄN</t>
        </is>
      </c>
      <c r="E71" t="inlineStr">
        <is>
          <t>SURAHAMMAR</t>
        </is>
      </c>
      <c r="F71" t="inlineStr">
        <is>
          <t>Kommuner</t>
        </is>
      </c>
      <c r="G71" t="n">
        <v>2.1</v>
      </c>
      <c r="H71" t="n">
        <v>0</v>
      </c>
      <c r="I71" t="n">
        <v>0</v>
      </c>
      <c r="J71" t="n">
        <v>0</v>
      </c>
      <c r="K71" t="n">
        <v>0</v>
      </c>
      <c r="L71" t="n">
        <v>0</v>
      </c>
      <c r="M71" t="n">
        <v>0</v>
      </c>
      <c r="N71" t="n">
        <v>0</v>
      </c>
      <c r="O71" t="n">
        <v>0</v>
      </c>
      <c r="P71" t="n">
        <v>0</v>
      </c>
      <c r="Q71" t="n">
        <v>0</v>
      </c>
      <c r="R71" s="2" t="inlineStr"/>
    </row>
    <row r="72" ht="15" customHeight="1">
      <c r="A72" t="inlineStr">
        <is>
          <t>A 47997-2020</t>
        </is>
      </c>
      <c r="B72" s="1" t="n">
        <v>44099</v>
      </c>
      <c r="C72" s="1" t="n">
        <v>45904</v>
      </c>
      <c r="D72" t="inlineStr">
        <is>
          <t>VÄSTMANLANDS LÄN</t>
        </is>
      </c>
      <c r="E72" t="inlineStr">
        <is>
          <t>SURAHAMMAR</t>
        </is>
      </c>
      <c r="G72" t="n">
        <v>4.8</v>
      </c>
      <c r="H72" t="n">
        <v>0</v>
      </c>
      <c r="I72" t="n">
        <v>0</v>
      </c>
      <c r="J72" t="n">
        <v>0</v>
      </c>
      <c r="K72" t="n">
        <v>0</v>
      </c>
      <c r="L72" t="n">
        <v>0</v>
      </c>
      <c r="M72" t="n">
        <v>0</v>
      </c>
      <c r="N72" t="n">
        <v>0</v>
      </c>
      <c r="O72" t="n">
        <v>0</v>
      </c>
      <c r="P72" t="n">
        <v>0</v>
      </c>
      <c r="Q72" t="n">
        <v>0</v>
      </c>
      <c r="R72" s="2" t="inlineStr"/>
    </row>
    <row r="73" ht="15" customHeight="1">
      <c r="A73" t="inlineStr">
        <is>
          <t>A 32491-2022</t>
        </is>
      </c>
      <c r="B73" s="1" t="n">
        <v>44782</v>
      </c>
      <c r="C73" s="1" t="n">
        <v>45904</v>
      </c>
      <c r="D73" t="inlineStr">
        <is>
          <t>VÄSTMANLANDS LÄN</t>
        </is>
      </c>
      <c r="E73" t="inlineStr">
        <is>
          <t>SURAHAMMAR</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59727-2020</t>
        </is>
      </c>
      <c r="B74" s="1" t="n">
        <v>44151</v>
      </c>
      <c r="C74" s="1" t="n">
        <v>45904</v>
      </c>
      <c r="D74" t="inlineStr">
        <is>
          <t>VÄSTMANLANDS LÄN</t>
        </is>
      </c>
      <c r="E74" t="inlineStr">
        <is>
          <t>SURAHAMMAR</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37799-2021</t>
        </is>
      </c>
      <c r="B75" s="1" t="n">
        <v>44402</v>
      </c>
      <c r="C75" s="1" t="n">
        <v>45904</v>
      </c>
      <c r="D75" t="inlineStr">
        <is>
          <t>VÄSTMANLANDS LÄN</t>
        </is>
      </c>
      <c r="E75" t="inlineStr">
        <is>
          <t>SURAHAMMAR</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45904</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45904</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19846-2022</t>
        </is>
      </c>
      <c r="B78" s="1" t="n">
        <v>44696.89327546296</v>
      </c>
      <c r="C78" s="1" t="n">
        <v>45904</v>
      </c>
      <c r="D78" t="inlineStr">
        <is>
          <t>VÄSTMANLANDS LÄN</t>
        </is>
      </c>
      <c r="E78" t="inlineStr">
        <is>
          <t>SURAHAMMAR</t>
        </is>
      </c>
      <c r="F78" t="inlineStr">
        <is>
          <t>Kommuner</t>
        </is>
      </c>
      <c r="G78" t="n">
        <v>3.4</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45904</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45904</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19637-2022</t>
        </is>
      </c>
      <c r="B81" s="1" t="n">
        <v>44694</v>
      </c>
      <c r="C81" s="1" t="n">
        <v>45904</v>
      </c>
      <c r="D81" t="inlineStr">
        <is>
          <t>VÄSTMANLANDS LÄN</t>
        </is>
      </c>
      <c r="E81" t="inlineStr">
        <is>
          <t>SURAHAMMAR</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45904</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45904</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34957-2022</t>
        </is>
      </c>
      <c r="B84" s="1" t="n">
        <v>44796.64672453704</v>
      </c>
      <c r="C84" s="1" t="n">
        <v>45904</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45904</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52076-2020</t>
        </is>
      </c>
      <c r="B86" s="1" t="n">
        <v>44117</v>
      </c>
      <c r="C86" s="1" t="n">
        <v>45904</v>
      </c>
      <c r="D86" t="inlineStr">
        <is>
          <t>VÄSTMANLANDS LÄN</t>
        </is>
      </c>
      <c r="E86" t="inlineStr">
        <is>
          <t>SURAHAMMAR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45904</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43590-2020</t>
        </is>
      </c>
      <c r="B88" s="1" t="n">
        <v>44082</v>
      </c>
      <c r="C88" s="1" t="n">
        <v>45904</v>
      </c>
      <c r="D88" t="inlineStr">
        <is>
          <t>VÄSTMANLANDS LÄN</t>
        </is>
      </c>
      <c r="E88" t="inlineStr">
        <is>
          <t>SURAHAMMAR</t>
        </is>
      </c>
      <c r="F88" t="inlineStr">
        <is>
          <t>Sveaskog</t>
        </is>
      </c>
      <c r="G88" t="n">
        <v>2.1</v>
      </c>
      <c r="H88" t="n">
        <v>0</v>
      </c>
      <c r="I88" t="n">
        <v>0</v>
      </c>
      <c r="J88" t="n">
        <v>0</v>
      </c>
      <c r="K88" t="n">
        <v>0</v>
      </c>
      <c r="L88" t="n">
        <v>0</v>
      </c>
      <c r="M88" t="n">
        <v>0</v>
      </c>
      <c r="N88" t="n">
        <v>0</v>
      </c>
      <c r="O88" t="n">
        <v>0</v>
      </c>
      <c r="P88" t="n">
        <v>0</v>
      </c>
      <c r="Q88" t="n">
        <v>0</v>
      </c>
      <c r="R88" s="2" t="inlineStr"/>
    </row>
    <row r="89" ht="15" customHeight="1">
      <c r="A89" t="inlineStr">
        <is>
          <t>A 66350-2021</t>
        </is>
      </c>
      <c r="B89" s="1" t="n">
        <v>44518</v>
      </c>
      <c r="C89" s="1" t="n">
        <v>45904</v>
      </c>
      <c r="D89" t="inlineStr">
        <is>
          <t>VÄSTMANLANDS LÄN</t>
        </is>
      </c>
      <c r="E89" t="inlineStr">
        <is>
          <t>SURAHAMMAR</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67611-2021</t>
        </is>
      </c>
      <c r="B90" s="1" t="n">
        <v>44524</v>
      </c>
      <c r="C90" s="1" t="n">
        <v>45904</v>
      </c>
      <c r="D90" t="inlineStr">
        <is>
          <t>VÄSTMANLANDS LÄN</t>
        </is>
      </c>
      <c r="E90" t="inlineStr">
        <is>
          <t>SURAHAMMAR</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45904</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47785-2021</t>
        </is>
      </c>
      <c r="B92" s="1" t="n">
        <v>44448</v>
      </c>
      <c r="C92" s="1" t="n">
        <v>45904</v>
      </c>
      <c r="D92" t="inlineStr">
        <is>
          <t>VÄSTMANLANDS LÄN</t>
        </is>
      </c>
      <c r="E92" t="inlineStr">
        <is>
          <t>SURAHAMMAR</t>
        </is>
      </c>
      <c r="F92" t="inlineStr">
        <is>
          <t>Kommuner</t>
        </is>
      </c>
      <c r="G92" t="n">
        <v>3.3</v>
      </c>
      <c r="H92" t="n">
        <v>0</v>
      </c>
      <c r="I92" t="n">
        <v>0</v>
      </c>
      <c r="J92" t="n">
        <v>0</v>
      </c>
      <c r="K92" t="n">
        <v>0</v>
      </c>
      <c r="L92" t="n">
        <v>0</v>
      </c>
      <c r="M92" t="n">
        <v>0</v>
      </c>
      <c r="N92" t="n">
        <v>0</v>
      </c>
      <c r="O92" t="n">
        <v>0</v>
      </c>
      <c r="P92" t="n">
        <v>0</v>
      </c>
      <c r="Q92" t="n">
        <v>0</v>
      </c>
      <c r="R92" s="2" t="inlineStr"/>
    </row>
    <row r="93" ht="15" customHeight="1">
      <c r="A93" t="inlineStr">
        <is>
          <t>A 48205-2023</t>
        </is>
      </c>
      <c r="B93" s="1" t="n">
        <v>45205</v>
      </c>
      <c r="C93" s="1" t="n">
        <v>45904</v>
      </c>
      <c r="D93" t="inlineStr">
        <is>
          <t>VÄSTMANLANDS LÄN</t>
        </is>
      </c>
      <c r="E93" t="inlineStr">
        <is>
          <t>SURAHAMMAR</t>
        </is>
      </c>
      <c r="F93" t="inlineStr">
        <is>
          <t>Allmännings- och besparingsskogar</t>
        </is>
      </c>
      <c r="G93" t="n">
        <v>7.6</v>
      </c>
      <c r="H93" t="n">
        <v>0</v>
      </c>
      <c r="I93" t="n">
        <v>0</v>
      </c>
      <c r="J93" t="n">
        <v>0</v>
      </c>
      <c r="K93" t="n">
        <v>0</v>
      </c>
      <c r="L93" t="n">
        <v>0</v>
      </c>
      <c r="M93" t="n">
        <v>0</v>
      </c>
      <c r="N93" t="n">
        <v>0</v>
      </c>
      <c r="O93" t="n">
        <v>0</v>
      </c>
      <c r="P93" t="n">
        <v>0</v>
      </c>
      <c r="Q93" t="n">
        <v>0</v>
      </c>
      <c r="R93" s="2" t="inlineStr"/>
    </row>
    <row r="94" ht="15" customHeight="1">
      <c r="A94" t="inlineStr">
        <is>
          <t>A 15743-2023</t>
        </is>
      </c>
      <c r="B94" s="1" t="n">
        <v>45021</v>
      </c>
      <c r="C94" s="1" t="n">
        <v>45904</v>
      </c>
      <c r="D94" t="inlineStr">
        <is>
          <t>VÄSTMANLANDS LÄN</t>
        </is>
      </c>
      <c r="E94" t="inlineStr">
        <is>
          <t>SURAHAMMAR</t>
        </is>
      </c>
      <c r="G94" t="n">
        <v>0.5</v>
      </c>
      <c r="H94" t="n">
        <v>0</v>
      </c>
      <c r="I94" t="n">
        <v>0</v>
      </c>
      <c r="J94" t="n">
        <v>0</v>
      </c>
      <c r="K94" t="n">
        <v>0</v>
      </c>
      <c r="L94" t="n">
        <v>0</v>
      </c>
      <c r="M94" t="n">
        <v>0</v>
      </c>
      <c r="N94" t="n">
        <v>0</v>
      </c>
      <c r="O94" t="n">
        <v>0</v>
      </c>
      <c r="P94" t="n">
        <v>0</v>
      </c>
      <c r="Q94" t="n">
        <v>0</v>
      </c>
      <c r="R94" s="2" t="inlineStr"/>
    </row>
    <row r="95" ht="15" customHeight="1">
      <c r="A95" t="inlineStr">
        <is>
          <t>A 30076-2023</t>
        </is>
      </c>
      <c r="B95" s="1" t="n">
        <v>45110</v>
      </c>
      <c r="C95" s="1" t="n">
        <v>45904</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45904</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15637-2022</t>
        </is>
      </c>
      <c r="B97" s="1" t="n">
        <v>44662.89638888889</v>
      </c>
      <c r="C97" s="1" t="n">
        <v>45904</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13119-2022</t>
        </is>
      </c>
      <c r="B98" s="1" t="n">
        <v>44643</v>
      </c>
      <c r="C98" s="1" t="n">
        <v>45904</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8553-2023</t>
        </is>
      </c>
      <c r="B99" s="1" t="n">
        <v>44977</v>
      </c>
      <c r="C99" s="1" t="n">
        <v>45904</v>
      </c>
      <c r="D99" t="inlineStr">
        <is>
          <t>VÄSTMANLANDS LÄN</t>
        </is>
      </c>
      <c r="E99" t="inlineStr">
        <is>
          <t>SURAHAMMAR</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19786-2023</t>
        </is>
      </c>
      <c r="B100" s="1" t="n">
        <v>45050</v>
      </c>
      <c r="C100" s="1" t="n">
        <v>45904</v>
      </c>
      <c r="D100" t="inlineStr">
        <is>
          <t>VÄSTMANLANDS LÄN</t>
        </is>
      </c>
      <c r="E100" t="inlineStr">
        <is>
          <t>SURAHAMMAR</t>
        </is>
      </c>
      <c r="F100" t="inlineStr">
        <is>
          <t>Bergvik skog väst AB</t>
        </is>
      </c>
      <c r="G100" t="n">
        <v>8.1</v>
      </c>
      <c r="H100" t="n">
        <v>0</v>
      </c>
      <c r="I100" t="n">
        <v>0</v>
      </c>
      <c r="J100" t="n">
        <v>0</v>
      </c>
      <c r="K100" t="n">
        <v>0</v>
      </c>
      <c r="L100" t="n">
        <v>0</v>
      </c>
      <c r="M100" t="n">
        <v>0</v>
      </c>
      <c r="N100" t="n">
        <v>0</v>
      </c>
      <c r="O100" t="n">
        <v>0</v>
      </c>
      <c r="P100" t="n">
        <v>0</v>
      </c>
      <c r="Q100" t="n">
        <v>0</v>
      </c>
      <c r="R100" s="2" t="inlineStr"/>
    </row>
    <row r="101" ht="15" customHeight="1">
      <c r="A101" t="inlineStr">
        <is>
          <t>A 15739-2023</t>
        </is>
      </c>
      <c r="B101" s="1" t="n">
        <v>45021</v>
      </c>
      <c r="C101" s="1" t="n">
        <v>45904</v>
      </c>
      <c r="D101" t="inlineStr">
        <is>
          <t>VÄSTMANLANDS LÄN</t>
        </is>
      </c>
      <c r="E101" t="inlineStr">
        <is>
          <t>SURAHAMMAR</t>
        </is>
      </c>
      <c r="G101" t="n">
        <v>1.3</v>
      </c>
      <c r="H101" t="n">
        <v>0</v>
      </c>
      <c r="I101" t="n">
        <v>0</v>
      </c>
      <c r="J101" t="n">
        <v>0</v>
      </c>
      <c r="K101" t="n">
        <v>0</v>
      </c>
      <c r="L101" t="n">
        <v>0</v>
      </c>
      <c r="M101" t="n">
        <v>0</v>
      </c>
      <c r="N101" t="n">
        <v>0</v>
      </c>
      <c r="O101" t="n">
        <v>0</v>
      </c>
      <c r="P101" t="n">
        <v>0</v>
      </c>
      <c r="Q101" t="n">
        <v>0</v>
      </c>
      <c r="R101" s="2" t="inlineStr"/>
    </row>
    <row r="102" ht="15" customHeight="1">
      <c r="A102" t="inlineStr">
        <is>
          <t>A 38154-2021</t>
        </is>
      </c>
      <c r="B102" s="1" t="n">
        <v>44405.42373842592</v>
      </c>
      <c r="C102" s="1" t="n">
        <v>45904</v>
      </c>
      <c r="D102" t="inlineStr">
        <is>
          <t>VÄSTMANLANDS LÄN</t>
        </is>
      </c>
      <c r="E102" t="inlineStr">
        <is>
          <t>SURAHAMMAR</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14626-2023</t>
        </is>
      </c>
      <c r="B103" s="1" t="n">
        <v>45012</v>
      </c>
      <c r="C103" s="1" t="n">
        <v>45904</v>
      </c>
      <c r="D103" t="inlineStr">
        <is>
          <t>VÄSTMANLANDS LÄN</t>
        </is>
      </c>
      <c r="E103" t="inlineStr">
        <is>
          <t>SURAHAMMAR</t>
        </is>
      </c>
      <c r="F103" t="inlineStr">
        <is>
          <t>Bergvik skog väst AB</t>
        </is>
      </c>
      <c r="G103" t="n">
        <v>5</v>
      </c>
      <c r="H103" t="n">
        <v>0</v>
      </c>
      <c r="I103" t="n">
        <v>0</v>
      </c>
      <c r="J103" t="n">
        <v>0</v>
      </c>
      <c r="K103" t="n">
        <v>0</v>
      </c>
      <c r="L103" t="n">
        <v>0</v>
      </c>
      <c r="M103" t="n">
        <v>0</v>
      </c>
      <c r="N103" t="n">
        <v>0</v>
      </c>
      <c r="O103" t="n">
        <v>0</v>
      </c>
      <c r="P103" t="n">
        <v>0</v>
      </c>
      <c r="Q103" t="n">
        <v>0</v>
      </c>
      <c r="R103" s="2" t="inlineStr"/>
    </row>
    <row r="104" ht="15" customHeight="1">
      <c r="A104" t="inlineStr">
        <is>
          <t>A 37798-2021</t>
        </is>
      </c>
      <c r="B104" s="1" t="n">
        <v>44402</v>
      </c>
      <c r="C104" s="1" t="n">
        <v>45904</v>
      </c>
      <c r="D104" t="inlineStr">
        <is>
          <t>VÄSTMANLANDS LÄN</t>
        </is>
      </c>
      <c r="E104" t="inlineStr">
        <is>
          <t>SURAHAMMAR</t>
        </is>
      </c>
      <c r="F104" t="inlineStr">
        <is>
          <t>Kommuner</t>
        </is>
      </c>
      <c r="G104" t="n">
        <v>1.2</v>
      </c>
      <c r="H104" t="n">
        <v>0</v>
      </c>
      <c r="I104" t="n">
        <v>0</v>
      </c>
      <c r="J104" t="n">
        <v>0</v>
      </c>
      <c r="K104" t="n">
        <v>0</v>
      </c>
      <c r="L104" t="n">
        <v>0</v>
      </c>
      <c r="M104" t="n">
        <v>0</v>
      </c>
      <c r="N104" t="n">
        <v>0</v>
      </c>
      <c r="O104" t="n">
        <v>0</v>
      </c>
      <c r="P104" t="n">
        <v>0</v>
      </c>
      <c r="Q104" t="n">
        <v>0</v>
      </c>
      <c r="R104" s="2" t="inlineStr"/>
    </row>
    <row r="105" ht="15" customHeight="1">
      <c r="A105" t="inlineStr">
        <is>
          <t>A 7787-2024</t>
        </is>
      </c>
      <c r="B105" s="1" t="n">
        <v>45348</v>
      </c>
      <c r="C105" s="1" t="n">
        <v>45904</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25450-2024</t>
        </is>
      </c>
      <c r="B106" s="1" t="n">
        <v>45463</v>
      </c>
      <c r="C106" s="1" t="n">
        <v>45904</v>
      </c>
      <c r="D106" t="inlineStr">
        <is>
          <t>VÄSTMANLANDS LÄN</t>
        </is>
      </c>
      <c r="E106" t="inlineStr">
        <is>
          <t>SURAHAMMAR</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37287-2023</t>
        </is>
      </c>
      <c r="B107" s="1" t="n">
        <v>45156</v>
      </c>
      <c r="C107" s="1" t="n">
        <v>45904</v>
      </c>
      <c r="D107" t="inlineStr">
        <is>
          <t>VÄSTMANLANDS LÄN</t>
        </is>
      </c>
      <c r="E107" t="inlineStr">
        <is>
          <t>SURAHAMMAR</t>
        </is>
      </c>
      <c r="G107" t="n">
        <v>0.6</v>
      </c>
      <c r="H107" t="n">
        <v>0</v>
      </c>
      <c r="I107" t="n">
        <v>0</v>
      </c>
      <c r="J107" t="n">
        <v>0</v>
      </c>
      <c r="K107" t="n">
        <v>0</v>
      </c>
      <c r="L107" t="n">
        <v>0</v>
      </c>
      <c r="M107" t="n">
        <v>0</v>
      </c>
      <c r="N107" t="n">
        <v>0</v>
      </c>
      <c r="O107" t="n">
        <v>0</v>
      </c>
      <c r="P107" t="n">
        <v>0</v>
      </c>
      <c r="Q107" t="n">
        <v>0</v>
      </c>
      <c r="R107" s="2" t="inlineStr"/>
    </row>
    <row r="108" ht="15" customHeight="1">
      <c r="A108" t="inlineStr">
        <is>
          <t>A 41576-2022</t>
        </is>
      </c>
      <c r="B108" s="1" t="n">
        <v>44826</v>
      </c>
      <c r="C108" s="1" t="n">
        <v>45904</v>
      </c>
      <c r="D108" t="inlineStr">
        <is>
          <t>VÄSTMANLANDS LÄN</t>
        </is>
      </c>
      <c r="E108" t="inlineStr">
        <is>
          <t>SURAHAMMAR</t>
        </is>
      </c>
      <c r="F108" t="inlineStr">
        <is>
          <t>Bergvik skog väst AB</t>
        </is>
      </c>
      <c r="G108" t="n">
        <v>6.4</v>
      </c>
      <c r="H108" t="n">
        <v>0</v>
      </c>
      <c r="I108" t="n">
        <v>0</v>
      </c>
      <c r="J108" t="n">
        <v>0</v>
      </c>
      <c r="K108" t="n">
        <v>0</v>
      </c>
      <c r="L108" t="n">
        <v>0</v>
      </c>
      <c r="M108" t="n">
        <v>0</v>
      </c>
      <c r="N108" t="n">
        <v>0</v>
      </c>
      <c r="O108" t="n">
        <v>0</v>
      </c>
      <c r="P108" t="n">
        <v>0</v>
      </c>
      <c r="Q108" t="n">
        <v>0</v>
      </c>
      <c r="R108" s="2" t="inlineStr"/>
    </row>
    <row r="109" ht="15" customHeight="1">
      <c r="A109" t="inlineStr">
        <is>
          <t>A 19782-2023</t>
        </is>
      </c>
      <c r="B109" s="1" t="n">
        <v>45050</v>
      </c>
      <c r="C109" s="1" t="n">
        <v>45904</v>
      </c>
      <c r="D109" t="inlineStr">
        <is>
          <t>VÄSTMANLANDS LÄN</t>
        </is>
      </c>
      <c r="E109" t="inlineStr">
        <is>
          <t>SURAHAMMAR</t>
        </is>
      </c>
      <c r="F109" t="inlineStr">
        <is>
          <t>Bergvik skog väst AB</t>
        </is>
      </c>
      <c r="G109" t="n">
        <v>5.2</v>
      </c>
      <c r="H109" t="n">
        <v>0</v>
      </c>
      <c r="I109" t="n">
        <v>0</v>
      </c>
      <c r="J109" t="n">
        <v>0</v>
      </c>
      <c r="K109" t="n">
        <v>0</v>
      </c>
      <c r="L109" t="n">
        <v>0</v>
      </c>
      <c r="M109" t="n">
        <v>0</v>
      </c>
      <c r="N109" t="n">
        <v>0</v>
      </c>
      <c r="O109" t="n">
        <v>0</v>
      </c>
      <c r="P109" t="n">
        <v>0</v>
      </c>
      <c r="Q109" t="n">
        <v>0</v>
      </c>
      <c r="R109" s="2" t="inlineStr"/>
    </row>
    <row r="110" ht="15" customHeight="1">
      <c r="A110" t="inlineStr">
        <is>
          <t>A 72367-2021</t>
        </is>
      </c>
      <c r="B110" s="1" t="n">
        <v>44545</v>
      </c>
      <c r="C110" s="1" t="n">
        <v>45904</v>
      </c>
      <c r="D110" t="inlineStr">
        <is>
          <t>VÄSTMANLANDS LÄN</t>
        </is>
      </c>
      <c r="E110" t="inlineStr">
        <is>
          <t>SURAHAMMAR</t>
        </is>
      </c>
      <c r="G110" t="n">
        <v>2.5</v>
      </c>
      <c r="H110" t="n">
        <v>0</v>
      </c>
      <c r="I110" t="n">
        <v>0</v>
      </c>
      <c r="J110" t="n">
        <v>0</v>
      </c>
      <c r="K110" t="n">
        <v>0</v>
      </c>
      <c r="L110" t="n">
        <v>0</v>
      </c>
      <c r="M110" t="n">
        <v>0</v>
      </c>
      <c r="N110" t="n">
        <v>0</v>
      </c>
      <c r="O110" t="n">
        <v>0</v>
      </c>
      <c r="P110" t="n">
        <v>0</v>
      </c>
      <c r="Q110" t="n">
        <v>0</v>
      </c>
      <c r="R110" s="2" t="inlineStr"/>
    </row>
    <row r="111" ht="15" customHeight="1">
      <c r="A111" t="inlineStr">
        <is>
          <t>A 37013-2025</t>
        </is>
      </c>
      <c r="B111" s="1" t="n">
        <v>45874</v>
      </c>
      <c r="C111" s="1" t="n">
        <v>45904</v>
      </c>
      <c r="D111" t="inlineStr">
        <is>
          <t>VÄSTMANLANDS LÄN</t>
        </is>
      </c>
      <c r="E111" t="inlineStr">
        <is>
          <t>SURAHAMMAR</t>
        </is>
      </c>
      <c r="F111" t="inlineStr">
        <is>
          <t>Bergvik skog väst AB</t>
        </is>
      </c>
      <c r="G111" t="n">
        <v>10.7</v>
      </c>
      <c r="H111" t="n">
        <v>0</v>
      </c>
      <c r="I111" t="n">
        <v>0</v>
      </c>
      <c r="J111" t="n">
        <v>0</v>
      </c>
      <c r="K111" t="n">
        <v>0</v>
      </c>
      <c r="L111" t="n">
        <v>0</v>
      </c>
      <c r="M111" t="n">
        <v>0</v>
      </c>
      <c r="N111" t="n">
        <v>0</v>
      </c>
      <c r="O111" t="n">
        <v>0</v>
      </c>
      <c r="P111" t="n">
        <v>0</v>
      </c>
      <c r="Q111" t="n">
        <v>0</v>
      </c>
      <c r="R111" s="2" t="inlineStr"/>
    </row>
    <row r="112" ht="15" customHeight="1">
      <c r="A112" t="inlineStr">
        <is>
          <t>A 7848-2022</t>
        </is>
      </c>
      <c r="B112" s="1" t="n">
        <v>44608.58400462963</v>
      </c>
      <c r="C112" s="1" t="n">
        <v>45904</v>
      </c>
      <c r="D112" t="inlineStr">
        <is>
          <t>VÄSTMANLANDS LÄN</t>
        </is>
      </c>
      <c r="E112" t="inlineStr">
        <is>
          <t>SURAHAMMAR</t>
        </is>
      </c>
      <c r="G112" t="n">
        <v>2.1</v>
      </c>
      <c r="H112" t="n">
        <v>0</v>
      </c>
      <c r="I112" t="n">
        <v>0</v>
      </c>
      <c r="J112" t="n">
        <v>0</v>
      </c>
      <c r="K112" t="n">
        <v>0</v>
      </c>
      <c r="L112" t="n">
        <v>0</v>
      </c>
      <c r="M112" t="n">
        <v>0</v>
      </c>
      <c r="N112" t="n">
        <v>0</v>
      </c>
      <c r="O112" t="n">
        <v>0</v>
      </c>
      <c r="P112" t="n">
        <v>0</v>
      </c>
      <c r="Q112" t="n">
        <v>0</v>
      </c>
      <c r="R112" s="2" t="inlineStr"/>
    </row>
    <row r="113" ht="15" customHeight="1">
      <c r="A113" t="inlineStr">
        <is>
          <t>A 33931-2022</t>
        </is>
      </c>
      <c r="B113" s="1" t="n">
        <v>44790.65153935185</v>
      </c>
      <c r="C113" s="1" t="n">
        <v>45904</v>
      </c>
      <c r="D113" t="inlineStr">
        <is>
          <t>VÄSTMANLANDS LÄN</t>
        </is>
      </c>
      <c r="E113" t="inlineStr">
        <is>
          <t>SURAHAMMAR</t>
        </is>
      </c>
      <c r="G113" t="n">
        <v>2.2</v>
      </c>
      <c r="H113" t="n">
        <v>0</v>
      </c>
      <c r="I113" t="n">
        <v>0</v>
      </c>
      <c r="J113" t="n">
        <v>0</v>
      </c>
      <c r="K113" t="n">
        <v>0</v>
      </c>
      <c r="L113" t="n">
        <v>0</v>
      </c>
      <c r="M113" t="n">
        <v>0</v>
      </c>
      <c r="N113" t="n">
        <v>0</v>
      </c>
      <c r="O113" t="n">
        <v>0</v>
      </c>
      <c r="P113" t="n">
        <v>0</v>
      </c>
      <c r="Q113" t="n">
        <v>0</v>
      </c>
      <c r="R113" s="2" t="inlineStr"/>
    </row>
    <row r="114" ht="15" customHeight="1">
      <c r="A114" t="inlineStr">
        <is>
          <t>A 24167-2024</t>
        </is>
      </c>
      <c r="B114" s="1" t="n">
        <v>45456</v>
      </c>
      <c r="C114" s="1" t="n">
        <v>45904</v>
      </c>
      <c r="D114" t="inlineStr">
        <is>
          <t>VÄSTMANLANDS LÄN</t>
        </is>
      </c>
      <c r="E114" t="inlineStr">
        <is>
          <t>SURAHAMMAR</t>
        </is>
      </c>
      <c r="G114" t="n">
        <v>0.6</v>
      </c>
      <c r="H114" t="n">
        <v>0</v>
      </c>
      <c r="I114" t="n">
        <v>0</v>
      </c>
      <c r="J114" t="n">
        <v>0</v>
      </c>
      <c r="K114" t="n">
        <v>0</v>
      </c>
      <c r="L114" t="n">
        <v>0</v>
      </c>
      <c r="M114" t="n">
        <v>0</v>
      </c>
      <c r="N114" t="n">
        <v>0</v>
      </c>
      <c r="O114" t="n">
        <v>0</v>
      </c>
      <c r="P114" t="n">
        <v>0</v>
      </c>
      <c r="Q114" t="n">
        <v>0</v>
      </c>
      <c r="R114" s="2" t="inlineStr"/>
    </row>
    <row r="115" ht="15" customHeight="1">
      <c r="A115" t="inlineStr">
        <is>
          <t>A 56378-2023</t>
        </is>
      </c>
      <c r="B115" s="1" t="n">
        <v>45236</v>
      </c>
      <c r="C115" s="1" t="n">
        <v>45904</v>
      </c>
      <c r="D115" t="inlineStr">
        <is>
          <t>VÄSTMANLANDS LÄN</t>
        </is>
      </c>
      <c r="E115" t="inlineStr">
        <is>
          <t>SURAHAMMAR</t>
        </is>
      </c>
      <c r="F115" t="inlineStr">
        <is>
          <t>Bergvik skog väst AB</t>
        </is>
      </c>
      <c r="G115" t="n">
        <v>4.6</v>
      </c>
      <c r="H115" t="n">
        <v>0</v>
      </c>
      <c r="I115" t="n">
        <v>0</v>
      </c>
      <c r="J115" t="n">
        <v>0</v>
      </c>
      <c r="K115" t="n">
        <v>0</v>
      </c>
      <c r="L115" t="n">
        <v>0</v>
      </c>
      <c r="M115" t="n">
        <v>0</v>
      </c>
      <c r="N115" t="n">
        <v>0</v>
      </c>
      <c r="O115" t="n">
        <v>0</v>
      </c>
      <c r="P115" t="n">
        <v>0</v>
      </c>
      <c r="Q115" t="n">
        <v>0</v>
      </c>
      <c r="R115" s="2" t="inlineStr"/>
    </row>
    <row r="116" ht="15" customHeight="1">
      <c r="A116" t="inlineStr">
        <is>
          <t>A 52074-2020</t>
        </is>
      </c>
      <c r="B116" s="1" t="n">
        <v>44117</v>
      </c>
      <c r="C116" s="1" t="n">
        <v>45904</v>
      </c>
      <c r="D116" t="inlineStr">
        <is>
          <t>VÄSTMANLANDS LÄN</t>
        </is>
      </c>
      <c r="E116" t="inlineStr">
        <is>
          <t>SURAHAMMAR</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19099-2022</t>
        </is>
      </c>
      <c r="B117" s="1" t="n">
        <v>44691</v>
      </c>
      <c r="C117" s="1" t="n">
        <v>45904</v>
      </c>
      <c r="D117" t="inlineStr">
        <is>
          <t>VÄSTMANLANDS LÄN</t>
        </is>
      </c>
      <c r="E117" t="inlineStr">
        <is>
          <t>SURAHAMMAR</t>
        </is>
      </c>
      <c r="F117" t="inlineStr">
        <is>
          <t>Övriga Aktiebolag</t>
        </is>
      </c>
      <c r="G117" t="n">
        <v>3.4</v>
      </c>
      <c r="H117" t="n">
        <v>0</v>
      </c>
      <c r="I117" t="n">
        <v>0</v>
      </c>
      <c r="J117" t="n">
        <v>0</v>
      </c>
      <c r="K117" t="n">
        <v>0</v>
      </c>
      <c r="L117" t="n">
        <v>0</v>
      </c>
      <c r="M117" t="n">
        <v>0</v>
      </c>
      <c r="N117" t="n">
        <v>0</v>
      </c>
      <c r="O117" t="n">
        <v>0</v>
      </c>
      <c r="P117" t="n">
        <v>0</v>
      </c>
      <c r="Q117" t="n">
        <v>0</v>
      </c>
      <c r="R117" s="2" t="inlineStr"/>
    </row>
    <row r="118" ht="15" customHeight="1">
      <c r="A118" t="inlineStr">
        <is>
          <t>A 37954-2025</t>
        </is>
      </c>
      <c r="B118" s="1" t="n">
        <v>45881</v>
      </c>
      <c r="C118" s="1" t="n">
        <v>45904</v>
      </c>
      <c r="D118" t="inlineStr">
        <is>
          <t>VÄSTMANLANDS LÄN</t>
        </is>
      </c>
      <c r="E118" t="inlineStr">
        <is>
          <t>SURAHAMMAR</t>
        </is>
      </c>
      <c r="G118" t="n">
        <v>9.5</v>
      </c>
      <c r="H118" t="n">
        <v>0</v>
      </c>
      <c r="I118" t="n">
        <v>0</v>
      </c>
      <c r="J118" t="n">
        <v>0</v>
      </c>
      <c r="K118" t="n">
        <v>0</v>
      </c>
      <c r="L118" t="n">
        <v>0</v>
      </c>
      <c r="M118" t="n">
        <v>0</v>
      </c>
      <c r="N118" t="n">
        <v>0</v>
      </c>
      <c r="O118" t="n">
        <v>0</v>
      </c>
      <c r="P118" t="n">
        <v>0</v>
      </c>
      <c r="Q118" t="n">
        <v>0</v>
      </c>
      <c r="R118" s="2" t="inlineStr"/>
    </row>
    <row r="119" ht="15" customHeight="1">
      <c r="A119" t="inlineStr">
        <is>
          <t>A 11501-2023</t>
        </is>
      </c>
      <c r="B119" s="1" t="n">
        <v>44991</v>
      </c>
      <c r="C119" s="1" t="n">
        <v>45904</v>
      </c>
      <c r="D119" t="inlineStr">
        <is>
          <t>VÄSTMANLANDS LÄN</t>
        </is>
      </c>
      <c r="E119" t="inlineStr">
        <is>
          <t>SURAHAMMAR</t>
        </is>
      </c>
      <c r="F119" t="inlineStr">
        <is>
          <t>Bergvik skog väst AB</t>
        </is>
      </c>
      <c r="G119" t="n">
        <v>1.1</v>
      </c>
      <c r="H119" t="n">
        <v>0</v>
      </c>
      <c r="I119" t="n">
        <v>0</v>
      </c>
      <c r="J119" t="n">
        <v>0</v>
      </c>
      <c r="K119" t="n">
        <v>0</v>
      </c>
      <c r="L119" t="n">
        <v>0</v>
      </c>
      <c r="M119" t="n">
        <v>0</v>
      </c>
      <c r="N119" t="n">
        <v>0</v>
      </c>
      <c r="O119" t="n">
        <v>0</v>
      </c>
      <c r="P119" t="n">
        <v>0</v>
      </c>
      <c r="Q119" t="n">
        <v>0</v>
      </c>
      <c r="R119" s="2" t="inlineStr"/>
    </row>
    <row r="120" ht="15" customHeight="1">
      <c r="A120" t="inlineStr">
        <is>
          <t>A 24158-2023</t>
        </is>
      </c>
      <c r="B120" s="1" t="n">
        <v>45079</v>
      </c>
      <c r="C120" s="1" t="n">
        <v>45904</v>
      </c>
      <c r="D120" t="inlineStr">
        <is>
          <t>VÄSTMANLANDS LÄN</t>
        </is>
      </c>
      <c r="E120" t="inlineStr">
        <is>
          <t>SURAHAMMAR</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34582-2025</t>
        </is>
      </c>
      <c r="B121" s="1" t="n">
        <v>45846</v>
      </c>
      <c r="C121" s="1" t="n">
        <v>45904</v>
      </c>
      <c r="D121" t="inlineStr">
        <is>
          <t>VÄSTMANLANDS LÄN</t>
        </is>
      </c>
      <c r="E121" t="inlineStr">
        <is>
          <t>SURAHAMMAR</t>
        </is>
      </c>
      <c r="F121" t="inlineStr">
        <is>
          <t>Bergvik skog väst AB</t>
        </is>
      </c>
      <c r="G121" t="n">
        <v>2.6</v>
      </c>
      <c r="H121" t="n">
        <v>0</v>
      </c>
      <c r="I121" t="n">
        <v>0</v>
      </c>
      <c r="J121" t="n">
        <v>0</v>
      </c>
      <c r="K121" t="n">
        <v>0</v>
      </c>
      <c r="L121" t="n">
        <v>0</v>
      </c>
      <c r="M121" t="n">
        <v>0</v>
      </c>
      <c r="N121" t="n">
        <v>0</v>
      </c>
      <c r="O121" t="n">
        <v>0</v>
      </c>
      <c r="P121" t="n">
        <v>0</v>
      </c>
      <c r="Q121" t="n">
        <v>0</v>
      </c>
      <c r="R121" s="2" t="inlineStr"/>
    </row>
    <row r="122" ht="15" customHeight="1">
      <c r="A122" t="inlineStr">
        <is>
          <t>A 10396-2025</t>
        </is>
      </c>
      <c r="B122" s="1" t="n">
        <v>45720.60721064815</v>
      </c>
      <c r="C122" s="1" t="n">
        <v>45904</v>
      </c>
      <c r="D122" t="inlineStr">
        <is>
          <t>VÄSTMANLANDS LÄN</t>
        </is>
      </c>
      <c r="E122" t="inlineStr">
        <is>
          <t>SURAHAMMAR</t>
        </is>
      </c>
      <c r="F122" t="inlineStr">
        <is>
          <t>Allmännings- och besparingsskogar</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34584-2025</t>
        </is>
      </c>
      <c r="B123" s="1" t="n">
        <v>45846</v>
      </c>
      <c r="C123" s="1" t="n">
        <v>45904</v>
      </c>
      <c r="D123" t="inlineStr">
        <is>
          <t>VÄSTMANLANDS LÄN</t>
        </is>
      </c>
      <c r="E123" t="inlineStr">
        <is>
          <t>SURAHAMMAR</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42714-2022</t>
        </is>
      </c>
      <c r="B124" s="1" t="n">
        <v>44832</v>
      </c>
      <c r="C124" s="1" t="n">
        <v>45904</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32916-2025</t>
        </is>
      </c>
      <c r="B125" s="1" t="n">
        <v>45839</v>
      </c>
      <c r="C125" s="1" t="n">
        <v>45904</v>
      </c>
      <c r="D125" t="inlineStr">
        <is>
          <t>VÄSTMANLANDS LÄN</t>
        </is>
      </c>
      <c r="E125" t="inlineStr">
        <is>
          <t>SURAHAMMAR</t>
        </is>
      </c>
      <c r="F125" t="inlineStr">
        <is>
          <t>Kommuner</t>
        </is>
      </c>
      <c r="G125" t="n">
        <v>4.9</v>
      </c>
      <c r="H125" t="n">
        <v>0</v>
      </c>
      <c r="I125" t="n">
        <v>0</v>
      </c>
      <c r="J125" t="n">
        <v>0</v>
      </c>
      <c r="K125" t="n">
        <v>0</v>
      </c>
      <c r="L125" t="n">
        <v>0</v>
      </c>
      <c r="M125" t="n">
        <v>0</v>
      </c>
      <c r="N125" t="n">
        <v>0</v>
      </c>
      <c r="O125" t="n">
        <v>0</v>
      </c>
      <c r="P125" t="n">
        <v>0</v>
      </c>
      <c r="Q125" t="n">
        <v>0</v>
      </c>
      <c r="R125" s="2" t="inlineStr"/>
    </row>
    <row r="126" ht="15" customHeight="1">
      <c r="A126" t="inlineStr">
        <is>
          <t>A 32910-2025</t>
        </is>
      </c>
      <c r="B126" s="1" t="n">
        <v>45839</v>
      </c>
      <c r="C126" s="1" t="n">
        <v>45904</v>
      </c>
      <c r="D126" t="inlineStr">
        <is>
          <t>VÄSTMANLANDS LÄN</t>
        </is>
      </c>
      <c r="E126" t="inlineStr">
        <is>
          <t>SURAHAMMAR</t>
        </is>
      </c>
      <c r="F126" t="inlineStr">
        <is>
          <t>Kommuner</t>
        </is>
      </c>
      <c r="G126" t="n">
        <v>1.1</v>
      </c>
      <c r="H126" t="n">
        <v>0</v>
      </c>
      <c r="I126" t="n">
        <v>0</v>
      </c>
      <c r="J126" t="n">
        <v>0</v>
      </c>
      <c r="K126" t="n">
        <v>0</v>
      </c>
      <c r="L126" t="n">
        <v>0</v>
      </c>
      <c r="M126" t="n">
        <v>0</v>
      </c>
      <c r="N126" t="n">
        <v>0</v>
      </c>
      <c r="O126" t="n">
        <v>0</v>
      </c>
      <c r="P126" t="n">
        <v>0</v>
      </c>
      <c r="Q126" t="n">
        <v>0</v>
      </c>
      <c r="R126" s="2" t="inlineStr"/>
    </row>
    <row r="127" ht="15" customHeight="1">
      <c r="A127" t="inlineStr">
        <is>
          <t>A 3818-2022</t>
        </is>
      </c>
      <c r="B127" s="1" t="n">
        <v>44587</v>
      </c>
      <c r="C127" s="1" t="n">
        <v>45904</v>
      </c>
      <c r="D127" t="inlineStr">
        <is>
          <t>VÄSTMANLANDS LÄN</t>
        </is>
      </c>
      <c r="E127" t="inlineStr">
        <is>
          <t>SURAHAMMAR</t>
        </is>
      </c>
      <c r="G127" t="n">
        <v>2.6</v>
      </c>
      <c r="H127" t="n">
        <v>0</v>
      </c>
      <c r="I127" t="n">
        <v>0</v>
      </c>
      <c r="J127" t="n">
        <v>0</v>
      </c>
      <c r="K127" t="n">
        <v>0</v>
      </c>
      <c r="L127" t="n">
        <v>0</v>
      </c>
      <c r="M127" t="n">
        <v>0</v>
      </c>
      <c r="N127" t="n">
        <v>0</v>
      </c>
      <c r="O127" t="n">
        <v>0</v>
      </c>
      <c r="P127" t="n">
        <v>0</v>
      </c>
      <c r="Q127" t="n">
        <v>0</v>
      </c>
      <c r="R127" s="2" t="inlineStr"/>
    </row>
    <row r="128" ht="15" customHeight="1">
      <c r="A128" t="inlineStr">
        <is>
          <t>A 35682-2022</t>
        </is>
      </c>
      <c r="B128" s="1" t="n">
        <v>44799.60422453703</v>
      </c>
      <c r="C128" s="1" t="n">
        <v>45904</v>
      </c>
      <c r="D128" t="inlineStr">
        <is>
          <t>VÄSTMANLANDS LÄN</t>
        </is>
      </c>
      <c r="E128" t="inlineStr">
        <is>
          <t>SURAHAMMAR</t>
        </is>
      </c>
      <c r="F128" t="inlineStr">
        <is>
          <t>Sveaskog</t>
        </is>
      </c>
      <c r="G128" t="n">
        <v>1.5</v>
      </c>
      <c r="H128" t="n">
        <v>0</v>
      </c>
      <c r="I128" t="n">
        <v>0</v>
      </c>
      <c r="J128" t="n">
        <v>0</v>
      </c>
      <c r="K128" t="n">
        <v>0</v>
      </c>
      <c r="L128" t="n">
        <v>0</v>
      </c>
      <c r="M128" t="n">
        <v>0</v>
      </c>
      <c r="N128" t="n">
        <v>0</v>
      </c>
      <c r="O128" t="n">
        <v>0</v>
      </c>
      <c r="P128" t="n">
        <v>0</v>
      </c>
      <c r="Q128" t="n">
        <v>0</v>
      </c>
      <c r="R128" s="2" t="inlineStr"/>
    </row>
    <row r="129" ht="15" customHeight="1">
      <c r="A129" t="inlineStr">
        <is>
          <t>A 42088-2025</t>
        </is>
      </c>
      <c r="B129" s="1" t="n">
        <v>45902</v>
      </c>
      <c r="C129" s="1" t="n">
        <v>45904</v>
      </c>
      <c r="D129" t="inlineStr">
        <is>
          <t>VÄSTMANLANDS LÄN</t>
        </is>
      </c>
      <c r="E129" t="inlineStr">
        <is>
          <t>SURAHAMMAR</t>
        </is>
      </c>
      <c r="G129" t="n">
        <v>1</v>
      </c>
      <c r="H129" t="n">
        <v>0</v>
      </c>
      <c r="I129" t="n">
        <v>0</v>
      </c>
      <c r="J129" t="n">
        <v>0</v>
      </c>
      <c r="K129" t="n">
        <v>0</v>
      </c>
      <c r="L129" t="n">
        <v>0</v>
      </c>
      <c r="M129" t="n">
        <v>0</v>
      </c>
      <c r="N129" t="n">
        <v>0</v>
      </c>
      <c r="O129" t="n">
        <v>0</v>
      </c>
      <c r="P129" t="n">
        <v>0</v>
      </c>
      <c r="Q129" t="n">
        <v>0</v>
      </c>
      <c r="R129" s="2" t="inlineStr"/>
    </row>
    <row r="130" ht="15" customHeight="1">
      <c r="A130" t="inlineStr">
        <is>
          <t>A 11728-2023</t>
        </is>
      </c>
      <c r="B130" s="1" t="n">
        <v>44993</v>
      </c>
      <c r="C130" s="1" t="n">
        <v>45904</v>
      </c>
      <c r="D130" t="inlineStr">
        <is>
          <t>VÄSTMANLANDS LÄN</t>
        </is>
      </c>
      <c r="E130" t="inlineStr">
        <is>
          <t>SURAHAMMAR</t>
        </is>
      </c>
      <c r="F130" t="inlineStr">
        <is>
          <t>Bergvik skog väst AB</t>
        </is>
      </c>
      <c r="G130" t="n">
        <v>0.4</v>
      </c>
      <c r="H130" t="n">
        <v>0</v>
      </c>
      <c r="I130" t="n">
        <v>0</v>
      </c>
      <c r="J130" t="n">
        <v>0</v>
      </c>
      <c r="K130" t="n">
        <v>0</v>
      </c>
      <c r="L130" t="n">
        <v>0</v>
      </c>
      <c r="M130" t="n">
        <v>0</v>
      </c>
      <c r="N130" t="n">
        <v>0</v>
      </c>
      <c r="O130" t="n">
        <v>0</v>
      </c>
      <c r="P130" t="n">
        <v>0</v>
      </c>
      <c r="Q130" t="n">
        <v>0</v>
      </c>
      <c r="R130" s="2" t="inlineStr"/>
    </row>
    <row r="131" ht="15" customHeight="1">
      <c r="A131" t="inlineStr">
        <is>
          <t>A 5567-2022</t>
        </is>
      </c>
      <c r="B131" s="1" t="n">
        <v>44595</v>
      </c>
      <c r="C131" s="1" t="n">
        <v>45904</v>
      </c>
      <c r="D131" t="inlineStr">
        <is>
          <t>VÄSTMANLANDS LÄN</t>
        </is>
      </c>
      <c r="E131" t="inlineStr">
        <is>
          <t>SURAHAMMAR</t>
        </is>
      </c>
      <c r="G131" t="n">
        <v>1.3</v>
      </c>
      <c r="H131" t="n">
        <v>0</v>
      </c>
      <c r="I131" t="n">
        <v>0</v>
      </c>
      <c r="J131" t="n">
        <v>0</v>
      </c>
      <c r="K131" t="n">
        <v>0</v>
      </c>
      <c r="L131" t="n">
        <v>0</v>
      </c>
      <c r="M131" t="n">
        <v>0</v>
      </c>
      <c r="N131" t="n">
        <v>0</v>
      </c>
      <c r="O131" t="n">
        <v>0</v>
      </c>
      <c r="P131" t="n">
        <v>0</v>
      </c>
      <c r="Q131" t="n">
        <v>0</v>
      </c>
      <c r="R131" s="2" t="inlineStr"/>
    </row>
    <row r="132" ht="15" customHeight="1">
      <c r="A132" t="inlineStr">
        <is>
          <t>A 42832-2022</t>
        </is>
      </c>
      <c r="B132" s="1" t="n">
        <v>44832</v>
      </c>
      <c r="C132" s="1" t="n">
        <v>45904</v>
      </c>
      <c r="D132" t="inlineStr">
        <is>
          <t>VÄSTMANLANDS LÄN</t>
        </is>
      </c>
      <c r="E132" t="inlineStr">
        <is>
          <t>SURAHAMMAR</t>
        </is>
      </c>
      <c r="G132" t="n">
        <v>1.1</v>
      </c>
      <c r="H132" t="n">
        <v>0</v>
      </c>
      <c r="I132" t="n">
        <v>0</v>
      </c>
      <c r="J132" t="n">
        <v>0</v>
      </c>
      <c r="K132" t="n">
        <v>0</v>
      </c>
      <c r="L132" t="n">
        <v>0</v>
      </c>
      <c r="M132" t="n">
        <v>0</v>
      </c>
      <c r="N132" t="n">
        <v>0</v>
      </c>
      <c r="O132" t="n">
        <v>0</v>
      </c>
      <c r="P132" t="n">
        <v>0</v>
      </c>
      <c r="Q132" t="n">
        <v>0</v>
      </c>
      <c r="R132" s="2" t="inlineStr"/>
    </row>
    <row r="133" ht="15" customHeight="1">
      <c r="A133" t="inlineStr">
        <is>
          <t>A 24665-2023</t>
        </is>
      </c>
      <c r="B133" s="1" t="n">
        <v>45084.48592592592</v>
      </c>
      <c r="C133" s="1" t="n">
        <v>45904</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32808-2024</t>
        </is>
      </c>
      <c r="B134" s="1" t="n">
        <v>45516</v>
      </c>
      <c r="C134" s="1" t="n">
        <v>45904</v>
      </c>
      <c r="D134" t="inlineStr">
        <is>
          <t>VÄSTMANLANDS LÄN</t>
        </is>
      </c>
      <c r="E134" t="inlineStr">
        <is>
          <t>SURAHAMMAR</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25417-2024</t>
        </is>
      </c>
      <c r="B135" s="1" t="n">
        <v>45463</v>
      </c>
      <c r="C135" s="1" t="n">
        <v>45904</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42841-2022</t>
        </is>
      </c>
      <c r="B136" s="1" t="n">
        <v>44832</v>
      </c>
      <c r="C136" s="1" t="n">
        <v>45904</v>
      </c>
      <c r="D136" t="inlineStr">
        <is>
          <t>VÄSTMANLANDS LÄN</t>
        </is>
      </c>
      <c r="E136" t="inlineStr">
        <is>
          <t>SURAHAMMAR</t>
        </is>
      </c>
      <c r="G136" t="n">
        <v>1.8</v>
      </c>
      <c r="H136" t="n">
        <v>0</v>
      </c>
      <c r="I136" t="n">
        <v>0</v>
      </c>
      <c r="J136" t="n">
        <v>0</v>
      </c>
      <c r="K136" t="n">
        <v>0</v>
      </c>
      <c r="L136" t="n">
        <v>0</v>
      </c>
      <c r="M136" t="n">
        <v>0</v>
      </c>
      <c r="N136" t="n">
        <v>0</v>
      </c>
      <c r="O136" t="n">
        <v>0</v>
      </c>
      <c r="P136" t="n">
        <v>0</v>
      </c>
      <c r="Q136" t="n">
        <v>0</v>
      </c>
      <c r="R136" s="2" t="inlineStr"/>
    </row>
    <row r="137" ht="15" customHeight="1">
      <c r="A137" t="inlineStr">
        <is>
          <t>A 42829-2022</t>
        </is>
      </c>
      <c r="B137" s="1" t="n">
        <v>44832</v>
      </c>
      <c r="C137" s="1" t="n">
        <v>45904</v>
      </c>
      <c r="D137" t="inlineStr">
        <is>
          <t>VÄSTMANLANDS LÄN</t>
        </is>
      </c>
      <c r="E137" t="inlineStr">
        <is>
          <t>SURAHAMMAR</t>
        </is>
      </c>
      <c r="G137" t="n">
        <v>1.6</v>
      </c>
      <c r="H137" t="n">
        <v>0</v>
      </c>
      <c r="I137" t="n">
        <v>0</v>
      </c>
      <c r="J137" t="n">
        <v>0</v>
      </c>
      <c r="K137" t="n">
        <v>0</v>
      </c>
      <c r="L137" t="n">
        <v>0</v>
      </c>
      <c r="M137" t="n">
        <v>0</v>
      </c>
      <c r="N137" t="n">
        <v>0</v>
      </c>
      <c r="O137" t="n">
        <v>0</v>
      </c>
      <c r="P137" t="n">
        <v>0</v>
      </c>
      <c r="Q137" t="n">
        <v>0</v>
      </c>
      <c r="R137" s="2" t="inlineStr"/>
    </row>
    <row r="138" ht="15" customHeight="1">
      <c r="A138" t="inlineStr">
        <is>
          <t>A 44358-2024</t>
        </is>
      </c>
      <c r="B138" s="1" t="n">
        <v>45573</v>
      </c>
      <c r="C138" s="1" t="n">
        <v>45904</v>
      </c>
      <c r="D138" t="inlineStr">
        <is>
          <t>VÄSTMANLANDS LÄN</t>
        </is>
      </c>
      <c r="E138" t="inlineStr">
        <is>
          <t>SURAHAMMAR</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44359-2024</t>
        </is>
      </c>
      <c r="B139" s="1" t="n">
        <v>45573</v>
      </c>
      <c r="C139" s="1" t="n">
        <v>45904</v>
      </c>
      <c r="D139" t="inlineStr">
        <is>
          <t>VÄSTMANLANDS LÄN</t>
        </is>
      </c>
      <c r="E139" t="inlineStr">
        <is>
          <t>SURAHAMMAR</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2867-2024</t>
        </is>
      </c>
      <c r="B140" s="1" t="n">
        <v>45315</v>
      </c>
      <c r="C140" s="1" t="n">
        <v>45904</v>
      </c>
      <c r="D140" t="inlineStr">
        <is>
          <t>VÄSTMANLANDS LÄN</t>
        </is>
      </c>
      <c r="E140" t="inlineStr">
        <is>
          <t>SURAHAMMAR</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3085-2023</t>
        </is>
      </c>
      <c r="B141" s="1" t="n">
        <v>44946</v>
      </c>
      <c r="C141" s="1" t="n">
        <v>45904</v>
      </c>
      <c r="D141" t="inlineStr">
        <is>
          <t>VÄSTMANLANDS LÄN</t>
        </is>
      </c>
      <c r="E141" t="inlineStr">
        <is>
          <t>SURAHAMMAR</t>
        </is>
      </c>
      <c r="F141" t="inlineStr">
        <is>
          <t>Kyrkan</t>
        </is>
      </c>
      <c r="G141" t="n">
        <v>13</v>
      </c>
      <c r="H141" t="n">
        <v>0</v>
      </c>
      <c r="I141" t="n">
        <v>0</v>
      </c>
      <c r="J141" t="n">
        <v>0</v>
      </c>
      <c r="K141" t="n">
        <v>0</v>
      </c>
      <c r="L141" t="n">
        <v>0</v>
      </c>
      <c r="M141" t="n">
        <v>0</v>
      </c>
      <c r="N141" t="n">
        <v>0</v>
      </c>
      <c r="O141" t="n">
        <v>0</v>
      </c>
      <c r="P141" t="n">
        <v>0</v>
      </c>
      <c r="Q141" t="n">
        <v>0</v>
      </c>
      <c r="R141" s="2" t="inlineStr"/>
    </row>
    <row r="142" ht="15" customHeight="1">
      <c r="A142" t="inlineStr">
        <is>
          <t>A 21509-2024</t>
        </is>
      </c>
      <c r="B142" s="1" t="n">
        <v>45441</v>
      </c>
      <c r="C142" s="1" t="n">
        <v>45904</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22662-2023</t>
        </is>
      </c>
      <c r="B143" s="1" t="n">
        <v>45071</v>
      </c>
      <c r="C143" s="1" t="n">
        <v>45904</v>
      </c>
      <c r="D143" t="inlineStr">
        <is>
          <t>VÄSTMANLANDS LÄN</t>
        </is>
      </c>
      <c r="E143" t="inlineStr">
        <is>
          <t>SURAHAMMAR</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16013-2023</t>
        </is>
      </c>
      <c r="B144" s="1" t="n">
        <v>45026</v>
      </c>
      <c r="C144" s="1" t="n">
        <v>45904</v>
      </c>
      <c r="D144" t="inlineStr">
        <is>
          <t>VÄSTMANLANDS LÄN</t>
        </is>
      </c>
      <c r="E144" t="inlineStr">
        <is>
          <t>SURAHAMMAR</t>
        </is>
      </c>
      <c r="G144" t="n">
        <v>3.9</v>
      </c>
      <c r="H144" t="n">
        <v>0</v>
      </c>
      <c r="I144" t="n">
        <v>0</v>
      </c>
      <c r="J144" t="n">
        <v>0</v>
      </c>
      <c r="K144" t="n">
        <v>0</v>
      </c>
      <c r="L144" t="n">
        <v>0</v>
      </c>
      <c r="M144" t="n">
        <v>0</v>
      </c>
      <c r="N144" t="n">
        <v>0</v>
      </c>
      <c r="O144" t="n">
        <v>0</v>
      </c>
      <c r="P144" t="n">
        <v>0</v>
      </c>
      <c r="Q144" t="n">
        <v>0</v>
      </c>
      <c r="R144" s="2" t="inlineStr"/>
    </row>
    <row r="145" ht="15" customHeight="1">
      <c r="A145" t="inlineStr">
        <is>
          <t>A 49058-2024</t>
        </is>
      </c>
      <c r="B145" s="1" t="n">
        <v>45594</v>
      </c>
      <c r="C145" s="1" t="n">
        <v>45904</v>
      </c>
      <c r="D145" t="inlineStr">
        <is>
          <t>VÄSTMANLANDS LÄN</t>
        </is>
      </c>
      <c r="E145" t="inlineStr">
        <is>
          <t>SURAHAMMAR</t>
        </is>
      </c>
      <c r="F145" t="inlineStr">
        <is>
          <t>Sveaskog</t>
        </is>
      </c>
      <c r="G145" t="n">
        <v>11.4</v>
      </c>
      <c r="H145" t="n">
        <v>0</v>
      </c>
      <c r="I145" t="n">
        <v>0</v>
      </c>
      <c r="J145" t="n">
        <v>0</v>
      </c>
      <c r="K145" t="n">
        <v>0</v>
      </c>
      <c r="L145" t="n">
        <v>0</v>
      </c>
      <c r="M145" t="n">
        <v>0</v>
      </c>
      <c r="N145" t="n">
        <v>0</v>
      </c>
      <c r="O145" t="n">
        <v>0</v>
      </c>
      <c r="P145" t="n">
        <v>0</v>
      </c>
      <c r="Q145" t="n">
        <v>0</v>
      </c>
      <c r="R145" s="2" t="inlineStr"/>
    </row>
    <row r="146" ht="15" customHeight="1">
      <c r="A146" t="inlineStr">
        <is>
          <t>A 49060-2024</t>
        </is>
      </c>
      <c r="B146" s="1" t="n">
        <v>45594</v>
      </c>
      <c r="C146" s="1" t="n">
        <v>45904</v>
      </c>
      <c r="D146" t="inlineStr">
        <is>
          <t>VÄSTMANLANDS LÄN</t>
        </is>
      </c>
      <c r="E146" t="inlineStr">
        <is>
          <t>SURAHAMMAR</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41555-2022</t>
        </is>
      </c>
      <c r="B147" s="1" t="n">
        <v>44826</v>
      </c>
      <c r="C147" s="1" t="n">
        <v>45904</v>
      </c>
      <c r="D147" t="inlineStr">
        <is>
          <t>VÄSTMANLANDS LÄN</t>
        </is>
      </c>
      <c r="E147" t="inlineStr">
        <is>
          <t>SURAHAMMAR</t>
        </is>
      </c>
      <c r="F147" t="inlineStr">
        <is>
          <t>Bergvik skog väst AB</t>
        </is>
      </c>
      <c r="G147" t="n">
        <v>1.7</v>
      </c>
      <c r="H147" t="n">
        <v>0</v>
      </c>
      <c r="I147" t="n">
        <v>0</v>
      </c>
      <c r="J147" t="n">
        <v>0</v>
      </c>
      <c r="K147" t="n">
        <v>0</v>
      </c>
      <c r="L147" t="n">
        <v>0</v>
      </c>
      <c r="M147" t="n">
        <v>0</v>
      </c>
      <c r="N147" t="n">
        <v>0</v>
      </c>
      <c r="O147" t="n">
        <v>0</v>
      </c>
      <c r="P147" t="n">
        <v>0</v>
      </c>
      <c r="Q147" t="n">
        <v>0</v>
      </c>
      <c r="R147" s="2" t="inlineStr"/>
    </row>
    <row r="148" ht="15" customHeight="1">
      <c r="A148" t="inlineStr">
        <is>
          <t>A 34955-2022</t>
        </is>
      </c>
      <c r="B148" s="1" t="n">
        <v>44796</v>
      </c>
      <c r="C148" s="1" t="n">
        <v>45904</v>
      </c>
      <c r="D148" t="inlineStr">
        <is>
          <t>VÄSTMANLANDS LÄN</t>
        </is>
      </c>
      <c r="E148" t="inlineStr">
        <is>
          <t>SURAHAMMAR</t>
        </is>
      </c>
      <c r="F148" t="inlineStr">
        <is>
          <t>Sveaskog</t>
        </is>
      </c>
      <c r="G148" t="n">
        <v>4.6</v>
      </c>
      <c r="H148" t="n">
        <v>0</v>
      </c>
      <c r="I148" t="n">
        <v>0</v>
      </c>
      <c r="J148" t="n">
        <v>0</v>
      </c>
      <c r="K148" t="n">
        <v>0</v>
      </c>
      <c r="L148" t="n">
        <v>0</v>
      </c>
      <c r="M148" t="n">
        <v>0</v>
      </c>
      <c r="N148" t="n">
        <v>0</v>
      </c>
      <c r="O148" t="n">
        <v>0</v>
      </c>
      <c r="P148" t="n">
        <v>0</v>
      </c>
      <c r="Q148" t="n">
        <v>0</v>
      </c>
      <c r="R148" s="2" t="inlineStr"/>
    </row>
    <row r="149" ht="15" customHeight="1">
      <c r="A149" t="inlineStr">
        <is>
          <t>A 25780-2023</t>
        </is>
      </c>
      <c r="B149" s="1" t="n">
        <v>45090.47523148148</v>
      </c>
      <c r="C149" s="1" t="n">
        <v>45904</v>
      </c>
      <c r="D149" t="inlineStr">
        <is>
          <t>VÄSTMANLANDS LÄN</t>
        </is>
      </c>
      <c r="E149" t="inlineStr">
        <is>
          <t>SURAHAMMAR</t>
        </is>
      </c>
      <c r="G149" t="n">
        <v>2.8</v>
      </c>
      <c r="H149" t="n">
        <v>0</v>
      </c>
      <c r="I149" t="n">
        <v>0</v>
      </c>
      <c r="J149" t="n">
        <v>0</v>
      </c>
      <c r="K149" t="n">
        <v>0</v>
      </c>
      <c r="L149" t="n">
        <v>0</v>
      </c>
      <c r="M149" t="n">
        <v>0</v>
      </c>
      <c r="N149" t="n">
        <v>0</v>
      </c>
      <c r="O149" t="n">
        <v>0</v>
      </c>
      <c r="P149" t="n">
        <v>0</v>
      </c>
      <c r="Q149" t="n">
        <v>0</v>
      </c>
      <c r="R149" s="2" t="inlineStr"/>
    </row>
    <row r="150" ht="15" customHeight="1">
      <c r="A150" t="inlineStr">
        <is>
          <t>A 20904-2023</t>
        </is>
      </c>
      <c r="B150" s="1" t="n">
        <v>45060</v>
      </c>
      <c r="C150" s="1" t="n">
        <v>45904</v>
      </c>
      <c r="D150" t="inlineStr">
        <is>
          <t>VÄSTMANLANDS LÄN</t>
        </is>
      </c>
      <c r="E150" t="inlineStr">
        <is>
          <t>SURAHAMMAR</t>
        </is>
      </c>
      <c r="F150" t="inlineStr">
        <is>
          <t>Sveaskog</t>
        </is>
      </c>
      <c r="G150" t="n">
        <v>1.7</v>
      </c>
      <c r="H150" t="n">
        <v>0</v>
      </c>
      <c r="I150" t="n">
        <v>0</v>
      </c>
      <c r="J150" t="n">
        <v>0</v>
      </c>
      <c r="K150" t="n">
        <v>0</v>
      </c>
      <c r="L150" t="n">
        <v>0</v>
      </c>
      <c r="M150" t="n">
        <v>0</v>
      </c>
      <c r="N150" t="n">
        <v>0</v>
      </c>
      <c r="O150" t="n">
        <v>0</v>
      </c>
      <c r="P150" t="n">
        <v>0</v>
      </c>
      <c r="Q150" t="n">
        <v>0</v>
      </c>
      <c r="R150" s="2" t="inlineStr"/>
    </row>
    <row r="151" ht="15" customHeight="1">
      <c r="A151" t="inlineStr">
        <is>
          <t>A 13386-2025</t>
        </is>
      </c>
      <c r="B151" s="1" t="n">
        <v>45735</v>
      </c>
      <c r="C151" s="1" t="n">
        <v>45904</v>
      </c>
      <c r="D151" t="inlineStr">
        <is>
          <t>VÄSTMANLANDS LÄN</t>
        </is>
      </c>
      <c r="E151" t="inlineStr">
        <is>
          <t>SURAHAMMAR</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10883-2023</t>
        </is>
      </c>
      <c r="B152" s="1" t="n">
        <v>44991</v>
      </c>
      <c r="C152" s="1" t="n">
        <v>45904</v>
      </c>
      <c r="D152" t="inlineStr">
        <is>
          <t>VÄSTMANLANDS LÄN</t>
        </is>
      </c>
      <c r="E152" t="inlineStr">
        <is>
          <t>SURAHAMMAR</t>
        </is>
      </c>
      <c r="F152" t="inlineStr">
        <is>
          <t>Övriga Aktiebolag</t>
        </is>
      </c>
      <c r="G152" t="n">
        <v>12.5</v>
      </c>
      <c r="H152" t="n">
        <v>0</v>
      </c>
      <c r="I152" t="n">
        <v>0</v>
      </c>
      <c r="J152" t="n">
        <v>0</v>
      </c>
      <c r="K152" t="n">
        <v>0</v>
      </c>
      <c r="L152" t="n">
        <v>0</v>
      </c>
      <c r="M152" t="n">
        <v>0</v>
      </c>
      <c r="N152" t="n">
        <v>0</v>
      </c>
      <c r="O152" t="n">
        <v>0</v>
      </c>
      <c r="P152" t="n">
        <v>0</v>
      </c>
      <c r="Q152" t="n">
        <v>0</v>
      </c>
      <c r="R152" s="2" t="inlineStr"/>
    </row>
    <row r="153">
      <c r="A153" t="inlineStr">
        <is>
          <t>A 2660-2024</t>
        </is>
      </c>
      <c r="B153" s="1" t="n">
        <v>45310</v>
      </c>
      <c r="C153" s="1" t="n">
        <v>45904</v>
      </c>
      <c r="D153" t="inlineStr">
        <is>
          <t>VÄSTMANLANDS LÄN</t>
        </is>
      </c>
      <c r="E153" t="inlineStr">
        <is>
          <t>SURAHAMMAR</t>
        </is>
      </c>
      <c r="G153" t="n">
        <v>2.1</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2025-09-04T17:42:34Z</dcterms:created>
  <dcterms:modified xmlns:dcterms="http://purl.org/dc/terms/" xmlns:xsi="http://www.w3.org/2001/XMLSchema-instance" xsi:type="dcterms:W3CDTF">2025-09-04T17:42:34Z</dcterms:modified>
</cp:coreProperties>
</file>