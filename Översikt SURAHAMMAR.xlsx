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46063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46063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46063</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46063</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46063</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46063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46063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46063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46063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46063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46063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46063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46063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46063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46063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46063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46063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46063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46063</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46063</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46063</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46063</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46063</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46063</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46063</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46063</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46063</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46063</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46063</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49718-2023</t>
        </is>
      </c>
      <c r="B31" s="1" t="n">
        <v>45212</v>
      </c>
      <c r="C31" s="1" t="n">
        <v>46063</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29707-2025</t>
        </is>
      </c>
      <c r="B32" s="1" t="n">
        <v>45825.56100694444</v>
      </c>
      <c r="C32" s="1" t="n">
        <v>46063</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48128-2023</t>
        </is>
      </c>
      <c r="B33" s="1" t="n">
        <v>45205</v>
      </c>
      <c r="C33" s="1" t="n">
        <v>46063</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39694-2025</t>
        </is>
      </c>
      <c r="B34" s="1" t="n">
        <v>45890</v>
      </c>
      <c r="C34" s="1" t="n">
        <v>46063</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8552-2022</t>
        </is>
      </c>
      <c r="B35" s="1" t="n">
        <v>44613</v>
      </c>
      <c r="C35" s="1" t="n">
        <v>46063</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46063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46063</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46063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46063</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46063</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46063</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4082-2025</t>
        </is>
      </c>
      <c r="B42" s="1" t="n">
        <v>45684</v>
      </c>
      <c r="C42" s="1" t="n">
        <v>46063</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63146-2025</t>
        </is>
      </c>
      <c r="B43" s="1" t="n">
        <v>46009</v>
      </c>
      <c r="C43" s="1" t="n">
        <v>46063</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41576-2022</t>
        </is>
      </c>
      <c r="B44" s="1" t="n">
        <v>44826</v>
      </c>
      <c r="C44" s="1" t="n">
        <v>46063</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37800-2021</t>
        </is>
      </c>
      <c r="B45" s="1" t="n">
        <v>44402</v>
      </c>
      <c r="C45" s="1" t="n">
        <v>46063</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46063</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46063</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46063</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46063</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46063</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46063</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46063</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69777-2021</t>
        </is>
      </c>
      <c r="B53" s="1" t="n">
        <v>44532</v>
      </c>
      <c r="C53" s="1" t="n">
        <v>46063</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14001-2023</t>
        </is>
      </c>
      <c r="B54" s="1" t="n">
        <v>45007</v>
      </c>
      <c r="C54" s="1" t="n">
        <v>46063</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47453-2024</t>
        </is>
      </c>
      <c r="B55" s="1" t="n">
        <v>45587.55017361111</v>
      </c>
      <c r="C55" s="1" t="n">
        <v>46063</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34582-2025</t>
        </is>
      </c>
      <c r="B56" s="1" t="n">
        <v>45846</v>
      </c>
      <c r="C56" s="1" t="n">
        <v>46063</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10819-2024</t>
        </is>
      </c>
      <c r="B57" s="1" t="n">
        <v>45369.66049768519</v>
      </c>
      <c r="C57" s="1" t="n">
        <v>46063</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42089-2025</t>
        </is>
      </c>
      <c r="B58" s="1" t="n">
        <v>45902</v>
      </c>
      <c r="C58" s="1" t="n">
        <v>46063</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40411-2021</t>
        </is>
      </c>
      <c r="B59" s="1" t="n">
        <v>44419</v>
      </c>
      <c r="C59" s="1" t="n">
        <v>46063</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46063</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46063</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46063</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55042-2025</t>
        </is>
      </c>
      <c r="B63" s="1" t="n">
        <v>45967.65858796296</v>
      </c>
      <c r="C63" s="1" t="n">
        <v>46063</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25583-2024</t>
        </is>
      </c>
      <c r="B64" s="1" t="n">
        <v>45463</v>
      </c>
      <c r="C64" s="1" t="n">
        <v>46063</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56768-2025</t>
        </is>
      </c>
      <c r="B65" s="1" t="n">
        <v>45978</v>
      </c>
      <c r="C65" s="1" t="n">
        <v>46063</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13971-2023</t>
        </is>
      </c>
      <c r="B66" s="1" t="n">
        <v>45007</v>
      </c>
      <c r="C66" s="1" t="n">
        <v>46063</v>
      </c>
      <c r="D66" t="inlineStr">
        <is>
          <t>VÄSTMANLANDS LÄN</t>
        </is>
      </c>
      <c r="E66" t="inlineStr">
        <is>
          <t>SURAHAMMAR</t>
        </is>
      </c>
      <c r="F66" t="inlineStr">
        <is>
          <t>Bergvik skog väst AB</t>
        </is>
      </c>
      <c r="G66" t="n">
        <v>2.9</v>
      </c>
      <c r="H66" t="n">
        <v>1</v>
      </c>
      <c r="I66" t="n">
        <v>0</v>
      </c>
      <c r="J66" t="n">
        <v>0</v>
      </c>
      <c r="K66" t="n">
        <v>0</v>
      </c>
      <c r="L66" t="n">
        <v>0</v>
      </c>
      <c r="M66" t="n">
        <v>0</v>
      </c>
      <c r="N66" t="n">
        <v>0</v>
      </c>
      <c r="O66" t="n">
        <v>0</v>
      </c>
      <c r="P66" t="n">
        <v>0</v>
      </c>
      <c r="Q66" t="n">
        <v>1</v>
      </c>
      <c r="R66" s="2" t="inlineStr">
        <is>
          <t>Fläcknycklar</t>
        </is>
      </c>
      <c r="S66">
        <f>HYPERLINK("https://klasma.github.io/Logging_1907/artfynd/A 13971-2023 artfynd.xlsx", "A 13971-2023")</f>
        <v/>
      </c>
      <c r="T66">
        <f>HYPERLINK("https://klasma.github.io/Logging_1907/kartor/A 13971-2023 karta.png", "A 13971-2023")</f>
        <v/>
      </c>
      <c r="V66">
        <f>HYPERLINK("https://klasma.github.io/Logging_1907/klagomål/A 13971-2023 FSC-klagomål.docx", "A 13971-2023")</f>
        <v/>
      </c>
      <c r="W66">
        <f>HYPERLINK("https://klasma.github.io/Logging_1907/klagomålsmail/A 13971-2023 FSC-klagomål mail.docx", "A 13971-2023")</f>
        <v/>
      </c>
      <c r="X66">
        <f>HYPERLINK("https://klasma.github.io/Logging_1907/tillsyn/A 13971-2023 tillsynsbegäran.docx", "A 13971-2023")</f>
        <v/>
      </c>
      <c r="Y66">
        <f>HYPERLINK("https://klasma.github.io/Logging_1907/tillsynsmail/A 13971-2023 tillsynsbegäran mail.docx", "A 13971-2023")</f>
        <v/>
      </c>
    </row>
    <row r="67" ht="15" customHeight="1">
      <c r="A67" t="inlineStr">
        <is>
          <t>A 42765-2022</t>
        </is>
      </c>
      <c r="B67" s="1" t="n">
        <v>44832</v>
      </c>
      <c r="C67" s="1" t="n">
        <v>46063</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44356-2024</t>
        </is>
      </c>
      <c r="B68" s="1" t="n">
        <v>45573</v>
      </c>
      <c r="C68" s="1" t="n">
        <v>46063</v>
      </c>
      <c r="D68" t="inlineStr">
        <is>
          <t>VÄSTMANLANDS LÄN</t>
        </is>
      </c>
      <c r="E68" t="inlineStr">
        <is>
          <t>SURAHAMMAR</t>
        </is>
      </c>
      <c r="F68" t="inlineStr">
        <is>
          <t>Sveaskog</t>
        </is>
      </c>
      <c r="G68" t="n">
        <v>0.7</v>
      </c>
      <c r="H68" t="n">
        <v>1</v>
      </c>
      <c r="I68" t="n">
        <v>0</v>
      </c>
      <c r="J68" t="n">
        <v>0</v>
      </c>
      <c r="K68" t="n">
        <v>0</v>
      </c>
      <c r="L68" t="n">
        <v>0</v>
      </c>
      <c r="M68" t="n">
        <v>0</v>
      </c>
      <c r="N68" t="n">
        <v>0</v>
      </c>
      <c r="O68" t="n">
        <v>0</v>
      </c>
      <c r="P68" t="n">
        <v>0</v>
      </c>
      <c r="Q68" t="n">
        <v>1</v>
      </c>
      <c r="R68" s="2" t="inlineStr">
        <is>
          <t>Revlummer</t>
        </is>
      </c>
      <c r="S68">
        <f>HYPERLINK("https://klasma.github.io/Logging_1907/artfynd/A 44356-2024 artfynd.xlsx", "A 44356-2024")</f>
        <v/>
      </c>
      <c r="T68">
        <f>HYPERLINK("https://klasma.github.io/Logging_1907/kartor/A 44356-2024 karta.png", "A 44356-2024")</f>
        <v/>
      </c>
      <c r="V68">
        <f>HYPERLINK("https://klasma.github.io/Logging_1907/klagomål/A 44356-2024 FSC-klagomål.docx", "A 44356-2024")</f>
        <v/>
      </c>
      <c r="W68">
        <f>HYPERLINK("https://klasma.github.io/Logging_1907/klagomålsmail/A 44356-2024 FSC-klagomål mail.docx", "A 44356-2024")</f>
        <v/>
      </c>
      <c r="X68">
        <f>HYPERLINK("https://klasma.github.io/Logging_1907/tillsyn/A 44356-2024 tillsynsbegäran.docx", "A 44356-2024")</f>
        <v/>
      </c>
      <c r="Y68">
        <f>HYPERLINK("https://klasma.github.io/Logging_1907/tillsynsmail/A 44356-2024 tillsynsbegäran mail.docx", "A 44356-2024")</f>
        <v/>
      </c>
    </row>
    <row r="69" ht="15" customHeight="1">
      <c r="A69" t="inlineStr">
        <is>
          <t>A 63145-2025</t>
        </is>
      </c>
      <c r="B69" s="1" t="n">
        <v>46009</v>
      </c>
      <c r="C69" s="1" t="n">
        <v>46063</v>
      </c>
      <c r="D69" t="inlineStr">
        <is>
          <t>VÄSTMANLANDS LÄN</t>
        </is>
      </c>
      <c r="E69" t="inlineStr">
        <is>
          <t>SURAHAMMAR</t>
        </is>
      </c>
      <c r="F69" t="inlineStr">
        <is>
          <t>Bergvik skog väst AB</t>
        </is>
      </c>
      <c r="G69" t="n">
        <v>40.5</v>
      </c>
      <c r="H69" t="n">
        <v>0</v>
      </c>
      <c r="I69" t="n">
        <v>1</v>
      </c>
      <c r="J69" t="n">
        <v>0</v>
      </c>
      <c r="K69" t="n">
        <v>0</v>
      </c>
      <c r="L69" t="n">
        <v>0</v>
      </c>
      <c r="M69" t="n">
        <v>0</v>
      </c>
      <c r="N69" t="n">
        <v>0</v>
      </c>
      <c r="O69" t="n">
        <v>0</v>
      </c>
      <c r="P69" t="n">
        <v>0</v>
      </c>
      <c r="Q69" t="n">
        <v>1</v>
      </c>
      <c r="R69" s="2" t="inlineStr">
        <is>
          <t>Svart trolldruva</t>
        </is>
      </c>
      <c r="S69">
        <f>HYPERLINK("https://klasma.github.io/Logging_1907/artfynd/A 63145-2025 artfynd.xlsx", "A 63145-2025")</f>
        <v/>
      </c>
      <c r="T69">
        <f>HYPERLINK("https://klasma.github.io/Logging_1907/kartor/A 63145-2025 karta.png", "A 63145-2025")</f>
        <v/>
      </c>
      <c r="V69">
        <f>HYPERLINK("https://klasma.github.io/Logging_1907/klagomål/A 63145-2025 FSC-klagomål.docx", "A 63145-2025")</f>
        <v/>
      </c>
      <c r="W69">
        <f>HYPERLINK("https://klasma.github.io/Logging_1907/klagomålsmail/A 63145-2025 FSC-klagomål mail.docx", "A 63145-2025")</f>
        <v/>
      </c>
      <c r="X69">
        <f>HYPERLINK("https://klasma.github.io/Logging_1907/tillsyn/A 63145-2025 tillsynsbegäran.docx", "A 63145-2025")</f>
        <v/>
      </c>
      <c r="Y69">
        <f>HYPERLINK("https://klasma.github.io/Logging_1907/tillsynsmail/A 63145-2025 tillsynsbegäran mail.docx", "A 63145-2025")</f>
        <v/>
      </c>
    </row>
    <row r="70" ht="15" customHeight="1">
      <c r="A70" t="inlineStr">
        <is>
          <t>A 17632-2022</t>
        </is>
      </c>
      <c r="B70" s="1" t="n">
        <v>44680</v>
      </c>
      <c r="C70" s="1" t="n">
        <v>46063</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46063</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46063</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46063</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46063</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46063</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46063</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46063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46063</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46063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46063</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46063</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46063</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46063</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46063</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46063</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46063</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46063</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46063</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46063</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46063</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46063</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46063</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46063</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46063</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46063</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46063</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46063</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46063</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19782-2023</t>
        </is>
      </c>
      <c r="B99" s="1" t="n">
        <v>45050</v>
      </c>
      <c r="C99" s="1" t="n">
        <v>46063</v>
      </c>
      <c r="D99" t="inlineStr">
        <is>
          <t>VÄSTMANLANDS LÄN</t>
        </is>
      </c>
      <c r="E99" t="inlineStr">
        <is>
          <t>SURAHAMMAR</t>
        </is>
      </c>
      <c r="F99" t="inlineStr">
        <is>
          <t>Bergvik skog väst AB</t>
        </is>
      </c>
      <c r="G99" t="n">
        <v>5.2</v>
      </c>
      <c r="H99" t="n">
        <v>0</v>
      </c>
      <c r="I99" t="n">
        <v>0</v>
      </c>
      <c r="J99" t="n">
        <v>0</v>
      </c>
      <c r="K99" t="n">
        <v>0</v>
      </c>
      <c r="L99" t="n">
        <v>0</v>
      </c>
      <c r="M99" t="n">
        <v>0</v>
      </c>
      <c r="N99" t="n">
        <v>0</v>
      </c>
      <c r="O99" t="n">
        <v>0</v>
      </c>
      <c r="P99" t="n">
        <v>0</v>
      </c>
      <c r="Q99" t="n">
        <v>0</v>
      </c>
      <c r="R99" s="2" t="inlineStr"/>
    </row>
    <row r="100" ht="15" customHeight="1">
      <c r="A100" t="inlineStr">
        <is>
          <t>A 14626-2023</t>
        </is>
      </c>
      <c r="B100" s="1" t="n">
        <v>45012</v>
      </c>
      <c r="C100" s="1" t="n">
        <v>46063</v>
      </c>
      <c r="D100" t="inlineStr">
        <is>
          <t>VÄSTMANLANDS LÄN</t>
        </is>
      </c>
      <c r="E100" t="inlineStr">
        <is>
          <t>SURAHAMMAR</t>
        </is>
      </c>
      <c r="F100" t="inlineStr">
        <is>
          <t>Bergvik skog väst AB</t>
        </is>
      </c>
      <c r="G100" t="n">
        <v>5</v>
      </c>
      <c r="H100" t="n">
        <v>0</v>
      </c>
      <c r="I100" t="n">
        <v>0</v>
      </c>
      <c r="J100" t="n">
        <v>0</v>
      </c>
      <c r="K100" t="n">
        <v>0</v>
      </c>
      <c r="L100" t="n">
        <v>0</v>
      </c>
      <c r="M100" t="n">
        <v>0</v>
      </c>
      <c r="N100" t="n">
        <v>0</v>
      </c>
      <c r="O100" t="n">
        <v>0</v>
      </c>
      <c r="P100" t="n">
        <v>0</v>
      </c>
      <c r="Q100" t="n">
        <v>0</v>
      </c>
      <c r="R100" s="2" t="inlineStr"/>
    </row>
    <row r="101" ht="15" customHeight="1">
      <c r="A101" t="inlineStr">
        <is>
          <t>A 8553-2023</t>
        </is>
      </c>
      <c r="B101" s="1" t="n">
        <v>44977</v>
      </c>
      <c r="C101" s="1" t="n">
        <v>46063</v>
      </c>
      <c r="D101" t="inlineStr">
        <is>
          <t>VÄSTMANLANDS LÄN</t>
        </is>
      </c>
      <c r="E101" t="inlineStr">
        <is>
          <t>SURAHAMMAR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56378-2023</t>
        </is>
      </c>
      <c r="B102" s="1" t="n">
        <v>45236</v>
      </c>
      <c r="C102" s="1" t="n">
        <v>46063</v>
      </c>
      <c r="D102" t="inlineStr">
        <is>
          <t>VÄSTMANLANDS LÄN</t>
        </is>
      </c>
      <c r="E102" t="inlineStr">
        <is>
          <t>SURAHAMMAR</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11728-2023</t>
        </is>
      </c>
      <c r="B103" s="1" t="n">
        <v>44993</v>
      </c>
      <c r="C103" s="1" t="n">
        <v>46063</v>
      </c>
      <c r="D103" t="inlineStr">
        <is>
          <t>VÄSTMANLANDS LÄN</t>
        </is>
      </c>
      <c r="E103" t="inlineStr">
        <is>
          <t>SURAHAMMAR</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34584-2025</t>
        </is>
      </c>
      <c r="B104" s="1" t="n">
        <v>45846</v>
      </c>
      <c r="C104" s="1" t="n">
        <v>46063</v>
      </c>
      <c r="D104" t="inlineStr">
        <is>
          <t>VÄSTMANLANDS LÄN</t>
        </is>
      </c>
      <c r="E104" t="inlineStr">
        <is>
          <t>SURAHAMMAR</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46063</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11501-2023</t>
        </is>
      </c>
      <c r="B106" s="1" t="n">
        <v>44991</v>
      </c>
      <c r="C106" s="1" t="n">
        <v>46063</v>
      </c>
      <c r="D106" t="inlineStr">
        <is>
          <t>VÄSTMANLANDS LÄN</t>
        </is>
      </c>
      <c r="E106" t="inlineStr">
        <is>
          <t>SURAHAMMAR</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16013-2023</t>
        </is>
      </c>
      <c r="B107" s="1" t="n">
        <v>45026</v>
      </c>
      <c r="C107" s="1" t="n">
        <v>46063</v>
      </c>
      <c r="D107" t="inlineStr">
        <is>
          <t>VÄSTMANLANDS LÄN</t>
        </is>
      </c>
      <c r="E107" t="inlineStr">
        <is>
          <t>SURAHAMMAR</t>
        </is>
      </c>
      <c r="G107" t="n">
        <v>3.9</v>
      </c>
      <c r="H107" t="n">
        <v>0</v>
      </c>
      <c r="I107" t="n">
        <v>0</v>
      </c>
      <c r="J107" t="n">
        <v>0</v>
      </c>
      <c r="K107" t="n">
        <v>0</v>
      </c>
      <c r="L107" t="n">
        <v>0</v>
      </c>
      <c r="M107" t="n">
        <v>0</v>
      </c>
      <c r="N107" t="n">
        <v>0</v>
      </c>
      <c r="O107" t="n">
        <v>0</v>
      </c>
      <c r="P107" t="n">
        <v>0</v>
      </c>
      <c r="Q107" t="n">
        <v>0</v>
      </c>
      <c r="R107" s="2" t="inlineStr"/>
    </row>
    <row r="108" ht="15" customHeight="1">
      <c r="A108" t="inlineStr">
        <is>
          <t>A 32910-2025</t>
        </is>
      </c>
      <c r="B108" s="1" t="n">
        <v>45839</v>
      </c>
      <c r="C108" s="1" t="n">
        <v>46063</v>
      </c>
      <c r="D108" t="inlineStr">
        <is>
          <t>VÄSTMANLANDS LÄN</t>
        </is>
      </c>
      <c r="E108" t="inlineStr">
        <is>
          <t>SURAHAMMAR</t>
        </is>
      </c>
      <c r="F108" t="inlineStr">
        <is>
          <t>Kommuner</t>
        </is>
      </c>
      <c r="G108" t="n">
        <v>1.1</v>
      </c>
      <c r="H108" t="n">
        <v>0</v>
      </c>
      <c r="I108" t="n">
        <v>0</v>
      </c>
      <c r="J108" t="n">
        <v>0</v>
      </c>
      <c r="K108" t="n">
        <v>0</v>
      </c>
      <c r="L108" t="n">
        <v>0</v>
      </c>
      <c r="M108" t="n">
        <v>0</v>
      </c>
      <c r="N108" t="n">
        <v>0</v>
      </c>
      <c r="O108" t="n">
        <v>0</v>
      </c>
      <c r="P108" t="n">
        <v>0</v>
      </c>
      <c r="Q108" t="n">
        <v>0</v>
      </c>
      <c r="R108" s="2" t="inlineStr"/>
    </row>
    <row r="109" ht="15" customHeight="1">
      <c r="A109" t="inlineStr">
        <is>
          <t>A 32916-2025</t>
        </is>
      </c>
      <c r="B109" s="1" t="n">
        <v>45839</v>
      </c>
      <c r="C109" s="1" t="n">
        <v>46063</v>
      </c>
      <c r="D109" t="inlineStr">
        <is>
          <t>VÄSTMANLANDS LÄN</t>
        </is>
      </c>
      <c r="E109" t="inlineStr">
        <is>
          <t>SURAHAMMAR</t>
        </is>
      </c>
      <c r="F109" t="inlineStr">
        <is>
          <t>Kommuner</t>
        </is>
      </c>
      <c r="G109" t="n">
        <v>4.9</v>
      </c>
      <c r="H109" t="n">
        <v>0</v>
      </c>
      <c r="I109" t="n">
        <v>0</v>
      </c>
      <c r="J109" t="n">
        <v>0</v>
      </c>
      <c r="K109" t="n">
        <v>0</v>
      </c>
      <c r="L109" t="n">
        <v>0</v>
      </c>
      <c r="M109" t="n">
        <v>0</v>
      </c>
      <c r="N109" t="n">
        <v>0</v>
      </c>
      <c r="O109" t="n">
        <v>0</v>
      </c>
      <c r="P109" t="n">
        <v>0</v>
      </c>
      <c r="Q109" t="n">
        <v>0</v>
      </c>
      <c r="R109" s="2" t="inlineStr"/>
    </row>
    <row r="110" ht="15" customHeight="1">
      <c r="A110" t="inlineStr">
        <is>
          <t>A 20904-2023</t>
        </is>
      </c>
      <c r="B110" s="1" t="n">
        <v>45060</v>
      </c>
      <c r="C110" s="1" t="n">
        <v>46063</v>
      </c>
      <c r="D110" t="inlineStr">
        <is>
          <t>VÄSTMANLANDS LÄN</t>
        </is>
      </c>
      <c r="E110" t="inlineStr">
        <is>
          <t>SURAHAMMAR</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42829-2022</t>
        </is>
      </c>
      <c r="B111" s="1" t="n">
        <v>44832</v>
      </c>
      <c r="C111" s="1" t="n">
        <v>46063</v>
      </c>
      <c r="D111" t="inlineStr">
        <is>
          <t>VÄSTMANLANDS LÄN</t>
        </is>
      </c>
      <c r="E111" t="inlineStr">
        <is>
          <t>SURAHAMMAR</t>
        </is>
      </c>
      <c r="G111" t="n">
        <v>1.6</v>
      </c>
      <c r="H111" t="n">
        <v>0</v>
      </c>
      <c r="I111" t="n">
        <v>0</v>
      </c>
      <c r="J111" t="n">
        <v>0</v>
      </c>
      <c r="K111" t="n">
        <v>0</v>
      </c>
      <c r="L111" t="n">
        <v>0</v>
      </c>
      <c r="M111" t="n">
        <v>0</v>
      </c>
      <c r="N111" t="n">
        <v>0</v>
      </c>
      <c r="O111" t="n">
        <v>0</v>
      </c>
      <c r="P111" t="n">
        <v>0</v>
      </c>
      <c r="Q111" t="n">
        <v>0</v>
      </c>
      <c r="R111" s="2" t="inlineStr"/>
    </row>
    <row r="112" ht="15" customHeight="1">
      <c r="A112" t="inlineStr">
        <is>
          <t>A 43255-2025</t>
        </is>
      </c>
      <c r="B112" s="1" t="n">
        <v>45910.55325231481</v>
      </c>
      <c r="C112" s="1" t="n">
        <v>46063</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31107-2025</t>
        </is>
      </c>
      <c r="B113" s="1" t="n">
        <v>45831</v>
      </c>
      <c r="C113" s="1" t="n">
        <v>46063</v>
      </c>
      <c r="D113" t="inlineStr">
        <is>
          <t>VÄSTMANLANDS LÄN</t>
        </is>
      </c>
      <c r="E113" t="inlineStr">
        <is>
          <t>SURAHAMMAR</t>
        </is>
      </c>
      <c r="F113" t="inlineStr">
        <is>
          <t>Kommuner</t>
        </is>
      </c>
      <c r="G113" t="n">
        <v>1.7</v>
      </c>
      <c r="H113" t="n">
        <v>0</v>
      </c>
      <c r="I113" t="n">
        <v>0</v>
      </c>
      <c r="J113" t="n">
        <v>0</v>
      </c>
      <c r="K113" t="n">
        <v>0</v>
      </c>
      <c r="L113" t="n">
        <v>0</v>
      </c>
      <c r="M113" t="n">
        <v>0</v>
      </c>
      <c r="N113" t="n">
        <v>0</v>
      </c>
      <c r="O113" t="n">
        <v>0</v>
      </c>
      <c r="P113" t="n">
        <v>0</v>
      </c>
      <c r="Q113" t="n">
        <v>0</v>
      </c>
      <c r="R113" s="2" t="inlineStr"/>
    </row>
    <row r="114" ht="15" customHeight="1">
      <c r="A114" t="inlineStr">
        <is>
          <t>A 43249-2025</t>
        </is>
      </c>
      <c r="B114" s="1" t="n">
        <v>45910.55059027778</v>
      </c>
      <c r="C114" s="1" t="n">
        <v>46063</v>
      </c>
      <c r="D114" t="inlineStr">
        <is>
          <t>VÄSTMANLANDS LÄN</t>
        </is>
      </c>
      <c r="E114" t="inlineStr">
        <is>
          <t>SURAHAMMAR</t>
        </is>
      </c>
      <c r="G114" t="n">
        <v>1.9</v>
      </c>
      <c r="H114" t="n">
        <v>0</v>
      </c>
      <c r="I114" t="n">
        <v>0</v>
      </c>
      <c r="J114" t="n">
        <v>0</v>
      </c>
      <c r="K114" t="n">
        <v>0</v>
      </c>
      <c r="L114" t="n">
        <v>0</v>
      </c>
      <c r="M114" t="n">
        <v>0</v>
      </c>
      <c r="N114" t="n">
        <v>0</v>
      </c>
      <c r="O114" t="n">
        <v>0</v>
      </c>
      <c r="P114" t="n">
        <v>0</v>
      </c>
      <c r="Q114" t="n">
        <v>0</v>
      </c>
      <c r="R114" s="2" t="inlineStr"/>
    </row>
    <row r="115" ht="15" customHeight="1">
      <c r="A115" t="inlineStr">
        <is>
          <t>A 34955-2022</t>
        </is>
      </c>
      <c r="B115" s="1" t="n">
        <v>44796</v>
      </c>
      <c r="C115" s="1" t="n">
        <v>46063</v>
      </c>
      <c r="D115" t="inlineStr">
        <is>
          <t>VÄSTMANLANDS LÄN</t>
        </is>
      </c>
      <c r="E115" t="inlineStr">
        <is>
          <t>SURAHAMMAR</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37013-2025</t>
        </is>
      </c>
      <c r="B116" s="1" t="n">
        <v>45874</v>
      </c>
      <c r="C116" s="1" t="n">
        <v>46063</v>
      </c>
      <c r="D116" t="inlineStr">
        <is>
          <t>VÄSTMANLANDS LÄN</t>
        </is>
      </c>
      <c r="E116" t="inlineStr">
        <is>
          <t>SURAHAMMAR</t>
        </is>
      </c>
      <c r="F116" t="inlineStr">
        <is>
          <t>Bergvik skog väst AB</t>
        </is>
      </c>
      <c r="G116" t="n">
        <v>10.7</v>
      </c>
      <c r="H116" t="n">
        <v>0</v>
      </c>
      <c r="I116" t="n">
        <v>0</v>
      </c>
      <c r="J116" t="n">
        <v>0</v>
      </c>
      <c r="K116" t="n">
        <v>0</v>
      </c>
      <c r="L116" t="n">
        <v>0</v>
      </c>
      <c r="M116" t="n">
        <v>0</v>
      </c>
      <c r="N116" t="n">
        <v>0</v>
      </c>
      <c r="O116" t="n">
        <v>0</v>
      </c>
      <c r="P116" t="n">
        <v>0</v>
      </c>
      <c r="Q116" t="n">
        <v>0</v>
      </c>
      <c r="R116" s="2" t="inlineStr"/>
    </row>
    <row r="117" ht="15" customHeight="1">
      <c r="A117" t="inlineStr">
        <is>
          <t>A 37954-2025</t>
        </is>
      </c>
      <c r="B117" s="1" t="n">
        <v>45881</v>
      </c>
      <c r="C117" s="1" t="n">
        <v>46063</v>
      </c>
      <c r="D117" t="inlineStr">
        <is>
          <t>VÄSTMANLANDS LÄN</t>
        </is>
      </c>
      <c r="E117" t="inlineStr">
        <is>
          <t>SURAHAMMAR</t>
        </is>
      </c>
      <c r="G117" t="n">
        <v>9.5</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46063</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48205-2023</t>
        </is>
      </c>
      <c r="B119" s="1" t="n">
        <v>45205</v>
      </c>
      <c r="C119" s="1" t="n">
        <v>46063</v>
      </c>
      <c r="D119" t="inlineStr">
        <is>
          <t>VÄSTMANLANDS LÄN</t>
        </is>
      </c>
      <c r="E119" t="inlineStr">
        <is>
          <t>SURAHAMMAR</t>
        </is>
      </c>
      <c r="F119" t="inlineStr">
        <is>
          <t>Allmännings- och besparingsskogar</t>
        </is>
      </c>
      <c r="G119" t="n">
        <v>7.6</v>
      </c>
      <c r="H119" t="n">
        <v>0</v>
      </c>
      <c r="I119" t="n">
        <v>0</v>
      </c>
      <c r="J119" t="n">
        <v>0</v>
      </c>
      <c r="K119" t="n">
        <v>0</v>
      </c>
      <c r="L119" t="n">
        <v>0</v>
      </c>
      <c r="M119" t="n">
        <v>0</v>
      </c>
      <c r="N119" t="n">
        <v>0</v>
      </c>
      <c r="O119" t="n">
        <v>0</v>
      </c>
      <c r="P119" t="n">
        <v>0</v>
      </c>
      <c r="Q119" t="n">
        <v>0</v>
      </c>
      <c r="R119" s="2" t="inlineStr"/>
    </row>
    <row r="120" ht="15" customHeight="1">
      <c r="A120" t="inlineStr">
        <is>
          <t>A 33931-2022</t>
        </is>
      </c>
      <c r="B120" s="1" t="n">
        <v>44790.65153935185</v>
      </c>
      <c r="C120" s="1" t="n">
        <v>46063</v>
      </c>
      <c r="D120" t="inlineStr">
        <is>
          <t>VÄSTMANLANDS LÄN</t>
        </is>
      </c>
      <c r="E120" t="inlineStr">
        <is>
          <t>SURAHAMMAR</t>
        </is>
      </c>
      <c r="G120" t="n">
        <v>2.2</v>
      </c>
      <c r="H120" t="n">
        <v>0</v>
      </c>
      <c r="I120" t="n">
        <v>0</v>
      </c>
      <c r="J120" t="n">
        <v>0</v>
      </c>
      <c r="K120" t="n">
        <v>0</v>
      </c>
      <c r="L120" t="n">
        <v>0</v>
      </c>
      <c r="M120" t="n">
        <v>0</v>
      </c>
      <c r="N120" t="n">
        <v>0</v>
      </c>
      <c r="O120" t="n">
        <v>0</v>
      </c>
      <c r="P120" t="n">
        <v>0</v>
      </c>
      <c r="Q120" t="n">
        <v>0</v>
      </c>
      <c r="R120" s="2" t="inlineStr"/>
    </row>
    <row r="121" ht="15" customHeight="1">
      <c r="A121" t="inlineStr">
        <is>
          <t>A 22662-2023</t>
        </is>
      </c>
      <c r="B121" s="1" t="n">
        <v>45071</v>
      </c>
      <c r="C121" s="1" t="n">
        <v>46063</v>
      </c>
      <c r="D121" t="inlineStr">
        <is>
          <t>VÄSTMANLANDS LÄN</t>
        </is>
      </c>
      <c r="E121" t="inlineStr">
        <is>
          <t>SURAHAMMAR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30076-2023</t>
        </is>
      </c>
      <c r="B122" s="1" t="n">
        <v>45110</v>
      </c>
      <c r="C122" s="1" t="n">
        <v>46063</v>
      </c>
      <c r="D122" t="inlineStr">
        <is>
          <t>VÄSTMANLANDS LÄN</t>
        </is>
      </c>
      <c r="E122" t="inlineStr">
        <is>
          <t>SURAHAMMAR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47785-2021</t>
        </is>
      </c>
      <c r="B123" s="1" t="n">
        <v>44448</v>
      </c>
      <c r="C123" s="1" t="n">
        <v>46063</v>
      </c>
      <c r="D123" t="inlineStr">
        <is>
          <t>VÄSTMANLANDS LÄN</t>
        </is>
      </c>
      <c r="E123" t="inlineStr">
        <is>
          <t>SURAHAMMAR</t>
        </is>
      </c>
      <c r="F123" t="inlineStr">
        <is>
          <t>Kommuner</t>
        </is>
      </c>
      <c r="G123" t="n">
        <v>3.3</v>
      </c>
      <c r="H123" t="n">
        <v>0</v>
      </c>
      <c r="I123" t="n">
        <v>0</v>
      </c>
      <c r="J123" t="n">
        <v>0</v>
      </c>
      <c r="K123" t="n">
        <v>0</v>
      </c>
      <c r="L123" t="n">
        <v>0</v>
      </c>
      <c r="M123" t="n">
        <v>0</v>
      </c>
      <c r="N123" t="n">
        <v>0</v>
      </c>
      <c r="O123" t="n">
        <v>0</v>
      </c>
      <c r="P123" t="n">
        <v>0</v>
      </c>
      <c r="Q123" t="n">
        <v>0</v>
      </c>
      <c r="R123" s="2" t="inlineStr"/>
    </row>
    <row r="124" ht="15" customHeight="1">
      <c r="A124" t="inlineStr">
        <is>
          <t>A 25450-2024</t>
        </is>
      </c>
      <c r="B124" s="1" t="n">
        <v>45463</v>
      </c>
      <c r="C124" s="1" t="n">
        <v>46063</v>
      </c>
      <c r="D124" t="inlineStr">
        <is>
          <t>VÄSTMANLANDS LÄN</t>
        </is>
      </c>
      <c r="E124" t="inlineStr">
        <is>
          <t>SURAHAMMAR</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46063</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46063</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10883-2023</t>
        </is>
      </c>
      <c r="B127" s="1" t="n">
        <v>44991</v>
      </c>
      <c r="C127" s="1" t="n">
        <v>46063</v>
      </c>
      <c r="D127" t="inlineStr">
        <is>
          <t>VÄSTMANLANDS LÄN</t>
        </is>
      </c>
      <c r="E127" t="inlineStr">
        <is>
          <t>SURAHAMMAR</t>
        </is>
      </c>
      <c r="F127" t="inlineStr">
        <is>
          <t>Övriga Aktiebolag</t>
        </is>
      </c>
      <c r="G127" t="n">
        <v>12.5</v>
      </c>
      <c r="H127" t="n">
        <v>0</v>
      </c>
      <c r="I127" t="n">
        <v>0</v>
      </c>
      <c r="J127" t="n">
        <v>0</v>
      </c>
      <c r="K127" t="n">
        <v>0</v>
      </c>
      <c r="L127" t="n">
        <v>0</v>
      </c>
      <c r="M127" t="n">
        <v>0</v>
      </c>
      <c r="N127" t="n">
        <v>0</v>
      </c>
      <c r="O127" t="n">
        <v>0</v>
      </c>
      <c r="P127" t="n">
        <v>0</v>
      </c>
      <c r="Q127" t="n">
        <v>0</v>
      </c>
      <c r="R127" s="2" t="inlineStr"/>
    </row>
    <row r="128" ht="15" customHeight="1">
      <c r="A128" t="inlineStr">
        <is>
          <t>A 55871-2025</t>
        </is>
      </c>
      <c r="B128" s="1" t="n">
        <v>45973.35452546296</v>
      </c>
      <c r="C128" s="1" t="n">
        <v>46063</v>
      </c>
      <c r="D128" t="inlineStr">
        <is>
          <t>VÄSTMANLANDS LÄN</t>
        </is>
      </c>
      <c r="E128" t="inlineStr">
        <is>
          <t>SURAHAMMAR</t>
        </is>
      </c>
      <c r="F128" t="inlineStr">
        <is>
          <t>Sveaskog</t>
        </is>
      </c>
      <c r="G128" t="n">
        <v>1.4</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46063</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24665-2023</t>
        </is>
      </c>
      <c r="B130" s="1" t="n">
        <v>45084.48592592592</v>
      </c>
      <c r="C130" s="1" t="n">
        <v>46063</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24167-2024</t>
        </is>
      </c>
      <c r="B131" s="1" t="n">
        <v>45456</v>
      </c>
      <c r="C131" s="1" t="n">
        <v>46063</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56543-2025</t>
        </is>
      </c>
      <c r="B132" s="1" t="n">
        <v>45975</v>
      </c>
      <c r="C132" s="1" t="n">
        <v>46063</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72367-2021</t>
        </is>
      </c>
      <c r="B133" s="1" t="n">
        <v>44545</v>
      </c>
      <c r="C133" s="1" t="n">
        <v>46063</v>
      </c>
      <c r="D133" t="inlineStr">
        <is>
          <t>VÄSTMANLANDS LÄN</t>
        </is>
      </c>
      <c r="E133" t="inlineStr">
        <is>
          <t>SURAHAMMAR</t>
        </is>
      </c>
      <c r="G133" t="n">
        <v>2.5</v>
      </c>
      <c r="H133" t="n">
        <v>0</v>
      </c>
      <c r="I133" t="n">
        <v>0</v>
      </c>
      <c r="J133" t="n">
        <v>0</v>
      </c>
      <c r="K133" t="n">
        <v>0</v>
      </c>
      <c r="L133" t="n">
        <v>0</v>
      </c>
      <c r="M133" t="n">
        <v>0</v>
      </c>
      <c r="N133" t="n">
        <v>0</v>
      </c>
      <c r="O133" t="n">
        <v>0</v>
      </c>
      <c r="P133" t="n">
        <v>0</v>
      </c>
      <c r="Q133" t="n">
        <v>0</v>
      </c>
      <c r="R133" s="2" t="inlineStr"/>
    </row>
    <row r="134" ht="15" customHeight="1">
      <c r="A134" t="inlineStr">
        <is>
          <t>A 42714-2022</t>
        </is>
      </c>
      <c r="B134" s="1" t="n">
        <v>44832</v>
      </c>
      <c r="C134" s="1" t="n">
        <v>46063</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37287-2023</t>
        </is>
      </c>
      <c r="B135" s="1" t="n">
        <v>45156</v>
      </c>
      <c r="C135" s="1" t="n">
        <v>46063</v>
      </c>
      <c r="D135" t="inlineStr">
        <is>
          <t>VÄSTMANLANDS LÄN</t>
        </is>
      </c>
      <c r="E135" t="inlineStr">
        <is>
          <t>SURAHAMMAR</t>
        </is>
      </c>
      <c r="G135" t="n">
        <v>0.6</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46063</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59399-2025</t>
        </is>
      </c>
      <c r="B137" s="1" t="n">
        <v>45989</v>
      </c>
      <c r="C137" s="1" t="n">
        <v>46063</v>
      </c>
      <c r="D137" t="inlineStr">
        <is>
          <t>VÄSTMANLANDS LÄN</t>
        </is>
      </c>
      <c r="E137" t="inlineStr">
        <is>
          <t>SURAHAMMAR</t>
        </is>
      </c>
      <c r="F137" t="inlineStr">
        <is>
          <t>Kommuner</t>
        </is>
      </c>
      <c r="G137" t="n">
        <v>2.1</v>
      </c>
      <c r="H137" t="n">
        <v>0</v>
      </c>
      <c r="I137" t="n">
        <v>0</v>
      </c>
      <c r="J137" t="n">
        <v>0</v>
      </c>
      <c r="K137" t="n">
        <v>0</v>
      </c>
      <c r="L137" t="n">
        <v>0</v>
      </c>
      <c r="M137" t="n">
        <v>0</v>
      </c>
      <c r="N137" t="n">
        <v>0</v>
      </c>
      <c r="O137" t="n">
        <v>0</v>
      </c>
      <c r="P137" t="n">
        <v>0</v>
      </c>
      <c r="Q137" t="n">
        <v>0</v>
      </c>
      <c r="R137" s="2" t="inlineStr"/>
    </row>
    <row r="138" ht="15" customHeight="1">
      <c r="A138" t="inlineStr">
        <is>
          <t>A 49060-2024</t>
        </is>
      </c>
      <c r="B138" s="1" t="n">
        <v>45594</v>
      </c>
      <c r="C138" s="1" t="n">
        <v>46063</v>
      </c>
      <c r="D138" t="inlineStr">
        <is>
          <t>VÄSTMANLANDS LÄN</t>
        </is>
      </c>
      <c r="E138" t="inlineStr">
        <is>
          <t>SURAHAMMAR</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56541-2025</t>
        </is>
      </c>
      <c r="B139" s="1" t="n">
        <v>45975</v>
      </c>
      <c r="C139" s="1" t="n">
        <v>46063</v>
      </c>
      <c r="D139" t="inlineStr">
        <is>
          <t>VÄSTMANLANDS LÄN</t>
        </is>
      </c>
      <c r="E139" t="inlineStr">
        <is>
          <t>SURAHAMMAR</t>
        </is>
      </c>
      <c r="F139" t="inlineStr">
        <is>
          <t>Sveaskog</t>
        </is>
      </c>
      <c r="G139" t="n">
        <v>7.6</v>
      </c>
      <c r="H139" t="n">
        <v>0</v>
      </c>
      <c r="I139" t="n">
        <v>0</v>
      </c>
      <c r="J139" t="n">
        <v>0</v>
      </c>
      <c r="K139" t="n">
        <v>0</v>
      </c>
      <c r="L139" t="n">
        <v>0</v>
      </c>
      <c r="M139" t="n">
        <v>0</v>
      </c>
      <c r="N139" t="n">
        <v>0</v>
      </c>
      <c r="O139" t="n">
        <v>0</v>
      </c>
      <c r="P139" t="n">
        <v>0</v>
      </c>
      <c r="Q139" t="n">
        <v>0</v>
      </c>
      <c r="R139" s="2" t="inlineStr"/>
    </row>
    <row r="140" ht="15" customHeight="1">
      <c r="A140" t="inlineStr">
        <is>
          <t>A 19099-2022</t>
        </is>
      </c>
      <c r="B140" s="1" t="n">
        <v>44691</v>
      </c>
      <c r="C140" s="1" t="n">
        <v>46063</v>
      </c>
      <c r="D140" t="inlineStr">
        <is>
          <t>VÄSTMANLANDS LÄN</t>
        </is>
      </c>
      <c r="E140" t="inlineStr">
        <is>
          <t>SURAHAMMAR</t>
        </is>
      </c>
      <c r="F140" t="inlineStr">
        <is>
          <t>Övriga Aktiebolag</t>
        </is>
      </c>
      <c r="G140" t="n">
        <v>3.4</v>
      </c>
      <c r="H140" t="n">
        <v>0</v>
      </c>
      <c r="I140" t="n">
        <v>0</v>
      </c>
      <c r="J140" t="n">
        <v>0</v>
      </c>
      <c r="K140" t="n">
        <v>0</v>
      </c>
      <c r="L140" t="n">
        <v>0</v>
      </c>
      <c r="M140" t="n">
        <v>0</v>
      </c>
      <c r="N140" t="n">
        <v>0</v>
      </c>
      <c r="O140" t="n">
        <v>0</v>
      </c>
      <c r="P140" t="n">
        <v>0</v>
      </c>
      <c r="Q140" t="n">
        <v>0</v>
      </c>
      <c r="R140" s="2" t="inlineStr"/>
    </row>
    <row r="141" ht="15" customHeight="1">
      <c r="A141" t="inlineStr">
        <is>
          <t>A 25780-2023</t>
        </is>
      </c>
      <c r="B141" s="1" t="n">
        <v>45090.47523148148</v>
      </c>
      <c r="C141" s="1" t="n">
        <v>46063</v>
      </c>
      <c r="D141" t="inlineStr">
        <is>
          <t>VÄSTMANLANDS LÄN</t>
        </is>
      </c>
      <c r="E141" t="inlineStr">
        <is>
          <t>SURAHAMMAR</t>
        </is>
      </c>
      <c r="G141" t="n">
        <v>2.8</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46063</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4724-2026</t>
        </is>
      </c>
      <c r="B143" s="1" t="n">
        <v>46048</v>
      </c>
      <c r="C143" s="1" t="n">
        <v>46063</v>
      </c>
      <c r="D143" t="inlineStr">
        <is>
          <t>VÄSTMANLANDS LÄN</t>
        </is>
      </c>
      <c r="E143" t="inlineStr">
        <is>
          <t>SURAHAMMAR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46063</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35682-2022</t>
        </is>
      </c>
      <c r="B145" s="1" t="n">
        <v>44799.60422453703</v>
      </c>
      <c r="C145" s="1" t="n">
        <v>46063</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2867-2024</t>
        </is>
      </c>
      <c r="B146" s="1" t="n">
        <v>45315</v>
      </c>
      <c r="C146" s="1" t="n">
        <v>46063</v>
      </c>
      <c r="D146" t="inlineStr">
        <is>
          <t>VÄSTMANLANDS LÄN</t>
        </is>
      </c>
      <c r="E146" t="inlineStr">
        <is>
          <t>SURAHAMMAR</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63138-2025</t>
        </is>
      </c>
      <c r="B147" s="1" t="n">
        <v>46009</v>
      </c>
      <c r="C147" s="1" t="n">
        <v>46063</v>
      </c>
      <c r="D147" t="inlineStr">
        <is>
          <t>VÄSTMANLANDS LÄN</t>
        </is>
      </c>
      <c r="E147" t="inlineStr">
        <is>
          <t>SURAHAMMAR</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5697-2026</t>
        </is>
      </c>
      <c r="B148" s="1" t="n">
        <v>46051.50020833333</v>
      </c>
      <c r="C148" s="1" t="n">
        <v>46063</v>
      </c>
      <c r="D148" t="inlineStr">
        <is>
          <t>VÄSTMANLANDS LÄN</t>
        </is>
      </c>
      <c r="E148" t="inlineStr">
        <is>
          <t>SURAHAMMAR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5698-2026</t>
        </is>
      </c>
      <c r="B149" s="1" t="n">
        <v>46051.50196759259</v>
      </c>
      <c r="C149" s="1" t="n">
        <v>46063</v>
      </c>
      <c r="D149" t="inlineStr">
        <is>
          <t>VÄSTMANLANDS LÄN</t>
        </is>
      </c>
      <c r="E149" t="inlineStr">
        <is>
          <t>SURAHAMMAR</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5696-2026</t>
        </is>
      </c>
      <c r="B150" s="1" t="n">
        <v>46051.4975</v>
      </c>
      <c r="C150" s="1" t="n">
        <v>46063</v>
      </c>
      <c r="D150" t="inlineStr">
        <is>
          <t>VÄSTMANLANDS LÄN</t>
        </is>
      </c>
      <c r="E150" t="inlineStr">
        <is>
          <t>SURAHAMMAR</t>
        </is>
      </c>
      <c r="F150" t="inlineStr">
        <is>
          <t>Sveaskog</t>
        </is>
      </c>
      <c r="G150" t="n">
        <v>10.4</v>
      </c>
      <c r="H150" t="n">
        <v>0</v>
      </c>
      <c r="I150" t="n">
        <v>0</v>
      </c>
      <c r="J150" t="n">
        <v>0</v>
      </c>
      <c r="K150" t="n">
        <v>0</v>
      </c>
      <c r="L150" t="n">
        <v>0</v>
      </c>
      <c r="M150" t="n">
        <v>0</v>
      </c>
      <c r="N150" t="n">
        <v>0</v>
      </c>
      <c r="O150" t="n">
        <v>0</v>
      </c>
      <c r="P150" t="n">
        <v>0</v>
      </c>
      <c r="Q150" t="n">
        <v>0</v>
      </c>
      <c r="R150" s="2" t="inlineStr"/>
    </row>
    <row r="151" ht="15" customHeight="1">
      <c r="A151" t="inlineStr">
        <is>
          <t>A 2660-2024</t>
        </is>
      </c>
      <c r="B151" s="1" t="n">
        <v>45310</v>
      </c>
      <c r="C151" s="1" t="n">
        <v>46063</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41555-2022</t>
        </is>
      </c>
      <c r="B152" s="1" t="n">
        <v>44826</v>
      </c>
      <c r="C152" s="1" t="n">
        <v>46063</v>
      </c>
      <c r="D152" t="inlineStr">
        <is>
          <t>VÄSTMANLANDS LÄN</t>
        </is>
      </c>
      <c r="E152" t="inlineStr">
        <is>
          <t>SURAHAMMAR</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5567-2022</t>
        </is>
      </c>
      <c r="B153" s="1" t="n">
        <v>44595</v>
      </c>
      <c r="C153" s="1" t="n">
        <v>46063</v>
      </c>
      <c r="D153" t="inlineStr">
        <is>
          <t>VÄSTMANLANDS LÄN</t>
        </is>
      </c>
      <c r="E153" t="inlineStr">
        <is>
          <t>SURAHAMMAR</t>
        </is>
      </c>
      <c r="G153" t="n">
        <v>1.3</v>
      </c>
      <c r="H153" t="n">
        <v>0</v>
      </c>
      <c r="I153" t="n">
        <v>0</v>
      </c>
      <c r="J153" t="n">
        <v>0</v>
      </c>
      <c r="K153" t="n">
        <v>0</v>
      </c>
      <c r="L153" t="n">
        <v>0</v>
      </c>
      <c r="M153" t="n">
        <v>0</v>
      </c>
      <c r="N153" t="n">
        <v>0</v>
      </c>
      <c r="O153" t="n">
        <v>0</v>
      </c>
      <c r="P153" t="n">
        <v>0</v>
      </c>
      <c r="Q153" t="n">
        <v>0</v>
      </c>
      <c r="R153" s="2" t="inlineStr"/>
    </row>
    <row r="154" ht="15" customHeight="1">
      <c r="A154" t="inlineStr">
        <is>
          <t>A 3085-2023</t>
        </is>
      </c>
      <c r="B154" s="1" t="n">
        <v>44946</v>
      </c>
      <c r="C154" s="1" t="n">
        <v>46063</v>
      </c>
      <c r="D154" t="inlineStr">
        <is>
          <t>VÄSTMANLANDS LÄN</t>
        </is>
      </c>
      <c r="E154" t="inlineStr">
        <is>
          <t>SURAHAMMAR</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7848-2022</t>
        </is>
      </c>
      <c r="B155" s="1" t="n">
        <v>44608.58400462963</v>
      </c>
      <c r="C155" s="1" t="n">
        <v>46063</v>
      </c>
      <c r="D155" t="inlineStr">
        <is>
          <t>VÄSTMANLANDS LÄN</t>
        </is>
      </c>
      <c r="E155" t="inlineStr">
        <is>
          <t>SURAHAMMAR</t>
        </is>
      </c>
      <c r="G155" t="n">
        <v>2.1</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46063</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15743-2023</t>
        </is>
      </c>
      <c r="B157" s="1" t="n">
        <v>45021</v>
      </c>
      <c r="C157" s="1" t="n">
        <v>46063</v>
      </c>
      <c r="D157" t="inlineStr">
        <is>
          <t>VÄSTMANLANDS LÄN</t>
        </is>
      </c>
      <c r="E157" t="inlineStr">
        <is>
          <t>SURAHAMMAR</t>
        </is>
      </c>
      <c r="G157" t="n">
        <v>0.5</v>
      </c>
      <c r="H157" t="n">
        <v>0</v>
      </c>
      <c r="I157" t="n">
        <v>0</v>
      </c>
      <c r="J157" t="n">
        <v>0</v>
      </c>
      <c r="K157" t="n">
        <v>0</v>
      </c>
      <c r="L157" t="n">
        <v>0</v>
      </c>
      <c r="M157" t="n">
        <v>0</v>
      </c>
      <c r="N157" t="n">
        <v>0</v>
      </c>
      <c r="O157" t="n">
        <v>0</v>
      </c>
      <c r="P157" t="n">
        <v>0</v>
      </c>
      <c r="Q157" t="n">
        <v>0</v>
      </c>
      <c r="R157" s="2" t="inlineStr"/>
    </row>
    <row r="158" ht="15" customHeight="1">
      <c r="A158" t="inlineStr">
        <is>
          <t>A 15637-2022</t>
        </is>
      </c>
      <c r="B158" s="1" t="n">
        <v>44662.89638888889</v>
      </c>
      <c r="C158" s="1" t="n">
        <v>46063</v>
      </c>
      <c r="D158" t="inlineStr">
        <is>
          <t>VÄSTMANLANDS LÄN</t>
        </is>
      </c>
      <c r="E158" t="inlineStr">
        <is>
          <t>SURAHAMMAR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19786-2023</t>
        </is>
      </c>
      <c r="B159" s="1" t="n">
        <v>45050</v>
      </c>
      <c r="C159" s="1" t="n">
        <v>46063</v>
      </c>
      <c r="D159" t="inlineStr">
        <is>
          <t>VÄSTMANLANDS LÄN</t>
        </is>
      </c>
      <c r="E159" t="inlineStr">
        <is>
          <t>SURAHAMMAR</t>
        </is>
      </c>
      <c r="F159" t="inlineStr">
        <is>
          <t>Bergvik skog väst AB</t>
        </is>
      </c>
      <c r="G159" t="n">
        <v>8.1</v>
      </c>
      <c r="H159" t="n">
        <v>0</v>
      </c>
      <c r="I159" t="n">
        <v>0</v>
      </c>
      <c r="J159" t="n">
        <v>0</v>
      </c>
      <c r="K159" t="n">
        <v>0</v>
      </c>
      <c r="L159" t="n">
        <v>0</v>
      </c>
      <c r="M159" t="n">
        <v>0</v>
      </c>
      <c r="N159" t="n">
        <v>0</v>
      </c>
      <c r="O159" t="n">
        <v>0</v>
      </c>
      <c r="P159" t="n">
        <v>0</v>
      </c>
      <c r="Q159" t="n">
        <v>0</v>
      </c>
      <c r="R159" s="2" t="inlineStr"/>
    </row>
    <row r="160" ht="15" customHeight="1">
      <c r="A160" t="inlineStr">
        <is>
          <t>A 7787-2024</t>
        </is>
      </c>
      <c r="B160" s="1" t="n">
        <v>45348</v>
      </c>
      <c r="C160" s="1" t="n">
        <v>46063</v>
      </c>
      <c r="D160" t="inlineStr">
        <is>
          <t>VÄSTMANLANDS LÄN</t>
        </is>
      </c>
      <c r="E160" t="inlineStr">
        <is>
          <t>SURAHAMMAR</t>
        </is>
      </c>
      <c r="G160" t="n">
        <v>1</v>
      </c>
      <c r="H160" t="n">
        <v>0</v>
      </c>
      <c r="I160" t="n">
        <v>0</v>
      </c>
      <c r="J160" t="n">
        <v>0</v>
      </c>
      <c r="K160" t="n">
        <v>0</v>
      </c>
      <c r="L160" t="n">
        <v>0</v>
      </c>
      <c r="M160" t="n">
        <v>0</v>
      </c>
      <c r="N160" t="n">
        <v>0</v>
      </c>
      <c r="O160" t="n">
        <v>0</v>
      </c>
      <c r="P160" t="n">
        <v>0</v>
      </c>
      <c r="Q160" t="n">
        <v>0</v>
      </c>
      <c r="R160" s="2" t="inlineStr"/>
    </row>
    <row r="161" ht="15" customHeight="1">
      <c r="A161" t="inlineStr">
        <is>
          <t>A 15739-2023</t>
        </is>
      </c>
      <c r="B161" s="1" t="n">
        <v>45021</v>
      </c>
      <c r="C161" s="1" t="n">
        <v>46063</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c r="A162" t="inlineStr">
        <is>
          <t>A 38154-2021</t>
        </is>
      </c>
      <c r="B162" s="1" t="n">
        <v>44405.42373842592</v>
      </c>
      <c r="C162" s="1" t="n">
        <v>46063</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2026-02-10T11:05:03Z</dcterms:created>
  <dcterms:modified xmlns:dcterms="http://purl.org/dc/terms/" xmlns:xsi="http://www.w3.org/2001/XMLSchema-instance" xsi:type="dcterms:W3CDTF">2026-02-10T11:05:03Z</dcterms:modified>
</cp:coreProperties>
</file>