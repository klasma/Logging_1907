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45879</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45879</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45879</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45879</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40942-2023</t>
        </is>
      </c>
      <c r="B8" s="1" t="n">
        <v>45169</v>
      </c>
      <c r="C8" s="1" t="n">
        <v>45879</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45879</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45879</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45879</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45879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45879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45879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45879</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45879</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14815-2025</t>
        </is>
      </c>
      <c r="B17" s="1" t="n">
        <v>45743.34931712963</v>
      </c>
      <c r="C17" s="1" t="n">
        <v>45879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45879</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45879</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45879</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45879</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48891-2023</t>
        </is>
      </c>
      <c r="B22" s="1" t="n">
        <v>45203</v>
      </c>
      <c r="C22" s="1" t="n">
        <v>45879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65024-2023</t>
        </is>
      </c>
      <c r="B23" s="1" t="n">
        <v>45282</v>
      </c>
      <c r="C23" s="1" t="n">
        <v>45879</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45879</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45879</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45879</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45879</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45879</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45879</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45879</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45879</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45879</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45879</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45879</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45879</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45879</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45879</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45879</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45879</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45879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45879</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45879</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45879</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44355-2024</t>
        </is>
      </c>
      <c r="B44" s="1" t="n">
        <v>45573</v>
      </c>
      <c r="C44" s="1" t="n">
        <v>45879</v>
      </c>
      <c r="D44" t="inlineStr">
        <is>
          <t>VÄSTMANLANDS LÄN</t>
        </is>
      </c>
      <c r="E44" t="inlineStr">
        <is>
          <t>SURAHAMMAR</t>
        </is>
      </c>
      <c r="F44" t="inlineStr">
        <is>
          <t>Sveaskog</t>
        </is>
      </c>
      <c r="G44" t="n">
        <v>3.5</v>
      </c>
      <c r="H44" t="n">
        <v>1</v>
      </c>
      <c r="I44" t="n">
        <v>0</v>
      </c>
      <c r="J44" t="n">
        <v>0</v>
      </c>
      <c r="K44" t="n">
        <v>0</v>
      </c>
      <c r="L44" t="n">
        <v>0</v>
      </c>
      <c r="M44" t="n">
        <v>0</v>
      </c>
      <c r="N44" t="n">
        <v>0</v>
      </c>
      <c r="O44" t="n">
        <v>0</v>
      </c>
      <c r="P44" t="n">
        <v>0</v>
      </c>
      <c r="Q44" t="n">
        <v>1</v>
      </c>
      <c r="R44" s="2" t="inlineStr">
        <is>
          <t>Revlummer</t>
        </is>
      </c>
      <c r="S44">
        <f>HYPERLINK("https://klasma.github.io/Logging_1907/artfynd/A 44355-2024 artfynd.xlsx", "A 44355-2024")</f>
        <v/>
      </c>
      <c r="T44">
        <f>HYPERLINK("https://klasma.github.io/Logging_1907/kartor/A 44355-2024 karta.png", "A 44355-2024")</f>
        <v/>
      </c>
      <c r="V44">
        <f>HYPERLINK("https://klasma.github.io/Logging_1907/klagomål/A 44355-2024 FSC-klagomål.docx", "A 44355-2024")</f>
        <v/>
      </c>
      <c r="W44">
        <f>HYPERLINK("https://klasma.github.io/Logging_1907/klagomålsmail/A 44355-2024 FSC-klagomål mail.docx", "A 44355-2024")</f>
        <v/>
      </c>
      <c r="X44">
        <f>HYPERLINK("https://klasma.github.io/Logging_1907/tillsyn/A 44355-2024 tillsynsbegäran.docx", "A 44355-2024")</f>
        <v/>
      </c>
      <c r="Y44">
        <f>HYPERLINK("https://klasma.github.io/Logging_1907/tillsynsmail/A 44355-2024 tillsynsbegäran mail.docx", "A 44355-2024")</f>
        <v/>
      </c>
    </row>
    <row r="45" ht="15" customHeight="1">
      <c r="A45" t="inlineStr">
        <is>
          <t>A 40411-2021</t>
        </is>
      </c>
      <c r="B45" s="1" t="n">
        <v>44419</v>
      </c>
      <c r="C45" s="1" t="n">
        <v>45879</v>
      </c>
      <c r="D45" t="inlineStr">
        <is>
          <t>VÄSTMANLANDS LÄN</t>
        </is>
      </c>
      <c r="E45" t="inlineStr">
        <is>
          <t>SURAHAMMAR</t>
        </is>
      </c>
      <c r="F45" t="inlineStr">
        <is>
          <t>Sveaskog</t>
        </is>
      </c>
      <c r="G45" t="n">
        <v>2.4</v>
      </c>
      <c r="H45" t="n">
        <v>1</v>
      </c>
      <c r="I45" t="n">
        <v>0</v>
      </c>
      <c r="J45" t="n">
        <v>0</v>
      </c>
      <c r="K45" t="n">
        <v>0</v>
      </c>
      <c r="L45" t="n">
        <v>0</v>
      </c>
      <c r="M45" t="n">
        <v>0</v>
      </c>
      <c r="N45" t="n">
        <v>0</v>
      </c>
      <c r="O45" t="n">
        <v>0</v>
      </c>
      <c r="P45" t="n">
        <v>0</v>
      </c>
      <c r="Q45" t="n">
        <v>1</v>
      </c>
      <c r="R45" s="2" t="inlineStr">
        <is>
          <t>Kopparödla</t>
        </is>
      </c>
      <c r="S45">
        <f>HYPERLINK("https://klasma.github.io/Logging_1907/artfynd/A 40411-2021 artfynd.xlsx", "A 40411-2021")</f>
        <v/>
      </c>
      <c r="T45">
        <f>HYPERLINK("https://klasma.github.io/Logging_1907/kartor/A 40411-2021 karta.png", "A 40411-2021")</f>
        <v/>
      </c>
      <c r="V45">
        <f>HYPERLINK("https://klasma.github.io/Logging_1907/klagomål/A 40411-2021 FSC-klagomål.docx", "A 40411-2021")</f>
        <v/>
      </c>
      <c r="W45">
        <f>HYPERLINK("https://klasma.github.io/Logging_1907/klagomålsmail/A 40411-2021 FSC-klagomål mail.docx", "A 40411-2021")</f>
        <v/>
      </c>
      <c r="X45">
        <f>HYPERLINK("https://klasma.github.io/Logging_1907/tillsyn/A 40411-2021 tillsynsbegäran.docx", "A 40411-2021")</f>
        <v/>
      </c>
      <c r="Y45">
        <f>HYPERLINK("https://klasma.github.io/Logging_1907/tillsynsmail/A 40411-2021 tillsynsbegäran mail.docx", "A 40411-2021")</f>
        <v/>
      </c>
    </row>
    <row r="46" ht="15" customHeight="1">
      <c r="A46" t="inlineStr">
        <is>
          <t>A 33231-2024</t>
        </is>
      </c>
      <c r="B46" s="1" t="n">
        <v>45518</v>
      </c>
      <c r="C46" s="1" t="n">
        <v>45879</v>
      </c>
      <c r="D46" t="inlineStr">
        <is>
          <t>VÄSTMANLANDS LÄN</t>
        </is>
      </c>
      <c r="E46" t="inlineStr">
        <is>
          <t>SURAHAMMAR</t>
        </is>
      </c>
      <c r="F46" t="inlineStr">
        <is>
          <t>Bergvik skog väst AB</t>
        </is>
      </c>
      <c r="G46" t="n">
        <v>1.5</v>
      </c>
      <c r="H46" t="n">
        <v>1</v>
      </c>
      <c r="I46" t="n">
        <v>0</v>
      </c>
      <c r="J46" t="n">
        <v>0</v>
      </c>
      <c r="K46" t="n">
        <v>0</v>
      </c>
      <c r="L46" t="n">
        <v>0</v>
      </c>
      <c r="M46" t="n">
        <v>0</v>
      </c>
      <c r="N46" t="n">
        <v>0</v>
      </c>
      <c r="O46" t="n">
        <v>0</v>
      </c>
      <c r="P46" t="n">
        <v>0</v>
      </c>
      <c r="Q46" t="n">
        <v>1</v>
      </c>
      <c r="R46" s="2" t="inlineStr">
        <is>
          <t>Mindre vattensalamander</t>
        </is>
      </c>
      <c r="S46">
        <f>HYPERLINK("https://klasma.github.io/Logging_1907/artfynd/A 33231-2024 artfynd.xlsx", "A 33231-2024")</f>
        <v/>
      </c>
      <c r="T46">
        <f>HYPERLINK("https://klasma.github.io/Logging_1907/kartor/A 33231-2024 karta.png", "A 33231-2024")</f>
        <v/>
      </c>
      <c r="V46">
        <f>HYPERLINK("https://klasma.github.io/Logging_1907/klagomål/A 33231-2024 FSC-klagomål.docx", "A 33231-2024")</f>
        <v/>
      </c>
      <c r="W46">
        <f>HYPERLINK("https://klasma.github.io/Logging_1907/klagomålsmail/A 33231-2024 FSC-klagomål mail.docx", "A 33231-2024")</f>
        <v/>
      </c>
      <c r="X46">
        <f>HYPERLINK("https://klasma.github.io/Logging_1907/tillsyn/A 33231-2024 tillsynsbegäran.docx", "A 33231-2024")</f>
        <v/>
      </c>
      <c r="Y46">
        <f>HYPERLINK("https://klasma.github.io/Logging_1907/tillsynsmail/A 33231-2024 tillsynsbegäran mail.docx", "A 33231-2024")</f>
        <v/>
      </c>
    </row>
    <row r="47" ht="15" customHeight="1">
      <c r="A47" t="inlineStr">
        <is>
          <t>A 56362-2023</t>
        </is>
      </c>
      <c r="B47" s="1" t="n">
        <v>45236</v>
      </c>
      <c r="C47" s="1" t="n">
        <v>45879</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30074-2023</t>
        </is>
      </c>
      <c r="B48" s="1" t="n">
        <v>45110</v>
      </c>
      <c r="C48" s="1" t="n">
        <v>45879</v>
      </c>
      <c r="D48" t="inlineStr">
        <is>
          <t>VÄSTMANLANDS LÄN</t>
        </is>
      </c>
      <c r="E48" t="inlineStr">
        <is>
          <t>SURAHAMMAR</t>
        </is>
      </c>
      <c r="F48" t="inlineStr">
        <is>
          <t>Sveaskog</t>
        </is>
      </c>
      <c r="G48" t="n">
        <v>1.1</v>
      </c>
      <c r="H48" t="n">
        <v>1</v>
      </c>
      <c r="I48" t="n">
        <v>0</v>
      </c>
      <c r="J48" t="n">
        <v>0</v>
      </c>
      <c r="K48" t="n">
        <v>0</v>
      </c>
      <c r="L48" t="n">
        <v>0</v>
      </c>
      <c r="M48" t="n">
        <v>0</v>
      </c>
      <c r="N48" t="n">
        <v>0</v>
      </c>
      <c r="O48" t="n">
        <v>0</v>
      </c>
      <c r="P48" t="n">
        <v>0</v>
      </c>
      <c r="Q48" t="n">
        <v>1</v>
      </c>
      <c r="R48" s="2" t="inlineStr">
        <is>
          <t>Revlummer</t>
        </is>
      </c>
      <c r="S48">
        <f>HYPERLINK("https://klasma.github.io/Logging_1907/artfynd/A 30074-2023 artfynd.xlsx", "A 30074-2023")</f>
        <v/>
      </c>
      <c r="T48">
        <f>HYPERLINK("https://klasma.github.io/Logging_1907/kartor/A 30074-2023 karta.png", "A 30074-2023")</f>
        <v/>
      </c>
      <c r="V48">
        <f>HYPERLINK("https://klasma.github.io/Logging_1907/klagomål/A 30074-2023 FSC-klagomål.docx", "A 30074-2023")</f>
        <v/>
      </c>
      <c r="W48">
        <f>HYPERLINK("https://klasma.github.io/Logging_1907/klagomålsmail/A 30074-2023 FSC-klagomål mail.docx", "A 30074-2023")</f>
        <v/>
      </c>
      <c r="X48">
        <f>HYPERLINK("https://klasma.github.io/Logging_1907/tillsyn/A 30074-2023 tillsynsbegäran.docx", "A 30074-2023")</f>
        <v/>
      </c>
      <c r="Y48">
        <f>HYPERLINK("https://klasma.github.io/Logging_1907/tillsynsmail/A 30074-2023 tillsynsbegäran mail.docx", "A 30074-2023")</f>
        <v/>
      </c>
    </row>
    <row r="49" ht="15" customHeight="1">
      <c r="A49" t="inlineStr">
        <is>
          <t>A 39099-2022</t>
        </is>
      </c>
      <c r="B49" s="1" t="n">
        <v>44817</v>
      </c>
      <c r="C49" s="1" t="n">
        <v>45879</v>
      </c>
      <c r="D49" t="inlineStr">
        <is>
          <t>VÄSTMANLANDS LÄN</t>
        </is>
      </c>
      <c r="E49" t="inlineStr">
        <is>
          <t>SURAHAMMAR</t>
        </is>
      </c>
      <c r="F49" t="inlineStr">
        <is>
          <t>Bergvik skog väst AB</t>
        </is>
      </c>
      <c r="G49" t="n">
        <v>7.4</v>
      </c>
      <c r="H49" t="n">
        <v>0</v>
      </c>
      <c r="I49" t="n">
        <v>1</v>
      </c>
      <c r="J49" t="n">
        <v>0</v>
      </c>
      <c r="K49" t="n">
        <v>0</v>
      </c>
      <c r="L49" t="n">
        <v>0</v>
      </c>
      <c r="M49" t="n">
        <v>0</v>
      </c>
      <c r="N49" t="n">
        <v>0</v>
      </c>
      <c r="O49" t="n">
        <v>0</v>
      </c>
      <c r="P49" t="n">
        <v>0</v>
      </c>
      <c r="Q49" t="n">
        <v>1</v>
      </c>
      <c r="R49" s="2" t="inlineStr">
        <is>
          <t>Stekelbock</t>
        </is>
      </c>
      <c r="S49">
        <f>HYPERLINK("https://klasma.github.io/Logging_1907/artfynd/A 39099-2022 artfynd.xlsx", "A 39099-2022")</f>
        <v/>
      </c>
      <c r="T49">
        <f>HYPERLINK("https://klasma.github.io/Logging_1907/kartor/A 39099-2022 karta.png", "A 39099-2022")</f>
        <v/>
      </c>
      <c r="V49">
        <f>HYPERLINK("https://klasma.github.io/Logging_1907/klagomål/A 39099-2022 FSC-klagomål.docx", "A 39099-2022")</f>
        <v/>
      </c>
      <c r="W49">
        <f>HYPERLINK("https://klasma.github.io/Logging_1907/klagomålsmail/A 39099-2022 FSC-klagomål mail.docx", "A 39099-2022")</f>
        <v/>
      </c>
      <c r="X49">
        <f>HYPERLINK("https://klasma.github.io/Logging_1907/tillsyn/A 39099-2022 tillsynsbegäran.docx", "A 39099-2022")</f>
        <v/>
      </c>
      <c r="Y49">
        <f>HYPERLINK("https://klasma.github.io/Logging_1907/tillsynsmail/A 39099-2022 tillsynsbegäran mail.docx", "A 39099-2022")</f>
        <v/>
      </c>
    </row>
    <row r="50" ht="15" customHeight="1">
      <c r="A50" t="inlineStr">
        <is>
          <t>A 43451-2024</t>
        </is>
      </c>
      <c r="B50" s="1" t="n">
        <v>45568</v>
      </c>
      <c r="C50" s="1" t="n">
        <v>45879</v>
      </c>
      <c r="D50" t="inlineStr">
        <is>
          <t>VÄSTMANLANDS LÄN</t>
        </is>
      </c>
      <c r="E50" t="inlineStr">
        <is>
          <t>SURAHAMMAR</t>
        </is>
      </c>
      <c r="F50" t="inlineStr">
        <is>
          <t>Bergvik skog väst AB</t>
        </is>
      </c>
      <c r="G50" t="n">
        <v>2.9</v>
      </c>
      <c r="H50" t="n">
        <v>0</v>
      </c>
      <c r="I50" t="n">
        <v>0</v>
      </c>
      <c r="J50" t="n">
        <v>1</v>
      </c>
      <c r="K50" t="n">
        <v>0</v>
      </c>
      <c r="L50" t="n">
        <v>0</v>
      </c>
      <c r="M50" t="n">
        <v>0</v>
      </c>
      <c r="N50" t="n">
        <v>0</v>
      </c>
      <c r="O50" t="n">
        <v>1</v>
      </c>
      <c r="P50" t="n">
        <v>0</v>
      </c>
      <c r="Q50" t="n">
        <v>1</v>
      </c>
      <c r="R50" s="2" t="inlineStr">
        <is>
          <t>Ullticka</t>
        </is>
      </c>
      <c r="S50">
        <f>HYPERLINK("https://klasma.github.io/Logging_1907/artfynd/A 43451-2024 artfynd.xlsx", "A 43451-2024")</f>
        <v/>
      </c>
      <c r="T50">
        <f>HYPERLINK("https://klasma.github.io/Logging_1907/kartor/A 43451-2024 karta.png", "A 43451-2024")</f>
        <v/>
      </c>
      <c r="V50">
        <f>HYPERLINK("https://klasma.github.io/Logging_1907/klagomål/A 43451-2024 FSC-klagomål.docx", "A 43451-2024")</f>
        <v/>
      </c>
      <c r="W50">
        <f>HYPERLINK("https://klasma.github.io/Logging_1907/klagomålsmail/A 43451-2024 FSC-klagomål mail.docx", "A 43451-2024")</f>
        <v/>
      </c>
      <c r="X50">
        <f>HYPERLINK("https://klasma.github.io/Logging_1907/tillsyn/A 43451-2024 tillsynsbegäran.docx", "A 43451-2024")</f>
        <v/>
      </c>
      <c r="Y50">
        <f>HYPERLINK("https://klasma.github.io/Logging_1907/tillsynsmail/A 43451-2024 tillsynsbegäran mail.docx", "A 43451-2024")</f>
        <v/>
      </c>
    </row>
    <row r="51" ht="15" customHeight="1">
      <c r="A51" t="inlineStr">
        <is>
          <t>A 31176-2024</t>
        </is>
      </c>
      <c r="B51" s="1" t="n">
        <v>45503</v>
      </c>
      <c r="C51" s="1" t="n">
        <v>45879</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25583-2024</t>
        </is>
      </c>
      <c r="B52" s="1" t="n">
        <v>45463</v>
      </c>
      <c r="C52" s="1" t="n">
        <v>45879</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21716-2025</t>
        </is>
      </c>
      <c r="B53" s="1" t="n">
        <v>45783.54804398148</v>
      </c>
      <c r="C53" s="1" t="n">
        <v>45879</v>
      </c>
      <c r="D53" t="inlineStr">
        <is>
          <t>VÄSTMANLANDS LÄN</t>
        </is>
      </c>
      <c r="E53" t="inlineStr">
        <is>
          <t>SURAHAMMAR</t>
        </is>
      </c>
      <c r="F53" t="inlineStr">
        <is>
          <t>Allmännings- och besparingsskogar</t>
        </is>
      </c>
      <c r="G53" t="n">
        <v>21.1</v>
      </c>
      <c r="H53" t="n">
        <v>1</v>
      </c>
      <c r="I53" t="n">
        <v>0</v>
      </c>
      <c r="J53" t="n">
        <v>1</v>
      </c>
      <c r="K53" t="n">
        <v>0</v>
      </c>
      <c r="L53" t="n">
        <v>0</v>
      </c>
      <c r="M53" t="n">
        <v>0</v>
      </c>
      <c r="N53" t="n">
        <v>0</v>
      </c>
      <c r="O53" t="n">
        <v>1</v>
      </c>
      <c r="P53" t="n">
        <v>0</v>
      </c>
      <c r="Q53" t="n">
        <v>1</v>
      </c>
      <c r="R53" s="2" t="inlineStr">
        <is>
          <t>Spillkråka</t>
        </is>
      </c>
      <c r="S53">
        <f>HYPERLINK("https://klasma.github.io/Logging_1907/artfynd/A 21716-2025 artfynd.xlsx", "A 21716-2025")</f>
        <v/>
      </c>
      <c r="T53">
        <f>HYPERLINK("https://klasma.github.io/Logging_1907/kartor/A 21716-2025 karta.png",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69777-2021</t>
        </is>
      </c>
      <c r="B54" s="1" t="n">
        <v>44532</v>
      </c>
      <c r="C54" s="1" t="n">
        <v>45879</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45879</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45879</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13971-2023</t>
        </is>
      </c>
      <c r="B57" s="1" t="n">
        <v>45007</v>
      </c>
      <c r="C57" s="1" t="n">
        <v>45879</v>
      </c>
      <c r="D57" t="inlineStr">
        <is>
          <t>VÄSTMANLANDS LÄN</t>
        </is>
      </c>
      <c r="E57" t="inlineStr">
        <is>
          <t>SURAHAMMAR</t>
        </is>
      </c>
      <c r="F57" t="inlineStr">
        <is>
          <t>Bergvik skog väst AB</t>
        </is>
      </c>
      <c r="G57" t="n">
        <v>2.9</v>
      </c>
      <c r="H57" t="n">
        <v>1</v>
      </c>
      <c r="I57" t="n">
        <v>0</v>
      </c>
      <c r="J57" t="n">
        <v>0</v>
      </c>
      <c r="K57" t="n">
        <v>0</v>
      </c>
      <c r="L57" t="n">
        <v>0</v>
      </c>
      <c r="M57" t="n">
        <v>0</v>
      </c>
      <c r="N57" t="n">
        <v>0</v>
      </c>
      <c r="O57" t="n">
        <v>0</v>
      </c>
      <c r="P57" t="n">
        <v>0</v>
      </c>
      <c r="Q57" t="n">
        <v>1</v>
      </c>
      <c r="R57" s="2" t="inlineStr">
        <is>
          <t>Fläcknycklar</t>
        </is>
      </c>
      <c r="S57">
        <f>HYPERLINK("https://klasma.github.io/Logging_1907/artfynd/A 13971-2023 artfynd.xlsx", "A 13971-2023")</f>
        <v/>
      </c>
      <c r="T57">
        <f>HYPERLINK("https://klasma.github.io/Logging_1907/kartor/A 13971-2023 karta.png", "A 13971-2023")</f>
        <v/>
      </c>
      <c r="V57">
        <f>HYPERLINK("https://klasma.github.io/Logging_1907/klagomål/A 13971-2023 FSC-klagomål.docx", "A 13971-2023")</f>
        <v/>
      </c>
      <c r="W57">
        <f>HYPERLINK("https://klasma.github.io/Logging_1907/klagomålsmail/A 13971-2023 FSC-klagomål mail.docx", "A 13971-2023")</f>
        <v/>
      </c>
      <c r="X57">
        <f>HYPERLINK("https://klasma.github.io/Logging_1907/tillsyn/A 13971-2023 tillsynsbegäran.docx", "A 13971-2023")</f>
        <v/>
      </c>
      <c r="Y57">
        <f>HYPERLINK("https://klasma.github.io/Logging_1907/tillsynsmail/A 13971-2023 tillsynsbegäran mail.docx", "A 13971-2023")</f>
        <v/>
      </c>
    </row>
    <row r="58" ht="15" customHeight="1">
      <c r="A58" t="inlineStr">
        <is>
          <t>A 42765-2022</t>
        </is>
      </c>
      <c r="B58" s="1" t="n">
        <v>44832</v>
      </c>
      <c r="C58" s="1" t="n">
        <v>45879</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44356-2024</t>
        </is>
      </c>
      <c r="B59" s="1" t="n">
        <v>45573</v>
      </c>
      <c r="C59" s="1" t="n">
        <v>45879</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10819-2024</t>
        </is>
      </c>
      <c r="B60" s="1" t="n">
        <v>45369.66049768519</v>
      </c>
      <c r="C60" s="1" t="n">
        <v>45879</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13788-2025</t>
        </is>
      </c>
      <c r="B61" s="1" t="n">
        <v>45737.45327546296</v>
      </c>
      <c r="C61" s="1" t="n">
        <v>45879</v>
      </c>
      <c r="D61" t="inlineStr">
        <is>
          <t>VÄSTMANLANDS LÄN</t>
        </is>
      </c>
      <c r="E61" t="inlineStr">
        <is>
          <t>SURAHAMMAR</t>
        </is>
      </c>
      <c r="G61" t="n">
        <v>9.699999999999999</v>
      </c>
      <c r="H61" t="n">
        <v>1</v>
      </c>
      <c r="I61" t="n">
        <v>0</v>
      </c>
      <c r="J61" t="n">
        <v>0</v>
      </c>
      <c r="K61" t="n">
        <v>0</v>
      </c>
      <c r="L61" t="n">
        <v>0</v>
      </c>
      <c r="M61" t="n">
        <v>0</v>
      </c>
      <c r="N61" t="n">
        <v>0</v>
      </c>
      <c r="O61" t="n">
        <v>0</v>
      </c>
      <c r="P61" t="n">
        <v>0</v>
      </c>
      <c r="Q61" t="n">
        <v>1</v>
      </c>
      <c r="R61" s="2" t="inlineStr">
        <is>
          <t>Sparvuggla</t>
        </is>
      </c>
      <c r="S61">
        <f>HYPERLINK("https://klasma.github.io/Logging_1907/artfynd/A 13788-2025 artfynd.xlsx", "A 13788-2025")</f>
        <v/>
      </c>
      <c r="T61">
        <f>HYPERLINK("https://klasma.github.io/Logging_1907/kartor/A 13788-2025 karta.png", "A 13788-2025")</f>
        <v/>
      </c>
      <c r="V61">
        <f>HYPERLINK("https://klasma.github.io/Logging_1907/klagomål/A 13788-2025 FSC-klagomål.docx", "A 13788-2025")</f>
        <v/>
      </c>
      <c r="W61">
        <f>HYPERLINK("https://klasma.github.io/Logging_1907/klagomålsmail/A 13788-2025 FSC-klagomål mail.docx", "A 13788-2025")</f>
        <v/>
      </c>
      <c r="X61">
        <f>HYPERLINK("https://klasma.github.io/Logging_1907/tillsyn/A 13788-2025 tillsynsbegäran.docx", "A 13788-2025")</f>
        <v/>
      </c>
      <c r="Y61">
        <f>HYPERLINK("https://klasma.github.io/Logging_1907/tillsynsmail/A 13788-2025 tillsynsbegäran mail.docx", "A 13788-2025")</f>
        <v/>
      </c>
      <c r="Z61">
        <f>HYPERLINK("https://klasma.github.io/Logging_1907/fåglar/A 13788-2025 prioriterade fågelarter.docx", "A 13788-2025")</f>
        <v/>
      </c>
    </row>
    <row r="62" ht="15" customHeight="1">
      <c r="A62" t="inlineStr">
        <is>
          <t>A 62097-2024</t>
        </is>
      </c>
      <c r="B62" s="1" t="n">
        <v>45646</v>
      </c>
      <c r="C62" s="1" t="n">
        <v>45879</v>
      </c>
      <c r="D62" t="inlineStr">
        <is>
          <t>VÄSTMANLANDS LÄN</t>
        </is>
      </c>
      <c r="E62" t="inlineStr">
        <is>
          <t>SURAHAMMAR</t>
        </is>
      </c>
      <c r="F62" t="inlineStr">
        <is>
          <t>Bergvik skog väst AB</t>
        </is>
      </c>
      <c r="G62" t="n">
        <v>21.7</v>
      </c>
      <c r="H62" t="n">
        <v>1</v>
      </c>
      <c r="I62" t="n">
        <v>0</v>
      </c>
      <c r="J62" t="n">
        <v>0</v>
      </c>
      <c r="K62" t="n">
        <v>0</v>
      </c>
      <c r="L62" t="n">
        <v>0</v>
      </c>
      <c r="M62" t="n">
        <v>0</v>
      </c>
      <c r="N62" t="n">
        <v>0</v>
      </c>
      <c r="O62" t="n">
        <v>0</v>
      </c>
      <c r="P62" t="n">
        <v>0</v>
      </c>
      <c r="Q62" t="n">
        <v>1</v>
      </c>
      <c r="R62" s="2" t="inlineStr">
        <is>
          <t>Revlummer</t>
        </is>
      </c>
      <c r="S62">
        <f>HYPERLINK("https://klasma.github.io/Logging_1907/artfynd/A 62097-2024 artfynd.xlsx", "A 62097-2024")</f>
        <v/>
      </c>
      <c r="T62">
        <f>HYPERLINK("https://klasma.github.io/Logging_1907/kartor/A 62097-2024 karta.png", "A 62097-2024")</f>
        <v/>
      </c>
      <c r="V62">
        <f>HYPERLINK("https://klasma.github.io/Logging_1907/klagomål/A 62097-2024 FSC-klagomål.docx", "A 62097-2024")</f>
        <v/>
      </c>
      <c r="W62">
        <f>HYPERLINK("https://klasma.github.io/Logging_1907/klagomålsmail/A 62097-2024 FSC-klagomål mail.docx", "A 62097-2024")</f>
        <v/>
      </c>
      <c r="X62">
        <f>HYPERLINK("https://klasma.github.io/Logging_1907/tillsyn/A 62097-2024 tillsynsbegäran.docx", "A 62097-2024")</f>
        <v/>
      </c>
      <c r="Y62">
        <f>HYPERLINK("https://klasma.github.io/Logging_1907/tillsynsmail/A 62097-2024 tillsynsbegäran mail.docx", "A 62097-2024")</f>
        <v/>
      </c>
    </row>
    <row r="63" ht="15" customHeight="1">
      <c r="A63" t="inlineStr">
        <is>
          <t>A 17632-2022</t>
        </is>
      </c>
      <c r="B63" s="1" t="n">
        <v>44680</v>
      </c>
      <c r="C63" s="1" t="n">
        <v>45879</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22840-2023</t>
        </is>
      </c>
      <c r="B64" s="1" t="n">
        <v>45072</v>
      </c>
      <c r="C64" s="1" t="n">
        <v>45879</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45735-2024</t>
        </is>
      </c>
      <c r="B65" s="1" t="n">
        <v>45579</v>
      </c>
      <c r="C65" s="1" t="n">
        <v>45879</v>
      </c>
      <c r="D65" t="inlineStr">
        <is>
          <t>VÄSTMANLANDS LÄN</t>
        </is>
      </c>
      <c r="E65" t="inlineStr">
        <is>
          <t>SURAHAMMAR</t>
        </is>
      </c>
      <c r="F65" t="inlineStr">
        <is>
          <t>Sveaskog</t>
        </is>
      </c>
      <c r="G65" t="n">
        <v>13.5</v>
      </c>
      <c r="H65" t="n">
        <v>1</v>
      </c>
      <c r="I65" t="n">
        <v>0</v>
      </c>
      <c r="J65" t="n">
        <v>0</v>
      </c>
      <c r="K65" t="n">
        <v>0</v>
      </c>
      <c r="L65" t="n">
        <v>0</v>
      </c>
      <c r="M65" t="n">
        <v>0</v>
      </c>
      <c r="N65" t="n">
        <v>0</v>
      </c>
      <c r="O65" t="n">
        <v>0</v>
      </c>
      <c r="P65" t="n">
        <v>0</v>
      </c>
      <c r="Q65" t="n">
        <v>1</v>
      </c>
      <c r="R65" s="2" t="inlineStr">
        <is>
          <t>Revlummer</t>
        </is>
      </c>
      <c r="S65">
        <f>HYPERLINK("https://klasma.github.io/Logging_1907/artfynd/A 45735-2024 artfynd.xlsx", "A 45735-2024")</f>
        <v/>
      </c>
      <c r="T65">
        <f>HYPERLINK("https://klasma.github.io/Logging_1907/kartor/A 45735-2024 karta.png", "A 45735-2024")</f>
        <v/>
      </c>
      <c r="V65">
        <f>HYPERLINK("https://klasma.github.io/Logging_1907/klagomål/A 45735-2024 FSC-klagomål.docx", "A 45735-2024")</f>
        <v/>
      </c>
      <c r="W65">
        <f>HYPERLINK("https://klasma.github.io/Logging_1907/klagomålsmail/A 45735-2024 FSC-klagomål mail.docx", "A 45735-2024")</f>
        <v/>
      </c>
      <c r="X65">
        <f>HYPERLINK("https://klasma.github.io/Logging_1907/tillsyn/A 45735-2024 tillsynsbegäran.docx", "A 45735-2024")</f>
        <v/>
      </c>
      <c r="Y65">
        <f>HYPERLINK("https://klasma.github.io/Logging_1907/tillsynsmail/A 45735-2024 tillsynsbegäran mail.docx", "A 45735-2024")</f>
        <v/>
      </c>
    </row>
    <row r="66" ht="15" customHeight="1">
      <c r="A66" t="inlineStr">
        <is>
          <t>A 43177-2020</t>
        </is>
      </c>
      <c r="B66" s="1" t="n">
        <v>44081</v>
      </c>
      <c r="C66" s="1" t="n">
        <v>45879</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45879</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45879</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45879</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45879</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45879</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45879</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45879</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45879</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45879</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45879</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45879</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45879</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45879</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45879</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45879</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45879</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45879</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45879</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45879</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45879</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45879</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52076-2020</t>
        </is>
      </c>
      <c r="B88" s="1" t="n">
        <v>44117</v>
      </c>
      <c r="C88" s="1" t="n">
        <v>45879</v>
      </c>
      <c r="D88" t="inlineStr">
        <is>
          <t>VÄSTMANLANDS LÄN</t>
        </is>
      </c>
      <c r="E88" t="inlineStr">
        <is>
          <t>SURAHAMMAR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59543-2020</t>
        </is>
      </c>
      <c r="B89" s="1" t="n">
        <v>44148</v>
      </c>
      <c r="C89" s="1" t="n">
        <v>45879</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45879</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66350-2021</t>
        </is>
      </c>
      <c r="B91" s="1" t="n">
        <v>44518</v>
      </c>
      <c r="C91" s="1" t="n">
        <v>45879</v>
      </c>
      <c r="D91" t="inlineStr">
        <is>
          <t>VÄSTMANLANDS LÄN</t>
        </is>
      </c>
      <c r="E91" t="inlineStr">
        <is>
          <t>SURAHAMMAR</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67611-2021</t>
        </is>
      </c>
      <c r="B92" s="1" t="n">
        <v>44524</v>
      </c>
      <c r="C92" s="1" t="n">
        <v>45879</v>
      </c>
      <c r="D92" t="inlineStr">
        <is>
          <t>VÄSTMANLANDS LÄN</t>
        </is>
      </c>
      <c r="E92" t="inlineStr">
        <is>
          <t>SURAHAMMAR</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33931-2022</t>
        </is>
      </c>
      <c r="B93" s="1" t="n">
        <v>44790.65153935185</v>
      </c>
      <c r="C93" s="1" t="n">
        <v>45879</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22662-2023</t>
        </is>
      </c>
      <c r="B94" s="1" t="n">
        <v>45071</v>
      </c>
      <c r="C94" s="1" t="n">
        <v>45879</v>
      </c>
      <c r="D94" t="inlineStr">
        <is>
          <t>VÄSTMANLANDS LÄN</t>
        </is>
      </c>
      <c r="E94" t="inlineStr">
        <is>
          <t>SURAHAMMAR</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45879</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45879</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45879</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45879</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45879</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45879</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30076-2023</t>
        </is>
      </c>
      <c r="B101" s="1" t="n">
        <v>45110</v>
      </c>
      <c r="C101" s="1" t="n">
        <v>45879</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44358-2024</t>
        </is>
      </c>
      <c r="B102" s="1" t="n">
        <v>45573</v>
      </c>
      <c r="C102" s="1" t="n">
        <v>45879</v>
      </c>
      <c r="D102" t="inlineStr">
        <is>
          <t>VÄSTMANLANDS LÄN</t>
        </is>
      </c>
      <c r="E102" t="inlineStr">
        <is>
          <t>SURAHAMMAR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44359-2024</t>
        </is>
      </c>
      <c r="B103" s="1" t="n">
        <v>45573</v>
      </c>
      <c r="C103" s="1" t="n">
        <v>45879</v>
      </c>
      <c r="D103" t="inlineStr">
        <is>
          <t>VÄSTMANLANDS LÄN</t>
        </is>
      </c>
      <c r="E103" t="inlineStr">
        <is>
          <t>SURAHAMMAR</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10396-2025</t>
        </is>
      </c>
      <c r="B104" s="1" t="n">
        <v>45720.60721064815</v>
      </c>
      <c r="C104" s="1" t="n">
        <v>45879</v>
      </c>
      <c r="D104" t="inlineStr">
        <is>
          <t>VÄSTMANLANDS LÄN</t>
        </is>
      </c>
      <c r="E104" t="inlineStr">
        <is>
          <t>SURAHAMMAR</t>
        </is>
      </c>
      <c r="F104" t="inlineStr">
        <is>
          <t>Allmännings- och besparingsskogar</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45879</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45879</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45879</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25417-2024</t>
        </is>
      </c>
      <c r="B108" s="1" t="n">
        <v>45463</v>
      </c>
      <c r="C108" s="1" t="n">
        <v>45879</v>
      </c>
      <c r="D108" t="inlineStr">
        <is>
          <t>VÄSTMANLANDS LÄN</t>
        </is>
      </c>
      <c r="E108" t="inlineStr">
        <is>
          <t>SURAHAMMAR</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25450-2024</t>
        </is>
      </c>
      <c r="B109" s="1" t="n">
        <v>45463</v>
      </c>
      <c r="C109" s="1" t="n">
        <v>45879</v>
      </c>
      <c r="D109" t="inlineStr">
        <is>
          <t>VÄSTMANLANDS LÄN</t>
        </is>
      </c>
      <c r="E109" t="inlineStr">
        <is>
          <t>SURAHAMMAR</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45879</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45879</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24665-2023</t>
        </is>
      </c>
      <c r="B112" s="1" t="n">
        <v>45084.48592592592</v>
      </c>
      <c r="C112" s="1" t="n">
        <v>45879</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24167-2024</t>
        </is>
      </c>
      <c r="B113" s="1" t="n">
        <v>45456</v>
      </c>
      <c r="C113" s="1" t="n">
        <v>45879</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45879</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44353-2024</t>
        </is>
      </c>
      <c r="B115" s="1" t="n">
        <v>45573</v>
      </c>
      <c r="C115" s="1" t="n">
        <v>45879</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44357-2024</t>
        </is>
      </c>
      <c r="B116" s="1" t="n">
        <v>45573</v>
      </c>
      <c r="C116" s="1" t="n">
        <v>45879</v>
      </c>
      <c r="D116" t="inlineStr">
        <is>
          <t>VÄSTMANLANDS LÄN</t>
        </is>
      </c>
      <c r="E116" t="inlineStr">
        <is>
          <t>SURAHAMMAR</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45879</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13119-2022</t>
        </is>
      </c>
      <c r="B118" s="1" t="n">
        <v>44643</v>
      </c>
      <c r="C118" s="1" t="n">
        <v>45879</v>
      </c>
      <c r="D118" t="inlineStr">
        <is>
          <t>VÄSTMANLANDS LÄN</t>
        </is>
      </c>
      <c r="E118" t="inlineStr">
        <is>
          <t>SURAHAMMAR</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19782-2023</t>
        </is>
      </c>
      <c r="B119" s="1" t="n">
        <v>45050</v>
      </c>
      <c r="C119" s="1" t="n">
        <v>45879</v>
      </c>
      <c r="D119" t="inlineStr">
        <is>
          <t>VÄSTMANLANDS LÄN</t>
        </is>
      </c>
      <c r="E119" t="inlineStr">
        <is>
          <t>SURAHAMMAR</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45879</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45879</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14626-2023</t>
        </is>
      </c>
      <c r="B122" s="1" t="n">
        <v>45012</v>
      </c>
      <c r="C122" s="1" t="n">
        <v>45879</v>
      </c>
      <c r="D122" t="inlineStr">
        <is>
          <t>VÄSTMANLANDS LÄN</t>
        </is>
      </c>
      <c r="E122" t="inlineStr">
        <is>
          <t>SURAHAMMAR</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37287-2023</t>
        </is>
      </c>
      <c r="B123" s="1" t="n">
        <v>45156</v>
      </c>
      <c r="C123" s="1" t="n">
        <v>45879</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49058-2024</t>
        </is>
      </c>
      <c r="B124" s="1" t="n">
        <v>45594</v>
      </c>
      <c r="C124" s="1" t="n">
        <v>45879</v>
      </c>
      <c r="D124" t="inlineStr">
        <is>
          <t>VÄSTMANLANDS LÄN</t>
        </is>
      </c>
      <c r="E124" t="inlineStr">
        <is>
          <t>SURAHAMMAR</t>
        </is>
      </c>
      <c r="F124" t="inlineStr">
        <is>
          <t>Sveaskog</t>
        </is>
      </c>
      <c r="G124" t="n">
        <v>11.4</v>
      </c>
      <c r="H124" t="n">
        <v>0</v>
      </c>
      <c r="I124" t="n">
        <v>0</v>
      </c>
      <c r="J124" t="n">
        <v>0</v>
      </c>
      <c r="K124" t="n">
        <v>0</v>
      </c>
      <c r="L124" t="n">
        <v>0</v>
      </c>
      <c r="M124" t="n">
        <v>0</v>
      </c>
      <c r="N124" t="n">
        <v>0</v>
      </c>
      <c r="O124" t="n">
        <v>0</v>
      </c>
      <c r="P124" t="n">
        <v>0</v>
      </c>
      <c r="Q124" t="n">
        <v>0</v>
      </c>
      <c r="R124" s="2" t="inlineStr"/>
    </row>
    <row r="125" ht="15" customHeight="1">
      <c r="A125" t="inlineStr">
        <is>
          <t>A 49060-2024</t>
        </is>
      </c>
      <c r="B125" s="1" t="n">
        <v>45594</v>
      </c>
      <c r="C125" s="1" t="n">
        <v>45879</v>
      </c>
      <c r="D125" t="inlineStr">
        <is>
          <t>VÄSTMANLANDS LÄN</t>
        </is>
      </c>
      <c r="E125" t="inlineStr">
        <is>
          <t>SURAHAMMAR</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8553-2023</t>
        </is>
      </c>
      <c r="B126" s="1" t="n">
        <v>44977</v>
      </c>
      <c r="C126" s="1" t="n">
        <v>45879</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56378-2023</t>
        </is>
      </c>
      <c r="B127" s="1" t="n">
        <v>45236</v>
      </c>
      <c r="C127" s="1" t="n">
        <v>45879</v>
      </c>
      <c r="D127" t="inlineStr">
        <is>
          <t>VÄSTMANLANDS LÄN</t>
        </is>
      </c>
      <c r="E127" t="inlineStr">
        <is>
          <t>SURAHAMMAR</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45879</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19099-2022</t>
        </is>
      </c>
      <c r="B129" s="1" t="n">
        <v>44691</v>
      </c>
      <c r="C129" s="1" t="n">
        <v>45879</v>
      </c>
      <c r="D129" t="inlineStr">
        <is>
          <t>VÄSTMANLANDS LÄN</t>
        </is>
      </c>
      <c r="E129" t="inlineStr">
        <is>
          <t>SURAHAMMAR</t>
        </is>
      </c>
      <c r="F129" t="inlineStr">
        <is>
          <t>Övriga Aktiebolag</t>
        </is>
      </c>
      <c r="G129" t="n">
        <v>3.4</v>
      </c>
      <c r="H129" t="n">
        <v>0</v>
      </c>
      <c r="I129" t="n">
        <v>0</v>
      </c>
      <c r="J129" t="n">
        <v>0</v>
      </c>
      <c r="K129" t="n">
        <v>0</v>
      </c>
      <c r="L129" t="n">
        <v>0</v>
      </c>
      <c r="M129" t="n">
        <v>0</v>
      </c>
      <c r="N129" t="n">
        <v>0</v>
      </c>
      <c r="O129" t="n">
        <v>0</v>
      </c>
      <c r="P129" t="n">
        <v>0</v>
      </c>
      <c r="Q129" t="n">
        <v>0</v>
      </c>
      <c r="R129" s="2" t="inlineStr"/>
    </row>
    <row r="130" ht="15" customHeight="1">
      <c r="A130" t="inlineStr">
        <is>
          <t>A 25780-2023</t>
        </is>
      </c>
      <c r="B130" s="1" t="n">
        <v>45090.47523148148</v>
      </c>
      <c r="C130" s="1" t="n">
        <v>45879</v>
      </c>
      <c r="D130" t="inlineStr">
        <is>
          <t>VÄSTMANLANDS LÄN</t>
        </is>
      </c>
      <c r="E130" t="inlineStr">
        <is>
          <t>SURAHAMMAR</t>
        </is>
      </c>
      <c r="G130" t="n">
        <v>2.8</v>
      </c>
      <c r="H130" t="n">
        <v>0</v>
      </c>
      <c r="I130" t="n">
        <v>0</v>
      </c>
      <c r="J130" t="n">
        <v>0</v>
      </c>
      <c r="K130" t="n">
        <v>0</v>
      </c>
      <c r="L130" t="n">
        <v>0</v>
      </c>
      <c r="M130" t="n">
        <v>0</v>
      </c>
      <c r="N130" t="n">
        <v>0</v>
      </c>
      <c r="O130" t="n">
        <v>0</v>
      </c>
      <c r="P130" t="n">
        <v>0</v>
      </c>
      <c r="Q130" t="n">
        <v>0</v>
      </c>
      <c r="R130" s="2" t="inlineStr"/>
    </row>
    <row r="131" ht="15" customHeight="1">
      <c r="A131" t="inlineStr">
        <is>
          <t>A 11501-2023</t>
        </is>
      </c>
      <c r="B131" s="1" t="n">
        <v>44991</v>
      </c>
      <c r="C131" s="1" t="n">
        <v>45879</v>
      </c>
      <c r="D131" t="inlineStr">
        <is>
          <t>VÄSTMANLANDS LÄN</t>
        </is>
      </c>
      <c r="E131" t="inlineStr">
        <is>
          <t>SURAHAMMAR</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45879</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13386-2025</t>
        </is>
      </c>
      <c r="B133" s="1" t="n">
        <v>45735</v>
      </c>
      <c r="C133" s="1" t="n">
        <v>45879</v>
      </c>
      <c r="D133" t="inlineStr">
        <is>
          <t>VÄSTMANLANDS LÄN</t>
        </is>
      </c>
      <c r="E133" t="inlineStr">
        <is>
          <t>SURAHAMMAR</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45879</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45879</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34582-2025</t>
        </is>
      </c>
      <c r="B136" s="1" t="n">
        <v>45846</v>
      </c>
      <c r="C136" s="1" t="n">
        <v>45879</v>
      </c>
      <c r="D136" t="inlineStr">
        <is>
          <t>VÄSTMANLANDS LÄN</t>
        </is>
      </c>
      <c r="E136" t="inlineStr">
        <is>
          <t>SURAHAMMAR</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34584-2025</t>
        </is>
      </c>
      <c r="B137" s="1" t="n">
        <v>45846</v>
      </c>
      <c r="C137" s="1" t="n">
        <v>45879</v>
      </c>
      <c r="D137" t="inlineStr">
        <is>
          <t>VÄSTMANLANDS LÄN</t>
        </is>
      </c>
      <c r="E137" t="inlineStr">
        <is>
          <t>SURAHAMMAR</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35682-2022</t>
        </is>
      </c>
      <c r="B138" s="1" t="n">
        <v>44799.60422453703</v>
      </c>
      <c r="C138" s="1" t="n">
        <v>45879</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34955-2022</t>
        </is>
      </c>
      <c r="B139" s="1" t="n">
        <v>44796</v>
      </c>
      <c r="C139" s="1" t="n">
        <v>45879</v>
      </c>
      <c r="D139" t="inlineStr">
        <is>
          <t>VÄSTMANLANDS LÄN</t>
        </is>
      </c>
      <c r="E139" t="inlineStr">
        <is>
          <t>SURAHAMMAR</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45879</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45879</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41555-2022</t>
        </is>
      </c>
      <c r="B142" s="1" t="n">
        <v>44826</v>
      </c>
      <c r="C142" s="1" t="n">
        <v>45879</v>
      </c>
      <c r="D142" t="inlineStr">
        <is>
          <t>VÄSTMANLANDS LÄN</t>
        </is>
      </c>
      <c r="E142" t="inlineStr">
        <is>
          <t>SURAHAMMAR</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45879</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45879</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41576-2022</t>
        </is>
      </c>
      <c r="B145" s="1" t="n">
        <v>44826</v>
      </c>
      <c r="C145" s="1" t="n">
        <v>45879</v>
      </c>
      <c r="D145" t="inlineStr">
        <is>
          <t>VÄSTMANLANDS LÄN</t>
        </is>
      </c>
      <c r="E145" t="inlineStr">
        <is>
          <t>SURAHAMMAR</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48205-2023</t>
        </is>
      </c>
      <c r="B146" s="1" t="n">
        <v>45205</v>
      </c>
      <c r="C146" s="1" t="n">
        <v>45879</v>
      </c>
      <c r="D146" t="inlineStr">
        <is>
          <t>VÄSTMANLANDS LÄN</t>
        </is>
      </c>
      <c r="E146" t="inlineStr">
        <is>
          <t>SURAHAMMAR</t>
        </is>
      </c>
      <c r="F146" t="inlineStr">
        <is>
          <t>Allmännings- och besparingsskogar</t>
        </is>
      </c>
      <c r="G146" t="n">
        <v>7.6</v>
      </c>
      <c r="H146" t="n">
        <v>0</v>
      </c>
      <c r="I146" t="n">
        <v>0</v>
      </c>
      <c r="J146" t="n">
        <v>0</v>
      </c>
      <c r="K146" t="n">
        <v>0</v>
      </c>
      <c r="L146" t="n">
        <v>0</v>
      </c>
      <c r="M146" t="n">
        <v>0</v>
      </c>
      <c r="N146" t="n">
        <v>0</v>
      </c>
      <c r="O146" t="n">
        <v>0</v>
      </c>
      <c r="P146" t="n">
        <v>0</v>
      </c>
      <c r="Q146" t="n">
        <v>0</v>
      </c>
      <c r="R146" s="2" t="inlineStr"/>
    </row>
    <row r="147" ht="15" customHeight="1">
      <c r="A147" t="inlineStr">
        <is>
          <t>A 13796-2025</t>
        </is>
      </c>
      <c r="B147" s="1" t="n">
        <v>45737.47846064815</v>
      </c>
      <c r="C147" s="1" t="n">
        <v>45879</v>
      </c>
      <c r="D147" t="inlineStr">
        <is>
          <t>VÄSTMANLANDS LÄN</t>
        </is>
      </c>
      <c r="E147" t="inlineStr">
        <is>
          <t>SURAHAMMAR</t>
        </is>
      </c>
      <c r="G147" t="n">
        <v>3.3</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45879</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52074-2020</t>
        </is>
      </c>
      <c r="B149" s="1" t="n">
        <v>44117</v>
      </c>
      <c r="C149" s="1" t="n">
        <v>45879</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45879</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45879</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45879</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45879</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2025-08-10T08:27:39Z</dcterms:created>
  <dcterms:modified xmlns:dcterms="http://purl.org/dc/terms/" xmlns:xsi="http://www.w3.org/2001/XMLSchema-instance" xsi:type="dcterms:W3CDTF">2025-08-10T08:27:39Z</dcterms:modified>
</cp:coreProperties>
</file>