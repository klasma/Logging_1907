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45570</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45570</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45570</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45570</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45570</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45570</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45570</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45570</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45570</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45570</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45570</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22907-2023</t>
        </is>
      </c>
      <c r="B13" s="1" t="n">
        <v>45070</v>
      </c>
      <c r="C13" s="1" t="n">
        <v>45570</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23039-2023</t>
        </is>
      </c>
      <c r="B14" s="1" t="n">
        <v>45074</v>
      </c>
      <c r="C14" s="1" t="n">
        <v>45570</v>
      </c>
      <c r="D14" t="inlineStr">
        <is>
          <t>VÄSTMANLANDS LÄN</t>
        </is>
      </c>
      <c r="E14" t="inlineStr">
        <is>
          <t>SURAHAMMAR</t>
        </is>
      </c>
      <c r="F14" t="inlineStr">
        <is>
          <t>Allmännings- och besparingsskogar</t>
        </is>
      </c>
      <c r="G14" t="n">
        <v>19.4</v>
      </c>
      <c r="H14" t="n">
        <v>8</v>
      </c>
      <c r="I14" t="n">
        <v>2</v>
      </c>
      <c r="J14" t="n">
        <v>1</v>
      </c>
      <c r="K14" t="n">
        <v>1</v>
      </c>
      <c r="L14" t="n">
        <v>0</v>
      </c>
      <c r="M14" t="n">
        <v>0</v>
      </c>
      <c r="N14" t="n">
        <v>0</v>
      </c>
      <c r="O14" t="n">
        <v>2</v>
      </c>
      <c r="P14" t="n">
        <v>1</v>
      </c>
      <c r="Q14" t="n">
        <v>9</v>
      </c>
      <c r="R14" s="2" t="inlineStr">
        <is>
          <t>Knärot
Spillkråka
Grönpyrola
Plattlummer
Nattskärra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c r="Z14">
        <f>HYPERLINK("https://klasma.github.io/Logging_1907/fåglar/A 23039-2023 prioriterade fågelarter.docx", "A 23039-2023")</f>
        <v/>
      </c>
    </row>
    <row r="15" ht="15" customHeight="1">
      <c r="A15" t="inlineStr">
        <is>
          <t>A 34040-2024</t>
        </is>
      </c>
      <c r="B15" s="1" t="n">
        <v>45523</v>
      </c>
      <c r="C15" s="1" t="n">
        <v>45570</v>
      </c>
      <c r="D15" t="inlineStr">
        <is>
          <t>VÄSTMANLANDS LÄN</t>
        </is>
      </c>
      <c r="E15" t="inlineStr">
        <is>
          <t>SURAHAMMAR</t>
        </is>
      </c>
      <c r="F15" t="inlineStr">
        <is>
          <t>Övriga Aktiebolag</t>
        </is>
      </c>
      <c r="G15" t="n">
        <v>6.4</v>
      </c>
      <c r="H15" t="n">
        <v>3</v>
      </c>
      <c r="I15" t="n">
        <v>4</v>
      </c>
      <c r="J15" t="n">
        <v>4</v>
      </c>
      <c r="K15" t="n">
        <v>1</v>
      </c>
      <c r="L15" t="n">
        <v>0</v>
      </c>
      <c r="M15" t="n">
        <v>0</v>
      </c>
      <c r="N15" t="n">
        <v>0</v>
      </c>
      <c r="O15" t="n">
        <v>5</v>
      </c>
      <c r="P15" t="n">
        <v>1</v>
      </c>
      <c r="Q15" t="n">
        <v>9</v>
      </c>
      <c r="R15" s="2" t="inlineStr">
        <is>
          <t>Knärot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33878-2019</t>
        </is>
      </c>
      <c r="B16" s="1" t="n">
        <v>43653</v>
      </c>
      <c r="C16" s="1" t="n">
        <v>45570</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45570</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45570</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45570</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45570</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45570</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45570</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45570</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45570</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45570</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45570</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45570</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45570</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45570</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45570</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45570</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45570</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45570</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45570</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45570</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45570</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45570</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45570</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45570</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45570</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45570</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45570</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45570</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45570</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45570</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45570</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45570</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45570</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45570</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45570</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45570</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45570</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45570</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45570</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45570</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45570</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45570</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45570</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45570</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24538-2024</t>
        </is>
      </c>
      <c r="B60" s="1" t="n">
        <v>45460</v>
      </c>
      <c r="C60" s="1" t="n">
        <v>45570</v>
      </c>
      <c r="D60" t="inlineStr">
        <is>
          <t>VÄSTMANLANDS LÄN</t>
        </is>
      </c>
      <c r="E60" t="inlineStr">
        <is>
          <t>SURAHAMMAR</t>
        </is>
      </c>
      <c r="G60" t="n">
        <v>2.5</v>
      </c>
      <c r="H60" t="n">
        <v>1</v>
      </c>
      <c r="I60" t="n">
        <v>1</v>
      </c>
      <c r="J60" t="n">
        <v>0</v>
      </c>
      <c r="K60" t="n">
        <v>1</v>
      </c>
      <c r="L60" t="n">
        <v>0</v>
      </c>
      <c r="M60" t="n">
        <v>0</v>
      </c>
      <c r="N60" t="n">
        <v>0</v>
      </c>
      <c r="O60" t="n">
        <v>1</v>
      </c>
      <c r="P60" t="n">
        <v>1</v>
      </c>
      <c r="Q60" t="n">
        <v>2</v>
      </c>
      <c r="R60" s="2" t="inlineStr">
        <is>
          <t>Knärot
Vedticka</t>
        </is>
      </c>
      <c r="S60">
        <f>HYPERLINK("https://klasma.github.io/Logging_1907/artfynd/A 24538-2024 artfynd.xlsx", "A 24538-2024")</f>
        <v/>
      </c>
      <c r="T60">
        <f>HYPERLINK("https://klasma.github.io/Logging_1907/kartor/A 24538-2024 karta.png", "A 24538-2024")</f>
        <v/>
      </c>
      <c r="U60">
        <f>HYPERLINK("https://klasma.github.io/Logging_1907/knärot/A 24538-2024 karta knärot.png", "A 24538-2024")</f>
        <v/>
      </c>
      <c r="V60">
        <f>HYPERLINK("https://klasma.github.io/Logging_1907/klagomål/A 24538-2024 FSC-klagomål.docx", "A 24538-2024")</f>
        <v/>
      </c>
      <c r="W60">
        <f>HYPERLINK("https://klasma.github.io/Logging_1907/klagomålsmail/A 24538-2024 FSC-klagomål mail.docx", "A 24538-2024")</f>
        <v/>
      </c>
      <c r="X60">
        <f>HYPERLINK("https://klasma.github.io/Logging_1907/tillsyn/A 24538-2024 tillsynsbegäran.docx", "A 24538-2024")</f>
        <v/>
      </c>
      <c r="Y60">
        <f>HYPERLINK("https://klasma.github.io/Logging_1907/tillsynsmail/A 24538-2024 tillsynsbegäran mail.docx", "A 24538-2024")</f>
        <v/>
      </c>
    </row>
    <row r="61" ht="15" customHeight="1">
      <c r="A61" t="inlineStr">
        <is>
          <t>A 18948-2019</t>
        </is>
      </c>
      <c r="B61" s="1" t="n">
        <v>43563</v>
      </c>
      <c r="C61" s="1" t="n">
        <v>45570</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45570</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45570</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45570</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45570</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45570</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45570</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45570</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45570</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45570</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45570</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45570</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45570</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45570</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45570</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45570</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45570</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45570</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45570</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45570</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45570</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45570</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45570</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45570</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45570</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45570</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45570</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45570</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45570</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45570</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45570</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45570</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45570</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45570</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45570</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43451-2024</t>
        </is>
      </c>
      <c r="B96" s="1" t="n">
        <v>45568</v>
      </c>
      <c r="C96" s="1" t="n">
        <v>45570</v>
      </c>
      <c r="D96" t="inlineStr">
        <is>
          <t>VÄSTMANLANDS LÄN</t>
        </is>
      </c>
      <c r="E96" t="inlineStr">
        <is>
          <t>SURAHAMMAR</t>
        </is>
      </c>
      <c r="F96" t="inlineStr">
        <is>
          <t>Bergvik skog väst AB</t>
        </is>
      </c>
      <c r="G96" t="n">
        <v>2.9</v>
      </c>
      <c r="H96" t="n">
        <v>0</v>
      </c>
      <c r="I96" t="n">
        <v>0</v>
      </c>
      <c r="J96" t="n">
        <v>1</v>
      </c>
      <c r="K96" t="n">
        <v>0</v>
      </c>
      <c r="L96" t="n">
        <v>0</v>
      </c>
      <c r="M96" t="n">
        <v>0</v>
      </c>
      <c r="N96" t="n">
        <v>0</v>
      </c>
      <c r="O96" t="n">
        <v>1</v>
      </c>
      <c r="P96" t="n">
        <v>0</v>
      </c>
      <c r="Q96" t="n">
        <v>1</v>
      </c>
      <c r="R96" s="2" t="inlineStr">
        <is>
          <t>Ullticka</t>
        </is>
      </c>
      <c r="S96">
        <f>HYPERLINK("https://klasma.github.io/Logging_1907/artfynd/A 43451-2024 artfynd.xlsx", "A 43451-2024")</f>
        <v/>
      </c>
      <c r="T96">
        <f>HYPERLINK("https://klasma.github.io/Logging_1907/kartor/A 43451-2024 karta.png", "A 43451-2024")</f>
        <v/>
      </c>
      <c r="V96">
        <f>HYPERLINK("https://klasma.github.io/Logging_1907/klagomål/A 43451-2024 FSC-klagomål.docx", "A 43451-2024")</f>
        <v/>
      </c>
      <c r="W96">
        <f>HYPERLINK("https://klasma.github.io/Logging_1907/klagomålsmail/A 43451-2024 FSC-klagomål mail.docx", "A 43451-2024")</f>
        <v/>
      </c>
      <c r="X96">
        <f>HYPERLINK("https://klasma.github.io/Logging_1907/tillsyn/A 43451-2024 tillsynsbegäran.docx", "A 43451-2024")</f>
        <v/>
      </c>
      <c r="Y96">
        <f>HYPERLINK("https://klasma.github.io/Logging_1907/tillsynsmail/A 43451-2024 tillsynsbegäran mail.docx", "A 43451-2024")</f>
        <v/>
      </c>
    </row>
    <row r="97" ht="15" customHeight="1">
      <c r="A97" t="inlineStr">
        <is>
          <t>A 17946-2019</t>
        </is>
      </c>
      <c r="B97" s="1" t="n">
        <v>43557</v>
      </c>
      <c r="C97" s="1" t="n">
        <v>45570</v>
      </c>
      <c r="D97" t="inlineStr">
        <is>
          <t>VÄSTMANLANDS LÄN</t>
        </is>
      </c>
      <c r="E97" t="inlineStr">
        <is>
          <t>SURAHAMMAR</t>
        </is>
      </c>
      <c r="G97" t="n">
        <v>9.9</v>
      </c>
      <c r="H97" t="n">
        <v>0</v>
      </c>
      <c r="I97" t="n">
        <v>0</v>
      </c>
      <c r="J97" t="n">
        <v>0</v>
      </c>
      <c r="K97" t="n">
        <v>0</v>
      </c>
      <c r="L97" t="n">
        <v>0</v>
      </c>
      <c r="M97" t="n">
        <v>0</v>
      </c>
      <c r="N97" t="n">
        <v>0</v>
      </c>
      <c r="O97" t="n">
        <v>0</v>
      </c>
      <c r="P97" t="n">
        <v>0</v>
      </c>
      <c r="Q97" t="n">
        <v>0</v>
      </c>
      <c r="R97" s="2" t="inlineStr"/>
    </row>
    <row r="98" ht="15" customHeight="1">
      <c r="A98" t="inlineStr">
        <is>
          <t>A 18953-2019</t>
        </is>
      </c>
      <c r="B98" s="1" t="n">
        <v>43563</v>
      </c>
      <c r="C98" s="1" t="n">
        <v>45570</v>
      </c>
      <c r="D98" t="inlineStr">
        <is>
          <t>VÄSTMANLANDS LÄN</t>
        </is>
      </c>
      <c r="E98" t="inlineStr">
        <is>
          <t>SURAHAMMAR</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18960-2019</t>
        </is>
      </c>
      <c r="B99" s="1" t="n">
        <v>43563</v>
      </c>
      <c r="C99" s="1" t="n">
        <v>45570</v>
      </c>
      <c r="D99" t="inlineStr">
        <is>
          <t>VÄSTMANLANDS LÄN</t>
        </is>
      </c>
      <c r="E99" t="inlineStr">
        <is>
          <t>SURAHAMMAR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19659-2019</t>
        </is>
      </c>
      <c r="B100" s="1" t="n">
        <v>43566</v>
      </c>
      <c r="C100" s="1" t="n">
        <v>45570</v>
      </c>
      <c r="D100" t="inlineStr">
        <is>
          <t>VÄSTMANLANDS LÄN</t>
        </is>
      </c>
      <c r="E100" t="inlineStr">
        <is>
          <t>SURAHAMMAR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20127-2019</t>
        </is>
      </c>
      <c r="B101" s="1" t="n">
        <v>43570</v>
      </c>
      <c r="C101" s="1" t="n">
        <v>45570</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20904-2019</t>
        </is>
      </c>
      <c r="B102" s="1" t="n">
        <v>43578</v>
      </c>
      <c r="C102" s="1" t="n">
        <v>45570</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22834-2019</t>
        </is>
      </c>
      <c r="B103" s="1" t="n">
        <v>43591</v>
      </c>
      <c r="C103" s="1" t="n">
        <v>45570</v>
      </c>
      <c r="D103" t="inlineStr">
        <is>
          <t>VÄSTMANLANDS LÄN</t>
        </is>
      </c>
      <c r="E103" t="inlineStr">
        <is>
          <t>SURAHAMMAR</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28274-2019</t>
        </is>
      </c>
      <c r="B104" s="1" t="n">
        <v>43623</v>
      </c>
      <c r="C104" s="1" t="n">
        <v>45570</v>
      </c>
      <c r="D104" t="inlineStr">
        <is>
          <t>VÄSTMANLANDS LÄN</t>
        </is>
      </c>
      <c r="E104" t="inlineStr">
        <is>
          <t>SURAHAMMAR</t>
        </is>
      </c>
      <c r="F104" t="inlineStr">
        <is>
          <t>Allmännings- och besparingsskogar</t>
        </is>
      </c>
      <c r="G104" t="n">
        <v>0.7</v>
      </c>
      <c r="H104" t="n">
        <v>0</v>
      </c>
      <c r="I104" t="n">
        <v>0</v>
      </c>
      <c r="J104" t="n">
        <v>0</v>
      </c>
      <c r="K104" t="n">
        <v>0</v>
      </c>
      <c r="L104" t="n">
        <v>0</v>
      </c>
      <c r="M104" t="n">
        <v>0</v>
      </c>
      <c r="N104" t="n">
        <v>0</v>
      </c>
      <c r="O104" t="n">
        <v>0</v>
      </c>
      <c r="P104" t="n">
        <v>0</v>
      </c>
      <c r="Q104" t="n">
        <v>0</v>
      </c>
      <c r="R104" s="2" t="inlineStr"/>
    </row>
    <row r="105" ht="15" customHeight="1">
      <c r="A105" t="inlineStr">
        <is>
          <t>A 29523-2019</t>
        </is>
      </c>
      <c r="B105" s="1" t="n">
        <v>43630</v>
      </c>
      <c r="C105" s="1" t="n">
        <v>45570</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31008-2019</t>
        </is>
      </c>
      <c r="B106" s="1" t="n">
        <v>43640</v>
      </c>
      <c r="C106" s="1" t="n">
        <v>45570</v>
      </c>
      <c r="D106" t="inlineStr">
        <is>
          <t>VÄSTMANLANDS LÄN</t>
        </is>
      </c>
      <c r="E106" t="inlineStr">
        <is>
          <t>SURAHAMMAR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39552-2019</t>
        </is>
      </c>
      <c r="B107" s="1" t="n">
        <v>43691</v>
      </c>
      <c r="C107" s="1" t="n">
        <v>45570</v>
      </c>
      <c r="D107" t="inlineStr">
        <is>
          <t>VÄSTMANLANDS LÄN</t>
        </is>
      </c>
      <c r="E107" t="inlineStr">
        <is>
          <t>SURAHAMMAR</t>
        </is>
      </c>
      <c r="F107" t="inlineStr">
        <is>
          <t>Övriga Aktiebolag</t>
        </is>
      </c>
      <c r="G107" t="n">
        <v>4.4</v>
      </c>
      <c r="H107" t="n">
        <v>0</v>
      </c>
      <c r="I107" t="n">
        <v>0</v>
      </c>
      <c r="J107" t="n">
        <v>0</v>
      </c>
      <c r="K107" t="n">
        <v>0</v>
      </c>
      <c r="L107" t="n">
        <v>0</v>
      </c>
      <c r="M107" t="n">
        <v>0</v>
      </c>
      <c r="N107" t="n">
        <v>0</v>
      </c>
      <c r="O107" t="n">
        <v>0</v>
      </c>
      <c r="P107" t="n">
        <v>0</v>
      </c>
      <c r="Q107" t="n">
        <v>0</v>
      </c>
      <c r="R107" s="2" t="inlineStr"/>
    </row>
    <row r="108" ht="15" customHeight="1">
      <c r="A108" t="inlineStr">
        <is>
          <t>A 39754-2019</t>
        </is>
      </c>
      <c r="B108" s="1" t="n">
        <v>43692</v>
      </c>
      <c r="C108" s="1" t="n">
        <v>45570</v>
      </c>
      <c r="D108" t="inlineStr">
        <is>
          <t>VÄSTMANLANDS LÄN</t>
        </is>
      </c>
      <c r="E108" t="inlineStr">
        <is>
          <t>SURAHAMMAR</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40191-2019</t>
        </is>
      </c>
      <c r="B109" s="1" t="n">
        <v>43693</v>
      </c>
      <c r="C109" s="1" t="n">
        <v>45570</v>
      </c>
      <c r="D109" t="inlineStr">
        <is>
          <t>VÄSTMANLANDS LÄN</t>
        </is>
      </c>
      <c r="E109" t="inlineStr">
        <is>
          <t>SURAHAMMAR</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60343-2019</t>
        </is>
      </c>
      <c r="B110" s="1" t="n">
        <v>43780</v>
      </c>
      <c r="C110" s="1" t="n">
        <v>45570</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64772-2019</t>
        </is>
      </c>
      <c r="B111" s="1" t="n">
        <v>43801</v>
      </c>
      <c r="C111" s="1" t="n">
        <v>45570</v>
      </c>
      <c r="D111" t="inlineStr">
        <is>
          <t>VÄSTMANLANDS LÄN</t>
        </is>
      </c>
      <c r="E111" t="inlineStr">
        <is>
          <t>SURAHAMMAR</t>
        </is>
      </c>
      <c r="F111" t="inlineStr">
        <is>
          <t>Övriga Aktiebolag</t>
        </is>
      </c>
      <c r="G111" t="n">
        <v>7</v>
      </c>
      <c r="H111" t="n">
        <v>0</v>
      </c>
      <c r="I111" t="n">
        <v>0</v>
      </c>
      <c r="J111" t="n">
        <v>0</v>
      </c>
      <c r="K111" t="n">
        <v>0</v>
      </c>
      <c r="L111" t="n">
        <v>0</v>
      </c>
      <c r="M111" t="n">
        <v>0</v>
      </c>
      <c r="N111" t="n">
        <v>0</v>
      </c>
      <c r="O111" t="n">
        <v>0</v>
      </c>
      <c r="P111" t="n">
        <v>0</v>
      </c>
      <c r="Q111" t="n">
        <v>0</v>
      </c>
      <c r="R111" s="2" t="inlineStr"/>
    </row>
    <row r="112" ht="15" customHeight="1">
      <c r="A112" t="inlineStr">
        <is>
          <t>A 66269-2019</t>
        </is>
      </c>
      <c r="B112" s="1" t="n">
        <v>43802</v>
      </c>
      <c r="C112" s="1" t="n">
        <v>45570</v>
      </c>
      <c r="D112" t="inlineStr">
        <is>
          <t>VÄSTMANLANDS LÄN</t>
        </is>
      </c>
      <c r="E112" t="inlineStr">
        <is>
          <t>SURAHAMMAR</t>
        </is>
      </c>
      <c r="G112" t="n">
        <v>0.9</v>
      </c>
      <c r="H112" t="n">
        <v>0</v>
      </c>
      <c r="I112" t="n">
        <v>0</v>
      </c>
      <c r="J112" t="n">
        <v>0</v>
      </c>
      <c r="K112" t="n">
        <v>0</v>
      </c>
      <c r="L112" t="n">
        <v>0</v>
      </c>
      <c r="M112" t="n">
        <v>0</v>
      </c>
      <c r="N112" t="n">
        <v>0</v>
      </c>
      <c r="O112" t="n">
        <v>0</v>
      </c>
      <c r="P112" t="n">
        <v>0</v>
      </c>
      <c r="Q112" t="n">
        <v>0</v>
      </c>
      <c r="R112" s="2" t="inlineStr"/>
    </row>
    <row r="113" ht="15" customHeight="1">
      <c r="A113" t="inlineStr">
        <is>
          <t>A 65619-2019</t>
        </is>
      </c>
      <c r="B113" s="1" t="n">
        <v>43804</v>
      </c>
      <c r="C113" s="1" t="n">
        <v>45570</v>
      </c>
      <c r="D113" t="inlineStr">
        <is>
          <t>VÄSTMANLANDS LÄN</t>
        </is>
      </c>
      <c r="E113" t="inlineStr">
        <is>
          <t>SURAHAMMAR</t>
        </is>
      </c>
      <c r="F113" t="inlineStr">
        <is>
          <t>Övriga Aktiebolag</t>
        </is>
      </c>
      <c r="G113" t="n">
        <v>1.6</v>
      </c>
      <c r="H113" t="n">
        <v>0</v>
      </c>
      <c r="I113" t="n">
        <v>0</v>
      </c>
      <c r="J113" t="n">
        <v>0</v>
      </c>
      <c r="K113" t="n">
        <v>0</v>
      </c>
      <c r="L113" t="n">
        <v>0</v>
      </c>
      <c r="M113" t="n">
        <v>0</v>
      </c>
      <c r="N113" t="n">
        <v>0</v>
      </c>
      <c r="O113" t="n">
        <v>0</v>
      </c>
      <c r="P113" t="n">
        <v>0</v>
      </c>
      <c r="Q113" t="n">
        <v>0</v>
      </c>
      <c r="R113" s="2" t="inlineStr"/>
    </row>
    <row r="114" ht="15" customHeight="1">
      <c r="A114" t="inlineStr">
        <is>
          <t>A 2039-2020</t>
        </is>
      </c>
      <c r="B114" s="1" t="n">
        <v>43839</v>
      </c>
      <c r="C114" s="1" t="n">
        <v>45570</v>
      </c>
      <c r="D114" t="inlineStr">
        <is>
          <t>VÄSTMANLANDS LÄN</t>
        </is>
      </c>
      <c r="E114" t="inlineStr">
        <is>
          <t>SURAHAMMAR</t>
        </is>
      </c>
      <c r="G114" t="n">
        <v>1</v>
      </c>
      <c r="H114" t="n">
        <v>0</v>
      </c>
      <c r="I114" t="n">
        <v>0</v>
      </c>
      <c r="J114" t="n">
        <v>0</v>
      </c>
      <c r="K114" t="n">
        <v>0</v>
      </c>
      <c r="L114" t="n">
        <v>0</v>
      </c>
      <c r="M114" t="n">
        <v>0</v>
      </c>
      <c r="N114" t="n">
        <v>0</v>
      </c>
      <c r="O114" t="n">
        <v>0</v>
      </c>
      <c r="P114" t="n">
        <v>0</v>
      </c>
      <c r="Q114" t="n">
        <v>0</v>
      </c>
      <c r="R114" s="2" t="inlineStr"/>
    </row>
    <row r="115" ht="15" customHeight="1">
      <c r="A115" t="inlineStr">
        <is>
          <t>A 5804-2020</t>
        </is>
      </c>
      <c r="B115" s="1" t="n">
        <v>43864</v>
      </c>
      <c r="C115" s="1" t="n">
        <v>45570</v>
      </c>
      <c r="D115" t="inlineStr">
        <is>
          <t>VÄSTMANLANDS LÄN</t>
        </is>
      </c>
      <c r="E115" t="inlineStr">
        <is>
          <t>SURAHAMMAR</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8608-2020</t>
        </is>
      </c>
      <c r="B116" s="1" t="n">
        <v>43878</v>
      </c>
      <c r="C116" s="1" t="n">
        <v>45570</v>
      </c>
      <c r="D116" t="inlineStr">
        <is>
          <t>VÄSTMANLANDS LÄN</t>
        </is>
      </c>
      <c r="E116" t="inlineStr">
        <is>
          <t>SURAHAMMAR</t>
        </is>
      </c>
      <c r="F116" t="inlineStr">
        <is>
          <t>Övriga Aktiebolag</t>
        </is>
      </c>
      <c r="G116" t="n">
        <v>20.2</v>
      </c>
      <c r="H116" t="n">
        <v>0</v>
      </c>
      <c r="I116" t="n">
        <v>0</v>
      </c>
      <c r="J116" t="n">
        <v>0</v>
      </c>
      <c r="K116" t="n">
        <v>0</v>
      </c>
      <c r="L116" t="n">
        <v>0</v>
      </c>
      <c r="M116" t="n">
        <v>0</v>
      </c>
      <c r="N116" t="n">
        <v>0</v>
      </c>
      <c r="O116" t="n">
        <v>0</v>
      </c>
      <c r="P116" t="n">
        <v>0</v>
      </c>
      <c r="Q116" t="n">
        <v>0</v>
      </c>
      <c r="R116" s="2" t="inlineStr"/>
    </row>
    <row r="117" ht="15" customHeight="1">
      <c r="A117" t="inlineStr">
        <is>
          <t>A 40660-2020</t>
        </is>
      </c>
      <c r="B117" s="1" t="n">
        <v>44069</v>
      </c>
      <c r="C117" s="1" t="n">
        <v>45570</v>
      </c>
      <c r="D117" t="inlineStr">
        <is>
          <t>VÄSTMANLANDS LÄN</t>
        </is>
      </c>
      <c r="E117" t="inlineStr">
        <is>
          <t>SURAHAMMAR</t>
        </is>
      </c>
      <c r="F117" t="inlineStr">
        <is>
          <t>Övriga Aktiebolag</t>
        </is>
      </c>
      <c r="G117" t="n">
        <v>1.9</v>
      </c>
      <c r="H117" t="n">
        <v>0</v>
      </c>
      <c r="I117" t="n">
        <v>0</v>
      </c>
      <c r="J117" t="n">
        <v>0</v>
      </c>
      <c r="K117" t="n">
        <v>0</v>
      </c>
      <c r="L117" t="n">
        <v>0</v>
      </c>
      <c r="M117" t="n">
        <v>0</v>
      </c>
      <c r="N117" t="n">
        <v>0</v>
      </c>
      <c r="O117" t="n">
        <v>0</v>
      </c>
      <c r="P117" t="n">
        <v>0</v>
      </c>
      <c r="Q117" t="n">
        <v>0</v>
      </c>
      <c r="R117" s="2" t="inlineStr"/>
    </row>
    <row r="118" ht="15" customHeight="1">
      <c r="A118" t="inlineStr">
        <is>
          <t>A 43171-2020</t>
        </is>
      </c>
      <c r="B118" s="1" t="n">
        <v>44081</v>
      </c>
      <c r="C118" s="1" t="n">
        <v>45570</v>
      </c>
      <c r="D118" t="inlineStr">
        <is>
          <t>VÄSTMANLANDS LÄN</t>
        </is>
      </c>
      <c r="E118" t="inlineStr">
        <is>
          <t>SURAHAMMAR</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43174-2020</t>
        </is>
      </c>
      <c r="B119" s="1" t="n">
        <v>44081</v>
      </c>
      <c r="C119" s="1" t="n">
        <v>45570</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43177-2020</t>
        </is>
      </c>
      <c r="B120" s="1" t="n">
        <v>44081</v>
      </c>
      <c r="C120" s="1" t="n">
        <v>45570</v>
      </c>
      <c r="D120" t="inlineStr">
        <is>
          <t>VÄSTMANLANDS LÄN</t>
        </is>
      </c>
      <c r="E120" t="inlineStr">
        <is>
          <t>SURAHAMMAR</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43590-2020</t>
        </is>
      </c>
      <c r="B121" s="1" t="n">
        <v>44082</v>
      </c>
      <c r="C121" s="1" t="n">
        <v>45570</v>
      </c>
      <c r="D121" t="inlineStr">
        <is>
          <t>VÄSTMANLANDS LÄN</t>
        </is>
      </c>
      <c r="E121" t="inlineStr">
        <is>
          <t>SURAHAMMAR</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47997-2020</t>
        </is>
      </c>
      <c r="B122" s="1" t="n">
        <v>44099</v>
      </c>
      <c r="C122" s="1" t="n">
        <v>45570</v>
      </c>
      <c r="D122" t="inlineStr">
        <is>
          <t>VÄSTMANLANDS LÄN</t>
        </is>
      </c>
      <c r="E122" t="inlineStr">
        <is>
          <t>SURAHAMMAR</t>
        </is>
      </c>
      <c r="G122" t="n">
        <v>4.8</v>
      </c>
      <c r="H122" t="n">
        <v>0</v>
      </c>
      <c r="I122" t="n">
        <v>0</v>
      </c>
      <c r="J122" t="n">
        <v>0</v>
      </c>
      <c r="K122" t="n">
        <v>0</v>
      </c>
      <c r="L122" t="n">
        <v>0</v>
      </c>
      <c r="M122" t="n">
        <v>0</v>
      </c>
      <c r="N122" t="n">
        <v>0</v>
      </c>
      <c r="O122" t="n">
        <v>0</v>
      </c>
      <c r="P122" t="n">
        <v>0</v>
      </c>
      <c r="Q122" t="n">
        <v>0</v>
      </c>
      <c r="R122" s="2" t="inlineStr"/>
    </row>
    <row r="123" ht="15" customHeight="1">
      <c r="A123" t="inlineStr">
        <is>
          <t>A 52076-2020</t>
        </is>
      </c>
      <c r="B123" s="1" t="n">
        <v>44117</v>
      </c>
      <c r="C123" s="1" t="n">
        <v>45570</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52074-2020</t>
        </is>
      </c>
      <c r="B124" s="1" t="n">
        <v>44117</v>
      </c>
      <c r="C124" s="1" t="n">
        <v>45570</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54962-2020</t>
        </is>
      </c>
      <c r="B125" s="1" t="n">
        <v>44130</v>
      </c>
      <c r="C125" s="1" t="n">
        <v>45570</v>
      </c>
      <c r="D125" t="inlineStr">
        <is>
          <t>VÄSTMANLANDS LÄN</t>
        </is>
      </c>
      <c r="E125" t="inlineStr">
        <is>
          <t>SURAHAMMAR</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55397-2020</t>
        </is>
      </c>
      <c r="B126" s="1" t="n">
        <v>44131</v>
      </c>
      <c r="C126" s="1" t="n">
        <v>45570</v>
      </c>
      <c r="D126" t="inlineStr">
        <is>
          <t>VÄSTMANLANDS LÄN</t>
        </is>
      </c>
      <c r="E126" t="inlineStr">
        <is>
          <t>SURAHAMMAR</t>
        </is>
      </c>
      <c r="F126" t="inlineStr">
        <is>
          <t>Sveaskog</t>
        </is>
      </c>
      <c r="G126" t="n">
        <v>5</v>
      </c>
      <c r="H126" t="n">
        <v>0</v>
      </c>
      <c r="I126" t="n">
        <v>0</v>
      </c>
      <c r="J126" t="n">
        <v>0</v>
      </c>
      <c r="K126" t="n">
        <v>0</v>
      </c>
      <c r="L126" t="n">
        <v>0</v>
      </c>
      <c r="M126" t="n">
        <v>0</v>
      </c>
      <c r="N126" t="n">
        <v>0</v>
      </c>
      <c r="O126" t="n">
        <v>0</v>
      </c>
      <c r="P126" t="n">
        <v>0</v>
      </c>
      <c r="Q126" t="n">
        <v>0</v>
      </c>
      <c r="R126" s="2" t="inlineStr"/>
    </row>
    <row r="127" ht="15" customHeight="1">
      <c r="A127" t="inlineStr">
        <is>
          <t>A 59543-2020</t>
        </is>
      </c>
      <c r="B127" s="1" t="n">
        <v>44148</v>
      </c>
      <c r="C127" s="1" t="n">
        <v>45570</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59740-2020</t>
        </is>
      </c>
      <c r="B128" s="1" t="n">
        <v>44151</v>
      </c>
      <c r="C128" s="1" t="n">
        <v>45570</v>
      </c>
      <c r="D128" t="inlineStr">
        <is>
          <t>VÄSTMANLANDS LÄN</t>
        </is>
      </c>
      <c r="E128" t="inlineStr">
        <is>
          <t>SURAHAMMAR</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59727-2020</t>
        </is>
      </c>
      <c r="B129" s="1" t="n">
        <v>44151</v>
      </c>
      <c r="C129" s="1" t="n">
        <v>45570</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1492-2021</t>
        </is>
      </c>
      <c r="B130" s="1" t="n">
        <v>44209</v>
      </c>
      <c r="C130" s="1" t="n">
        <v>45570</v>
      </c>
      <c r="D130" t="inlineStr">
        <is>
          <t>VÄSTMANLANDS LÄN</t>
        </is>
      </c>
      <c r="E130" t="inlineStr">
        <is>
          <t>SURAHAMMAR</t>
        </is>
      </c>
      <c r="G130" t="n">
        <v>1.2</v>
      </c>
      <c r="H130" t="n">
        <v>0</v>
      </c>
      <c r="I130" t="n">
        <v>0</v>
      </c>
      <c r="J130" t="n">
        <v>0</v>
      </c>
      <c r="K130" t="n">
        <v>0</v>
      </c>
      <c r="L130" t="n">
        <v>0</v>
      </c>
      <c r="M130" t="n">
        <v>0</v>
      </c>
      <c r="N130" t="n">
        <v>0</v>
      </c>
      <c r="O130" t="n">
        <v>0</v>
      </c>
      <c r="P130" t="n">
        <v>0</v>
      </c>
      <c r="Q130" t="n">
        <v>0</v>
      </c>
      <c r="R130" s="2" t="inlineStr"/>
    </row>
    <row r="131" ht="15" customHeight="1">
      <c r="A131" t="inlineStr">
        <is>
          <t>A 18723-2021</t>
        </is>
      </c>
      <c r="B131" s="1" t="n">
        <v>44306</v>
      </c>
      <c r="C131" s="1" t="n">
        <v>45570</v>
      </c>
      <c r="D131" t="inlineStr">
        <is>
          <t>VÄSTMANLANDS LÄN</t>
        </is>
      </c>
      <c r="E131" t="inlineStr">
        <is>
          <t>SURAHAMMAR</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20478-2021</t>
        </is>
      </c>
      <c r="B132" s="1" t="n">
        <v>44315</v>
      </c>
      <c r="C132" s="1" t="n">
        <v>45570</v>
      </c>
      <c r="D132" t="inlineStr">
        <is>
          <t>VÄSTMANLANDS LÄN</t>
        </is>
      </c>
      <c r="E132" t="inlineStr">
        <is>
          <t>SURAHAMMAR</t>
        </is>
      </c>
      <c r="F132" t="inlineStr">
        <is>
          <t>Sveaskog</t>
        </is>
      </c>
      <c r="G132" t="n">
        <v>6.2</v>
      </c>
      <c r="H132" t="n">
        <v>0</v>
      </c>
      <c r="I132" t="n">
        <v>0</v>
      </c>
      <c r="J132" t="n">
        <v>0</v>
      </c>
      <c r="K132" t="n">
        <v>0</v>
      </c>
      <c r="L132" t="n">
        <v>0</v>
      </c>
      <c r="M132" t="n">
        <v>0</v>
      </c>
      <c r="N132" t="n">
        <v>0</v>
      </c>
      <c r="O132" t="n">
        <v>0</v>
      </c>
      <c r="P132" t="n">
        <v>0</v>
      </c>
      <c r="Q132" t="n">
        <v>0</v>
      </c>
      <c r="R132" s="2" t="inlineStr"/>
    </row>
    <row r="133" ht="15" customHeight="1">
      <c r="A133" t="inlineStr">
        <is>
          <t>A 21839-2021</t>
        </is>
      </c>
      <c r="B133" s="1" t="n">
        <v>44322</v>
      </c>
      <c r="C133" s="1" t="n">
        <v>45570</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24804-2021</t>
        </is>
      </c>
      <c r="B134" s="1" t="n">
        <v>44340</v>
      </c>
      <c r="C134" s="1" t="n">
        <v>45570</v>
      </c>
      <c r="D134" t="inlineStr">
        <is>
          <t>VÄSTMANLANDS LÄN</t>
        </is>
      </c>
      <c r="E134" t="inlineStr">
        <is>
          <t>SURAHAMMAR</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31468-2021</t>
        </is>
      </c>
      <c r="B135" s="1" t="n">
        <v>44369</v>
      </c>
      <c r="C135" s="1" t="n">
        <v>45570</v>
      </c>
      <c r="D135" t="inlineStr">
        <is>
          <t>VÄSTMANLANDS LÄN</t>
        </is>
      </c>
      <c r="E135" t="inlineStr">
        <is>
          <t>SURAHAMMAR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33998-2021</t>
        </is>
      </c>
      <c r="B136" s="1" t="n">
        <v>44378</v>
      </c>
      <c r="C136" s="1" t="n">
        <v>45570</v>
      </c>
      <c r="D136" t="inlineStr">
        <is>
          <t>VÄSTMANLANDS LÄN</t>
        </is>
      </c>
      <c r="E136" t="inlineStr">
        <is>
          <t>SURAHAMMAR</t>
        </is>
      </c>
      <c r="F136" t="inlineStr">
        <is>
          <t>Bergvik skog väst AB</t>
        </is>
      </c>
      <c r="G136" t="n">
        <v>3.2</v>
      </c>
      <c r="H136" t="n">
        <v>0</v>
      </c>
      <c r="I136" t="n">
        <v>0</v>
      </c>
      <c r="J136" t="n">
        <v>0</v>
      </c>
      <c r="K136" t="n">
        <v>0</v>
      </c>
      <c r="L136" t="n">
        <v>0</v>
      </c>
      <c r="M136" t="n">
        <v>0</v>
      </c>
      <c r="N136" t="n">
        <v>0</v>
      </c>
      <c r="O136" t="n">
        <v>0</v>
      </c>
      <c r="P136" t="n">
        <v>0</v>
      </c>
      <c r="Q136" t="n">
        <v>0</v>
      </c>
      <c r="R136" s="2" t="inlineStr"/>
    </row>
    <row r="137" ht="15" customHeight="1">
      <c r="A137" t="inlineStr">
        <is>
          <t>A 34001-2021</t>
        </is>
      </c>
      <c r="B137" s="1" t="n">
        <v>44378</v>
      </c>
      <c r="C137" s="1" t="n">
        <v>45570</v>
      </c>
      <c r="D137" t="inlineStr">
        <is>
          <t>VÄSTMANLANDS LÄN</t>
        </is>
      </c>
      <c r="E137" t="inlineStr">
        <is>
          <t>SURAHAMMAR</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45570</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37799-2021</t>
        </is>
      </c>
      <c r="B139" s="1" t="n">
        <v>44402</v>
      </c>
      <c r="C139" s="1" t="n">
        <v>45570</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38150-2021</t>
        </is>
      </c>
      <c r="B140" s="1" t="n">
        <v>44405</v>
      </c>
      <c r="C140" s="1" t="n">
        <v>45570</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38178-2021</t>
        </is>
      </c>
      <c r="B141" s="1" t="n">
        <v>44405</v>
      </c>
      <c r="C141" s="1" t="n">
        <v>45570</v>
      </c>
      <c r="D141" t="inlineStr">
        <is>
          <t>VÄSTMANLANDS LÄN</t>
        </is>
      </c>
      <c r="E141" t="inlineStr">
        <is>
          <t>SURAHAMMAR</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38149-2021</t>
        </is>
      </c>
      <c r="B142" s="1" t="n">
        <v>44405</v>
      </c>
      <c r="C142" s="1" t="n">
        <v>45570</v>
      </c>
      <c r="D142" t="inlineStr">
        <is>
          <t>VÄSTMANLANDS LÄN</t>
        </is>
      </c>
      <c r="E142" t="inlineStr">
        <is>
          <t>SURAHAMMAR</t>
        </is>
      </c>
      <c r="F142" t="inlineStr">
        <is>
          <t>Sveaskog</t>
        </is>
      </c>
      <c r="G142" t="n">
        <v>4.9</v>
      </c>
      <c r="H142" t="n">
        <v>0</v>
      </c>
      <c r="I142" t="n">
        <v>0</v>
      </c>
      <c r="J142" t="n">
        <v>0</v>
      </c>
      <c r="K142" t="n">
        <v>0</v>
      </c>
      <c r="L142" t="n">
        <v>0</v>
      </c>
      <c r="M142" t="n">
        <v>0</v>
      </c>
      <c r="N142" t="n">
        <v>0</v>
      </c>
      <c r="O142" t="n">
        <v>0</v>
      </c>
      <c r="P142" t="n">
        <v>0</v>
      </c>
      <c r="Q142" t="n">
        <v>0</v>
      </c>
      <c r="R142" s="2" t="inlineStr"/>
    </row>
    <row r="143" ht="15" customHeight="1">
      <c r="A143" t="inlineStr">
        <is>
          <t>A 38163-2021</t>
        </is>
      </c>
      <c r="B143" s="1" t="n">
        <v>44405</v>
      </c>
      <c r="C143" s="1" t="n">
        <v>45570</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38154-2021</t>
        </is>
      </c>
      <c r="B144" s="1" t="n">
        <v>44405</v>
      </c>
      <c r="C144" s="1" t="n">
        <v>45570</v>
      </c>
      <c r="D144" t="inlineStr">
        <is>
          <t>VÄSTMANLANDS LÄN</t>
        </is>
      </c>
      <c r="E144" t="inlineStr">
        <is>
          <t>SURAHAMMAR</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47852-2021</t>
        </is>
      </c>
      <c r="B145" s="1" t="n">
        <v>44448</v>
      </c>
      <c r="C145" s="1" t="n">
        <v>45570</v>
      </c>
      <c r="D145" t="inlineStr">
        <is>
          <t>VÄSTMANLANDS LÄN</t>
        </is>
      </c>
      <c r="E145" t="inlineStr">
        <is>
          <t>SURAHAMMAR</t>
        </is>
      </c>
      <c r="G145" t="n">
        <v>4.1</v>
      </c>
      <c r="H145" t="n">
        <v>0</v>
      </c>
      <c r="I145" t="n">
        <v>0</v>
      </c>
      <c r="J145" t="n">
        <v>0</v>
      </c>
      <c r="K145" t="n">
        <v>0</v>
      </c>
      <c r="L145" t="n">
        <v>0</v>
      </c>
      <c r="M145" t="n">
        <v>0</v>
      </c>
      <c r="N145" t="n">
        <v>0</v>
      </c>
      <c r="O145" t="n">
        <v>0</v>
      </c>
      <c r="P145" t="n">
        <v>0</v>
      </c>
      <c r="Q145" t="n">
        <v>0</v>
      </c>
      <c r="R145" s="2" t="inlineStr"/>
    </row>
    <row r="146" ht="15" customHeight="1">
      <c r="A146" t="inlineStr">
        <is>
          <t>A 47785-2021</t>
        </is>
      </c>
      <c r="B146" s="1" t="n">
        <v>44448</v>
      </c>
      <c r="C146" s="1" t="n">
        <v>45570</v>
      </c>
      <c r="D146" t="inlineStr">
        <is>
          <t>VÄSTMANLANDS LÄN</t>
        </is>
      </c>
      <c r="E146" t="inlineStr">
        <is>
          <t>SURAHAMMAR</t>
        </is>
      </c>
      <c r="F146" t="inlineStr">
        <is>
          <t>Kommuner</t>
        </is>
      </c>
      <c r="G146" t="n">
        <v>3.3</v>
      </c>
      <c r="H146" t="n">
        <v>0</v>
      </c>
      <c r="I146" t="n">
        <v>0</v>
      </c>
      <c r="J146" t="n">
        <v>0</v>
      </c>
      <c r="K146" t="n">
        <v>0</v>
      </c>
      <c r="L146" t="n">
        <v>0</v>
      </c>
      <c r="M146" t="n">
        <v>0</v>
      </c>
      <c r="N146" t="n">
        <v>0</v>
      </c>
      <c r="O146" t="n">
        <v>0</v>
      </c>
      <c r="P146" t="n">
        <v>0</v>
      </c>
      <c r="Q146" t="n">
        <v>0</v>
      </c>
      <c r="R146" s="2" t="inlineStr"/>
    </row>
    <row r="147" ht="15" customHeight="1">
      <c r="A147" t="inlineStr">
        <is>
          <t>A 64073-2021</t>
        </is>
      </c>
      <c r="B147" s="1" t="n">
        <v>44509</v>
      </c>
      <c r="C147" s="1" t="n">
        <v>45570</v>
      </c>
      <c r="D147" t="inlineStr">
        <is>
          <t>VÄSTMANLANDS LÄN</t>
        </is>
      </c>
      <c r="E147" t="inlineStr">
        <is>
          <t>SURAHAMMAR</t>
        </is>
      </c>
      <c r="G147" t="n">
        <v>0.4</v>
      </c>
      <c r="H147" t="n">
        <v>0</v>
      </c>
      <c r="I147" t="n">
        <v>0</v>
      </c>
      <c r="J147" t="n">
        <v>0</v>
      </c>
      <c r="K147" t="n">
        <v>0</v>
      </c>
      <c r="L147" t="n">
        <v>0</v>
      </c>
      <c r="M147" t="n">
        <v>0</v>
      </c>
      <c r="N147" t="n">
        <v>0</v>
      </c>
      <c r="O147" t="n">
        <v>0</v>
      </c>
      <c r="P147" t="n">
        <v>0</v>
      </c>
      <c r="Q147" t="n">
        <v>0</v>
      </c>
      <c r="R147" s="2" t="inlineStr"/>
    </row>
    <row r="148" ht="15" customHeight="1">
      <c r="A148" t="inlineStr">
        <is>
          <t>A 66342-2021</t>
        </is>
      </c>
      <c r="B148" s="1" t="n">
        <v>44518</v>
      </c>
      <c r="C148" s="1" t="n">
        <v>45570</v>
      </c>
      <c r="D148" t="inlineStr">
        <is>
          <t>VÄSTMANLANDS LÄN</t>
        </is>
      </c>
      <c r="E148" t="inlineStr">
        <is>
          <t>SURAHAMMAR</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66350-2021</t>
        </is>
      </c>
      <c r="B149" s="1" t="n">
        <v>44518</v>
      </c>
      <c r="C149" s="1" t="n">
        <v>45570</v>
      </c>
      <c r="D149" t="inlineStr">
        <is>
          <t>VÄSTMANLANDS LÄN</t>
        </is>
      </c>
      <c r="E149" t="inlineStr">
        <is>
          <t>SURAHAMMAR</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67611-2021</t>
        </is>
      </c>
      <c r="B150" s="1" t="n">
        <v>44524</v>
      </c>
      <c r="C150" s="1" t="n">
        <v>45570</v>
      </c>
      <c r="D150" t="inlineStr">
        <is>
          <t>VÄSTMANLANDS LÄN</t>
        </is>
      </c>
      <c r="E150" t="inlineStr">
        <is>
          <t>SURAHAMMAR</t>
        </is>
      </c>
      <c r="F150" t="inlineStr">
        <is>
          <t>Kommuner</t>
        </is>
      </c>
      <c r="G150" t="n">
        <v>3.8</v>
      </c>
      <c r="H150" t="n">
        <v>0</v>
      </c>
      <c r="I150" t="n">
        <v>0</v>
      </c>
      <c r="J150" t="n">
        <v>0</v>
      </c>
      <c r="K150" t="n">
        <v>0</v>
      </c>
      <c r="L150" t="n">
        <v>0</v>
      </c>
      <c r="M150" t="n">
        <v>0</v>
      </c>
      <c r="N150" t="n">
        <v>0</v>
      </c>
      <c r="O150" t="n">
        <v>0</v>
      </c>
      <c r="P150" t="n">
        <v>0</v>
      </c>
      <c r="Q150" t="n">
        <v>0</v>
      </c>
      <c r="R150" s="2" t="inlineStr"/>
    </row>
    <row r="151" ht="15" customHeight="1">
      <c r="A151" t="inlineStr">
        <is>
          <t>A 72367-2021</t>
        </is>
      </c>
      <c r="B151" s="1" t="n">
        <v>44545</v>
      </c>
      <c r="C151" s="1" t="n">
        <v>45570</v>
      </c>
      <c r="D151" t="inlineStr">
        <is>
          <t>VÄSTMANLANDS LÄN</t>
        </is>
      </c>
      <c r="E151" t="inlineStr">
        <is>
          <t>SURAHAMMAR</t>
        </is>
      </c>
      <c r="G151" t="n">
        <v>2.5</v>
      </c>
      <c r="H151" t="n">
        <v>0</v>
      </c>
      <c r="I151" t="n">
        <v>0</v>
      </c>
      <c r="J151" t="n">
        <v>0</v>
      </c>
      <c r="K151" t="n">
        <v>0</v>
      </c>
      <c r="L151" t="n">
        <v>0</v>
      </c>
      <c r="M151" t="n">
        <v>0</v>
      </c>
      <c r="N151" t="n">
        <v>0</v>
      </c>
      <c r="O151" t="n">
        <v>0</v>
      </c>
      <c r="P151" t="n">
        <v>0</v>
      </c>
      <c r="Q151" t="n">
        <v>0</v>
      </c>
      <c r="R151" s="2" t="inlineStr"/>
    </row>
    <row r="152" ht="15" customHeight="1">
      <c r="A152" t="inlineStr">
        <is>
          <t>A 73156-2021</t>
        </is>
      </c>
      <c r="B152" s="1" t="n">
        <v>44550</v>
      </c>
      <c r="C152" s="1" t="n">
        <v>45570</v>
      </c>
      <c r="D152" t="inlineStr">
        <is>
          <t>VÄSTMANLANDS LÄN</t>
        </is>
      </c>
      <c r="E152" t="inlineStr">
        <is>
          <t>SURAHAMMAR</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3155-2022</t>
        </is>
      </c>
      <c r="B153" s="1" t="n">
        <v>44582</v>
      </c>
      <c r="C153" s="1" t="n">
        <v>45570</v>
      </c>
      <c r="D153" t="inlineStr">
        <is>
          <t>VÄSTMANLANDS LÄN</t>
        </is>
      </c>
      <c r="E153" t="inlineStr">
        <is>
          <t>SURAHAMMAR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3595-2022</t>
        </is>
      </c>
      <c r="B154" s="1" t="n">
        <v>44586</v>
      </c>
      <c r="C154" s="1" t="n">
        <v>45570</v>
      </c>
      <c r="D154" t="inlineStr">
        <is>
          <t>VÄSTMANLANDS LÄN</t>
        </is>
      </c>
      <c r="E154" t="inlineStr">
        <is>
          <t>SURAHAMMAR</t>
        </is>
      </c>
      <c r="F154" t="inlineStr">
        <is>
          <t>Sveaskog</t>
        </is>
      </c>
      <c r="G154" t="n">
        <v>0.8</v>
      </c>
      <c r="H154" t="n">
        <v>0</v>
      </c>
      <c r="I154" t="n">
        <v>0</v>
      </c>
      <c r="J154" t="n">
        <v>0</v>
      </c>
      <c r="K154" t="n">
        <v>0</v>
      </c>
      <c r="L154" t="n">
        <v>0</v>
      </c>
      <c r="M154" t="n">
        <v>0</v>
      </c>
      <c r="N154" t="n">
        <v>0</v>
      </c>
      <c r="O154" t="n">
        <v>0</v>
      </c>
      <c r="P154" t="n">
        <v>0</v>
      </c>
      <c r="Q154" t="n">
        <v>0</v>
      </c>
      <c r="R154" s="2" t="inlineStr"/>
    </row>
    <row r="155" ht="15" customHeight="1">
      <c r="A155" t="inlineStr">
        <is>
          <t>A 3818-2022</t>
        </is>
      </c>
      <c r="B155" s="1" t="n">
        <v>44587</v>
      </c>
      <c r="C155" s="1" t="n">
        <v>45570</v>
      </c>
      <c r="D155" t="inlineStr">
        <is>
          <t>VÄSTMANLANDS LÄN</t>
        </is>
      </c>
      <c r="E155" t="inlineStr">
        <is>
          <t>SURAHAMMAR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5567-2022</t>
        </is>
      </c>
      <c r="B156" s="1" t="n">
        <v>44595</v>
      </c>
      <c r="C156" s="1" t="n">
        <v>45570</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ht="15" customHeight="1">
      <c r="A157" t="inlineStr">
        <is>
          <t>A 7848-2022</t>
        </is>
      </c>
      <c r="B157" s="1" t="n">
        <v>44608</v>
      </c>
      <c r="C157" s="1" t="n">
        <v>45570</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13119-2022</t>
        </is>
      </c>
      <c r="B158" s="1" t="n">
        <v>44643</v>
      </c>
      <c r="C158" s="1" t="n">
        <v>45570</v>
      </c>
      <c r="D158" t="inlineStr">
        <is>
          <t>VÄSTMANLANDS LÄN</t>
        </is>
      </c>
      <c r="E158" t="inlineStr">
        <is>
          <t>SURAHAMMAR</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13070-2022</t>
        </is>
      </c>
      <c r="B159" s="1" t="n">
        <v>44643</v>
      </c>
      <c r="C159" s="1" t="n">
        <v>45570</v>
      </c>
      <c r="D159" t="inlineStr">
        <is>
          <t>VÄSTMANLANDS LÄN</t>
        </is>
      </c>
      <c r="E159" t="inlineStr">
        <is>
          <t>SURAHAMMAR</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15637-2022</t>
        </is>
      </c>
      <c r="B160" s="1" t="n">
        <v>44662</v>
      </c>
      <c r="C160" s="1" t="n">
        <v>45570</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16608-2022</t>
        </is>
      </c>
      <c r="B161" s="1" t="n">
        <v>44672</v>
      </c>
      <c r="C161" s="1" t="n">
        <v>45570</v>
      </c>
      <c r="D161" t="inlineStr">
        <is>
          <t>VÄSTMANLANDS LÄN</t>
        </is>
      </c>
      <c r="E161" t="inlineStr">
        <is>
          <t>SURAHAMMAR</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19099-2022</t>
        </is>
      </c>
      <c r="B162" s="1" t="n">
        <v>44691</v>
      </c>
      <c r="C162" s="1" t="n">
        <v>45570</v>
      </c>
      <c r="D162" t="inlineStr">
        <is>
          <t>VÄSTMANLANDS LÄN</t>
        </is>
      </c>
      <c r="E162" t="inlineStr">
        <is>
          <t>SURAHAMMAR</t>
        </is>
      </c>
      <c r="F162" t="inlineStr">
        <is>
          <t>Övriga Aktiebolag</t>
        </is>
      </c>
      <c r="G162" t="n">
        <v>3.4</v>
      </c>
      <c r="H162" t="n">
        <v>0</v>
      </c>
      <c r="I162" t="n">
        <v>0</v>
      </c>
      <c r="J162" t="n">
        <v>0</v>
      </c>
      <c r="K162" t="n">
        <v>0</v>
      </c>
      <c r="L162" t="n">
        <v>0</v>
      </c>
      <c r="M162" t="n">
        <v>0</v>
      </c>
      <c r="N162" t="n">
        <v>0</v>
      </c>
      <c r="O162" t="n">
        <v>0</v>
      </c>
      <c r="P162" t="n">
        <v>0</v>
      </c>
      <c r="Q162" t="n">
        <v>0</v>
      </c>
      <c r="R162" s="2" t="inlineStr"/>
    </row>
    <row r="163" ht="15" customHeight="1">
      <c r="A163" t="inlineStr">
        <is>
          <t>A 19637-2022</t>
        </is>
      </c>
      <c r="B163" s="1" t="n">
        <v>44694</v>
      </c>
      <c r="C163" s="1" t="n">
        <v>45570</v>
      </c>
      <c r="D163" t="inlineStr">
        <is>
          <t>VÄSTMANLANDS LÄN</t>
        </is>
      </c>
      <c r="E163" t="inlineStr">
        <is>
          <t>SURAHAMMAR</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19844-2022</t>
        </is>
      </c>
      <c r="B164" s="1" t="n">
        <v>44696</v>
      </c>
      <c r="C164" s="1" t="n">
        <v>45570</v>
      </c>
      <c r="D164" t="inlineStr">
        <is>
          <t>VÄSTMANLANDS LÄN</t>
        </is>
      </c>
      <c r="E164" t="inlineStr">
        <is>
          <t>SURAHAMMAR</t>
        </is>
      </c>
      <c r="F164" t="inlineStr">
        <is>
          <t>Kommuner</t>
        </is>
      </c>
      <c r="G164" t="n">
        <v>2.1</v>
      </c>
      <c r="H164" t="n">
        <v>0</v>
      </c>
      <c r="I164" t="n">
        <v>0</v>
      </c>
      <c r="J164" t="n">
        <v>0</v>
      </c>
      <c r="K164" t="n">
        <v>0</v>
      </c>
      <c r="L164" t="n">
        <v>0</v>
      </c>
      <c r="M164" t="n">
        <v>0</v>
      </c>
      <c r="N164" t="n">
        <v>0</v>
      </c>
      <c r="O164" t="n">
        <v>0</v>
      </c>
      <c r="P164" t="n">
        <v>0</v>
      </c>
      <c r="Q164" t="n">
        <v>0</v>
      </c>
      <c r="R164" s="2" t="inlineStr"/>
    </row>
    <row r="165" ht="15" customHeight="1">
      <c r="A165" t="inlineStr">
        <is>
          <t>A 19845-2022</t>
        </is>
      </c>
      <c r="B165" s="1" t="n">
        <v>44696</v>
      </c>
      <c r="C165" s="1" t="n">
        <v>45570</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19846-2022</t>
        </is>
      </c>
      <c r="B166" s="1" t="n">
        <v>44696</v>
      </c>
      <c r="C166" s="1" t="n">
        <v>45570</v>
      </c>
      <c r="D166" t="inlineStr">
        <is>
          <t>VÄSTMANLANDS LÄN</t>
        </is>
      </c>
      <c r="E166" t="inlineStr">
        <is>
          <t>SURAHAMMAR</t>
        </is>
      </c>
      <c r="F166" t="inlineStr">
        <is>
          <t>Kommuner</t>
        </is>
      </c>
      <c r="G166" t="n">
        <v>3.4</v>
      </c>
      <c r="H166" t="n">
        <v>0</v>
      </c>
      <c r="I166" t="n">
        <v>0</v>
      </c>
      <c r="J166" t="n">
        <v>0</v>
      </c>
      <c r="K166" t="n">
        <v>0</v>
      </c>
      <c r="L166" t="n">
        <v>0</v>
      </c>
      <c r="M166" t="n">
        <v>0</v>
      </c>
      <c r="N166" t="n">
        <v>0</v>
      </c>
      <c r="O166" t="n">
        <v>0</v>
      </c>
      <c r="P166" t="n">
        <v>0</v>
      </c>
      <c r="Q166" t="n">
        <v>0</v>
      </c>
      <c r="R166" s="2" t="inlineStr"/>
    </row>
    <row r="167" ht="15" customHeight="1">
      <c r="A167" t="inlineStr">
        <is>
          <t>A 26700-2022</t>
        </is>
      </c>
      <c r="B167" s="1" t="n">
        <v>44739</v>
      </c>
      <c r="C167" s="1" t="n">
        <v>45570</v>
      </c>
      <c r="D167" t="inlineStr">
        <is>
          <t>VÄSTMANLANDS LÄN</t>
        </is>
      </c>
      <c r="E167" t="inlineStr">
        <is>
          <t>SURAHAMMAR</t>
        </is>
      </c>
      <c r="F167" t="inlineStr">
        <is>
          <t>Kommuner</t>
        </is>
      </c>
      <c r="G167" t="n">
        <v>3.1</v>
      </c>
      <c r="H167" t="n">
        <v>0</v>
      </c>
      <c r="I167" t="n">
        <v>0</v>
      </c>
      <c r="J167" t="n">
        <v>0</v>
      </c>
      <c r="K167" t="n">
        <v>0</v>
      </c>
      <c r="L167" t="n">
        <v>0</v>
      </c>
      <c r="M167" t="n">
        <v>0</v>
      </c>
      <c r="N167" t="n">
        <v>0</v>
      </c>
      <c r="O167" t="n">
        <v>0</v>
      </c>
      <c r="P167" t="n">
        <v>0</v>
      </c>
      <c r="Q167" t="n">
        <v>0</v>
      </c>
      <c r="R167" s="2" t="inlineStr"/>
    </row>
    <row r="168" ht="15" customHeight="1">
      <c r="A168" t="inlineStr">
        <is>
          <t>A 32475-2022</t>
        </is>
      </c>
      <c r="B168" s="1" t="n">
        <v>44782</v>
      </c>
      <c r="C168" s="1" t="n">
        <v>45570</v>
      </c>
      <c r="D168" t="inlineStr">
        <is>
          <t>VÄSTMANLANDS LÄN</t>
        </is>
      </c>
      <c r="E168" t="inlineStr">
        <is>
          <t>SURAHAMMAR</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32491-2022</t>
        </is>
      </c>
      <c r="B169" s="1" t="n">
        <v>44782</v>
      </c>
      <c r="C169" s="1" t="n">
        <v>45570</v>
      </c>
      <c r="D169" t="inlineStr">
        <is>
          <t>VÄSTMANLANDS LÄN</t>
        </is>
      </c>
      <c r="E169" t="inlineStr">
        <is>
          <t>SURAHAMMAR</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32492-2022</t>
        </is>
      </c>
      <c r="B170" s="1" t="n">
        <v>44782</v>
      </c>
      <c r="C170" s="1" t="n">
        <v>45570</v>
      </c>
      <c r="D170" t="inlineStr">
        <is>
          <t>VÄSTMANLANDS LÄN</t>
        </is>
      </c>
      <c r="E170" t="inlineStr">
        <is>
          <t>SURAHAMMAR</t>
        </is>
      </c>
      <c r="F170" t="inlineStr">
        <is>
          <t>Bergvik skog väst AB</t>
        </is>
      </c>
      <c r="G170" t="n">
        <v>5.3</v>
      </c>
      <c r="H170" t="n">
        <v>0</v>
      </c>
      <c r="I170" t="n">
        <v>0</v>
      </c>
      <c r="J170" t="n">
        <v>0</v>
      </c>
      <c r="K170" t="n">
        <v>0</v>
      </c>
      <c r="L170" t="n">
        <v>0</v>
      </c>
      <c r="M170" t="n">
        <v>0</v>
      </c>
      <c r="N170" t="n">
        <v>0</v>
      </c>
      <c r="O170" t="n">
        <v>0</v>
      </c>
      <c r="P170" t="n">
        <v>0</v>
      </c>
      <c r="Q170" t="n">
        <v>0</v>
      </c>
      <c r="R170" s="2" t="inlineStr"/>
    </row>
    <row r="171" ht="15" customHeight="1">
      <c r="A171" t="inlineStr">
        <is>
          <t>A 33931-2022</t>
        </is>
      </c>
      <c r="B171" s="1" t="n">
        <v>44790</v>
      </c>
      <c r="C171" s="1" t="n">
        <v>45570</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33946-2022</t>
        </is>
      </c>
      <c r="B172" s="1" t="n">
        <v>44790</v>
      </c>
      <c r="C172" s="1" t="n">
        <v>45570</v>
      </c>
      <c r="D172" t="inlineStr">
        <is>
          <t>VÄSTMANLANDS LÄN</t>
        </is>
      </c>
      <c r="E172" t="inlineStr">
        <is>
          <t>SURAHAMMAR</t>
        </is>
      </c>
      <c r="G172" t="n">
        <v>2.3</v>
      </c>
      <c r="H172" t="n">
        <v>0</v>
      </c>
      <c r="I172" t="n">
        <v>0</v>
      </c>
      <c r="J172" t="n">
        <v>0</v>
      </c>
      <c r="K172" t="n">
        <v>0</v>
      </c>
      <c r="L172" t="n">
        <v>0</v>
      </c>
      <c r="M172" t="n">
        <v>0</v>
      </c>
      <c r="N172" t="n">
        <v>0</v>
      </c>
      <c r="O172" t="n">
        <v>0</v>
      </c>
      <c r="P172" t="n">
        <v>0</v>
      </c>
      <c r="Q172" t="n">
        <v>0</v>
      </c>
      <c r="R172" s="2" t="inlineStr"/>
    </row>
    <row r="173" ht="15" customHeight="1">
      <c r="A173" t="inlineStr">
        <is>
          <t>A 33953-2022</t>
        </is>
      </c>
      <c r="B173" s="1" t="n">
        <v>44790</v>
      </c>
      <c r="C173" s="1" t="n">
        <v>45570</v>
      </c>
      <c r="D173" t="inlineStr">
        <is>
          <t>VÄSTMANLANDS LÄN</t>
        </is>
      </c>
      <c r="E173" t="inlineStr">
        <is>
          <t>SURAHAMMAR</t>
        </is>
      </c>
      <c r="G173" t="n">
        <v>3</v>
      </c>
      <c r="H173" t="n">
        <v>0</v>
      </c>
      <c r="I173" t="n">
        <v>0</v>
      </c>
      <c r="J173" t="n">
        <v>0</v>
      </c>
      <c r="K173" t="n">
        <v>0</v>
      </c>
      <c r="L173" t="n">
        <v>0</v>
      </c>
      <c r="M173" t="n">
        <v>0</v>
      </c>
      <c r="N173" t="n">
        <v>0</v>
      </c>
      <c r="O173" t="n">
        <v>0</v>
      </c>
      <c r="P173" t="n">
        <v>0</v>
      </c>
      <c r="Q173" t="n">
        <v>0</v>
      </c>
      <c r="R173" s="2" t="inlineStr"/>
    </row>
    <row r="174" ht="15" customHeight="1">
      <c r="A174" t="inlineStr">
        <is>
          <t>A 34957-2022</t>
        </is>
      </c>
      <c r="B174" s="1" t="n">
        <v>44796</v>
      </c>
      <c r="C174" s="1" t="n">
        <v>45570</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34955-2022</t>
        </is>
      </c>
      <c r="B175" s="1" t="n">
        <v>44796</v>
      </c>
      <c r="C175" s="1" t="n">
        <v>45570</v>
      </c>
      <c r="D175" t="inlineStr">
        <is>
          <t>VÄSTMANLANDS LÄN</t>
        </is>
      </c>
      <c r="E175" t="inlineStr">
        <is>
          <t>SURAHAMMAR</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34956-2022</t>
        </is>
      </c>
      <c r="B176" s="1" t="n">
        <v>44796</v>
      </c>
      <c r="C176" s="1" t="n">
        <v>45570</v>
      </c>
      <c r="D176" t="inlineStr">
        <is>
          <t>VÄSTMANLANDS LÄN</t>
        </is>
      </c>
      <c r="E176" t="inlineStr">
        <is>
          <t>SURAHAMMAR</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35677-2022</t>
        </is>
      </c>
      <c r="B177" s="1" t="n">
        <v>44799</v>
      </c>
      <c r="C177" s="1" t="n">
        <v>45570</v>
      </c>
      <c r="D177" t="inlineStr">
        <is>
          <t>VÄSTMANLANDS LÄN</t>
        </is>
      </c>
      <c r="E177" t="inlineStr">
        <is>
          <t>SURAHAMMAR</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35682-2022</t>
        </is>
      </c>
      <c r="B178" s="1" t="n">
        <v>44799</v>
      </c>
      <c r="C178" s="1" t="n">
        <v>45570</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35679-2022</t>
        </is>
      </c>
      <c r="B179" s="1" t="n">
        <v>44799</v>
      </c>
      <c r="C179" s="1" t="n">
        <v>45570</v>
      </c>
      <c r="D179" t="inlineStr">
        <is>
          <t>VÄSTMANLANDS LÄN</t>
        </is>
      </c>
      <c r="E179" t="inlineStr">
        <is>
          <t>SURAHAMMAR</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41576-2022</t>
        </is>
      </c>
      <c r="B180" s="1" t="n">
        <v>44826</v>
      </c>
      <c r="C180" s="1" t="n">
        <v>45570</v>
      </c>
      <c r="D180" t="inlineStr">
        <is>
          <t>VÄSTMANLANDS LÄN</t>
        </is>
      </c>
      <c r="E180" t="inlineStr">
        <is>
          <t>SURAHAMMAR</t>
        </is>
      </c>
      <c r="F180" t="inlineStr">
        <is>
          <t>Bergvik skog väst AB</t>
        </is>
      </c>
      <c r="G180" t="n">
        <v>6.4</v>
      </c>
      <c r="H180" t="n">
        <v>0</v>
      </c>
      <c r="I180" t="n">
        <v>0</v>
      </c>
      <c r="J180" t="n">
        <v>0</v>
      </c>
      <c r="K180" t="n">
        <v>0</v>
      </c>
      <c r="L180" t="n">
        <v>0</v>
      </c>
      <c r="M180" t="n">
        <v>0</v>
      </c>
      <c r="N180" t="n">
        <v>0</v>
      </c>
      <c r="O180" t="n">
        <v>0</v>
      </c>
      <c r="P180" t="n">
        <v>0</v>
      </c>
      <c r="Q180" t="n">
        <v>0</v>
      </c>
      <c r="R180" s="2" t="inlineStr"/>
    </row>
    <row r="181" ht="15" customHeight="1">
      <c r="A181" t="inlineStr">
        <is>
          <t>A 41555-2022</t>
        </is>
      </c>
      <c r="B181" s="1" t="n">
        <v>44826</v>
      </c>
      <c r="C181" s="1" t="n">
        <v>45570</v>
      </c>
      <c r="D181" t="inlineStr">
        <is>
          <t>VÄSTMANLANDS LÄN</t>
        </is>
      </c>
      <c r="E181" t="inlineStr">
        <is>
          <t>SURAHAMMAR</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42714-2022</t>
        </is>
      </c>
      <c r="B182" s="1" t="n">
        <v>44832</v>
      </c>
      <c r="C182" s="1" t="n">
        <v>45570</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42832-2022</t>
        </is>
      </c>
      <c r="B183" s="1" t="n">
        <v>44832</v>
      </c>
      <c r="C183" s="1" t="n">
        <v>45570</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42841-2022</t>
        </is>
      </c>
      <c r="B184" s="1" t="n">
        <v>44832</v>
      </c>
      <c r="C184" s="1" t="n">
        <v>45570</v>
      </c>
      <c r="D184" t="inlineStr">
        <is>
          <t>VÄSTMANLANDS LÄN</t>
        </is>
      </c>
      <c r="E184" t="inlineStr">
        <is>
          <t>SURAHAMMAR</t>
        </is>
      </c>
      <c r="G184" t="n">
        <v>1.8</v>
      </c>
      <c r="H184" t="n">
        <v>0</v>
      </c>
      <c r="I184" t="n">
        <v>0</v>
      </c>
      <c r="J184" t="n">
        <v>0</v>
      </c>
      <c r="K184" t="n">
        <v>0</v>
      </c>
      <c r="L184" t="n">
        <v>0</v>
      </c>
      <c r="M184" t="n">
        <v>0</v>
      </c>
      <c r="N184" t="n">
        <v>0</v>
      </c>
      <c r="O184" t="n">
        <v>0</v>
      </c>
      <c r="P184" t="n">
        <v>0</v>
      </c>
      <c r="Q184" t="n">
        <v>0</v>
      </c>
      <c r="R184" s="2" t="inlineStr"/>
    </row>
    <row r="185" ht="15" customHeight="1">
      <c r="A185" t="inlineStr">
        <is>
          <t>A 42829-2022</t>
        </is>
      </c>
      <c r="B185" s="1" t="n">
        <v>44832</v>
      </c>
      <c r="C185" s="1" t="n">
        <v>45570</v>
      </c>
      <c r="D185" t="inlineStr">
        <is>
          <t>VÄSTMANLANDS LÄN</t>
        </is>
      </c>
      <c r="E185" t="inlineStr">
        <is>
          <t>SURAHAMMAR</t>
        </is>
      </c>
      <c r="G185" t="n">
        <v>1.6</v>
      </c>
      <c r="H185" t="n">
        <v>0</v>
      </c>
      <c r="I185" t="n">
        <v>0</v>
      </c>
      <c r="J185" t="n">
        <v>0</v>
      </c>
      <c r="K185" t="n">
        <v>0</v>
      </c>
      <c r="L185" t="n">
        <v>0</v>
      </c>
      <c r="M185" t="n">
        <v>0</v>
      </c>
      <c r="N185" t="n">
        <v>0</v>
      </c>
      <c r="O185" t="n">
        <v>0</v>
      </c>
      <c r="P185" t="n">
        <v>0</v>
      </c>
      <c r="Q185" t="n">
        <v>0</v>
      </c>
      <c r="R185" s="2" t="inlineStr"/>
    </row>
    <row r="186" ht="15" customHeight="1">
      <c r="A186" t="inlineStr">
        <is>
          <t>A 48581-2022</t>
        </is>
      </c>
      <c r="B186" s="1" t="n">
        <v>44859</v>
      </c>
      <c r="C186" s="1" t="n">
        <v>45570</v>
      </c>
      <c r="D186" t="inlineStr">
        <is>
          <t>VÄSTMANLANDS LÄN</t>
        </is>
      </c>
      <c r="E186" t="inlineStr">
        <is>
          <t>SURAHAMMAR</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49686-2022</t>
        </is>
      </c>
      <c r="B187" s="1" t="n">
        <v>44862</v>
      </c>
      <c r="C187" s="1" t="n">
        <v>45570</v>
      </c>
      <c r="D187" t="inlineStr">
        <is>
          <t>VÄSTMANLANDS LÄN</t>
        </is>
      </c>
      <c r="E187" t="inlineStr">
        <is>
          <t>SURAHAMMAR</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3085-2023</t>
        </is>
      </c>
      <c r="B188" s="1" t="n">
        <v>44946</v>
      </c>
      <c r="C188" s="1" t="n">
        <v>45570</v>
      </c>
      <c r="D188" t="inlineStr">
        <is>
          <t>VÄSTMANLANDS LÄN</t>
        </is>
      </c>
      <c r="E188" t="inlineStr">
        <is>
          <t>SURAHAMMAR</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8553-2023</t>
        </is>
      </c>
      <c r="B189" s="1" t="n">
        <v>44977</v>
      </c>
      <c r="C189" s="1" t="n">
        <v>45570</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10877-2023</t>
        </is>
      </c>
      <c r="B190" s="1" t="n">
        <v>44991</v>
      </c>
      <c r="C190" s="1" t="n">
        <v>45570</v>
      </c>
      <c r="D190" t="inlineStr">
        <is>
          <t>VÄSTMANLANDS LÄN</t>
        </is>
      </c>
      <c r="E190" t="inlineStr">
        <is>
          <t>SURAHAMMAR</t>
        </is>
      </c>
      <c r="F190" t="inlineStr">
        <is>
          <t>Övriga Aktiebolag</t>
        </is>
      </c>
      <c r="G190" t="n">
        <v>1.4</v>
      </c>
      <c r="H190" t="n">
        <v>0</v>
      </c>
      <c r="I190" t="n">
        <v>0</v>
      </c>
      <c r="J190" t="n">
        <v>0</v>
      </c>
      <c r="K190" t="n">
        <v>0</v>
      </c>
      <c r="L190" t="n">
        <v>0</v>
      </c>
      <c r="M190" t="n">
        <v>0</v>
      </c>
      <c r="N190" t="n">
        <v>0</v>
      </c>
      <c r="O190" t="n">
        <v>0</v>
      </c>
      <c r="P190" t="n">
        <v>0</v>
      </c>
      <c r="Q190" t="n">
        <v>0</v>
      </c>
      <c r="R190" s="2" t="inlineStr"/>
    </row>
    <row r="191" ht="15" customHeight="1">
      <c r="A191" t="inlineStr">
        <is>
          <t>A 10883-2023</t>
        </is>
      </c>
      <c r="B191" s="1" t="n">
        <v>44991</v>
      </c>
      <c r="C191" s="1" t="n">
        <v>45570</v>
      </c>
      <c r="D191" t="inlineStr">
        <is>
          <t>VÄSTMANLANDS LÄN</t>
        </is>
      </c>
      <c r="E191" t="inlineStr">
        <is>
          <t>SURAHAMMAR</t>
        </is>
      </c>
      <c r="F191" t="inlineStr">
        <is>
          <t>Övriga Aktiebolag</t>
        </is>
      </c>
      <c r="G191" t="n">
        <v>12.5</v>
      </c>
      <c r="H191" t="n">
        <v>0</v>
      </c>
      <c r="I191" t="n">
        <v>0</v>
      </c>
      <c r="J191" t="n">
        <v>0</v>
      </c>
      <c r="K191" t="n">
        <v>0</v>
      </c>
      <c r="L191" t="n">
        <v>0</v>
      </c>
      <c r="M191" t="n">
        <v>0</v>
      </c>
      <c r="N191" t="n">
        <v>0</v>
      </c>
      <c r="O191" t="n">
        <v>0</v>
      </c>
      <c r="P191" t="n">
        <v>0</v>
      </c>
      <c r="Q191" t="n">
        <v>0</v>
      </c>
      <c r="R191" s="2" t="inlineStr"/>
    </row>
    <row r="192" ht="15" customHeight="1">
      <c r="A192" t="inlineStr">
        <is>
          <t>A 11501-2023</t>
        </is>
      </c>
      <c r="B192" s="1" t="n">
        <v>44991</v>
      </c>
      <c r="C192" s="1" t="n">
        <v>45570</v>
      </c>
      <c r="D192" t="inlineStr">
        <is>
          <t>VÄSTMANLANDS LÄN</t>
        </is>
      </c>
      <c r="E192" t="inlineStr">
        <is>
          <t>SURAHAMMAR</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11728-2023</t>
        </is>
      </c>
      <c r="B193" s="1" t="n">
        <v>44993</v>
      </c>
      <c r="C193" s="1" t="n">
        <v>45570</v>
      </c>
      <c r="D193" t="inlineStr">
        <is>
          <t>VÄSTMANLANDS LÄN</t>
        </is>
      </c>
      <c r="E193" t="inlineStr">
        <is>
          <t>SURAHAMMAR</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13479-2023</t>
        </is>
      </c>
      <c r="B194" s="1" t="n">
        <v>45005</v>
      </c>
      <c r="C194" s="1" t="n">
        <v>45570</v>
      </c>
      <c r="D194" t="inlineStr">
        <is>
          <t>VÄSTMANLANDS LÄN</t>
        </is>
      </c>
      <c r="E194" t="inlineStr">
        <is>
          <t>SURAHAMMAR</t>
        </is>
      </c>
      <c r="F194" t="inlineStr">
        <is>
          <t>Bergvik skog väst AB</t>
        </is>
      </c>
      <c r="G194" t="n">
        <v>2.8</v>
      </c>
      <c r="H194" t="n">
        <v>0</v>
      </c>
      <c r="I194" t="n">
        <v>0</v>
      </c>
      <c r="J194" t="n">
        <v>0</v>
      </c>
      <c r="K194" t="n">
        <v>0</v>
      </c>
      <c r="L194" t="n">
        <v>0</v>
      </c>
      <c r="M194" t="n">
        <v>0</v>
      </c>
      <c r="N194" t="n">
        <v>0</v>
      </c>
      <c r="O194" t="n">
        <v>0</v>
      </c>
      <c r="P194" t="n">
        <v>0</v>
      </c>
      <c r="Q194" t="n">
        <v>0</v>
      </c>
      <c r="R194" s="2" t="inlineStr"/>
    </row>
    <row r="195" ht="15" customHeight="1">
      <c r="A195" t="inlineStr">
        <is>
          <t>A 14626-2023</t>
        </is>
      </c>
      <c r="B195" s="1" t="n">
        <v>45012</v>
      </c>
      <c r="C195" s="1" t="n">
        <v>45570</v>
      </c>
      <c r="D195" t="inlineStr">
        <is>
          <t>VÄSTMANLANDS LÄN</t>
        </is>
      </c>
      <c r="E195" t="inlineStr">
        <is>
          <t>SURAHAMMAR</t>
        </is>
      </c>
      <c r="F195" t="inlineStr">
        <is>
          <t>Bergvik skog väst AB</t>
        </is>
      </c>
      <c r="G195" t="n">
        <v>5</v>
      </c>
      <c r="H195" t="n">
        <v>0</v>
      </c>
      <c r="I195" t="n">
        <v>0</v>
      </c>
      <c r="J195" t="n">
        <v>0</v>
      </c>
      <c r="K195" t="n">
        <v>0</v>
      </c>
      <c r="L195" t="n">
        <v>0</v>
      </c>
      <c r="M195" t="n">
        <v>0</v>
      </c>
      <c r="N195" t="n">
        <v>0</v>
      </c>
      <c r="O195" t="n">
        <v>0</v>
      </c>
      <c r="P195" t="n">
        <v>0</v>
      </c>
      <c r="Q195" t="n">
        <v>0</v>
      </c>
      <c r="R195" s="2" t="inlineStr"/>
    </row>
    <row r="196" ht="15" customHeight="1">
      <c r="A196" t="inlineStr">
        <is>
          <t>A 14583-2023</t>
        </is>
      </c>
      <c r="B196" s="1" t="n">
        <v>45013</v>
      </c>
      <c r="C196" s="1" t="n">
        <v>45570</v>
      </c>
      <c r="D196" t="inlineStr">
        <is>
          <t>VÄSTMANLANDS LÄN</t>
        </is>
      </c>
      <c r="E196" t="inlineStr">
        <is>
          <t>SURAHAMMAR</t>
        </is>
      </c>
      <c r="G196" t="n">
        <v>0.9</v>
      </c>
      <c r="H196" t="n">
        <v>0</v>
      </c>
      <c r="I196" t="n">
        <v>0</v>
      </c>
      <c r="J196" t="n">
        <v>0</v>
      </c>
      <c r="K196" t="n">
        <v>0</v>
      </c>
      <c r="L196" t="n">
        <v>0</v>
      </c>
      <c r="M196" t="n">
        <v>0</v>
      </c>
      <c r="N196" t="n">
        <v>0</v>
      </c>
      <c r="O196" t="n">
        <v>0</v>
      </c>
      <c r="P196" t="n">
        <v>0</v>
      </c>
      <c r="Q196" t="n">
        <v>0</v>
      </c>
      <c r="R196" s="2" t="inlineStr"/>
    </row>
    <row r="197" ht="15" customHeight="1">
      <c r="A197" t="inlineStr">
        <is>
          <t>A 15743-2023</t>
        </is>
      </c>
      <c r="B197" s="1" t="n">
        <v>45021</v>
      </c>
      <c r="C197" s="1" t="n">
        <v>45570</v>
      </c>
      <c r="D197" t="inlineStr">
        <is>
          <t>VÄSTMANLANDS LÄN</t>
        </is>
      </c>
      <c r="E197" t="inlineStr">
        <is>
          <t>SURAHAMMAR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15739-2023</t>
        </is>
      </c>
      <c r="B198" s="1" t="n">
        <v>45021</v>
      </c>
      <c r="C198" s="1" t="n">
        <v>45570</v>
      </c>
      <c r="D198" t="inlineStr">
        <is>
          <t>VÄSTMANLANDS LÄN</t>
        </is>
      </c>
      <c r="E198" t="inlineStr">
        <is>
          <t>SURAHAMMAR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16013-2023</t>
        </is>
      </c>
      <c r="B199" s="1" t="n">
        <v>45026</v>
      </c>
      <c r="C199" s="1" t="n">
        <v>45570</v>
      </c>
      <c r="D199" t="inlineStr">
        <is>
          <t>VÄSTMANLANDS LÄN</t>
        </is>
      </c>
      <c r="E199" t="inlineStr">
        <is>
          <t>SURAHAMMAR</t>
        </is>
      </c>
      <c r="G199" t="n">
        <v>3.9</v>
      </c>
      <c r="H199" t="n">
        <v>0</v>
      </c>
      <c r="I199" t="n">
        <v>0</v>
      </c>
      <c r="J199" t="n">
        <v>0</v>
      </c>
      <c r="K199" t="n">
        <v>0</v>
      </c>
      <c r="L199" t="n">
        <v>0</v>
      </c>
      <c r="M199" t="n">
        <v>0</v>
      </c>
      <c r="N199" t="n">
        <v>0</v>
      </c>
      <c r="O199" t="n">
        <v>0</v>
      </c>
      <c r="P199" t="n">
        <v>0</v>
      </c>
      <c r="Q199" t="n">
        <v>0</v>
      </c>
      <c r="R199" s="2" t="inlineStr"/>
    </row>
    <row r="200" ht="15" customHeight="1">
      <c r="A200" t="inlineStr">
        <is>
          <t>A 18223-2023</t>
        </is>
      </c>
      <c r="B200" s="1" t="n">
        <v>45041</v>
      </c>
      <c r="C200" s="1" t="n">
        <v>45570</v>
      </c>
      <c r="D200" t="inlineStr">
        <is>
          <t>VÄSTMANLANDS LÄN</t>
        </is>
      </c>
      <c r="E200" t="inlineStr">
        <is>
          <t>SURAHAMMAR</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19778-2023</t>
        </is>
      </c>
      <c r="B201" s="1" t="n">
        <v>45050</v>
      </c>
      <c r="C201" s="1" t="n">
        <v>45570</v>
      </c>
      <c r="D201" t="inlineStr">
        <is>
          <t>VÄSTMANLANDS LÄN</t>
        </is>
      </c>
      <c r="E201" t="inlineStr">
        <is>
          <t>SURAHAMMAR</t>
        </is>
      </c>
      <c r="F201" t="inlineStr">
        <is>
          <t>Bergvik skog väst AB</t>
        </is>
      </c>
      <c r="G201" t="n">
        <v>6</v>
      </c>
      <c r="H201" t="n">
        <v>0</v>
      </c>
      <c r="I201" t="n">
        <v>0</v>
      </c>
      <c r="J201" t="n">
        <v>0</v>
      </c>
      <c r="K201" t="n">
        <v>0</v>
      </c>
      <c r="L201" t="n">
        <v>0</v>
      </c>
      <c r="M201" t="n">
        <v>0</v>
      </c>
      <c r="N201" t="n">
        <v>0</v>
      </c>
      <c r="O201" t="n">
        <v>0</v>
      </c>
      <c r="P201" t="n">
        <v>0</v>
      </c>
      <c r="Q201" t="n">
        <v>0</v>
      </c>
      <c r="R201" s="2" t="inlineStr"/>
    </row>
    <row r="202" ht="15" customHeight="1">
      <c r="A202" t="inlineStr">
        <is>
          <t>A 19779-2023</t>
        </is>
      </c>
      <c r="B202" s="1" t="n">
        <v>45050</v>
      </c>
      <c r="C202" s="1" t="n">
        <v>45570</v>
      </c>
      <c r="D202" t="inlineStr">
        <is>
          <t>VÄSTMANLANDS LÄN</t>
        </is>
      </c>
      <c r="E202" t="inlineStr">
        <is>
          <t>SURAHAMMAR</t>
        </is>
      </c>
      <c r="F202" t="inlineStr">
        <is>
          <t>Bergvik skog väst AB</t>
        </is>
      </c>
      <c r="G202" t="n">
        <v>11.1</v>
      </c>
      <c r="H202" t="n">
        <v>0</v>
      </c>
      <c r="I202" t="n">
        <v>0</v>
      </c>
      <c r="J202" t="n">
        <v>0</v>
      </c>
      <c r="K202" t="n">
        <v>0</v>
      </c>
      <c r="L202" t="n">
        <v>0</v>
      </c>
      <c r="M202" t="n">
        <v>0</v>
      </c>
      <c r="N202" t="n">
        <v>0</v>
      </c>
      <c r="O202" t="n">
        <v>0</v>
      </c>
      <c r="P202" t="n">
        <v>0</v>
      </c>
      <c r="Q202" t="n">
        <v>0</v>
      </c>
      <c r="R202" s="2" t="inlineStr"/>
    </row>
    <row r="203" ht="15" customHeight="1">
      <c r="A203" t="inlineStr">
        <is>
          <t>A 19786-2023</t>
        </is>
      </c>
      <c r="B203" s="1" t="n">
        <v>45050</v>
      </c>
      <c r="C203" s="1" t="n">
        <v>45570</v>
      </c>
      <c r="D203" t="inlineStr">
        <is>
          <t>VÄSTMANLANDS LÄN</t>
        </is>
      </c>
      <c r="E203" t="inlineStr">
        <is>
          <t>SURAHAMMAR</t>
        </is>
      </c>
      <c r="F203" t="inlineStr">
        <is>
          <t>Bergvik skog väst AB</t>
        </is>
      </c>
      <c r="G203" t="n">
        <v>8.1</v>
      </c>
      <c r="H203" t="n">
        <v>0</v>
      </c>
      <c r="I203" t="n">
        <v>0</v>
      </c>
      <c r="J203" t="n">
        <v>0</v>
      </c>
      <c r="K203" t="n">
        <v>0</v>
      </c>
      <c r="L203" t="n">
        <v>0</v>
      </c>
      <c r="M203" t="n">
        <v>0</v>
      </c>
      <c r="N203" t="n">
        <v>0</v>
      </c>
      <c r="O203" t="n">
        <v>0</v>
      </c>
      <c r="P203" t="n">
        <v>0</v>
      </c>
      <c r="Q203" t="n">
        <v>0</v>
      </c>
      <c r="R203" s="2" t="inlineStr"/>
    </row>
    <row r="204" ht="15" customHeight="1">
      <c r="A204" t="inlineStr">
        <is>
          <t>A 19782-2023</t>
        </is>
      </c>
      <c r="B204" s="1" t="n">
        <v>45050</v>
      </c>
      <c r="C204" s="1" t="n">
        <v>45570</v>
      </c>
      <c r="D204" t="inlineStr">
        <is>
          <t>VÄSTMANLANDS LÄN</t>
        </is>
      </c>
      <c r="E204" t="inlineStr">
        <is>
          <t>SURAHAMMAR</t>
        </is>
      </c>
      <c r="F204" t="inlineStr">
        <is>
          <t>Bergvik skog väst AB</t>
        </is>
      </c>
      <c r="G204" t="n">
        <v>5.2</v>
      </c>
      <c r="H204" t="n">
        <v>0</v>
      </c>
      <c r="I204" t="n">
        <v>0</v>
      </c>
      <c r="J204" t="n">
        <v>0</v>
      </c>
      <c r="K204" t="n">
        <v>0</v>
      </c>
      <c r="L204" t="n">
        <v>0</v>
      </c>
      <c r="M204" t="n">
        <v>0</v>
      </c>
      <c r="N204" t="n">
        <v>0</v>
      </c>
      <c r="O204" t="n">
        <v>0</v>
      </c>
      <c r="P204" t="n">
        <v>0</v>
      </c>
      <c r="Q204" t="n">
        <v>0</v>
      </c>
      <c r="R204" s="2" t="inlineStr"/>
    </row>
    <row r="205" ht="15" customHeight="1">
      <c r="A205" t="inlineStr">
        <is>
          <t>A 20020-2023</t>
        </is>
      </c>
      <c r="B205" s="1" t="n">
        <v>45054</v>
      </c>
      <c r="C205" s="1" t="n">
        <v>45570</v>
      </c>
      <c r="D205" t="inlineStr">
        <is>
          <t>VÄSTMANLANDS LÄN</t>
        </is>
      </c>
      <c r="E205" t="inlineStr">
        <is>
          <t>SURAHAMMAR</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20018-2023</t>
        </is>
      </c>
      <c r="B206" s="1" t="n">
        <v>45054</v>
      </c>
      <c r="C206" s="1" t="n">
        <v>45570</v>
      </c>
      <c r="D206" t="inlineStr">
        <is>
          <t>VÄSTMANLANDS LÄN</t>
        </is>
      </c>
      <c r="E206" t="inlineStr">
        <is>
          <t>SURAHAMMAR</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20019-2023</t>
        </is>
      </c>
      <c r="B207" s="1" t="n">
        <v>45054</v>
      </c>
      <c r="C207" s="1" t="n">
        <v>45570</v>
      </c>
      <c r="D207" t="inlineStr">
        <is>
          <t>VÄSTMANLANDS LÄN</t>
        </is>
      </c>
      <c r="E207" t="inlineStr">
        <is>
          <t>SURAHAMMAR</t>
        </is>
      </c>
      <c r="F207" t="inlineStr">
        <is>
          <t>Sveaskog</t>
        </is>
      </c>
      <c r="G207" t="n">
        <v>18.5</v>
      </c>
      <c r="H207" t="n">
        <v>0</v>
      </c>
      <c r="I207" t="n">
        <v>0</v>
      </c>
      <c r="J207" t="n">
        <v>0</v>
      </c>
      <c r="K207" t="n">
        <v>0</v>
      </c>
      <c r="L207" t="n">
        <v>0</v>
      </c>
      <c r="M207" t="n">
        <v>0</v>
      </c>
      <c r="N207" t="n">
        <v>0</v>
      </c>
      <c r="O207" t="n">
        <v>0</v>
      </c>
      <c r="P207" t="n">
        <v>0</v>
      </c>
      <c r="Q207" t="n">
        <v>0</v>
      </c>
      <c r="R207" s="2" t="inlineStr"/>
    </row>
    <row r="208" ht="15" customHeight="1">
      <c r="A208" t="inlineStr">
        <is>
          <t>A 20023-2023</t>
        </is>
      </c>
      <c r="B208" s="1" t="n">
        <v>45054</v>
      </c>
      <c r="C208" s="1" t="n">
        <v>45570</v>
      </c>
      <c r="D208" t="inlineStr">
        <is>
          <t>VÄSTMANLANDS LÄN</t>
        </is>
      </c>
      <c r="E208" t="inlineStr">
        <is>
          <t>SURAHAMMAR</t>
        </is>
      </c>
      <c r="F208" t="inlineStr">
        <is>
          <t>Sveaskog</t>
        </is>
      </c>
      <c r="G208" t="n">
        <v>7.8</v>
      </c>
      <c r="H208" t="n">
        <v>0</v>
      </c>
      <c r="I208" t="n">
        <v>0</v>
      </c>
      <c r="J208" t="n">
        <v>0</v>
      </c>
      <c r="K208" t="n">
        <v>0</v>
      </c>
      <c r="L208" t="n">
        <v>0</v>
      </c>
      <c r="M208" t="n">
        <v>0</v>
      </c>
      <c r="N208" t="n">
        <v>0</v>
      </c>
      <c r="O208" t="n">
        <v>0</v>
      </c>
      <c r="P208" t="n">
        <v>0</v>
      </c>
      <c r="Q208" t="n">
        <v>0</v>
      </c>
      <c r="R208" s="2" t="inlineStr"/>
    </row>
    <row r="209" ht="15" customHeight="1">
      <c r="A209" t="inlineStr">
        <is>
          <t>A 20429-2023</t>
        </is>
      </c>
      <c r="B209" s="1" t="n">
        <v>45056</v>
      </c>
      <c r="C209" s="1" t="n">
        <v>45570</v>
      </c>
      <c r="D209" t="inlineStr">
        <is>
          <t>VÄSTMANLANDS LÄN</t>
        </is>
      </c>
      <c r="E209" t="inlineStr">
        <is>
          <t>SURAHAMMAR</t>
        </is>
      </c>
      <c r="G209" t="n">
        <v>5</v>
      </c>
      <c r="H209" t="n">
        <v>0</v>
      </c>
      <c r="I209" t="n">
        <v>0</v>
      </c>
      <c r="J209" t="n">
        <v>0</v>
      </c>
      <c r="K209" t="n">
        <v>0</v>
      </c>
      <c r="L209" t="n">
        <v>0</v>
      </c>
      <c r="M209" t="n">
        <v>0</v>
      </c>
      <c r="N209" t="n">
        <v>0</v>
      </c>
      <c r="O209" t="n">
        <v>0</v>
      </c>
      <c r="P209" t="n">
        <v>0</v>
      </c>
      <c r="Q209" t="n">
        <v>0</v>
      </c>
      <c r="R209" s="2" t="inlineStr"/>
    </row>
    <row r="210" ht="15" customHeight="1">
      <c r="A210" t="inlineStr">
        <is>
          <t>A 20904-2023</t>
        </is>
      </c>
      <c r="B210" s="1" t="n">
        <v>45060</v>
      </c>
      <c r="C210" s="1" t="n">
        <v>45570</v>
      </c>
      <c r="D210" t="inlineStr">
        <is>
          <t>VÄSTMANLANDS LÄN</t>
        </is>
      </c>
      <c r="E210" t="inlineStr">
        <is>
          <t>SURAHAMMAR</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21906-2023</t>
        </is>
      </c>
      <c r="B211" s="1" t="n">
        <v>45068</v>
      </c>
      <c r="C211" s="1" t="n">
        <v>45570</v>
      </c>
      <c r="D211" t="inlineStr">
        <is>
          <t>VÄSTMANLANDS LÄN</t>
        </is>
      </c>
      <c r="E211" t="inlineStr">
        <is>
          <t>SURAHAMMAR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21905-2023</t>
        </is>
      </c>
      <c r="B212" s="1" t="n">
        <v>45068</v>
      </c>
      <c r="C212" s="1" t="n">
        <v>45570</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21904-2023</t>
        </is>
      </c>
      <c r="B213" s="1" t="n">
        <v>45068</v>
      </c>
      <c r="C213" s="1" t="n">
        <v>45570</v>
      </c>
      <c r="D213" t="inlineStr">
        <is>
          <t>VÄSTMANLANDS LÄN</t>
        </is>
      </c>
      <c r="E213" t="inlineStr">
        <is>
          <t>SURAHAMMAR</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22915-2023</t>
        </is>
      </c>
      <c r="B214" s="1" t="n">
        <v>45070</v>
      </c>
      <c r="C214" s="1" t="n">
        <v>45570</v>
      </c>
      <c r="D214" t="inlineStr">
        <is>
          <t>VÄSTMANLANDS LÄN</t>
        </is>
      </c>
      <c r="E214" t="inlineStr">
        <is>
          <t>SURAHAMMAR</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22660-2023</t>
        </is>
      </c>
      <c r="B215" s="1" t="n">
        <v>45071</v>
      </c>
      <c r="C215" s="1" t="n">
        <v>45570</v>
      </c>
      <c r="D215" t="inlineStr">
        <is>
          <t>VÄSTMANLANDS LÄN</t>
        </is>
      </c>
      <c r="E215" t="inlineStr">
        <is>
          <t>SURAHAMMAR</t>
        </is>
      </c>
      <c r="F215" t="inlineStr">
        <is>
          <t>Sveaskog</t>
        </is>
      </c>
      <c r="G215" t="n">
        <v>15.3</v>
      </c>
      <c r="H215" t="n">
        <v>0</v>
      </c>
      <c r="I215" t="n">
        <v>0</v>
      </c>
      <c r="J215" t="n">
        <v>0</v>
      </c>
      <c r="K215" t="n">
        <v>0</v>
      </c>
      <c r="L215" t="n">
        <v>0</v>
      </c>
      <c r="M215" t="n">
        <v>0</v>
      </c>
      <c r="N215" t="n">
        <v>0</v>
      </c>
      <c r="O215" t="n">
        <v>0</v>
      </c>
      <c r="P215" t="n">
        <v>0</v>
      </c>
      <c r="Q215" t="n">
        <v>0</v>
      </c>
      <c r="R215" s="2" t="inlineStr"/>
    </row>
    <row r="216" ht="15" customHeight="1">
      <c r="A216" t="inlineStr">
        <is>
          <t>A 22662-2023</t>
        </is>
      </c>
      <c r="B216" s="1" t="n">
        <v>45071</v>
      </c>
      <c r="C216" s="1" t="n">
        <v>45570</v>
      </c>
      <c r="D216" t="inlineStr">
        <is>
          <t>VÄSTMANLANDS LÄN</t>
        </is>
      </c>
      <c r="E216" t="inlineStr">
        <is>
          <t>SURAHAMMAR</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22661-2023</t>
        </is>
      </c>
      <c r="B217" s="1" t="n">
        <v>45071</v>
      </c>
      <c r="C217" s="1" t="n">
        <v>45570</v>
      </c>
      <c r="D217" t="inlineStr">
        <is>
          <t>VÄSTMANLANDS LÄN</t>
        </is>
      </c>
      <c r="E217" t="inlineStr">
        <is>
          <t>SURAHAMMAR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22659-2023</t>
        </is>
      </c>
      <c r="B218" s="1" t="n">
        <v>45071</v>
      </c>
      <c r="C218" s="1" t="n">
        <v>45570</v>
      </c>
      <c r="D218" t="inlineStr">
        <is>
          <t>VÄSTMANLANDS LÄN</t>
        </is>
      </c>
      <c r="E218" t="inlineStr">
        <is>
          <t>SURAHAMMAR</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23731-2023</t>
        </is>
      </c>
      <c r="B219" s="1" t="n">
        <v>45077</v>
      </c>
      <c r="C219" s="1" t="n">
        <v>45570</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24156-2023</t>
        </is>
      </c>
      <c r="B220" s="1" t="n">
        <v>45079</v>
      </c>
      <c r="C220" s="1" t="n">
        <v>45570</v>
      </c>
      <c r="D220" t="inlineStr">
        <is>
          <t>VÄSTMANLANDS LÄN</t>
        </is>
      </c>
      <c r="E220" t="inlineStr">
        <is>
          <t>SURAHAMMAR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24158-2023</t>
        </is>
      </c>
      <c r="B221" s="1" t="n">
        <v>45079</v>
      </c>
      <c r="C221" s="1" t="n">
        <v>45570</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24197-2023</t>
        </is>
      </c>
      <c r="B222" s="1" t="n">
        <v>45079</v>
      </c>
      <c r="C222" s="1" t="n">
        <v>45570</v>
      </c>
      <c r="D222" t="inlineStr">
        <is>
          <t>VÄSTMANLANDS LÄN</t>
        </is>
      </c>
      <c r="E222" t="inlineStr">
        <is>
          <t>SURAHAMMAR</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24180-2023</t>
        </is>
      </c>
      <c r="B223" s="1" t="n">
        <v>45079</v>
      </c>
      <c r="C223" s="1" t="n">
        <v>45570</v>
      </c>
      <c r="D223" t="inlineStr">
        <is>
          <t>VÄSTMANLANDS LÄN</t>
        </is>
      </c>
      <c r="E223" t="inlineStr">
        <is>
          <t>SURAHAMMAR</t>
        </is>
      </c>
      <c r="F223" t="inlineStr">
        <is>
          <t>Sveaskog</t>
        </is>
      </c>
      <c r="G223" t="n">
        <v>5.9</v>
      </c>
      <c r="H223" t="n">
        <v>0</v>
      </c>
      <c r="I223" t="n">
        <v>0</v>
      </c>
      <c r="J223" t="n">
        <v>0</v>
      </c>
      <c r="K223" t="n">
        <v>0</v>
      </c>
      <c r="L223" t="n">
        <v>0</v>
      </c>
      <c r="M223" t="n">
        <v>0</v>
      </c>
      <c r="N223" t="n">
        <v>0</v>
      </c>
      <c r="O223" t="n">
        <v>0</v>
      </c>
      <c r="P223" t="n">
        <v>0</v>
      </c>
      <c r="Q223" t="n">
        <v>0</v>
      </c>
      <c r="R223" s="2" t="inlineStr"/>
    </row>
    <row r="224" ht="15" customHeight="1">
      <c r="A224" t="inlineStr">
        <is>
          <t>A 24665-2023</t>
        </is>
      </c>
      <c r="B224" s="1" t="n">
        <v>45084</v>
      </c>
      <c r="C224" s="1" t="n">
        <v>45570</v>
      </c>
      <c r="D224" t="inlineStr">
        <is>
          <t>VÄSTMANLANDS LÄN</t>
        </is>
      </c>
      <c r="E224" t="inlineStr">
        <is>
          <t>SURAHAMMAR</t>
        </is>
      </c>
      <c r="G224" t="n">
        <v>0.9</v>
      </c>
      <c r="H224" t="n">
        <v>0</v>
      </c>
      <c r="I224" t="n">
        <v>0</v>
      </c>
      <c r="J224" t="n">
        <v>0</v>
      </c>
      <c r="K224" t="n">
        <v>0</v>
      </c>
      <c r="L224" t="n">
        <v>0</v>
      </c>
      <c r="M224" t="n">
        <v>0</v>
      </c>
      <c r="N224" t="n">
        <v>0</v>
      </c>
      <c r="O224" t="n">
        <v>0</v>
      </c>
      <c r="P224" t="n">
        <v>0</v>
      </c>
      <c r="Q224" t="n">
        <v>0</v>
      </c>
      <c r="R224" s="2" t="inlineStr"/>
    </row>
    <row r="225" ht="15" customHeight="1">
      <c r="A225" t="inlineStr">
        <is>
          <t>A 25775-2023</t>
        </is>
      </c>
      <c r="B225" s="1" t="n">
        <v>45090</v>
      </c>
      <c r="C225" s="1" t="n">
        <v>45570</v>
      </c>
      <c r="D225" t="inlineStr">
        <is>
          <t>VÄSTMANLANDS LÄN</t>
        </is>
      </c>
      <c r="E225" t="inlineStr">
        <is>
          <t>SURAHAMMAR</t>
        </is>
      </c>
      <c r="G225" t="n">
        <v>1.6</v>
      </c>
      <c r="H225" t="n">
        <v>0</v>
      </c>
      <c r="I225" t="n">
        <v>0</v>
      </c>
      <c r="J225" t="n">
        <v>0</v>
      </c>
      <c r="K225" t="n">
        <v>0</v>
      </c>
      <c r="L225" t="n">
        <v>0</v>
      </c>
      <c r="M225" t="n">
        <v>0</v>
      </c>
      <c r="N225" t="n">
        <v>0</v>
      </c>
      <c r="O225" t="n">
        <v>0</v>
      </c>
      <c r="P225" t="n">
        <v>0</v>
      </c>
      <c r="Q225" t="n">
        <v>0</v>
      </c>
      <c r="R225" s="2" t="inlineStr"/>
    </row>
    <row r="226" ht="15" customHeight="1">
      <c r="A226" t="inlineStr">
        <is>
          <t>A 25780-2023</t>
        </is>
      </c>
      <c r="B226" s="1" t="n">
        <v>45090</v>
      </c>
      <c r="C226" s="1" t="n">
        <v>45570</v>
      </c>
      <c r="D226" t="inlineStr">
        <is>
          <t>VÄSTMANLANDS LÄN</t>
        </is>
      </c>
      <c r="E226" t="inlineStr">
        <is>
          <t>SURAHAMMAR</t>
        </is>
      </c>
      <c r="G226" t="n">
        <v>2.8</v>
      </c>
      <c r="H226" t="n">
        <v>0</v>
      </c>
      <c r="I226" t="n">
        <v>0</v>
      </c>
      <c r="J226" t="n">
        <v>0</v>
      </c>
      <c r="K226" t="n">
        <v>0</v>
      </c>
      <c r="L226" t="n">
        <v>0</v>
      </c>
      <c r="M226" t="n">
        <v>0</v>
      </c>
      <c r="N226" t="n">
        <v>0</v>
      </c>
      <c r="O226" t="n">
        <v>0</v>
      </c>
      <c r="P226" t="n">
        <v>0</v>
      </c>
      <c r="Q226" t="n">
        <v>0</v>
      </c>
      <c r="R226" s="2" t="inlineStr"/>
    </row>
    <row r="227" ht="15" customHeight="1">
      <c r="A227" t="inlineStr">
        <is>
          <t>A 27140-2023</t>
        </is>
      </c>
      <c r="B227" s="1" t="n">
        <v>45096</v>
      </c>
      <c r="C227" s="1" t="n">
        <v>45570</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27156-2023</t>
        </is>
      </c>
      <c r="B228" s="1" t="n">
        <v>45096</v>
      </c>
      <c r="C228" s="1" t="n">
        <v>45570</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27142-2023</t>
        </is>
      </c>
      <c r="B229" s="1" t="n">
        <v>45096</v>
      </c>
      <c r="C229" s="1" t="n">
        <v>45570</v>
      </c>
      <c r="D229" t="inlineStr">
        <is>
          <t>VÄSTMANLANDS LÄN</t>
        </is>
      </c>
      <c r="E229" t="inlineStr">
        <is>
          <t>SURAHAMMAR</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27171-2023</t>
        </is>
      </c>
      <c r="B230" s="1" t="n">
        <v>45096</v>
      </c>
      <c r="C230" s="1" t="n">
        <v>45570</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28051-2023</t>
        </is>
      </c>
      <c r="B231" s="1" t="n">
        <v>45099</v>
      </c>
      <c r="C231" s="1" t="n">
        <v>45570</v>
      </c>
      <c r="D231" t="inlineStr">
        <is>
          <t>VÄSTMANLANDS LÄN</t>
        </is>
      </c>
      <c r="E231" t="inlineStr">
        <is>
          <t>SURAHAMMAR</t>
        </is>
      </c>
      <c r="F231" t="inlineStr">
        <is>
          <t>Allmännings- och besparingsskogar</t>
        </is>
      </c>
      <c r="G231" t="n">
        <v>23.3</v>
      </c>
      <c r="H231" t="n">
        <v>0</v>
      </c>
      <c r="I231" t="n">
        <v>0</v>
      </c>
      <c r="J231" t="n">
        <v>0</v>
      </c>
      <c r="K231" t="n">
        <v>0</v>
      </c>
      <c r="L231" t="n">
        <v>0</v>
      </c>
      <c r="M231" t="n">
        <v>0</v>
      </c>
      <c r="N231" t="n">
        <v>0</v>
      </c>
      <c r="O231" t="n">
        <v>0</v>
      </c>
      <c r="P231" t="n">
        <v>0</v>
      </c>
      <c r="Q231" t="n">
        <v>0</v>
      </c>
      <c r="R231" s="2" t="inlineStr"/>
    </row>
    <row r="232" ht="15" customHeight="1">
      <c r="A232" t="inlineStr">
        <is>
          <t>A 30076-2023</t>
        </is>
      </c>
      <c r="B232" s="1" t="n">
        <v>45110</v>
      </c>
      <c r="C232" s="1" t="n">
        <v>45570</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37138-2023</t>
        </is>
      </c>
      <c r="B233" s="1" t="n">
        <v>45155</v>
      </c>
      <c r="C233" s="1" t="n">
        <v>45570</v>
      </c>
      <c r="D233" t="inlineStr">
        <is>
          <t>VÄSTMANLANDS LÄN</t>
        </is>
      </c>
      <c r="E233" t="inlineStr">
        <is>
          <t>SURAHAMMAR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37287-2023</t>
        </is>
      </c>
      <c r="B234" s="1" t="n">
        <v>45156</v>
      </c>
      <c r="C234" s="1" t="n">
        <v>45570</v>
      </c>
      <c r="D234" t="inlineStr">
        <is>
          <t>VÄSTMANLANDS LÄN</t>
        </is>
      </c>
      <c r="E234" t="inlineStr">
        <is>
          <t>SURAHAMMAR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37635-2023</t>
        </is>
      </c>
      <c r="B235" s="1" t="n">
        <v>45159</v>
      </c>
      <c r="C235" s="1" t="n">
        <v>45570</v>
      </c>
      <c r="D235" t="inlineStr">
        <is>
          <t>VÄSTMANLANDS LÄN</t>
        </is>
      </c>
      <c r="E235" t="inlineStr">
        <is>
          <t>SURAHAMMAR</t>
        </is>
      </c>
      <c r="G235" t="n">
        <v>1</v>
      </c>
      <c r="H235" t="n">
        <v>0</v>
      </c>
      <c r="I235" t="n">
        <v>0</v>
      </c>
      <c r="J235" t="n">
        <v>0</v>
      </c>
      <c r="K235" t="n">
        <v>0</v>
      </c>
      <c r="L235" t="n">
        <v>0</v>
      </c>
      <c r="M235" t="n">
        <v>0</v>
      </c>
      <c r="N235" t="n">
        <v>0</v>
      </c>
      <c r="O235" t="n">
        <v>0</v>
      </c>
      <c r="P235" t="n">
        <v>0</v>
      </c>
      <c r="Q235" t="n">
        <v>0</v>
      </c>
      <c r="R235" s="2" t="inlineStr"/>
    </row>
    <row r="236" ht="15" customHeight="1">
      <c r="A236" t="inlineStr">
        <is>
          <t>A 37639-2023</t>
        </is>
      </c>
      <c r="B236" s="1" t="n">
        <v>45159</v>
      </c>
      <c r="C236" s="1" t="n">
        <v>45570</v>
      </c>
      <c r="D236" t="inlineStr">
        <is>
          <t>VÄSTMANLANDS LÄN</t>
        </is>
      </c>
      <c r="E236" t="inlineStr">
        <is>
          <t>SURAHAMMAR</t>
        </is>
      </c>
      <c r="G236" t="n">
        <v>4.9</v>
      </c>
      <c r="H236" t="n">
        <v>0</v>
      </c>
      <c r="I236" t="n">
        <v>0</v>
      </c>
      <c r="J236" t="n">
        <v>0</v>
      </c>
      <c r="K236" t="n">
        <v>0</v>
      </c>
      <c r="L236" t="n">
        <v>0</v>
      </c>
      <c r="M236" t="n">
        <v>0</v>
      </c>
      <c r="N236" t="n">
        <v>0</v>
      </c>
      <c r="O236" t="n">
        <v>0</v>
      </c>
      <c r="P236" t="n">
        <v>0</v>
      </c>
      <c r="Q236" t="n">
        <v>0</v>
      </c>
      <c r="R236" s="2" t="inlineStr"/>
    </row>
    <row r="237" ht="15" customHeight="1">
      <c r="A237" t="inlineStr">
        <is>
          <t>A 40956-2023</t>
        </is>
      </c>
      <c r="B237" s="1" t="n">
        <v>45169</v>
      </c>
      <c r="C237" s="1" t="n">
        <v>45570</v>
      </c>
      <c r="D237" t="inlineStr">
        <is>
          <t>VÄSTMANLANDS LÄN</t>
        </is>
      </c>
      <c r="E237" t="inlineStr">
        <is>
          <t>SURAHAMMAR</t>
        </is>
      </c>
      <c r="F237" t="inlineStr">
        <is>
          <t>Bergvik skog väst AB</t>
        </is>
      </c>
      <c r="G237" t="n">
        <v>7.6</v>
      </c>
      <c r="H237" t="n">
        <v>0</v>
      </c>
      <c r="I237" t="n">
        <v>0</v>
      </c>
      <c r="J237" t="n">
        <v>0</v>
      </c>
      <c r="K237" t="n">
        <v>0</v>
      </c>
      <c r="L237" t="n">
        <v>0</v>
      </c>
      <c r="M237" t="n">
        <v>0</v>
      </c>
      <c r="N237" t="n">
        <v>0</v>
      </c>
      <c r="O237" t="n">
        <v>0</v>
      </c>
      <c r="P237" t="n">
        <v>0</v>
      </c>
      <c r="Q237" t="n">
        <v>0</v>
      </c>
      <c r="R237" s="2" t="inlineStr"/>
    </row>
    <row r="238" ht="15" customHeight="1">
      <c r="A238" t="inlineStr">
        <is>
          <t>A 40445-2023</t>
        </is>
      </c>
      <c r="B238" s="1" t="n">
        <v>45170</v>
      </c>
      <c r="C238" s="1" t="n">
        <v>45570</v>
      </c>
      <c r="D238" t="inlineStr">
        <is>
          <t>VÄSTMANLANDS LÄN</t>
        </is>
      </c>
      <c r="E238" t="inlineStr">
        <is>
          <t>SURAHAMMAR</t>
        </is>
      </c>
      <c r="G238" t="n">
        <v>15.6</v>
      </c>
      <c r="H238" t="n">
        <v>0</v>
      </c>
      <c r="I238" t="n">
        <v>0</v>
      </c>
      <c r="J238" t="n">
        <v>0</v>
      </c>
      <c r="K238" t="n">
        <v>0</v>
      </c>
      <c r="L238" t="n">
        <v>0</v>
      </c>
      <c r="M238" t="n">
        <v>0</v>
      </c>
      <c r="N238" t="n">
        <v>0</v>
      </c>
      <c r="O238" t="n">
        <v>0</v>
      </c>
      <c r="P238" t="n">
        <v>0</v>
      </c>
      <c r="Q238" t="n">
        <v>0</v>
      </c>
      <c r="R238" s="2" t="inlineStr"/>
    </row>
    <row r="239" ht="15" customHeight="1">
      <c r="A239" t="inlineStr">
        <is>
          <t>A 48906-2023</t>
        </is>
      </c>
      <c r="B239" s="1" t="n">
        <v>45203</v>
      </c>
      <c r="C239" s="1" t="n">
        <v>45570</v>
      </c>
      <c r="D239" t="inlineStr">
        <is>
          <t>VÄSTMANLANDS LÄN</t>
        </is>
      </c>
      <c r="E239" t="inlineStr">
        <is>
          <t>SURAHAMMAR</t>
        </is>
      </c>
      <c r="F239" t="inlineStr">
        <is>
          <t>Bergvik skog väst AB</t>
        </is>
      </c>
      <c r="G239" t="n">
        <v>2.5</v>
      </c>
      <c r="H239" t="n">
        <v>0</v>
      </c>
      <c r="I239" t="n">
        <v>0</v>
      </c>
      <c r="J239" t="n">
        <v>0</v>
      </c>
      <c r="K239" t="n">
        <v>0</v>
      </c>
      <c r="L239" t="n">
        <v>0</v>
      </c>
      <c r="M239" t="n">
        <v>0</v>
      </c>
      <c r="N239" t="n">
        <v>0</v>
      </c>
      <c r="O239" t="n">
        <v>0</v>
      </c>
      <c r="P239" t="n">
        <v>0</v>
      </c>
      <c r="Q239" t="n">
        <v>0</v>
      </c>
      <c r="R239" s="2" t="inlineStr"/>
      <c r="U239">
        <f>HYPERLINK("https://klasma.github.io/Logging_1907/knärot/A 48906-2023 karta knärot.png", "A 48906-2023")</f>
        <v/>
      </c>
      <c r="V239">
        <f>HYPERLINK("https://klasma.github.io/Logging_1907/klagomål/A 48906-2023 FSC-klagomål.docx", "A 48906-2023")</f>
        <v/>
      </c>
      <c r="W239">
        <f>HYPERLINK("https://klasma.github.io/Logging_1907/klagomålsmail/A 48906-2023 FSC-klagomål mail.docx", "A 48906-2023")</f>
        <v/>
      </c>
      <c r="X239">
        <f>HYPERLINK("https://klasma.github.io/Logging_1907/tillsyn/A 48906-2023 tillsynsbegäran.docx", "A 48906-2023")</f>
        <v/>
      </c>
      <c r="Y239">
        <f>HYPERLINK("https://klasma.github.io/Logging_1907/tillsynsmail/A 48906-2023 tillsynsbegäran mail.docx", "A 48906-2023")</f>
        <v/>
      </c>
    </row>
    <row r="240" ht="15" customHeight="1">
      <c r="A240" t="inlineStr">
        <is>
          <t>A 48205-2023</t>
        </is>
      </c>
      <c r="B240" s="1" t="n">
        <v>45205</v>
      </c>
      <c r="C240" s="1" t="n">
        <v>45570</v>
      </c>
      <c r="D240" t="inlineStr">
        <is>
          <t>VÄSTMANLANDS LÄN</t>
        </is>
      </c>
      <c r="E240" t="inlineStr">
        <is>
          <t>SURAHAMMAR</t>
        </is>
      </c>
      <c r="F240" t="inlineStr">
        <is>
          <t>Allmännings- och besparingsskogar</t>
        </is>
      </c>
      <c r="G240" t="n">
        <v>7.6</v>
      </c>
      <c r="H240" t="n">
        <v>0</v>
      </c>
      <c r="I240" t="n">
        <v>0</v>
      </c>
      <c r="J240" t="n">
        <v>0</v>
      </c>
      <c r="K240" t="n">
        <v>0</v>
      </c>
      <c r="L240" t="n">
        <v>0</v>
      </c>
      <c r="M240" t="n">
        <v>0</v>
      </c>
      <c r="N240" t="n">
        <v>0</v>
      </c>
      <c r="O240" t="n">
        <v>0</v>
      </c>
      <c r="P240" t="n">
        <v>0</v>
      </c>
      <c r="Q240" t="n">
        <v>0</v>
      </c>
      <c r="R240" s="2" t="inlineStr"/>
    </row>
    <row r="241" ht="15" customHeight="1">
      <c r="A241" t="inlineStr">
        <is>
          <t>A 56378-2023</t>
        </is>
      </c>
      <c r="B241" s="1" t="n">
        <v>45236</v>
      </c>
      <c r="C241" s="1" t="n">
        <v>45570</v>
      </c>
      <c r="D241" t="inlineStr">
        <is>
          <t>VÄSTMANLANDS LÄN</t>
        </is>
      </c>
      <c r="E241" t="inlineStr">
        <is>
          <t>SURAHAMMAR</t>
        </is>
      </c>
      <c r="F241" t="inlineStr">
        <is>
          <t>Bergvik skog väst AB</t>
        </is>
      </c>
      <c r="G241" t="n">
        <v>3.6</v>
      </c>
      <c r="H241" t="n">
        <v>0</v>
      </c>
      <c r="I241" t="n">
        <v>0</v>
      </c>
      <c r="J241" t="n">
        <v>0</v>
      </c>
      <c r="K241" t="n">
        <v>0</v>
      </c>
      <c r="L241" t="n">
        <v>0</v>
      </c>
      <c r="M241" t="n">
        <v>0</v>
      </c>
      <c r="N241" t="n">
        <v>0</v>
      </c>
      <c r="O241" t="n">
        <v>0</v>
      </c>
      <c r="P241" t="n">
        <v>0</v>
      </c>
      <c r="Q241" t="n">
        <v>0</v>
      </c>
      <c r="R241" s="2" t="inlineStr"/>
    </row>
    <row r="242" ht="15" customHeight="1">
      <c r="A242" t="inlineStr">
        <is>
          <t>A 56183-2023</t>
        </is>
      </c>
      <c r="B242" s="1" t="n">
        <v>45240</v>
      </c>
      <c r="C242" s="1" t="n">
        <v>45570</v>
      </c>
      <c r="D242" t="inlineStr">
        <is>
          <t>VÄSTMANLANDS LÄN</t>
        </is>
      </c>
      <c r="E242" t="inlineStr">
        <is>
          <t>SURAHAMMAR</t>
        </is>
      </c>
      <c r="F242" t="inlineStr">
        <is>
          <t>Allmännings- och besparingsskogar</t>
        </is>
      </c>
      <c r="G242" t="n">
        <v>2</v>
      </c>
      <c r="H242" t="n">
        <v>0</v>
      </c>
      <c r="I242" t="n">
        <v>0</v>
      </c>
      <c r="J242" t="n">
        <v>0</v>
      </c>
      <c r="K242" t="n">
        <v>0</v>
      </c>
      <c r="L242" t="n">
        <v>0</v>
      </c>
      <c r="M242" t="n">
        <v>0</v>
      </c>
      <c r="N242" t="n">
        <v>0</v>
      </c>
      <c r="O242" t="n">
        <v>0</v>
      </c>
      <c r="P242" t="n">
        <v>0</v>
      </c>
      <c r="Q242" t="n">
        <v>0</v>
      </c>
      <c r="R242" s="2" t="inlineStr"/>
    </row>
    <row r="243" ht="15" customHeight="1">
      <c r="A243" t="inlineStr">
        <is>
          <t>A 58338-2023</t>
        </is>
      </c>
      <c r="B243" s="1" t="n">
        <v>45250</v>
      </c>
      <c r="C243" s="1" t="n">
        <v>45570</v>
      </c>
      <c r="D243" t="inlineStr">
        <is>
          <t>VÄSTMANLANDS LÄN</t>
        </is>
      </c>
      <c r="E243" t="inlineStr">
        <is>
          <t>SURAHAMMAR</t>
        </is>
      </c>
      <c r="F243" t="inlineStr">
        <is>
          <t>Allmännings- och besparingsskogar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58356-2023</t>
        </is>
      </c>
      <c r="B244" s="1" t="n">
        <v>45250</v>
      </c>
      <c r="C244" s="1" t="n">
        <v>45570</v>
      </c>
      <c r="D244" t="inlineStr">
        <is>
          <t>VÄSTMANLANDS LÄN</t>
        </is>
      </c>
      <c r="E244" t="inlineStr">
        <is>
          <t>SURAHAMMAR</t>
        </is>
      </c>
      <c r="F244" t="inlineStr">
        <is>
          <t>Allmännings- och besparingsskogar</t>
        </is>
      </c>
      <c r="G244" t="n">
        <v>2.2</v>
      </c>
      <c r="H244" t="n">
        <v>0</v>
      </c>
      <c r="I244" t="n">
        <v>0</v>
      </c>
      <c r="J244" t="n">
        <v>0</v>
      </c>
      <c r="K244" t="n">
        <v>0</v>
      </c>
      <c r="L244" t="n">
        <v>0</v>
      </c>
      <c r="M244" t="n">
        <v>0</v>
      </c>
      <c r="N244" t="n">
        <v>0</v>
      </c>
      <c r="O244" t="n">
        <v>0</v>
      </c>
      <c r="P244" t="n">
        <v>0</v>
      </c>
      <c r="Q244" t="n">
        <v>0</v>
      </c>
      <c r="R244" s="2" t="inlineStr"/>
    </row>
    <row r="245" ht="15" customHeight="1">
      <c r="A245" t="inlineStr">
        <is>
          <t>A 59317-2023</t>
        </is>
      </c>
      <c r="B245" s="1" t="n">
        <v>45253</v>
      </c>
      <c r="C245" s="1" t="n">
        <v>45570</v>
      </c>
      <c r="D245" t="inlineStr">
        <is>
          <t>VÄSTMANLANDS LÄN</t>
        </is>
      </c>
      <c r="E245" t="inlineStr">
        <is>
          <t>SURAHAMMAR</t>
        </is>
      </c>
      <c r="G245" t="n">
        <v>7.1</v>
      </c>
      <c r="H245" t="n">
        <v>0</v>
      </c>
      <c r="I245" t="n">
        <v>0</v>
      </c>
      <c r="J245" t="n">
        <v>0</v>
      </c>
      <c r="K245" t="n">
        <v>0</v>
      </c>
      <c r="L245" t="n">
        <v>0</v>
      </c>
      <c r="M245" t="n">
        <v>0</v>
      </c>
      <c r="N245" t="n">
        <v>0</v>
      </c>
      <c r="O245" t="n">
        <v>0</v>
      </c>
      <c r="P245" t="n">
        <v>0</v>
      </c>
      <c r="Q245" t="n">
        <v>0</v>
      </c>
      <c r="R245" s="2" t="inlineStr"/>
    </row>
    <row r="246" ht="15" customHeight="1">
      <c r="A246" t="inlineStr">
        <is>
          <t>A 64343-2023</t>
        </is>
      </c>
      <c r="B246" s="1" t="n">
        <v>45280</v>
      </c>
      <c r="C246" s="1" t="n">
        <v>45570</v>
      </c>
      <c r="D246" t="inlineStr">
        <is>
          <t>VÄSTMANLANDS LÄN</t>
        </is>
      </c>
      <c r="E246" t="inlineStr">
        <is>
          <t>SURAHAMMAR</t>
        </is>
      </c>
      <c r="G246" t="n">
        <v>2.9</v>
      </c>
      <c r="H246" t="n">
        <v>0</v>
      </c>
      <c r="I246" t="n">
        <v>0</v>
      </c>
      <c r="J246" t="n">
        <v>0</v>
      </c>
      <c r="K246" t="n">
        <v>0</v>
      </c>
      <c r="L246" t="n">
        <v>0</v>
      </c>
      <c r="M246" t="n">
        <v>0</v>
      </c>
      <c r="N246" t="n">
        <v>0</v>
      </c>
      <c r="O246" t="n">
        <v>0</v>
      </c>
      <c r="P246" t="n">
        <v>0</v>
      </c>
      <c r="Q246" t="n">
        <v>0</v>
      </c>
      <c r="R246" s="2" t="inlineStr"/>
    </row>
    <row r="247" ht="15" customHeight="1">
      <c r="A247" t="inlineStr">
        <is>
          <t>A 1316-2024</t>
        </is>
      </c>
      <c r="B247" s="1" t="n">
        <v>45303</v>
      </c>
      <c r="C247" s="1" t="n">
        <v>45570</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2680-2024</t>
        </is>
      </c>
      <c r="B248" s="1" t="n">
        <v>45310</v>
      </c>
      <c r="C248" s="1" t="n">
        <v>45570</v>
      </c>
      <c r="D248" t="inlineStr">
        <is>
          <t>VÄSTMANLANDS LÄN</t>
        </is>
      </c>
      <c r="E248" t="inlineStr">
        <is>
          <t>SURAHAMMAR</t>
        </is>
      </c>
      <c r="G248" t="n">
        <v>1.8</v>
      </c>
      <c r="H248" t="n">
        <v>0</v>
      </c>
      <c r="I248" t="n">
        <v>0</v>
      </c>
      <c r="J248" t="n">
        <v>0</v>
      </c>
      <c r="K248" t="n">
        <v>0</v>
      </c>
      <c r="L248" t="n">
        <v>0</v>
      </c>
      <c r="M248" t="n">
        <v>0</v>
      </c>
      <c r="N248" t="n">
        <v>0</v>
      </c>
      <c r="O248" t="n">
        <v>0</v>
      </c>
      <c r="P248" t="n">
        <v>0</v>
      </c>
      <c r="Q248" t="n">
        <v>0</v>
      </c>
      <c r="R248" s="2" t="inlineStr"/>
    </row>
    <row r="249" ht="15" customHeight="1">
      <c r="A249" t="inlineStr">
        <is>
          <t>A 2660-2024</t>
        </is>
      </c>
      <c r="B249" s="1" t="n">
        <v>45310</v>
      </c>
      <c r="C249" s="1" t="n">
        <v>45570</v>
      </c>
      <c r="D249" t="inlineStr">
        <is>
          <t>VÄSTMANLANDS LÄN</t>
        </is>
      </c>
      <c r="E249" t="inlineStr">
        <is>
          <t>SURAHAMMAR</t>
        </is>
      </c>
      <c r="G249" t="n">
        <v>2.1</v>
      </c>
      <c r="H249" t="n">
        <v>0</v>
      </c>
      <c r="I249" t="n">
        <v>0</v>
      </c>
      <c r="J249" t="n">
        <v>0</v>
      </c>
      <c r="K249" t="n">
        <v>0</v>
      </c>
      <c r="L249" t="n">
        <v>0</v>
      </c>
      <c r="M249" t="n">
        <v>0</v>
      </c>
      <c r="N249" t="n">
        <v>0</v>
      </c>
      <c r="O249" t="n">
        <v>0</v>
      </c>
      <c r="P249" t="n">
        <v>0</v>
      </c>
      <c r="Q249" t="n">
        <v>0</v>
      </c>
      <c r="R249" s="2" t="inlineStr"/>
    </row>
    <row r="250" ht="15" customHeight="1">
      <c r="A250" t="inlineStr">
        <is>
          <t>A 2866-2024</t>
        </is>
      </c>
      <c r="B250" s="1" t="n">
        <v>45315</v>
      </c>
      <c r="C250" s="1" t="n">
        <v>45570</v>
      </c>
      <c r="D250" t="inlineStr">
        <is>
          <t>VÄSTMANLANDS LÄN</t>
        </is>
      </c>
      <c r="E250" t="inlineStr">
        <is>
          <t>SURAHAMMAR</t>
        </is>
      </c>
      <c r="F250" t="inlineStr">
        <is>
          <t>Bergvik skog väst AB</t>
        </is>
      </c>
      <c r="G250" t="n">
        <v>5.1</v>
      </c>
      <c r="H250" t="n">
        <v>0</v>
      </c>
      <c r="I250" t="n">
        <v>0</v>
      </c>
      <c r="J250" t="n">
        <v>0</v>
      </c>
      <c r="K250" t="n">
        <v>0</v>
      </c>
      <c r="L250" t="n">
        <v>0</v>
      </c>
      <c r="M250" t="n">
        <v>0</v>
      </c>
      <c r="N250" t="n">
        <v>0</v>
      </c>
      <c r="O250" t="n">
        <v>0</v>
      </c>
      <c r="P250" t="n">
        <v>0</v>
      </c>
      <c r="Q250" t="n">
        <v>0</v>
      </c>
      <c r="R250" s="2" t="inlineStr"/>
    </row>
    <row r="251" ht="15" customHeight="1">
      <c r="A251" t="inlineStr">
        <is>
          <t>A 2867-2024</t>
        </is>
      </c>
      <c r="B251" s="1" t="n">
        <v>45315</v>
      </c>
      <c r="C251" s="1" t="n">
        <v>45570</v>
      </c>
      <c r="D251" t="inlineStr">
        <is>
          <t>VÄSTMANLANDS LÄN</t>
        </is>
      </c>
      <c r="E251" t="inlineStr">
        <is>
          <t>SURAHAMMAR</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4759-2024</t>
        </is>
      </c>
      <c r="B252" s="1" t="n">
        <v>45328</v>
      </c>
      <c r="C252" s="1" t="n">
        <v>45570</v>
      </c>
      <c r="D252" t="inlineStr">
        <is>
          <t>VÄSTMANLANDS LÄN</t>
        </is>
      </c>
      <c r="E252" t="inlineStr">
        <is>
          <t>SURAHAMMAR</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5168-2024</t>
        </is>
      </c>
      <c r="B253" s="1" t="n">
        <v>45330</v>
      </c>
      <c r="C253" s="1" t="n">
        <v>45570</v>
      </c>
      <c r="D253" t="inlineStr">
        <is>
          <t>VÄSTMANLANDS LÄN</t>
        </is>
      </c>
      <c r="E253" t="inlineStr">
        <is>
          <t>SURAHAMMAR</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7787-2024</t>
        </is>
      </c>
      <c r="B254" s="1" t="n">
        <v>45348</v>
      </c>
      <c r="C254" s="1" t="n">
        <v>45570</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7782-2024</t>
        </is>
      </c>
      <c r="B255" s="1" t="n">
        <v>45349</v>
      </c>
      <c r="C255" s="1" t="n">
        <v>45570</v>
      </c>
      <c r="D255" t="inlineStr">
        <is>
          <t>VÄSTMANLANDS LÄN</t>
        </is>
      </c>
      <c r="E255" t="inlineStr">
        <is>
          <t>SURAHAMMAR</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8066-2024</t>
        </is>
      </c>
      <c r="B256" s="1" t="n">
        <v>45351</v>
      </c>
      <c r="C256" s="1" t="n">
        <v>45570</v>
      </c>
      <c r="D256" t="inlineStr">
        <is>
          <t>VÄSTMANLANDS LÄN</t>
        </is>
      </c>
      <c r="E256" t="inlineStr">
        <is>
          <t>SURAHAMMAR</t>
        </is>
      </c>
      <c r="G256" t="n">
        <v>12.7</v>
      </c>
      <c r="H256" t="n">
        <v>0</v>
      </c>
      <c r="I256" t="n">
        <v>0</v>
      </c>
      <c r="J256" t="n">
        <v>0</v>
      </c>
      <c r="K256" t="n">
        <v>0</v>
      </c>
      <c r="L256" t="n">
        <v>0</v>
      </c>
      <c r="M256" t="n">
        <v>0</v>
      </c>
      <c r="N256" t="n">
        <v>0</v>
      </c>
      <c r="O256" t="n">
        <v>0</v>
      </c>
      <c r="P256" t="n">
        <v>0</v>
      </c>
      <c r="Q256" t="n">
        <v>0</v>
      </c>
      <c r="R256" s="2" t="inlineStr"/>
    </row>
    <row r="257" ht="15" customHeight="1">
      <c r="A257" t="inlineStr">
        <is>
          <t>A 9741-2024</t>
        </is>
      </c>
      <c r="B257" s="1" t="n">
        <v>45362</v>
      </c>
      <c r="C257" s="1" t="n">
        <v>45570</v>
      </c>
      <c r="D257" t="inlineStr">
        <is>
          <t>VÄSTMANLANDS LÄN</t>
        </is>
      </c>
      <c r="E257" t="inlineStr">
        <is>
          <t>SURAHAMMAR</t>
        </is>
      </c>
      <c r="G257" t="n">
        <v>4.6</v>
      </c>
      <c r="H257" t="n">
        <v>0</v>
      </c>
      <c r="I257" t="n">
        <v>0</v>
      </c>
      <c r="J257" t="n">
        <v>0</v>
      </c>
      <c r="K257" t="n">
        <v>0</v>
      </c>
      <c r="L257" t="n">
        <v>0</v>
      </c>
      <c r="M257" t="n">
        <v>0</v>
      </c>
      <c r="N257" t="n">
        <v>0</v>
      </c>
      <c r="O257" t="n">
        <v>0</v>
      </c>
      <c r="P257" t="n">
        <v>0</v>
      </c>
      <c r="Q257" t="n">
        <v>0</v>
      </c>
      <c r="R257" s="2" t="inlineStr"/>
    </row>
    <row r="258" ht="15" customHeight="1">
      <c r="A258" t="inlineStr">
        <is>
          <t>A 20705-2024</t>
        </is>
      </c>
      <c r="B258" s="1" t="n">
        <v>45436</v>
      </c>
      <c r="C258" s="1" t="n">
        <v>45570</v>
      </c>
      <c r="D258" t="inlineStr">
        <is>
          <t>VÄSTMANLANDS LÄN</t>
        </is>
      </c>
      <c r="E258" t="inlineStr">
        <is>
          <t>SURAHAMMAR</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45570</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45570</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45570</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45570</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45570</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45570</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45570</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45570</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45570</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45570</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45570</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45570</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45570</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45570</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45570</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45570</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43461-2024</t>
        </is>
      </c>
      <c r="B275" s="1" t="n">
        <v>45568</v>
      </c>
      <c r="C275" s="1" t="n">
        <v>45570</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c r="A276" t="inlineStr">
        <is>
          <t>A 43455-2024</t>
        </is>
      </c>
      <c r="B276" s="1" t="n">
        <v>45568</v>
      </c>
      <c r="C276" s="1" t="n">
        <v>45570</v>
      </c>
      <c r="D276" t="inlineStr">
        <is>
          <t>VÄSTMANLANDS LÄN</t>
        </is>
      </c>
      <c r="E276" t="inlineStr">
        <is>
          <t>SURAHAMMAR</t>
        </is>
      </c>
      <c r="F276" t="inlineStr">
        <is>
          <t>Bergvik skog väst AB</t>
        </is>
      </c>
      <c r="G276" t="n">
        <v>2.4</v>
      </c>
      <c r="H276" t="n">
        <v>0</v>
      </c>
      <c r="I276" t="n">
        <v>0</v>
      </c>
      <c r="J276" t="n">
        <v>0</v>
      </c>
      <c r="K276" t="n">
        <v>0</v>
      </c>
      <c r="L276" t="n">
        <v>0</v>
      </c>
      <c r="M276" t="n">
        <v>0</v>
      </c>
      <c r="N276" t="n">
        <v>0</v>
      </c>
      <c r="O276" t="n">
        <v>0</v>
      </c>
      <c r="P276" t="n">
        <v>0</v>
      </c>
      <c r="Q276" t="n">
        <v>0</v>
      </c>
      <c r="R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2024-10-05T13:03:20Z</dcterms:created>
  <dcterms:modified xmlns:dcterms="http://purl.org/dc/terms/" xmlns:xsi="http://www.w3.org/2001/XMLSchema-instance" xsi:type="dcterms:W3CDTF">2024-10-05T13:03:20Z</dcterms:modified>
</cp:coreProperties>
</file>