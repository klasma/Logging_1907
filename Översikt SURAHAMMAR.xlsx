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45692</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45692</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45692</v>
      </c>
      <c r="D4" t="inlineStr">
        <is>
          <t>VÄSTMANLANDS LÄN</t>
        </is>
      </c>
      <c r="E4" t="inlineStr">
        <is>
          <t>SURAHAMMAR</t>
        </is>
      </c>
      <c r="F4" t="inlineStr">
        <is>
          <t>Bergvik skog väst AB</t>
        </is>
      </c>
      <c r="G4" t="n">
        <v>20.5</v>
      </c>
      <c r="H4" t="n">
        <v>6</v>
      </c>
      <c r="I4" t="n">
        <v>9</v>
      </c>
      <c r="J4" t="n">
        <v>11</v>
      </c>
      <c r="K4" t="n">
        <v>6</v>
      </c>
      <c r="L4" t="n">
        <v>0</v>
      </c>
      <c r="M4" t="n">
        <v>0</v>
      </c>
      <c r="N4" t="n">
        <v>0</v>
      </c>
      <c r="O4" t="n">
        <v>17</v>
      </c>
      <c r="P4" t="n">
        <v>6</v>
      </c>
      <c r="Q4" t="n">
        <v>30</v>
      </c>
      <c r="R4"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45692</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45692</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45692</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45692</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45692</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45692</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45692</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45692</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45692</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45692</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21236-2021</t>
        </is>
      </c>
      <c r="B15" s="1" t="n">
        <v>44314</v>
      </c>
      <c r="C15" s="1" t="n">
        <v>45692</v>
      </c>
      <c r="D15" t="inlineStr">
        <is>
          <t>VÄSTMANLANDS LÄN</t>
        </is>
      </c>
      <c r="E15" t="inlineStr">
        <is>
          <t>SURAHAMMAR</t>
        </is>
      </c>
      <c r="F15" t="inlineStr">
        <is>
          <t>Bergvik skog väst AB</t>
        </is>
      </c>
      <c r="G15" t="n">
        <v>11.1</v>
      </c>
      <c r="H15" t="n">
        <v>5</v>
      </c>
      <c r="I15" t="n">
        <v>4</v>
      </c>
      <c r="J15" t="n">
        <v>2</v>
      </c>
      <c r="K15" t="n">
        <v>1</v>
      </c>
      <c r="L15" t="n">
        <v>0</v>
      </c>
      <c r="M15" t="n">
        <v>0</v>
      </c>
      <c r="N15" t="n">
        <v>0</v>
      </c>
      <c r="O15" t="n">
        <v>3</v>
      </c>
      <c r="P15" t="n">
        <v>1</v>
      </c>
      <c r="Q15" t="n">
        <v>10</v>
      </c>
      <c r="R15" s="2" t="inlineStr">
        <is>
          <t>Bombmurkla
Skogshare
Talltita
Fjällig taggsvamp s.str.
Grönpyrola
Tibast
Vårärt
Fläcknycklar
Blåsippa
Revlummer</t>
        </is>
      </c>
      <c r="S15">
        <f>HYPERLINK("https://klasma.github.io/Logging_1907/artfynd/A 21236-2021 artfynd.xlsx", "A 21236-2021")</f>
        <v/>
      </c>
      <c r="T15">
        <f>HYPERLINK("https://klasma.github.io/Logging_1907/kartor/A 21236-2021 karta.png", "A 21236-2021")</f>
        <v/>
      </c>
      <c r="V15">
        <f>HYPERLINK("https://klasma.github.io/Logging_1907/klagomål/A 21236-2021 FSC-klagomål.docx", "A 21236-2021")</f>
        <v/>
      </c>
      <c r="W15">
        <f>HYPERLINK("https://klasma.github.io/Logging_1907/klagomålsmail/A 21236-2021 FSC-klagomål mail.docx", "A 21236-2021")</f>
        <v/>
      </c>
      <c r="X15">
        <f>HYPERLINK("https://klasma.github.io/Logging_1907/tillsyn/A 21236-2021 tillsynsbegäran.docx", "A 21236-2021")</f>
        <v/>
      </c>
      <c r="Y15">
        <f>HYPERLINK("https://klasma.github.io/Logging_1907/tillsynsmail/A 21236-2021 tillsynsbegäran mail.docx", "A 21236-2021")</f>
        <v/>
      </c>
      <c r="Z15">
        <f>HYPERLINK("https://klasma.github.io/Logging_1907/fåglar/A 21236-2021 prioriterade fågelarter.docx", "A 21236-2021")</f>
        <v/>
      </c>
    </row>
    <row r="16" ht="15" customHeight="1">
      <c r="A16" t="inlineStr">
        <is>
          <t>A 20389-2024</t>
        </is>
      </c>
      <c r="B16" s="1" t="n">
        <v>45435</v>
      </c>
      <c r="C16" s="1" t="n">
        <v>45692</v>
      </c>
      <c r="D16" t="inlineStr">
        <is>
          <t>VÄSTMANLANDS LÄN</t>
        </is>
      </c>
      <c r="E16" t="inlineStr">
        <is>
          <t>SURAHAMMAR</t>
        </is>
      </c>
      <c r="G16" t="n">
        <v>1.5</v>
      </c>
      <c r="H16" t="n">
        <v>2</v>
      </c>
      <c r="I16" t="n">
        <v>6</v>
      </c>
      <c r="J16" t="n">
        <v>3</v>
      </c>
      <c r="K16" t="n">
        <v>1</v>
      </c>
      <c r="L16" t="n">
        <v>0</v>
      </c>
      <c r="M16" t="n">
        <v>0</v>
      </c>
      <c r="N16" t="n">
        <v>0</v>
      </c>
      <c r="O16" t="n">
        <v>4</v>
      </c>
      <c r="P16" t="n">
        <v>1</v>
      </c>
      <c r="Q16" t="n">
        <v>10</v>
      </c>
      <c r="R16" s="2" t="inlineStr">
        <is>
          <t>Knärot
Gropticka
Ullticka
Vedtrappmossa
Bollvitmossa
Bronshjon
Grön sköldmossa
Rödgul trumpetsvamp
Vedticka
Vågbandad barkbock</t>
        </is>
      </c>
      <c r="S16">
        <f>HYPERLINK("https://klasma.github.io/Logging_1907/artfynd/A 20389-2024 artfynd.xlsx", "A 20389-2024")</f>
        <v/>
      </c>
      <c r="T16">
        <f>HYPERLINK("https://klasma.github.io/Logging_1907/kartor/A 20389-2024 karta.png", "A 20389-2024")</f>
        <v/>
      </c>
      <c r="U16">
        <f>HYPERLINK("https://klasma.github.io/Logging_1907/knärot/A 20389-2024 karta knärot.png", "A 20389-2024")</f>
        <v/>
      </c>
      <c r="V16">
        <f>HYPERLINK("https://klasma.github.io/Logging_1907/klagomål/A 20389-2024 FSC-klagomål.docx", "A 20389-2024")</f>
        <v/>
      </c>
      <c r="W16">
        <f>HYPERLINK("https://klasma.github.io/Logging_1907/klagomålsmail/A 20389-2024 FSC-klagomål mail.docx", "A 20389-2024")</f>
        <v/>
      </c>
      <c r="X16">
        <f>HYPERLINK("https://klasma.github.io/Logging_1907/tillsyn/A 20389-2024 tillsynsbegäran.docx", "A 20389-2024")</f>
        <v/>
      </c>
      <c r="Y16">
        <f>HYPERLINK("https://klasma.github.io/Logging_1907/tillsynsmail/A 20389-2024 tillsynsbegäran mail.docx", "A 20389-2024")</f>
        <v/>
      </c>
    </row>
    <row r="17" ht="15" customHeight="1">
      <c r="A17" t="inlineStr">
        <is>
          <t>A 34040-2024</t>
        </is>
      </c>
      <c r="B17" s="1" t="n">
        <v>45523</v>
      </c>
      <c r="C17" s="1" t="n">
        <v>45692</v>
      </c>
      <c r="D17" t="inlineStr">
        <is>
          <t>VÄSTMANLANDS LÄN</t>
        </is>
      </c>
      <c r="E17" t="inlineStr">
        <is>
          <t>SURAHAMMAR</t>
        </is>
      </c>
      <c r="F17" t="inlineStr">
        <is>
          <t>Övriga Aktiebolag</t>
        </is>
      </c>
      <c r="G17" t="n">
        <v>6.4</v>
      </c>
      <c r="H17" t="n">
        <v>3</v>
      </c>
      <c r="I17" t="n">
        <v>4</v>
      </c>
      <c r="J17" t="n">
        <v>5</v>
      </c>
      <c r="K17" t="n">
        <v>1</v>
      </c>
      <c r="L17" t="n">
        <v>0</v>
      </c>
      <c r="M17" t="n">
        <v>0</v>
      </c>
      <c r="N17" t="n">
        <v>0</v>
      </c>
      <c r="O17" t="n">
        <v>6</v>
      </c>
      <c r="P17" t="n">
        <v>1</v>
      </c>
      <c r="Q17" t="n">
        <v>10</v>
      </c>
      <c r="R17" s="2" t="inlineStr">
        <is>
          <t>Knärot
Gränsticka
Spillkråka
Talltita
Ullticka
Vedtrappmossa
Bronshjon
Grönpyrola
Mindre märgborre
Vedticka</t>
        </is>
      </c>
      <c r="S17">
        <f>HYPERLINK("https://klasma.github.io/Logging_1907/artfynd/A 34040-2024 artfynd.xlsx", "A 34040-2024")</f>
        <v/>
      </c>
      <c r="T17">
        <f>HYPERLINK("https://klasma.github.io/Logging_1907/kartor/A 34040-2024 karta.png", "A 34040-2024")</f>
        <v/>
      </c>
      <c r="U17">
        <f>HYPERLINK("https://klasma.github.io/Logging_1907/knärot/A 34040-2024 karta knärot.png", "A 34040-2024")</f>
        <v/>
      </c>
      <c r="V17">
        <f>HYPERLINK("https://klasma.github.io/Logging_1907/klagomål/A 34040-2024 FSC-klagomål.docx", "A 34040-2024")</f>
        <v/>
      </c>
      <c r="W17">
        <f>HYPERLINK("https://klasma.github.io/Logging_1907/klagomålsmail/A 34040-2024 FSC-klagomål mail.docx", "A 34040-2024")</f>
        <v/>
      </c>
      <c r="X17">
        <f>HYPERLINK("https://klasma.github.io/Logging_1907/tillsyn/A 34040-2024 tillsynsbegäran.docx", "A 34040-2024")</f>
        <v/>
      </c>
      <c r="Y17">
        <f>HYPERLINK("https://klasma.github.io/Logging_1907/tillsynsmail/A 34040-2024 tillsynsbegäran mail.docx", "A 34040-2024")</f>
        <v/>
      </c>
      <c r="Z17">
        <f>HYPERLINK("https://klasma.github.io/Logging_1907/fåglar/A 34040-2024 prioriterade fågelarter.docx", "A 34040-2024")</f>
        <v/>
      </c>
    </row>
    <row r="18" ht="15" customHeight="1">
      <c r="A18" t="inlineStr">
        <is>
          <t>A 22907-2023</t>
        </is>
      </c>
      <c r="B18" s="1" t="n">
        <v>45070</v>
      </c>
      <c r="C18" s="1" t="n">
        <v>45692</v>
      </c>
      <c r="D18" t="inlineStr">
        <is>
          <t>VÄSTMANLANDS LÄN</t>
        </is>
      </c>
      <c r="E18" t="inlineStr">
        <is>
          <t>SURAHAMMAR</t>
        </is>
      </c>
      <c r="F18" t="inlineStr">
        <is>
          <t>Bergvik skog väst AB</t>
        </is>
      </c>
      <c r="G18" t="n">
        <v>8.300000000000001</v>
      </c>
      <c r="H18" t="n">
        <v>6</v>
      </c>
      <c r="I18" t="n">
        <v>1</v>
      </c>
      <c r="J18" t="n">
        <v>4</v>
      </c>
      <c r="K18" t="n">
        <v>0</v>
      </c>
      <c r="L18" t="n">
        <v>0</v>
      </c>
      <c r="M18" t="n">
        <v>0</v>
      </c>
      <c r="N18" t="n">
        <v>0</v>
      </c>
      <c r="O18" t="n">
        <v>4</v>
      </c>
      <c r="P18" t="n">
        <v>0</v>
      </c>
      <c r="Q18" t="n">
        <v>9</v>
      </c>
      <c r="R18" s="2" t="inlineStr">
        <is>
          <t>Slåtterfibbla
Spillkråka
Svinrot
Talltita
Barkticka
Fläcknycklar
Grönvit nattviol
Mattlummer
Revlummer</t>
        </is>
      </c>
      <c r="S18">
        <f>HYPERLINK("https://klasma.github.io/Logging_1907/artfynd/A 22907-2023 artfynd.xlsx", "A 22907-2023")</f>
        <v/>
      </c>
      <c r="T18">
        <f>HYPERLINK("https://klasma.github.io/Logging_1907/kartor/A 22907-2023 karta.png", "A 22907-2023")</f>
        <v/>
      </c>
      <c r="V18">
        <f>HYPERLINK("https://klasma.github.io/Logging_1907/klagomål/A 22907-2023 FSC-klagomål.docx", "A 22907-2023")</f>
        <v/>
      </c>
      <c r="W18">
        <f>HYPERLINK("https://klasma.github.io/Logging_1907/klagomålsmail/A 22907-2023 FSC-klagomål mail.docx", "A 22907-2023")</f>
        <v/>
      </c>
      <c r="X18">
        <f>HYPERLINK("https://klasma.github.io/Logging_1907/tillsyn/A 22907-2023 tillsynsbegäran.docx", "A 22907-2023")</f>
        <v/>
      </c>
      <c r="Y18">
        <f>HYPERLINK("https://klasma.github.io/Logging_1907/tillsynsmail/A 22907-2023 tillsynsbegäran mail.docx", "A 22907-2023")</f>
        <v/>
      </c>
      <c r="Z18">
        <f>HYPERLINK("https://klasma.github.io/Logging_1907/fåglar/A 22907-2023 prioriterade fågelarter.docx", "A 22907-2023")</f>
        <v/>
      </c>
    </row>
    <row r="19" ht="15" customHeight="1">
      <c r="A19" t="inlineStr">
        <is>
          <t>A 23039-2023</t>
        </is>
      </c>
      <c r="B19" s="1" t="n">
        <v>45074</v>
      </c>
      <c r="C19" s="1" t="n">
        <v>45692</v>
      </c>
      <c r="D19" t="inlineStr">
        <is>
          <t>VÄSTMANLANDS LÄN</t>
        </is>
      </c>
      <c r="E19" t="inlineStr">
        <is>
          <t>SURAHAMMAR</t>
        </is>
      </c>
      <c r="F19" t="inlineStr">
        <is>
          <t>Allmännings- och besparingsskogar</t>
        </is>
      </c>
      <c r="G19" t="n">
        <v>19.4</v>
      </c>
      <c r="H19" t="n">
        <v>8</v>
      </c>
      <c r="I19" t="n">
        <v>2</v>
      </c>
      <c r="J19" t="n">
        <v>1</v>
      </c>
      <c r="K19" t="n">
        <v>1</v>
      </c>
      <c r="L19" t="n">
        <v>0</v>
      </c>
      <c r="M19" t="n">
        <v>0</v>
      </c>
      <c r="N19" t="n">
        <v>0</v>
      </c>
      <c r="O19" t="n">
        <v>2</v>
      </c>
      <c r="P19" t="n">
        <v>1</v>
      </c>
      <c r="Q19" t="n">
        <v>9</v>
      </c>
      <c r="R19" s="2" t="inlineStr">
        <is>
          <t>Knärot
Spillkråka
Grönpyrola
Plattlummer
Nattskärra
Åkergroda
Fläcknycklar
Mattlummer
Revlummer</t>
        </is>
      </c>
      <c r="S19">
        <f>HYPERLINK("https://klasma.github.io/Logging_1907/artfynd/A 23039-2023 artfynd.xlsx", "A 23039-2023")</f>
        <v/>
      </c>
      <c r="T19">
        <f>HYPERLINK("https://klasma.github.io/Logging_1907/kartor/A 23039-2023 karta.png", "A 23039-2023")</f>
        <v/>
      </c>
      <c r="U19">
        <f>HYPERLINK("https://klasma.github.io/Logging_1907/knärot/A 23039-2023 karta knärot.png", "A 23039-2023")</f>
        <v/>
      </c>
      <c r="V19">
        <f>HYPERLINK("https://klasma.github.io/Logging_1907/klagomål/A 23039-2023 FSC-klagomål.docx", "A 23039-2023")</f>
        <v/>
      </c>
      <c r="W19">
        <f>HYPERLINK("https://klasma.github.io/Logging_1907/klagomålsmail/A 23039-2023 FSC-klagomål mail.docx", "A 23039-2023")</f>
        <v/>
      </c>
      <c r="X19">
        <f>HYPERLINK("https://klasma.github.io/Logging_1907/tillsyn/A 23039-2023 tillsynsbegäran.docx", "A 23039-2023")</f>
        <v/>
      </c>
      <c r="Y19">
        <f>HYPERLINK("https://klasma.github.io/Logging_1907/tillsynsmail/A 23039-2023 tillsynsbegäran mail.docx", "A 23039-2023")</f>
        <v/>
      </c>
      <c r="Z19">
        <f>HYPERLINK("https://klasma.github.io/Logging_1907/fåglar/A 23039-2023 prioriterade fågelarter.docx", "A 23039-2023")</f>
        <v/>
      </c>
    </row>
    <row r="20" ht="15" customHeight="1">
      <c r="A20" t="inlineStr">
        <is>
          <t>A 33878-2019</t>
        </is>
      </c>
      <c r="B20" s="1" t="n">
        <v>43653</v>
      </c>
      <c r="C20" s="1" t="n">
        <v>45692</v>
      </c>
      <c r="D20" t="inlineStr">
        <is>
          <t>VÄSTMANLANDS LÄN</t>
        </is>
      </c>
      <c r="E20" t="inlineStr">
        <is>
          <t>SURAHAMMAR</t>
        </is>
      </c>
      <c r="F20" t="inlineStr">
        <is>
          <t>Kyrkan</t>
        </is>
      </c>
      <c r="G20" t="n">
        <v>0.7</v>
      </c>
      <c r="H20" t="n">
        <v>2</v>
      </c>
      <c r="I20" t="n">
        <v>5</v>
      </c>
      <c r="J20" t="n">
        <v>2</v>
      </c>
      <c r="K20" t="n">
        <v>0</v>
      </c>
      <c r="L20" t="n">
        <v>0</v>
      </c>
      <c r="M20" t="n">
        <v>0</v>
      </c>
      <c r="N20" t="n">
        <v>0</v>
      </c>
      <c r="O20" t="n">
        <v>2</v>
      </c>
      <c r="P20" t="n">
        <v>0</v>
      </c>
      <c r="Q20" t="n">
        <v>8</v>
      </c>
      <c r="R20" s="2" t="inlineStr">
        <is>
          <t>Sotnätfjäril
Spillkråka
Bollvitmossa
Kornig nållav
Stubbspretmossa
Svart trolldruva
Vårärt
Blåsippa</t>
        </is>
      </c>
      <c r="S20">
        <f>HYPERLINK("https://klasma.github.io/Logging_1907/artfynd/A 33878-2019 artfynd.xlsx", "A 33878-2019")</f>
        <v/>
      </c>
      <c r="T20">
        <f>HYPERLINK("https://klasma.github.io/Logging_1907/kartor/A 33878-2019 karta.png", "A 33878-2019")</f>
        <v/>
      </c>
      <c r="V20">
        <f>HYPERLINK("https://klasma.github.io/Logging_1907/klagomål/A 33878-2019 FSC-klagomål.docx", "A 33878-2019")</f>
        <v/>
      </c>
      <c r="W20">
        <f>HYPERLINK("https://klasma.github.io/Logging_1907/klagomålsmail/A 33878-2019 FSC-klagomål mail.docx", "A 33878-2019")</f>
        <v/>
      </c>
      <c r="X20">
        <f>HYPERLINK("https://klasma.github.io/Logging_1907/tillsyn/A 33878-2019 tillsynsbegäran.docx", "A 33878-2019")</f>
        <v/>
      </c>
      <c r="Y20">
        <f>HYPERLINK("https://klasma.github.io/Logging_1907/tillsynsmail/A 33878-2019 tillsynsbegäran mail.docx", "A 33878-2019")</f>
        <v/>
      </c>
      <c r="Z20">
        <f>HYPERLINK("https://klasma.github.io/Logging_1907/fåglar/A 33878-2019 prioriterade fågelarter.docx", "A 33878-2019")</f>
        <v/>
      </c>
    </row>
    <row r="21" ht="15" customHeight="1">
      <c r="A21" t="inlineStr">
        <is>
          <t>A 65022-2023</t>
        </is>
      </c>
      <c r="B21" s="1" t="n">
        <v>45282</v>
      </c>
      <c r="C21" s="1" t="n">
        <v>45692</v>
      </c>
      <c r="D21" t="inlineStr">
        <is>
          <t>VÄSTMANLANDS LÄN</t>
        </is>
      </c>
      <c r="E21" t="inlineStr">
        <is>
          <t>SURAHAMMAR</t>
        </is>
      </c>
      <c r="F21" t="inlineStr">
        <is>
          <t>Bergvik skog väst AB</t>
        </is>
      </c>
      <c r="G21" t="n">
        <v>11</v>
      </c>
      <c r="H21" t="n">
        <v>5</v>
      </c>
      <c r="I21" t="n">
        <v>4</v>
      </c>
      <c r="J21" t="n">
        <v>1</v>
      </c>
      <c r="K21" t="n">
        <v>1</v>
      </c>
      <c r="L21" t="n">
        <v>0</v>
      </c>
      <c r="M21" t="n">
        <v>0</v>
      </c>
      <c r="N21" t="n">
        <v>0</v>
      </c>
      <c r="O21" t="n">
        <v>2</v>
      </c>
      <c r="P21" t="n">
        <v>1</v>
      </c>
      <c r="Q21" t="n">
        <v>8</v>
      </c>
      <c r="R21" s="2" t="inlineStr">
        <is>
          <t>Knärot
Spillkråka
Bronshjon
Grovticka
Grönpyrola
Plattlummer
Mattlummer
Revlummer</t>
        </is>
      </c>
      <c r="S21">
        <f>HYPERLINK("https://klasma.github.io/Logging_1907/artfynd/A 65022-2023 artfynd.xlsx", "A 65022-2023")</f>
        <v/>
      </c>
      <c r="T21">
        <f>HYPERLINK("https://klasma.github.io/Logging_1907/kartor/A 65022-2023 karta.png", "A 65022-2023")</f>
        <v/>
      </c>
      <c r="U21">
        <f>HYPERLINK("https://klasma.github.io/Logging_1907/knärot/A 65022-2023 karta knärot.png", "A 65022-2023")</f>
        <v/>
      </c>
      <c r="V21">
        <f>HYPERLINK("https://klasma.github.io/Logging_1907/klagomål/A 65022-2023 FSC-klagomål.docx", "A 65022-2023")</f>
        <v/>
      </c>
      <c r="W21">
        <f>HYPERLINK("https://klasma.github.io/Logging_1907/klagomålsmail/A 65022-2023 FSC-klagomål mail.docx", "A 65022-2023")</f>
        <v/>
      </c>
      <c r="X21">
        <f>HYPERLINK("https://klasma.github.io/Logging_1907/tillsyn/A 65022-2023 tillsynsbegäran.docx", "A 65022-2023")</f>
        <v/>
      </c>
      <c r="Y21">
        <f>HYPERLINK("https://klasma.github.io/Logging_1907/tillsynsmail/A 65022-2023 tillsynsbegäran mail.docx", "A 65022-2023")</f>
        <v/>
      </c>
      <c r="Z21">
        <f>HYPERLINK("https://klasma.github.io/Logging_1907/fåglar/A 65022-2023 prioriterade fågelarter.docx", "A 65022-2023")</f>
        <v/>
      </c>
    </row>
    <row r="22" ht="15" customHeight="1">
      <c r="A22" t="inlineStr">
        <is>
          <t>A 31125-2024</t>
        </is>
      </c>
      <c r="B22" s="1" t="n">
        <v>45502</v>
      </c>
      <c r="C22" s="1" t="n">
        <v>45692</v>
      </c>
      <c r="D22" t="inlineStr">
        <is>
          <t>VÄSTMANLANDS LÄN</t>
        </is>
      </c>
      <c r="E22" t="inlineStr">
        <is>
          <t>SURAHAMMAR</t>
        </is>
      </c>
      <c r="G22" t="n">
        <v>5.3</v>
      </c>
      <c r="H22" t="n">
        <v>2</v>
      </c>
      <c r="I22" t="n">
        <v>3</v>
      </c>
      <c r="J22" t="n">
        <v>1</v>
      </c>
      <c r="K22" t="n">
        <v>2</v>
      </c>
      <c r="L22" t="n">
        <v>0</v>
      </c>
      <c r="M22" t="n">
        <v>0</v>
      </c>
      <c r="N22" t="n">
        <v>0</v>
      </c>
      <c r="O22" t="n">
        <v>3</v>
      </c>
      <c r="P22" t="n">
        <v>2</v>
      </c>
      <c r="Q22" t="n">
        <v>7</v>
      </c>
      <c r="R22" s="2" t="inlineStr">
        <is>
          <t>Bombmurkla
Vågticka
Veckticka
Barkticka
Gulnål
Svart trolldruva
Blåsippa</t>
        </is>
      </c>
      <c r="S22">
        <f>HYPERLINK("https://klasma.github.io/Logging_1907/artfynd/A 31125-2024 artfynd.xlsx", "A 31125-2024")</f>
        <v/>
      </c>
      <c r="T22">
        <f>HYPERLINK("https://klasma.github.io/Logging_1907/kartor/A 31125-2024 karta.png", "A 31125-2024")</f>
        <v/>
      </c>
      <c r="V22">
        <f>HYPERLINK("https://klasma.github.io/Logging_1907/klagomål/A 31125-2024 FSC-klagomål.docx", "A 31125-2024")</f>
        <v/>
      </c>
      <c r="W22">
        <f>HYPERLINK("https://klasma.github.io/Logging_1907/klagomålsmail/A 31125-2024 FSC-klagomål mail.docx", "A 31125-2024")</f>
        <v/>
      </c>
      <c r="X22">
        <f>HYPERLINK("https://klasma.github.io/Logging_1907/tillsyn/A 31125-2024 tillsynsbegäran.docx", "A 31125-2024")</f>
        <v/>
      </c>
      <c r="Y22">
        <f>HYPERLINK("https://klasma.github.io/Logging_1907/tillsynsmail/A 31125-2024 tillsynsbegäran mail.docx", "A 31125-2024")</f>
        <v/>
      </c>
    </row>
    <row r="23" ht="15" customHeight="1">
      <c r="A23" t="inlineStr">
        <is>
          <t>A 66349-2021</t>
        </is>
      </c>
      <c r="B23" s="1" t="n">
        <v>44518</v>
      </c>
      <c r="C23" s="1" t="n">
        <v>45692</v>
      </c>
      <c r="D23" t="inlineStr">
        <is>
          <t>VÄSTMANLANDS LÄN</t>
        </is>
      </c>
      <c r="E23" t="inlineStr">
        <is>
          <t>SURAHAMMAR</t>
        </is>
      </c>
      <c r="F23" t="inlineStr">
        <is>
          <t>Sveaskog</t>
        </is>
      </c>
      <c r="G23" t="n">
        <v>6</v>
      </c>
      <c r="H23" t="n">
        <v>3</v>
      </c>
      <c r="I23" t="n">
        <v>2</v>
      </c>
      <c r="J23" t="n">
        <v>3</v>
      </c>
      <c r="K23" t="n">
        <v>0</v>
      </c>
      <c r="L23" t="n">
        <v>0</v>
      </c>
      <c r="M23" t="n">
        <v>0</v>
      </c>
      <c r="N23" t="n">
        <v>0</v>
      </c>
      <c r="O23" t="n">
        <v>3</v>
      </c>
      <c r="P23" t="n">
        <v>0</v>
      </c>
      <c r="Q23" t="n">
        <v>6</v>
      </c>
      <c r="R23" s="2" t="inlineStr">
        <is>
          <t>Krusfrö
Spillkråka
Talltita
Björksplintborre
Bronshjon
Fläcknycklar</t>
        </is>
      </c>
      <c r="S23">
        <f>HYPERLINK("https://klasma.github.io/Logging_1907/artfynd/A 66349-2021 artfynd.xlsx", "A 66349-2021")</f>
        <v/>
      </c>
      <c r="T23">
        <f>HYPERLINK("https://klasma.github.io/Logging_1907/kartor/A 66349-2021 karta.png", "A 66349-2021")</f>
        <v/>
      </c>
      <c r="V23">
        <f>HYPERLINK("https://klasma.github.io/Logging_1907/klagomål/A 66349-2021 FSC-klagomål.docx", "A 66349-2021")</f>
        <v/>
      </c>
      <c r="W23">
        <f>HYPERLINK("https://klasma.github.io/Logging_1907/klagomålsmail/A 66349-2021 FSC-klagomål mail.docx", "A 66349-2021")</f>
        <v/>
      </c>
      <c r="X23">
        <f>HYPERLINK("https://klasma.github.io/Logging_1907/tillsyn/A 66349-2021 tillsynsbegäran.docx", "A 66349-2021")</f>
        <v/>
      </c>
      <c r="Y23">
        <f>HYPERLINK("https://klasma.github.io/Logging_1907/tillsynsmail/A 66349-2021 tillsynsbegäran mail.docx", "A 66349-2021")</f>
        <v/>
      </c>
      <c r="Z23">
        <f>HYPERLINK("https://klasma.github.io/Logging_1907/fåglar/A 66349-2021 prioriterade fågelarter.docx", "A 66349-2021")</f>
        <v/>
      </c>
    </row>
    <row r="24" ht="15" customHeight="1">
      <c r="A24" t="inlineStr">
        <is>
          <t>A 7791-2024</t>
        </is>
      </c>
      <c r="B24" s="1" t="n">
        <v>45348</v>
      </c>
      <c r="C24" s="1" t="n">
        <v>45692</v>
      </c>
      <c r="D24" t="inlineStr">
        <is>
          <t>VÄSTMANLANDS LÄN</t>
        </is>
      </c>
      <c r="E24" t="inlineStr">
        <is>
          <t>SURAHAMMAR</t>
        </is>
      </c>
      <c r="G24" t="n">
        <v>9.6</v>
      </c>
      <c r="H24" t="n">
        <v>2</v>
      </c>
      <c r="I24" t="n">
        <v>4</v>
      </c>
      <c r="J24" t="n">
        <v>1</v>
      </c>
      <c r="K24" t="n">
        <v>0</v>
      </c>
      <c r="L24" t="n">
        <v>0</v>
      </c>
      <c r="M24" t="n">
        <v>0</v>
      </c>
      <c r="N24" t="n">
        <v>0</v>
      </c>
      <c r="O24" t="n">
        <v>1</v>
      </c>
      <c r="P24" t="n">
        <v>0</v>
      </c>
      <c r="Q24" t="n">
        <v>6</v>
      </c>
      <c r="R24" s="2" t="inlineStr">
        <is>
          <t>Talltita
Blomkålssvamp
Bronshjon
Mörk vedstrit
Vedticka
Tjäder</t>
        </is>
      </c>
      <c r="S24">
        <f>HYPERLINK("https://klasma.github.io/Logging_1907/artfynd/A 7791-2024 artfynd.xlsx", "A 7791-2024")</f>
        <v/>
      </c>
      <c r="T24">
        <f>HYPERLINK("https://klasma.github.io/Logging_1907/kartor/A 7791-2024 karta.png", "A 7791-2024")</f>
        <v/>
      </c>
      <c r="V24">
        <f>HYPERLINK("https://klasma.github.io/Logging_1907/klagomål/A 7791-2024 FSC-klagomål.docx", "A 7791-2024")</f>
        <v/>
      </c>
      <c r="W24">
        <f>HYPERLINK("https://klasma.github.io/Logging_1907/klagomålsmail/A 7791-2024 FSC-klagomål mail.docx", "A 7791-2024")</f>
        <v/>
      </c>
      <c r="X24">
        <f>HYPERLINK("https://klasma.github.io/Logging_1907/tillsyn/A 7791-2024 tillsynsbegäran.docx", "A 7791-2024")</f>
        <v/>
      </c>
      <c r="Y24">
        <f>HYPERLINK("https://klasma.github.io/Logging_1907/tillsynsmail/A 7791-2024 tillsynsbegäran mail.docx", "A 7791-2024")</f>
        <v/>
      </c>
      <c r="Z24">
        <f>HYPERLINK("https://klasma.github.io/Logging_1907/fåglar/A 7791-2024 prioriterade fågelarter.docx", "A 7791-2024")</f>
        <v/>
      </c>
    </row>
    <row r="25" ht="15" customHeight="1">
      <c r="A25" t="inlineStr">
        <is>
          <t>A 44798-2024</t>
        </is>
      </c>
      <c r="B25" s="1" t="n">
        <v>45574</v>
      </c>
      <c r="C25" s="1" t="n">
        <v>45692</v>
      </c>
      <c r="D25" t="inlineStr">
        <is>
          <t>VÄSTMANLANDS LÄN</t>
        </is>
      </c>
      <c r="E25" t="inlineStr">
        <is>
          <t>SURAHAMMAR</t>
        </is>
      </c>
      <c r="F25" t="inlineStr">
        <is>
          <t>Bergvik skog väst AB</t>
        </is>
      </c>
      <c r="G25" t="n">
        <v>4.4</v>
      </c>
      <c r="H25" t="n">
        <v>0</v>
      </c>
      <c r="I25" t="n">
        <v>1</v>
      </c>
      <c r="J25" t="n">
        <v>4</v>
      </c>
      <c r="K25" t="n">
        <v>1</v>
      </c>
      <c r="L25" t="n">
        <v>0</v>
      </c>
      <c r="M25" t="n">
        <v>0</v>
      </c>
      <c r="N25" t="n">
        <v>0</v>
      </c>
      <c r="O25" t="n">
        <v>5</v>
      </c>
      <c r="P25" t="n">
        <v>1</v>
      </c>
      <c r="Q25" t="n">
        <v>6</v>
      </c>
      <c r="R25" s="2" t="inlineStr">
        <is>
          <t>Rosetticka
Brunklöver
Persiljespindling
Svinrot
Ullticka
Brandticka</t>
        </is>
      </c>
      <c r="S25">
        <f>HYPERLINK("https://klasma.github.io/Logging_1907/artfynd/A 44798-2024 artfynd.xlsx", "A 44798-2024")</f>
        <v/>
      </c>
      <c r="T25">
        <f>HYPERLINK("https://klasma.github.io/Logging_1907/kartor/A 44798-2024 karta.png", "A 44798-2024")</f>
        <v/>
      </c>
      <c r="V25">
        <f>HYPERLINK("https://klasma.github.io/Logging_1907/klagomål/A 44798-2024 FSC-klagomål.docx", "A 44798-2024")</f>
        <v/>
      </c>
      <c r="W25">
        <f>HYPERLINK("https://klasma.github.io/Logging_1907/klagomålsmail/A 44798-2024 FSC-klagomål mail.docx", "A 44798-2024")</f>
        <v/>
      </c>
      <c r="X25">
        <f>HYPERLINK("https://klasma.github.io/Logging_1907/tillsyn/A 44798-2024 tillsynsbegäran.docx", "A 44798-2024")</f>
        <v/>
      </c>
      <c r="Y25">
        <f>HYPERLINK("https://klasma.github.io/Logging_1907/tillsynsmail/A 44798-2024 tillsynsbegäran mail.docx", "A 44798-2024")</f>
        <v/>
      </c>
    </row>
    <row r="26" ht="15" customHeight="1">
      <c r="A26" t="inlineStr">
        <is>
          <t>A 56299-2021</t>
        </is>
      </c>
      <c r="B26" s="1" t="n">
        <v>44477</v>
      </c>
      <c r="C26" s="1" t="n">
        <v>45692</v>
      </c>
      <c r="D26" t="inlineStr">
        <is>
          <t>VÄSTMANLANDS LÄN</t>
        </is>
      </c>
      <c r="E26" t="inlineStr">
        <is>
          <t>SURAHAMMAR</t>
        </is>
      </c>
      <c r="F26" t="inlineStr">
        <is>
          <t>Bergvik skog väst AB</t>
        </is>
      </c>
      <c r="G26" t="n">
        <v>8</v>
      </c>
      <c r="H26" t="n">
        <v>1</v>
      </c>
      <c r="I26" t="n">
        <v>3</v>
      </c>
      <c r="J26" t="n">
        <v>2</v>
      </c>
      <c r="K26" t="n">
        <v>0</v>
      </c>
      <c r="L26" t="n">
        <v>0</v>
      </c>
      <c r="M26" t="n">
        <v>0</v>
      </c>
      <c r="N26" t="n">
        <v>0</v>
      </c>
      <c r="O26" t="n">
        <v>2</v>
      </c>
      <c r="P26" t="n">
        <v>0</v>
      </c>
      <c r="Q26" t="n">
        <v>5</v>
      </c>
      <c r="R26" s="2" t="inlineStr">
        <is>
          <t>Större flatbagge
Tretåig hackspett
Björksplintborre
Korallblylav
Skinnlav</t>
        </is>
      </c>
      <c r="S26">
        <f>HYPERLINK("https://klasma.github.io/Logging_1907/artfynd/A 56299-2021 artfynd.xlsx", "A 56299-2021")</f>
        <v/>
      </c>
      <c r="T26">
        <f>HYPERLINK("https://klasma.github.io/Logging_1907/kartor/A 56299-2021 karta.png", "A 56299-2021")</f>
        <v/>
      </c>
      <c r="V26">
        <f>HYPERLINK("https://klasma.github.io/Logging_1907/klagomål/A 56299-2021 FSC-klagomål.docx", "A 56299-2021")</f>
        <v/>
      </c>
      <c r="W26">
        <f>HYPERLINK("https://klasma.github.io/Logging_1907/klagomålsmail/A 56299-2021 FSC-klagomål mail.docx", "A 56299-2021")</f>
        <v/>
      </c>
      <c r="X26">
        <f>HYPERLINK("https://klasma.github.io/Logging_1907/tillsyn/A 56299-2021 tillsynsbegäran.docx", "A 56299-2021")</f>
        <v/>
      </c>
      <c r="Y26">
        <f>HYPERLINK("https://klasma.github.io/Logging_1907/tillsynsmail/A 56299-2021 tillsynsbegäran mail.docx", "A 56299-2021")</f>
        <v/>
      </c>
      <c r="Z26">
        <f>HYPERLINK("https://klasma.github.io/Logging_1907/fåglar/A 56299-2021 prioriterade fågelarter.docx", "A 56299-2021")</f>
        <v/>
      </c>
    </row>
    <row r="27" ht="15" customHeight="1">
      <c r="A27" t="inlineStr">
        <is>
          <t>A 13994-2023</t>
        </is>
      </c>
      <c r="B27" s="1" t="n">
        <v>45007</v>
      </c>
      <c r="C27" s="1" t="n">
        <v>45692</v>
      </c>
      <c r="D27" t="inlineStr">
        <is>
          <t>VÄSTMANLANDS LÄN</t>
        </is>
      </c>
      <c r="E27" t="inlineStr">
        <is>
          <t>SURAHAMMAR</t>
        </is>
      </c>
      <c r="F27" t="inlineStr">
        <is>
          <t>Bergvik skog väst AB</t>
        </is>
      </c>
      <c r="G27" t="n">
        <v>14.2</v>
      </c>
      <c r="H27" t="n">
        <v>2</v>
      </c>
      <c r="I27" t="n">
        <v>2</v>
      </c>
      <c r="J27" t="n">
        <v>1</v>
      </c>
      <c r="K27" t="n">
        <v>1</v>
      </c>
      <c r="L27" t="n">
        <v>0</v>
      </c>
      <c r="M27" t="n">
        <v>0</v>
      </c>
      <c r="N27" t="n">
        <v>0</v>
      </c>
      <c r="O27" t="n">
        <v>2</v>
      </c>
      <c r="P27" t="n">
        <v>1</v>
      </c>
      <c r="Q27" t="n">
        <v>5</v>
      </c>
      <c r="R27" s="2" t="inlineStr">
        <is>
          <t>Knärot
Tallticka
Mindre märgborre
Vedticka
Mattlummer</t>
        </is>
      </c>
      <c r="S27">
        <f>HYPERLINK("https://klasma.github.io/Logging_1907/artfynd/A 13994-2023 artfynd.xlsx", "A 13994-2023")</f>
        <v/>
      </c>
      <c r="T27">
        <f>HYPERLINK("https://klasma.github.io/Logging_1907/kartor/A 13994-2023 karta.png", "A 13994-2023")</f>
        <v/>
      </c>
      <c r="U27">
        <f>HYPERLINK("https://klasma.github.io/Logging_1907/knärot/A 13994-2023 karta knärot.png", "A 13994-2023")</f>
        <v/>
      </c>
      <c r="V27">
        <f>HYPERLINK("https://klasma.github.io/Logging_1907/klagomål/A 13994-2023 FSC-klagomål.docx", "A 13994-2023")</f>
        <v/>
      </c>
      <c r="W27">
        <f>HYPERLINK("https://klasma.github.io/Logging_1907/klagomålsmail/A 13994-2023 FSC-klagomål mail.docx", "A 13994-2023")</f>
        <v/>
      </c>
      <c r="X27">
        <f>HYPERLINK("https://klasma.github.io/Logging_1907/tillsyn/A 13994-2023 tillsynsbegäran.docx", "A 13994-2023")</f>
        <v/>
      </c>
      <c r="Y27">
        <f>HYPERLINK("https://klasma.github.io/Logging_1907/tillsynsmail/A 13994-2023 tillsynsbegäran mail.docx", "A 13994-2023")</f>
        <v/>
      </c>
    </row>
    <row r="28" ht="15" customHeight="1">
      <c r="A28" t="inlineStr">
        <is>
          <t>A 22033-2020</t>
        </is>
      </c>
      <c r="B28" s="1" t="n">
        <v>43959</v>
      </c>
      <c r="C28" s="1" t="n">
        <v>45692</v>
      </c>
      <c r="D28" t="inlineStr">
        <is>
          <t>VÄSTMANLANDS LÄN</t>
        </is>
      </c>
      <c r="E28" t="inlineStr">
        <is>
          <t>SURAHAMMAR</t>
        </is>
      </c>
      <c r="G28" t="n">
        <v>0.5</v>
      </c>
      <c r="H28" t="n">
        <v>2</v>
      </c>
      <c r="I28" t="n">
        <v>1</v>
      </c>
      <c r="J28" t="n">
        <v>0</v>
      </c>
      <c r="K28" t="n">
        <v>3</v>
      </c>
      <c r="L28" t="n">
        <v>0</v>
      </c>
      <c r="M28" t="n">
        <v>0</v>
      </c>
      <c r="N28" t="n">
        <v>0</v>
      </c>
      <c r="O28" t="n">
        <v>3</v>
      </c>
      <c r="P28" t="n">
        <v>3</v>
      </c>
      <c r="Q28" t="n">
        <v>4</v>
      </c>
      <c r="R28" s="2" t="inlineStr">
        <is>
          <t>Bombmurkla
Knärot
Vågticka
Vedticka</t>
        </is>
      </c>
      <c r="S28">
        <f>HYPERLINK("https://klasma.github.io/Logging_1907/artfynd/A 22033-2020 artfynd.xlsx", "A 22033-2020")</f>
        <v/>
      </c>
      <c r="T28">
        <f>HYPERLINK("https://klasma.github.io/Logging_1907/kartor/A 22033-2020 karta.png", "A 22033-2020")</f>
        <v/>
      </c>
      <c r="U28">
        <f>HYPERLINK("https://klasma.github.io/Logging_1907/knärot/A 22033-2020 karta knärot.png", "A 22033-2020")</f>
        <v/>
      </c>
      <c r="V28">
        <f>HYPERLINK("https://klasma.github.io/Logging_1907/klagomål/A 22033-2020 FSC-klagomål.docx", "A 22033-2020")</f>
        <v/>
      </c>
      <c r="W28">
        <f>HYPERLINK("https://klasma.github.io/Logging_1907/klagomålsmail/A 22033-2020 FSC-klagomål mail.docx", "A 22033-2020")</f>
        <v/>
      </c>
      <c r="X28">
        <f>HYPERLINK("https://klasma.github.io/Logging_1907/tillsyn/A 22033-2020 tillsynsbegäran.docx", "A 22033-2020")</f>
        <v/>
      </c>
      <c r="Y28">
        <f>HYPERLINK("https://klasma.github.io/Logging_1907/tillsynsmail/A 22033-2020 tillsynsbegäran mail.docx", "A 22033-2020")</f>
        <v/>
      </c>
    </row>
    <row r="29" ht="15" customHeight="1">
      <c r="A29" t="inlineStr">
        <is>
          <t>A 35620-2023</t>
        </is>
      </c>
      <c r="B29" s="1" t="n">
        <v>45147</v>
      </c>
      <c r="C29" s="1" t="n">
        <v>45692</v>
      </c>
      <c r="D29" t="inlineStr">
        <is>
          <t>VÄSTMANLANDS LÄN</t>
        </is>
      </c>
      <c r="E29" t="inlineStr">
        <is>
          <t>SURAHAMMAR</t>
        </is>
      </c>
      <c r="G29" t="n">
        <v>20.3</v>
      </c>
      <c r="H29" t="n">
        <v>3</v>
      </c>
      <c r="I29" t="n">
        <v>1</v>
      </c>
      <c r="J29" t="n">
        <v>0</v>
      </c>
      <c r="K29" t="n">
        <v>1</v>
      </c>
      <c r="L29" t="n">
        <v>0</v>
      </c>
      <c r="M29" t="n">
        <v>0</v>
      </c>
      <c r="N29" t="n">
        <v>0</v>
      </c>
      <c r="O29" t="n">
        <v>1</v>
      </c>
      <c r="P29" t="n">
        <v>1</v>
      </c>
      <c r="Q29" t="n">
        <v>4</v>
      </c>
      <c r="R29" s="2" t="inlineStr">
        <is>
          <t>Knärot
Vedticka
Sparvuggla
Blåsippa</t>
        </is>
      </c>
      <c r="S29">
        <f>HYPERLINK("https://klasma.github.io/Logging_1907/artfynd/A 35620-2023 artfynd.xlsx", "A 35620-2023")</f>
        <v/>
      </c>
      <c r="T29">
        <f>HYPERLINK("https://klasma.github.io/Logging_1907/kartor/A 35620-2023 karta.png", "A 35620-2023")</f>
        <v/>
      </c>
      <c r="U29">
        <f>HYPERLINK("https://klasma.github.io/Logging_1907/knärot/A 35620-2023 karta knärot.png", "A 35620-2023")</f>
        <v/>
      </c>
      <c r="V29">
        <f>HYPERLINK("https://klasma.github.io/Logging_1907/klagomål/A 35620-2023 FSC-klagomål.docx", "A 35620-2023")</f>
        <v/>
      </c>
      <c r="W29">
        <f>HYPERLINK("https://klasma.github.io/Logging_1907/klagomålsmail/A 35620-2023 FSC-klagomål mail.docx", "A 35620-2023")</f>
        <v/>
      </c>
      <c r="X29">
        <f>HYPERLINK("https://klasma.github.io/Logging_1907/tillsyn/A 35620-2023 tillsynsbegäran.docx", "A 35620-2023")</f>
        <v/>
      </c>
      <c r="Y29">
        <f>HYPERLINK("https://klasma.github.io/Logging_1907/tillsynsmail/A 35620-2023 tillsynsbegäran mail.docx", "A 35620-2023")</f>
        <v/>
      </c>
      <c r="Z29">
        <f>HYPERLINK("https://klasma.github.io/Logging_1907/fåglar/A 35620-2023 prioriterade fågelarter.docx", "A 35620-2023")</f>
        <v/>
      </c>
    </row>
    <row r="30" ht="15" customHeight="1">
      <c r="A30" t="inlineStr">
        <is>
          <t>A 48891-2023</t>
        </is>
      </c>
      <c r="B30" s="1" t="n">
        <v>45203</v>
      </c>
      <c r="C30" s="1" t="n">
        <v>45692</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45692</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45692</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38172-2024</t>
        </is>
      </c>
      <c r="B33" s="1" t="n">
        <v>45545</v>
      </c>
      <c r="C33" s="1" t="n">
        <v>45692</v>
      </c>
      <c r="D33" t="inlineStr">
        <is>
          <t>VÄSTMANLANDS LÄN</t>
        </is>
      </c>
      <c r="E33" t="inlineStr">
        <is>
          <t>SURAHAMMAR</t>
        </is>
      </c>
      <c r="F33" t="inlineStr">
        <is>
          <t>Sveaskog</t>
        </is>
      </c>
      <c r="G33" t="n">
        <v>5.2</v>
      </c>
      <c r="H33" t="n">
        <v>2</v>
      </c>
      <c r="I33" t="n">
        <v>0</v>
      </c>
      <c r="J33" t="n">
        <v>2</v>
      </c>
      <c r="K33" t="n">
        <v>1</v>
      </c>
      <c r="L33" t="n">
        <v>0</v>
      </c>
      <c r="M33" t="n">
        <v>0</v>
      </c>
      <c r="N33" t="n">
        <v>0</v>
      </c>
      <c r="O33" t="n">
        <v>3</v>
      </c>
      <c r="P33" t="n">
        <v>1</v>
      </c>
      <c r="Q33" t="n">
        <v>4</v>
      </c>
      <c r="R33" s="2" t="inlineStr">
        <is>
          <t>Knärot
Gropticka
Vedtrappmossa
Revlummer</t>
        </is>
      </c>
      <c r="S33">
        <f>HYPERLINK("https://klasma.github.io/Logging_1907/artfynd/A 38172-2024 artfynd.xlsx", "A 38172-2024")</f>
        <v/>
      </c>
      <c r="T33">
        <f>HYPERLINK("https://klasma.github.io/Logging_1907/kartor/A 38172-2024 karta.png", "A 38172-2024")</f>
        <v/>
      </c>
      <c r="U33">
        <f>HYPERLINK("https://klasma.github.io/Logging_1907/knärot/A 38172-2024 karta knärot.png", "A 38172-2024")</f>
        <v/>
      </c>
      <c r="V33">
        <f>HYPERLINK("https://klasma.github.io/Logging_1907/klagomål/A 38172-2024 FSC-klagomål.docx", "A 38172-2024")</f>
        <v/>
      </c>
      <c r="W33">
        <f>HYPERLINK("https://klasma.github.io/Logging_1907/klagomålsmail/A 38172-2024 FSC-klagomål mail.docx", "A 38172-2024")</f>
        <v/>
      </c>
      <c r="X33">
        <f>HYPERLINK("https://klasma.github.io/Logging_1907/tillsyn/A 38172-2024 tillsynsbegäran.docx", "A 38172-2024")</f>
        <v/>
      </c>
      <c r="Y33">
        <f>HYPERLINK("https://klasma.github.io/Logging_1907/tillsynsmail/A 38172-2024 tillsynsbegäran mail.docx", "A 38172-2024")</f>
        <v/>
      </c>
    </row>
    <row r="34" ht="15" customHeight="1">
      <c r="A34" t="inlineStr">
        <is>
          <t>A 4105-2025</t>
        </is>
      </c>
      <c r="B34" s="1" t="n">
        <v>45684</v>
      </c>
      <c r="C34" s="1" t="n">
        <v>45692</v>
      </c>
      <c r="D34" t="inlineStr">
        <is>
          <t>VÄSTMANLANDS LÄN</t>
        </is>
      </c>
      <c r="E34" t="inlineStr">
        <is>
          <t>SURAHAMMAR</t>
        </is>
      </c>
      <c r="F34" t="inlineStr">
        <is>
          <t>Bergvik skog väst AB</t>
        </is>
      </c>
      <c r="G34" t="n">
        <v>14.7</v>
      </c>
      <c r="H34" t="n">
        <v>3</v>
      </c>
      <c r="I34" t="n">
        <v>0</v>
      </c>
      <c r="J34" t="n">
        <v>2</v>
      </c>
      <c r="K34" t="n">
        <v>1</v>
      </c>
      <c r="L34" t="n">
        <v>0</v>
      </c>
      <c r="M34" t="n">
        <v>0</v>
      </c>
      <c r="N34" t="n">
        <v>0</v>
      </c>
      <c r="O34" t="n">
        <v>3</v>
      </c>
      <c r="P34" t="n">
        <v>1</v>
      </c>
      <c r="Q34" t="n">
        <v>4</v>
      </c>
      <c r="R34" s="2" t="inlineStr">
        <is>
          <t>Knärot
Havsörn
Ullticka
Revlummer</t>
        </is>
      </c>
      <c r="S34">
        <f>HYPERLINK("https://klasma.github.io/Logging_1907/artfynd/A 4105-2025 artfynd.xlsx", "A 4105-2025")</f>
        <v/>
      </c>
      <c r="T34">
        <f>HYPERLINK("https://klasma.github.io/Logging_1907/kartor/A 4105-2025 karta.png", "A 4105-2025")</f>
        <v/>
      </c>
      <c r="U34">
        <f>HYPERLINK("https://klasma.github.io/Logging_1907/knärot/A 4105-2025 karta knärot.png", "A 4105-2025")</f>
        <v/>
      </c>
      <c r="V34">
        <f>HYPERLINK("https://klasma.github.io/Logging_1907/klagomål/A 4105-2025 FSC-klagomål.docx", "A 4105-2025")</f>
        <v/>
      </c>
      <c r="W34">
        <f>HYPERLINK("https://klasma.github.io/Logging_1907/klagomålsmail/A 4105-2025 FSC-klagomål mail.docx", "A 4105-2025")</f>
        <v/>
      </c>
      <c r="X34">
        <f>HYPERLINK("https://klasma.github.io/Logging_1907/tillsyn/A 4105-2025 tillsynsbegäran.docx", "A 4105-2025")</f>
        <v/>
      </c>
      <c r="Y34">
        <f>HYPERLINK("https://klasma.github.io/Logging_1907/tillsynsmail/A 4105-2025 tillsynsbegäran mail.docx", "A 4105-2025")</f>
        <v/>
      </c>
      <c r="Z34">
        <f>HYPERLINK("https://klasma.github.io/Logging_1907/fåglar/A 4105-2025 prioriterade fågelarter.docx", "A 4105-2025")</f>
        <v/>
      </c>
    </row>
    <row r="35" ht="15" customHeight="1">
      <c r="A35" t="inlineStr">
        <is>
          <t>A 43169-2020</t>
        </is>
      </c>
      <c r="B35" s="1" t="n">
        <v>44081</v>
      </c>
      <c r="C35" s="1" t="n">
        <v>45692</v>
      </c>
      <c r="D35" t="inlineStr">
        <is>
          <t>VÄSTMANLANDS LÄN</t>
        </is>
      </c>
      <c r="E35" t="inlineStr">
        <is>
          <t>SURAHAMMAR</t>
        </is>
      </c>
      <c r="F35" t="inlineStr">
        <is>
          <t>Sveaskog</t>
        </is>
      </c>
      <c r="G35" t="n">
        <v>6.4</v>
      </c>
      <c r="H35" t="n">
        <v>1</v>
      </c>
      <c r="I35" t="n">
        <v>0</v>
      </c>
      <c r="J35" t="n">
        <v>2</v>
      </c>
      <c r="K35" t="n">
        <v>1</v>
      </c>
      <c r="L35" t="n">
        <v>0</v>
      </c>
      <c r="M35" t="n">
        <v>0</v>
      </c>
      <c r="N35" t="n">
        <v>0</v>
      </c>
      <c r="O35" t="n">
        <v>3</v>
      </c>
      <c r="P35" t="n">
        <v>1</v>
      </c>
      <c r="Q35" t="n">
        <v>3</v>
      </c>
      <c r="R35" s="2" t="inlineStr">
        <is>
          <t>Hängticka
Björktrast
Kandelabersvamp</t>
        </is>
      </c>
      <c r="S35">
        <f>HYPERLINK("https://klasma.github.io/Logging_1907/artfynd/A 43169-2020 artfynd.xlsx", "A 43169-2020")</f>
        <v/>
      </c>
      <c r="T35">
        <f>HYPERLINK("https://klasma.github.io/Logging_1907/kartor/A 43169-2020 karta.png", "A 43169-2020")</f>
        <v/>
      </c>
      <c r="V35">
        <f>HYPERLINK("https://klasma.github.io/Logging_1907/klagomål/A 43169-2020 FSC-klagomål.docx", "A 43169-2020")</f>
        <v/>
      </c>
      <c r="W35">
        <f>HYPERLINK("https://klasma.github.io/Logging_1907/klagomålsmail/A 43169-2020 FSC-klagomål mail.docx", "A 43169-2020")</f>
        <v/>
      </c>
      <c r="X35">
        <f>HYPERLINK("https://klasma.github.io/Logging_1907/tillsyn/A 43169-2020 tillsynsbegäran.docx", "A 43169-2020")</f>
        <v/>
      </c>
      <c r="Y35">
        <f>HYPERLINK("https://klasma.github.io/Logging_1907/tillsynsmail/A 43169-2020 tillsynsbegäran mail.docx", "A 43169-2020")</f>
        <v/>
      </c>
      <c r="Z35">
        <f>HYPERLINK("https://klasma.github.io/Logging_1907/fåglar/A 43169-2020 prioriterade fågelarter.docx", "A 43169-2020")</f>
        <v/>
      </c>
    </row>
    <row r="36" ht="15" customHeight="1">
      <c r="A36" t="inlineStr">
        <is>
          <t>A 59550-2020</t>
        </is>
      </c>
      <c r="B36" s="1" t="n">
        <v>44148</v>
      </c>
      <c r="C36" s="1" t="n">
        <v>45692</v>
      </c>
      <c r="D36" t="inlineStr">
        <is>
          <t>VÄSTMANLANDS LÄN</t>
        </is>
      </c>
      <c r="E36" t="inlineStr">
        <is>
          <t>SURAHAMMAR</t>
        </is>
      </c>
      <c r="G36" t="n">
        <v>0.8</v>
      </c>
      <c r="H36" t="n">
        <v>1</v>
      </c>
      <c r="I36" t="n">
        <v>1</v>
      </c>
      <c r="J36" t="n">
        <v>1</v>
      </c>
      <c r="K36" t="n">
        <v>0</v>
      </c>
      <c r="L36" t="n">
        <v>0</v>
      </c>
      <c r="M36" t="n">
        <v>0</v>
      </c>
      <c r="N36" t="n">
        <v>0</v>
      </c>
      <c r="O36" t="n">
        <v>1</v>
      </c>
      <c r="P36" t="n">
        <v>0</v>
      </c>
      <c r="Q36" t="n">
        <v>3</v>
      </c>
      <c r="R36" s="2" t="inlineStr">
        <is>
          <t>Ljusskivig lerskivling
Hasselticka
Blåsippa</t>
        </is>
      </c>
      <c r="S36">
        <f>HYPERLINK("https://klasma.github.io/Logging_1907/artfynd/A 59550-2020 artfynd.xlsx", "A 59550-2020")</f>
        <v/>
      </c>
      <c r="T36">
        <f>HYPERLINK("https://klasma.github.io/Logging_1907/kartor/A 59550-2020 karta.png", "A 59550-2020")</f>
        <v/>
      </c>
      <c r="V36">
        <f>HYPERLINK("https://klasma.github.io/Logging_1907/klagomål/A 59550-2020 FSC-klagomål.docx", "A 59550-2020")</f>
        <v/>
      </c>
      <c r="W36">
        <f>HYPERLINK("https://klasma.github.io/Logging_1907/klagomålsmail/A 59550-2020 FSC-klagomål mail.docx", "A 59550-2020")</f>
        <v/>
      </c>
      <c r="X36">
        <f>HYPERLINK("https://klasma.github.io/Logging_1907/tillsyn/A 59550-2020 tillsynsbegäran.docx", "A 59550-2020")</f>
        <v/>
      </c>
      <c r="Y36">
        <f>HYPERLINK("https://klasma.github.io/Logging_1907/tillsynsmail/A 59550-2020 tillsynsbegäran mail.docx", "A 59550-2020")</f>
        <v/>
      </c>
    </row>
    <row r="37" ht="15" customHeight="1">
      <c r="A37" t="inlineStr">
        <is>
          <t>A 38200-2021</t>
        </is>
      </c>
      <c r="B37" s="1" t="n">
        <v>44405</v>
      </c>
      <c r="C37" s="1" t="n">
        <v>45692</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8552-2022</t>
        </is>
      </c>
      <c r="B38" s="1" t="n">
        <v>44613</v>
      </c>
      <c r="C38" s="1" t="n">
        <v>45692</v>
      </c>
      <c r="D38" t="inlineStr">
        <is>
          <t>VÄSTMANLANDS LÄN</t>
        </is>
      </c>
      <c r="E38" t="inlineStr">
        <is>
          <t>SURAHAMMAR</t>
        </is>
      </c>
      <c r="F38" t="inlineStr">
        <is>
          <t>Bergvik skog väst AB</t>
        </is>
      </c>
      <c r="G38" t="n">
        <v>3.2</v>
      </c>
      <c r="H38" t="n">
        <v>2</v>
      </c>
      <c r="I38" t="n">
        <v>1</v>
      </c>
      <c r="J38" t="n">
        <v>2</v>
      </c>
      <c r="K38" t="n">
        <v>0</v>
      </c>
      <c r="L38" t="n">
        <v>0</v>
      </c>
      <c r="M38" t="n">
        <v>0</v>
      </c>
      <c r="N38" t="n">
        <v>0</v>
      </c>
      <c r="O38" t="n">
        <v>2</v>
      </c>
      <c r="P38" t="n">
        <v>0</v>
      </c>
      <c r="Q38" t="n">
        <v>3</v>
      </c>
      <c r="R38" s="2" t="inlineStr">
        <is>
          <t>Spillkråka
Talltita
Mindre märgborre</t>
        </is>
      </c>
      <c r="S38">
        <f>HYPERLINK("https://klasma.github.io/Logging_1907/artfynd/A 8552-2022 artfynd.xlsx", "A 8552-2022")</f>
        <v/>
      </c>
      <c r="T38">
        <f>HYPERLINK("https://klasma.github.io/Logging_1907/kartor/A 8552-2022 karta.png", "A 8552-2022")</f>
        <v/>
      </c>
      <c r="V38">
        <f>HYPERLINK("https://klasma.github.io/Logging_1907/klagomål/A 8552-2022 FSC-klagomål.docx", "A 8552-2022")</f>
        <v/>
      </c>
      <c r="W38">
        <f>HYPERLINK("https://klasma.github.io/Logging_1907/klagomålsmail/A 8552-2022 FSC-klagomål mail.docx", "A 8552-2022")</f>
        <v/>
      </c>
      <c r="X38">
        <f>HYPERLINK("https://klasma.github.io/Logging_1907/tillsyn/A 8552-2022 tillsynsbegäran.docx", "A 8552-2022")</f>
        <v/>
      </c>
      <c r="Y38">
        <f>HYPERLINK("https://klasma.github.io/Logging_1907/tillsynsmail/A 8552-2022 tillsynsbegäran mail.docx", "A 8552-2022")</f>
        <v/>
      </c>
      <c r="Z38">
        <f>HYPERLINK("https://klasma.github.io/Logging_1907/fåglar/A 8552-2022 prioriterade fågelarter.docx", "A 8552-2022")</f>
        <v/>
      </c>
    </row>
    <row r="39" ht="15" customHeight="1">
      <c r="A39" t="inlineStr">
        <is>
          <t>A 42708-2022</t>
        </is>
      </c>
      <c r="B39" s="1" t="n">
        <v>44832</v>
      </c>
      <c r="C39" s="1" t="n">
        <v>45692</v>
      </c>
      <c r="D39" t="inlineStr">
        <is>
          <t>VÄSTMANLANDS LÄN</t>
        </is>
      </c>
      <c r="E39" t="inlineStr">
        <is>
          <t>SURAHAMMAR</t>
        </is>
      </c>
      <c r="G39" t="n">
        <v>27.2</v>
      </c>
      <c r="H39" t="n">
        <v>3</v>
      </c>
      <c r="I39" t="n">
        <v>0</v>
      </c>
      <c r="J39" t="n">
        <v>2</v>
      </c>
      <c r="K39" t="n">
        <v>0</v>
      </c>
      <c r="L39" t="n">
        <v>0</v>
      </c>
      <c r="M39" t="n">
        <v>0</v>
      </c>
      <c r="N39" t="n">
        <v>0</v>
      </c>
      <c r="O39" t="n">
        <v>2</v>
      </c>
      <c r="P39" t="n">
        <v>0</v>
      </c>
      <c r="Q39" t="n">
        <v>3</v>
      </c>
      <c r="R39" s="2" t="inlineStr">
        <is>
          <t>Entita
Spillkråka
Blåsippa</t>
        </is>
      </c>
      <c r="S39">
        <f>HYPERLINK("https://klasma.github.io/Logging_1907/artfynd/A 42708-2022 artfynd.xlsx", "A 42708-2022")</f>
        <v/>
      </c>
      <c r="T39">
        <f>HYPERLINK("https://klasma.github.io/Logging_1907/kartor/A 42708-2022 karta.png", "A 42708-2022")</f>
        <v/>
      </c>
      <c r="V39">
        <f>HYPERLINK("https://klasma.github.io/Logging_1907/klagomål/A 42708-2022 FSC-klagomål.docx", "A 42708-2022")</f>
        <v/>
      </c>
      <c r="W39">
        <f>HYPERLINK("https://klasma.github.io/Logging_1907/klagomålsmail/A 42708-2022 FSC-klagomål mail.docx", "A 42708-2022")</f>
        <v/>
      </c>
      <c r="X39">
        <f>HYPERLINK("https://klasma.github.io/Logging_1907/tillsyn/A 42708-2022 tillsynsbegäran.docx", "A 42708-2022")</f>
        <v/>
      </c>
      <c r="Y39">
        <f>HYPERLINK("https://klasma.github.io/Logging_1907/tillsynsmail/A 42708-2022 tillsynsbegäran mail.docx", "A 42708-2022")</f>
        <v/>
      </c>
      <c r="Z39">
        <f>HYPERLINK("https://klasma.github.io/Logging_1907/fåglar/A 42708-2022 prioriterade fågelarter.docx", "A 42708-2022")</f>
        <v/>
      </c>
    </row>
    <row r="40" ht="15" customHeight="1">
      <c r="A40" t="inlineStr">
        <is>
          <t>A 42853-2022</t>
        </is>
      </c>
      <c r="B40" s="1" t="n">
        <v>44832</v>
      </c>
      <c r="C40" s="1" t="n">
        <v>45692</v>
      </c>
      <c r="D40" t="inlineStr">
        <is>
          <t>VÄSTMANLANDS LÄN</t>
        </is>
      </c>
      <c r="E40" t="inlineStr">
        <is>
          <t>SURAHAMMAR</t>
        </is>
      </c>
      <c r="G40" t="n">
        <v>7.4</v>
      </c>
      <c r="H40" t="n">
        <v>1</v>
      </c>
      <c r="I40" t="n">
        <v>1</v>
      </c>
      <c r="J40" t="n">
        <v>1</v>
      </c>
      <c r="K40" t="n">
        <v>0</v>
      </c>
      <c r="L40" t="n">
        <v>1</v>
      </c>
      <c r="M40" t="n">
        <v>0</v>
      </c>
      <c r="N40" t="n">
        <v>0</v>
      </c>
      <c r="O40" t="n">
        <v>2</v>
      </c>
      <c r="P40" t="n">
        <v>1</v>
      </c>
      <c r="Q40" t="n">
        <v>3</v>
      </c>
      <c r="R40" s="2" t="inlineStr">
        <is>
          <t>Ask
Kandelabersvamp
Tvåblad</t>
        </is>
      </c>
      <c r="S40">
        <f>HYPERLINK("https://klasma.github.io/Logging_1907/artfynd/A 42853-2022 artfynd.xlsx", "A 42853-2022")</f>
        <v/>
      </c>
      <c r="T40">
        <f>HYPERLINK("https://klasma.github.io/Logging_1907/kartor/A 42853-2022 karta.png", "A 42853-2022")</f>
        <v/>
      </c>
      <c r="V40">
        <f>HYPERLINK("https://klasma.github.io/Logging_1907/klagomål/A 42853-2022 FSC-klagomål.docx", "A 42853-2022")</f>
        <v/>
      </c>
      <c r="W40">
        <f>HYPERLINK("https://klasma.github.io/Logging_1907/klagomålsmail/A 42853-2022 FSC-klagomål mail.docx", "A 42853-2022")</f>
        <v/>
      </c>
      <c r="X40">
        <f>HYPERLINK("https://klasma.github.io/Logging_1907/tillsyn/A 42853-2022 tillsynsbegäran.docx", "A 42853-2022")</f>
        <v/>
      </c>
      <c r="Y40">
        <f>HYPERLINK("https://klasma.github.io/Logging_1907/tillsynsmail/A 42853-2022 tillsynsbegäran mail.docx", "A 42853-2022")</f>
        <v/>
      </c>
    </row>
    <row r="41" ht="15" customHeight="1">
      <c r="A41" t="inlineStr">
        <is>
          <t>A 42860-2022</t>
        </is>
      </c>
      <c r="B41" s="1" t="n">
        <v>44832</v>
      </c>
      <c r="C41" s="1" t="n">
        <v>45692</v>
      </c>
      <c r="D41" t="inlineStr">
        <is>
          <t>VÄSTMANLANDS LÄN</t>
        </is>
      </c>
      <c r="E41" t="inlineStr">
        <is>
          <t>SURAHAMMAR</t>
        </is>
      </c>
      <c r="G41" t="n">
        <v>0.9</v>
      </c>
      <c r="H41" t="n">
        <v>0</v>
      </c>
      <c r="I41" t="n">
        <v>1</v>
      </c>
      <c r="J41" t="n">
        <v>0</v>
      </c>
      <c r="K41" t="n">
        <v>0</v>
      </c>
      <c r="L41" t="n">
        <v>1</v>
      </c>
      <c r="M41" t="n">
        <v>1</v>
      </c>
      <c r="N41" t="n">
        <v>0</v>
      </c>
      <c r="O41" t="n">
        <v>2</v>
      </c>
      <c r="P41" t="n">
        <v>2</v>
      </c>
      <c r="Q41" t="n">
        <v>3</v>
      </c>
      <c r="R41" s="2" t="inlineStr">
        <is>
          <t>Skogsalm
Ask
Scharlakansvårskål agg.</t>
        </is>
      </c>
      <c r="S41">
        <f>HYPERLINK("https://klasma.github.io/Logging_1907/artfynd/A 42860-2022 artfynd.xlsx", "A 42860-2022")</f>
        <v/>
      </c>
      <c r="T41">
        <f>HYPERLINK("https://klasma.github.io/Logging_1907/kartor/A 42860-2022 karta.png", "A 42860-2022")</f>
        <v/>
      </c>
      <c r="V41">
        <f>HYPERLINK("https://klasma.github.io/Logging_1907/klagomål/A 42860-2022 FSC-klagomål.docx", "A 42860-2022")</f>
        <v/>
      </c>
      <c r="W41">
        <f>HYPERLINK("https://klasma.github.io/Logging_1907/klagomålsmail/A 42860-2022 FSC-klagomål mail.docx", "A 42860-2022")</f>
        <v/>
      </c>
      <c r="X41">
        <f>HYPERLINK("https://klasma.github.io/Logging_1907/tillsyn/A 42860-2022 tillsynsbegäran.docx", "A 42860-2022")</f>
        <v/>
      </c>
      <c r="Y41">
        <f>HYPERLINK("https://klasma.github.io/Logging_1907/tillsynsmail/A 42860-2022 tillsynsbegäran mail.docx", "A 42860-2022")</f>
        <v/>
      </c>
    </row>
    <row r="42" ht="15" customHeight="1">
      <c r="A42" t="inlineStr">
        <is>
          <t>A 3012-2023</t>
        </is>
      </c>
      <c r="B42" s="1" t="n">
        <v>44945</v>
      </c>
      <c r="C42" s="1" t="n">
        <v>45692</v>
      </c>
      <c r="D42" t="inlineStr">
        <is>
          <t>VÄSTMANLANDS LÄN</t>
        </is>
      </c>
      <c r="E42" t="inlineStr">
        <is>
          <t>SURAHAMMAR</t>
        </is>
      </c>
      <c r="F42" t="inlineStr">
        <is>
          <t>Sveaskog</t>
        </is>
      </c>
      <c r="G42" t="n">
        <v>5.7</v>
      </c>
      <c r="H42" t="n">
        <v>0</v>
      </c>
      <c r="I42" t="n">
        <v>1</v>
      </c>
      <c r="J42" t="n">
        <v>0</v>
      </c>
      <c r="K42" t="n">
        <v>0</v>
      </c>
      <c r="L42" t="n">
        <v>1</v>
      </c>
      <c r="M42" t="n">
        <v>1</v>
      </c>
      <c r="N42" t="n">
        <v>0</v>
      </c>
      <c r="O42" t="n">
        <v>2</v>
      </c>
      <c r="P42" t="n">
        <v>2</v>
      </c>
      <c r="Q42" t="n">
        <v>3</v>
      </c>
      <c r="R42" s="2" t="inlineStr">
        <is>
          <t>Skogsalm
Ask
Svart trolldruva</t>
        </is>
      </c>
      <c r="S42">
        <f>HYPERLINK("https://klasma.github.io/Logging_1907/artfynd/A 3012-2023 artfynd.xlsx", "A 3012-2023")</f>
        <v/>
      </c>
      <c r="T42">
        <f>HYPERLINK("https://klasma.github.io/Logging_1907/kartor/A 3012-2023 karta.png", "A 3012-2023")</f>
        <v/>
      </c>
      <c r="V42">
        <f>HYPERLINK("https://klasma.github.io/Logging_1907/klagomål/A 3012-2023 FSC-klagomål.docx", "A 3012-2023")</f>
        <v/>
      </c>
      <c r="W42">
        <f>HYPERLINK("https://klasma.github.io/Logging_1907/klagomålsmail/A 3012-2023 FSC-klagomål mail.docx", "A 3012-2023")</f>
        <v/>
      </c>
      <c r="X42">
        <f>HYPERLINK("https://klasma.github.io/Logging_1907/tillsyn/A 3012-2023 tillsynsbegäran.docx", "A 3012-2023")</f>
        <v/>
      </c>
      <c r="Y42">
        <f>HYPERLINK("https://klasma.github.io/Logging_1907/tillsynsmail/A 3012-2023 tillsynsbegäran mail.docx", "A 3012-2023")</f>
        <v/>
      </c>
    </row>
    <row r="43" ht="15" customHeight="1">
      <c r="A43" t="inlineStr">
        <is>
          <t>A 14587-2023</t>
        </is>
      </c>
      <c r="B43" s="1" t="n">
        <v>45013</v>
      </c>
      <c r="C43" s="1" t="n">
        <v>45692</v>
      </c>
      <c r="D43" t="inlineStr">
        <is>
          <t>VÄSTMANLANDS LÄN</t>
        </is>
      </c>
      <c r="E43" t="inlineStr">
        <is>
          <t>SURAHAMMAR</t>
        </is>
      </c>
      <c r="G43" t="n">
        <v>14.8</v>
      </c>
      <c r="H43" t="n">
        <v>1</v>
      </c>
      <c r="I43" t="n">
        <v>1</v>
      </c>
      <c r="J43" t="n">
        <v>1</v>
      </c>
      <c r="K43" t="n">
        <v>0</v>
      </c>
      <c r="L43" t="n">
        <v>0</v>
      </c>
      <c r="M43" t="n">
        <v>0</v>
      </c>
      <c r="N43" t="n">
        <v>0</v>
      </c>
      <c r="O43" t="n">
        <v>1</v>
      </c>
      <c r="P43" t="n">
        <v>0</v>
      </c>
      <c r="Q43" t="n">
        <v>3</v>
      </c>
      <c r="R43" s="2" t="inlineStr">
        <is>
          <t>Skogshare
Vedticka
Mattlummer</t>
        </is>
      </c>
      <c r="S43">
        <f>HYPERLINK("https://klasma.github.io/Logging_1907/artfynd/A 14587-2023 artfynd.xlsx", "A 14587-2023")</f>
        <v/>
      </c>
      <c r="T43">
        <f>HYPERLINK("https://klasma.github.io/Logging_1907/kartor/A 14587-2023 karta.png", "A 14587-2023")</f>
        <v/>
      </c>
      <c r="V43">
        <f>HYPERLINK("https://klasma.github.io/Logging_1907/klagomål/A 14587-2023 FSC-klagomål.docx", "A 14587-2023")</f>
        <v/>
      </c>
      <c r="W43">
        <f>HYPERLINK("https://klasma.github.io/Logging_1907/klagomålsmail/A 14587-2023 FSC-klagomål mail.docx", "A 14587-2023")</f>
        <v/>
      </c>
      <c r="X43">
        <f>HYPERLINK("https://klasma.github.io/Logging_1907/tillsyn/A 14587-2023 tillsynsbegäran.docx", "A 14587-2023")</f>
        <v/>
      </c>
      <c r="Y43">
        <f>HYPERLINK("https://klasma.github.io/Logging_1907/tillsynsmail/A 14587-2023 tillsynsbegäran mail.docx", "A 14587-2023")</f>
        <v/>
      </c>
    </row>
    <row r="44" ht="15" customHeight="1">
      <c r="A44" t="inlineStr">
        <is>
          <t>A 23734-2023</t>
        </is>
      </c>
      <c r="B44" s="1" t="n">
        <v>45077</v>
      </c>
      <c r="C44" s="1" t="n">
        <v>45692</v>
      </c>
      <c r="D44" t="inlineStr">
        <is>
          <t>VÄSTMANLANDS LÄN</t>
        </is>
      </c>
      <c r="E44" t="inlineStr">
        <is>
          <t>SURAHAMMAR</t>
        </is>
      </c>
      <c r="F44" t="inlineStr">
        <is>
          <t>Sveaskog</t>
        </is>
      </c>
      <c r="G44" t="n">
        <v>6.7</v>
      </c>
      <c r="H44" t="n">
        <v>1</v>
      </c>
      <c r="I44" t="n">
        <v>0</v>
      </c>
      <c r="J44" t="n">
        <v>2</v>
      </c>
      <c r="K44" t="n">
        <v>1</v>
      </c>
      <c r="L44" t="n">
        <v>0</v>
      </c>
      <c r="M44" t="n">
        <v>0</v>
      </c>
      <c r="N44" t="n">
        <v>0</v>
      </c>
      <c r="O44" t="n">
        <v>3</v>
      </c>
      <c r="P44" t="n">
        <v>1</v>
      </c>
      <c r="Q44" t="n">
        <v>3</v>
      </c>
      <c r="R44" s="2" t="inlineStr">
        <is>
          <t>Hängticka
Björktrast
Kandelabersvamp</t>
        </is>
      </c>
      <c r="S44">
        <f>HYPERLINK("https://klasma.github.io/Logging_1907/artfynd/A 23734-2023 artfynd.xlsx", "A 23734-2023")</f>
        <v/>
      </c>
      <c r="T44">
        <f>HYPERLINK("https://klasma.github.io/Logging_1907/kartor/A 23734-2023 karta.png", "A 23734-2023")</f>
        <v/>
      </c>
      <c r="V44">
        <f>HYPERLINK("https://klasma.github.io/Logging_1907/klagomål/A 23734-2023 FSC-klagomål.docx", "A 23734-2023")</f>
        <v/>
      </c>
      <c r="W44">
        <f>HYPERLINK("https://klasma.github.io/Logging_1907/klagomålsmail/A 23734-2023 FSC-klagomål mail.docx", "A 23734-2023")</f>
        <v/>
      </c>
      <c r="X44">
        <f>HYPERLINK("https://klasma.github.io/Logging_1907/tillsyn/A 23734-2023 tillsynsbegäran.docx", "A 23734-2023")</f>
        <v/>
      </c>
      <c r="Y44">
        <f>HYPERLINK("https://klasma.github.io/Logging_1907/tillsynsmail/A 23734-2023 tillsynsbegäran mail.docx", "A 23734-2023")</f>
        <v/>
      </c>
      <c r="Z44">
        <f>HYPERLINK("https://klasma.github.io/Logging_1907/fåglar/A 23734-2023 prioriterade fågelarter.docx", "A 23734-2023")</f>
        <v/>
      </c>
    </row>
    <row r="45" ht="15" customHeight="1">
      <c r="A45" t="inlineStr">
        <is>
          <t>A 24222-2023</t>
        </is>
      </c>
      <c r="B45" s="1" t="n">
        <v>45079</v>
      </c>
      <c r="C45" s="1" t="n">
        <v>45692</v>
      </c>
      <c r="D45" t="inlineStr">
        <is>
          <t>VÄSTMANLANDS LÄN</t>
        </is>
      </c>
      <c r="E45" t="inlineStr">
        <is>
          <t>SURAHAMMAR</t>
        </is>
      </c>
      <c r="F45" t="inlineStr">
        <is>
          <t>Sveaskog</t>
        </is>
      </c>
      <c r="G45" t="n">
        <v>9.699999999999999</v>
      </c>
      <c r="H45" t="n">
        <v>1</v>
      </c>
      <c r="I45" t="n">
        <v>1</v>
      </c>
      <c r="J45" t="n">
        <v>1</v>
      </c>
      <c r="K45" t="n">
        <v>0</v>
      </c>
      <c r="L45" t="n">
        <v>0</v>
      </c>
      <c r="M45" t="n">
        <v>0</v>
      </c>
      <c r="N45" t="n">
        <v>0</v>
      </c>
      <c r="O45" t="n">
        <v>1</v>
      </c>
      <c r="P45" t="n">
        <v>0</v>
      </c>
      <c r="Q45" t="n">
        <v>3</v>
      </c>
      <c r="R45" s="2" t="inlineStr">
        <is>
          <t>Svinrot
Blodticka
Revlummer</t>
        </is>
      </c>
      <c r="S45">
        <f>HYPERLINK("https://klasma.github.io/Logging_1907/artfynd/A 24222-2023 artfynd.xlsx", "A 24222-2023")</f>
        <v/>
      </c>
      <c r="T45">
        <f>HYPERLINK("https://klasma.github.io/Logging_1907/kartor/A 24222-2023 karta.png", "A 24222-2023")</f>
        <v/>
      </c>
      <c r="V45">
        <f>HYPERLINK("https://klasma.github.io/Logging_1907/klagomål/A 24222-2023 FSC-klagomål.docx", "A 24222-2023")</f>
        <v/>
      </c>
      <c r="W45">
        <f>HYPERLINK("https://klasma.github.io/Logging_1907/klagomålsmail/A 24222-2023 FSC-klagomål mail.docx", "A 24222-2023")</f>
        <v/>
      </c>
      <c r="X45">
        <f>HYPERLINK("https://klasma.github.io/Logging_1907/tillsyn/A 24222-2023 tillsynsbegäran.docx", "A 24222-2023")</f>
        <v/>
      </c>
      <c r="Y45">
        <f>HYPERLINK("https://klasma.github.io/Logging_1907/tillsynsmail/A 24222-2023 tillsynsbegäran mail.docx", "A 24222-2023")</f>
        <v/>
      </c>
    </row>
    <row r="46" ht="15" customHeight="1">
      <c r="A46" t="inlineStr">
        <is>
          <t>A 48128-2023</t>
        </is>
      </c>
      <c r="B46" s="1" t="n">
        <v>45205</v>
      </c>
      <c r="C46" s="1" t="n">
        <v>45692</v>
      </c>
      <c r="D46" t="inlineStr">
        <is>
          <t>VÄSTMANLANDS LÄN</t>
        </is>
      </c>
      <c r="E46" t="inlineStr">
        <is>
          <t>SURAHAMMAR</t>
        </is>
      </c>
      <c r="F46" t="inlineStr">
        <is>
          <t>Allmännings- och besparingsskogar</t>
        </is>
      </c>
      <c r="G46" t="n">
        <v>11.8</v>
      </c>
      <c r="H46" t="n">
        <v>0</v>
      </c>
      <c r="I46" t="n">
        <v>2</v>
      </c>
      <c r="J46" t="n">
        <v>1</v>
      </c>
      <c r="K46" t="n">
        <v>0</v>
      </c>
      <c r="L46" t="n">
        <v>0</v>
      </c>
      <c r="M46" t="n">
        <v>0</v>
      </c>
      <c r="N46" t="n">
        <v>0</v>
      </c>
      <c r="O46" t="n">
        <v>1</v>
      </c>
      <c r="P46" t="n">
        <v>0</v>
      </c>
      <c r="Q46" t="n">
        <v>3</v>
      </c>
      <c r="R46" s="2" t="inlineStr">
        <is>
          <t>Svinrot
Blodticka
Vedticka</t>
        </is>
      </c>
      <c r="S46">
        <f>HYPERLINK("https://klasma.github.io/Logging_1907/artfynd/A 48128-2023 artfynd.xlsx", "A 48128-2023")</f>
        <v/>
      </c>
      <c r="T46">
        <f>HYPERLINK("https://klasma.github.io/Logging_1907/kartor/A 48128-2023 karta.png", "A 48128-2023")</f>
        <v/>
      </c>
      <c r="V46">
        <f>HYPERLINK("https://klasma.github.io/Logging_1907/klagomål/A 48128-2023 FSC-klagomål.docx", "A 48128-2023")</f>
        <v/>
      </c>
      <c r="W46">
        <f>HYPERLINK("https://klasma.github.io/Logging_1907/klagomålsmail/A 48128-2023 FSC-klagomål mail.docx", "A 48128-2023")</f>
        <v/>
      </c>
      <c r="X46">
        <f>HYPERLINK("https://klasma.github.io/Logging_1907/tillsyn/A 48128-2023 tillsynsbegäran.docx", "A 48128-2023")</f>
        <v/>
      </c>
      <c r="Y46">
        <f>HYPERLINK("https://klasma.github.io/Logging_1907/tillsynsmail/A 48128-2023 tillsynsbegäran mail.docx", "A 48128-2023")</f>
        <v/>
      </c>
    </row>
    <row r="47" ht="15" customHeight="1">
      <c r="A47" t="inlineStr">
        <is>
          <t>A 49718-2023</t>
        </is>
      </c>
      <c r="B47" s="1" t="n">
        <v>45212</v>
      </c>
      <c r="C47" s="1" t="n">
        <v>45692</v>
      </c>
      <c r="D47" t="inlineStr">
        <is>
          <t>VÄSTMANLANDS LÄN</t>
        </is>
      </c>
      <c r="E47" t="inlineStr">
        <is>
          <t>SURAHAMMAR</t>
        </is>
      </c>
      <c r="G47" t="n">
        <v>3.4</v>
      </c>
      <c r="H47" t="n">
        <v>1</v>
      </c>
      <c r="I47" t="n">
        <v>1</v>
      </c>
      <c r="J47" t="n">
        <v>2</v>
      </c>
      <c r="K47" t="n">
        <v>0</v>
      </c>
      <c r="L47" t="n">
        <v>0</v>
      </c>
      <c r="M47" t="n">
        <v>0</v>
      </c>
      <c r="N47" t="n">
        <v>0</v>
      </c>
      <c r="O47" t="n">
        <v>2</v>
      </c>
      <c r="P47" t="n">
        <v>0</v>
      </c>
      <c r="Q47" t="n">
        <v>3</v>
      </c>
      <c r="R47" s="2" t="inlineStr">
        <is>
          <t>Motaggsvamp
Talltita
Zontaggsvamp</t>
        </is>
      </c>
      <c r="S47">
        <f>HYPERLINK("https://klasma.github.io/Logging_1907/artfynd/A 49718-2023 artfynd.xlsx", "A 49718-2023")</f>
        <v/>
      </c>
      <c r="T47">
        <f>HYPERLINK("https://klasma.github.io/Logging_1907/kartor/A 49718-2023 karta.png", "A 49718-2023")</f>
        <v/>
      </c>
      <c r="V47">
        <f>HYPERLINK("https://klasma.github.io/Logging_1907/klagomål/A 49718-2023 FSC-klagomål.docx", "A 49718-2023")</f>
        <v/>
      </c>
      <c r="W47">
        <f>HYPERLINK("https://klasma.github.io/Logging_1907/klagomålsmail/A 49718-2023 FSC-klagomål mail.docx", "A 49718-2023")</f>
        <v/>
      </c>
      <c r="X47">
        <f>HYPERLINK("https://klasma.github.io/Logging_1907/tillsyn/A 49718-2023 tillsynsbegäran.docx", "A 49718-2023")</f>
        <v/>
      </c>
      <c r="Y47">
        <f>HYPERLINK("https://klasma.github.io/Logging_1907/tillsynsmail/A 49718-2023 tillsynsbegäran mail.docx", "A 49718-2023")</f>
        <v/>
      </c>
      <c r="Z47">
        <f>HYPERLINK("https://klasma.github.io/Logging_1907/fåglar/A 49718-2023 prioriterade fågelarter.docx", "A 49718-2023")</f>
        <v/>
      </c>
    </row>
    <row r="48" ht="15" customHeight="1">
      <c r="A48" t="inlineStr">
        <is>
          <t>A 65024-2023</t>
        </is>
      </c>
      <c r="B48" s="1" t="n">
        <v>45282</v>
      </c>
      <c r="C48" s="1" t="n">
        <v>45692</v>
      </c>
      <c r="D48" t="inlineStr">
        <is>
          <t>VÄSTMANLANDS LÄN</t>
        </is>
      </c>
      <c r="E48" t="inlineStr">
        <is>
          <t>SURAHAMMAR</t>
        </is>
      </c>
      <c r="F48" t="inlineStr">
        <is>
          <t>Bergvik skog väst AB</t>
        </is>
      </c>
      <c r="G48" t="n">
        <v>14.9</v>
      </c>
      <c r="H48" t="n">
        <v>1</v>
      </c>
      <c r="I48" t="n">
        <v>1</v>
      </c>
      <c r="J48" t="n">
        <v>2</v>
      </c>
      <c r="K48" t="n">
        <v>0</v>
      </c>
      <c r="L48" t="n">
        <v>0</v>
      </c>
      <c r="M48" t="n">
        <v>0</v>
      </c>
      <c r="N48" t="n">
        <v>0</v>
      </c>
      <c r="O48" t="n">
        <v>2</v>
      </c>
      <c r="P48" t="n">
        <v>0</v>
      </c>
      <c r="Q48" t="n">
        <v>3</v>
      </c>
      <c r="R48" s="2" t="inlineStr">
        <is>
          <t>Gropticka
Talltita
Blodticka</t>
        </is>
      </c>
      <c r="S48">
        <f>HYPERLINK("https://klasma.github.io/Logging_1907/artfynd/A 65024-2023 artfynd.xlsx", "A 65024-2023")</f>
        <v/>
      </c>
      <c r="T48">
        <f>HYPERLINK("https://klasma.github.io/Logging_1907/kartor/A 65024-2023 karta.png", "A 65024-2023")</f>
        <v/>
      </c>
      <c r="V48">
        <f>HYPERLINK("https://klasma.github.io/Logging_1907/klagomål/A 65024-2023 FSC-klagomål.docx", "A 65024-2023")</f>
        <v/>
      </c>
      <c r="W48">
        <f>HYPERLINK("https://klasma.github.io/Logging_1907/klagomålsmail/A 65024-2023 FSC-klagomål mail.docx", "A 65024-2023")</f>
        <v/>
      </c>
      <c r="X48">
        <f>HYPERLINK("https://klasma.github.io/Logging_1907/tillsyn/A 65024-2023 tillsynsbegäran.docx", "A 65024-2023")</f>
        <v/>
      </c>
      <c r="Y48">
        <f>HYPERLINK("https://klasma.github.io/Logging_1907/tillsynsmail/A 65024-2023 tillsynsbegäran mail.docx", "A 65024-2023")</f>
        <v/>
      </c>
      <c r="Z48">
        <f>HYPERLINK("https://klasma.github.io/Logging_1907/fåglar/A 65024-2023 prioriterade fågelarter.docx", "A 65024-2023")</f>
        <v/>
      </c>
    </row>
    <row r="49" ht="15" customHeight="1">
      <c r="A49" t="inlineStr">
        <is>
          <t>A 20391-2024</t>
        </is>
      </c>
      <c r="B49" s="1" t="n">
        <v>45435</v>
      </c>
      <c r="C49" s="1" t="n">
        <v>45692</v>
      </c>
      <c r="D49" t="inlineStr">
        <is>
          <t>VÄSTMANLANDS LÄN</t>
        </is>
      </c>
      <c r="E49" t="inlineStr">
        <is>
          <t>SURAHAMMAR</t>
        </is>
      </c>
      <c r="G49" t="n">
        <v>1.5</v>
      </c>
      <c r="H49" t="n">
        <v>0</v>
      </c>
      <c r="I49" t="n">
        <v>2</v>
      </c>
      <c r="J49" t="n">
        <v>1</v>
      </c>
      <c r="K49" t="n">
        <v>0</v>
      </c>
      <c r="L49" t="n">
        <v>0</v>
      </c>
      <c r="M49" t="n">
        <v>0</v>
      </c>
      <c r="N49" t="n">
        <v>0</v>
      </c>
      <c r="O49" t="n">
        <v>1</v>
      </c>
      <c r="P49" t="n">
        <v>0</v>
      </c>
      <c r="Q49" t="n">
        <v>3</v>
      </c>
      <c r="R49" s="2" t="inlineStr">
        <is>
          <t>Vedtrappmossa
Kattfotslav
Stubbspretmossa</t>
        </is>
      </c>
      <c r="S49">
        <f>HYPERLINK("https://klasma.github.io/Logging_1907/artfynd/A 20391-2024 artfynd.xlsx", "A 20391-2024")</f>
        <v/>
      </c>
      <c r="T49">
        <f>HYPERLINK("https://klasma.github.io/Logging_1907/kartor/A 20391-2024 karta.png", "A 20391-2024")</f>
        <v/>
      </c>
      <c r="V49">
        <f>HYPERLINK("https://klasma.github.io/Logging_1907/klagomål/A 20391-2024 FSC-klagomål.docx", "A 20391-2024")</f>
        <v/>
      </c>
      <c r="W49">
        <f>HYPERLINK("https://klasma.github.io/Logging_1907/klagomålsmail/A 20391-2024 FSC-klagomål mail.docx", "A 20391-2024")</f>
        <v/>
      </c>
      <c r="X49">
        <f>HYPERLINK("https://klasma.github.io/Logging_1907/tillsyn/A 20391-2024 tillsynsbegäran.docx", "A 20391-2024")</f>
        <v/>
      </c>
      <c r="Y49">
        <f>HYPERLINK("https://klasma.github.io/Logging_1907/tillsynsmail/A 20391-2024 tillsynsbegäran mail.docx", "A 20391-2024")</f>
        <v/>
      </c>
    </row>
    <row r="50" ht="15" customHeight="1">
      <c r="A50" t="inlineStr">
        <is>
          <t>A 24561-2024</t>
        </is>
      </c>
      <c r="B50" s="1" t="n">
        <v>45460</v>
      </c>
      <c r="C50" s="1" t="n">
        <v>45692</v>
      </c>
      <c r="D50" t="inlineStr">
        <is>
          <t>VÄSTMANLANDS LÄN</t>
        </is>
      </c>
      <c r="E50" t="inlineStr">
        <is>
          <t>SURAHAMMAR</t>
        </is>
      </c>
      <c r="G50" t="n">
        <v>2.6</v>
      </c>
      <c r="H50" t="n">
        <v>2</v>
      </c>
      <c r="I50" t="n">
        <v>1</v>
      </c>
      <c r="J50" t="n">
        <v>0</v>
      </c>
      <c r="K50" t="n">
        <v>1</v>
      </c>
      <c r="L50" t="n">
        <v>0</v>
      </c>
      <c r="M50" t="n">
        <v>0</v>
      </c>
      <c r="N50" t="n">
        <v>0</v>
      </c>
      <c r="O50" t="n">
        <v>1</v>
      </c>
      <c r="P50" t="n">
        <v>1</v>
      </c>
      <c r="Q50" t="n">
        <v>3</v>
      </c>
      <c r="R50" s="2" t="inlineStr">
        <is>
          <t>Knärot
Grönpyrola
Revlummer</t>
        </is>
      </c>
      <c r="S50">
        <f>HYPERLINK("https://klasma.github.io/Logging_1907/artfynd/A 24561-2024 artfynd.xlsx", "A 24561-2024")</f>
        <v/>
      </c>
      <c r="T50">
        <f>HYPERLINK("https://klasma.github.io/Logging_1907/kartor/A 24561-2024 karta.png", "A 24561-2024")</f>
        <v/>
      </c>
      <c r="U50">
        <f>HYPERLINK("https://klasma.github.io/Logging_1907/knärot/A 24561-2024 karta knärot.png", "A 24561-2024")</f>
        <v/>
      </c>
      <c r="V50">
        <f>HYPERLINK("https://klasma.github.io/Logging_1907/klagomål/A 24561-2024 FSC-klagomål.docx", "A 24561-2024")</f>
        <v/>
      </c>
      <c r="W50">
        <f>HYPERLINK("https://klasma.github.io/Logging_1907/klagomålsmail/A 24561-2024 FSC-klagomål mail.docx", "A 24561-2024")</f>
        <v/>
      </c>
      <c r="X50">
        <f>HYPERLINK("https://klasma.github.io/Logging_1907/tillsyn/A 24561-2024 tillsynsbegäran.docx", "A 24561-2024")</f>
        <v/>
      </c>
      <c r="Y50">
        <f>HYPERLINK("https://klasma.github.io/Logging_1907/tillsynsmail/A 24561-2024 tillsynsbegäran mail.docx", "A 24561-2024")</f>
        <v/>
      </c>
    </row>
    <row r="51" ht="15" customHeight="1">
      <c r="A51" t="inlineStr">
        <is>
          <t>A 33094-2024</t>
        </is>
      </c>
      <c r="B51" s="1" t="n">
        <v>45517</v>
      </c>
      <c r="C51" s="1" t="n">
        <v>45692</v>
      </c>
      <c r="D51" t="inlineStr">
        <is>
          <t>VÄSTMANLANDS LÄN</t>
        </is>
      </c>
      <c r="E51" t="inlineStr">
        <is>
          <t>SURAHAMMAR</t>
        </is>
      </c>
      <c r="G51" t="n">
        <v>6.3</v>
      </c>
      <c r="H51" t="n">
        <v>1</v>
      </c>
      <c r="I51" t="n">
        <v>0</v>
      </c>
      <c r="J51" t="n">
        <v>2</v>
      </c>
      <c r="K51" t="n">
        <v>0</v>
      </c>
      <c r="L51" t="n">
        <v>0</v>
      </c>
      <c r="M51" t="n">
        <v>0</v>
      </c>
      <c r="N51" t="n">
        <v>0</v>
      </c>
      <c r="O51" t="n">
        <v>2</v>
      </c>
      <c r="P51" t="n">
        <v>0</v>
      </c>
      <c r="Q51" t="n">
        <v>3</v>
      </c>
      <c r="R51" s="2" t="inlineStr">
        <is>
          <t>Svinrot
Vippärt
Revlummer</t>
        </is>
      </c>
      <c r="S51">
        <f>HYPERLINK("https://klasma.github.io/Logging_1907/artfynd/A 33094-2024 artfynd.xlsx", "A 33094-2024")</f>
        <v/>
      </c>
      <c r="T51">
        <f>HYPERLINK("https://klasma.github.io/Logging_1907/kartor/A 33094-2024 karta.png", "A 33094-2024")</f>
        <v/>
      </c>
      <c r="V51">
        <f>HYPERLINK("https://klasma.github.io/Logging_1907/klagomål/A 33094-2024 FSC-klagomål.docx", "A 33094-2024")</f>
        <v/>
      </c>
      <c r="W51">
        <f>HYPERLINK("https://klasma.github.io/Logging_1907/klagomålsmail/A 33094-2024 FSC-klagomål mail.docx", "A 33094-2024")</f>
        <v/>
      </c>
      <c r="X51">
        <f>HYPERLINK("https://klasma.github.io/Logging_1907/tillsyn/A 33094-2024 tillsynsbegäran.docx", "A 33094-2024")</f>
        <v/>
      </c>
      <c r="Y51">
        <f>HYPERLINK("https://klasma.github.io/Logging_1907/tillsynsmail/A 33094-2024 tillsynsbegäran mail.docx", "A 33094-2024")</f>
        <v/>
      </c>
    </row>
    <row r="52" ht="15" customHeight="1">
      <c r="A52" t="inlineStr">
        <is>
          <t>A 34028-2024</t>
        </is>
      </c>
      <c r="B52" s="1" t="n">
        <v>45523</v>
      </c>
      <c r="C52" s="1" t="n">
        <v>45692</v>
      </c>
      <c r="D52" t="inlineStr">
        <is>
          <t>VÄSTMANLANDS LÄN</t>
        </is>
      </c>
      <c r="E52" t="inlineStr">
        <is>
          <t>SURAHAMMAR</t>
        </is>
      </c>
      <c r="F52" t="inlineStr">
        <is>
          <t>Övriga Aktiebolag</t>
        </is>
      </c>
      <c r="G52" t="n">
        <v>16.4</v>
      </c>
      <c r="H52" t="n">
        <v>1</v>
      </c>
      <c r="I52" t="n">
        <v>2</v>
      </c>
      <c r="J52" t="n">
        <v>0</v>
      </c>
      <c r="K52" t="n">
        <v>0</v>
      </c>
      <c r="L52" t="n">
        <v>0</v>
      </c>
      <c r="M52" t="n">
        <v>0</v>
      </c>
      <c r="N52" t="n">
        <v>0</v>
      </c>
      <c r="O52" t="n">
        <v>0</v>
      </c>
      <c r="P52" t="n">
        <v>0</v>
      </c>
      <c r="Q52" t="n">
        <v>3</v>
      </c>
      <c r="R52" s="2" t="inlineStr">
        <is>
          <t>Mindre märgborre
Skarp dropptaggsvamp
Tjäder</t>
        </is>
      </c>
      <c r="S52">
        <f>HYPERLINK("https://klasma.github.io/Logging_1907/artfynd/A 34028-2024 artfynd.xlsx", "A 34028-2024")</f>
        <v/>
      </c>
      <c r="T52">
        <f>HYPERLINK("https://klasma.github.io/Logging_1907/kartor/A 34028-2024 karta.png", "A 34028-2024")</f>
        <v/>
      </c>
      <c r="V52">
        <f>HYPERLINK("https://klasma.github.io/Logging_1907/klagomål/A 34028-2024 FSC-klagomål.docx", "A 34028-2024")</f>
        <v/>
      </c>
      <c r="W52">
        <f>HYPERLINK("https://klasma.github.io/Logging_1907/klagomålsmail/A 34028-2024 FSC-klagomål mail.docx", "A 34028-2024")</f>
        <v/>
      </c>
      <c r="X52">
        <f>HYPERLINK("https://klasma.github.io/Logging_1907/tillsyn/A 34028-2024 tillsynsbegäran.docx", "A 34028-2024")</f>
        <v/>
      </c>
      <c r="Y52">
        <f>HYPERLINK("https://klasma.github.io/Logging_1907/tillsynsmail/A 34028-2024 tillsynsbegäran mail.docx", "A 34028-2024")</f>
        <v/>
      </c>
      <c r="Z52">
        <f>HYPERLINK("https://klasma.github.io/Logging_1907/fåglar/A 34028-2024 prioriterade fågelarter.docx", "A 34028-2024")</f>
        <v/>
      </c>
    </row>
    <row r="53" ht="15" customHeight="1">
      <c r="A53" t="inlineStr">
        <is>
          <t>A 57412-2020</t>
        </is>
      </c>
      <c r="B53" s="1" t="n">
        <v>44138</v>
      </c>
      <c r="C53" s="1" t="n">
        <v>45692</v>
      </c>
      <c r="D53" t="inlineStr">
        <is>
          <t>VÄSTMANLANDS LÄN</t>
        </is>
      </c>
      <c r="E53" t="inlineStr">
        <is>
          <t>SURAHAMMAR</t>
        </is>
      </c>
      <c r="G53" t="n">
        <v>2.9</v>
      </c>
      <c r="H53" t="n">
        <v>2</v>
      </c>
      <c r="I53" t="n">
        <v>0</v>
      </c>
      <c r="J53" t="n">
        <v>2</v>
      </c>
      <c r="K53" t="n">
        <v>0</v>
      </c>
      <c r="L53" t="n">
        <v>0</v>
      </c>
      <c r="M53" t="n">
        <v>0</v>
      </c>
      <c r="N53" t="n">
        <v>0</v>
      </c>
      <c r="O53" t="n">
        <v>2</v>
      </c>
      <c r="P53" t="n">
        <v>0</v>
      </c>
      <c r="Q53" t="n">
        <v>2</v>
      </c>
      <c r="R53" s="2" t="inlineStr">
        <is>
          <t>Duvhök
Gulsparv</t>
        </is>
      </c>
      <c r="S53">
        <f>HYPERLINK("https://klasma.github.io/Logging_1907/artfynd/A 57412-2020 artfynd.xlsx", "A 57412-2020")</f>
        <v/>
      </c>
      <c r="T53">
        <f>HYPERLINK("https://klasma.github.io/Logging_1907/kartor/A 57412-2020 karta.png", "A 57412-2020")</f>
        <v/>
      </c>
      <c r="V53">
        <f>HYPERLINK("https://klasma.github.io/Logging_1907/klagomål/A 57412-2020 FSC-klagomål.docx", "A 57412-2020")</f>
        <v/>
      </c>
      <c r="W53">
        <f>HYPERLINK("https://klasma.github.io/Logging_1907/klagomålsmail/A 57412-2020 FSC-klagomål mail.docx", "A 57412-2020")</f>
        <v/>
      </c>
      <c r="X53">
        <f>HYPERLINK("https://klasma.github.io/Logging_1907/tillsyn/A 57412-2020 tillsynsbegäran.docx", "A 57412-2020")</f>
        <v/>
      </c>
      <c r="Y53">
        <f>HYPERLINK("https://klasma.github.io/Logging_1907/tillsynsmail/A 57412-2020 tillsynsbegäran mail.docx", "A 57412-2020")</f>
        <v/>
      </c>
      <c r="Z53">
        <f>HYPERLINK("https://klasma.github.io/Logging_1907/fåglar/A 57412-2020 prioriterade fågelarter.docx", "A 57412-2020")</f>
        <v/>
      </c>
    </row>
    <row r="54" ht="15" customHeight="1">
      <c r="A54" t="inlineStr">
        <is>
          <t>A 21825-2021</t>
        </is>
      </c>
      <c r="B54" s="1" t="n">
        <v>44322</v>
      </c>
      <c r="C54" s="1" t="n">
        <v>45692</v>
      </c>
      <c r="D54" t="inlineStr">
        <is>
          <t>VÄSTMANLANDS LÄN</t>
        </is>
      </c>
      <c r="E54" t="inlineStr">
        <is>
          <t>SURAHAMMAR</t>
        </is>
      </c>
      <c r="G54" t="n">
        <v>4.7</v>
      </c>
      <c r="H54" t="n">
        <v>1</v>
      </c>
      <c r="I54" t="n">
        <v>0</v>
      </c>
      <c r="J54" t="n">
        <v>1</v>
      </c>
      <c r="K54" t="n">
        <v>0</v>
      </c>
      <c r="L54" t="n">
        <v>0</v>
      </c>
      <c r="M54" t="n">
        <v>0</v>
      </c>
      <c r="N54" t="n">
        <v>0</v>
      </c>
      <c r="O54" t="n">
        <v>1</v>
      </c>
      <c r="P54" t="n">
        <v>0</v>
      </c>
      <c r="Q54" t="n">
        <v>2</v>
      </c>
      <c r="R54" s="2" t="inlineStr">
        <is>
          <t>Svinrot
Blåsippa</t>
        </is>
      </c>
      <c r="S54">
        <f>HYPERLINK("https://klasma.github.io/Logging_1907/artfynd/A 21825-2021 artfynd.xlsx", "A 21825-2021")</f>
        <v/>
      </c>
      <c r="T54">
        <f>HYPERLINK("https://klasma.github.io/Logging_1907/kartor/A 21825-2021 karta.png", "A 21825-2021")</f>
        <v/>
      </c>
      <c r="V54">
        <f>HYPERLINK("https://klasma.github.io/Logging_1907/klagomål/A 21825-2021 FSC-klagomål.docx", "A 21825-2021")</f>
        <v/>
      </c>
      <c r="W54">
        <f>HYPERLINK("https://klasma.github.io/Logging_1907/klagomålsmail/A 21825-2021 FSC-klagomål mail.docx", "A 21825-2021")</f>
        <v/>
      </c>
      <c r="X54">
        <f>HYPERLINK("https://klasma.github.io/Logging_1907/tillsyn/A 21825-2021 tillsynsbegäran.docx", "A 21825-2021")</f>
        <v/>
      </c>
      <c r="Y54">
        <f>HYPERLINK("https://klasma.github.io/Logging_1907/tillsynsmail/A 21825-2021 tillsynsbegäran mail.docx", "A 21825-2021")</f>
        <v/>
      </c>
    </row>
    <row r="55" ht="15" customHeight="1">
      <c r="A55" t="inlineStr">
        <is>
          <t>A 37801-2021</t>
        </is>
      </c>
      <c r="B55" s="1" t="n">
        <v>44402</v>
      </c>
      <c r="C55" s="1" t="n">
        <v>45692</v>
      </c>
      <c r="D55" t="inlineStr">
        <is>
          <t>VÄSTMANLANDS LÄN</t>
        </is>
      </c>
      <c r="E55" t="inlineStr">
        <is>
          <t>SURAHAMMAR</t>
        </is>
      </c>
      <c r="F55" t="inlineStr">
        <is>
          <t>Kommuner</t>
        </is>
      </c>
      <c r="G55" t="n">
        <v>2.3</v>
      </c>
      <c r="H55" t="n">
        <v>1</v>
      </c>
      <c r="I55" t="n">
        <v>0</v>
      </c>
      <c r="J55" t="n">
        <v>1</v>
      </c>
      <c r="K55" t="n">
        <v>0</v>
      </c>
      <c r="L55" t="n">
        <v>0</v>
      </c>
      <c r="M55" t="n">
        <v>0</v>
      </c>
      <c r="N55" t="n">
        <v>0</v>
      </c>
      <c r="O55" t="n">
        <v>1</v>
      </c>
      <c r="P55" t="n">
        <v>0</v>
      </c>
      <c r="Q55" t="n">
        <v>2</v>
      </c>
      <c r="R55" s="2" t="inlineStr">
        <is>
          <t>Veckticka
Nattviol</t>
        </is>
      </c>
      <c r="S55">
        <f>HYPERLINK("https://klasma.github.io/Logging_1907/artfynd/A 37801-2021 artfynd.xlsx", "A 37801-2021")</f>
        <v/>
      </c>
      <c r="T55">
        <f>HYPERLINK("https://klasma.github.io/Logging_1907/kartor/A 37801-2021 karta.png", "A 37801-2021")</f>
        <v/>
      </c>
      <c r="V55">
        <f>HYPERLINK("https://klasma.github.io/Logging_1907/klagomål/A 37801-2021 FSC-klagomål.docx", "A 37801-2021")</f>
        <v/>
      </c>
      <c r="W55">
        <f>HYPERLINK("https://klasma.github.io/Logging_1907/klagomålsmail/A 37801-2021 FSC-klagomål mail.docx", "A 37801-2021")</f>
        <v/>
      </c>
      <c r="X55">
        <f>HYPERLINK("https://klasma.github.io/Logging_1907/tillsyn/A 37801-2021 tillsynsbegäran.docx", "A 37801-2021")</f>
        <v/>
      </c>
      <c r="Y55">
        <f>HYPERLINK("https://klasma.github.io/Logging_1907/tillsynsmail/A 37801-2021 tillsynsbegäran mail.docx", "A 37801-2021")</f>
        <v/>
      </c>
    </row>
    <row r="56" ht="15" customHeight="1">
      <c r="A56" t="inlineStr">
        <is>
          <t>A 37800-2021</t>
        </is>
      </c>
      <c r="B56" s="1" t="n">
        <v>44402</v>
      </c>
      <c r="C56" s="1" t="n">
        <v>45692</v>
      </c>
      <c r="D56" t="inlineStr">
        <is>
          <t>VÄSTMANLANDS LÄN</t>
        </is>
      </c>
      <c r="E56" t="inlineStr">
        <is>
          <t>SURAHAMMAR</t>
        </is>
      </c>
      <c r="F56" t="inlineStr">
        <is>
          <t>Kommuner</t>
        </is>
      </c>
      <c r="G56" t="n">
        <v>1.3</v>
      </c>
      <c r="H56" t="n">
        <v>1</v>
      </c>
      <c r="I56" t="n">
        <v>0</v>
      </c>
      <c r="J56" t="n">
        <v>1</v>
      </c>
      <c r="K56" t="n">
        <v>0</v>
      </c>
      <c r="L56" t="n">
        <v>0</v>
      </c>
      <c r="M56" t="n">
        <v>0</v>
      </c>
      <c r="N56" t="n">
        <v>0</v>
      </c>
      <c r="O56" t="n">
        <v>1</v>
      </c>
      <c r="P56" t="n">
        <v>0</v>
      </c>
      <c r="Q56" t="n">
        <v>2</v>
      </c>
      <c r="R56" s="2" t="inlineStr">
        <is>
          <t>Svinrot
Grönvit nattviol</t>
        </is>
      </c>
      <c r="S56">
        <f>HYPERLINK("https://klasma.github.io/Logging_1907/artfynd/A 37800-2021 artfynd.xlsx", "A 37800-2021")</f>
        <v/>
      </c>
      <c r="T56">
        <f>HYPERLINK("https://klasma.github.io/Logging_1907/kartor/A 37800-2021 karta.png", "A 37800-2021")</f>
        <v/>
      </c>
      <c r="V56">
        <f>HYPERLINK("https://klasma.github.io/Logging_1907/klagomål/A 37800-2021 FSC-klagomål.docx", "A 37800-2021")</f>
        <v/>
      </c>
      <c r="W56">
        <f>HYPERLINK("https://klasma.github.io/Logging_1907/klagomålsmail/A 37800-2021 FSC-klagomål mail.docx", "A 37800-2021")</f>
        <v/>
      </c>
      <c r="X56">
        <f>HYPERLINK("https://klasma.github.io/Logging_1907/tillsyn/A 37800-2021 tillsynsbegäran.docx", "A 37800-2021")</f>
        <v/>
      </c>
      <c r="Y56">
        <f>HYPERLINK("https://klasma.github.io/Logging_1907/tillsynsmail/A 37800-2021 tillsynsbegäran mail.docx", "A 37800-2021")</f>
        <v/>
      </c>
    </row>
    <row r="57" ht="15" customHeight="1">
      <c r="A57" t="inlineStr">
        <is>
          <t>A 57168-2021</t>
        </is>
      </c>
      <c r="B57" s="1" t="n">
        <v>44482</v>
      </c>
      <c r="C57" s="1" t="n">
        <v>45692</v>
      </c>
      <c r="D57" t="inlineStr">
        <is>
          <t>VÄSTMANLANDS LÄN</t>
        </is>
      </c>
      <c r="E57" t="inlineStr">
        <is>
          <t>SURAHAMMAR</t>
        </is>
      </c>
      <c r="G57" t="n">
        <v>1.7</v>
      </c>
      <c r="H57" t="n">
        <v>0</v>
      </c>
      <c r="I57" t="n">
        <v>0</v>
      </c>
      <c r="J57" t="n">
        <v>1</v>
      </c>
      <c r="K57" t="n">
        <v>0</v>
      </c>
      <c r="L57" t="n">
        <v>1</v>
      </c>
      <c r="M57" t="n">
        <v>0</v>
      </c>
      <c r="N57" t="n">
        <v>0</v>
      </c>
      <c r="O57" t="n">
        <v>2</v>
      </c>
      <c r="P57" t="n">
        <v>1</v>
      </c>
      <c r="Q57" t="n">
        <v>2</v>
      </c>
      <c r="R57" s="2" t="inlineStr">
        <is>
          <t>Ask
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66343-2021</t>
        </is>
      </c>
      <c r="B58" s="1" t="n">
        <v>44518</v>
      </c>
      <c r="C58" s="1" t="n">
        <v>45692</v>
      </c>
      <c r="D58" t="inlineStr">
        <is>
          <t>VÄSTMANLANDS LÄN</t>
        </is>
      </c>
      <c r="E58" t="inlineStr">
        <is>
          <t>SURAHAMMAR</t>
        </is>
      </c>
      <c r="F58" t="inlineStr">
        <is>
          <t>Sveaskog</t>
        </is>
      </c>
      <c r="G58" t="n">
        <v>2.5</v>
      </c>
      <c r="H58" t="n">
        <v>0</v>
      </c>
      <c r="I58" t="n">
        <v>1</v>
      </c>
      <c r="J58" t="n">
        <v>0</v>
      </c>
      <c r="K58" t="n">
        <v>1</v>
      </c>
      <c r="L58" t="n">
        <v>0</v>
      </c>
      <c r="M58" t="n">
        <v>0</v>
      </c>
      <c r="N58" t="n">
        <v>0</v>
      </c>
      <c r="O58" t="n">
        <v>1</v>
      </c>
      <c r="P58" t="n">
        <v>1</v>
      </c>
      <c r="Q58" t="n">
        <v>2</v>
      </c>
      <c r="R58" s="2" t="inlineStr">
        <is>
          <t>Torrmusseron
Blåmossa</t>
        </is>
      </c>
      <c r="S58">
        <f>HYPERLINK("https://klasma.github.io/Logging_1907/artfynd/A 66343-2021 artfynd.xlsx", "A 66343-2021")</f>
        <v/>
      </c>
      <c r="T58">
        <f>HYPERLINK("https://klasma.github.io/Logging_1907/kartor/A 66343-2021 karta.png", "A 66343-2021")</f>
        <v/>
      </c>
      <c r="V58">
        <f>HYPERLINK("https://klasma.github.io/Logging_1907/klagomål/A 66343-2021 FSC-klagomål.docx", "A 66343-2021")</f>
        <v/>
      </c>
      <c r="W58">
        <f>HYPERLINK("https://klasma.github.io/Logging_1907/klagomålsmail/A 66343-2021 FSC-klagomål mail.docx", "A 66343-2021")</f>
        <v/>
      </c>
      <c r="X58">
        <f>HYPERLINK("https://klasma.github.io/Logging_1907/tillsyn/A 66343-2021 tillsynsbegäran.docx", "A 66343-2021")</f>
        <v/>
      </c>
      <c r="Y58">
        <f>HYPERLINK("https://klasma.github.io/Logging_1907/tillsynsmail/A 66343-2021 tillsynsbegäran mail.docx", "A 66343-2021")</f>
        <v/>
      </c>
    </row>
    <row r="59" ht="15" customHeight="1">
      <c r="A59" t="inlineStr">
        <is>
          <t>A 7845-2022</t>
        </is>
      </c>
      <c r="B59" s="1" t="n">
        <v>44608</v>
      </c>
      <c r="C59" s="1" t="n">
        <v>45692</v>
      </c>
      <c r="D59" t="inlineStr">
        <is>
          <t>VÄSTMANLANDS LÄN</t>
        </is>
      </c>
      <c r="E59" t="inlineStr">
        <is>
          <t>SURAHAMMAR</t>
        </is>
      </c>
      <c r="G59" t="n">
        <v>3</v>
      </c>
      <c r="H59" t="n">
        <v>1</v>
      </c>
      <c r="I59" t="n">
        <v>1</v>
      </c>
      <c r="J59" t="n">
        <v>0</v>
      </c>
      <c r="K59" t="n">
        <v>1</v>
      </c>
      <c r="L59" t="n">
        <v>0</v>
      </c>
      <c r="M59" t="n">
        <v>0</v>
      </c>
      <c r="N59" t="n">
        <v>0</v>
      </c>
      <c r="O59" t="n">
        <v>1</v>
      </c>
      <c r="P59" t="n">
        <v>1</v>
      </c>
      <c r="Q59" t="n">
        <v>2</v>
      </c>
      <c r="R59" s="2" t="inlineStr">
        <is>
          <t>Knärot
Vedticka</t>
        </is>
      </c>
      <c r="S59">
        <f>HYPERLINK("https://klasma.github.io/Logging_1907/artfynd/A 7845-2022 artfynd.xlsx", "A 7845-2022")</f>
        <v/>
      </c>
      <c r="T59">
        <f>HYPERLINK("https://klasma.github.io/Logging_1907/kartor/A 7845-2022 karta.png", "A 7845-2022")</f>
        <v/>
      </c>
      <c r="U59">
        <f>HYPERLINK("https://klasma.github.io/Logging_1907/knärot/A 7845-2022 karta knärot.png", "A 7845-2022")</f>
        <v/>
      </c>
      <c r="V59">
        <f>HYPERLINK("https://klasma.github.io/Logging_1907/klagomål/A 7845-2022 FSC-klagomål.docx", "A 7845-2022")</f>
        <v/>
      </c>
      <c r="W59">
        <f>HYPERLINK("https://klasma.github.io/Logging_1907/klagomålsmail/A 7845-2022 FSC-klagomål mail.docx", "A 7845-2022")</f>
        <v/>
      </c>
      <c r="X59">
        <f>HYPERLINK("https://klasma.github.io/Logging_1907/tillsyn/A 7845-2022 tillsynsbegäran.docx", "A 7845-2022")</f>
        <v/>
      </c>
      <c r="Y59">
        <f>HYPERLINK("https://klasma.github.io/Logging_1907/tillsynsmail/A 7845-2022 tillsynsbegäran mail.docx", "A 7845-2022")</f>
        <v/>
      </c>
    </row>
    <row r="60" ht="15" customHeight="1">
      <c r="A60" t="inlineStr">
        <is>
          <t>A 16217-2023</t>
        </is>
      </c>
      <c r="B60" s="1" t="n">
        <v>45022</v>
      </c>
      <c r="C60" s="1" t="n">
        <v>45692</v>
      </c>
      <c r="D60" t="inlineStr">
        <is>
          <t>VÄSTMANLANDS LÄN</t>
        </is>
      </c>
      <c r="E60" t="inlineStr">
        <is>
          <t>SURAHAMMAR</t>
        </is>
      </c>
      <c r="G60" t="n">
        <v>2.6</v>
      </c>
      <c r="H60" t="n">
        <v>1</v>
      </c>
      <c r="I60" t="n">
        <v>1</v>
      </c>
      <c r="J60" t="n">
        <v>1</v>
      </c>
      <c r="K60" t="n">
        <v>0</v>
      </c>
      <c r="L60" t="n">
        <v>0</v>
      </c>
      <c r="M60" t="n">
        <v>0</v>
      </c>
      <c r="N60" t="n">
        <v>0</v>
      </c>
      <c r="O60" t="n">
        <v>1</v>
      </c>
      <c r="P60" t="n">
        <v>0</v>
      </c>
      <c r="Q60" t="n">
        <v>2</v>
      </c>
      <c r="R60" s="2" t="inlineStr">
        <is>
          <t>Tretåig hackspett
Gullgröppa</t>
        </is>
      </c>
      <c r="S60">
        <f>HYPERLINK("https://klasma.github.io/Logging_1907/artfynd/A 16217-2023 artfynd.xlsx", "A 16217-2023")</f>
        <v/>
      </c>
      <c r="T60">
        <f>HYPERLINK("https://klasma.github.io/Logging_1907/kartor/A 16217-2023 karta.png", "A 16217-2023")</f>
        <v/>
      </c>
      <c r="V60">
        <f>HYPERLINK("https://klasma.github.io/Logging_1907/klagomål/A 16217-2023 FSC-klagomål.docx", "A 16217-2023")</f>
        <v/>
      </c>
      <c r="W60">
        <f>HYPERLINK("https://klasma.github.io/Logging_1907/klagomålsmail/A 16217-2023 FSC-klagomål mail.docx", "A 16217-2023")</f>
        <v/>
      </c>
      <c r="X60">
        <f>HYPERLINK("https://klasma.github.io/Logging_1907/tillsyn/A 16217-2023 tillsynsbegäran.docx", "A 16217-2023")</f>
        <v/>
      </c>
      <c r="Y60">
        <f>HYPERLINK("https://klasma.github.io/Logging_1907/tillsynsmail/A 16217-2023 tillsynsbegäran mail.docx", "A 16217-2023")</f>
        <v/>
      </c>
      <c r="Z60">
        <f>HYPERLINK("https://klasma.github.io/Logging_1907/fåglar/A 16217-2023 prioriterade fågelarter.docx", "A 16217-2023")</f>
        <v/>
      </c>
    </row>
    <row r="61" ht="15" customHeight="1">
      <c r="A61" t="inlineStr">
        <is>
          <t>A 28043-2023</t>
        </is>
      </c>
      <c r="B61" s="1" t="n">
        <v>45099</v>
      </c>
      <c r="C61" s="1" t="n">
        <v>45692</v>
      </c>
      <c r="D61" t="inlineStr">
        <is>
          <t>VÄSTMANLANDS LÄN</t>
        </is>
      </c>
      <c r="E61" t="inlineStr">
        <is>
          <t>SURAHAMMAR</t>
        </is>
      </c>
      <c r="F61" t="inlineStr">
        <is>
          <t>Allmännings- och besparingsskogar</t>
        </is>
      </c>
      <c r="G61" t="n">
        <v>23.9</v>
      </c>
      <c r="H61" t="n">
        <v>1</v>
      </c>
      <c r="I61" t="n">
        <v>0</v>
      </c>
      <c r="J61" t="n">
        <v>1</v>
      </c>
      <c r="K61" t="n">
        <v>0</v>
      </c>
      <c r="L61" t="n">
        <v>0</v>
      </c>
      <c r="M61" t="n">
        <v>0</v>
      </c>
      <c r="N61" t="n">
        <v>0</v>
      </c>
      <c r="O61" t="n">
        <v>1</v>
      </c>
      <c r="P61" t="n">
        <v>0</v>
      </c>
      <c r="Q61" t="n">
        <v>2</v>
      </c>
      <c r="R61" s="2" t="inlineStr">
        <is>
          <t>Gropticka
Revlummer</t>
        </is>
      </c>
      <c r="S61">
        <f>HYPERLINK("https://klasma.github.io/Logging_1907/artfynd/A 28043-2023 artfynd.xlsx", "A 28043-2023")</f>
        <v/>
      </c>
      <c r="T61">
        <f>HYPERLINK("https://klasma.github.io/Logging_1907/kartor/A 28043-2023 karta.png", "A 28043-2023")</f>
        <v/>
      </c>
      <c r="V61">
        <f>HYPERLINK("https://klasma.github.io/Logging_1907/klagomål/A 28043-2023 FSC-klagomål.docx", "A 28043-2023")</f>
        <v/>
      </c>
      <c r="W61">
        <f>HYPERLINK("https://klasma.github.io/Logging_1907/klagomålsmail/A 28043-2023 FSC-klagomål mail.docx", "A 28043-2023")</f>
        <v/>
      </c>
      <c r="X61">
        <f>HYPERLINK("https://klasma.github.io/Logging_1907/tillsyn/A 28043-2023 tillsynsbegäran.docx", "A 28043-2023")</f>
        <v/>
      </c>
      <c r="Y61">
        <f>HYPERLINK("https://klasma.github.io/Logging_1907/tillsynsmail/A 28043-2023 tillsynsbegäran mail.docx", "A 28043-2023")</f>
        <v/>
      </c>
    </row>
    <row r="62" ht="15" customHeight="1">
      <c r="A62" t="inlineStr">
        <is>
          <t>A 41204-2023</t>
        </is>
      </c>
      <c r="B62" s="1" t="n">
        <v>45174</v>
      </c>
      <c r="C62" s="1" t="n">
        <v>45692</v>
      </c>
      <c r="D62" t="inlineStr">
        <is>
          <t>VÄSTMANLANDS LÄN</t>
        </is>
      </c>
      <c r="E62" t="inlineStr">
        <is>
          <t>SURAHAMMAR</t>
        </is>
      </c>
      <c r="G62" t="n">
        <v>1</v>
      </c>
      <c r="H62" t="n">
        <v>1</v>
      </c>
      <c r="I62" t="n">
        <v>0</v>
      </c>
      <c r="J62" t="n">
        <v>1</v>
      </c>
      <c r="K62" t="n">
        <v>1</v>
      </c>
      <c r="L62" t="n">
        <v>0</v>
      </c>
      <c r="M62" t="n">
        <v>0</v>
      </c>
      <c r="N62" t="n">
        <v>0</v>
      </c>
      <c r="O62" t="n">
        <v>2</v>
      </c>
      <c r="P62" t="n">
        <v>1</v>
      </c>
      <c r="Q62" t="n">
        <v>2</v>
      </c>
      <c r="R62" s="2" t="inlineStr">
        <is>
          <t>Knärot
Vedtrappmossa</t>
        </is>
      </c>
      <c r="S62">
        <f>HYPERLINK("https://klasma.github.io/Logging_1907/artfynd/A 41204-2023 artfynd.xlsx", "A 41204-2023")</f>
        <v/>
      </c>
      <c r="T62">
        <f>HYPERLINK("https://klasma.github.io/Logging_1907/kartor/A 41204-2023 karta.png", "A 41204-2023")</f>
        <v/>
      </c>
      <c r="U62">
        <f>HYPERLINK("https://klasma.github.io/Logging_1907/knärot/A 41204-2023 karta knärot.png", "A 41204-2023")</f>
        <v/>
      </c>
      <c r="V62">
        <f>HYPERLINK("https://klasma.github.io/Logging_1907/klagomål/A 41204-2023 FSC-klagomål.docx", "A 41204-2023")</f>
        <v/>
      </c>
      <c r="W62">
        <f>HYPERLINK("https://klasma.github.io/Logging_1907/klagomålsmail/A 41204-2023 FSC-klagomål mail.docx", "A 41204-2023")</f>
        <v/>
      </c>
      <c r="X62">
        <f>HYPERLINK("https://klasma.github.io/Logging_1907/tillsyn/A 41204-2023 tillsynsbegäran.docx", "A 41204-2023")</f>
        <v/>
      </c>
      <c r="Y62">
        <f>HYPERLINK("https://klasma.github.io/Logging_1907/tillsynsmail/A 41204-2023 tillsynsbegäran mail.docx", "A 41204-2023")</f>
        <v/>
      </c>
    </row>
    <row r="63" ht="15" customHeight="1">
      <c r="A63" t="inlineStr">
        <is>
          <t>A 7796-2024</t>
        </is>
      </c>
      <c r="B63" s="1" t="n">
        <v>45348</v>
      </c>
      <c r="C63" s="1" t="n">
        <v>45692</v>
      </c>
      <c r="D63" t="inlineStr">
        <is>
          <t>VÄSTMANLANDS LÄN</t>
        </is>
      </c>
      <c r="E63" t="inlineStr">
        <is>
          <t>SURAHAMMAR</t>
        </is>
      </c>
      <c r="G63" t="n">
        <v>10.5</v>
      </c>
      <c r="H63" t="n">
        <v>1</v>
      </c>
      <c r="I63" t="n">
        <v>1</v>
      </c>
      <c r="J63" t="n">
        <v>1</v>
      </c>
      <c r="K63" t="n">
        <v>0</v>
      </c>
      <c r="L63" t="n">
        <v>0</v>
      </c>
      <c r="M63" t="n">
        <v>0</v>
      </c>
      <c r="N63" t="n">
        <v>0</v>
      </c>
      <c r="O63" t="n">
        <v>1</v>
      </c>
      <c r="P63" t="n">
        <v>0</v>
      </c>
      <c r="Q63" t="n">
        <v>2</v>
      </c>
      <c r="R63" s="2" t="inlineStr">
        <is>
          <t>Ullticka
Plattlummer</t>
        </is>
      </c>
      <c r="S63">
        <f>HYPERLINK("https://klasma.github.io/Logging_1907/artfynd/A 7796-2024 artfynd.xlsx", "A 7796-2024")</f>
        <v/>
      </c>
      <c r="T63">
        <f>HYPERLINK("https://klasma.github.io/Logging_1907/kartor/A 7796-2024 karta.png", "A 7796-2024")</f>
        <v/>
      </c>
      <c r="V63">
        <f>HYPERLINK("https://klasma.github.io/Logging_1907/klagomål/A 7796-2024 FSC-klagomål.docx", "A 7796-2024")</f>
        <v/>
      </c>
      <c r="W63">
        <f>HYPERLINK("https://klasma.github.io/Logging_1907/klagomålsmail/A 7796-2024 FSC-klagomål mail.docx", "A 7796-2024")</f>
        <v/>
      </c>
      <c r="X63">
        <f>HYPERLINK("https://klasma.github.io/Logging_1907/tillsyn/A 7796-2024 tillsynsbegäran.docx", "A 7796-2024")</f>
        <v/>
      </c>
      <c r="Y63">
        <f>HYPERLINK("https://klasma.github.io/Logging_1907/tillsynsmail/A 7796-2024 tillsynsbegäran mail.docx", "A 7796-2024")</f>
        <v/>
      </c>
    </row>
    <row r="64" ht="15" customHeight="1">
      <c r="A64" t="inlineStr">
        <is>
          <t>A 19120-2024</t>
        </is>
      </c>
      <c r="B64" s="1" t="n">
        <v>45428</v>
      </c>
      <c r="C64" s="1" t="n">
        <v>45692</v>
      </c>
      <c r="D64" t="inlineStr">
        <is>
          <t>VÄSTMANLANDS LÄN</t>
        </is>
      </c>
      <c r="E64" t="inlineStr">
        <is>
          <t>SURAHAMMAR</t>
        </is>
      </c>
      <c r="F64" t="inlineStr">
        <is>
          <t>Allmännings- och besparingsskogar</t>
        </is>
      </c>
      <c r="G64" t="n">
        <v>17.5</v>
      </c>
      <c r="H64" t="n">
        <v>0</v>
      </c>
      <c r="I64" t="n">
        <v>1</v>
      </c>
      <c r="J64" t="n">
        <v>1</v>
      </c>
      <c r="K64" t="n">
        <v>0</v>
      </c>
      <c r="L64" t="n">
        <v>0</v>
      </c>
      <c r="M64" t="n">
        <v>0</v>
      </c>
      <c r="N64" t="n">
        <v>0</v>
      </c>
      <c r="O64" t="n">
        <v>1</v>
      </c>
      <c r="P64" t="n">
        <v>0</v>
      </c>
      <c r="Q64" t="n">
        <v>2</v>
      </c>
      <c r="R64" s="2" t="inlineStr">
        <is>
          <t>Tallticka
Vedticka</t>
        </is>
      </c>
      <c r="S64">
        <f>HYPERLINK("https://klasma.github.io/Logging_1907/artfynd/A 19120-2024 artfynd.xlsx", "A 19120-2024")</f>
        <v/>
      </c>
      <c r="T64">
        <f>HYPERLINK("https://klasma.github.io/Logging_1907/kartor/A 19120-2024 karta.png", "A 19120-2024")</f>
        <v/>
      </c>
      <c r="V64">
        <f>HYPERLINK("https://klasma.github.io/Logging_1907/klagomål/A 19120-2024 FSC-klagomål.docx", "A 19120-2024")</f>
        <v/>
      </c>
      <c r="W64">
        <f>HYPERLINK("https://klasma.github.io/Logging_1907/klagomålsmail/A 19120-2024 FSC-klagomål mail.docx", "A 19120-2024")</f>
        <v/>
      </c>
      <c r="X64">
        <f>HYPERLINK("https://klasma.github.io/Logging_1907/tillsyn/A 19120-2024 tillsynsbegäran.docx", "A 19120-2024")</f>
        <v/>
      </c>
      <c r="Y64">
        <f>HYPERLINK("https://klasma.github.io/Logging_1907/tillsynsmail/A 19120-2024 tillsynsbegäran mail.docx", "A 19120-2024")</f>
        <v/>
      </c>
    </row>
    <row r="65" ht="15" customHeight="1">
      <c r="A65" t="inlineStr">
        <is>
          <t>A 20705-2024</t>
        </is>
      </c>
      <c r="B65" s="1" t="n">
        <v>45436</v>
      </c>
      <c r="C65" s="1" t="n">
        <v>45692</v>
      </c>
      <c r="D65" t="inlineStr">
        <is>
          <t>VÄSTMANLANDS LÄN</t>
        </is>
      </c>
      <c r="E65" t="inlineStr">
        <is>
          <t>SURAHAMMAR</t>
        </is>
      </c>
      <c r="F65" t="inlineStr">
        <is>
          <t>Bergvik skog väst AB</t>
        </is>
      </c>
      <c r="G65" t="n">
        <v>4</v>
      </c>
      <c r="H65" t="n">
        <v>0</v>
      </c>
      <c r="I65" t="n">
        <v>1</v>
      </c>
      <c r="J65" t="n">
        <v>1</v>
      </c>
      <c r="K65" t="n">
        <v>0</v>
      </c>
      <c r="L65" t="n">
        <v>0</v>
      </c>
      <c r="M65" t="n">
        <v>0</v>
      </c>
      <c r="N65" t="n">
        <v>0</v>
      </c>
      <c r="O65" t="n">
        <v>1</v>
      </c>
      <c r="P65" t="n">
        <v>0</v>
      </c>
      <c r="Q65" t="n">
        <v>2</v>
      </c>
      <c r="R65" s="2" t="inlineStr">
        <is>
          <t>Kandelabersvamp
Rävticka</t>
        </is>
      </c>
      <c r="S65">
        <f>HYPERLINK("https://klasma.github.io/Logging_1907/artfynd/A 20705-2024 artfynd.xlsx", "A 20705-2024")</f>
        <v/>
      </c>
      <c r="T65">
        <f>HYPERLINK("https://klasma.github.io/Logging_1907/kartor/A 20705-2024 karta.png", "A 20705-2024")</f>
        <v/>
      </c>
      <c r="V65">
        <f>HYPERLINK("https://klasma.github.io/Logging_1907/klagomål/A 20705-2024 FSC-klagomål.docx", "A 20705-2024")</f>
        <v/>
      </c>
      <c r="W65">
        <f>HYPERLINK("https://klasma.github.io/Logging_1907/klagomålsmail/A 20705-2024 FSC-klagomål mail.docx", "A 20705-2024")</f>
        <v/>
      </c>
      <c r="X65">
        <f>HYPERLINK("https://klasma.github.io/Logging_1907/tillsyn/A 20705-2024 tillsynsbegäran.docx", "A 20705-2024")</f>
        <v/>
      </c>
      <c r="Y65">
        <f>HYPERLINK("https://klasma.github.io/Logging_1907/tillsynsmail/A 20705-2024 tillsynsbegäran mail.docx", "A 20705-2024")</f>
        <v/>
      </c>
    </row>
    <row r="66" ht="15" customHeight="1">
      <c r="A66" t="inlineStr">
        <is>
          <t>A 24538-2024</t>
        </is>
      </c>
      <c r="B66" s="1" t="n">
        <v>45460</v>
      </c>
      <c r="C66" s="1" t="n">
        <v>45692</v>
      </c>
      <c r="D66" t="inlineStr">
        <is>
          <t>VÄSTMANLANDS LÄN</t>
        </is>
      </c>
      <c r="E66" t="inlineStr">
        <is>
          <t>SURAHAMMAR</t>
        </is>
      </c>
      <c r="G66" t="n">
        <v>2.5</v>
      </c>
      <c r="H66" t="n">
        <v>1</v>
      </c>
      <c r="I66" t="n">
        <v>1</v>
      </c>
      <c r="J66" t="n">
        <v>0</v>
      </c>
      <c r="K66" t="n">
        <v>1</v>
      </c>
      <c r="L66" t="n">
        <v>0</v>
      </c>
      <c r="M66" t="n">
        <v>0</v>
      </c>
      <c r="N66" t="n">
        <v>0</v>
      </c>
      <c r="O66" t="n">
        <v>1</v>
      </c>
      <c r="P66" t="n">
        <v>1</v>
      </c>
      <c r="Q66" t="n">
        <v>2</v>
      </c>
      <c r="R66" s="2" t="inlineStr">
        <is>
          <t>Knärot
Vedticka</t>
        </is>
      </c>
      <c r="S66">
        <f>HYPERLINK("https://klasma.github.io/Logging_1907/artfynd/A 24538-2024 artfynd.xlsx", "A 24538-2024")</f>
        <v/>
      </c>
      <c r="T66">
        <f>HYPERLINK("https://klasma.github.io/Logging_1907/kartor/A 24538-2024 karta.png", "A 24538-2024")</f>
        <v/>
      </c>
      <c r="U66">
        <f>HYPERLINK("https://klasma.github.io/Logging_1907/knärot/A 24538-2024 karta knärot.png", "A 24538-2024")</f>
        <v/>
      </c>
      <c r="V66">
        <f>HYPERLINK("https://klasma.github.io/Logging_1907/klagomål/A 24538-2024 FSC-klagomål.docx", "A 24538-2024")</f>
        <v/>
      </c>
      <c r="W66">
        <f>HYPERLINK("https://klasma.github.io/Logging_1907/klagomålsmail/A 24538-2024 FSC-klagomål mail.docx", "A 24538-2024")</f>
        <v/>
      </c>
      <c r="X66">
        <f>HYPERLINK("https://klasma.github.io/Logging_1907/tillsyn/A 24538-2024 tillsynsbegäran.docx", "A 24538-2024")</f>
        <v/>
      </c>
      <c r="Y66">
        <f>HYPERLINK("https://klasma.github.io/Logging_1907/tillsynsmail/A 24538-2024 tillsynsbegäran mail.docx", "A 24538-2024")</f>
        <v/>
      </c>
    </row>
    <row r="67" ht="15" customHeight="1">
      <c r="A67" t="inlineStr">
        <is>
          <t>A 18948-2019</t>
        </is>
      </c>
      <c r="B67" s="1" t="n">
        <v>43563</v>
      </c>
      <c r="C67" s="1" t="n">
        <v>45692</v>
      </c>
      <c r="D67" t="inlineStr">
        <is>
          <t>VÄSTMANLANDS LÄN</t>
        </is>
      </c>
      <c r="E67" t="inlineStr">
        <is>
          <t>SURAHAMMAR</t>
        </is>
      </c>
      <c r="F67" t="inlineStr">
        <is>
          <t>Övriga Aktiebolag</t>
        </is>
      </c>
      <c r="G67" t="n">
        <v>1.9</v>
      </c>
      <c r="H67" t="n">
        <v>0</v>
      </c>
      <c r="I67" t="n">
        <v>0</v>
      </c>
      <c r="J67" t="n">
        <v>0</v>
      </c>
      <c r="K67" t="n">
        <v>0</v>
      </c>
      <c r="L67" t="n">
        <v>1</v>
      </c>
      <c r="M67" t="n">
        <v>0</v>
      </c>
      <c r="N67" t="n">
        <v>0</v>
      </c>
      <c r="O67" t="n">
        <v>1</v>
      </c>
      <c r="P67" t="n">
        <v>1</v>
      </c>
      <c r="Q67" t="n">
        <v>1</v>
      </c>
      <c r="R67" s="2" t="inlineStr">
        <is>
          <t>Ask</t>
        </is>
      </c>
      <c r="S67">
        <f>HYPERLINK("https://klasma.github.io/Logging_1907/artfynd/A 18948-2019 artfynd.xlsx", "A 18948-2019")</f>
        <v/>
      </c>
      <c r="T67">
        <f>HYPERLINK("https://klasma.github.io/Logging_1907/kartor/A 18948-2019 karta.png", "A 18948-2019")</f>
        <v/>
      </c>
      <c r="V67">
        <f>HYPERLINK("https://klasma.github.io/Logging_1907/klagomål/A 18948-2019 FSC-klagomål.docx", "A 18948-2019")</f>
        <v/>
      </c>
      <c r="W67">
        <f>HYPERLINK("https://klasma.github.io/Logging_1907/klagomålsmail/A 18948-2019 FSC-klagomål mail.docx", "A 18948-2019")</f>
        <v/>
      </c>
      <c r="X67">
        <f>HYPERLINK("https://klasma.github.io/Logging_1907/tillsyn/A 18948-2019 tillsynsbegäran.docx", "A 18948-2019")</f>
        <v/>
      </c>
      <c r="Y67">
        <f>HYPERLINK("https://klasma.github.io/Logging_1907/tillsynsmail/A 18948-2019 tillsynsbegäran mail.docx", "A 18948-2019")</f>
        <v/>
      </c>
    </row>
    <row r="68" ht="15" customHeight="1">
      <c r="A68" t="inlineStr">
        <is>
          <t>A 28276-2019</t>
        </is>
      </c>
      <c r="B68" s="1" t="n">
        <v>43623</v>
      </c>
      <c r="C68" s="1" t="n">
        <v>45692</v>
      </c>
      <c r="D68" t="inlineStr">
        <is>
          <t>VÄSTMANLANDS LÄN</t>
        </is>
      </c>
      <c r="E68" t="inlineStr">
        <is>
          <t>SURAHAMMAR</t>
        </is>
      </c>
      <c r="F68" t="inlineStr">
        <is>
          <t>Allmännings- och besparingsskogar</t>
        </is>
      </c>
      <c r="G68" t="n">
        <v>8.4</v>
      </c>
      <c r="H68" t="n">
        <v>0</v>
      </c>
      <c r="I68" t="n">
        <v>0</v>
      </c>
      <c r="J68" t="n">
        <v>1</v>
      </c>
      <c r="K68" t="n">
        <v>0</v>
      </c>
      <c r="L68" t="n">
        <v>0</v>
      </c>
      <c r="M68" t="n">
        <v>0</v>
      </c>
      <c r="N68" t="n">
        <v>0</v>
      </c>
      <c r="O68" t="n">
        <v>1</v>
      </c>
      <c r="P68" t="n">
        <v>0</v>
      </c>
      <c r="Q68" t="n">
        <v>1</v>
      </c>
      <c r="R68" s="2" t="inlineStr">
        <is>
          <t>Hapalopilus aurantiacus</t>
        </is>
      </c>
      <c r="S68">
        <f>HYPERLINK("https://klasma.github.io/Logging_1907/artfynd/A 28276-2019 artfynd.xlsx", "A 28276-2019")</f>
        <v/>
      </c>
      <c r="T68">
        <f>HYPERLINK("https://klasma.github.io/Logging_1907/kartor/A 28276-2019 karta.png", "A 28276-2019")</f>
        <v/>
      </c>
      <c r="V68">
        <f>HYPERLINK("https://klasma.github.io/Logging_1907/klagomål/A 28276-2019 FSC-klagomål.docx", "A 28276-2019")</f>
        <v/>
      </c>
      <c r="W68">
        <f>HYPERLINK("https://klasma.github.io/Logging_1907/klagomålsmail/A 28276-2019 FSC-klagomål mail.docx", "A 28276-2019")</f>
        <v/>
      </c>
      <c r="X68">
        <f>HYPERLINK("https://klasma.github.io/Logging_1907/tillsyn/A 28276-2019 tillsynsbegäran.docx", "A 28276-2019")</f>
        <v/>
      </c>
      <c r="Y68">
        <f>HYPERLINK("https://klasma.github.io/Logging_1907/tillsynsmail/A 28276-2019 tillsynsbegäran mail.docx", "A 28276-2019")</f>
        <v/>
      </c>
    </row>
    <row r="69" ht="15" customHeight="1">
      <c r="A69" t="inlineStr">
        <is>
          <t>A 33879-2019</t>
        </is>
      </c>
      <c r="B69" s="1" t="n">
        <v>43653</v>
      </c>
      <c r="C69" s="1" t="n">
        <v>45692</v>
      </c>
      <c r="D69" t="inlineStr">
        <is>
          <t>VÄSTMANLANDS LÄN</t>
        </is>
      </c>
      <c r="E69" t="inlineStr">
        <is>
          <t>SURAHAMMAR</t>
        </is>
      </c>
      <c r="F69" t="inlineStr">
        <is>
          <t>Kyrkan</t>
        </is>
      </c>
      <c r="G69" t="n">
        <v>1.8</v>
      </c>
      <c r="H69" t="n">
        <v>1</v>
      </c>
      <c r="I69" t="n">
        <v>0</v>
      </c>
      <c r="J69" t="n">
        <v>0</v>
      </c>
      <c r="K69" t="n">
        <v>1</v>
      </c>
      <c r="L69" t="n">
        <v>0</v>
      </c>
      <c r="M69" t="n">
        <v>0</v>
      </c>
      <c r="N69" t="n">
        <v>0</v>
      </c>
      <c r="O69" t="n">
        <v>1</v>
      </c>
      <c r="P69" t="n">
        <v>1</v>
      </c>
      <c r="Q69" t="n">
        <v>1</v>
      </c>
      <c r="R69" s="2" t="inlineStr">
        <is>
          <t>Bombmurkla</t>
        </is>
      </c>
      <c r="S69">
        <f>HYPERLINK("https://klasma.github.io/Logging_1907/artfynd/A 33879-2019 artfynd.xlsx", "A 33879-2019")</f>
        <v/>
      </c>
      <c r="T69">
        <f>HYPERLINK("https://klasma.github.io/Logging_1907/kartor/A 33879-2019 karta.png", "A 33879-2019")</f>
        <v/>
      </c>
      <c r="V69">
        <f>HYPERLINK("https://klasma.github.io/Logging_1907/klagomål/A 33879-2019 FSC-klagomål.docx", "A 33879-2019")</f>
        <v/>
      </c>
      <c r="W69">
        <f>HYPERLINK("https://klasma.github.io/Logging_1907/klagomålsmail/A 33879-2019 FSC-klagomål mail.docx", "A 33879-2019")</f>
        <v/>
      </c>
      <c r="X69">
        <f>HYPERLINK("https://klasma.github.io/Logging_1907/tillsyn/A 33879-2019 tillsynsbegäran.docx", "A 33879-2019")</f>
        <v/>
      </c>
      <c r="Y69">
        <f>HYPERLINK("https://klasma.github.io/Logging_1907/tillsynsmail/A 33879-2019 tillsynsbegäran mail.docx", "A 33879-2019")</f>
        <v/>
      </c>
    </row>
    <row r="70" ht="15" customHeight="1">
      <c r="A70" t="inlineStr">
        <is>
          <t>A 39755-2019</t>
        </is>
      </c>
      <c r="B70" s="1" t="n">
        <v>43692</v>
      </c>
      <c r="C70" s="1" t="n">
        <v>45692</v>
      </c>
      <c r="D70" t="inlineStr">
        <is>
          <t>VÄSTMANLANDS LÄN</t>
        </is>
      </c>
      <c r="E70" t="inlineStr">
        <is>
          <t>SURAHAMMAR</t>
        </is>
      </c>
      <c r="F70" t="inlineStr">
        <is>
          <t>Övriga Aktiebolag</t>
        </is>
      </c>
      <c r="G70" t="n">
        <v>11.8</v>
      </c>
      <c r="H70" t="n">
        <v>1</v>
      </c>
      <c r="I70" t="n">
        <v>0</v>
      </c>
      <c r="J70" t="n">
        <v>0</v>
      </c>
      <c r="K70" t="n">
        <v>0</v>
      </c>
      <c r="L70" t="n">
        <v>0</v>
      </c>
      <c r="M70" t="n">
        <v>0</v>
      </c>
      <c r="N70" t="n">
        <v>0</v>
      </c>
      <c r="O70" t="n">
        <v>0</v>
      </c>
      <c r="P70" t="n">
        <v>0</v>
      </c>
      <c r="Q70" t="n">
        <v>1</v>
      </c>
      <c r="R70" s="2" t="inlineStr">
        <is>
          <t>Kopparödla</t>
        </is>
      </c>
      <c r="S70">
        <f>HYPERLINK("https://klasma.github.io/Logging_1907/artfynd/A 39755-2019 artfynd.xlsx", "A 39755-2019")</f>
        <v/>
      </c>
      <c r="T70">
        <f>HYPERLINK("https://klasma.github.io/Logging_1907/kartor/A 39755-2019 karta.png", "A 39755-2019")</f>
        <v/>
      </c>
      <c r="V70">
        <f>HYPERLINK("https://klasma.github.io/Logging_1907/klagomål/A 39755-2019 FSC-klagomål.docx", "A 39755-2019")</f>
        <v/>
      </c>
      <c r="W70">
        <f>HYPERLINK("https://klasma.github.io/Logging_1907/klagomålsmail/A 39755-2019 FSC-klagomål mail.docx", "A 39755-2019")</f>
        <v/>
      </c>
      <c r="X70">
        <f>HYPERLINK("https://klasma.github.io/Logging_1907/tillsyn/A 39755-2019 tillsynsbegäran.docx", "A 39755-2019")</f>
        <v/>
      </c>
      <c r="Y70">
        <f>HYPERLINK("https://klasma.github.io/Logging_1907/tillsynsmail/A 39755-2019 tillsynsbegäran mail.docx", "A 39755-2019")</f>
        <v/>
      </c>
    </row>
    <row r="71" ht="15" customHeight="1">
      <c r="A71" t="inlineStr">
        <is>
          <t>A 2708-2020</t>
        </is>
      </c>
      <c r="B71" s="1" t="n">
        <v>43850</v>
      </c>
      <c r="C71" s="1" t="n">
        <v>45692</v>
      </c>
      <c r="D71" t="inlineStr">
        <is>
          <t>VÄSTMANLANDS LÄN</t>
        </is>
      </c>
      <c r="E71" t="inlineStr">
        <is>
          <t>SURAHAMMAR</t>
        </is>
      </c>
      <c r="F71" t="inlineStr">
        <is>
          <t>Övriga Aktiebolag</t>
        </is>
      </c>
      <c r="G71" t="n">
        <v>29.7</v>
      </c>
      <c r="H71" t="n">
        <v>0</v>
      </c>
      <c r="I71" t="n">
        <v>0</v>
      </c>
      <c r="J71" t="n">
        <v>1</v>
      </c>
      <c r="K71" t="n">
        <v>0</v>
      </c>
      <c r="L71" t="n">
        <v>0</v>
      </c>
      <c r="M71" t="n">
        <v>0</v>
      </c>
      <c r="N71" t="n">
        <v>0</v>
      </c>
      <c r="O71" t="n">
        <v>1</v>
      </c>
      <c r="P71" t="n">
        <v>0</v>
      </c>
      <c r="Q71" t="n">
        <v>1</v>
      </c>
      <c r="R71" s="2" t="inlineStr">
        <is>
          <t>Ullticka</t>
        </is>
      </c>
      <c r="S71">
        <f>HYPERLINK("https://klasma.github.io/Logging_1907/artfynd/A 2708-2020 artfynd.xlsx", "A 2708-2020")</f>
        <v/>
      </c>
      <c r="T71">
        <f>HYPERLINK("https://klasma.github.io/Logging_1907/kartor/A 2708-2020 karta.png", "A 2708-2020")</f>
        <v/>
      </c>
      <c r="V71">
        <f>HYPERLINK("https://klasma.github.io/Logging_1907/klagomål/A 2708-2020 FSC-klagomål.docx", "A 2708-2020")</f>
        <v/>
      </c>
      <c r="W71">
        <f>HYPERLINK("https://klasma.github.io/Logging_1907/klagomålsmail/A 2708-2020 FSC-klagomål mail.docx", "A 2708-2020")</f>
        <v/>
      </c>
      <c r="X71">
        <f>HYPERLINK("https://klasma.github.io/Logging_1907/tillsyn/A 2708-2020 tillsynsbegäran.docx", "A 2708-2020")</f>
        <v/>
      </c>
      <c r="Y71">
        <f>HYPERLINK("https://klasma.github.io/Logging_1907/tillsynsmail/A 2708-2020 tillsynsbegäran mail.docx", "A 2708-2020")</f>
        <v/>
      </c>
    </row>
    <row r="72" ht="15" customHeight="1">
      <c r="A72" t="inlineStr">
        <is>
          <t>A 6514-2020</t>
        </is>
      </c>
      <c r="B72" s="1" t="n">
        <v>43867</v>
      </c>
      <c r="C72" s="1" t="n">
        <v>45692</v>
      </c>
      <c r="D72" t="inlineStr">
        <is>
          <t>VÄSTMANLANDS LÄN</t>
        </is>
      </c>
      <c r="E72" t="inlineStr">
        <is>
          <t>SURAHAMMAR</t>
        </is>
      </c>
      <c r="G72" t="n">
        <v>2.2</v>
      </c>
      <c r="H72" t="n">
        <v>1</v>
      </c>
      <c r="I72" t="n">
        <v>0</v>
      </c>
      <c r="J72" t="n">
        <v>0</v>
      </c>
      <c r="K72" t="n">
        <v>1</v>
      </c>
      <c r="L72" t="n">
        <v>0</v>
      </c>
      <c r="M72" t="n">
        <v>0</v>
      </c>
      <c r="N72" t="n">
        <v>0</v>
      </c>
      <c r="O72" t="n">
        <v>1</v>
      </c>
      <c r="P72" t="n">
        <v>1</v>
      </c>
      <c r="Q72" t="n">
        <v>1</v>
      </c>
      <c r="R72" s="2" t="inlineStr">
        <is>
          <t>Bombmurkla</t>
        </is>
      </c>
      <c r="S72">
        <f>HYPERLINK("https://klasma.github.io/Logging_1907/artfynd/A 6514-2020 artfynd.xlsx", "A 6514-2020")</f>
        <v/>
      </c>
      <c r="T72">
        <f>HYPERLINK("https://klasma.github.io/Logging_1907/kartor/A 6514-2020 karta.png", "A 6514-2020")</f>
        <v/>
      </c>
      <c r="V72">
        <f>HYPERLINK("https://klasma.github.io/Logging_1907/klagomål/A 6514-2020 FSC-klagomål.docx", "A 6514-2020")</f>
        <v/>
      </c>
      <c r="W72">
        <f>HYPERLINK("https://klasma.github.io/Logging_1907/klagomålsmail/A 6514-2020 FSC-klagomål mail.docx", "A 6514-2020")</f>
        <v/>
      </c>
      <c r="X72">
        <f>HYPERLINK("https://klasma.github.io/Logging_1907/tillsyn/A 6514-2020 tillsynsbegäran.docx", "A 6514-2020")</f>
        <v/>
      </c>
      <c r="Y72">
        <f>HYPERLINK("https://klasma.github.io/Logging_1907/tillsynsmail/A 6514-2020 tillsynsbegäran mail.docx", "A 6514-2020")</f>
        <v/>
      </c>
    </row>
    <row r="73" ht="15" customHeight="1">
      <c r="A73" t="inlineStr">
        <is>
          <t>A 18717-2021</t>
        </is>
      </c>
      <c r="B73" s="1" t="n">
        <v>44306</v>
      </c>
      <c r="C73" s="1" t="n">
        <v>45692</v>
      </c>
      <c r="D73" t="inlineStr">
        <is>
          <t>VÄSTMANLANDS LÄN</t>
        </is>
      </c>
      <c r="E73" t="inlineStr">
        <is>
          <t>SURAHAMMAR</t>
        </is>
      </c>
      <c r="F73" t="inlineStr">
        <is>
          <t>Bergvik skog väst AB</t>
        </is>
      </c>
      <c r="G73" t="n">
        <v>18</v>
      </c>
      <c r="H73" t="n">
        <v>1</v>
      </c>
      <c r="I73" t="n">
        <v>0</v>
      </c>
      <c r="J73" t="n">
        <v>0</v>
      </c>
      <c r="K73" t="n">
        <v>0</v>
      </c>
      <c r="L73" t="n">
        <v>0</v>
      </c>
      <c r="M73" t="n">
        <v>0</v>
      </c>
      <c r="N73" t="n">
        <v>0</v>
      </c>
      <c r="O73" t="n">
        <v>0</v>
      </c>
      <c r="P73" t="n">
        <v>0</v>
      </c>
      <c r="Q73" t="n">
        <v>1</v>
      </c>
      <c r="R73" s="2" t="inlineStr">
        <is>
          <t>Revlummer</t>
        </is>
      </c>
      <c r="S73">
        <f>HYPERLINK("https://klasma.github.io/Logging_1907/artfynd/A 18717-2021 artfynd.xlsx", "A 18717-2021")</f>
        <v/>
      </c>
      <c r="T73">
        <f>HYPERLINK("https://klasma.github.io/Logging_1907/kartor/A 18717-2021 karta.png", "A 18717-2021")</f>
        <v/>
      </c>
      <c r="V73">
        <f>HYPERLINK("https://klasma.github.io/Logging_1907/klagomål/A 18717-2021 FSC-klagomål.docx", "A 18717-2021")</f>
        <v/>
      </c>
      <c r="W73">
        <f>HYPERLINK("https://klasma.github.io/Logging_1907/klagomålsmail/A 18717-2021 FSC-klagomål mail.docx", "A 18717-2021")</f>
        <v/>
      </c>
      <c r="X73">
        <f>HYPERLINK("https://klasma.github.io/Logging_1907/tillsyn/A 18717-2021 tillsynsbegäran.docx", "A 18717-2021")</f>
        <v/>
      </c>
      <c r="Y73">
        <f>HYPERLINK("https://klasma.github.io/Logging_1907/tillsynsmail/A 18717-2021 tillsynsbegäran mail.docx", "A 18717-2021")</f>
        <v/>
      </c>
    </row>
    <row r="74" ht="15" customHeight="1">
      <c r="A74" t="inlineStr">
        <is>
          <t>A 20479-2021</t>
        </is>
      </c>
      <c r="B74" s="1" t="n">
        <v>44315</v>
      </c>
      <c r="C74" s="1" t="n">
        <v>45692</v>
      </c>
      <c r="D74" t="inlineStr">
        <is>
          <t>VÄSTMANLANDS LÄN</t>
        </is>
      </c>
      <c r="E74" t="inlineStr">
        <is>
          <t>SURAHAMMAR</t>
        </is>
      </c>
      <c r="F74" t="inlineStr">
        <is>
          <t>Sveaskog</t>
        </is>
      </c>
      <c r="G74" t="n">
        <v>3.8</v>
      </c>
      <c r="H74" t="n">
        <v>0</v>
      </c>
      <c r="I74" t="n">
        <v>1</v>
      </c>
      <c r="J74" t="n">
        <v>0</v>
      </c>
      <c r="K74" t="n">
        <v>0</v>
      </c>
      <c r="L74" t="n">
        <v>0</v>
      </c>
      <c r="M74" t="n">
        <v>0</v>
      </c>
      <c r="N74" t="n">
        <v>0</v>
      </c>
      <c r="O74" t="n">
        <v>0</v>
      </c>
      <c r="P74" t="n">
        <v>0</v>
      </c>
      <c r="Q74" t="n">
        <v>1</v>
      </c>
      <c r="R74" s="2" t="inlineStr">
        <is>
          <t>Grönpyrola</t>
        </is>
      </c>
      <c r="S74">
        <f>HYPERLINK("https://klasma.github.io/Logging_1907/artfynd/A 20479-2021 artfynd.xlsx", "A 20479-2021")</f>
        <v/>
      </c>
      <c r="T74">
        <f>HYPERLINK("https://klasma.github.io/Logging_1907/kartor/A 20479-2021 karta.png", "A 20479-2021")</f>
        <v/>
      </c>
      <c r="V74">
        <f>HYPERLINK("https://klasma.github.io/Logging_1907/klagomål/A 20479-2021 FSC-klagomål.docx", "A 20479-2021")</f>
        <v/>
      </c>
      <c r="W74">
        <f>HYPERLINK("https://klasma.github.io/Logging_1907/klagomålsmail/A 20479-2021 FSC-klagomål mail.docx", "A 20479-2021")</f>
        <v/>
      </c>
      <c r="X74">
        <f>HYPERLINK("https://klasma.github.io/Logging_1907/tillsyn/A 20479-2021 tillsynsbegäran.docx", "A 20479-2021")</f>
        <v/>
      </c>
      <c r="Y74">
        <f>HYPERLINK("https://klasma.github.io/Logging_1907/tillsynsmail/A 20479-2021 tillsynsbegäran mail.docx", "A 20479-2021")</f>
        <v/>
      </c>
    </row>
    <row r="75" ht="15" customHeight="1">
      <c r="A75" t="inlineStr">
        <is>
          <t>A 38170-2021</t>
        </is>
      </c>
      <c r="B75" s="1" t="n">
        <v>44405</v>
      </c>
      <c r="C75" s="1" t="n">
        <v>45692</v>
      </c>
      <c r="D75" t="inlineStr">
        <is>
          <t>VÄSTMANLANDS LÄN</t>
        </is>
      </c>
      <c r="E75" t="inlineStr">
        <is>
          <t>SURAHAMMAR</t>
        </is>
      </c>
      <c r="F75" t="inlineStr">
        <is>
          <t>Sveaskog</t>
        </is>
      </c>
      <c r="G75" t="n">
        <v>1.2</v>
      </c>
      <c r="H75" t="n">
        <v>1</v>
      </c>
      <c r="I75" t="n">
        <v>0</v>
      </c>
      <c r="J75" t="n">
        <v>0</v>
      </c>
      <c r="K75" t="n">
        <v>0</v>
      </c>
      <c r="L75" t="n">
        <v>0</v>
      </c>
      <c r="M75" t="n">
        <v>0</v>
      </c>
      <c r="N75" t="n">
        <v>0</v>
      </c>
      <c r="O75" t="n">
        <v>0</v>
      </c>
      <c r="P75" t="n">
        <v>0</v>
      </c>
      <c r="Q75" t="n">
        <v>1</v>
      </c>
      <c r="R75" s="2" t="inlineStr">
        <is>
          <t>Revlummer</t>
        </is>
      </c>
      <c r="S75">
        <f>HYPERLINK("https://klasma.github.io/Logging_1907/artfynd/A 38170-2021 artfynd.xlsx", "A 38170-2021")</f>
        <v/>
      </c>
      <c r="T75">
        <f>HYPERLINK("https://klasma.github.io/Logging_1907/kartor/A 38170-2021 karta.png", "A 38170-2021")</f>
        <v/>
      </c>
      <c r="V75">
        <f>HYPERLINK("https://klasma.github.io/Logging_1907/klagomål/A 38170-2021 FSC-klagomål.docx", "A 38170-2021")</f>
        <v/>
      </c>
      <c r="W75">
        <f>HYPERLINK("https://klasma.github.io/Logging_1907/klagomålsmail/A 38170-2021 FSC-klagomål mail.docx", "A 38170-2021")</f>
        <v/>
      </c>
      <c r="X75">
        <f>HYPERLINK("https://klasma.github.io/Logging_1907/tillsyn/A 38170-2021 tillsynsbegäran.docx", "A 38170-2021")</f>
        <v/>
      </c>
      <c r="Y75">
        <f>HYPERLINK("https://klasma.github.io/Logging_1907/tillsynsmail/A 38170-2021 tillsynsbegäran mail.docx", "A 38170-2021")</f>
        <v/>
      </c>
    </row>
    <row r="76" ht="15" customHeight="1">
      <c r="A76" t="inlineStr">
        <is>
          <t>A 38175-2021</t>
        </is>
      </c>
      <c r="B76" s="1" t="n">
        <v>44405</v>
      </c>
      <c r="C76" s="1" t="n">
        <v>45692</v>
      </c>
      <c r="D76" t="inlineStr">
        <is>
          <t>VÄSTMANLANDS LÄN</t>
        </is>
      </c>
      <c r="E76" t="inlineStr">
        <is>
          <t>SURAHAMMAR</t>
        </is>
      </c>
      <c r="F76" t="inlineStr">
        <is>
          <t>Sveaskog</t>
        </is>
      </c>
      <c r="G76" t="n">
        <v>3.1</v>
      </c>
      <c r="H76" t="n">
        <v>0</v>
      </c>
      <c r="I76" t="n">
        <v>0</v>
      </c>
      <c r="J76" t="n">
        <v>1</v>
      </c>
      <c r="K76" t="n">
        <v>0</v>
      </c>
      <c r="L76" t="n">
        <v>0</v>
      </c>
      <c r="M76" t="n">
        <v>0</v>
      </c>
      <c r="N76" t="n">
        <v>0</v>
      </c>
      <c r="O76" t="n">
        <v>1</v>
      </c>
      <c r="P76" t="n">
        <v>0</v>
      </c>
      <c r="Q76" t="n">
        <v>1</v>
      </c>
      <c r="R76" s="2" t="inlineStr">
        <is>
          <t>Ullticka</t>
        </is>
      </c>
      <c r="S76">
        <f>HYPERLINK("https://klasma.github.io/Logging_1907/artfynd/A 38175-2021 artfynd.xlsx", "A 38175-2021")</f>
        <v/>
      </c>
      <c r="T76">
        <f>HYPERLINK("https://klasma.github.io/Logging_1907/kartor/A 38175-2021 karta.png", "A 38175-2021")</f>
        <v/>
      </c>
      <c r="V76">
        <f>HYPERLINK("https://klasma.github.io/Logging_1907/klagomål/A 38175-2021 FSC-klagomål.docx", "A 38175-2021")</f>
        <v/>
      </c>
      <c r="W76">
        <f>HYPERLINK("https://klasma.github.io/Logging_1907/klagomålsmail/A 38175-2021 FSC-klagomål mail.docx", "A 38175-2021")</f>
        <v/>
      </c>
      <c r="X76">
        <f>HYPERLINK("https://klasma.github.io/Logging_1907/tillsyn/A 38175-2021 tillsynsbegäran.docx", "A 38175-2021")</f>
        <v/>
      </c>
      <c r="Y76">
        <f>HYPERLINK("https://klasma.github.io/Logging_1907/tillsynsmail/A 38175-2021 tillsynsbegäran mail.docx", "A 38175-2021")</f>
        <v/>
      </c>
    </row>
    <row r="77" ht="15" customHeight="1">
      <c r="A77" t="inlineStr">
        <is>
          <t>A 40411-2021</t>
        </is>
      </c>
      <c r="B77" s="1" t="n">
        <v>44419</v>
      </c>
      <c r="C77" s="1" t="n">
        <v>45692</v>
      </c>
      <c r="D77" t="inlineStr">
        <is>
          <t>VÄSTMANLANDS LÄN</t>
        </is>
      </c>
      <c r="E77" t="inlineStr">
        <is>
          <t>SURAHAMMAR</t>
        </is>
      </c>
      <c r="F77" t="inlineStr">
        <is>
          <t>Sveaskog</t>
        </is>
      </c>
      <c r="G77" t="n">
        <v>2.4</v>
      </c>
      <c r="H77" t="n">
        <v>1</v>
      </c>
      <c r="I77" t="n">
        <v>0</v>
      </c>
      <c r="J77" t="n">
        <v>0</v>
      </c>
      <c r="K77" t="n">
        <v>0</v>
      </c>
      <c r="L77" t="n">
        <v>0</v>
      </c>
      <c r="M77" t="n">
        <v>0</v>
      </c>
      <c r="N77" t="n">
        <v>0</v>
      </c>
      <c r="O77" t="n">
        <v>0</v>
      </c>
      <c r="P77" t="n">
        <v>0</v>
      </c>
      <c r="Q77" t="n">
        <v>1</v>
      </c>
      <c r="R77" s="2" t="inlineStr">
        <is>
          <t>Kopparödla</t>
        </is>
      </c>
      <c r="S77">
        <f>HYPERLINK("https://klasma.github.io/Logging_1907/artfynd/A 40411-2021 artfynd.xlsx", "A 40411-2021")</f>
        <v/>
      </c>
      <c r="T77">
        <f>HYPERLINK("https://klasma.github.io/Logging_1907/kartor/A 40411-2021 karta.png", "A 40411-2021")</f>
        <v/>
      </c>
      <c r="V77">
        <f>HYPERLINK("https://klasma.github.io/Logging_1907/klagomål/A 40411-2021 FSC-klagomål.docx", "A 40411-2021")</f>
        <v/>
      </c>
      <c r="W77">
        <f>HYPERLINK("https://klasma.github.io/Logging_1907/klagomålsmail/A 40411-2021 FSC-klagomål mail.docx", "A 40411-2021")</f>
        <v/>
      </c>
      <c r="X77">
        <f>HYPERLINK("https://klasma.github.io/Logging_1907/tillsyn/A 40411-2021 tillsynsbegäran.docx", "A 40411-2021")</f>
        <v/>
      </c>
      <c r="Y77">
        <f>HYPERLINK("https://klasma.github.io/Logging_1907/tillsynsmail/A 40411-2021 tillsynsbegäran mail.docx", "A 40411-2021")</f>
        <v/>
      </c>
    </row>
    <row r="78" ht="15" customHeight="1">
      <c r="A78" t="inlineStr">
        <is>
          <t>A 69777-2021</t>
        </is>
      </c>
      <c r="B78" s="1" t="n">
        <v>44532</v>
      </c>
      <c r="C78" s="1" t="n">
        <v>45692</v>
      </c>
      <c r="D78" t="inlineStr">
        <is>
          <t>VÄSTMANLANDS LÄN</t>
        </is>
      </c>
      <c r="E78" t="inlineStr">
        <is>
          <t>SURAHAMMAR</t>
        </is>
      </c>
      <c r="G78" t="n">
        <v>2.3</v>
      </c>
      <c r="H78" t="n">
        <v>1</v>
      </c>
      <c r="I78" t="n">
        <v>0</v>
      </c>
      <c r="J78" t="n">
        <v>0</v>
      </c>
      <c r="K78" t="n">
        <v>1</v>
      </c>
      <c r="L78" t="n">
        <v>0</v>
      </c>
      <c r="M78" t="n">
        <v>0</v>
      </c>
      <c r="N78" t="n">
        <v>0</v>
      </c>
      <c r="O78" t="n">
        <v>1</v>
      </c>
      <c r="P78" t="n">
        <v>1</v>
      </c>
      <c r="Q78" t="n">
        <v>1</v>
      </c>
      <c r="R78" s="2" t="inlineStr">
        <is>
          <t>Bombmurkla</t>
        </is>
      </c>
      <c r="S78">
        <f>HYPERLINK("https://klasma.github.io/Logging_1907/artfynd/A 69777-2021 artfynd.xlsx", "A 69777-2021")</f>
        <v/>
      </c>
      <c r="T78">
        <f>HYPERLINK("https://klasma.github.io/Logging_1907/kartor/A 69777-2021 karta.png", "A 69777-2021")</f>
        <v/>
      </c>
      <c r="V78">
        <f>HYPERLINK("https://klasma.github.io/Logging_1907/klagomål/A 69777-2021 FSC-klagomål.docx", "A 69777-2021")</f>
        <v/>
      </c>
      <c r="W78">
        <f>HYPERLINK("https://klasma.github.io/Logging_1907/klagomålsmail/A 69777-2021 FSC-klagomål mail.docx", "A 69777-2021")</f>
        <v/>
      </c>
      <c r="X78">
        <f>HYPERLINK("https://klasma.github.io/Logging_1907/tillsyn/A 69777-2021 tillsynsbegäran.docx", "A 69777-2021")</f>
        <v/>
      </c>
      <c r="Y78">
        <f>HYPERLINK("https://klasma.github.io/Logging_1907/tillsynsmail/A 69777-2021 tillsynsbegäran mail.docx", "A 69777-2021")</f>
        <v/>
      </c>
    </row>
    <row r="79" ht="15" customHeight="1">
      <c r="A79" t="inlineStr">
        <is>
          <t>A 7655-2022</t>
        </is>
      </c>
      <c r="B79" s="1" t="n">
        <v>44607</v>
      </c>
      <c r="C79" s="1" t="n">
        <v>45692</v>
      </c>
      <c r="D79" t="inlineStr">
        <is>
          <t>VÄSTMANLANDS LÄN</t>
        </is>
      </c>
      <c r="E79" t="inlineStr">
        <is>
          <t>SURAHAMMAR</t>
        </is>
      </c>
      <c r="G79" t="n">
        <v>1.1</v>
      </c>
      <c r="H79" t="n">
        <v>1</v>
      </c>
      <c r="I79" t="n">
        <v>0</v>
      </c>
      <c r="J79" t="n">
        <v>0</v>
      </c>
      <c r="K79" t="n">
        <v>1</v>
      </c>
      <c r="L79" t="n">
        <v>0</v>
      </c>
      <c r="M79" t="n">
        <v>0</v>
      </c>
      <c r="N79" t="n">
        <v>0</v>
      </c>
      <c r="O79" t="n">
        <v>1</v>
      </c>
      <c r="P79" t="n">
        <v>1</v>
      </c>
      <c r="Q79" t="n">
        <v>1</v>
      </c>
      <c r="R79" s="2" t="inlineStr">
        <is>
          <t>Bombmurkla</t>
        </is>
      </c>
      <c r="S79">
        <f>HYPERLINK("https://klasma.github.io/Logging_1907/artfynd/A 7655-2022 artfynd.xlsx", "A 7655-2022")</f>
        <v/>
      </c>
      <c r="T79">
        <f>HYPERLINK("https://klasma.github.io/Logging_1907/kartor/A 7655-2022 karta.png", "A 7655-2022")</f>
        <v/>
      </c>
      <c r="V79">
        <f>HYPERLINK("https://klasma.github.io/Logging_1907/klagomål/A 7655-2022 FSC-klagomål.docx", "A 7655-2022")</f>
        <v/>
      </c>
      <c r="W79">
        <f>HYPERLINK("https://klasma.github.io/Logging_1907/klagomålsmail/A 7655-2022 FSC-klagomål mail.docx", "A 7655-2022")</f>
        <v/>
      </c>
      <c r="X79">
        <f>HYPERLINK("https://klasma.github.io/Logging_1907/tillsyn/A 7655-2022 tillsynsbegäran.docx", "A 7655-2022")</f>
        <v/>
      </c>
      <c r="Y79">
        <f>HYPERLINK("https://klasma.github.io/Logging_1907/tillsynsmail/A 7655-2022 tillsynsbegäran mail.docx", "A 7655-2022")</f>
        <v/>
      </c>
    </row>
    <row r="80" ht="15" customHeight="1">
      <c r="A80" t="inlineStr">
        <is>
          <t>A 17632-2022</t>
        </is>
      </c>
      <c r="B80" s="1" t="n">
        <v>44680</v>
      </c>
      <c r="C80" s="1" t="n">
        <v>45692</v>
      </c>
      <c r="D80" t="inlineStr">
        <is>
          <t>VÄSTMANLANDS LÄN</t>
        </is>
      </c>
      <c r="E80" t="inlineStr">
        <is>
          <t>SURAHAMMAR</t>
        </is>
      </c>
      <c r="G80" t="n">
        <v>5.2</v>
      </c>
      <c r="H80" t="n">
        <v>0</v>
      </c>
      <c r="I80" t="n">
        <v>1</v>
      </c>
      <c r="J80" t="n">
        <v>0</v>
      </c>
      <c r="K80" t="n">
        <v>0</v>
      </c>
      <c r="L80" t="n">
        <v>0</v>
      </c>
      <c r="M80" t="n">
        <v>0</v>
      </c>
      <c r="N80" t="n">
        <v>0</v>
      </c>
      <c r="O80" t="n">
        <v>0</v>
      </c>
      <c r="P80" t="n">
        <v>0</v>
      </c>
      <c r="Q80" t="n">
        <v>1</v>
      </c>
      <c r="R80" s="2" t="inlineStr">
        <is>
          <t>Blodticka</t>
        </is>
      </c>
      <c r="S80">
        <f>HYPERLINK("https://klasma.github.io/Logging_1907/artfynd/A 17632-2022 artfynd.xlsx", "A 17632-2022")</f>
        <v/>
      </c>
      <c r="T80">
        <f>HYPERLINK("https://klasma.github.io/Logging_1907/kartor/A 17632-2022 karta.png", "A 17632-2022")</f>
        <v/>
      </c>
      <c r="V80">
        <f>HYPERLINK("https://klasma.github.io/Logging_1907/klagomål/A 17632-2022 FSC-klagomål.docx", "A 17632-2022")</f>
        <v/>
      </c>
      <c r="W80">
        <f>HYPERLINK("https://klasma.github.io/Logging_1907/klagomålsmail/A 17632-2022 FSC-klagomål mail.docx", "A 17632-2022")</f>
        <v/>
      </c>
      <c r="X80">
        <f>HYPERLINK("https://klasma.github.io/Logging_1907/tillsyn/A 17632-2022 tillsynsbegäran.docx", "A 17632-2022")</f>
        <v/>
      </c>
      <c r="Y80">
        <f>HYPERLINK("https://klasma.github.io/Logging_1907/tillsynsmail/A 17632-2022 tillsynsbegäran mail.docx", "A 17632-2022")</f>
        <v/>
      </c>
    </row>
    <row r="81" ht="15" customHeight="1">
      <c r="A81" t="inlineStr">
        <is>
          <t>A 39099-2022</t>
        </is>
      </c>
      <c r="B81" s="1" t="n">
        <v>44817</v>
      </c>
      <c r="C81" s="1" t="n">
        <v>45692</v>
      </c>
      <c r="D81" t="inlineStr">
        <is>
          <t>VÄSTMANLANDS LÄN</t>
        </is>
      </c>
      <c r="E81" t="inlineStr">
        <is>
          <t>SURAHAMMAR</t>
        </is>
      </c>
      <c r="F81" t="inlineStr">
        <is>
          <t>Bergvik skog väst AB</t>
        </is>
      </c>
      <c r="G81" t="n">
        <v>7.4</v>
      </c>
      <c r="H81" t="n">
        <v>0</v>
      </c>
      <c r="I81" t="n">
        <v>1</v>
      </c>
      <c r="J81" t="n">
        <v>0</v>
      </c>
      <c r="K81" t="n">
        <v>0</v>
      </c>
      <c r="L81" t="n">
        <v>0</v>
      </c>
      <c r="M81" t="n">
        <v>0</v>
      </c>
      <c r="N81" t="n">
        <v>0</v>
      </c>
      <c r="O81" t="n">
        <v>0</v>
      </c>
      <c r="P81" t="n">
        <v>0</v>
      </c>
      <c r="Q81" t="n">
        <v>1</v>
      </c>
      <c r="R81" s="2" t="inlineStr">
        <is>
          <t>Stekelbock</t>
        </is>
      </c>
      <c r="S81">
        <f>HYPERLINK("https://klasma.github.io/Logging_1907/artfynd/A 39099-2022 artfynd.xlsx", "A 39099-2022")</f>
        <v/>
      </c>
      <c r="T81">
        <f>HYPERLINK("https://klasma.github.io/Logging_1907/kartor/A 39099-2022 karta.png", "A 39099-2022")</f>
        <v/>
      </c>
      <c r="V81">
        <f>HYPERLINK("https://klasma.github.io/Logging_1907/klagomål/A 39099-2022 FSC-klagomål.docx", "A 39099-2022")</f>
        <v/>
      </c>
      <c r="W81">
        <f>HYPERLINK("https://klasma.github.io/Logging_1907/klagomålsmail/A 39099-2022 FSC-klagomål mail.docx", "A 39099-2022")</f>
        <v/>
      </c>
      <c r="X81">
        <f>HYPERLINK("https://klasma.github.io/Logging_1907/tillsyn/A 39099-2022 tillsynsbegäran.docx", "A 39099-2022")</f>
        <v/>
      </c>
      <c r="Y81">
        <f>HYPERLINK("https://klasma.github.io/Logging_1907/tillsynsmail/A 39099-2022 tillsynsbegäran mail.docx", "A 39099-2022")</f>
        <v/>
      </c>
    </row>
    <row r="82" ht="15" customHeight="1">
      <c r="A82" t="inlineStr">
        <is>
          <t>A 42765-2022</t>
        </is>
      </c>
      <c r="B82" s="1" t="n">
        <v>44832</v>
      </c>
      <c r="C82" s="1" t="n">
        <v>45692</v>
      </c>
      <c r="D82" t="inlineStr">
        <is>
          <t>VÄSTMANLANDS LÄN</t>
        </is>
      </c>
      <c r="E82" t="inlineStr">
        <is>
          <t>SURAHAMMAR</t>
        </is>
      </c>
      <c r="G82" t="n">
        <v>1.8</v>
      </c>
      <c r="H82" t="n">
        <v>1</v>
      </c>
      <c r="I82" t="n">
        <v>0</v>
      </c>
      <c r="J82" t="n">
        <v>0</v>
      </c>
      <c r="K82" t="n">
        <v>0</v>
      </c>
      <c r="L82" t="n">
        <v>0</v>
      </c>
      <c r="M82" t="n">
        <v>0</v>
      </c>
      <c r="N82" t="n">
        <v>0</v>
      </c>
      <c r="O82" t="n">
        <v>0</v>
      </c>
      <c r="P82" t="n">
        <v>0</v>
      </c>
      <c r="Q82" t="n">
        <v>1</v>
      </c>
      <c r="R82" s="2" t="inlineStr">
        <is>
          <t>Blåsippa</t>
        </is>
      </c>
      <c r="S82">
        <f>HYPERLINK("https://klasma.github.io/Logging_1907/artfynd/A 42765-2022 artfynd.xlsx", "A 42765-2022")</f>
        <v/>
      </c>
      <c r="T82">
        <f>HYPERLINK("https://klasma.github.io/Logging_1907/kartor/A 42765-2022 karta.png", "A 42765-2022")</f>
        <v/>
      </c>
      <c r="V82">
        <f>HYPERLINK("https://klasma.github.io/Logging_1907/klagomål/A 42765-2022 FSC-klagomål.docx", "A 42765-2022")</f>
        <v/>
      </c>
      <c r="W82">
        <f>HYPERLINK("https://klasma.github.io/Logging_1907/klagomålsmail/A 42765-2022 FSC-klagomål mail.docx", "A 42765-2022")</f>
        <v/>
      </c>
      <c r="X82">
        <f>HYPERLINK("https://klasma.github.io/Logging_1907/tillsyn/A 42765-2022 tillsynsbegäran.docx", "A 42765-2022")</f>
        <v/>
      </c>
      <c r="Y82">
        <f>HYPERLINK("https://klasma.github.io/Logging_1907/tillsynsmail/A 42765-2022 tillsynsbegäran mail.docx", "A 42765-2022")</f>
        <v/>
      </c>
    </row>
    <row r="83" ht="15" customHeight="1">
      <c r="A83" t="inlineStr">
        <is>
          <t>A 47207-2022</t>
        </is>
      </c>
      <c r="B83" s="1" t="n">
        <v>44852</v>
      </c>
      <c r="C83" s="1" t="n">
        <v>45692</v>
      </c>
      <c r="D83" t="inlineStr">
        <is>
          <t>VÄSTMANLANDS LÄN</t>
        </is>
      </c>
      <c r="E83" t="inlineStr">
        <is>
          <t>SURAHAMMAR</t>
        </is>
      </c>
      <c r="G83" t="n">
        <v>3.2</v>
      </c>
      <c r="H83" t="n">
        <v>0</v>
      </c>
      <c r="I83" t="n">
        <v>0</v>
      </c>
      <c r="J83" t="n">
        <v>1</v>
      </c>
      <c r="K83" t="n">
        <v>0</v>
      </c>
      <c r="L83" t="n">
        <v>0</v>
      </c>
      <c r="M83" t="n">
        <v>0</v>
      </c>
      <c r="N83" t="n">
        <v>0</v>
      </c>
      <c r="O83" t="n">
        <v>1</v>
      </c>
      <c r="P83" t="n">
        <v>0</v>
      </c>
      <c r="Q83" t="n">
        <v>1</v>
      </c>
      <c r="R83" s="2" t="inlineStr">
        <is>
          <t>Veckticka</t>
        </is>
      </c>
      <c r="S83">
        <f>HYPERLINK("https://klasma.github.io/Logging_1907/artfynd/A 47207-2022 artfynd.xlsx", "A 47207-2022")</f>
        <v/>
      </c>
      <c r="T83">
        <f>HYPERLINK("https://klasma.github.io/Logging_1907/kartor/A 47207-2022 karta.png", "A 47207-2022")</f>
        <v/>
      </c>
      <c r="V83">
        <f>HYPERLINK("https://klasma.github.io/Logging_1907/klagomål/A 47207-2022 FSC-klagomål.docx", "A 47207-2022")</f>
        <v/>
      </c>
      <c r="W83">
        <f>HYPERLINK("https://klasma.github.io/Logging_1907/klagomålsmail/A 47207-2022 FSC-klagomål mail.docx", "A 47207-2022")</f>
        <v/>
      </c>
      <c r="X83">
        <f>HYPERLINK("https://klasma.github.io/Logging_1907/tillsyn/A 47207-2022 tillsynsbegäran.docx", "A 47207-2022")</f>
        <v/>
      </c>
      <c r="Y83">
        <f>HYPERLINK("https://klasma.github.io/Logging_1907/tillsynsmail/A 47207-2022 tillsynsbegäran mail.docx", "A 47207-2022")</f>
        <v/>
      </c>
    </row>
    <row r="84" ht="15" customHeight="1">
      <c r="A84" t="inlineStr">
        <is>
          <t>A 11259-2023</t>
        </is>
      </c>
      <c r="B84" s="1" t="n">
        <v>44991</v>
      </c>
      <c r="C84" s="1" t="n">
        <v>45692</v>
      </c>
      <c r="D84" t="inlineStr">
        <is>
          <t>VÄSTMANLANDS LÄN</t>
        </is>
      </c>
      <c r="E84" t="inlineStr">
        <is>
          <t>SURAHAMMAR</t>
        </is>
      </c>
      <c r="G84" t="n">
        <v>2.4</v>
      </c>
      <c r="H84" t="n">
        <v>1</v>
      </c>
      <c r="I84" t="n">
        <v>0</v>
      </c>
      <c r="J84" t="n">
        <v>1</v>
      </c>
      <c r="K84" t="n">
        <v>0</v>
      </c>
      <c r="L84" t="n">
        <v>0</v>
      </c>
      <c r="M84" t="n">
        <v>0</v>
      </c>
      <c r="N84" t="n">
        <v>0</v>
      </c>
      <c r="O84" t="n">
        <v>1</v>
      </c>
      <c r="P84" t="n">
        <v>0</v>
      </c>
      <c r="Q84" t="n">
        <v>1</v>
      </c>
      <c r="R84" s="2" t="inlineStr">
        <is>
          <t>Spillkråka</t>
        </is>
      </c>
      <c r="S84">
        <f>HYPERLINK("https://klasma.github.io/Logging_1907/artfynd/A 11259-2023 artfynd.xlsx", "A 11259-2023")</f>
        <v/>
      </c>
      <c r="T84">
        <f>HYPERLINK("https://klasma.github.io/Logging_1907/kartor/A 11259-2023 karta.png", "A 11259-2023")</f>
        <v/>
      </c>
      <c r="V84">
        <f>HYPERLINK("https://klasma.github.io/Logging_1907/klagomål/A 11259-2023 FSC-klagomål.docx", "A 11259-2023")</f>
        <v/>
      </c>
      <c r="W84">
        <f>HYPERLINK("https://klasma.github.io/Logging_1907/klagomålsmail/A 11259-2023 FSC-klagomål mail.docx", "A 11259-2023")</f>
        <v/>
      </c>
      <c r="X84">
        <f>HYPERLINK("https://klasma.github.io/Logging_1907/tillsyn/A 11259-2023 tillsynsbegäran.docx", "A 11259-2023")</f>
        <v/>
      </c>
      <c r="Y84">
        <f>HYPERLINK("https://klasma.github.io/Logging_1907/tillsynsmail/A 11259-2023 tillsynsbegäran mail.docx", "A 11259-2023")</f>
        <v/>
      </c>
      <c r="Z84">
        <f>HYPERLINK("https://klasma.github.io/Logging_1907/fåglar/A 11259-2023 prioriterade fågelarter.docx", "A 11259-2023")</f>
        <v/>
      </c>
    </row>
    <row r="85" ht="15" customHeight="1">
      <c r="A85" t="inlineStr">
        <is>
          <t>A 13971-2023</t>
        </is>
      </c>
      <c r="B85" s="1" t="n">
        <v>45007</v>
      </c>
      <c r="C85" s="1" t="n">
        <v>45692</v>
      </c>
      <c r="D85" t="inlineStr">
        <is>
          <t>VÄSTMANLANDS LÄN</t>
        </is>
      </c>
      <c r="E85" t="inlineStr">
        <is>
          <t>SURAHAMMAR</t>
        </is>
      </c>
      <c r="F85" t="inlineStr">
        <is>
          <t>Bergvik skog väst AB</t>
        </is>
      </c>
      <c r="G85" t="n">
        <v>2.9</v>
      </c>
      <c r="H85" t="n">
        <v>1</v>
      </c>
      <c r="I85" t="n">
        <v>0</v>
      </c>
      <c r="J85" t="n">
        <v>0</v>
      </c>
      <c r="K85" t="n">
        <v>0</v>
      </c>
      <c r="L85" t="n">
        <v>0</v>
      </c>
      <c r="M85" t="n">
        <v>0</v>
      </c>
      <c r="N85" t="n">
        <v>0</v>
      </c>
      <c r="O85" t="n">
        <v>0</v>
      </c>
      <c r="P85" t="n">
        <v>0</v>
      </c>
      <c r="Q85" t="n">
        <v>1</v>
      </c>
      <c r="R85" s="2" t="inlineStr">
        <is>
          <t>Fläcknycklar</t>
        </is>
      </c>
      <c r="S85">
        <f>HYPERLINK("https://klasma.github.io/Logging_1907/artfynd/A 13971-2023 artfynd.xlsx", "A 13971-2023")</f>
        <v/>
      </c>
      <c r="T85">
        <f>HYPERLINK("https://klasma.github.io/Logging_1907/kartor/A 13971-2023 karta.png", "A 13971-2023")</f>
        <v/>
      </c>
      <c r="V85">
        <f>HYPERLINK("https://klasma.github.io/Logging_1907/klagomål/A 13971-2023 FSC-klagomål.docx", "A 13971-2023")</f>
        <v/>
      </c>
      <c r="W85">
        <f>HYPERLINK("https://klasma.github.io/Logging_1907/klagomålsmail/A 13971-2023 FSC-klagomål mail.docx", "A 13971-2023")</f>
        <v/>
      </c>
      <c r="X85">
        <f>HYPERLINK("https://klasma.github.io/Logging_1907/tillsyn/A 13971-2023 tillsynsbegäran.docx", "A 13971-2023")</f>
        <v/>
      </c>
      <c r="Y85">
        <f>HYPERLINK("https://klasma.github.io/Logging_1907/tillsynsmail/A 13971-2023 tillsynsbegäran mail.docx", "A 13971-2023")</f>
        <v/>
      </c>
    </row>
    <row r="86" ht="15" customHeight="1">
      <c r="A86" t="inlineStr">
        <is>
          <t>A 14001-2023</t>
        </is>
      </c>
      <c r="B86" s="1" t="n">
        <v>45007</v>
      </c>
      <c r="C86" s="1" t="n">
        <v>45692</v>
      </c>
      <c r="D86" t="inlineStr">
        <is>
          <t>VÄSTMANLANDS LÄN</t>
        </is>
      </c>
      <c r="E86" t="inlineStr">
        <is>
          <t>SURAHAMMAR</t>
        </is>
      </c>
      <c r="F86" t="inlineStr">
        <is>
          <t>Bergvik skog väst AB</t>
        </is>
      </c>
      <c r="G86" t="n">
        <v>1</v>
      </c>
      <c r="H86" t="n">
        <v>0</v>
      </c>
      <c r="I86" t="n">
        <v>0</v>
      </c>
      <c r="J86" t="n">
        <v>1</v>
      </c>
      <c r="K86" t="n">
        <v>0</v>
      </c>
      <c r="L86" t="n">
        <v>0</v>
      </c>
      <c r="M86" t="n">
        <v>0</v>
      </c>
      <c r="N86" t="n">
        <v>0</v>
      </c>
      <c r="O86" t="n">
        <v>1</v>
      </c>
      <c r="P86" t="n">
        <v>0</v>
      </c>
      <c r="Q86" t="n">
        <v>1</v>
      </c>
      <c r="R86" s="2" t="inlineStr">
        <is>
          <t>Motaggsvamp</t>
        </is>
      </c>
      <c r="S86">
        <f>HYPERLINK("https://klasma.github.io/Logging_1907/artfynd/A 14001-2023 artfynd.xlsx", "A 14001-2023")</f>
        <v/>
      </c>
      <c r="T86">
        <f>HYPERLINK("https://klasma.github.io/Logging_1907/kartor/A 14001-2023 karta.png", "A 14001-2023")</f>
        <v/>
      </c>
      <c r="V86">
        <f>HYPERLINK("https://klasma.github.io/Logging_1907/klagomål/A 14001-2023 FSC-klagomål.docx", "A 14001-2023")</f>
        <v/>
      </c>
      <c r="W86">
        <f>HYPERLINK("https://klasma.github.io/Logging_1907/klagomålsmail/A 14001-2023 FSC-klagomål mail.docx", "A 14001-2023")</f>
        <v/>
      </c>
      <c r="X86">
        <f>HYPERLINK("https://klasma.github.io/Logging_1907/tillsyn/A 14001-2023 tillsynsbegäran.docx", "A 14001-2023")</f>
        <v/>
      </c>
      <c r="Y86">
        <f>HYPERLINK("https://klasma.github.io/Logging_1907/tillsynsmail/A 14001-2023 tillsynsbegäran mail.docx", "A 14001-2023")</f>
        <v/>
      </c>
    </row>
    <row r="87" ht="15" customHeight="1">
      <c r="A87" t="inlineStr">
        <is>
          <t>A 16219-2023</t>
        </is>
      </c>
      <c r="B87" s="1" t="n">
        <v>45022</v>
      </c>
      <c r="C87" s="1" t="n">
        <v>45692</v>
      </c>
      <c r="D87" t="inlineStr">
        <is>
          <t>VÄSTMANLANDS LÄN</t>
        </is>
      </c>
      <c r="E87" t="inlineStr">
        <is>
          <t>SURAHAMMAR</t>
        </is>
      </c>
      <c r="G87" t="n">
        <v>5.9</v>
      </c>
      <c r="H87" t="n">
        <v>1</v>
      </c>
      <c r="I87" t="n">
        <v>0</v>
      </c>
      <c r="J87" t="n">
        <v>1</v>
      </c>
      <c r="K87" t="n">
        <v>0</v>
      </c>
      <c r="L87" t="n">
        <v>0</v>
      </c>
      <c r="M87" t="n">
        <v>0</v>
      </c>
      <c r="N87" t="n">
        <v>0</v>
      </c>
      <c r="O87" t="n">
        <v>1</v>
      </c>
      <c r="P87" t="n">
        <v>0</v>
      </c>
      <c r="Q87" t="n">
        <v>1</v>
      </c>
      <c r="R87" s="2" t="inlineStr">
        <is>
          <t>Talltita</t>
        </is>
      </c>
      <c r="S87">
        <f>HYPERLINK("https://klasma.github.io/Logging_1907/artfynd/A 16219-2023 artfynd.xlsx", "A 16219-2023")</f>
        <v/>
      </c>
      <c r="T87">
        <f>HYPERLINK("https://klasma.github.io/Logging_1907/kartor/A 16219-2023 karta.png", "A 16219-2023")</f>
        <v/>
      </c>
      <c r="V87">
        <f>HYPERLINK("https://klasma.github.io/Logging_1907/klagomål/A 16219-2023 FSC-klagomål.docx", "A 16219-2023")</f>
        <v/>
      </c>
      <c r="W87">
        <f>HYPERLINK("https://klasma.github.io/Logging_1907/klagomålsmail/A 16219-2023 FSC-klagomål mail.docx", "A 16219-2023")</f>
        <v/>
      </c>
      <c r="X87">
        <f>HYPERLINK("https://klasma.github.io/Logging_1907/tillsyn/A 16219-2023 tillsynsbegäran.docx", "A 16219-2023")</f>
        <v/>
      </c>
      <c r="Y87">
        <f>HYPERLINK("https://klasma.github.io/Logging_1907/tillsynsmail/A 16219-2023 tillsynsbegäran mail.docx", "A 16219-2023")</f>
        <v/>
      </c>
      <c r="Z87">
        <f>HYPERLINK("https://klasma.github.io/Logging_1907/fåglar/A 16219-2023 prioriterade fågelarter.docx", "A 16219-2023")</f>
        <v/>
      </c>
    </row>
    <row r="88" ht="15" customHeight="1">
      <c r="A88" t="inlineStr">
        <is>
          <t>A 22840-2023</t>
        </is>
      </c>
      <c r="B88" s="1" t="n">
        <v>45072</v>
      </c>
      <c r="C88" s="1" t="n">
        <v>45692</v>
      </c>
      <c r="D88" t="inlineStr">
        <is>
          <t>VÄSTMANLANDS LÄN</t>
        </is>
      </c>
      <c r="E88" t="inlineStr">
        <is>
          <t>SURAHAMMAR</t>
        </is>
      </c>
      <c r="G88" t="n">
        <v>4.3</v>
      </c>
      <c r="H88" t="n">
        <v>1</v>
      </c>
      <c r="I88" t="n">
        <v>0</v>
      </c>
      <c r="J88" t="n">
        <v>0</v>
      </c>
      <c r="K88" t="n">
        <v>0</v>
      </c>
      <c r="L88" t="n">
        <v>0</v>
      </c>
      <c r="M88" t="n">
        <v>0</v>
      </c>
      <c r="N88" t="n">
        <v>0</v>
      </c>
      <c r="O88" t="n">
        <v>0</v>
      </c>
      <c r="P88" t="n">
        <v>0</v>
      </c>
      <c r="Q88" t="n">
        <v>1</v>
      </c>
      <c r="R88" s="2" t="inlineStr">
        <is>
          <t>Fläcknycklar</t>
        </is>
      </c>
      <c r="S88">
        <f>HYPERLINK("https://klasma.github.io/Logging_1907/artfynd/A 22840-2023 artfynd.xlsx", "A 22840-2023")</f>
        <v/>
      </c>
      <c r="T88">
        <f>HYPERLINK("https://klasma.github.io/Logging_1907/kartor/A 22840-2023 karta.png", "A 22840-2023")</f>
        <v/>
      </c>
      <c r="V88">
        <f>HYPERLINK("https://klasma.github.io/Logging_1907/klagomål/A 22840-2023 FSC-klagomål.docx", "A 22840-2023")</f>
        <v/>
      </c>
      <c r="W88">
        <f>HYPERLINK("https://klasma.github.io/Logging_1907/klagomålsmail/A 22840-2023 FSC-klagomål mail.docx", "A 22840-2023")</f>
        <v/>
      </c>
      <c r="X88">
        <f>HYPERLINK("https://klasma.github.io/Logging_1907/tillsyn/A 22840-2023 tillsynsbegäran.docx", "A 22840-2023")</f>
        <v/>
      </c>
      <c r="Y88">
        <f>HYPERLINK("https://klasma.github.io/Logging_1907/tillsynsmail/A 22840-2023 tillsynsbegäran mail.docx", "A 22840-2023")</f>
        <v/>
      </c>
    </row>
    <row r="89" ht="15" customHeight="1">
      <c r="A89" t="inlineStr">
        <is>
          <t>A 24920-2023</t>
        </is>
      </c>
      <c r="B89" s="1" t="n">
        <v>45085</v>
      </c>
      <c r="C89" s="1" t="n">
        <v>45692</v>
      </c>
      <c r="D89" t="inlineStr">
        <is>
          <t>VÄSTMANLANDS LÄN</t>
        </is>
      </c>
      <c r="E89" t="inlineStr">
        <is>
          <t>SURAHAMMAR</t>
        </is>
      </c>
      <c r="F89" t="inlineStr">
        <is>
          <t>Allmännings- och besparingsskogar</t>
        </is>
      </c>
      <c r="G89" t="n">
        <v>16.2</v>
      </c>
      <c r="H89" t="n">
        <v>1</v>
      </c>
      <c r="I89" t="n">
        <v>0</v>
      </c>
      <c r="J89" t="n">
        <v>1</v>
      </c>
      <c r="K89" t="n">
        <v>0</v>
      </c>
      <c r="L89" t="n">
        <v>0</v>
      </c>
      <c r="M89" t="n">
        <v>0</v>
      </c>
      <c r="N89" t="n">
        <v>0</v>
      </c>
      <c r="O89" t="n">
        <v>1</v>
      </c>
      <c r="P89" t="n">
        <v>0</v>
      </c>
      <c r="Q89" t="n">
        <v>1</v>
      </c>
      <c r="R89" s="2" t="inlineStr">
        <is>
          <t>Talltita</t>
        </is>
      </c>
      <c r="S89">
        <f>HYPERLINK("https://klasma.github.io/Logging_1907/artfynd/A 24920-2023 artfynd.xlsx", "A 24920-2023")</f>
        <v/>
      </c>
      <c r="T89">
        <f>HYPERLINK("https://klasma.github.io/Logging_1907/kartor/A 24920-2023 karta.png", "A 24920-2023")</f>
        <v/>
      </c>
      <c r="V89">
        <f>HYPERLINK("https://klasma.github.io/Logging_1907/klagomål/A 24920-2023 FSC-klagomål.docx", "A 24920-2023")</f>
        <v/>
      </c>
      <c r="W89">
        <f>HYPERLINK("https://klasma.github.io/Logging_1907/klagomålsmail/A 24920-2023 FSC-klagomål mail.docx", "A 24920-2023")</f>
        <v/>
      </c>
      <c r="X89">
        <f>HYPERLINK("https://klasma.github.io/Logging_1907/tillsyn/A 24920-2023 tillsynsbegäran.docx", "A 24920-2023")</f>
        <v/>
      </c>
      <c r="Y89">
        <f>HYPERLINK("https://klasma.github.io/Logging_1907/tillsynsmail/A 24920-2023 tillsynsbegäran mail.docx", "A 24920-2023")</f>
        <v/>
      </c>
      <c r="Z89">
        <f>HYPERLINK("https://klasma.github.io/Logging_1907/fåglar/A 24920-2023 prioriterade fågelarter.docx", "A 24920-2023")</f>
        <v/>
      </c>
    </row>
    <row r="90" ht="15" customHeight="1">
      <c r="A90" t="inlineStr">
        <is>
          <t>A 27170-2023</t>
        </is>
      </c>
      <c r="B90" s="1" t="n">
        <v>45096</v>
      </c>
      <c r="C90" s="1" t="n">
        <v>45692</v>
      </c>
      <c r="D90" t="inlineStr">
        <is>
          <t>VÄSTMANLANDS LÄN</t>
        </is>
      </c>
      <c r="E90" t="inlineStr">
        <is>
          <t>SURAHAMMAR</t>
        </is>
      </c>
      <c r="F90" t="inlineStr">
        <is>
          <t>Sveaskog</t>
        </is>
      </c>
      <c r="G90" t="n">
        <v>11.3</v>
      </c>
      <c r="H90" t="n">
        <v>0</v>
      </c>
      <c r="I90" t="n">
        <v>1</v>
      </c>
      <c r="J90" t="n">
        <v>0</v>
      </c>
      <c r="K90" t="n">
        <v>0</v>
      </c>
      <c r="L90" t="n">
        <v>0</v>
      </c>
      <c r="M90" t="n">
        <v>0</v>
      </c>
      <c r="N90" t="n">
        <v>0</v>
      </c>
      <c r="O90" t="n">
        <v>0</v>
      </c>
      <c r="P90" t="n">
        <v>0</v>
      </c>
      <c r="Q90" t="n">
        <v>1</v>
      </c>
      <c r="R90" s="2" t="inlineStr">
        <is>
          <t>Vedticka</t>
        </is>
      </c>
      <c r="S90">
        <f>HYPERLINK("https://klasma.github.io/Logging_1907/artfynd/A 27170-2023 artfynd.xlsx", "A 27170-2023")</f>
        <v/>
      </c>
      <c r="T90">
        <f>HYPERLINK("https://klasma.github.io/Logging_1907/kartor/A 27170-2023 karta.png", "A 27170-2023")</f>
        <v/>
      </c>
      <c r="V90">
        <f>HYPERLINK("https://klasma.github.io/Logging_1907/klagomål/A 27170-2023 FSC-klagomål.docx", "A 27170-2023")</f>
        <v/>
      </c>
      <c r="W90">
        <f>HYPERLINK("https://klasma.github.io/Logging_1907/klagomålsmail/A 27170-2023 FSC-klagomål mail.docx", "A 27170-2023")</f>
        <v/>
      </c>
      <c r="X90">
        <f>HYPERLINK("https://klasma.github.io/Logging_1907/tillsyn/A 27170-2023 tillsynsbegäran.docx", "A 27170-2023")</f>
        <v/>
      </c>
      <c r="Y90">
        <f>HYPERLINK("https://klasma.github.io/Logging_1907/tillsynsmail/A 27170-2023 tillsynsbegäran mail.docx", "A 27170-2023")</f>
        <v/>
      </c>
    </row>
    <row r="91" ht="15" customHeight="1">
      <c r="A91" t="inlineStr">
        <is>
          <t>A 30074-2023</t>
        </is>
      </c>
      <c r="B91" s="1" t="n">
        <v>45110</v>
      </c>
      <c r="C91" s="1" t="n">
        <v>45692</v>
      </c>
      <c r="D91" t="inlineStr">
        <is>
          <t>VÄSTMANLANDS LÄN</t>
        </is>
      </c>
      <c r="E91" t="inlineStr">
        <is>
          <t>SURAHAMMAR</t>
        </is>
      </c>
      <c r="F91" t="inlineStr">
        <is>
          <t>Sveaskog</t>
        </is>
      </c>
      <c r="G91" t="n">
        <v>1.1</v>
      </c>
      <c r="H91" t="n">
        <v>1</v>
      </c>
      <c r="I91" t="n">
        <v>0</v>
      </c>
      <c r="J91" t="n">
        <v>0</v>
      </c>
      <c r="K91" t="n">
        <v>0</v>
      </c>
      <c r="L91" t="n">
        <v>0</v>
      </c>
      <c r="M91" t="n">
        <v>0</v>
      </c>
      <c r="N91" t="n">
        <v>0</v>
      </c>
      <c r="O91" t="n">
        <v>0</v>
      </c>
      <c r="P91" t="n">
        <v>0</v>
      </c>
      <c r="Q91" t="n">
        <v>1</v>
      </c>
      <c r="R91" s="2" t="inlineStr">
        <is>
          <t>Revlummer</t>
        </is>
      </c>
      <c r="S91">
        <f>HYPERLINK("https://klasma.github.io/Logging_1907/artfynd/A 30074-2023 artfynd.xlsx", "A 30074-2023")</f>
        <v/>
      </c>
      <c r="T91">
        <f>HYPERLINK("https://klasma.github.io/Logging_1907/kartor/A 30074-2023 karta.png", "A 30074-2023")</f>
        <v/>
      </c>
      <c r="V91">
        <f>HYPERLINK("https://klasma.github.io/Logging_1907/klagomål/A 30074-2023 FSC-klagomål.docx", "A 30074-2023")</f>
        <v/>
      </c>
      <c r="W91">
        <f>HYPERLINK("https://klasma.github.io/Logging_1907/klagomålsmail/A 30074-2023 FSC-klagomål mail.docx", "A 30074-2023")</f>
        <v/>
      </c>
      <c r="X91">
        <f>HYPERLINK("https://klasma.github.io/Logging_1907/tillsyn/A 30074-2023 tillsynsbegäran.docx", "A 30074-2023")</f>
        <v/>
      </c>
      <c r="Y91">
        <f>HYPERLINK("https://klasma.github.io/Logging_1907/tillsynsmail/A 30074-2023 tillsynsbegäran mail.docx", "A 30074-2023")</f>
        <v/>
      </c>
    </row>
    <row r="92" ht="15" customHeight="1">
      <c r="A92" t="inlineStr">
        <is>
          <t>A 30073-2023</t>
        </is>
      </c>
      <c r="B92" s="1" t="n">
        <v>45110</v>
      </c>
      <c r="C92" s="1" t="n">
        <v>45692</v>
      </c>
      <c r="D92" t="inlineStr">
        <is>
          <t>VÄSTMANLANDS LÄN</t>
        </is>
      </c>
      <c r="E92" t="inlineStr">
        <is>
          <t>SURAHAMMAR</t>
        </is>
      </c>
      <c r="F92" t="inlineStr">
        <is>
          <t>Sveaskog</t>
        </is>
      </c>
      <c r="G92" t="n">
        <v>4.7</v>
      </c>
      <c r="H92" t="n">
        <v>0</v>
      </c>
      <c r="I92" t="n">
        <v>1</v>
      </c>
      <c r="J92" t="n">
        <v>0</v>
      </c>
      <c r="K92" t="n">
        <v>0</v>
      </c>
      <c r="L92" t="n">
        <v>0</v>
      </c>
      <c r="M92" t="n">
        <v>0</v>
      </c>
      <c r="N92" t="n">
        <v>0</v>
      </c>
      <c r="O92" t="n">
        <v>0</v>
      </c>
      <c r="P92" t="n">
        <v>0</v>
      </c>
      <c r="Q92" t="n">
        <v>1</v>
      </c>
      <c r="R92" s="2" t="inlineStr">
        <is>
          <t>Grönpyrola</t>
        </is>
      </c>
      <c r="S92">
        <f>HYPERLINK("https://klasma.github.io/Logging_1907/artfynd/A 30073-2023 artfynd.xlsx", "A 30073-2023")</f>
        <v/>
      </c>
      <c r="T92">
        <f>HYPERLINK("https://klasma.github.io/Logging_1907/kartor/A 30073-2023 karta.png", "A 30073-2023")</f>
        <v/>
      </c>
      <c r="V92">
        <f>HYPERLINK("https://klasma.github.io/Logging_1907/klagomål/A 30073-2023 FSC-klagomål.docx", "A 30073-2023")</f>
        <v/>
      </c>
      <c r="W92">
        <f>HYPERLINK("https://klasma.github.io/Logging_1907/klagomålsmail/A 30073-2023 FSC-klagomål mail.docx", "A 30073-2023")</f>
        <v/>
      </c>
      <c r="X92">
        <f>HYPERLINK("https://klasma.github.io/Logging_1907/tillsyn/A 30073-2023 tillsynsbegäran.docx", "A 30073-2023")</f>
        <v/>
      </c>
      <c r="Y92">
        <f>HYPERLINK("https://klasma.github.io/Logging_1907/tillsynsmail/A 30073-2023 tillsynsbegäran mail.docx", "A 30073-2023")</f>
        <v/>
      </c>
    </row>
    <row r="93" ht="15" customHeight="1">
      <c r="A93" t="inlineStr">
        <is>
          <t>A 37277-2023</t>
        </is>
      </c>
      <c r="B93" s="1" t="n">
        <v>45156</v>
      </c>
      <c r="C93" s="1" t="n">
        <v>45692</v>
      </c>
      <c r="D93" t="inlineStr">
        <is>
          <t>VÄSTMANLANDS LÄN</t>
        </is>
      </c>
      <c r="E93" t="inlineStr">
        <is>
          <t>SURAHAMMAR</t>
        </is>
      </c>
      <c r="G93" t="n">
        <v>4.3</v>
      </c>
      <c r="H93" t="n">
        <v>1</v>
      </c>
      <c r="I93" t="n">
        <v>0</v>
      </c>
      <c r="J93" t="n">
        <v>0</v>
      </c>
      <c r="K93" t="n">
        <v>1</v>
      </c>
      <c r="L93" t="n">
        <v>0</v>
      </c>
      <c r="M93" t="n">
        <v>0</v>
      </c>
      <c r="N93" t="n">
        <v>0</v>
      </c>
      <c r="O93" t="n">
        <v>1</v>
      </c>
      <c r="P93" t="n">
        <v>1</v>
      </c>
      <c r="Q93" t="n">
        <v>1</v>
      </c>
      <c r="R93" s="2" t="inlineStr">
        <is>
          <t>Bombmurkla</t>
        </is>
      </c>
      <c r="S93">
        <f>HYPERLINK("https://klasma.github.io/Logging_1907/artfynd/A 37277-2023 artfynd.xlsx", "A 37277-2023")</f>
        <v/>
      </c>
      <c r="T93">
        <f>HYPERLINK("https://klasma.github.io/Logging_1907/kartor/A 37277-2023 karta.png", "A 37277-2023")</f>
        <v/>
      </c>
      <c r="V93">
        <f>HYPERLINK("https://klasma.github.io/Logging_1907/klagomål/A 37277-2023 FSC-klagomål.docx", "A 37277-2023")</f>
        <v/>
      </c>
      <c r="W93">
        <f>HYPERLINK("https://klasma.github.io/Logging_1907/klagomålsmail/A 37277-2023 FSC-klagomål mail.docx", "A 37277-2023")</f>
        <v/>
      </c>
      <c r="X93">
        <f>HYPERLINK("https://klasma.github.io/Logging_1907/tillsyn/A 37277-2023 tillsynsbegäran.docx", "A 37277-2023")</f>
        <v/>
      </c>
      <c r="Y93">
        <f>HYPERLINK("https://klasma.github.io/Logging_1907/tillsynsmail/A 37277-2023 tillsynsbegäran mail.docx", "A 37277-2023")</f>
        <v/>
      </c>
    </row>
    <row r="94" ht="15" customHeight="1">
      <c r="A94" t="inlineStr">
        <is>
          <t>A 41622-2023</t>
        </is>
      </c>
      <c r="B94" s="1" t="n">
        <v>45175</v>
      </c>
      <c r="C94" s="1" t="n">
        <v>45692</v>
      </c>
      <c r="D94" t="inlineStr">
        <is>
          <t>VÄSTMANLANDS LÄN</t>
        </is>
      </c>
      <c r="E94" t="inlineStr">
        <is>
          <t>SURAHAMMAR</t>
        </is>
      </c>
      <c r="G94" t="n">
        <v>0.6</v>
      </c>
      <c r="H94" t="n">
        <v>1</v>
      </c>
      <c r="I94" t="n">
        <v>0</v>
      </c>
      <c r="J94" t="n">
        <v>0</v>
      </c>
      <c r="K94" t="n">
        <v>1</v>
      </c>
      <c r="L94" t="n">
        <v>0</v>
      </c>
      <c r="M94" t="n">
        <v>0</v>
      </c>
      <c r="N94" t="n">
        <v>0</v>
      </c>
      <c r="O94" t="n">
        <v>1</v>
      </c>
      <c r="P94" t="n">
        <v>1</v>
      </c>
      <c r="Q94" t="n">
        <v>1</v>
      </c>
      <c r="R94" s="2" t="inlineStr">
        <is>
          <t>Knärot</t>
        </is>
      </c>
      <c r="S94">
        <f>HYPERLINK("https://klasma.github.io/Logging_1907/artfynd/A 41622-2023 artfynd.xlsx", "A 41622-2023")</f>
        <v/>
      </c>
      <c r="T94">
        <f>HYPERLINK("https://klasma.github.io/Logging_1907/kartor/A 41622-2023 karta.png", "A 41622-2023")</f>
        <v/>
      </c>
      <c r="U94">
        <f>HYPERLINK("https://klasma.github.io/Logging_1907/knärot/A 41622-2023 karta knärot.png", "A 41622-2023")</f>
        <v/>
      </c>
      <c r="V94">
        <f>HYPERLINK("https://klasma.github.io/Logging_1907/klagomål/A 41622-2023 FSC-klagomål.docx", "A 41622-2023")</f>
        <v/>
      </c>
      <c r="W94">
        <f>HYPERLINK("https://klasma.github.io/Logging_1907/klagomålsmail/A 41622-2023 FSC-klagomål mail.docx", "A 41622-2023")</f>
        <v/>
      </c>
      <c r="X94">
        <f>HYPERLINK("https://klasma.github.io/Logging_1907/tillsyn/A 41622-2023 tillsynsbegäran.docx", "A 41622-2023")</f>
        <v/>
      </c>
      <c r="Y94">
        <f>HYPERLINK("https://klasma.github.io/Logging_1907/tillsynsmail/A 41622-2023 tillsynsbegäran mail.docx", "A 41622-2023")</f>
        <v/>
      </c>
    </row>
    <row r="95" ht="15" customHeight="1">
      <c r="A95" t="inlineStr">
        <is>
          <t>A 56362-2023</t>
        </is>
      </c>
      <c r="B95" s="1" t="n">
        <v>45236</v>
      </c>
      <c r="C95" s="1" t="n">
        <v>45692</v>
      </c>
      <c r="D95" t="inlineStr">
        <is>
          <t>VÄSTMANLANDS LÄN</t>
        </is>
      </c>
      <c r="E95" t="inlineStr">
        <is>
          <t>SURAHAMMAR</t>
        </is>
      </c>
      <c r="F95" t="inlineStr">
        <is>
          <t>Bergvik skog väst AB</t>
        </is>
      </c>
      <c r="G95" t="n">
        <v>15.2</v>
      </c>
      <c r="H95" t="n">
        <v>0</v>
      </c>
      <c r="I95" t="n">
        <v>1</v>
      </c>
      <c r="J95" t="n">
        <v>0</v>
      </c>
      <c r="K95" t="n">
        <v>0</v>
      </c>
      <c r="L95" t="n">
        <v>0</v>
      </c>
      <c r="M95" t="n">
        <v>0</v>
      </c>
      <c r="N95" t="n">
        <v>0</v>
      </c>
      <c r="O95" t="n">
        <v>0</v>
      </c>
      <c r="P95" t="n">
        <v>0</v>
      </c>
      <c r="Q95" t="n">
        <v>1</v>
      </c>
      <c r="R95" s="2" t="inlineStr">
        <is>
          <t>Grönpyrola</t>
        </is>
      </c>
      <c r="S95">
        <f>HYPERLINK("https://klasma.github.io/Logging_1907/artfynd/A 56362-2023 artfynd.xlsx", "A 56362-2023")</f>
        <v/>
      </c>
      <c r="T95">
        <f>HYPERLINK("https://klasma.github.io/Logging_1907/kartor/A 56362-2023 karta.png", "A 56362-2023")</f>
        <v/>
      </c>
      <c r="V95">
        <f>HYPERLINK("https://klasma.github.io/Logging_1907/klagomål/A 56362-2023 FSC-klagomål.docx", "A 56362-2023")</f>
        <v/>
      </c>
      <c r="W95">
        <f>HYPERLINK("https://klasma.github.io/Logging_1907/klagomålsmail/A 56362-2023 FSC-klagomål mail.docx", "A 56362-2023")</f>
        <v/>
      </c>
      <c r="X95">
        <f>HYPERLINK("https://klasma.github.io/Logging_1907/tillsyn/A 56362-2023 tillsynsbegäran.docx", "A 56362-2023")</f>
        <v/>
      </c>
      <c r="Y95">
        <f>HYPERLINK("https://klasma.github.io/Logging_1907/tillsynsmail/A 56362-2023 tillsynsbegäran mail.docx", "A 56362-2023")</f>
        <v/>
      </c>
    </row>
    <row r="96" ht="15" customHeight="1">
      <c r="A96" t="inlineStr">
        <is>
          <t>A 3649-2024</t>
        </is>
      </c>
      <c r="B96" s="1" t="n">
        <v>45321</v>
      </c>
      <c r="C96" s="1" t="n">
        <v>45692</v>
      </c>
      <c r="D96" t="inlineStr">
        <is>
          <t>VÄSTMANLANDS LÄN</t>
        </is>
      </c>
      <c r="E96" t="inlineStr">
        <is>
          <t>SURAHAMMAR</t>
        </is>
      </c>
      <c r="F96" t="inlineStr">
        <is>
          <t>Övriga Aktiebolag</t>
        </is>
      </c>
      <c r="G96" t="n">
        <v>9.300000000000001</v>
      </c>
      <c r="H96" t="n">
        <v>1</v>
      </c>
      <c r="I96" t="n">
        <v>0</v>
      </c>
      <c r="J96" t="n">
        <v>0</v>
      </c>
      <c r="K96" t="n">
        <v>1</v>
      </c>
      <c r="L96" t="n">
        <v>0</v>
      </c>
      <c r="M96" t="n">
        <v>0</v>
      </c>
      <c r="N96" t="n">
        <v>0</v>
      </c>
      <c r="O96" t="n">
        <v>1</v>
      </c>
      <c r="P96" t="n">
        <v>1</v>
      </c>
      <c r="Q96" t="n">
        <v>1</v>
      </c>
      <c r="R96" s="2" t="inlineStr">
        <is>
          <t>Väddnätfjäril</t>
        </is>
      </c>
      <c r="S96">
        <f>HYPERLINK("https://klasma.github.io/Logging_1907/artfynd/A 3649-2024 artfynd.xlsx", "A 3649-2024")</f>
        <v/>
      </c>
      <c r="T96">
        <f>HYPERLINK("https://klasma.github.io/Logging_1907/kartor/A 3649-2024 karta.png", "A 3649-2024")</f>
        <v/>
      </c>
      <c r="V96">
        <f>HYPERLINK("https://klasma.github.io/Logging_1907/klagomål/A 3649-2024 FSC-klagomål.docx", "A 3649-2024")</f>
        <v/>
      </c>
      <c r="W96">
        <f>HYPERLINK("https://klasma.github.io/Logging_1907/klagomålsmail/A 3649-2024 FSC-klagomål mail.docx", "A 3649-2024")</f>
        <v/>
      </c>
      <c r="X96">
        <f>HYPERLINK("https://klasma.github.io/Logging_1907/tillsyn/A 3649-2024 tillsynsbegäran.docx", "A 3649-2024")</f>
        <v/>
      </c>
      <c r="Y96">
        <f>HYPERLINK("https://klasma.github.io/Logging_1907/tillsynsmail/A 3649-2024 tillsynsbegäran mail.docx", "A 3649-2024")</f>
        <v/>
      </c>
    </row>
    <row r="97" ht="15" customHeight="1">
      <c r="A97" t="inlineStr">
        <is>
          <t>A 10819-2024</t>
        </is>
      </c>
      <c r="B97" s="1" t="n">
        <v>45369</v>
      </c>
      <c r="C97" s="1" t="n">
        <v>45692</v>
      </c>
      <c r="D97" t="inlineStr">
        <is>
          <t>VÄSTMANLANDS LÄN</t>
        </is>
      </c>
      <c r="E97" t="inlineStr">
        <is>
          <t>SURAHAMMAR</t>
        </is>
      </c>
      <c r="G97" t="n">
        <v>2</v>
      </c>
      <c r="H97" t="n">
        <v>0</v>
      </c>
      <c r="I97" t="n">
        <v>1</v>
      </c>
      <c r="J97" t="n">
        <v>0</v>
      </c>
      <c r="K97" t="n">
        <v>0</v>
      </c>
      <c r="L97" t="n">
        <v>0</v>
      </c>
      <c r="M97" t="n">
        <v>0</v>
      </c>
      <c r="N97" t="n">
        <v>0</v>
      </c>
      <c r="O97" t="n">
        <v>0</v>
      </c>
      <c r="P97" t="n">
        <v>0</v>
      </c>
      <c r="Q97" t="n">
        <v>1</v>
      </c>
      <c r="R97" s="2" t="inlineStr">
        <is>
          <t>Tibast</t>
        </is>
      </c>
      <c r="S97">
        <f>HYPERLINK("https://klasma.github.io/Logging_1907/artfynd/A 10819-2024 artfynd.xlsx", "A 10819-2024")</f>
        <v/>
      </c>
      <c r="T97">
        <f>HYPERLINK("https://klasma.github.io/Logging_1907/kartor/A 10819-2024 karta.png", "A 10819-2024")</f>
        <v/>
      </c>
      <c r="V97">
        <f>HYPERLINK("https://klasma.github.io/Logging_1907/klagomål/A 10819-2024 FSC-klagomål.docx", "A 10819-2024")</f>
        <v/>
      </c>
      <c r="W97">
        <f>HYPERLINK("https://klasma.github.io/Logging_1907/klagomålsmail/A 10819-2024 FSC-klagomål mail.docx", "A 10819-2024")</f>
        <v/>
      </c>
      <c r="X97">
        <f>HYPERLINK("https://klasma.github.io/Logging_1907/tillsyn/A 10819-2024 tillsynsbegäran.docx", "A 10819-2024")</f>
        <v/>
      </c>
      <c r="Y97">
        <f>HYPERLINK("https://klasma.github.io/Logging_1907/tillsynsmail/A 10819-2024 tillsynsbegäran mail.docx", "A 10819-2024")</f>
        <v/>
      </c>
    </row>
    <row r="98" ht="15" customHeight="1">
      <c r="A98" t="inlineStr">
        <is>
          <t>A 25583-2024</t>
        </is>
      </c>
      <c r="B98" s="1" t="n">
        <v>45463</v>
      </c>
      <c r="C98" s="1" t="n">
        <v>45692</v>
      </c>
      <c r="D98" t="inlineStr">
        <is>
          <t>VÄSTMANLANDS LÄN</t>
        </is>
      </c>
      <c r="E98" t="inlineStr">
        <is>
          <t>SURAHAMMAR</t>
        </is>
      </c>
      <c r="F98" t="inlineStr">
        <is>
          <t>Bergvik skog väst AB</t>
        </is>
      </c>
      <c r="G98" t="n">
        <v>7.8</v>
      </c>
      <c r="H98" t="n">
        <v>1</v>
      </c>
      <c r="I98" t="n">
        <v>0</v>
      </c>
      <c r="J98" t="n">
        <v>0</v>
      </c>
      <c r="K98" t="n">
        <v>0</v>
      </c>
      <c r="L98" t="n">
        <v>0</v>
      </c>
      <c r="M98" t="n">
        <v>0</v>
      </c>
      <c r="N98" t="n">
        <v>0</v>
      </c>
      <c r="O98" t="n">
        <v>0</v>
      </c>
      <c r="P98" t="n">
        <v>0</v>
      </c>
      <c r="Q98" t="n">
        <v>1</v>
      </c>
      <c r="R98" s="2" t="inlineStr">
        <is>
          <t>Blåsippa</t>
        </is>
      </c>
      <c r="S98">
        <f>HYPERLINK("https://klasma.github.io/Logging_1907/artfynd/A 25583-2024 artfynd.xlsx", "A 25583-2024")</f>
        <v/>
      </c>
      <c r="T98">
        <f>HYPERLINK("https://klasma.github.io/Logging_1907/kartor/A 25583-2024 karta.png", "A 25583-2024")</f>
        <v/>
      </c>
      <c r="V98">
        <f>HYPERLINK("https://klasma.github.io/Logging_1907/klagomål/A 25583-2024 FSC-klagomål.docx", "A 25583-2024")</f>
        <v/>
      </c>
      <c r="W98">
        <f>HYPERLINK("https://klasma.github.io/Logging_1907/klagomålsmail/A 25583-2024 FSC-klagomål mail.docx", "A 25583-2024")</f>
        <v/>
      </c>
      <c r="X98">
        <f>HYPERLINK("https://klasma.github.io/Logging_1907/tillsyn/A 25583-2024 tillsynsbegäran.docx", "A 25583-2024")</f>
        <v/>
      </c>
      <c r="Y98">
        <f>HYPERLINK("https://klasma.github.io/Logging_1907/tillsynsmail/A 25583-2024 tillsynsbegäran mail.docx", "A 25583-2024")</f>
        <v/>
      </c>
    </row>
    <row r="99" ht="15" customHeight="1">
      <c r="A99" t="inlineStr">
        <is>
          <t>A 27957-2024</t>
        </is>
      </c>
      <c r="B99" s="1" t="n">
        <v>45476</v>
      </c>
      <c r="C99" s="1" t="n">
        <v>45692</v>
      </c>
      <c r="D99" t="inlineStr">
        <is>
          <t>VÄSTMANLANDS LÄN</t>
        </is>
      </c>
      <c r="E99" t="inlineStr">
        <is>
          <t>SURAHAMMAR</t>
        </is>
      </c>
      <c r="F99" t="inlineStr">
        <is>
          <t>Sveaskog</t>
        </is>
      </c>
      <c r="G99" t="n">
        <v>14.4</v>
      </c>
      <c r="H99" t="n">
        <v>1</v>
      </c>
      <c r="I99" t="n">
        <v>0</v>
      </c>
      <c r="J99" t="n">
        <v>0</v>
      </c>
      <c r="K99" t="n">
        <v>0</v>
      </c>
      <c r="L99" t="n">
        <v>0</v>
      </c>
      <c r="M99" t="n">
        <v>0</v>
      </c>
      <c r="N99" t="n">
        <v>0</v>
      </c>
      <c r="O99" t="n">
        <v>0</v>
      </c>
      <c r="P99" t="n">
        <v>0</v>
      </c>
      <c r="Q99" t="n">
        <v>1</v>
      </c>
      <c r="R99" s="2" t="inlineStr">
        <is>
          <t>Fläcknycklar</t>
        </is>
      </c>
      <c r="S99">
        <f>HYPERLINK("https://klasma.github.io/Logging_1907/artfynd/A 27957-2024 artfynd.xlsx", "A 27957-2024")</f>
        <v/>
      </c>
      <c r="T99">
        <f>HYPERLINK("https://klasma.github.io/Logging_1907/kartor/A 27957-2024 karta.png", "A 27957-2024")</f>
        <v/>
      </c>
      <c r="V99">
        <f>HYPERLINK("https://klasma.github.io/Logging_1907/klagomål/A 27957-2024 FSC-klagomål.docx", "A 27957-2024")</f>
        <v/>
      </c>
      <c r="W99">
        <f>HYPERLINK("https://klasma.github.io/Logging_1907/klagomålsmail/A 27957-2024 FSC-klagomål mail.docx", "A 27957-2024")</f>
        <v/>
      </c>
      <c r="X99">
        <f>HYPERLINK("https://klasma.github.io/Logging_1907/tillsyn/A 27957-2024 tillsynsbegäran.docx", "A 27957-2024")</f>
        <v/>
      </c>
      <c r="Y99">
        <f>HYPERLINK("https://klasma.github.io/Logging_1907/tillsynsmail/A 27957-2024 tillsynsbegäran mail.docx", "A 27957-2024")</f>
        <v/>
      </c>
    </row>
    <row r="100" ht="15" customHeight="1">
      <c r="A100" t="inlineStr">
        <is>
          <t>A 29156-2024</t>
        </is>
      </c>
      <c r="B100" s="1" t="n">
        <v>45482</v>
      </c>
      <c r="C100" s="1" t="n">
        <v>45692</v>
      </c>
      <c r="D100" t="inlineStr">
        <is>
          <t>VÄSTMANLANDS LÄN</t>
        </is>
      </c>
      <c r="E100" t="inlineStr">
        <is>
          <t>SURAHAMMAR</t>
        </is>
      </c>
      <c r="F100" t="inlineStr">
        <is>
          <t>Sveaskog</t>
        </is>
      </c>
      <c r="G100" t="n">
        <v>2.6</v>
      </c>
      <c r="H100" t="n">
        <v>0</v>
      </c>
      <c r="I100" t="n">
        <v>1</v>
      </c>
      <c r="J100" t="n">
        <v>0</v>
      </c>
      <c r="K100" t="n">
        <v>0</v>
      </c>
      <c r="L100" t="n">
        <v>0</v>
      </c>
      <c r="M100" t="n">
        <v>0</v>
      </c>
      <c r="N100" t="n">
        <v>0</v>
      </c>
      <c r="O100" t="n">
        <v>0</v>
      </c>
      <c r="P100" t="n">
        <v>0</v>
      </c>
      <c r="Q100" t="n">
        <v>1</v>
      </c>
      <c r="R100" s="2" t="inlineStr">
        <is>
          <t>Fjällig taggsvamp s.str.</t>
        </is>
      </c>
      <c r="S100">
        <f>HYPERLINK("https://klasma.github.io/Logging_1907/artfynd/A 29156-2024 artfynd.xlsx", "A 29156-2024")</f>
        <v/>
      </c>
      <c r="T100">
        <f>HYPERLINK("https://klasma.github.io/Logging_1907/kartor/A 29156-2024 karta.png", "A 29156-2024")</f>
        <v/>
      </c>
      <c r="V100">
        <f>HYPERLINK("https://klasma.github.io/Logging_1907/klagomål/A 29156-2024 FSC-klagomål.docx", "A 29156-2024")</f>
        <v/>
      </c>
      <c r="W100">
        <f>HYPERLINK("https://klasma.github.io/Logging_1907/klagomålsmail/A 29156-2024 FSC-klagomål mail.docx", "A 29156-2024")</f>
        <v/>
      </c>
      <c r="X100">
        <f>HYPERLINK("https://klasma.github.io/Logging_1907/tillsyn/A 29156-2024 tillsynsbegäran.docx", "A 29156-2024")</f>
        <v/>
      </c>
      <c r="Y100">
        <f>HYPERLINK("https://klasma.github.io/Logging_1907/tillsynsmail/A 29156-2024 tillsynsbegäran mail.docx", "A 29156-2024")</f>
        <v/>
      </c>
    </row>
    <row r="101" ht="15" customHeight="1">
      <c r="A101" t="inlineStr">
        <is>
          <t>A 31176-2024</t>
        </is>
      </c>
      <c r="B101" s="1" t="n">
        <v>45503</v>
      </c>
      <c r="C101" s="1" t="n">
        <v>45692</v>
      </c>
      <c r="D101" t="inlineStr">
        <is>
          <t>VÄSTMANLANDS LÄN</t>
        </is>
      </c>
      <c r="E101" t="inlineStr">
        <is>
          <t>SURAHAMMAR</t>
        </is>
      </c>
      <c r="F101" t="inlineStr">
        <is>
          <t>Allmännings- och besparingsskogar</t>
        </is>
      </c>
      <c r="G101" t="n">
        <v>10.7</v>
      </c>
      <c r="H101" t="n">
        <v>0</v>
      </c>
      <c r="I101" t="n">
        <v>0</v>
      </c>
      <c r="J101" t="n">
        <v>1</v>
      </c>
      <c r="K101" t="n">
        <v>0</v>
      </c>
      <c r="L101" t="n">
        <v>0</v>
      </c>
      <c r="M101" t="n">
        <v>0</v>
      </c>
      <c r="N101" t="n">
        <v>0</v>
      </c>
      <c r="O101" t="n">
        <v>1</v>
      </c>
      <c r="P101" t="n">
        <v>0</v>
      </c>
      <c r="Q101" t="n">
        <v>1</v>
      </c>
      <c r="R101" s="2" t="inlineStr">
        <is>
          <t>Doftskinn</t>
        </is>
      </c>
      <c r="S101">
        <f>HYPERLINK("https://klasma.github.io/Logging_1907/artfynd/A 31176-2024 artfynd.xlsx", "A 31176-2024")</f>
        <v/>
      </c>
      <c r="T101">
        <f>HYPERLINK("https://klasma.github.io/Logging_1907/kartor/A 31176-2024 karta.png", "A 31176-2024")</f>
        <v/>
      </c>
      <c r="V101">
        <f>HYPERLINK("https://klasma.github.io/Logging_1907/klagomål/A 31176-2024 FSC-klagomål.docx", "A 31176-2024")</f>
        <v/>
      </c>
      <c r="W101">
        <f>HYPERLINK("https://klasma.github.io/Logging_1907/klagomålsmail/A 31176-2024 FSC-klagomål mail.docx", "A 31176-2024")</f>
        <v/>
      </c>
      <c r="X101">
        <f>HYPERLINK("https://klasma.github.io/Logging_1907/tillsyn/A 31176-2024 tillsynsbegäran.docx", "A 31176-2024")</f>
        <v/>
      </c>
      <c r="Y101">
        <f>HYPERLINK("https://klasma.github.io/Logging_1907/tillsynsmail/A 31176-2024 tillsynsbegäran mail.docx", "A 31176-2024")</f>
        <v/>
      </c>
    </row>
    <row r="102" ht="15" customHeight="1">
      <c r="A102" t="inlineStr">
        <is>
          <t>A 43451-2024</t>
        </is>
      </c>
      <c r="B102" s="1" t="n">
        <v>45568</v>
      </c>
      <c r="C102" s="1" t="n">
        <v>45692</v>
      </c>
      <c r="D102" t="inlineStr">
        <is>
          <t>VÄSTMANLANDS LÄN</t>
        </is>
      </c>
      <c r="E102" t="inlineStr">
        <is>
          <t>SURAHAMMAR</t>
        </is>
      </c>
      <c r="F102" t="inlineStr">
        <is>
          <t>Bergvik skog väst AB</t>
        </is>
      </c>
      <c r="G102" t="n">
        <v>2.9</v>
      </c>
      <c r="H102" t="n">
        <v>0</v>
      </c>
      <c r="I102" t="n">
        <v>0</v>
      </c>
      <c r="J102" t="n">
        <v>1</v>
      </c>
      <c r="K102" t="n">
        <v>0</v>
      </c>
      <c r="L102" t="n">
        <v>0</v>
      </c>
      <c r="M102" t="n">
        <v>0</v>
      </c>
      <c r="N102" t="n">
        <v>0</v>
      </c>
      <c r="O102" t="n">
        <v>1</v>
      </c>
      <c r="P102" t="n">
        <v>0</v>
      </c>
      <c r="Q102" t="n">
        <v>1</v>
      </c>
      <c r="R102" s="2" t="inlineStr">
        <is>
          <t>Ullticka</t>
        </is>
      </c>
      <c r="S102">
        <f>HYPERLINK("https://klasma.github.io/Logging_1907/artfynd/A 43451-2024 artfynd.xlsx", "A 43451-2024")</f>
        <v/>
      </c>
      <c r="T102">
        <f>HYPERLINK("https://klasma.github.io/Logging_1907/kartor/A 43451-2024 karta.png", "A 43451-2024")</f>
        <v/>
      </c>
      <c r="V102">
        <f>HYPERLINK("https://klasma.github.io/Logging_1907/klagomål/A 43451-2024 FSC-klagomål.docx", "A 43451-2024")</f>
        <v/>
      </c>
      <c r="W102">
        <f>HYPERLINK("https://klasma.github.io/Logging_1907/klagomålsmail/A 43451-2024 FSC-klagomål mail.docx", "A 43451-2024")</f>
        <v/>
      </c>
      <c r="X102">
        <f>HYPERLINK("https://klasma.github.io/Logging_1907/tillsyn/A 43451-2024 tillsynsbegäran.docx", "A 43451-2024")</f>
        <v/>
      </c>
      <c r="Y102">
        <f>HYPERLINK("https://klasma.github.io/Logging_1907/tillsynsmail/A 43451-2024 tillsynsbegäran mail.docx", "A 43451-2024")</f>
        <v/>
      </c>
    </row>
    <row r="103" ht="15" customHeight="1">
      <c r="A103" t="inlineStr">
        <is>
          <t>A 44356-2024</t>
        </is>
      </c>
      <c r="B103" s="1" t="n">
        <v>45573</v>
      </c>
      <c r="C103" s="1" t="n">
        <v>45692</v>
      </c>
      <c r="D103" t="inlineStr">
        <is>
          <t>VÄSTMANLANDS LÄN</t>
        </is>
      </c>
      <c r="E103" t="inlineStr">
        <is>
          <t>SURAHAMMAR</t>
        </is>
      </c>
      <c r="F103" t="inlineStr">
        <is>
          <t>Sveaskog</t>
        </is>
      </c>
      <c r="G103" t="n">
        <v>0.7</v>
      </c>
      <c r="H103" t="n">
        <v>1</v>
      </c>
      <c r="I103" t="n">
        <v>0</v>
      </c>
      <c r="J103" t="n">
        <v>0</v>
      </c>
      <c r="K103" t="n">
        <v>0</v>
      </c>
      <c r="L103" t="n">
        <v>0</v>
      </c>
      <c r="M103" t="n">
        <v>0</v>
      </c>
      <c r="N103" t="n">
        <v>0</v>
      </c>
      <c r="O103" t="n">
        <v>0</v>
      </c>
      <c r="P103" t="n">
        <v>0</v>
      </c>
      <c r="Q103" t="n">
        <v>1</v>
      </c>
      <c r="R103" s="2" t="inlineStr">
        <is>
          <t>Revlummer</t>
        </is>
      </c>
      <c r="S103">
        <f>HYPERLINK("https://klasma.github.io/Logging_1907/artfynd/A 44356-2024 artfynd.xlsx", "A 44356-2024")</f>
        <v/>
      </c>
      <c r="T103">
        <f>HYPERLINK("https://klasma.github.io/Logging_1907/kartor/A 44356-2024 karta.png", "A 44356-2024")</f>
        <v/>
      </c>
      <c r="V103">
        <f>HYPERLINK("https://klasma.github.io/Logging_1907/klagomål/A 44356-2024 FSC-klagomål.docx", "A 44356-2024")</f>
        <v/>
      </c>
      <c r="W103">
        <f>HYPERLINK("https://klasma.github.io/Logging_1907/klagomålsmail/A 44356-2024 FSC-klagomål mail.docx", "A 44356-2024")</f>
        <v/>
      </c>
      <c r="X103">
        <f>HYPERLINK("https://klasma.github.io/Logging_1907/tillsyn/A 44356-2024 tillsynsbegäran.docx", "A 44356-2024")</f>
        <v/>
      </c>
      <c r="Y103">
        <f>HYPERLINK("https://klasma.github.io/Logging_1907/tillsynsmail/A 44356-2024 tillsynsbegäran mail.docx", "A 44356-2024")</f>
        <v/>
      </c>
    </row>
    <row r="104" ht="15" customHeight="1">
      <c r="A104" t="inlineStr">
        <is>
          <t>A 44355-2024</t>
        </is>
      </c>
      <c r="B104" s="1" t="n">
        <v>45573</v>
      </c>
      <c r="C104" s="1" t="n">
        <v>45692</v>
      </c>
      <c r="D104" t="inlineStr">
        <is>
          <t>VÄSTMANLANDS LÄN</t>
        </is>
      </c>
      <c r="E104" t="inlineStr">
        <is>
          <t>SURAHAMMAR</t>
        </is>
      </c>
      <c r="F104" t="inlineStr">
        <is>
          <t>Sveaskog</t>
        </is>
      </c>
      <c r="G104" t="n">
        <v>3.5</v>
      </c>
      <c r="H104" t="n">
        <v>1</v>
      </c>
      <c r="I104" t="n">
        <v>0</v>
      </c>
      <c r="J104" t="n">
        <v>0</v>
      </c>
      <c r="K104" t="n">
        <v>0</v>
      </c>
      <c r="L104" t="n">
        <v>0</v>
      </c>
      <c r="M104" t="n">
        <v>0</v>
      </c>
      <c r="N104" t="n">
        <v>0</v>
      </c>
      <c r="O104" t="n">
        <v>0</v>
      </c>
      <c r="P104" t="n">
        <v>0</v>
      </c>
      <c r="Q104" t="n">
        <v>1</v>
      </c>
      <c r="R104" s="2" t="inlineStr">
        <is>
          <t>Revlummer</t>
        </is>
      </c>
      <c r="S104">
        <f>HYPERLINK("https://klasma.github.io/Logging_1907/artfynd/A 44355-2024 artfynd.xlsx", "A 44355-2024")</f>
        <v/>
      </c>
      <c r="T104">
        <f>HYPERLINK("https://klasma.github.io/Logging_1907/kartor/A 44355-2024 karta.png", "A 44355-2024")</f>
        <v/>
      </c>
      <c r="V104">
        <f>HYPERLINK("https://klasma.github.io/Logging_1907/klagomål/A 44355-2024 FSC-klagomål.docx", "A 44355-2024")</f>
        <v/>
      </c>
      <c r="W104">
        <f>HYPERLINK("https://klasma.github.io/Logging_1907/klagomålsmail/A 44355-2024 FSC-klagomål mail.docx", "A 44355-2024")</f>
        <v/>
      </c>
      <c r="X104">
        <f>HYPERLINK("https://klasma.github.io/Logging_1907/tillsyn/A 44355-2024 tillsynsbegäran.docx", "A 44355-2024")</f>
        <v/>
      </c>
      <c r="Y104">
        <f>HYPERLINK("https://klasma.github.io/Logging_1907/tillsynsmail/A 44355-2024 tillsynsbegäran mail.docx", "A 44355-2024")</f>
        <v/>
      </c>
    </row>
    <row r="105" ht="15" customHeight="1">
      <c r="A105" t="inlineStr">
        <is>
          <t>A 45735-2024</t>
        </is>
      </c>
      <c r="B105" s="1" t="n">
        <v>45579</v>
      </c>
      <c r="C105" s="1" t="n">
        <v>45692</v>
      </c>
      <c r="D105" t="inlineStr">
        <is>
          <t>VÄSTMANLANDS LÄN</t>
        </is>
      </c>
      <c r="E105" t="inlineStr">
        <is>
          <t>SURAHAMMAR</t>
        </is>
      </c>
      <c r="F105" t="inlineStr">
        <is>
          <t>Sveaskog</t>
        </is>
      </c>
      <c r="G105" t="n">
        <v>13.5</v>
      </c>
      <c r="H105" t="n">
        <v>1</v>
      </c>
      <c r="I105" t="n">
        <v>0</v>
      </c>
      <c r="J105" t="n">
        <v>0</v>
      </c>
      <c r="K105" t="n">
        <v>0</v>
      </c>
      <c r="L105" t="n">
        <v>0</v>
      </c>
      <c r="M105" t="n">
        <v>0</v>
      </c>
      <c r="N105" t="n">
        <v>0</v>
      </c>
      <c r="O105" t="n">
        <v>0</v>
      </c>
      <c r="P105" t="n">
        <v>0</v>
      </c>
      <c r="Q105" t="n">
        <v>1</v>
      </c>
      <c r="R105" s="2" t="inlineStr">
        <is>
          <t>Revlummer</t>
        </is>
      </c>
      <c r="S105">
        <f>HYPERLINK("https://klasma.github.io/Logging_1907/artfynd/A 45735-2024 artfynd.xlsx", "A 45735-2024")</f>
        <v/>
      </c>
      <c r="T105">
        <f>HYPERLINK("https://klasma.github.io/Logging_1907/kartor/A 45735-2024 karta.png", "A 45735-2024")</f>
        <v/>
      </c>
      <c r="V105">
        <f>HYPERLINK("https://klasma.github.io/Logging_1907/klagomål/A 45735-2024 FSC-klagomål.docx", "A 45735-2024")</f>
        <v/>
      </c>
      <c r="W105">
        <f>HYPERLINK("https://klasma.github.io/Logging_1907/klagomålsmail/A 45735-2024 FSC-klagomål mail.docx", "A 45735-2024")</f>
        <v/>
      </c>
      <c r="X105">
        <f>HYPERLINK("https://klasma.github.io/Logging_1907/tillsyn/A 45735-2024 tillsynsbegäran.docx", "A 45735-2024")</f>
        <v/>
      </c>
      <c r="Y105">
        <f>HYPERLINK("https://klasma.github.io/Logging_1907/tillsynsmail/A 45735-2024 tillsynsbegäran mail.docx", "A 45735-2024")</f>
        <v/>
      </c>
    </row>
    <row r="106" ht="15" customHeight="1">
      <c r="A106" t="inlineStr">
        <is>
          <t>A 62097-2024</t>
        </is>
      </c>
      <c r="B106" s="1" t="n">
        <v>45646</v>
      </c>
      <c r="C106" s="1" t="n">
        <v>45692</v>
      </c>
      <c r="D106" t="inlineStr">
        <is>
          <t>VÄSTMANLANDS LÄN</t>
        </is>
      </c>
      <c r="E106" t="inlineStr">
        <is>
          <t>SURAHAMMAR</t>
        </is>
      </c>
      <c r="F106" t="inlineStr">
        <is>
          <t>Bergvik skog väst AB</t>
        </is>
      </c>
      <c r="G106" t="n">
        <v>21.7</v>
      </c>
      <c r="H106" t="n">
        <v>1</v>
      </c>
      <c r="I106" t="n">
        <v>0</v>
      </c>
      <c r="J106" t="n">
        <v>0</v>
      </c>
      <c r="K106" t="n">
        <v>0</v>
      </c>
      <c r="L106" t="n">
        <v>0</v>
      </c>
      <c r="M106" t="n">
        <v>0</v>
      </c>
      <c r="N106" t="n">
        <v>0</v>
      </c>
      <c r="O106" t="n">
        <v>0</v>
      </c>
      <c r="P106" t="n">
        <v>0</v>
      </c>
      <c r="Q106" t="n">
        <v>1</v>
      </c>
      <c r="R106" s="2" t="inlineStr">
        <is>
          <t>Revlummer</t>
        </is>
      </c>
      <c r="S106">
        <f>HYPERLINK("https://klasma.github.io/Logging_1907/artfynd/A 62097-2024 artfynd.xlsx", "A 62097-2024")</f>
        <v/>
      </c>
      <c r="T106">
        <f>HYPERLINK("https://klasma.github.io/Logging_1907/kartor/A 62097-2024 karta.png", "A 62097-2024")</f>
        <v/>
      </c>
      <c r="V106">
        <f>HYPERLINK("https://klasma.github.io/Logging_1907/klagomål/A 62097-2024 FSC-klagomål.docx", "A 62097-2024")</f>
        <v/>
      </c>
      <c r="W106">
        <f>HYPERLINK("https://klasma.github.io/Logging_1907/klagomålsmail/A 62097-2024 FSC-klagomål mail.docx", "A 62097-2024")</f>
        <v/>
      </c>
      <c r="X106">
        <f>HYPERLINK("https://klasma.github.io/Logging_1907/tillsyn/A 62097-2024 tillsynsbegäran.docx", "A 62097-2024")</f>
        <v/>
      </c>
      <c r="Y106">
        <f>HYPERLINK("https://klasma.github.io/Logging_1907/tillsynsmail/A 62097-2024 tillsynsbegäran mail.docx", "A 62097-2024")</f>
        <v/>
      </c>
    </row>
    <row r="107" ht="15" customHeight="1">
      <c r="A107" t="inlineStr">
        <is>
          <t>A 4082-2025</t>
        </is>
      </c>
      <c r="B107" s="1" t="n">
        <v>45684</v>
      </c>
      <c r="C107" s="1" t="n">
        <v>45692</v>
      </c>
      <c r="D107" t="inlineStr">
        <is>
          <t>VÄSTMANLANDS LÄN</t>
        </is>
      </c>
      <c r="E107" t="inlineStr">
        <is>
          <t>SURAHAMMAR</t>
        </is>
      </c>
      <c r="F107" t="inlineStr">
        <is>
          <t>Bergvik skog väst AB</t>
        </is>
      </c>
      <c r="G107" t="n">
        <v>11.6</v>
      </c>
      <c r="H107" t="n">
        <v>1</v>
      </c>
      <c r="I107" t="n">
        <v>1</v>
      </c>
      <c r="J107" t="n">
        <v>0</v>
      </c>
      <c r="K107" t="n">
        <v>0</v>
      </c>
      <c r="L107" t="n">
        <v>0</v>
      </c>
      <c r="M107" t="n">
        <v>0</v>
      </c>
      <c r="N107" t="n">
        <v>0</v>
      </c>
      <c r="O107" t="n">
        <v>0</v>
      </c>
      <c r="P107" t="n">
        <v>0</v>
      </c>
      <c r="Q107" t="n">
        <v>1</v>
      </c>
      <c r="R107" s="2" t="inlineStr">
        <is>
          <t>Plattlummer</t>
        </is>
      </c>
      <c r="S107">
        <f>HYPERLINK("https://klasma.github.io/Logging_1907/artfynd/A 4082-2025 artfynd.xlsx", "A 4082-2025")</f>
        <v/>
      </c>
      <c r="T107">
        <f>HYPERLINK("https://klasma.github.io/Logging_1907/kartor/A 4082-2025 karta.png", "A 4082-2025")</f>
        <v/>
      </c>
      <c r="V107">
        <f>HYPERLINK("https://klasma.github.io/Logging_1907/klagomål/A 4082-2025 FSC-klagomål.docx", "A 4082-2025")</f>
        <v/>
      </c>
      <c r="W107">
        <f>HYPERLINK("https://klasma.github.io/Logging_1907/klagomålsmail/A 4082-2025 FSC-klagomål mail.docx", "A 4082-2025")</f>
        <v/>
      </c>
      <c r="X107">
        <f>HYPERLINK("https://klasma.github.io/Logging_1907/tillsyn/A 4082-2025 tillsynsbegäran.docx", "A 4082-2025")</f>
        <v/>
      </c>
      <c r="Y107">
        <f>HYPERLINK("https://klasma.github.io/Logging_1907/tillsynsmail/A 4082-2025 tillsynsbegäran mail.docx", "A 4082-2025")</f>
        <v/>
      </c>
    </row>
    <row r="108" ht="15" customHeight="1">
      <c r="A108" t="inlineStr">
        <is>
          <t>A 17946-2019</t>
        </is>
      </c>
      <c r="B108" s="1" t="n">
        <v>43557</v>
      </c>
      <c r="C108" s="1" t="n">
        <v>45692</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45692</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45692</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45692</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45692</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45692</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45692</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45692</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45692</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45692</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45692</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45692</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45692</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45692</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45692</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45692</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45692</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45692</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45692</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45692</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45692</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45692</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45692</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45692</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45692</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45692</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45692</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45692</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45692</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45692</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45692</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45692</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45692</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45692</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45692</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45692</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45692</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45692</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45692</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45692</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45692</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45692</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45692</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45692</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45692</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45692</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45692</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45692</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45692</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45692</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45692</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45692</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45692</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45692</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45692</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45692</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45692</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45692</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45692</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45692</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45692</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45692</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45692</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45692</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45692</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45692</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45692</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45692</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45692</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45692</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45692</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45692</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45692</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45692</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45692</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45692</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45692</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45692</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45692</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45692</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45692</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45692</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45692</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45692</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45692</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45692</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45692</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45692</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45692</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45692</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45692</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45692</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45692</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45692</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45692</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45692</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45692</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45692</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45692</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45692</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45692</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45692</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45692</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45692</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45692</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45692</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45692</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45692</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45692</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45692</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45692</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45692</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45692</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45692</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45692</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45692</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45692</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45692</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45692</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45692</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45692</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45692</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45692</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45692</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45692</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45692</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45692</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45692</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45692</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45692</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45692</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45692</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45692</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45692</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45692</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45692</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45692</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45692</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45692</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45692</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45692</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45692</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45692</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45692</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45692</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45692</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45692</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45692</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45692</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45692</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45692</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45692</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45692</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45692</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45692</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45692</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45692</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45692</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45692</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45692</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45692</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45692</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45692</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45692</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45692</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45692</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45692</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45692</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45692</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45692</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45692</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45692</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45692</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45692</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45692</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45692</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45692</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45692</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45692</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45692</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45692</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45692</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45692</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45692</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45692</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45692</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45692</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c r="A295" t="inlineStr">
        <is>
          <t>A 60030-2024</t>
        </is>
      </c>
      <c r="B295" s="1" t="n">
        <v>45642</v>
      </c>
      <c r="C295" s="1" t="n">
        <v>45692</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2025-02-04T16:01:56Z</dcterms:created>
  <dcterms:modified xmlns:dcterms="http://purl.org/dc/terms/" xmlns:xsi="http://www.w3.org/2001/XMLSchema-instance" xsi:type="dcterms:W3CDTF">2025-02-04T16:01:56Z</dcterms:modified>
</cp:coreProperties>
</file>