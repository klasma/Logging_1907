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46037</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46037</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46037</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46037</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46037</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46037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46037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46037</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46037</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46037</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46037</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46037</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65024-2023</t>
        </is>
      </c>
      <c r="B22" s="1" t="n">
        <v>45282</v>
      </c>
      <c r="C22" s="1" t="n">
        <v>46037</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46037</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46037</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46037</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46037</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46037</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42860-2022</t>
        </is>
      </c>
      <c r="B28" s="1" t="n">
        <v>44832</v>
      </c>
      <c r="C28" s="1" t="n">
        <v>46037</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46037</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46037</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46037</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46037</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46037</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46037</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46037</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46037</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46037</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46037</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46037</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46037</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46037</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63146-2025</t>
        </is>
      </c>
      <c r="B42" s="1" t="n">
        <v>46009</v>
      </c>
      <c r="C42" s="1" t="n">
        <v>46037</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4082-2025</t>
        </is>
      </c>
      <c r="B43" s="1" t="n">
        <v>45684</v>
      </c>
      <c r="C43" s="1" t="n">
        <v>46037</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46037</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46037</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46037</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46037</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46037</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46037</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46037</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46037</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46037</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34582-2025</t>
        </is>
      </c>
      <c r="B53" s="1" t="n">
        <v>45846</v>
      </c>
      <c r="C53" s="1" t="n">
        <v>46037</v>
      </c>
      <c r="D53" t="inlineStr">
        <is>
          <t>VÄSTMANLANDS LÄN</t>
        </is>
      </c>
      <c r="E53" t="inlineStr">
        <is>
          <t>SURAHAMMAR</t>
        </is>
      </c>
      <c r="F53" t="inlineStr">
        <is>
          <t>Bergvik skog väst AB</t>
        </is>
      </c>
      <c r="G53" t="n">
        <v>2.6</v>
      </c>
      <c r="H53" t="n">
        <v>1</v>
      </c>
      <c r="I53" t="n">
        <v>0</v>
      </c>
      <c r="J53" t="n">
        <v>1</v>
      </c>
      <c r="K53" t="n">
        <v>0</v>
      </c>
      <c r="L53" t="n">
        <v>0</v>
      </c>
      <c r="M53" t="n">
        <v>0</v>
      </c>
      <c r="N53" t="n">
        <v>0</v>
      </c>
      <c r="O53" t="n">
        <v>1</v>
      </c>
      <c r="P53" t="n">
        <v>0</v>
      </c>
      <c r="Q53" t="n">
        <v>1</v>
      </c>
      <c r="R53" s="2" t="inlineStr">
        <is>
          <t>Järpe</t>
        </is>
      </c>
      <c r="S53">
        <f>HYPERLINK("https://klasma.github.io/Logging_1907/artfynd/A 34582-2025 artfynd.xlsx", "A 34582-2025")</f>
        <v/>
      </c>
      <c r="T53">
        <f>HYPERLINK("https://klasma.github.io/Logging_1907/kartor/A 34582-2025 karta.png", "A 34582-2025")</f>
        <v/>
      </c>
      <c r="V53">
        <f>HYPERLINK("https://klasma.github.io/Logging_1907/klagomål/A 34582-2025 FSC-klagomål.docx", "A 34582-2025")</f>
        <v/>
      </c>
      <c r="W53">
        <f>HYPERLINK("https://klasma.github.io/Logging_1907/klagomålsmail/A 34582-2025 FSC-klagomål mail.docx", "A 34582-2025")</f>
        <v/>
      </c>
      <c r="X53">
        <f>HYPERLINK("https://klasma.github.io/Logging_1907/tillsyn/A 34582-2025 tillsynsbegäran.docx", "A 34582-2025")</f>
        <v/>
      </c>
      <c r="Y53">
        <f>HYPERLINK("https://klasma.github.io/Logging_1907/tillsynsmail/A 34582-2025 tillsynsbegäran mail.docx", "A 34582-2025")</f>
        <v/>
      </c>
      <c r="Z53">
        <f>HYPERLINK("https://klasma.github.io/Logging_1907/fåglar/A 34582-2025 prioriterade fågelarter.docx", "A 34582-2025")</f>
        <v/>
      </c>
    </row>
    <row r="54" ht="15" customHeight="1">
      <c r="A54" t="inlineStr">
        <is>
          <t>A 42089-2025</t>
        </is>
      </c>
      <c r="B54" s="1" t="n">
        <v>45902</v>
      </c>
      <c r="C54" s="1" t="n">
        <v>46037</v>
      </c>
      <c r="D54" t="inlineStr">
        <is>
          <t>VÄSTMANLANDS LÄN</t>
        </is>
      </c>
      <c r="E54" t="inlineStr">
        <is>
          <t>SURAHAMMAR</t>
        </is>
      </c>
      <c r="G54" t="n">
        <v>2.2</v>
      </c>
      <c r="H54" t="n">
        <v>0</v>
      </c>
      <c r="I54" t="n">
        <v>0</v>
      </c>
      <c r="J54" t="n">
        <v>1</v>
      </c>
      <c r="K54" t="n">
        <v>0</v>
      </c>
      <c r="L54" t="n">
        <v>0</v>
      </c>
      <c r="M54" t="n">
        <v>0</v>
      </c>
      <c r="N54" t="n">
        <v>0</v>
      </c>
      <c r="O54" t="n">
        <v>1</v>
      </c>
      <c r="P54" t="n">
        <v>0</v>
      </c>
      <c r="Q54" t="n">
        <v>1</v>
      </c>
      <c r="R54" s="2" t="inlineStr">
        <is>
          <t>Motaggsvamp</t>
        </is>
      </c>
      <c r="S54">
        <f>HYPERLINK("https://klasma.github.io/Logging_1907/artfynd/A 42089-2025 artfynd.xlsx", "A 42089-2025")</f>
        <v/>
      </c>
      <c r="T54">
        <f>HYPERLINK("https://klasma.github.io/Logging_1907/kartor/A 42089-2025 karta.png", "A 42089-2025")</f>
        <v/>
      </c>
      <c r="V54">
        <f>HYPERLINK("https://klasma.github.io/Logging_1907/klagomål/A 42089-2025 FSC-klagomål.docx", "A 42089-2025")</f>
        <v/>
      </c>
      <c r="W54">
        <f>HYPERLINK("https://klasma.github.io/Logging_1907/klagomålsmail/A 42089-2025 FSC-klagomål mail.docx", "A 42089-2025")</f>
        <v/>
      </c>
      <c r="X54">
        <f>HYPERLINK("https://klasma.github.io/Logging_1907/tillsyn/A 42089-2025 tillsynsbegäran.docx", "A 42089-2025")</f>
        <v/>
      </c>
      <c r="Y54">
        <f>HYPERLINK("https://klasma.github.io/Logging_1907/tillsynsmail/A 42089-2025 tillsynsbegäran mail.docx", "A 42089-2025")</f>
        <v/>
      </c>
    </row>
    <row r="55" ht="15" customHeight="1">
      <c r="A55" t="inlineStr">
        <is>
          <t>A 69777-2021</t>
        </is>
      </c>
      <c r="B55" s="1" t="n">
        <v>44532</v>
      </c>
      <c r="C55" s="1" t="n">
        <v>46037</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46037</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47453-2024</t>
        </is>
      </c>
      <c r="B57" s="1" t="n">
        <v>45587.55017361111</v>
      </c>
      <c r="C57" s="1" t="n">
        <v>46037</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46037</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55042-2025</t>
        </is>
      </c>
      <c r="B59" s="1" t="n">
        <v>45967.65858796296</v>
      </c>
      <c r="C59" s="1" t="n">
        <v>46037</v>
      </c>
      <c r="D59" t="inlineStr">
        <is>
          <t>VÄSTMANLANDS LÄN</t>
        </is>
      </c>
      <c r="E59" t="inlineStr">
        <is>
          <t>SURAHAMMAR</t>
        </is>
      </c>
      <c r="F59" t="inlineStr">
        <is>
          <t>Sveaskog</t>
        </is>
      </c>
      <c r="G59" t="n">
        <v>7.2</v>
      </c>
      <c r="H59" t="n">
        <v>0</v>
      </c>
      <c r="I59" t="n">
        <v>0</v>
      </c>
      <c r="J59" t="n">
        <v>1</v>
      </c>
      <c r="K59" t="n">
        <v>0</v>
      </c>
      <c r="L59" t="n">
        <v>0</v>
      </c>
      <c r="M59" t="n">
        <v>0</v>
      </c>
      <c r="N59" t="n">
        <v>0</v>
      </c>
      <c r="O59" t="n">
        <v>1</v>
      </c>
      <c r="P59" t="n">
        <v>0</v>
      </c>
      <c r="Q59" t="n">
        <v>1</v>
      </c>
      <c r="R59" s="2" t="inlineStr">
        <is>
          <t>Motaggsvamp</t>
        </is>
      </c>
      <c r="S59">
        <f>HYPERLINK("https://klasma.github.io/Logging_1907/artfynd/A 55042-2025 artfynd.xlsx", "A 55042-2025")</f>
        <v/>
      </c>
      <c r="T59">
        <f>HYPERLINK("https://klasma.github.io/Logging_1907/kartor/A 55042-2025 karta.png", "A 55042-2025")</f>
        <v/>
      </c>
      <c r="V59">
        <f>HYPERLINK("https://klasma.github.io/Logging_1907/klagomål/A 55042-2025 FSC-klagomål.docx", "A 55042-2025")</f>
        <v/>
      </c>
      <c r="W59">
        <f>HYPERLINK("https://klasma.github.io/Logging_1907/klagomålsmail/A 55042-2025 FSC-klagomål mail.docx", "A 55042-2025")</f>
        <v/>
      </c>
      <c r="X59">
        <f>HYPERLINK("https://klasma.github.io/Logging_1907/tillsyn/A 55042-2025 tillsynsbegäran.docx", "A 55042-2025")</f>
        <v/>
      </c>
      <c r="Y59">
        <f>HYPERLINK("https://klasma.github.io/Logging_1907/tillsynsmail/A 55042-2025 tillsynsbegäran mail.docx", "A 55042-2025")</f>
        <v/>
      </c>
    </row>
    <row r="60" ht="15" customHeight="1">
      <c r="A60" t="inlineStr">
        <is>
          <t>A 63145-2025</t>
        </is>
      </c>
      <c r="B60" s="1" t="n">
        <v>46009</v>
      </c>
      <c r="C60" s="1" t="n">
        <v>46037</v>
      </c>
      <c r="D60" t="inlineStr">
        <is>
          <t>VÄSTMANLANDS LÄN</t>
        </is>
      </c>
      <c r="E60" t="inlineStr">
        <is>
          <t>SURAHAMMAR</t>
        </is>
      </c>
      <c r="F60" t="inlineStr">
        <is>
          <t>Bergvik skog väst AB</t>
        </is>
      </c>
      <c r="G60" t="n">
        <v>40.5</v>
      </c>
      <c r="H60" t="n">
        <v>0</v>
      </c>
      <c r="I60" t="n">
        <v>1</v>
      </c>
      <c r="J60" t="n">
        <v>0</v>
      </c>
      <c r="K60" t="n">
        <v>0</v>
      </c>
      <c r="L60" t="n">
        <v>0</v>
      </c>
      <c r="M60" t="n">
        <v>0</v>
      </c>
      <c r="N60" t="n">
        <v>0</v>
      </c>
      <c r="O60" t="n">
        <v>0</v>
      </c>
      <c r="P60" t="n">
        <v>0</v>
      </c>
      <c r="Q60" t="n">
        <v>1</v>
      </c>
      <c r="R60" s="2" t="inlineStr">
        <is>
          <t>Svart trolldruva</t>
        </is>
      </c>
      <c r="S60">
        <f>HYPERLINK("https://klasma.github.io/Logging_1907/artfynd/A 63145-2025 artfynd.xlsx", "A 63145-2025")</f>
        <v/>
      </c>
      <c r="T60">
        <f>HYPERLINK("https://klasma.github.io/Logging_1907/kartor/A 63145-2025 karta.png", "A 63145-2025")</f>
        <v/>
      </c>
      <c r="V60">
        <f>HYPERLINK("https://klasma.github.io/Logging_1907/klagomål/A 63145-2025 FSC-klagomål.docx", "A 63145-2025")</f>
        <v/>
      </c>
      <c r="W60">
        <f>HYPERLINK("https://klasma.github.io/Logging_1907/klagomålsmail/A 63145-2025 FSC-klagomål mail.docx", "A 63145-2025")</f>
        <v/>
      </c>
      <c r="X60">
        <f>HYPERLINK("https://klasma.github.io/Logging_1907/tillsyn/A 63145-2025 tillsynsbegäran.docx", "A 63145-2025")</f>
        <v/>
      </c>
      <c r="Y60">
        <f>HYPERLINK("https://klasma.github.io/Logging_1907/tillsynsmail/A 63145-2025 tillsynsbegäran mail.docx", "A 63145-2025")</f>
        <v/>
      </c>
    </row>
    <row r="61" ht="15" customHeight="1">
      <c r="A61" t="inlineStr">
        <is>
          <t>A 56768-2025</t>
        </is>
      </c>
      <c r="B61" s="1" t="n">
        <v>45978</v>
      </c>
      <c r="C61" s="1" t="n">
        <v>46037</v>
      </c>
      <c r="D61" t="inlineStr">
        <is>
          <t>VÄSTMANLANDS LÄN</t>
        </is>
      </c>
      <c r="E61" t="inlineStr">
        <is>
          <t>SURAHAMMAR</t>
        </is>
      </c>
      <c r="F61" t="inlineStr">
        <is>
          <t>Sveaskog</t>
        </is>
      </c>
      <c r="G61" t="n">
        <v>3.8</v>
      </c>
      <c r="H61" t="n">
        <v>0</v>
      </c>
      <c r="I61" t="n">
        <v>0</v>
      </c>
      <c r="J61" t="n">
        <v>1</v>
      </c>
      <c r="K61" t="n">
        <v>0</v>
      </c>
      <c r="L61" t="n">
        <v>0</v>
      </c>
      <c r="M61" t="n">
        <v>0</v>
      </c>
      <c r="N61" t="n">
        <v>0</v>
      </c>
      <c r="O61" t="n">
        <v>1</v>
      </c>
      <c r="P61" t="n">
        <v>0</v>
      </c>
      <c r="Q61" t="n">
        <v>1</v>
      </c>
      <c r="R61" s="2" t="inlineStr">
        <is>
          <t>Motaggsvamp</t>
        </is>
      </c>
      <c r="S61">
        <f>HYPERLINK("https://klasma.github.io/Logging_1907/artfynd/A 56768-2025 artfynd.xlsx", "A 56768-2025")</f>
        <v/>
      </c>
      <c r="T61">
        <f>HYPERLINK("https://klasma.github.io/Logging_1907/kartor/A 56768-2025 karta.png", "A 56768-2025")</f>
        <v/>
      </c>
      <c r="V61">
        <f>HYPERLINK("https://klasma.github.io/Logging_1907/klagomål/A 56768-2025 FSC-klagomål.docx", "A 56768-2025")</f>
        <v/>
      </c>
      <c r="W61">
        <f>HYPERLINK("https://klasma.github.io/Logging_1907/klagomålsmail/A 56768-2025 FSC-klagomål mail.docx", "A 56768-2025")</f>
        <v/>
      </c>
      <c r="X61">
        <f>HYPERLINK("https://klasma.github.io/Logging_1907/tillsyn/A 56768-2025 tillsynsbegäran.docx", "A 56768-2025")</f>
        <v/>
      </c>
      <c r="Y61">
        <f>HYPERLINK("https://klasma.github.io/Logging_1907/tillsynsmail/A 56768-2025 tillsynsbegäran mail.docx", "A 56768-2025")</f>
        <v/>
      </c>
    </row>
    <row r="62" ht="15" customHeight="1">
      <c r="A62" t="inlineStr">
        <is>
          <t>A 40411-2021</t>
        </is>
      </c>
      <c r="B62" s="1" t="n">
        <v>44419</v>
      </c>
      <c r="C62" s="1" t="n">
        <v>46037</v>
      </c>
      <c r="D62" t="inlineStr">
        <is>
          <t>VÄSTMANLANDS LÄN</t>
        </is>
      </c>
      <c r="E62" t="inlineStr">
        <is>
          <t>SURAHAMMAR</t>
        </is>
      </c>
      <c r="F62" t="inlineStr">
        <is>
          <t>Sveaskog</t>
        </is>
      </c>
      <c r="G62" t="n">
        <v>2.4</v>
      </c>
      <c r="H62" t="n">
        <v>1</v>
      </c>
      <c r="I62" t="n">
        <v>0</v>
      </c>
      <c r="J62" t="n">
        <v>0</v>
      </c>
      <c r="K62" t="n">
        <v>0</v>
      </c>
      <c r="L62" t="n">
        <v>0</v>
      </c>
      <c r="M62" t="n">
        <v>0</v>
      </c>
      <c r="N62" t="n">
        <v>0</v>
      </c>
      <c r="O62" t="n">
        <v>0</v>
      </c>
      <c r="P62" t="n">
        <v>0</v>
      </c>
      <c r="Q62" t="n">
        <v>1</v>
      </c>
      <c r="R62" s="2" t="inlineStr">
        <is>
          <t>Kopparödla</t>
        </is>
      </c>
      <c r="S62">
        <f>HYPERLINK("https://klasma.github.io/Logging_1907/artfynd/A 40411-2021 artfynd.xlsx", "A 40411-2021")</f>
        <v/>
      </c>
      <c r="T62">
        <f>HYPERLINK("https://klasma.github.io/Logging_1907/kartor/A 40411-2021 karta.png", "A 40411-2021")</f>
        <v/>
      </c>
      <c r="V62">
        <f>HYPERLINK("https://klasma.github.io/Logging_1907/klagomål/A 40411-2021 FSC-klagomål.docx", "A 40411-2021")</f>
        <v/>
      </c>
      <c r="W62">
        <f>HYPERLINK("https://klasma.github.io/Logging_1907/klagomålsmail/A 40411-2021 FSC-klagomål mail.docx", "A 40411-2021")</f>
        <v/>
      </c>
      <c r="X62">
        <f>HYPERLINK("https://klasma.github.io/Logging_1907/tillsyn/A 40411-2021 tillsynsbegäran.docx", "A 40411-2021")</f>
        <v/>
      </c>
      <c r="Y62">
        <f>HYPERLINK("https://klasma.github.io/Logging_1907/tillsynsmail/A 40411-2021 tillsynsbegäran mail.docx", "A 40411-2021")</f>
        <v/>
      </c>
    </row>
    <row r="63" ht="15" customHeight="1">
      <c r="A63" t="inlineStr">
        <is>
          <t>A 33231-2024</t>
        </is>
      </c>
      <c r="B63" s="1" t="n">
        <v>45518</v>
      </c>
      <c r="C63" s="1" t="n">
        <v>46037</v>
      </c>
      <c r="D63" t="inlineStr">
        <is>
          <t>VÄSTMANLANDS LÄN</t>
        </is>
      </c>
      <c r="E63" t="inlineStr">
        <is>
          <t>SURAHAMMAR</t>
        </is>
      </c>
      <c r="F63" t="inlineStr">
        <is>
          <t>Bergvik skog väst AB</t>
        </is>
      </c>
      <c r="G63" t="n">
        <v>1.5</v>
      </c>
      <c r="H63" t="n">
        <v>1</v>
      </c>
      <c r="I63" t="n">
        <v>0</v>
      </c>
      <c r="J63" t="n">
        <v>0</v>
      </c>
      <c r="K63" t="n">
        <v>0</v>
      </c>
      <c r="L63" t="n">
        <v>0</v>
      </c>
      <c r="M63" t="n">
        <v>0</v>
      </c>
      <c r="N63" t="n">
        <v>0</v>
      </c>
      <c r="O63" t="n">
        <v>0</v>
      </c>
      <c r="P63" t="n">
        <v>0</v>
      </c>
      <c r="Q63" t="n">
        <v>1</v>
      </c>
      <c r="R63" s="2" t="inlineStr">
        <is>
          <t>Mindre vattensalamander</t>
        </is>
      </c>
      <c r="S63">
        <f>HYPERLINK("https://klasma.github.io/Logging_1907/artfynd/A 33231-2024 artfynd.xlsx", "A 33231-2024")</f>
        <v/>
      </c>
      <c r="T63">
        <f>HYPERLINK("https://klasma.github.io/Logging_1907/kartor/A 33231-2024 karta.png", "A 33231-2024")</f>
        <v/>
      </c>
      <c r="V63">
        <f>HYPERLINK("https://klasma.github.io/Logging_1907/klagomål/A 33231-2024 FSC-klagomål.docx", "A 33231-2024")</f>
        <v/>
      </c>
      <c r="W63">
        <f>HYPERLINK("https://klasma.github.io/Logging_1907/klagomålsmail/A 33231-2024 FSC-klagomål mail.docx", "A 33231-2024")</f>
        <v/>
      </c>
      <c r="X63">
        <f>HYPERLINK("https://klasma.github.io/Logging_1907/tillsyn/A 33231-2024 tillsynsbegäran.docx", "A 33231-2024")</f>
        <v/>
      </c>
      <c r="Y63">
        <f>HYPERLINK("https://klasma.github.io/Logging_1907/tillsynsmail/A 33231-2024 tillsynsbegäran mail.docx", "A 33231-2024")</f>
        <v/>
      </c>
    </row>
    <row r="64" ht="15" customHeight="1">
      <c r="A64" t="inlineStr">
        <is>
          <t>A 30074-2023</t>
        </is>
      </c>
      <c r="B64" s="1" t="n">
        <v>45110</v>
      </c>
      <c r="C64" s="1" t="n">
        <v>46037</v>
      </c>
      <c r="D64" t="inlineStr">
        <is>
          <t>VÄSTMANLANDS LÄN</t>
        </is>
      </c>
      <c r="E64" t="inlineStr">
        <is>
          <t>SURAHAMMAR</t>
        </is>
      </c>
      <c r="F64" t="inlineStr">
        <is>
          <t>Sveaskog</t>
        </is>
      </c>
      <c r="G64" t="n">
        <v>1.1</v>
      </c>
      <c r="H64" t="n">
        <v>1</v>
      </c>
      <c r="I64" t="n">
        <v>0</v>
      </c>
      <c r="J64" t="n">
        <v>0</v>
      </c>
      <c r="K64" t="n">
        <v>0</v>
      </c>
      <c r="L64" t="n">
        <v>0</v>
      </c>
      <c r="M64" t="n">
        <v>0</v>
      </c>
      <c r="N64" t="n">
        <v>0</v>
      </c>
      <c r="O64" t="n">
        <v>0</v>
      </c>
      <c r="P64" t="n">
        <v>0</v>
      </c>
      <c r="Q64" t="n">
        <v>1</v>
      </c>
      <c r="R64" s="2" t="inlineStr">
        <is>
          <t>Revlummer</t>
        </is>
      </c>
      <c r="S64">
        <f>HYPERLINK("https://klasma.github.io/Logging_1907/artfynd/A 30074-2023 artfynd.xlsx", "A 30074-2023")</f>
        <v/>
      </c>
      <c r="T64">
        <f>HYPERLINK("https://klasma.github.io/Logging_1907/kartor/A 30074-2023 karta.png", "A 30074-2023")</f>
        <v/>
      </c>
      <c r="V64">
        <f>HYPERLINK("https://klasma.github.io/Logging_1907/klagomål/A 30074-2023 FSC-klagomål.docx", "A 30074-2023")</f>
        <v/>
      </c>
      <c r="W64">
        <f>HYPERLINK("https://klasma.github.io/Logging_1907/klagomålsmail/A 30074-2023 FSC-klagomål mail.docx", "A 30074-2023")</f>
        <v/>
      </c>
      <c r="X64">
        <f>HYPERLINK("https://klasma.github.io/Logging_1907/tillsyn/A 30074-2023 tillsynsbegäran.docx", "A 30074-2023")</f>
        <v/>
      </c>
      <c r="Y64">
        <f>HYPERLINK("https://klasma.github.io/Logging_1907/tillsynsmail/A 30074-2023 tillsynsbegäran mail.docx", "A 30074-2023")</f>
        <v/>
      </c>
    </row>
    <row r="65" ht="15" customHeight="1">
      <c r="A65" t="inlineStr">
        <is>
          <t>A 31176-2024</t>
        </is>
      </c>
      <c r="B65" s="1" t="n">
        <v>45503</v>
      </c>
      <c r="C65" s="1" t="n">
        <v>46037</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25583-2024</t>
        </is>
      </c>
      <c r="B66" s="1" t="n">
        <v>45463</v>
      </c>
      <c r="C66" s="1" t="n">
        <v>46037</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46037</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46037</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46037</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46037</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46037</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46037</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64073-2021</t>
        </is>
      </c>
      <c r="B73" s="1" t="n">
        <v>44509</v>
      </c>
      <c r="C73" s="1" t="n">
        <v>46037</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46037</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46037</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46037</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46037</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46037</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46037</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46037</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46037</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46037</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46037</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46037</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46037</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46037</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46037</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46037</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46037</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46037</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46037</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46037</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46037</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46037</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15739-2023</t>
        </is>
      </c>
      <c r="B95" s="1" t="n">
        <v>45021</v>
      </c>
      <c r="C95" s="1" t="n">
        <v>46037</v>
      </c>
      <c r="D95" t="inlineStr">
        <is>
          <t>VÄSTMANLANDS LÄN</t>
        </is>
      </c>
      <c r="E95" t="inlineStr">
        <is>
          <t>SURAHAMMAR</t>
        </is>
      </c>
      <c r="G95" t="n">
        <v>1.3</v>
      </c>
      <c r="H95" t="n">
        <v>0</v>
      </c>
      <c r="I95" t="n">
        <v>0</v>
      </c>
      <c r="J95" t="n">
        <v>0</v>
      </c>
      <c r="K95" t="n">
        <v>0</v>
      </c>
      <c r="L95" t="n">
        <v>0</v>
      </c>
      <c r="M95" t="n">
        <v>0</v>
      </c>
      <c r="N95" t="n">
        <v>0</v>
      </c>
      <c r="O95" t="n">
        <v>0</v>
      </c>
      <c r="P95" t="n">
        <v>0</v>
      </c>
      <c r="Q95" t="n">
        <v>0</v>
      </c>
      <c r="R95" s="2" t="inlineStr"/>
    </row>
    <row r="96" ht="15" customHeight="1">
      <c r="A96" t="inlineStr">
        <is>
          <t>A 38154-2021</t>
        </is>
      </c>
      <c r="B96" s="1" t="n">
        <v>44405.42373842592</v>
      </c>
      <c r="C96" s="1" t="n">
        <v>46037</v>
      </c>
      <c r="D96" t="inlineStr">
        <is>
          <t>VÄSTMANLANDS LÄN</t>
        </is>
      </c>
      <c r="E96" t="inlineStr">
        <is>
          <t>SURAHAMMAR</t>
        </is>
      </c>
      <c r="F96" t="inlineStr">
        <is>
          <t>Sveaskog</t>
        </is>
      </c>
      <c r="G96" t="n">
        <v>1.3</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46037</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46037</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43255-2025</t>
        </is>
      </c>
      <c r="B99" s="1" t="n">
        <v>45910.55325231481</v>
      </c>
      <c r="C99" s="1" t="n">
        <v>46037</v>
      </c>
      <c r="D99" t="inlineStr">
        <is>
          <t>VÄSTMANLANDS LÄN</t>
        </is>
      </c>
      <c r="E99" t="inlineStr">
        <is>
          <t>SURAHAMMAR</t>
        </is>
      </c>
      <c r="G99" t="n">
        <v>1.9</v>
      </c>
      <c r="H99" t="n">
        <v>0</v>
      </c>
      <c r="I99" t="n">
        <v>0</v>
      </c>
      <c r="J99" t="n">
        <v>0</v>
      </c>
      <c r="K99" t="n">
        <v>0</v>
      </c>
      <c r="L99" t="n">
        <v>0</v>
      </c>
      <c r="M99" t="n">
        <v>0</v>
      </c>
      <c r="N99" t="n">
        <v>0</v>
      </c>
      <c r="O99" t="n">
        <v>0</v>
      </c>
      <c r="P99" t="n">
        <v>0</v>
      </c>
      <c r="Q99" t="n">
        <v>0</v>
      </c>
      <c r="R99" s="2" t="inlineStr"/>
    </row>
    <row r="100" ht="15" customHeight="1">
      <c r="A100" t="inlineStr">
        <is>
          <t>A 31107-2025</t>
        </is>
      </c>
      <c r="B100" s="1" t="n">
        <v>45831</v>
      </c>
      <c r="C100" s="1" t="n">
        <v>46037</v>
      </c>
      <c r="D100" t="inlineStr">
        <is>
          <t>VÄSTMANLANDS LÄN</t>
        </is>
      </c>
      <c r="E100" t="inlineStr">
        <is>
          <t>SURAHAMMAR</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3818-2022</t>
        </is>
      </c>
      <c r="B101" s="1" t="n">
        <v>44587</v>
      </c>
      <c r="C101" s="1" t="n">
        <v>46037</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46037</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46037</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46037</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46037</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46037</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34584-2025</t>
        </is>
      </c>
      <c r="B107" s="1" t="n">
        <v>45846</v>
      </c>
      <c r="C107" s="1" t="n">
        <v>46037</v>
      </c>
      <c r="D107" t="inlineStr">
        <is>
          <t>VÄSTMANLANDS LÄN</t>
        </is>
      </c>
      <c r="E107" t="inlineStr">
        <is>
          <t>SURAHAMMAR</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56378-2023</t>
        </is>
      </c>
      <c r="B108" s="1" t="n">
        <v>45236</v>
      </c>
      <c r="C108" s="1" t="n">
        <v>46037</v>
      </c>
      <c r="D108" t="inlineStr">
        <is>
          <t>VÄSTMANLANDS LÄN</t>
        </is>
      </c>
      <c r="E108" t="inlineStr">
        <is>
          <t>SURAHAMMAR</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11728-2023</t>
        </is>
      </c>
      <c r="B109" s="1" t="n">
        <v>44993</v>
      </c>
      <c r="C109" s="1" t="n">
        <v>46037</v>
      </c>
      <c r="D109" t="inlineStr">
        <is>
          <t>VÄSTMANLANDS LÄN</t>
        </is>
      </c>
      <c r="E109" t="inlineStr">
        <is>
          <t>SURAHAMMAR</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46037</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46037</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11501-2023</t>
        </is>
      </c>
      <c r="B112" s="1" t="n">
        <v>44991</v>
      </c>
      <c r="C112" s="1" t="n">
        <v>46037</v>
      </c>
      <c r="D112" t="inlineStr">
        <is>
          <t>VÄSTMANLANDS LÄN</t>
        </is>
      </c>
      <c r="E112" t="inlineStr">
        <is>
          <t>SURAHAMMAR</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16013-2023</t>
        </is>
      </c>
      <c r="B113" s="1" t="n">
        <v>45026</v>
      </c>
      <c r="C113" s="1" t="n">
        <v>46037</v>
      </c>
      <c r="D113" t="inlineStr">
        <is>
          <t>VÄSTMANLANDS LÄN</t>
        </is>
      </c>
      <c r="E113" t="inlineStr">
        <is>
          <t>SURAHAMMAR</t>
        </is>
      </c>
      <c r="G113" t="n">
        <v>3.9</v>
      </c>
      <c r="H113" t="n">
        <v>0</v>
      </c>
      <c r="I113" t="n">
        <v>0</v>
      </c>
      <c r="J113" t="n">
        <v>0</v>
      </c>
      <c r="K113" t="n">
        <v>0</v>
      </c>
      <c r="L113" t="n">
        <v>0</v>
      </c>
      <c r="M113" t="n">
        <v>0</v>
      </c>
      <c r="N113" t="n">
        <v>0</v>
      </c>
      <c r="O113" t="n">
        <v>0</v>
      </c>
      <c r="P113" t="n">
        <v>0</v>
      </c>
      <c r="Q113" t="n">
        <v>0</v>
      </c>
      <c r="R113" s="2" t="inlineStr"/>
    </row>
    <row r="114" ht="15" customHeight="1">
      <c r="A114" t="inlineStr">
        <is>
          <t>A 20904-2023</t>
        </is>
      </c>
      <c r="B114" s="1" t="n">
        <v>45060</v>
      </c>
      <c r="C114" s="1" t="n">
        <v>46037</v>
      </c>
      <c r="D114" t="inlineStr">
        <is>
          <t>VÄSTMANLANDS LÄN</t>
        </is>
      </c>
      <c r="E114" t="inlineStr">
        <is>
          <t>SURAHAMMAR</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37013-2025</t>
        </is>
      </c>
      <c r="B115" s="1" t="n">
        <v>45874</v>
      </c>
      <c r="C115" s="1" t="n">
        <v>46037</v>
      </c>
      <c r="D115" t="inlineStr">
        <is>
          <t>VÄSTMANLANDS LÄN</t>
        </is>
      </c>
      <c r="E115" t="inlineStr">
        <is>
          <t>SURAHAMMAR</t>
        </is>
      </c>
      <c r="F115" t="inlineStr">
        <is>
          <t>Bergvik skog väst AB</t>
        </is>
      </c>
      <c r="G115" t="n">
        <v>10.7</v>
      </c>
      <c r="H115" t="n">
        <v>0</v>
      </c>
      <c r="I115" t="n">
        <v>0</v>
      </c>
      <c r="J115" t="n">
        <v>0</v>
      </c>
      <c r="K115" t="n">
        <v>0</v>
      </c>
      <c r="L115" t="n">
        <v>0</v>
      </c>
      <c r="M115" t="n">
        <v>0</v>
      </c>
      <c r="N115" t="n">
        <v>0</v>
      </c>
      <c r="O115" t="n">
        <v>0</v>
      </c>
      <c r="P115" t="n">
        <v>0</v>
      </c>
      <c r="Q115" t="n">
        <v>0</v>
      </c>
      <c r="R115" s="2" t="inlineStr"/>
    </row>
    <row r="116" ht="15" customHeight="1">
      <c r="A116" t="inlineStr">
        <is>
          <t>A 42829-2022</t>
        </is>
      </c>
      <c r="B116" s="1" t="n">
        <v>44832</v>
      </c>
      <c r="C116" s="1" t="n">
        <v>46037</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46037</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34955-2022</t>
        </is>
      </c>
      <c r="B118" s="1" t="n">
        <v>44796</v>
      </c>
      <c r="C118" s="1" t="n">
        <v>46037</v>
      </c>
      <c r="D118" t="inlineStr">
        <is>
          <t>VÄSTMANLANDS LÄN</t>
        </is>
      </c>
      <c r="E118" t="inlineStr">
        <is>
          <t>SURAHAMMAR</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37798-2021</t>
        </is>
      </c>
      <c r="B119" s="1" t="n">
        <v>44402</v>
      </c>
      <c r="C119" s="1" t="n">
        <v>46037</v>
      </c>
      <c r="D119" t="inlineStr">
        <is>
          <t>VÄSTMANLANDS LÄN</t>
        </is>
      </c>
      <c r="E119" t="inlineStr">
        <is>
          <t>SURAHAMMAR</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48205-2023</t>
        </is>
      </c>
      <c r="B120" s="1" t="n">
        <v>45205</v>
      </c>
      <c r="C120" s="1" t="n">
        <v>46037</v>
      </c>
      <c r="D120" t="inlineStr">
        <is>
          <t>VÄSTMANLANDS LÄN</t>
        </is>
      </c>
      <c r="E120" t="inlineStr">
        <is>
          <t>SURAHAMMAR</t>
        </is>
      </c>
      <c r="F120" t="inlineStr">
        <is>
          <t>Allmännings- och besparingsskogar</t>
        </is>
      </c>
      <c r="G120" t="n">
        <v>7.6</v>
      </c>
      <c r="H120" t="n">
        <v>0</v>
      </c>
      <c r="I120" t="n">
        <v>0</v>
      </c>
      <c r="J120" t="n">
        <v>0</v>
      </c>
      <c r="K120" t="n">
        <v>0</v>
      </c>
      <c r="L120" t="n">
        <v>0</v>
      </c>
      <c r="M120" t="n">
        <v>0</v>
      </c>
      <c r="N120" t="n">
        <v>0</v>
      </c>
      <c r="O120" t="n">
        <v>0</v>
      </c>
      <c r="P120" t="n">
        <v>0</v>
      </c>
      <c r="Q120" t="n">
        <v>0</v>
      </c>
      <c r="R120" s="2" t="inlineStr"/>
    </row>
    <row r="121" ht="15" customHeight="1">
      <c r="A121" t="inlineStr">
        <is>
          <t>A 63138-2025</t>
        </is>
      </c>
      <c r="B121" s="1" t="n">
        <v>46009</v>
      </c>
      <c r="C121" s="1" t="n">
        <v>46037</v>
      </c>
      <c r="D121" t="inlineStr">
        <is>
          <t>VÄSTMANLANDS LÄN</t>
        </is>
      </c>
      <c r="E121" t="inlineStr">
        <is>
          <t>SURAHAMMAR</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46037</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55868-2025</t>
        </is>
      </c>
      <c r="B123" s="1" t="n">
        <v>45973.35263888889</v>
      </c>
      <c r="C123" s="1" t="n">
        <v>46037</v>
      </c>
      <c r="D123" t="inlineStr">
        <is>
          <t>VÄSTMANLANDS LÄN</t>
        </is>
      </c>
      <c r="E123" t="inlineStr">
        <is>
          <t>SURAHAMMAR</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55874-2025</t>
        </is>
      </c>
      <c r="B124" s="1" t="n">
        <v>45973.3569212963</v>
      </c>
      <c r="C124" s="1" t="n">
        <v>46037</v>
      </c>
      <c r="D124" t="inlineStr">
        <is>
          <t>VÄSTMANLANDS LÄN</t>
        </is>
      </c>
      <c r="E124" t="inlineStr">
        <is>
          <t>SURAHAMMAR</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55871-2025</t>
        </is>
      </c>
      <c r="B125" s="1" t="n">
        <v>45973.35452546296</v>
      </c>
      <c r="C125" s="1" t="n">
        <v>46037</v>
      </c>
      <c r="D125" t="inlineStr">
        <is>
          <t>VÄSTMANLANDS LÄN</t>
        </is>
      </c>
      <c r="E125" t="inlineStr">
        <is>
          <t>SURAHAMMAR</t>
        </is>
      </c>
      <c r="F125" t="inlineStr">
        <is>
          <t>Sveaskog</t>
        </is>
      </c>
      <c r="G125" t="n">
        <v>1.4</v>
      </c>
      <c r="H125" t="n">
        <v>0</v>
      </c>
      <c r="I125" t="n">
        <v>0</v>
      </c>
      <c r="J125" t="n">
        <v>0</v>
      </c>
      <c r="K125" t="n">
        <v>0</v>
      </c>
      <c r="L125" t="n">
        <v>0</v>
      </c>
      <c r="M125" t="n">
        <v>0</v>
      </c>
      <c r="N125" t="n">
        <v>0</v>
      </c>
      <c r="O125" t="n">
        <v>0</v>
      </c>
      <c r="P125" t="n">
        <v>0</v>
      </c>
      <c r="Q125" t="n">
        <v>0</v>
      </c>
      <c r="R125" s="2" t="inlineStr"/>
    </row>
    <row r="126" ht="15" customHeight="1">
      <c r="A126" t="inlineStr">
        <is>
          <t>A 22662-2023</t>
        </is>
      </c>
      <c r="B126" s="1" t="n">
        <v>45071</v>
      </c>
      <c r="C126" s="1" t="n">
        <v>46037</v>
      </c>
      <c r="D126" t="inlineStr">
        <is>
          <t>VÄSTMANLANDS LÄN</t>
        </is>
      </c>
      <c r="E126" t="inlineStr">
        <is>
          <t>SURAHAMMAR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46037</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56543-2025</t>
        </is>
      </c>
      <c r="B128" s="1" t="n">
        <v>45975</v>
      </c>
      <c r="C128" s="1" t="n">
        <v>46037</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46037</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59399-2025</t>
        </is>
      </c>
      <c r="B130" s="1" t="n">
        <v>45989</v>
      </c>
      <c r="C130" s="1" t="n">
        <v>46037</v>
      </c>
      <c r="D130" t="inlineStr">
        <is>
          <t>VÄSTMANLANDS LÄN</t>
        </is>
      </c>
      <c r="E130" t="inlineStr">
        <is>
          <t>SURAHAMMAR</t>
        </is>
      </c>
      <c r="F130" t="inlineStr">
        <is>
          <t>Kommuner</t>
        </is>
      </c>
      <c r="G130" t="n">
        <v>2.1</v>
      </c>
      <c r="H130" t="n">
        <v>0</v>
      </c>
      <c r="I130" t="n">
        <v>0</v>
      </c>
      <c r="J130" t="n">
        <v>0</v>
      </c>
      <c r="K130" t="n">
        <v>0</v>
      </c>
      <c r="L130" t="n">
        <v>0</v>
      </c>
      <c r="M130" t="n">
        <v>0</v>
      </c>
      <c r="N130" t="n">
        <v>0</v>
      </c>
      <c r="O130" t="n">
        <v>0</v>
      </c>
      <c r="P130" t="n">
        <v>0</v>
      </c>
      <c r="Q130" t="n">
        <v>0</v>
      </c>
      <c r="R130" s="2" t="inlineStr"/>
    </row>
    <row r="131" ht="15" customHeight="1">
      <c r="A131" t="inlineStr">
        <is>
          <t>A 47785-2021</t>
        </is>
      </c>
      <c r="B131" s="1" t="n">
        <v>44448</v>
      </c>
      <c r="C131" s="1" t="n">
        <v>46037</v>
      </c>
      <c r="D131" t="inlineStr">
        <is>
          <t>VÄSTMANLANDS LÄN</t>
        </is>
      </c>
      <c r="E131" t="inlineStr">
        <is>
          <t>SURAHAMMAR</t>
        </is>
      </c>
      <c r="F131" t="inlineStr">
        <is>
          <t>Kommuner</t>
        </is>
      </c>
      <c r="G131" t="n">
        <v>3.3</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46037</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46037</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46037</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24665-2023</t>
        </is>
      </c>
      <c r="B135" s="1" t="n">
        <v>45084.48592592592</v>
      </c>
      <c r="C135" s="1" t="n">
        <v>46037</v>
      </c>
      <c r="D135" t="inlineStr">
        <is>
          <t>VÄSTMANLANDS LÄN</t>
        </is>
      </c>
      <c r="E135" t="inlineStr">
        <is>
          <t>SURAHAMMAR</t>
        </is>
      </c>
      <c r="G135" t="n">
        <v>0.9</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46037</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72367-2021</t>
        </is>
      </c>
      <c r="B137" s="1" t="n">
        <v>44545</v>
      </c>
      <c r="C137" s="1" t="n">
        <v>46037</v>
      </c>
      <c r="D137" t="inlineStr">
        <is>
          <t>VÄSTMANLANDS LÄN</t>
        </is>
      </c>
      <c r="E137" t="inlineStr">
        <is>
          <t>SURAHAMMAR</t>
        </is>
      </c>
      <c r="G137" t="n">
        <v>2.5</v>
      </c>
      <c r="H137" t="n">
        <v>0</v>
      </c>
      <c r="I137" t="n">
        <v>0</v>
      </c>
      <c r="J137" t="n">
        <v>0</v>
      </c>
      <c r="K137" t="n">
        <v>0</v>
      </c>
      <c r="L137" t="n">
        <v>0</v>
      </c>
      <c r="M137" t="n">
        <v>0</v>
      </c>
      <c r="N137" t="n">
        <v>0</v>
      </c>
      <c r="O137" t="n">
        <v>0</v>
      </c>
      <c r="P137" t="n">
        <v>0</v>
      </c>
      <c r="Q137" t="n">
        <v>0</v>
      </c>
      <c r="R137" s="2" t="inlineStr"/>
    </row>
    <row r="138" ht="15" customHeight="1">
      <c r="A138" t="inlineStr">
        <is>
          <t>A 42714-2022</t>
        </is>
      </c>
      <c r="B138" s="1" t="n">
        <v>44832</v>
      </c>
      <c r="C138" s="1" t="n">
        <v>46037</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37287-2023</t>
        </is>
      </c>
      <c r="B139" s="1" t="n">
        <v>45156</v>
      </c>
      <c r="C139" s="1" t="n">
        <v>46037</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49058-2024</t>
        </is>
      </c>
      <c r="B140" s="1" t="n">
        <v>45594</v>
      </c>
      <c r="C140" s="1" t="n">
        <v>46037</v>
      </c>
      <c r="D140" t="inlineStr">
        <is>
          <t>VÄSTMANLANDS LÄN</t>
        </is>
      </c>
      <c r="E140" t="inlineStr">
        <is>
          <t>SURAHAMMAR</t>
        </is>
      </c>
      <c r="F140" t="inlineStr">
        <is>
          <t>Sveaskog</t>
        </is>
      </c>
      <c r="G140" t="n">
        <v>11.4</v>
      </c>
      <c r="H140" t="n">
        <v>0</v>
      </c>
      <c r="I140" t="n">
        <v>0</v>
      </c>
      <c r="J140" t="n">
        <v>0</v>
      </c>
      <c r="K140" t="n">
        <v>0</v>
      </c>
      <c r="L140" t="n">
        <v>0</v>
      </c>
      <c r="M140" t="n">
        <v>0</v>
      </c>
      <c r="N140" t="n">
        <v>0</v>
      </c>
      <c r="O140" t="n">
        <v>0</v>
      </c>
      <c r="P140" t="n">
        <v>0</v>
      </c>
      <c r="Q140" t="n">
        <v>0</v>
      </c>
      <c r="R140" s="2" t="inlineStr"/>
    </row>
    <row r="141" ht="15" customHeight="1">
      <c r="A141" t="inlineStr">
        <is>
          <t>A 49060-2024</t>
        </is>
      </c>
      <c r="B141" s="1" t="n">
        <v>45594</v>
      </c>
      <c r="C141" s="1" t="n">
        <v>46037</v>
      </c>
      <c r="D141" t="inlineStr">
        <is>
          <t>VÄSTMANLANDS LÄN</t>
        </is>
      </c>
      <c r="E141" t="inlineStr">
        <is>
          <t>SURAHAMMAR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19099-2022</t>
        </is>
      </c>
      <c r="B142" s="1" t="n">
        <v>44691</v>
      </c>
      <c r="C142" s="1" t="n">
        <v>46037</v>
      </c>
      <c r="D142" t="inlineStr">
        <is>
          <t>VÄSTMANLANDS LÄN</t>
        </is>
      </c>
      <c r="E142" t="inlineStr">
        <is>
          <t>SURAHAMMAR</t>
        </is>
      </c>
      <c r="F142" t="inlineStr">
        <is>
          <t>Övriga Aktiebolag</t>
        </is>
      </c>
      <c r="G142" t="n">
        <v>3.4</v>
      </c>
      <c r="H142" t="n">
        <v>0</v>
      </c>
      <c r="I142" t="n">
        <v>0</v>
      </c>
      <c r="J142" t="n">
        <v>0</v>
      </c>
      <c r="K142" t="n">
        <v>0</v>
      </c>
      <c r="L142" t="n">
        <v>0</v>
      </c>
      <c r="M142" t="n">
        <v>0</v>
      </c>
      <c r="N142" t="n">
        <v>0</v>
      </c>
      <c r="O142" t="n">
        <v>0</v>
      </c>
      <c r="P142" t="n">
        <v>0</v>
      </c>
      <c r="Q142" t="n">
        <v>0</v>
      </c>
      <c r="R142" s="2" t="inlineStr"/>
    </row>
    <row r="143" ht="15" customHeight="1">
      <c r="A143" t="inlineStr">
        <is>
          <t>A 25780-2023</t>
        </is>
      </c>
      <c r="B143" s="1" t="n">
        <v>45090.47523148148</v>
      </c>
      <c r="C143" s="1" t="n">
        <v>46037</v>
      </c>
      <c r="D143" t="inlineStr">
        <is>
          <t>VÄSTMANLANDS LÄN</t>
        </is>
      </c>
      <c r="E143" t="inlineStr">
        <is>
          <t>SURAHAMMAR</t>
        </is>
      </c>
      <c r="G143" t="n">
        <v>2.8</v>
      </c>
      <c r="H143" t="n">
        <v>0</v>
      </c>
      <c r="I143" t="n">
        <v>0</v>
      </c>
      <c r="J143" t="n">
        <v>0</v>
      </c>
      <c r="K143" t="n">
        <v>0</v>
      </c>
      <c r="L143" t="n">
        <v>0</v>
      </c>
      <c r="M143" t="n">
        <v>0</v>
      </c>
      <c r="N143" t="n">
        <v>0</v>
      </c>
      <c r="O143" t="n">
        <v>0</v>
      </c>
      <c r="P143" t="n">
        <v>0</v>
      </c>
      <c r="Q143" t="n">
        <v>0</v>
      </c>
      <c r="R143" s="2" t="inlineStr"/>
    </row>
    <row r="144" ht="15" customHeight="1">
      <c r="A144" t="inlineStr">
        <is>
          <t>A 13386-2025</t>
        </is>
      </c>
      <c r="B144" s="1" t="n">
        <v>45735</v>
      </c>
      <c r="C144" s="1" t="n">
        <v>46037</v>
      </c>
      <c r="D144" t="inlineStr">
        <is>
          <t>VÄSTMANLANDS LÄN</t>
        </is>
      </c>
      <c r="E144" t="inlineStr">
        <is>
          <t>SURAHAMMAR</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35682-2022</t>
        </is>
      </c>
      <c r="B145" s="1" t="n">
        <v>44799.60422453703</v>
      </c>
      <c r="C145" s="1" t="n">
        <v>46037</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2867-2024</t>
        </is>
      </c>
      <c r="B146" s="1" t="n">
        <v>45315</v>
      </c>
      <c r="C146" s="1" t="n">
        <v>46037</v>
      </c>
      <c r="D146" t="inlineStr">
        <is>
          <t>VÄSTMANLANDS LÄN</t>
        </is>
      </c>
      <c r="E146" t="inlineStr">
        <is>
          <t>SURAHAMMAR</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2660-2024</t>
        </is>
      </c>
      <c r="B147" s="1" t="n">
        <v>45310</v>
      </c>
      <c r="C147" s="1" t="n">
        <v>46037</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41555-2022</t>
        </is>
      </c>
      <c r="B148" s="1" t="n">
        <v>44826</v>
      </c>
      <c r="C148" s="1" t="n">
        <v>46037</v>
      </c>
      <c r="D148" t="inlineStr">
        <is>
          <t>VÄSTMANLANDS LÄN</t>
        </is>
      </c>
      <c r="E148" t="inlineStr">
        <is>
          <t>SURAHAMMAR</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46037</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41576-2022</t>
        </is>
      </c>
      <c r="B150" s="1" t="n">
        <v>44826</v>
      </c>
      <c r="C150" s="1" t="n">
        <v>46037</v>
      </c>
      <c r="D150" t="inlineStr">
        <is>
          <t>VÄSTMANLANDS LÄN</t>
        </is>
      </c>
      <c r="E150" t="inlineStr">
        <is>
          <t>SURAHAMMAR</t>
        </is>
      </c>
      <c r="F150" t="inlineStr">
        <is>
          <t>Bergvik skog väst AB</t>
        </is>
      </c>
      <c r="G150" t="n">
        <v>6.4</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46037</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46037</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46037</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46037</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46037</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46037</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c r="A157" t="inlineStr">
        <is>
          <t>A 7787-2024</t>
        </is>
      </c>
      <c r="B157" s="1" t="n">
        <v>45348</v>
      </c>
      <c r="C157" s="1" t="n">
        <v>46037</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2026-01-15T11:03:29Z</dcterms:created>
  <dcterms:modified xmlns:dcterms="http://purl.org/dc/terms/" xmlns:xsi="http://www.w3.org/2001/XMLSchema-instance" xsi:type="dcterms:W3CDTF">2026-01-15T11:03:29Z</dcterms:modified>
</cp:coreProperties>
</file>