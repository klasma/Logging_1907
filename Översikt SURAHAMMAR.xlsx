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46190</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46190</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46190</v>
      </c>
      <c r="D4" t="inlineStr">
        <is>
          <t>VÄSTMANLANDS LÄN</t>
        </is>
      </c>
      <c r="E4" t="inlineStr">
        <is>
          <t>SURAHAMMAR</t>
        </is>
      </c>
      <c r="F4" t="inlineStr">
        <is>
          <t>Bergvik skog väst AB</t>
        </is>
      </c>
      <c r="G4" t="n">
        <v>25.7</v>
      </c>
      <c r="H4" t="n">
        <v>21</v>
      </c>
      <c r="I4" t="n">
        <v>7</v>
      </c>
      <c r="J4" t="n">
        <v>7</v>
      </c>
      <c r="K4" t="n">
        <v>1</v>
      </c>
      <c r="L4" t="n">
        <v>1</v>
      </c>
      <c r="M4" t="n">
        <v>0</v>
      </c>
      <c r="N4" t="n">
        <v>0</v>
      </c>
      <c r="O4" t="n">
        <v>9</v>
      </c>
      <c r="P4" t="n">
        <v>2</v>
      </c>
      <c r="Q4" t="n">
        <v>30</v>
      </c>
      <c r="R4" s="2" t="inlineStr">
        <is>
          <t>Grönfink
Knärot
Järpe
Motaggsvamp
Nordfladdermus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46190</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46190</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(aggregat)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21560-2025</t>
        </is>
      </c>
      <c r="B7" s="1" t="n">
        <v>45782</v>
      </c>
      <c r="C7" s="1" t="n">
        <v>46190</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65022-2023</t>
        </is>
      </c>
      <c r="B8" s="1" t="n">
        <v>45282</v>
      </c>
      <c r="C8" s="1" t="n">
        <v>46190</v>
      </c>
      <c r="D8" t="inlineStr">
        <is>
          <t>VÄSTMANLANDS LÄN</t>
        </is>
      </c>
      <c r="E8" t="inlineStr">
        <is>
          <t>SURAHAMMAR</t>
        </is>
      </c>
      <c r="F8" t="inlineStr">
        <is>
          <t>Bergvik skog väst AB</t>
        </is>
      </c>
      <c r="G8" t="n">
        <v>11.3</v>
      </c>
      <c r="H8" t="n">
        <v>7</v>
      </c>
      <c r="I8" t="n">
        <v>6</v>
      </c>
      <c r="J8" t="n">
        <v>4</v>
      </c>
      <c r="K8" t="n">
        <v>1</v>
      </c>
      <c r="L8" t="n">
        <v>0</v>
      </c>
      <c r="M8" t="n">
        <v>0</v>
      </c>
      <c r="N8" t="n">
        <v>0</v>
      </c>
      <c r="O8" t="n">
        <v>5</v>
      </c>
      <c r="P8" t="n">
        <v>1</v>
      </c>
      <c r="Q8" t="n">
        <v>14</v>
      </c>
      <c r="R8" s="2" t="inlineStr">
        <is>
          <t>Knärot
Spillkråka
Talltita
Ullticka
Vedtrappmossa
Bronshjon
Grovticka
Grönpyrola
Plattlummer
Rödgul trumpetsvamp
Thomsons trägnagare
Fläcknycklar
Mattlummer
Revlummer</t>
        </is>
      </c>
      <c r="S8">
        <f>HYPERLINK("https://klasma.github.io/Logging_1907/artfynd/A 65022-2023 artfynd.xlsx", "A 65022-2023")</f>
        <v/>
      </c>
      <c r="T8">
        <f>HYPERLINK("https://klasma.github.io/Logging_1907/kartor/A 65022-2023 karta.png", "A 65022-2023")</f>
        <v/>
      </c>
      <c r="U8">
        <f>HYPERLINK("https://klasma.github.io/Logging_1907/knärot/A 65022-2023 karta knärot.png", "A 65022-2023")</f>
        <v/>
      </c>
      <c r="V8">
        <f>HYPERLINK("https://klasma.github.io/Logging_1907/klagomål/A 65022-2023 FSC-klagomål.docx", "A 65022-2023")</f>
        <v/>
      </c>
      <c r="W8">
        <f>HYPERLINK("https://klasma.github.io/Logging_1907/klagomålsmail/A 65022-2023 FSC-klagomål mail.docx", "A 65022-2023")</f>
        <v/>
      </c>
      <c r="X8">
        <f>HYPERLINK("https://klasma.github.io/Logging_1907/tillsyn/A 65022-2023 tillsynsbegäran.docx", "A 65022-2023")</f>
        <v/>
      </c>
      <c r="Y8">
        <f>HYPERLINK("https://klasma.github.io/Logging_1907/tillsynsmail/A 65022-2023 tillsynsbegäran mail.docx", "A 65022-2023")</f>
        <v/>
      </c>
      <c r="Z8">
        <f>HYPERLINK("https://klasma.github.io/Logging_1907/fåglar/A 65022-2023 prioriterade fågelarter.docx", "A 65022-2023")</f>
        <v/>
      </c>
    </row>
    <row r="9" ht="15" customHeight="1">
      <c r="A9" t="inlineStr">
        <is>
          <t>A 40942-2023</t>
        </is>
      </c>
      <c r="B9" s="1" t="n">
        <v>45169</v>
      </c>
      <c r="C9" s="1" t="n">
        <v>46190</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25573-2024</t>
        </is>
      </c>
      <c r="B10" s="1" t="n">
        <v>45463</v>
      </c>
      <c r="C10" s="1" t="n">
        <v>46190</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34040-2024</t>
        </is>
      </c>
      <c r="B11" s="1" t="n">
        <v>45523</v>
      </c>
      <c r="C11" s="1" t="n">
        <v>46190</v>
      </c>
      <c r="D11" t="inlineStr">
        <is>
          <t>VÄSTMANLANDS LÄN</t>
        </is>
      </c>
      <c r="E11" t="inlineStr">
        <is>
          <t>SURAHAMMAR</t>
        </is>
      </c>
      <c r="F11" t="inlineStr">
        <is>
          <t>Övriga Aktiebolag</t>
        </is>
      </c>
      <c r="G11" t="n">
        <v>6.4</v>
      </c>
      <c r="H11" t="n">
        <v>3</v>
      </c>
      <c r="I11" t="n">
        <v>4</v>
      </c>
      <c r="J11" t="n">
        <v>5</v>
      </c>
      <c r="K11" t="n">
        <v>1</v>
      </c>
      <c r="L11" t="n">
        <v>0</v>
      </c>
      <c r="M11" t="n">
        <v>0</v>
      </c>
      <c r="N11" t="n">
        <v>0</v>
      </c>
      <c r="O11" t="n">
        <v>6</v>
      </c>
      <c r="P11" t="n">
        <v>1</v>
      </c>
      <c r="Q11" t="n">
        <v>10</v>
      </c>
      <c r="R11" s="2" t="inlineStr">
        <is>
          <t>Knärot
Gränsticka
Spillkråka
Talltita
Ullticka
Vedtrappmossa
Bronshjon
Grönpyrola
Mindre märgborre
Vedticka</t>
        </is>
      </c>
      <c r="S11">
        <f>HYPERLINK("https://klasma.github.io/Logging_1907/artfynd/A 34040-2024 artfynd.xlsx", "A 34040-2024")</f>
        <v/>
      </c>
      <c r="T11">
        <f>HYPERLINK("https://klasma.github.io/Logging_1907/kartor/A 34040-2024 karta.png", "A 34040-2024")</f>
        <v/>
      </c>
      <c r="U11">
        <f>HYPERLINK("https://klasma.github.io/Logging_1907/knärot/A 34040-2024 karta knärot.png", "A 34040-2024")</f>
        <v/>
      </c>
      <c r="V11">
        <f>HYPERLINK("https://klasma.github.io/Logging_1907/klagomål/A 34040-2024 FSC-klagomål.docx", "A 34040-2024")</f>
        <v/>
      </c>
      <c r="W11">
        <f>HYPERLINK("https://klasma.github.io/Logging_1907/klagomålsmail/A 34040-2024 FSC-klagomål mail.docx", "A 34040-2024")</f>
        <v/>
      </c>
      <c r="X11">
        <f>HYPERLINK("https://klasma.github.io/Logging_1907/tillsyn/A 34040-2024 tillsynsbegäran.docx", "A 34040-2024")</f>
        <v/>
      </c>
      <c r="Y11">
        <f>HYPERLINK("https://klasma.github.io/Logging_1907/tillsynsmail/A 34040-2024 tillsynsbegäran mail.docx", "A 34040-2024")</f>
        <v/>
      </c>
      <c r="Z11">
        <f>HYPERLINK("https://klasma.github.io/Logging_1907/fåglar/A 34040-2024 prioriterade fågelarter.docx", "A 34040-2024")</f>
        <v/>
      </c>
    </row>
    <row r="12" ht="15" customHeight="1">
      <c r="A12" t="inlineStr">
        <is>
          <t>A 20389-2024</t>
        </is>
      </c>
      <c r="B12" s="1" t="n">
        <v>45435</v>
      </c>
      <c r="C12" s="1" t="n">
        <v>46190</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22907-2023</t>
        </is>
      </c>
      <c r="B13" s="1" t="n">
        <v>45070</v>
      </c>
      <c r="C13" s="1" t="n">
        <v>46190</v>
      </c>
      <c r="D13" t="inlineStr">
        <is>
          <t>VÄSTMANLANDS LÄN</t>
        </is>
      </c>
      <c r="E13" t="inlineStr">
        <is>
          <t>SURAHAMMAR</t>
        </is>
      </c>
      <c r="F13" t="inlineStr">
        <is>
          <t>Bergvik skog väst AB</t>
        </is>
      </c>
      <c r="G13" t="n">
        <v>8.300000000000001</v>
      </c>
      <c r="H13" t="n">
        <v>6</v>
      </c>
      <c r="I13" t="n">
        <v>1</v>
      </c>
      <c r="J13" t="n">
        <v>4</v>
      </c>
      <c r="K13" t="n">
        <v>0</v>
      </c>
      <c r="L13" t="n">
        <v>0</v>
      </c>
      <c r="M13" t="n">
        <v>0</v>
      </c>
      <c r="N13" t="n">
        <v>0</v>
      </c>
      <c r="O13" t="n">
        <v>4</v>
      </c>
      <c r="P13" t="n">
        <v>0</v>
      </c>
      <c r="Q13" t="n">
        <v>9</v>
      </c>
      <c r="R13" s="2" t="inlineStr">
        <is>
          <t>Slåtterfibbla
Spillkråka
Svinrot
Talltita
Barkticka
Fläcknycklar
Grönvit nattviol
Mattlummer
Revlummer</t>
        </is>
      </c>
      <c r="S13">
        <f>HYPERLINK("https://klasma.github.io/Logging_1907/artfynd/A 22907-2023 artfynd.xlsx", "A 22907-2023")</f>
        <v/>
      </c>
      <c r="T13">
        <f>HYPERLINK("https://klasma.github.io/Logging_1907/kartor/A 22907-2023 karta.png", "A 22907-2023")</f>
        <v/>
      </c>
      <c r="V13">
        <f>HYPERLINK("https://klasma.github.io/Logging_1907/klagomål/A 22907-2023 FSC-klagomål.docx", "A 22907-2023")</f>
        <v/>
      </c>
      <c r="W13">
        <f>HYPERLINK("https://klasma.github.io/Logging_1907/klagomålsmail/A 22907-2023 FSC-klagomål mail.docx", "A 22907-2023")</f>
        <v/>
      </c>
      <c r="X13">
        <f>HYPERLINK("https://klasma.github.io/Logging_1907/tillsyn/A 22907-2023 tillsynsbegäran.docx", "A 22907-2023")</f>
        <v/>
      </c>
      <c r="Y13">
        <f>HYPERLINK("https://klasma.github.io/Logging_1907/tillsynsmail/A 22907-2023 tillsynsbegäran mail.docx", "A 22907-2023")</f>
        <v/>
      </c>
      <c r="Z13">
        <f>HYPERLINK("https://klasma.github.io/Logging_1907/fåglar/A 22907-2023 prioriterade fågelarter.docx", "A 22907-2023")</f>
        <v/>
      </c>
    </row>
    <row r="14" ht="15" customHeight="1">
      <c r="A14" t="inlineStr">
        <is>
          <t>A 66349-2021</t>
        </is>
      </c>
      <c r="B14" s="1" t="n">
        <v>44518.56545138889</v>
      </c>
      <c r="C14" s="1" t="n">
        <v>46190</v>
      </c>
      <c r="D14" t="inlineStr">
        <is>
          <t>VÄSTMANLANDS LÄN</t>
        </is>
      </c>
      <c r="E14" t="inlineStr">
        <is>
          <t>SURAHAMMAR</t>
        </is>
      </c>
      <c r="F14" t="inlineStr">
        <is>
          <t>Sveaskog</t>
        </is>
      </c>
      <c r="G14" t="n">
        <v>6</v>
      </c>
      <c r="H14" t="n">
        <v>5</v>
      </c>
      <c r="I14" t="n">
        <v>2</v>
      </c>
      <c r="J14" t="n">
        <v>4</v>
      </c>
      <c r="K14" t="n">
        <v>0</v>
      </c>
      <c r="L14" t="n">
        <v>0</v>
      </c>
      <c r="M14" t="n">
        <v>0</v>
      </c>
      <c r="N14" t="n">
        <v>0</v>
      </c>
      <c r="O14" t="n">
        <v>4</v>
      </c>
      <c r="P14" t="n">
        <v>0</v>
      </c>
      <c r="Q14" t="n">
        <v>8</v>
      </c>
      <c r="R14" s="2" t="inlineStr">
        <is>
          <t>Krusfrö
Kråka
Spillkråka
Talltita
Björksplintborre
Bronshjon
Nattskärra
Fläcknycklar</t>
        </is>
      </c>
      <c r="S14">
        <f>HYPERLINK("https://klasma.github.io/Logging_1907/artfynd/A 66349-2021 artfynd.xlsx", "A 66349-2021")</f>
        <v/>
      </c>
      <c r="T14">
        <f>HYPERLINK("https://klasma.github.io/Logging_1907/kartor/A 66349-2021 karta.png", "A 66349-2021")</f>
        <v/>
      </c>
      <c r="V14">
        <f>HYPERLINK("https://klasma.github.io/Logging_1907/klagomål/A 66349-2021 FSC-klagomål.docx", "A 66349-2021")</f>
        <v/>
      </c>
      <c r="W14">
        <f>HYPERLINK("https://klasma.github.io/Logging_1907/klagomålsmail/A 66349-2021 FSC-klagomål mail.docx", "A 66349-2021")</f>
        <v/>
      </c>
      <c r="X14">
        <f>HYPERLINK("https://klasma.github.io/Logging_1907/tillsyn/A 66349-2021 tillsynsbegäran.docx", "A 66349-2021")</f>
        <v/>
      </c>
      <c r="Y14">
        <f>HYPERLINK("https://klasma.github.io/Logging_1907/tillsynsmail/A 66349-2021 tillsynsbegäran mail.docx", "A 66349-2021")</f>
        <v/>
      </c>
      <c r="Z14">
        <f>HYPERLINK("https://klasma.github.io/Logging_1907/fåglar/A 66349-2021 prioriterade fågelarter.docx", "A 66349-2021")</f>
        <v/>
      </c>
    </row>
    <row r="15" ht="15" customHeight="1">
      <c r="A15" t="inlineStr">
        <is>
          <t>A 44798-2024</t>
        </is>
      </c>
      <c r="B15" s="1" t="n">
        <v>45574</v>
      </c>
      <c r="C15" s="1" t="n">
        <v>46190</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56299-2021</t>
        </is>
      </c>
      <c r="B16" s="1" t="n">
        <v>44477</v>
      </c>
      <c r="C16" s="1" t="n">
        <v>46190</v>
      </c>
      <c r="D16" t="inlineStr">
        <is>
          <t>VÄSTMANLANDS LÄN</t>
        </is>
      </c>
      <c r="E16" t="inlineStr">
        <is>
          <t>SURAHAMMAR</t>
        </is>
      </c>
      <c r="F16" t="inlineStr">
        <is>
          <t>Bergvik skog väst AB</t>
        </is>
      </c>
      <c r="G16" t="n">
        <v>8</v>
      </c>
      <c r="H16" t="n">
        <v>1</v>
      </c>
      <c r="I16" t="n">
        <v>4</v>
      </c>
      <c r="J16" t="n">
        <v>2</v>
      </c>
      <c r="K16" t="n">
        <v>0</v>
      </c>
      <c r="L16" t="n">
        <v>0</v>
      </c>
      <c r="M16" t="n">
        <v>0</v>
      </c>
      <c r="N16" t="n">
        <v>0</v>
      </c>
      <c r="O16" t="n">
        <v>2</v>
      </c>
      <c r="P16" t="n">
        <v>0</v>
      </c>
      <c r="Q16" t="n">
        <v>6</v>
      </c>
      <c r="R16" s="2" t="inlineStr">
        <is>
          <t>Större flatbagge
Tretåig hackspett
Björksplintborre
Blodticka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c r="Z16">
        <f>HYPERLINK("https://klasma.github.io/Logging_1907/fåglar/A 56299-2021 prioriterade fågelarter.docx", "A 56299-2021")</f>
        <v/>
      </c>
    </row>
    <row r="17" ht="15" customHeight="1">
      <c r="A17" t="inlineStr">
        <is>
          <t>A 39594-2025</t>
        </is>
      </c>
      <c r="B17" s="1" t="n">
        <v>45890</v>
      </c>
      <c r="C17" s="1" t="n">
        <v>46190</v>
      </c>
      <c r="D17" t="inlineStr">
        <is>
          <t>VÄSTMANLANDS LÄN</t>
        </is>
      </c>
      <c r="E17" t="inlineStr">
        <is>
          <t>SURAHAMMAR</t>
        </is>
      </c>
      <c r="F17" t="inlineStr">
        <is>
          <t>Bergvik skog väst AB</t>
        </is>
      </c>
      <c r="G17" t="n">
        <v>7</v>
      </c>
      <c r="H17" t="n">
        <v>1</v>
      </c>
      <c r="I17" t="n">
        <v>4</v>
      </c>
      <c r="J17" t="n">
        <v>2</v>
      </c>
      <c r="K17" t="n">
        <v>0</v>
      </c>
      <c r="L17" t="n">
        <v>0</v>
      </c>
      <c r="M17" t="n">
        <v>0</v>
      </c>
      <c r="N17" t="n">
        <v>0</v>
      </c>
      <c r="O17" t="n">
        <v>2</v>
      </c>
      <c r="P17" t="n">
        <v>0</v>
      </c>
      <c r="Q17" t="n">
        <v>6</v>
      </c>
      <c r="R17" s="2" t="inlineStr">
        <is>
          <t>Gropticka
Talltita
Bronshjon
Dropptaggsvamp
Gullgröppa
Vedticka</t>
        </is>
      </c>
      <c r="S17">
        <f>HYPERLINK("https://klasma.github.io/Logging_1907/artfynd/A 39594-2025 artfynd.xlsx", "A 39594-2025")</f>
        <v/>
      </c>
      <c r="T17">
        <f>HYPERLINK("https://klasma.github.io/Logging_1907/kartor/A 39594-2025 karta.png", "A 39594-2025")</f>
        <v/>
      </c>
      <c r="V17">
        <f>HYPERLINK("https://klasma.github.io/Logging_1907/klagomål/A 39594-2025 FSC-klagomål.docx", "A 39594-2025")</f>
        <v/>
      </c>
      <c r="W17">
        <f>HYPERLINK("https://klasma.github.io/Logging_1907/klagomålsmail/A 39594-2025 FSC-klagomål mail.docx", "A 39594-2025")</f>
        <v/>
      </c>
      <c r="X17">
        <f>HYPERLINK("https://klasma.github.io/Logging_1907/tillsyn/A 39594-2025 tillsynsbegäran.docx", "A 39594-2025")</f>
        <v/>
      </c>
      <c r="Y17">
        <f>HYPERLINK("https://klasma.github.io/Logging_1907/tillsynsmail/A 39594-2025 tillsynsbegäran mail.docx", "A 39594-2025")</f>
        <v/>
      </c>
      <c r="Z17">
        <f>HYPERLINK("https://klasma.github.io/Logging_1907/fåglar/A 39594-2025 prioriterade fågelarter.docx", "A 39594-2025")</f>
        <v/>
      </c>
    </row>
    <row r="18" ht="15" customHeight="1">
      <c r="A18" t="inlineStr">
        <is>
          <t>A 38172-2024</t>
        </is>
      </c>
      <c r="B18" s="1" t="n">
        <v>45545</v>
      </c>
      <c r="C18" s="1" t="n">
        <v>46190</v>
      </c>
      <c r="D18" t="inlineStr">
        <is>
          <t>VÄSTMANLANDS LÄN</t>
        </is>
      </c>
      <c r="E18" t="inlineStr">
        <is>
          <t>SURAHAMMAR</t>
        </is>
      </c>
      <c r="F18" t="inlineStr">
        <is>
          <t>Sveaskog</t>
        </is>
      </c>
      <c r="G18" t="n">
        <v>5.2</v>
      </c>
      <c r="H18" t="n">
        <v>3</v>
      </c>
      <c r="I18" t="n">
        <v>0</v>
      </c>
      <c r="J18" t="n">
        <v>2</v>
      </c>
      <c r="K18" t="n">
        <v>1</v>
      </c>
      <c r="L18" t="n">
        <v>0</v>
      </c>
      <c r="M18" t="n">
        <v>0</v>
      </c>
      <c r="N18" t="n">
        <v>0</v>
      </c>
      <c r="O18" t="n">
        <v>3</v>
      </c>
      <c r="P18" t="n">
        <v>1</v>
      </c>
      <c r="Q18" t="n">
        <v>5</v>
      </c>
      <c r="R18" s="2" t="inlineStr">
        <is>
          <t>Knärot
Gropticka
Vedtrappmossa
Lopplummer (aggregat)
Revlummer</t>
        </is>
      </c>
      <c r="S18">
        <f>HYPERLINK("https://klasma.github.io/Logging_1907/artfynd/A 38172-2024 artfynd.xlsx", "A 38172-2024")</f>
        <v/>
      </c>
      <c r="T18">
        <f>HYPERLINK("https://klasma.github.io/Logging_1907/kartor/A 38172-2024 karta.png", "A 38172-2024")</f>
        <v/>
      </c>
      <c r="U18">
        <f>HYPERLINK("https://klasma.github.io/Logging_1907/knärot/A 38172-2024 karta knärot.png", "A 38172-2024")</f>
        <v/>
      </c>
      <c r="V18">
        <f>HYPERLINK("https://klasma.github.io/Logging_1907/klagomål/A 38172-2024 FSC-klagomål.docx", "A 38172-2024")</f>
        <v/>
      </c>
      <c r="W18">
        <f>HYPERLINK("https://klasma.github.io/Logging_1907/klagomålsmail/A 38172-2024 FSC-klagomål mail.docx", "A 38172-2024")</f>
        <v/>
      </c>
      <c r="X18">
        <f>HYPERLINK("https://klasma.github.io/Logging_1907/tillsyn/A 38172-2024 tillsynsbegäran.docx", "A 38172-2024")</f>
        <v/>
      </c>
      <c r="Y18">
        <f>HYPERLINK("https://klasma.github.io/Logging_1907/tillsynsmail/A 38172-2024 tillsynsbegäran mail.docx", "A 38172-2024")</f>
        <v/>
      </c>
    </row>
    <row r="19" ht="15" customHeight="1">
      <c r="A19" t="inlineStr">
        <is>
          <t>A 66343-2021</t>
        </is>
      </c>
      <c r="B19" s="1" t="n">
        <v>44518</v>
      </c>
      <c r="C19" s="1" t="n">
        <v>46190</v>
      </c>
      <c r="D19" t="inlineStr">
        <is>
          <t>VÄSTMANLANDS LÄN</t>
        </is>
      </c>
      <c r="E19" t="inlineStr">
        <is>
          <t>SURAHAMMAR</t>
        </is>
      </c>
      <c r="F19" t="inlineStr">
        <is>
          <t>Sveaskog</t>
        </is>
      </c>
      <c r="G19" t="n">
        <v>2.5</v>
      </c>
      <c r="H19" t="n">
        <v>0</v>
      </c>
      <c r="I19" t="n">
        <v>2</v>
      </c>
      <c r="J19" t="n">
        <v>1</v>
      </c>
      <c r="K19" t="n">
        <v>1</v>
      </c>
      <c r="L19" t="n">
        <v>0</v>
      </c>
      <c r="M19" t="n">
        <v>0</v>
      </c>
      <c r="N19" t="n">
        <v>0</v>
      </c>
      <c r="O19" t="n">
        <v>2</v>
      </c>
      <c r="P19" t="n">
        <v>1</v>
      </c>
      <c r="Q19" t="n">
        <v>4</v>
      </c>
      <c r="R19" s="2" t="inlineStr">
        <is>
          <t>Torrmusseron
Motaggsvamp
Blåmossa
Mindre märgborre</t>
        </is>
      </c>
      <c r="S19">
        <f>HYPERLINK("https://klasma.github.io/Logging_1907/artfynd/A 66343-2021 artfynd.xlsx", "A 66343-2021")</f>
        <v/>
      </c>
      <c r="T19">
        <f>HYPERLINK("https://klasma.github.io/Logging_1907/kartor/A 66343-2021 karta.png", "A 66343-2021")</f>
        <v/>
      </c>
      <c r="V19">
        <f>HYPERLINK("https://klasma.github.io/Logging_1907/klagomål/A 66343-2021 FSC-klagomål.docx", "A 66343-2021")</f>
        <v/>
      </c>
      <c r="W19">
        <f>HYPERLINK("https://klasma.github.io/Logging_1907/klagomålsmail/A 66343-2021 FSC-klagomål mail.docx", "A 66343-2021")</f>
        <v/>
      </c>
      <c r="X19">
        <f>HYPERLINK("https://klasma.github.io/Logging_1907/tillsyn/A 66343-2021 tillsynsbegäran.docx", "A 66343-2021")</f>
        <v/>
      </c>
      <c r="Y19">
        <f>HYPERLINK("https://klasma.github.io/Logging_1907/tillsynsmail/A 66343-2021 tillsynsbegäran mail.docx", "A 66343-2021")</f>
        <v/>
      </c>
    </row>
    <row r="20" ht="15" customHeight="1">
      <c r="A20" t="inlineStr">
        <is>
          <t>A 25548-2024</t>
        </is>
      </c>
      <c r="B20" s="1" t="n">
        <v>45463</v>
      </c>
      <c r="C20" s="1" t="n">
        <v>46190</v>
      </c>
      <c r="D20" t="inlineStr">
        <is>
          <t>VÄSTMANLANDS LÄN</t>
        </is>
      </c>
      <c r="E20" t="inlineStr">
        <is>
          <t>SURAHAMMAR</t>
        </is>
      </c>
      <c r="F20" t="inlineStr">
        <is>
          <t>Bergvik skog väst AB</t>
        </is>
      </c>
      <c r="G20" t="n">
        <v>5.1</v>
      </c>
      <c r="H20" t="n">
        <v>3</v>
      </c>
      <c r="I20" t="n">
        <v>1</v>
      </c>
      <c r="J20" t="n">
        <v>0</v>
      </c>
      <c r="K20" t="n">
        <v>1</v>
      </c>
      <c r="L20" t="n">
        <v>0</v>
      </c>
      <c r="M20" t="n">
        <v>0</v>
      </c>
      <c r="N20" t="n">
        <v>0</v>
      </c>
      <c r="O20" t="n">
        <v>1</v>
      </c>
      <c r="P20" t="n">
        <v>1</v>
      </c>
      <c r="Q20" t="n">
        <v>4</v>
      </c>
      <c r="R20" s="2" t="inlineStr">
        <is>
          <t>Knärot
Vedticka
Fläcknycklar
Nattviol</t>
        </is>
      </c>
      <c r="S20">
        <f>HYPERLINK("https://klasma.github.io/Logging_1907/artfynd/A 25548-2024 artfynd.xlsx", "A 25548-2024")</f>
        <v/>
      </c>
      <c r="T20">
        <f>HYPERLINK("https://klasma.github.io/Logging_1907/kartor/A 25548-2024 karta.png", "A 25548-2024")</f>
        <v/>
      </c>
      <c r="U20">
        <f>HYPERLINK("https://klasma.github.io/Logging_1907/knärot/A 25548-2024 karta knärot.png", "A 25548-2024")</f>
        <v/>
      </c>
      <c r="V20">
        <f>HYPERLINK("https://klasma.github.io/Logging_1907/klagomål/A 25548-2024 FSC-klagomål.docx", "A 25548-2024")</f>
        <v/>
      </c>
      <c r="W20">
        <f>HYPERLINK("https://klasma.github.io/Logging_1907/klagomålsmail/A 25548-2024 FSC-klagomål mail.docx", "A 25548-2024")</f>
        <v/>
      </c>
      <c r="X20">
        <f>HYPERLINK("https://klasma.github.io/Logging_1907/tillsyn/A 25548-2024 tillsynsbegäran.docx", "A 25548-2024")</f>
        <v/>
      </c>
      <c r="Y20">
        <f>HYPERLINK("https://klasma.github.io/Logging_1907/tillsynsmail/A 25548-2024 tillsynsbegäran mail.docx", "A 25548-2024")</f>
        <v/>
      </c>
    </row>
    <row r="21" ht="15" customHeight="1">
      <c r="A21" t="inlineStr">
        <is>
          <t>A 48891-2023</t>
        </is>
      </c>
      <c r="B21" s="1" t="n">
        <v>45203</v>
      </c>
      <c r="C21" s="1" t="n">
        <v>46190</v>
      </c>
      <c r="D21" t="inlineStr">
        <is>
          <t>VÄSTMANLANDS LÄN</t>
        </is>
      </c>
      <c r="E21" t="inlineStr">
        <is>
          <t>SURAHAMMAR</t>
        </is>
      </c>
      <c r="F21" t="inlineStr">
        <is>
          <t>Bergvik skog väst AB</t>
        </is>
      </c>
      <c r="G21" t="n">
        <v>2.9</v>
      </c>
      <c r="H21" t="n">
        <v>3</v>
      </c>
      <c r="I21" t="n">
        <v>1</v>
      </c>
      <c r="J21" t="n">
        <v>1</v>
      </c>
      <c r="K21" t="n">
        <v>1</v>
      </c>
      <c r="L21" t="n">
        <v>0</v>
      </c>
      <c r="M21" t="n">
        <v>0</v>
      </c>
      <c r="N21" t="n">
        <v>0</v>
      </c>
      <c r="O21" t="n">
        <v>2</v>
      </c>
      <c r="P21" t="n">
        <v>1</v>
      </c>
      <c r="Q21" t="n">
        <v>4</v>
      </c>
      <c r="R21" s="2" t="inlineStr">
        <is>
          <t>Knärot
Spillkråka
Flagellkvastmossa
Gröngöling</t>
        </is>
      </c>
      <c r="S21">
        <f>HYPERLINK("https://klasma.github.io/Logging_1907/artfynd/A 48891-2023 artfynd.xlsx", "A 48891-2023")</f>
        <v/>
      </c>
      <c r="T21">
        <f>HYPERLINK("https://klasma.github.io/Logging_1907/kartor/A 48891-2023 karta.png", "A 48891-2023")</f>
        <v/>
      </c>
      <c r="U21">
        <f>HYPERLINK("https://klasma.github.io/Logging_1907/knärot/A 48891-2023 karta knärot.png", "A 48891-2023")</f>
        <v/>
      </c>
      <c r="V21">
        <f>HYPERLINK("https://klasma.github.io/Logging_1907/klagomål/A 48891-2023 FSC-klagomål.docx", "A 48891-2023")</f>
        <v/>
      </c>
      <c r="W21">
        <f>HYPERLINK("https://klasma.github.io/Logging_1907/klagomålsmail/A 48891-2023 FSC-klagomål mail.docx", "A 48891-2023")</f>
        <v/>
      </c>
      <c r="X21">
        <f>HYPERLINK("https://klasma.github.io/Logging_1907/tillsyn/A 48891-2023 tillsynsbegäran.docx", "A 48891-2023")</f>
        <v/>
      </c>
      <c r="Y21">
        <f>HYPERLINK("https://klasma.github.io/Logging_1907/tillsynsmail/A 48891-2023 tillsynsbegäran mail.docx", "A 48891-2023")</f>
        <v/>
      </c>
      <c r="Z21">
        <f>HYPERLINK("https://klasma.github.io/Logging_1907/fåglar/A 48891-2023 prioriterade fågelarter.docx", "A 48891-2023")</f>
        <v/>
      </c>
    </row>
    <row r="22" ht="15" customHeight="1">
      <c r="A22" t="inlineStr">
        <is>
          <t>A 42853-2022</t>
        </is>
      </c>
      <c r="B22" s="1" t="n">
        <v>44832</v>
      </c>
      <c r="C22" s="1" t="n">
        <v>46190</v>
      </c>
      <c r="D22" t="inlineStr">
        <is>
          <t>VÄSTMANLANDS LÄN</t>
        </is>
      </c>
      <c r="E22" t="inlineStr">
        <is>
          <t>SURAHAMMAR</t>
        </is>
      </c>
      <c r="G22" t="n">
        <v>7.4</v>
      </c>
      <c r="H22" t="n">
        <v>2</v>
      </c>
      <c r="I22" t="n">
        <v>1</v>
      </c>
      <c r="J22" t="n">
        <v>2</v>
      </c>
      <c r="K22" t="n">
        <v>0</v>
      </c>
      <c r="L22" t="n">
        <v>1</v>
      </c>
      <c r="M22" t="n">
        <v>0</v>
      </c>
      <c r="N22" t="n">
        <v>0</v>
      </c>
      <c r="O22" t="n">
        <v>3</v>
      </c>
      <c r="P22" t="n">
        <v>1</v>
      </c>
      <c r="Q22" t="n">
        <v>4</v>
      </c>
      <c r="R22" s="2" t="inlineStr">
        <is>
          <t>Ask
Kandelabersvamp
Mindre hackspett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c r="Z22">
        <f>HYPERLINK("https://klasma.github.io/Logging_1907/fåglar/A 42853-2022 prioriterade fågelarter.docx", "A 42853-2022")</f>
        <v/>
      </c>
    </row>
    <row r="23" ht="15" customHeight="1">
      <c r="A23" t="inlineStr">
        <is>
          <t>A 10236-2026</t>
        </is>
      </c>
      <c r="B23" s="1" t="n">
        <v>46076.54277777778</v>
      </c>
      <c r="C23" s="1" t="n">
        <v>46190</v>
      </c>
      <c r="D23" t="inlineStr">
        <is>
          <t>VÄSTMANLANDS LÄN</t>
        </is>
      </c>
      <c r="E23" t="inlineStr">
        <is>
          <t>SURAHAMMAR</t>
        </is>
      </c>
      <c r="F23" t="inlineStr">
        <is>
          <t>Allmännings- och besparingsskogar</t>
        </is>
      </c>
      <c r="G23" t="n">
        <v>2.8</v>
      </c>
      <c r="H23" t="n">
        <v>2</v>
      </c>
      <c r="I23" t="n">
        <v>1</v>
      </c>
      <c r="J23" t="n">
        <v>0</v>
      </c>
      <c r="K23" t="n">
        <v>1</v>
      </c>
      <c r="L23" t="n">
        <v>0</v>
      </c>
      <c r="M23" t="n">
        <v>0</v>
      </c>
      <c r="N23" t="n">
        <v>0</v>
      </c>
      <c r="O23" t="n">
        <v>1</v>
      </c>
      <c r="P23" t="n">
        <v>1</v>
      </c>
      <c r="Q23" t="n">
        <v>4</v>
      </c>
      <c r="R23" s="2" t="inlineStr">
        <is>
          <t>Vågticka
Brandticka
Lopplummer (aggregat)
Revlummer</t>
        </is>
      </c>
      <c r="S23">
        <f>HYPERLINK("https://klasma.github.io/Logging_1907/artfynd/A 10236-2026 artfynd.xlsx", "A 10236-2026")</f>
        <v/>
      </c>
      <c r="T23">
        <f>HYPERLINK("https://klasma.github.io/Logging_1907/kartor/A 10236-2026 karta.png", "A 10236-2026")</f>
        <v/>
      </c>
      <c r="V23">
        <f>HYPERLINK("https://klasma.github.io/Logging_1907/klagomål/A 10236-2026 FSC-klagomål.docx", "A 10236-2026")</f>
        <v/>
      </c>
      <c r="W23">
        <f>HYPERLINK("https://klasma.github.io/Logging_1907/klagomålsmail/A 10236-2026 FSC-klagomål mail.docx", "A 10236-2026")</f>
        <v/>
      </c>
      <c r="X23">
        <f>HYPERLINK("https://klasma.github.io/Logging_1907/tillsyn/A 10236-2026 tillsynsbegäran.docx", "A 10236-2026")</f>
        <v/>
      </c>
      <c r="Y23">
        <f>HYPERLINK("https://klasma.github.io/Logging_1907/tillsynsmail/A 10236-2026 tillsynsbegäran mail.docx", "A 10236-2026")</f>
        <v/>
      </c>
    </row>
    <row r="24" ht="15" customHeight="1">
      <c r="A24" t="inlineStr">
        <is>
          <t>A 21716-2025</t>
        </is>
      </c>
      <c r="B24" s="1" t="n">
        <v>45783.54804398148</v>
      </c>
      <c r="C24" s="1" t="n">
        <v>46190</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49718-2023</t>
        </is>
      </c>
      <c r="B25" s="1" t="n">
        <v>45212</v>
      </c>
      <c r="C25" s="1" t="n">
        <v>46190</v>
      </c>
      <c r="D25" t="inlineStr">
        <is>
          <t>VÄSTMANLANDS LÄN</t>
        </is>
      </c>
      <c r="E25" t="inlineStr">
        <is>
          <t>SURAHAMMAR</t>
        </is>
      </c>
      <c r="G25" t="n">
        <v>3.4</v>
      </c>
      <c r="H25" t="n">
        <v>1</v>
      </c>
      <c r="I25" t="n">
        <v>1</v>
      </c>
      <c r="J25" t="n">
        <v>2</v>
      </c>
      <c r="K25" t="n">
        <v>0</v>
      </c>
      <c r="L25" t="n">
        <v>0</v>
      </c>
      <c r="M25" t="n">
        <v>0</v>
      </c>
      <c r="N25" t="n">
        <v>0</v>
      </c>
      <c r="O25" t="n">
        <v>2</v>
      </c>
      <c r="P25" t="n">
        <v>0</v>
      </c>
      <c r="Q25" t="n">
        <v>3</v>
      </c>
      <c r="R25" s="2" t="inlineStr">
        <is>
          <t>Motaggsvamp
Talltita
Zontaggsvamp</t>
        </is>
      </c>
      <c r="S25">
        <f>HYPERLINK("https://klasma.github.io/Logging_1907/artfynd/A 49718-2023 artfynd.xlsx", "A 49718-2023")</f>
        <v/>
      </c>
      <c r="T25">
        <f>HYPERLINK("https://klasma.github.io/Logging_1907/kartor/A 49718-2023 karta.png", "A 49718-2023")</f>
        <v/>
      </c>
      <c r="V25">
        <f>HYPERLINK("https://klasma.github.io/Logging_1907/klagomål/A 49718-2023 FSC-klagomål.docx", "A 49718-2023")</f>
        <v/>
      </c>
      <c r="W25">
        <f>HYPERLINK("https://klasma.github.io/Logging_1907/klagomålsmail/A 49718-2023 FSC-klagomål mail.docx", "A 49718-2023")</f>
        <v/>
      </c>
      <c r="X25">
        <f>HYPERLINK("https://klasma.github.io/Logging_1907/tillsyn/A 49718-2023 tillsynsbegäran.docx", "A 49718-2023")</f>
        <v/>
      </c>
      <c r="Y25">
        <f>HYPERLINK("https://klasma.github.io/Logging_1907/tillsynsmail/A 49718-2023 tillsynsbegäran mail.docx", "A 49718-2023")</f>
        <v/>
      </c>
      <c r="Z25">
        <f>HYPERLINK("https://klasma.github.io/Logging_1907/fåglar/A 49718-2023 prioriterade fågelarter.docx", "A 49718-2023")</f>
        <v/>
      </c>
    </row>
    <row r="26" ht="15" customHeight="1">
      <c r="A26" t="inlineStr">
        <is>
          <t>A 48128-2023</t>
        </is>
      </c>
      <c r="B26" s="1" t="n">
        <v>45205</v>
      </c>
      <c r="C26" s="1" t="n">
        <v>46190</v>
      </c>
      <c r="D26" t="inlineStr">
        <is>
          <t>VÄSTMANLANDS LÄN</t>
        </is>
      </c>
      <c r="E26" t="inlineStr">
        <is>
          <t>SURAHAMMAR</t>
        </is>
      </c>
      <c r="F26" t="inlineStr">
        <is>
          <t>Allmännings- och besparingsskogar</t>
        </is>
      </c>
      <c r="G26" t="n">
        <v>11.8</v>
      </c>
      <c r="H26" t="n">
        <v>0</v>
      </c>
      <c r="I26" t="n">
        <v>2</v>
      </c>
      <c r="J26" t="n">
        <v>1</v>
      </c>
      <c r="K26" t="n">
        <v>0</v>
      </c>
      <c r="L26" t="n">
        <v>0</v>
      </c>
      <c r="M26" t="n">
        <v>0</v>
      </c>
      <c r="N26" t="n">
        <v>0</v>
      </c>
      <c r="O26" t="n">
        <v>1</v>
      </c>
      <c r="P26" t="n">
        <v>0</v>
      </c>
      <c r="Q26" t="n">
        <v>3</v>
      </c>
      <c r="R26" s="2" t="inlineStr">
        <is>
          <t>Svinrot
Blodticka
Vedticka</t>
        </is>
      </c>
      <c r="S26">
        <f>HYPERLINK("https://klasma.github.io/Logging_1907/artfynd/A 48128-2023 artfynd.xlsx", "A 48128-2023")</f>
        <v/>
      </c>
      <c r="T26">
        <f>HYPERLINK("https://klasma.github.io/Logging_1907/kartor/A 48128-2023 karta.png", "A 48128-2023")</f>
        <v/>
      </c>
      <c r="V26">
        <f>HYPERLINK("https://klasma.github.io/Logging_1907/klagomål/A 48128-2023 FSC-klagomål.docx", "A 48128-2023")</f>
        <v/>
      </c>
      <c r="W26">
        <f>HYPERLINK("https://klasma.github.io/Logging_1907/klagomålsmail/A 48128-2023 FSC-klagomål mail.docx", "A 48128-2023")</f>
        <v/>
      </c>
      <c r="X26">
        <f>HYPERLINK("https://klasma.github.io/Logging_1907/tillsyn/A 48128-2023 tillsynsbegäran.docx", "A 48128-2023")</f>
        <v/>
      </c>
      <c r="Y26">
        <f>HYPERLINK("https://klasma.github.io/Logging_1907/tillsynsmail/A 48128-2023 tillsynsbegäran mail.docx", "A 48128-2023")</f>
        <v/>
      </c>
    </row>
    <row r="27" ht="15" customHeight="1">
      <c r="A27" t="inlineStr">
        <is>
          <t>A 42860-2022</t>
        </is>
      </c>
      <c r="B27" s="1" t="n">
        <v>44832</v>
      </c>
      <c r="C27" s="1" t="n">
        <v>46190</v>
      </c>
      <c r="D27" t="inlineStr">
        <is>
          <t>VÄSTMANLANDS LÄN</t>
        </is>
      </c>
      <c r="E27" t="inlineStr">
        <is>
          <t>SURAHAMMAR</t>
        </is>
      </c>
      <c r="G27" t="n">
        <v>0.9</v>
      </c>
      <c r="H27" t="n">
        <v>0</v>
      </c>
      <c r="I27" t="n">
        <v>1</v>
      </c>
      <c r="J27" t="n">
        <v>0</v>
      </c>
      <c r="K27" t="n">
        <v>0</v>
      </c>
      <c r="L27" t="n">
        <v>1</v>
      </c>
      <c r="M27" t="n">
        <v>1</v>
      </c>
      <c r="N27" t="n">
        <v>0</v>
      </c>
      <c r="O27" t="n">
        <v>2</v>
      </c>
      <c r="P27" t="n">
        <v>2</v>
      </c>
      <c r="Q27" t="n">
        <v>3</v>
      </c>
      <c r="R27" s="2" t="inlineStr">
        <is>
          <t>Skogsalm
Ask
Scharlakansvårskål agg.</t>
        </is>
      </c>
      <c r="S27">
        <f>HYPERLINK("https://klasma.github.io/Logging_1907/artfynd/A 42860-2022 artfynd.xlsx", "A 42860-2022")</f>
        <v/>
      </c>
      <c r="T27">
        <f>HYPERLINK("https://klasma.github.io/Logging_1907/kartor/A 42860-2022 karta.png", "A 42860-2022")</f>
        <v/>
      </c>
      <c r="V27">
        <f>HYPERLINK("https://klasma.github.io/Logging_1907/klagomål/A 42860-2022 FSC-klagomål.docx", "A 42860-2022")</f>
        <v/>
      </c>
      <c r="W27">
        <f>HYPERLINK("https://klasma.github.io/Logging_1907/klagomålsmail/A 42860-2022 FSC-klagomål mail.docx", "A 42860-2022")</f>
        <v/>
      </c>
      <c r="X27">
        <f>HYPERLINK("https://klasma.github.io/Logging_1907/tillsyn/A 42860-2022 tillsynsbegäran.docx", "A 42860-2022")</f>
        <v/>
      </c>
      <c r="Y27">
        <f>HYPERLINK("https://klasma.github.io/Logging_1907/tillsynsmail/A 42860-2022 tillsynsbegäran mail.docx", "A 42860-2022")</f>
        <v/>
      </c>
    </row>
    <row r="28" ht="15" customHeight="1">
      <c r="A28" t="inlineStr">
        <is>
          <t>A 42708-2022</t>
        </is>
      </c>
      <c r="B28" s="1" t="n">
        <v>44832</v>
      </c>
      <c r="C28" s="1" t="n">
        <v>46190</v>
      </c>
      <c r="D28" t="inlineStr">
        <is>
          <t>VÄSTMANLANDS LÄN</t>
        </is>
      </c>
      <c r="E28" t="inlineStr">
        <is>
          <t>SURAHAMMAR</t>
        </is>
      </c>
      <c r="G28" t="n">
        <v>27.2</v>
      </c>
      <c r="H28" t="n">
        <v>3</v>
      </c>
      <c r="I28" t="n">
        <v>0</v>
      </c>
      <c r="J28" t="n">
        <v>2</v>
      </c>
      <c r="K28" t="n">
        <v>0</v>
      </c>
      <c r="L28" t="n">
        <v>0</v>
      </c>
      <c r="M28" t="n">
        <v>0</v>
      </c>
      <c r="N28" t="n">
        <v>0</v>
      </c>
      <c r="O28" t="n">
        <v>2</v>
      </c>
      <c r="P28" t="n">
        <v>0</v>
      </c>
      <c r="Q28" t="n">
        <v>3</v>
      </c>
      <c r="R28" s="2" t="inlineStr">
        <is>
          <t>Entita
Spillkråka
Blåsippa</t>
        </is>
      </c>
      <c r="S28">
        <f>HYPERLINK("https://klasma.github.io/Logging_1907/artfynd/A 42708-2022 artfynd.xlsx", "A 42708-2022")</f>
        <v/>
      </c>
      <c r="T28">
        <f>HYPERLINK("https://klasma.github.io/Logging_1907/kartor/A 42708-2022 karta.png", "A 42708-2022")</f>
        <v/>
      </c>
      <c r="V28">
        <f>HYPERLINK("https://klasma.github.io/Logging_1907/klagomål/A 42708-2022 FSC-klagomål.docx", "A 42708-2022")</f>
        <v/>
      </c>
      <c r="W28">
        <f>HYPERLINK("https://klasma.github.io/Logging_1907/klagomålsmail/A 42708-2022 FSC-klagomål mail.docx", "A 42708-2022")</f>
        <v/>
      </c>
      <c r="X28">
        <f>HYPERLINK("https://klasma.github.io/Logging_1907/tillsyn/A 42708-2022 tillsynsbegäran.docx", "A 42708-2022")</f>
        <v/>
      </c>
      <c r="Y28">
        <f>HYPERLINK("https://klasma.github.io/Logging_1907/tillsynsmail/A 42708-2022 tillsynsbegäran mail.docx", "A 42708-2022")</f>
        <v/>
      </c>
      <c r="Z28">
        <f>HYPERLINK("https://klasma.github.io/Logging_1907/fåglar/A 42708-2022 prioriterade fågelarter.docx", "A 42708-2022")</f>
        <v/>
      </c>
    </row>
    <row r="29" ht="15" customHeight="1">
      <c r="A29" t="inlineStr">
        <is>
          <t>A 39694-2025</t>
        </is>
      </c>
      <c r="B29" s="1" t="n">
        <v>45890</v>
      </c>
      <c r="C29" s="1" t="n">
        <v>46190</v>
      </c>
      <c r="D29" t="inlineStr">
        <is>
          <t>VÄSTMANLANDS LÄN</t>
        </is>
      </c>
      <c r="E29" t="inlineStr">
        <is>
          <t>SURAHAMMAR</t>
        </is>
      </c>
      <c r="F29" t="inlineStr">
        <is>
          <t>Bergvik skog väst AB</t>
        </is>
      </c>
      <c r="G29" t="n">
        <v>2.9</v>
      </c>
      <c r="H29" t="n">
        <v>1</v>
      </c>
      <c r="I29" t="n">
        <v>1</v>
      </c>
      <c r="J29" t="n">
        <v>1</v>
      </c>
      <c r="K29" t="n">
        <v>0</v>
      </c>
      <c r="L29" t="n">
        <v>0</v>
      </c>
      <c r="M29" t="n">
        <v>0</v>
      </c>
      <c r="N29" t="n">
        <v>0</v>
      </c>
      <c r="O29" t="n">
        <v>1</v>
      </c>
      <c r="P29" t="n">
        <v>0</v>
      </c>
      <c r="Q29" t="n">
        <v>3</v>
      </c>
      <c r="R29" s="2" t="inlineStr">
        <is>
          <t>Motaggsvamp
Mindre märgborre
Tjäder</t>
        </is>
      </c>
      <c r="S29">
        <f>HYPERLINK("https://klasma.github.io/Logging_1907/artfynd/A 39694-2025 artfynd.xlsx", "A 39694-2025")</f>
        <v/>
      </c>
      <c r="T29">
        <f>HYPERLINK("https://klasma.github.io/Logging_1907/kartor/A 39694-2025 karta.png", "A 39694-2025")</f>
        <v/>
      </c>
      <c r="V29">
        <f>HYPERLINK("https://klasma.github.io/Logging_1907/klagomål/A 39694-2025 FSC-klagomål.docx", "A 39694-2025")</f>
        <v/>
      </c>
      <c r="W29">
        <f>HYPERLINK("https://klasma.github.io/Logging_1907/klagomålsmail/A 39694-2025 FSC-klagomål mail.docx", "A 39694-2025")</f>
        <v/>
      </c>
      <c r="X29">
        <f>HYPERLINK("https://klasma.github.io/Logging_1907/tillsyn/A 39694-2025 tillsynsbegäran.docx", "A 39694-2025")</f>
        <v/>
      </c>
      <c r="Y29">
        <f>HYPERLINK("https://klasma.github.io/Logging_1907/tillsynsmail/A 39694-2025 tillsynsbegäran mail.docx", "A 39694-2025")</f>
        <v/>
      </c>
      <c r="Z29">
        <f>HYPERLINK("https://klasma.github.io/Logging_1907/fåglar/A 39694-2025 prioriterade fågelarter.docx", "A 39694-2025")</f>
        <v/>
      </c>
    </row>
    <row r="30" ht="15" customHeight="1">
      <c r="A30" t="inlineStr">
        <is>
          <t>A 29707-2025</t>
        </is>
      </c>
      <c r="B30" s="1" t="n">
        <v>45825.56100694444</v>
      </c>
      <c r="C30" s="1" t="n">
        <v>46190</v>
      </c>
      <c r="D30" t="inlineStr">
        <is>
          <t>VÄSTMANLANDS LÄN</t>
        </is>
      </c>
      <c r="E30" t="inlineStr">
        <is>
          <t>SURAHAMMAR</t>
        </is>
      </c>
      <c r="F30" t="inlineStr">
        <is>
          <t>Bergvik skog väst AB</t>
        </is>
      </c>
      <c r="G30" t="n">
        <v>5.1</v>
      </c>
      <c r="H30" t="n">
        <v>0</v>
      </c>
      <c r="I30" t="n">
        <v>1</v>
      </c>
      <c r="J30" t="n">
        <v>1</v>
      </c>
      <c r="K30" t="n">
        <v>0</v>
      </c>
      <c r="L30" t="n">
        <v>0</v>
      </c>
      <c r="M30" t="n">
        <v>1</v>
      </c>
      <c r="N30" t="n">
        <v>0</v>
      </c>
      <c r="O30" t="n">
        <v>2</v>
      </c>
      <c r="P30" t="n">
        <v>1</v>
      </c>
      <c r="Q30" t="n">
        <v>3</v>
      </c>
      <c r="R30" s="2" t="inlineStr">
        <is>
          <t>Skogsalm
Veckticka
Rävticka</t>
        </is>
      </c>
      <c r="S30">
        <f>HYPERLINK("https://klasma.github.io/Logging_1907/artfynd/A 29707-2025 artfynd.xlsx", "A 29707-2025")</f>
        <v/>
      </c>
      <c r="T30">
        <f>HYPERLINK("https://klasma.github.io/Logging_1907/kartor/A 29707-2025 karta.png", "A 29707-2025")</f>
        <v/>
      </c>
      <c r="V30">
        <f>HYPERLINK("https://klasma.github.io/Logging_1907/klagomål/A 29707-2025 FSC-klagomål.docx", "A 29707-2025")</f>
        <v/>
      </c>
      <c r="W30">
        <f>HYPERLINK("https://klasma.github.io/Logging_1907/klagomålsmail/A 29707-2025 FSC-klagomål mail.docx", "A 29707-2025")</f>
        <v/>
      </c>
      <c r="X30">
        <f>HYPERLINK("https://klasma.github.io/Logging_1907/tillsyn/A 29707-2025 tillsynsbegäran.docx", "A 29707-2025")</f>
        <v/>
      </c>
      <c r="Y30">
        <f>HYPERLINK("https://klasma.github.io/Logging_1907/tillsynsmail/A 29707-2025 tillsynsbegäran mail.docx", "A 29707-2025")</f>
        <v/>
      </c>
    </row>
    <row r="31" ht="15" customHeight="1">
      <c r="A31" t="inlineStr">
        <is>
          <t>A 20391-2024</t>
        </is>
      </c>
      <c r="B31" s="1" t="n">
        <v>45435</v>
      </c>
      <c r="C31" s="1" t="n">
        <v>46190</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38200-2021</t>
        </is>
      </c>
      <c r="B32" s="1" t="n">
        <v>44405</v>
      </c>
      <c r="C32" s="1" t="n">
        <v>46190</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4082-2025</t>
        </is>
      </c>
      <c r="B33" s="1" t="n">
        <v>45684</v>
      </c>
      <c r="C33" s="1" t="n">
        <v>46190</v>
      </c>
      <c r="D33" t="inlineStr">
        <is>
          <t>VÄSTMANLANDS LÄN</t>
        </is>
      </c>
      <c r="E33" t="inlineStr">
        <is>
          <t>SURAHAMMAR</t>
        </is>
      </c>
      <c r="F33" t="inlineStr">
        <is>
          <t>Bergvik skog väst AB</t>
        </is>
      </c>
      <c r="G33" t="n">
        <v>11.6</v>
      </c>
      <c r="H33" t="n">
        <v>2</v>
      </c>
      <c r="I33" t="n">
        <v>2</v>
      </c>
      <c r="J33" t="n">
        <v>0</v>
      </c>
      <c r="K33" t="n">
        <v>0</v>
      </c>
      <c r="L33" t="n">
        <v>0</v>
      </c>
      <c r="M33" t="n">
        <v>0</v>
      </c>
      <c r="N33" t="n">
        <v>0</v>
      </c>
      <c r="O33" t="n">
        <v>0</v>
      </c>
      <c r="P33" t="n">
        <v>0</v>
      </c>
      <c r="Q33" t="n">
        <v>3</v>
      </c>
      <c r="R33" s="2" t="inlineStr">
        <is>
          <t>Grönpyrola
Plattlummer
Lopplummer (aggregat)</t>
        </is>
      </c>
      <c r="S33">
        <f>HYPERLINK("https://klasma.github.io/Logging_1907/artfynd/A 4082-2025 artfynd.xlsx", "A 4082-2025")</f>
        <v/>
      </c>
      <c r="T33">
        <f>HYPERLINK("https://klasma.github.io/Logging_1907/kartor/A 4082-2025 karta.png", "A 4082-2025")</f>
        <v/>
      </c>
      <c r="V33">
        <f>HYPERLINK("https://klasma.github.io/Logging_1907/klagomål/A 4082-2025 FSC-klagomål.docx", "A 4082-2025")</f>
        <v/>
      </c>
      <c r="W33">
        <f>HYPERLINK("https://klasma.github.io/Logging_1907/klagomålsmail/A 4082-2025 FSC-klagomål mail.docx", "A 4082-2025")</f>
        <v/>
      </c>
      <c r="X33">
        <f>HYPERLINK("https://klasma.github.io/Logging_1907/tillsyn/A 4082-2025 tillsynsbegäran.docx", "A 4082-2025")</f>
        <v/>
      </c>
      <c r="Y33">
        <f>HYPERLINK("https://klasma.github.io/Logging_1907/tillsynsmail/A 4082-2025 tillsynsbegäran mail.docx", "A 4082-2025")</f>
        <v/>
      </c>
    </row>
    <row r="34" ht="15" customHeight="1">
      <c r="A34" t="inlineStr">
        <is>
          <t>A 37801-2021</t>
        </is>
      </c>
      <c r="B34" s="1" t="n">
        <v>44402</v>
      </c>
      <c r="C34" s="1" t="n">
        <v>46190</v>
      </c>
      <c r="D34" t="inlineStr">
        <is>
          <t>VÄSTMANLANDS LÄN</t>
        </is>
      </c>
      <c r="E34" t="inlineStr">
        <is>
          <t>SURAHAMMAR</t>
        </is>
      </c>
      <c r="F34" t="inlineStr">
        <is>
          <t>Kommuner</t>
        </is>
      </c>
      <c r="G34" t="n">
        <v>2.3</v>
      </c>
      <c r="H34" t="n">
        <v>1</v>
      </c>
      <c r="I34" t="n">
        <v>0</v>
      </c>
      <c r="J34" t="n">
        <v>1</v>
      </c>
      <c r="K34" t="n">
        <v>0</v>
      </c>
      <c r="L34" t="n">
        <v>0</v>
      </c>
      <c r="M34" t="n">
        <v>0</v>
      </c>
      <c r="N34" t="n">
        <v>0</v>
      </c>
      <c r="O34" t="n">
        <v>1</v>
      </c>
      <c r="P34" t="n">
        <v>0</v>
      </c>
      <c r="Q34" t="n">
        <v>2</v>
      </c>
      <c r="R34" s="2" t="inlineStr">
        <is>
          <t>Veckticka
Nattviol</t>
        </is>
      </c>
      <c r="S34">
        <f>HYPERLINK("https://klasma.github.io/Logging_1907/artfynd/A 37801-2021 artfynd.xlsx", "A 37801-2021")</f>
        <v/>
      </c>
      <c r="T34">
        <f>HYPERLINK("https://klasma.github.io/Logging_1907/kartor/A 37801-2021 karta.png", "A 37801-2021")</f>
        <v/>
      </c>
      <c r="V34">
        <f>HYPERLINK("https://klasma.github.io/Logging_1907/klagomål/A 37801-2021 FSC-klagomål.docx", "A 37801-2021")</f>
        <v/>
      </c>
      <c r="W34">
        <f>HYPERLINK("https://klasma.github.io/Logging_1907/klagomålsmail/A 37801-2021 FSC-klagomål mail.docx", "A 37801-2021")</f>
        <v/>
      </c>
      <c r="X34">
        <f>HYPERLINK("https://klasma.github.io/Logging_1907/tillsyn/A 37801-2021 tillsynsbegäran.docx", "A 37801-2021")</f>
        <v/>
      </c>
      <c r="Y34">
        <f>HYPERLINK("https://klasma.github.io/Logging_1907/tillsynsmail/A 37801-2021 tillsynsbegäran mail.docx", "A 37801-2021")</f>
        <v/>
      </c>
    </row>
    <row r="35" ht="15" customHeight="1">
      <c r="A35" t="inlineStr">
        <is>
          <t>A 66350-2021</t>
        </is>
      </c>
      <c r="B35" s="1" t="n">
        <v>44518</v>
      </c>
      <c r="C35" s="1" t="n">
        <v>46190</v>
      </c>
      <c r="D35" t="inlineStr">
        <is>
          <t>VÄSTMANLANDS LÄN</t>
        </is>
      </c>
      <c r="E35" t="inlineStr">
        <is>
          <t>SURAHAMMAR</t>
        </is>
      </c>
      <c r="F35" t="inlineStr">
        <is>
          <t>Sveaskog</t>
        </is>
      </c>
      <c r="G35" t="n">
        <v>3.5</v>
      </c>
      <c r="H35" t="n">
        <v>2</v>
      </c>
      <c r="I35" t="n">
        <v>0</v>
      </c>
      <c r="J35" t="n">
        <v>0</v>
      </c>
      <c r="K35" t="n">
        <v>0</v>
      </c>
      <c r="L35" t="n">
        <v>0</v>
      </c>
      <c r="M35" t="n">
        <v>0</v>
      </c>
      <c r="N35" t="n">
        <v>0</v>
      </c>
      <c r="O35" t="n">
        <v>0</v>
      </c>
      <c r="P35" t="n">
        <v>0</v>
      </c>
      <c r="Q35" t="n">
        <v>2</v>
      </c>
      <c r="R35" s="2" t="inlineStr">
        <is>
          <t>Järnsparv
Skogsduva</t>
        </is>
      </c>
      <c r="S35">
        <f>HYPERLINK("https://klasma.github.io/Logging_1907/artfynd/A 66350-2021 artfynd.xlsx", "A 66350-2021")</f>
        <v/>
      </c>
      <c r="T35">
        <f>HYPERLINK("https://klasma.github.io/Logging_1907/kartor/A 66350-2021 karta.png", "A 66350-2021")</f>
        <v/>
      </c>
      <c r="V35">
        <f>HYPERLINK("https://klasma.github.io/Logging_1907/klagomål/A 66350-2021 FSC-klagomål.docx", "A 66350-2021")</f>
        <v/>
      </c>
      <c r="W35">
        <f>HYPERLINK("https://klasma.github.io/Logging_1907/klagomålsmail/A 66350-2021 FSC-klagomål mail.docx", "A 66350-2021")</f>
        <v/>
      </c>
      <c r="X35">
        <f>HYPERLINK("https://klasma.github.io/Logging_1907/tillsyn/A 66350-2021 tillsynsbegäran.docx", "A 66350-2021")</f>
        <v/>
      </c>
      <c r="Y35">
        <f>HYPERLINK("https://klasma.github.io/Logging_1907/tillsynsmail/A 66350-2021 tillsynsbegäran mail.docx", "A 66350-2021")</f>
        <v/>
      </c>
      <c r="Z35">
        <f>HYPERLINK("https://klasma.github.io/Logging_1907/fåglar/A 66350-2021 prioriterade fågelarter.docx", "A 66350-2021")</f>
        <v/>
      </c>
    </row>
    <row r="36" ht="15" customHeight="1">
      <c r="A36" t="inlineStr">
        <is>
          <t>A 43451-2024</t>
        </is>
      </c>
      <c r="B36" s="1" t="n">
        <v>45568</v>
      </c>
      <c r="C36" s="1" t="n">
        <v>46190</v>
      </c>
      <c r="D36" t="inlineStr">
        <is>
          <t>VÄSTMANLANDS LÄN</t>
        </is>
      </c>
      <c r="E36" t="inlineStr">
        <is>
          <t>SURAHAMMAR</t>
        </is>
      </c>
      <c r="F36" t="inlineStr">
        <is>
          <t>Bergvik skog väst AB</t>
        </is>
      </c>
      <c r="G36" t="n">
        <v>2.9</v>
      </c>
      <c r="H36" t="n">
        <v>1</v>
      </c>
      <c r="I36" t="n">
        <v>0</v>
      </c>
      <c r="J36" t="n">
        <v>1</v>
      </c>
      <c r="K36" t="n">
        <v>0</v>
      </c>
      <c r="L36" t="n">
        <v>0</v>
      </c>
      <c r="M36" t="n">
        <v>0</v>
      </c>
      <c r="N36" t="n">
        <v>0</v>
      </c>
      <c r="O36" t="n">
        <v>1</v>
      </c>
      <c r="P36" t="n">
        <v>0</v>
      </c>
      <c r="Q36" t="n">
        <v>2</v>
      </c>
      <c r="R36" s="2" t="inlineStr">
        <is>
          <t>Ullticka
Blåsippa</t>
        </is>
      </c>
      <c r="S36">
        <f>HYPERLINK("https://klasma.github.io/Logging_1907/artfynd/A 43451-2024 artfynd.xlsx", "A 43451-2024")</f>
        <v/>
      </c>
      <c r="T36">
        <f>HYPERLINK("https://klasma.github.io/Logging_1907/kartor/A 43451-2024 karta.png", "A 43451-2024")</f>
        <v/>
      </c>
      <c r="V36">
        <f>HYPERLINK("https://klasma.github.io/Logging_1907/klagomål/A 43451-2024 FSC-klagomål.docx", "A 43451-2024")</f>
        <v/>
      </c>
      <c r="W36">
        <f>HYPERLINK("https://klasma.github.io/Logging_1907/klagomålsmail/A 43451-2024 FSC-klagomål mail.docx", "A 43451-2024")</f>
        <v/>
      </c>
      <c r="X36">
        <f>HYPERLINK("https://klasma.github.io/Logging_1907/tillsyn/A 43451-2024 tillsynsbegäran.docx", "A 43451-2024")</f>
        <v/>
      </c>
      <c r="Y36">
        <f>HYPERLINK("https://klasma.github.io/Logging_1907/tillsynsmail/A 43451-2024 tillsynsbegäran mail.docx", "A 43451-2024")</f>
        <v/>
      </c>
    </row>
    <row r="37" ht="15" customHeight="1">
      <c r="A37" t="inlineStr">
        <is>
          <t>A 13788-2025</t>
        </is>
      </c>
      <c r="B37" s="1" t="n">
        <v>45737.45327546296</v>
      </c>
      <c r="C37" s="1" t="n">
        <v>46190</v>
      </c>
      <c r="D37" t="inlineStr">
        <is>
          <t>VÄSTMANLANDS LÄN</t>
        </is>
      </c>
      <c r="E37" t="inlineStr">
        <is>
          <t>SURAHAMMAR</t>
        </is>
      </c>
      <c r="G37" t="n">
        <v>9.699999999999999</v>
      </c>
      <c r="H37" t="n">
        <v>2</v>
      </c>
      <c r="I37" t="n">
        <v>0</v>
      </c>
      <c r="J37" t="n">
        <v>0</v>
      </c>
      <c r="K37" t="n">
        <v>0</v>
      </c>
      <c r="L37" t="n">
        <v>0</v>
      </c>
      <c r="M37" t="n">
        <v>0</v>
      </c>
      <c r="N37" t="n">
        <v>0</v>
      </c>
      <c r="O37" t="n">
        <v>0</v>
      </c>
      <c r="P37" t="n">
        <v>0</v>
      </c>
      <c r="Q37" t="n">
        <v>2</v>
      </c>
      <c r="R37" s="2" t="inlineStr">
        <is>
          <t>Nattskärra
Sparvuggla</t>
        </is>
      </c>
      <c r="S37">
        <f>HYPERLINK("https://klasma.github.io/Logging_1907/artfynd/A 13788-2025 artfynd.xlsx", "A 13788-2025")</f>
        <v/>
      </c>
      <c r="T37">
        <f>HYPERLINK("https://klasma.github.io/Logging_1907/kartor/A 13788-2025 karta.png", "A 13788-2025")</f>
        <v/>
      </c>
      <c r="V37">
        <f>HYPERLINK("https://klasma.github.io/Logging_1907/klagomål/A 13788-2025 FSC-klagomål.docx", "A 13788-2025")</f>
        <v/>
      </c>
      <c r="W37">
        <f>HYPERLINK("https://klasma.github.io/Logging_1907/klagomålsmail/A 13788-2025 FSC-klagomål mail.docx", "A 13788-2025")</f>
        <v/>
      </c>
      <c r="X37">
        <f>HYPERLINK("https://klasma.github.io/Logging_1907/tillsyn/A 13788-2025 tillsynsbegäran.docx", "A 13788-2025")</f>
        <v/>
      </c>
      <c r="Y37">
        <f>HYPERLINK("https://klasma.github.io/Logging_1907/tillsynsmail/A 13788-2025 tillsynsbegäran mail.docx", "A 13788-2025")</f>
        <v/>
      </c>
      <c r="Z37">
        <f>HYPERLINK("https://klasma.github.io/Logging_1907/fåglar/A 13788-2025 prioriterade fågelarter.docx", "A 13788-2025")</f>
        <v/>
      </c>
    </row>
    <row r="38" ht="15" customHeight="1">
      <c r="A38" t="inlineStr">
        <is>
          <t>A 40403-2025</t>
        </is>
      </c>
      <c r="B38" s="1" t="n">
        <v>45895</v>
      </c>
      <c r="C38" s="1" t="n">
        <v>46190</v>
      </c>
      <c r="D38" t="inlineStr">
        <is>
          <t>VÄSTMANLANDS LÄN</t>
        </is>
      </c>
      <c r="E38" t="inlineStr">
        <is>
          <t>SURAHAMMAR</t>
        </is>
      </c>
      <c r="F38" t="inlineStr">
        <is>
          <t>Kommuner</t>
        </is>
      </c>
      <c r="G38" t="n">
        <v>3.9</v>
      </c>
      <c r="H38" t="n">
        <v>1</v>
      </c>
      <c r="I38" t="n">
        <v>0</v>
      </c>
      <c r="J38" t="n">
        <v>1</v>
      </c>
      <c r="K38" t="n">
        <v>0</v>
      </c>
      <c r="L38" t="n">
        <v>0</v>
      </c>
      <c r="M38" t="n">
        <v>0</v>
      </c>
      <c r="N38" t="n">
        <v>0</v>
      </c>
      <c r="O38" t="n">
        <v>1</v>
      </c>
      <c r="P38" t="n">
        <v>0</v>
      </c>
      <c r="Q38" t="n">
        <v>2</v>
      </c>
      <c r="R38" s="2" t="inlineStr">
        <is>
          <t>Igelkott
Gröngöling</t>
        </is>
      </c>
      <c r="S38">
        <f>HYPERLINK("https://klasma.github.io/Logging_1907/artfynd/A 40403-2025 artfynd.xlsx", "A 40403-2025")</f>
        <v/>
      </c>
      <c r="T38">
        <f>HYPERLINK("https://klasma.github.io/Logging_1907/kartor/A 40403-2025 karta.png", "A 40403-2025")</f>
        <v/>
      </c>
      <c r="V38">
        <f>HYPERLINK("https://klasma.github.io/Logging_1907/klagomål/A 40403-2025 FSC-klagomål.docx", "A 40403-2025")</f>
        <v/>
      </c>
      <c r="W38">
        <f>HYPERLINK("https://klasma.github.io/Logging_1907/klagomålsmail/A 40403-2025 FSC-klagomål mail.docx", "A 40403-2025")</f>
        <v/>
      </c>
      <c r="X38">
        <f>HYPERLINK("https://klasma.github.io/Logging_1907/tillsyn/A 40403-2025 tillsynsbegäran.docx", "A 40403-2025")</f>
        <v/>
      </c>
      <c r="Y38">
        <f>HYPERLINK("https://klasma.github.io/Logging_1907/tillsynsmail/A 40403-2025 tillsynsbegäran mail.docx", "A 40403-2025")</f>
        <v/>
      </c>
      <c r="Z38">
        <f>HYPERLINK("https://klasma.github.io/Logging_1907/fåglar/A 40403-2025 prioriterade fågelarter.docx", "A 40403-2025")</f>
        <v/>
      </c>
    </row>
    <row r="39" ht="15" customHeight="1">
      <c r="A39" t="inlineStr">
        <is>
          <t>A 37800-2021</t>
        </is>
      </c>
      <c r="B39" s="1" t="n">
        <v>44402</v>
      </c>
      <c r="C39" s="1" t="n">
        <v>46190</v>
      </c>
      <c r="D39" t="inlineStr">
        <is>
          <t>VÄSTMANLANDS LÄN</t>
        </is>
      </c>
      <c r="E39" t="inlineStr">
        <is>
          <t>SURAHAMMAR</t>
        </is>
      </c>
      <c r="F39" t="inlineStr">
        <is>
          <t>Kommuner</t>
        </is>
      </c>
      <c r="G39" t="n">
        <v>1.3</v>
      </c>
      <c r="H39" t="n">
        <v>1</v>
      </c>
      <c r="I39" t="n">
        <v>0</v>
      </c>
      <c r="J39" t="n">
        <v>1</v>
      </c>
      <c r="K39" t="n">
        <v>0</v>
      </c>
      <c r="L39" t="n">
        <v>0</v>
      </c>
      <c r="M39" t="n">
        <v>0</v>
      </c>
      <c r="N39" t="n">
        <v>0</v>
      </c>
      <c r="O39" t="n">
        <v>1</v>
      </c>
      <c r="P39" t="n">
        <v>0</v>
      </c>
      <c r="Q39" t="n">
        <v>2</v>
      </c>
      <c r="R39" s="2" t="inlineStr">
        <is>
          <t>Svinrot
Grönvit nattviol</t>
        </is>
      </c>
      <c r="S39">
        <f>HYPERLINK("https://klasma.github.io/Logging_1907/artfynd/A 37800-2021 artfynd.xlsx", "A 37800-2021")</f>
        <v/>
      </c>
      <c r="T39">
        <f>HYPERLINK("https://klasma.github.io/Logging_1907/kartor/A 37800-2021 karta.png", "A 37800-2021")</f>
        <v/>
      </c>
      <c r="V39">
        <f>HYPERLINK("https://klasma.github.io/Logging_1907/klagomål/A 37800-2021 FSC-klagomål.docx", "A 37800-2021")</f>
        <v/>
      </c>
      <c r="W39">
        <f>HYPERLINK("https://klasma.github.io/Logging_1907/klagomålsmail/A 37800-2021 FSC-klagomål mail.docx", "A 37800-2021")</f>
        <v/>
      </c>
      <c r="X39">
        <f>HYPERLINK("https://klasma.github.io/Logging_1907/tillsyn/A 37800-2021 tillsynsbegäran.docx", "A 37800-2021")</f>
        <v/>
      </c>
      <c r="Y39">
        <f>HYPERLINK("https://klasma.github.io/Logging_1907/tillsynsmail/A 37800-2021 tillsynsbegäran mail.docx", "A 37800-2021")</f>
        <v/>
      </c>
    </row>
    <row r="40" ht="15" customHeight="1">
      <c r="A40" t="inlineStr">
        <is>
          <t>A 63146-2025</t>
        </is>
      </c>
      <c r="B40" s="1" t="n">
        <v>46009</v>
      </c>
      <c r="C40" s="1" t="n">
        <v>46190</v>
      </c>
      <c r="D40" t="inlineStr">
        <is>
          <t>VÄSTMANLANDS LÄN</t>
        </is>
      </c>
      <c r="E40" t="inlineStr">
        <is>
          <t>SURAHAMMAR</t>
        </is>
      </c>
      <c r="F40" t="inlineStr">
        <is>
          <t>Bergvik skog väst AB</t>
        </is>
      </c>
      <c r="G40" t="n">
        <v>10.2</v>
      </c>
      <c r="H40" t="n">
        <v>1</v>
      </c>
      <c r="I40" t="n">
        <v>1</v>
      </c>
      <c r="J40" t="n">
        <v>0</v>
      </c>
      <c r="K40" t="n">
        <v>0</v>
      </c>
      <c r="L40" t="n">
        <v>0</v>
      </c>
      <c r="M40" t="n">
        <v>0</v>
      </c>
      <c r="N40" t="n">
        <v>0</v>
      </c>
      <c r="O40" t="n">
        <v>0</v>
      </c>
      <c r="P40" t="n">
        <v>0</v>
      </c>
      <c r="Q40" t="n">
        <v>2</v>
      </c>
      <c r="R40" s="2" t="inlineStr">
        <is>
          <t>Svart trolldruva
Blåsippa</t>
        </is>
      </c>
      <c r="S40">
        <f>HYPERLINK("https://klasma.github.io/Logging_1907/artfynd/A 63146-2025 artfynd.xlsx", "A 63146-2025")</f>
        <v/>
      </c>
      <c r="T40">
        <f>HYPERLINK("https://klasma.github.io/Logging_1907/kartor/A 63146-2025 karta.png", "A 63146-2025")</f>
        <v/>
      </c>
      <c r="V40">
        <f>HYPERLINK("https://klasma.github.io/Logging_1907/klagomål/A 63146-2025 FSC-klagomål.docx", "A 63146-2025")</f>
        <v/>
      </c>
      <c r="W40">
        <f>HYPERLINK("https://klasma.github.io/Logging_1907/klagomålsmail/A 63146-2025 FSC-klagomål mail.docx", "A 63146-2025")</f>
        <v/>
      </c>
      <c r="X40">
        <f>HYPERLINK("https://klasma.github.io/Logging_1907/tillsyn/A 63146-2025 tillsynsbegäran.docx", "A 63146-2025")</f>
        <v/>
      </c>
      <c r="Y40">
        <f>HYPERLINK("https://klasma.github.io/Logging_1907/tillsynsmail/A 63146-2025 tillsynsbegäran mail.docx", "A 63146-2025")</f>
        <v/>
      </c>
    </row>
    <row r="41" ht="15" customHeight="1">
      <c r="A41" t="inlineStr">
        <is>
          <t>A 41204-2023</t>
        </is>
      </c>
      <c r="B41" s="1" t="n">
        <v>45174</v>
      </c>
      <c r="C41" s="1" t="n">
        <v>46190</v>
      </c>
      <c r="D41" t="inlineStr">
        <is>
          <t>VÄSTMANLANDS LÄN</t>
        </is>
      </c>
      <c r="E41" t="inlineStr">
        <is>
          <t>SURAHAMMAR</t>
        </is>
      </c>
      <c r="G41" t="n">
        <v>1</v>
      </c>
      <c r="H41" t="n">
        <v>1</v>
      </c>
      <c r="I41" t="n">
        <v>0</v>
      </c>
      <c r="J41" t="n">
        <v>1</v>
      </c>
      <c r="K41" t="n">
        <v>1</v>
      </c>
      <c r="L41" t="n">
        <v>0</v>
      </c>
      <c r="M41" t="n">
        <v>0</v>
      </c>
      <c r="N41" t="n">
        <v>0</v>
      </c>
      <c r="O41" t="n">
        <v>2</v>
      </c>
      <c r="P41" t="n">
        <v>1</v>
      </c>
      <c r="Q41" t="n">
        <v>2</v>
      </c>
      <c r="R41" s="2" t="inlineStr">
        <is>
          <t>Knärot
Vedtrappmossa</t>
        </is>
      </c>
      <c r="S41">
        <f>HYPERLINK("https://klasma.github.io/Logging_1907/artfynd/A 41204-2023 artfynd.xlsx", "A 41204-2023")</f>
        <v/>
      </c>
      <c r="T41">
        <f>HYPERLINK("https://klasma.github.io/Logging_1907/kartor/A 41204-2023 karta.png", "A 41204-2023")</f>
        <v/>
      </c>
      <c r="U41">
        <f>HYPERLINK("https://klasma.github.io/Logging_1907/knärot/A 41204-2023 karta knärot.png", "A 41204-2023")</f>
        <v/>
      </c>
      <c r="V41">
        <f>HYPERLINK("https://klasma.github.io/Logging_1907/klagomål/A 41204-2023 FSC-klagomål.docx", "A 41204-2023")</f>
        <v/>
      </c>
      <c r="W41">
        <f>HYPERLINK("https://klasma.github.io/Logging_1907/klagomålsmail/A 41204-2023 FSC-klagomål mail.docx", "A 41204-2023")</f>
        <v/>
      </c>
      <c r="X41">
        <f>HYPERLINK("https://klasma.github.io/Logging_1907/tillsyn/A 41204-2023 tillsynsbegäran.docx", "A 41204-2023")</f>
        <v/>
      </c>
      <c r="Y41">
        <f>HYPERLINK("https://klasma.github.io/Logging_1907/tillsynsmail/A 41204-2023 tillsynsbegäran mail.docx", "A 41204-2023")</f>
        <v/>
      </c>
    </row>
    <row r="42" ht="15" customHeight="1">
      <c r="A42" t="inlineStr">
        <is>
          <t>A 38170-2021</t>
        </is>
      </c>
      <c r="B42" s="1" t="n">
        <v>44405.43472222222</v>
      </c>
      <c r="C42" s="1" t="n">
        <v>46190</v>
      </c>
      <c r="D42" t="inlineStr">
        <is>
          <t>VÄSTMANLANDS LÄN</t>
        </is>
      </c>
      <c r="E42" t="inlineStr">
        <is>
          <t>SURAHAMMAR</t>
        </is>
      </c>
      <c r="F42" t="inlineStr">
        <is>
          <t>Sveaskog</t>
        </is>
      </c>
      <c r="G42" t="n">
        <v>1.2</v>
      </c>
      <c r="H42" t="n">
        <v>1</v>
      </c>
      <c r="I42" t="n">
        <v>0</v>
      </c>
      <c r="J42" t="n">
        <v>0</v>
      </c>
      <c r="K42" t="n">
        <v>0</v>
      </c>
      <c r="L42" t="n">
        <v>0</v>
      </c>
      <c r="M42" t="n">
        <v>0</v>
      </c>
      <c r="N42" t="n">
        <v>0</v>
      </c>
      <c r="O42" t="n">
        <v>0</v>
      </c>
      <c r="P42" t="n">
        <v>0</v>
      </c>
      <c r="Q42" t="n">
        <v>1</v>
      </c>
      <c r="R42" s="2" t="inlineStr">
        <is>
          <t>Revlummer</t>
        </is>
      </c>
      <c r="S42">
        <f>HYPERLINK("https://klasma.github.io/Logging_1907/artfynd/A 38170-2021 artfynd.xlsx", "A 38170-2021")</f>
        <v/>
      </c>
      <c r="T42">
        <f>HYPERLINK("https://klasma.github.io/Logging_1907/kartor/A 38170-2021 karta.png", "A 38170-2021")</f>
        <v/>
      </c>
      <c r="V42">
        <f>HYPERLINK("https://klasma.github.io/Logging_1907/klagomål/A 38170-2021 FSC-klagomål.docx", "A 38170-2021")</f>
        <v/>
      </c>
      <c r="W42">
        <f>HYPERLINK("https://klasma.github.io/Logging_1907/klagomålsmail/A 38170-2021 FSC-klagomål mail.docx", "A 38170-2021")</f>
        <v/>
      </c>
      <c r="X42">
        <f>HYPERLINK("https://klasma.github.io/Logging_1907/tillsyn/A 38170-2021 tillsynsbegäran.docx", "A 38170-2021")</f>
        <v/>
      </c>
      <c r="Y42">
        <f>HYPERLINK("https://klasma.github.io/Logging_1907/tillsynsmail/A 38170-2021 tillsynsbegäran mail.docx", "A 38170-2021")</f>
        <v/>
      </c>
    </row>
    <row r="43" ht="15" customHeight="1">
      <c r="A43" t="inlineStr">
        <is>
          <t>A 26700-2022</t>
        </is>
      </c>
      <c r="B43" s="1" t="n">
        <v>44739</v>
      </c>
      <c r="C43" s="1" t="n">
        <v>46190</v>
      </c>
      <c r="D43" t="inlineStr">
        <is>
          <t>VÄSTMANLANDS LÄN</t>
        </is>
      </c>
      <c r="E43" t="inlineStr">
        <is>
          <t>SURAHAMMAR</t>
        </is>
      </c>
      <c r="F43" t="inlineStr">
        <is>
          <t>Kommuner</t>
        </is>
      </c>
      <c r="G43" t="n">
        <v>3.1</v>
      </c>
      <c r="H43" t="n">
        <v>1</v>
      </c>
      <c r="I43" t="n">
        <v>0</v>
      </c>
      <c r="J43" t="n">
        <v>0</v>
      </c>
      <c r="K43" t="n">
        <v>0</v>
      </c>
      <c r="L43" t="n">
        <v>0</v>
      </c>
      <c r="M43" t="n">
        <v>0</v>
      </c>
      <c r="N43" t="n">
        <v>0</v>
      </c>
      <c r="O43" t="n">
        <v>0</v>
      </c>
      <c r="P43" t="n">
        <v>0</v>
      </c>
      <c r="Q43" t="n">
        <v>1</v>
      </c>
      <c r="R43" s="2" t="inlineStr">
        <is>
          <t>Fläcknycklar</t>
        </is>
      </c>
      <c r="S43">
        <f>HYPERLINK("https://klasma.github.io/Logging_1907/artfynd/A 26700-2022 artfynd.xlsx", "A 26700-2022")</f>
        <v/>
      </c>
      <c r="T43">
        <f>HYPERLINK("https://klasma.github.io/Logging_1907/kartor/A 26700-2022 karta.png", "A 26700-2022")</f>
        <v/>
      </c>
      <c r="V43">
        <f>HYPERLINK("https://klasma.github.io/Logging_1907/klagomål/A 26700-2022 FSC-klagomål.docx", "A 26700-2022")</f>
        <v/>
      </c>
      <c r="W43">
        <f>HYPERLINK("https://klasma.github.io/Logging_1907/klagomålsmail/A 26700-2022 FSC-klagomål mail.docx", "A 26700-2022")</f>
        <v/>
      </c>
      <c r="X43">
        <f>HYPERLINK("https://klasma.github.io/Logging_1907/tillsyn/A 26700-2022 tillsynsbegäran.docx", "A 26700-2022")</f>
        <v/>
      </c>
      <c r="Y43">
        <f>HYPERLINK("https://klasma.github.io/Logging_1907/tillsynsmail/A 26700-2022 tillsynsbegäran mail.docx", "A 26700-2022")</f>
        <v/>
      </c>
    </row>
    <row r="44" ht="15" customHeight="1">
      <c r="A44" t="inlineStr">
        <is>
          <t>A 67611-2021</t>
        </is>
      </c>
      <c r="B44" s="1" t="n">
        <v>44524</v>
      </c>
      <c r="C44" s="1" t="n">
        <v>46190</v>
      </c>
      <c r="D44" t="inlineStr">
        <is>
          <t>VÄSTMANLANDS LÄN</t>
        </is>
      </c>
      <c r="E44" t="inlineStr">
        <is>
          <t>SURAHAMMAR</t>
        </is>
      </c>
      <c r="F44" t="inlineStr">
        <is>
          <t>Kommuner</t>
        </is>
      </c>
      <c r="G44" t="n">
        <v>3.8</v>
      </c>
      <c r="H44" t="n">
        <v>0</v>
      </c>
      <c r="I44" t="n">
        <v>0</v>
      </c>
      <c r="J44" t="n">
        <v>1</v>
      </c>
      <c r="K44" t="n">
        <v>0</v>
      </c>
      <c r="L44" t="n">
        <v>0</v>
      </c>
      <c r="M44" t="n">
        <v>0</v>
      </c>
      <c r="N44" t="n">
        <v>0</v>
      </c>
      <c r="O44" t="n">
        <v>1</v>
      </c>
      <c r="P44" t="n">
        <v>0</v>
      </c>
      <c r="Q44" t="n">
        <v>1</v>
      </c>
      <c r="R44" s="2" t="inlineStr">
        <is>
          <t>Brödmärgsticka</t>
        </is>
      </c>
      <c r="S44">
        <f>HYPERLINK("https://klasma.github.io/Logging_1907/artfynd/A 67611-2021 artfynd.xlsx", "A 67611-2021")</f>
        <v/>
      </c>
      <c r="T44">
        <f>HYPERLINK("https://klasma.github.io/Logging_1907/kartor/A 67611-2021 karta.png", "A 67611-2021")</f>
        <v/>
      </c>
      <c r="V44">
        <f>HYPERLINK("https://klasma.github.io/Logging_1907/klagomål/A 67611-2021 FSC-klagomål.docx", "A 67611-2021")</f>
        <v/>
      </c>
      <c r="W44">
        <f>HYPERLINK("https://klasma.github.io/Logging_1907/klagomålsmail/A 67611-2021 FSC-klagomål mail.docx", "A 67611-2021")</f>
        <v/>
      </c>
      <c r="X44">
        <f>HYPERLINK("https://klasma.github.io/Logging_1907/tillsyn/A 67611-2021 tillsynsbegäran.docx", "A 67611-2021")</f>
        <v/>
      </c>
      <c r="Y44">
        <f>HYPERLINK("https://klasma.github.io/Logging_1907/tillsynsmail/A 67611-2021 tillsynsbegäran mail.docx", "A 67611-2021")</f>
        <v/>
      </c>
    </row>
    <row r="45" ht="15" customHeight="1">
      <c r="A45" t="inlineStr">
        <is>
          <t>A 39099-2022</t>
        </is>
      </c>
      <c r="B45" s="1" t="n">
        <v>44817</v>
      </c>
      <c r="C45" s="1" t="n">
        <v>46190</v>
      </c>
      <c r="D45" t="inlineStr">
        <is>
          <t>VÄSTMANLANDS LÄN</t>
        </is>
      </c>
      <c r="E45" t="inlineStr">
        <is>
          <t>SURAHAMMAR</t>
        </is>
      </c>
      <c r="F45" t="inlineStr">
        <is>
          <t>Bergvik skog väst AB</t>
        </is>
      </c>
      <c r="G45" t="n">
        <v>7.4</v>
      </c>
      <c r="H45" t="n">
        <v>0</v>
      </c>
      <c r="I45" t="n">
        <v>1</v>
      </c>
      <c r="J45" t="n">
        <v>0</v>
      </c>
      <c r="K45" t="n">
        <v>0</v>
      </c>
      <c r="L45" t="n">
        <v>0</v>
      </c>
      <c r="M45" t="n">
        <v>0</v>
      </c>
      <c r="N45" t="n">
        <v>0</v>
      </c>
      <c r="O45" t="n">
        <v>0</v>
      </c>
      <c r="P45" t="n">
        <v>0</v>
      </c>
      <c r="Q45" t="n">
        <v>1</v>
      </c>
      <c r="R45" s="2" t="inlineStr">
        <is>
          <t>Stekelbock</t>
        </is>
      </c>
      <c r="S45">
        <f>HYPERLINK("https://klasma.github.io/Logging_1907/artfynd/A 39099-2022 artfynd.xlsx", "A 39099-2022")</f>
        <v/>
      </c>
      <c r="T45">
        <f>HYPERLINK("https://klasma.github.io/Logging_1907/kartor/A 39099-2022 karta.png", "A 39099-2022")</f>
        <v/>
      </c>
      <c r="V45">
        <f>HYPERLINK("https://klasma.github.io/Logging_1907/klagomål/A 39099-2022 FSC-klagomål.docx", "A 39099-2022")</f>
        <v/>
      </c>
      <c r="W45">
        <f>HYPERLINK("https://klasma.github.io/Logging_1907/klagomålsmail/A 39099-2022 FSC-klagomål mail.docx", "A 39099-2022")</f>
        <v/>
      </c>
      <c r="X45">
        <f>HYPERLINK("https://klasma.github.io/Logging_1907/tillsyn/A 39099-2022 tillsynsbegäran.docx", "A 39099-2022")</f>
        <v/>
      </c>
      <c r="Y45">
        <f>HYPERLINK("https://klasma.github.io/Logging_1907/tillsynsmail/A 39099-2022 tillsynsbegäran mail.docx", "A 39099-2022")</f>
        <v/>
      </c>
    </row>
    <row r="46" ht="15" customHeight="1">
      <c r="A46" t="inlineStr">
        <is>
          <t>A 42765-2022</t>
        </is>
      </c>
      <c r="B46" s="1" t="n">
        <v>44832</v>
      </c>
      <c r="C46" s="1" t="n">
        <v>46190</v>
      </c>
      <c r="D46" t="inlineStr">
        <is>
          <t>VÄSTMANLANDS LÄN</t>
        </is>
      </c>
      <c r="E46" t="inlineStr">
        <is>
          <t>SURAHAMMAR</t>
        </is>
      </c>
      <c r="G46" t="n">
        <v>1.8</v>
      </c>
      <c r="H46" t="n">
        <v>1</v>
      </c>
      <c r="I46" t="n">
        <v>0</v>
      </c>
      <c r="J46" t="n">
        <v>0</v>
      </c>
      <c r="K46" t="n">
        <v>0</v>
      </c>
      <c r="L46" t="n">
        <v>0</v>
      </c>
      <c r="M46" t="n">
        <v>0</v>
      </c>
      <c r="N46" t="n">
        <v>0</v>
      </c>
      <c r="O46" t="n">
        <v>0</v>
      </c>
      <c r="P46" t="n">
        <v>0</v>
      </c>
      <c r="Q46" t="n">
        <v>1</v>
      </c>
      <c r="R46" s="2" t="inlineStr">
        <is>
          <t>Blåsippa</t>
        </is>
      </c>
      <c r="S46">
        <f>HYPERLINK("https://klasma.github.io/Logging_1907/artfynd/A 42765-2022 artfynd.xlsx", "A 42765-2022")</f>
        <v/>
      </c>
      <c r="T46">
        <f>HYPERLINK("https://klasma.github.io/Logging_1907/kartor/A 42765-2022 karta.png", "A 42765-2022")</f>
        <v/>
      </c>
      <c r="V46">
        <f>HYPERLINK("https://klasma.github.io/Logging_1907/klagomål/A 42765-2022 FSC-klagomål.docx", "A 42765-2022")</f>
        <v/>
      </c>
      <c r="W46">
        <f>HYPERLINK("https://klasma.github.io/Logging_1907/klagomålsmail/A 42765-2022 FSC-klagomål mail.docx", "A 42765-2022")</f>
        <v/>
      </c>
      <c r="X46">
        <f>HYPERLINK("https://klasma.github.io/Logging_1907/tillsyn/A 42765-2022 tillsynsbegäran.docx", "A 42765-2022")</f>
        <v/>
      </c>
      <c r="Y46">
        <f>HYPERLINK("https://klasma.github.io/Logging_1907/tillsynsmail/A 42765-2022 tillsynsbegäran mail.docx", "A 42765-2022")</f>
        <v/>
      </c>
    </row>
    <row r="47" ht="15" customHeight="1">
      <c r="A47" t="inlineStr">
        <is>
          <t>A 30074-2023</t>
        </is>
      </c>
      <c r="B47" s="1" t="n">
        <v>45110</v>
      </c>
      <c r="C47" s="1" t="n">
        <v>46190</v>
      </c>
      <c r="D47" t="inlineStr">
        <is>
          <t>VÄSTMANLANDS LÄN</t>
        </is>
      </c>
      <c r="E47" t="inlineStr">
        <is>
          <t>SURAHAMMAR</t>
        </is>
      </c>
      <c r="F47" t="inlineStr">
        <is>
          <t>Sveaskog</t>
        </is>
      </c>
      <c r="G47" t="n">
        <v>1.1</v>
      </c>
      <c r="H47" t="n">
        <v>1</v>
      </c>
      <c r="I47" t="n">
        <v>0</v>
      </c>
      <c r="J47" t="n">
        <v>0</v>
      </c>
      <c r="K47" t="n">
        <v>0</v>
      </c>
      <c r="L47" t="n">
        <v>0</v>
      </c>
      <c r="M47" t="n">
        <v>0</v>
      </c>
      <c r="N47" t="n">
        <v>0</v>
      </c>
      <c r="O47" t="n">
        <v>0</v>
      </c>
      <c r="P47" t="n">
        <v>0</v>
      </c>
      <c r="Q47" t="n">
        <v>1</v>
      </c>
      <c r="R47" s="2" t="inlineStr">
        <is>
          <t>Revlummer</t>
        </is>
      </c>
      <c r="S47">
        <f>HYPERLINK("https://klasma.github.io/Logging_1907/artfynd/A 30074-2023 artfynd.xlsx", "A 30074-2023")</f>
        <v/>
      </c>
      <c r="T47">
        <f>HYPERLINK("https://klasma.github.io/Logging_1907/kartor/A 30074-2023 karta.png", "A 30074-2023")</f>
        <v/>
      </c>
      <c r="V47">
        <f>HYPERLINK("https://klasma.github.io/Logging_1907/klagomål/A 30074-2023 FSC-klagomål.docx", "A 30074-2023")</f>
        <v/>
      </c>
      <c r="W47">
        <f>HYPERLINK("https://klasma.github.io/Logging_1907/klagomålsmail/A 30074-2023 FSC-klagomål mail.docx", "A 30074-2023")</f>
        <v/>
      </c>
      <c r="X47">
        <f>HYPERLINK("https://klasma.github.io/Logging_1907/tillsyn/A 30074-2023 tillsynsbegäran.docx", "A 30074-2023")</f>
        <v/>
      </c>
      <c r="Y47">
        <f>HYPERLINK("https://klasma.github.io/Logging_1907/tillsynsmail/A 30074-2023 tillsynsbegäran mail.docx", "A 30074-2023")</f>
        <v/>
      </c>
    </row>
    <row r="48" ht="15" customHeight="1">
      <c r="A48" t="inlineStr">
        <is>
          <t>A 10819-2024</t>
        </is>
      </c>
      <c r="B48" s="1" t="n">
        <v>45369.66049768519</v>
      </c>
      <c r="C48" s="1" t="n">
        <v>46190</v>
      </c>
      <c r="D48" t="inlineStr">
        <is>
          <t>VÄSTMANLANDS LÄN</t>
        </is>
      </c>
      <c r="E48" t="inlineStr">
        <is>
          <t>SURAHAMMAR</t>
        </is>
      </c>
      <c r="G48" t="n">
        <v>2</v>
      </c>
      <c r="H48" t="n">
        <v>0</v>
      </c>
      <c r="I48" t="n">
        <v>1</v>
      </c>
      <c r="J48" t="n">
        <v>0</v>
      </c>
      <c r="K48" t="n">
        <v>0</v>
      </c>
      <c r="L48" t="n">
        <v>0</v>
      </c>
      <c r="M48" t="n">
        <v>0</v>
      </c>
      <c r="N48" t="n">
        <v>0</v>
      </c>
      <c r="O48" t="n">
        <v>0</v>
      </c>
      <c r="P48" t="n">
        <v>0</v>
      </c>
      <c r="Q48" t="n">
        <v>1</v>
      </c>
      <c r="R48" s="2" t="inlineStr">
        <is>
          <t>Tibast</t>
        </is>
      </c>
      <c r="S48">
        <f>HYPERLINK("https://klasma.github.io/Logging_1907/artfynd/A 10819-2024 artfynd.xlsx", "A 10819-2024")</f>
        <v/>
      </c>
      <c r="T48">
        <f>HYPERLINK("https://klasma.github.io/Logging_1907/kartor/A 10819-2024 karta.png", "A 10819-2024")</f>
        <v/>
      </c>
      <c r="V48">
        <f>HYPERLINK("https://klasma.github.io/Logging_1907/klagomål/A 10819-2024 FSC-klagomål.docx", "A 10819-2024")</f>
        <v/>
      </c>
      <c r="W48">
        <f>HYPERLINK("https://klasma.github.io/Logging_1907/klagomålsmail/A 10819-2024 FSC-klagomål mail.docx", "A 10819-2024")</f>
        <v/>
      </c>
      <c r="X48">
        <f>HYPERLINK("https://klasma.github.io/Logging_1907/tillsyn/A 10819-2024 tillsynsbegäran.docx", "A 10819-2024")</f>
        <v/>
      </c>
      <c r="Y48">
        <f>HYPERLINK("https://klasma.github.io/Logging_1907/tillsynsmail/A 10819-2024 tillsynsbegäran mail.docx", "A 10819-2024")</f>
        <v/>
      </c>
    </row>
    <row r="49" ht="15" customHeight="1">
      <c r="A49" t="inlineStr">
        <is>
          <t>A 40411-2021</t>
        </is>
      </c>
      <c r="B49" s="1" t="n">
        <v>44419</v>
      </c>
      <c r="C49" s="1" t="n">
        <v>46190</v>
      </c>
      <c r="D49" t="inlineStr">
        <is>
          <t>VÄSTMANLANDS LÄN</t>
        </is>
      </c>
      <c r="E49" t="inlineStr">
        <is>
          <t>SURAHAMMAR</t>
        </is>
      </c>
      <c r="F49" t="inlineStr">
        <is>
          <t>Sveaskog</t>
        </is>
      </c>
      <c r="G49" t="n">
        <v>2.4</v>
      </c>
      <c r="H49" t="n">
        <v>1</v>
      </c>
      <c r="I49" t="n">
        <v>0</v>
      </c>
      <c r="J49" t="n">
        <v>0</v>
      </c>
      <c r="K49" t="n">
        <v>0</v>
      </c>
      <c r="L49" t="n">
        <v>0</v>
      </c>
      <c r="M49" t="n">
        <v>0</v>
      </c>
      <c r="N49" t="n">
        <v>0</v>
      </c>
      <c r="O49" t="n">
        <v>0</v>
      </c>
      <c r="P49" t="n">
        <v>0</v>
      </c>
      <c r="Q49" t="n">
        <v>1</v>
      </c>
      <c r="R49" s="2" t="inlineStr">
        <is>
          <t>Kopparödla</t>
        </is>
      </c>
      <c r="S49">
        <f>HYPERLINK("https://klasma.github.io/Logging_1907/artfynd/A 40411-2021 artfynd.xlsx", "A 40411-2021")</f>
        <v/>
      </c>
      <c r="T49">
        <f>HYPERLINK("https://klasma.github.io/Logging_1907/kartor/A 40411-2021 karta.png", "A 40411-2021")</f>
        <v/>
      </c>
      <c r="V49">
        <f>HYPERLINK("https://klasma.github.io/Logging_1907/klagomål/A 40411-2021 FSC-klagomål.docx", "A 40411-2021")</f>
        <v/>
      </c>
      <c r="W49">
        <f>HYPERLINK("https://klasma.github.io/Logging_1907/klagomålsmail/A 40411-2021 FSC-klagomål mail.docx", "A 40411-2021")</f>
        <v/>
      </c>
      <c r="X49">
        <f>HYPERLINK("https://klasma.github.io/Logging_1907/tillsyn/A 40411-2021 tillsynsbegäran.docx", "A 40411-2021")</f>
        <v/>
      </c>
      <c r="Y49">
        <f>HYPERLINK("https://klasma.github.io/Logging_1907/tillsynsmail/A 40411-2021 tillsynsbegäran mail.docx", "A 40411-2021")</f>
        <v/>
      </c>
    </row>
    <row r="50" ht="15" customHeight="1">
      <c r="A50" t="inlineStr">
        <is>
          <t>A 69777-2021</t>
        </is>
      </c>
      <c r="B50" s="1" t="n">
        <v>44532</v>
      </c>
      <c r="C50" s="1" t="n">
        <v>46190</v>
      </c>
      <c r="D50" t="inlineStr">
        <is>
          <t>VÄSTMANLANDS LÄN</t>
        </is>
      </c>
      <c r="E50" t="inlineStr">
        <is>
          <t>SURAHAMMAR</t>
        </is>
      </c>
      <c r="G50" t="n">
        <v>2.3</v>
      </c>
      <c r="H50" t="n">
        <v>1</v>
      </c>
      <c r="I50" t="n">
        <v>0</v>
      </c>
      <c r="J50" t="n">
        <v>0</v>
      </c>
      <c r="K50" t="n">
        <v>1</v>
      </c>
      <c r="L50" t="n">
        <v>0</v>
      </c>
      <c r="M50" t="n">
        <v>0</v>
      </c>
      <c r="N50" t="n">
        <v>0</v>
      </c>
      <c r="O50" t="n">
        <v>1</v>
      </c>
      <c r="P50" t="n">
        <v>1</v>
      </c>
      <c r="Q50" t="n">
        <v>1</v>
      </c>
      <c r="R50" s="2" t="inlineStr">
        <is>
          <t>Bombmurkla</t>
        </is>
      </c>
      <c r="S50">
        <f>HYPERLINK("https://klasma.github.io/Logging_1907/artfynd/A 69777-2021 artfynd.xlsx", "A 69777-2021")</f>
        <v/>
      </c>
      <c r="T50">
        <f>HYPERLINK("https://klasma.github.io/Logging_1907/kartor/A 69777-2021 karta.png", "A 69777-2021")</f>
        <v/>
      </c>
      <c r="V50">
        <f>HYPERLINK("https://klasma.github.io/Logging_1907/klagomål/A 69777-2021 FSC-klagomål.docx", "A 69777-2021")</f>
        <v/>
      </c>
      <c r="W50">
        <f>HYPERLINK("https://klasma.github.io/Logging_1907/klagomålsmail/A 69777-2021 FSC-klagomål mail.docx", "A 69777-2021")</f>
        <v/>
      </c>
      <c r="X50">
        <f>HYPERLINK("https://klasma.github.io/Logging_1907/tillsyn/A 69777-2021 tillsynsbegäran.docx", "A 69777-2021")</f>
        <v/>
      </c>
      <c r="Y50">
        <f>HYPERLINK("https://klasma.github.io/Logging_1907/tillsynsmail/A 69777-2021 tillsynsbegäran mail.docx", "A 69777-2021")</f>
        <v/>
      </c>
    </row>
    <row r="51" ht="15" customHeight="1">
      <c r="A51" t="inlineStr">
        <is>
          <t>A 17632-2022</t>
        </is>
      </c>
      <c r="B51" s="1" t="n">
        <v>44680</v>
      </c>
      <c r="C51" s="1" t="n">
        <v>46190</v>
      </c>
      <c r="D51" t="inlineStr">
        <is>
          <t>VÄSTMANLANDS LÄN</t>
        </is>
      </c>
      <c r="E51" t="inlineStr">
        <is>
          <t>SURAHAMMAR</t>
        </is>
      </c>
      <c r="G51" t="n">
        <v>5.2</v>
      </c>
      <c r="H51" t="n">
        <v>0</v>
      </c>
      <c r="I51" t="n">
        <v>1</v>
      </c>
      <c r="J51" t="n">
        <v>0</v>
      </c>
      <c r="K51" t="n">
        <v>0</v>
      </c>
      <c r="L51" t="n">
        <v>0</v>
      </c>
      <c r="M51" t="n">
        <v>0</v>
      </c>
      <c r="N51" t="n">
        <v>0</v>
      </c>
      <c r="O51" t="n">
        <v>0</v>
      </c>
      <c r="P51" t="n">
        <v>0</v>
      </c>
      <c r="Q51" t="n">
        <v>1</v>
      </c>
      <c r="R51" s="2" t="inlineStr">
        <is>
          <t>Blodticka</t>
        </is>
      </c>
      <c r="S51">
        <f>HYPERLINK("https://klasma.github.io/Logging_1907/artfynd/A 17632-2022 artfynd.xlsx", "A 17632-2022")</f>
        <v/>
      </c>
      <c r="T51">
        <f>HYPERLINK("https://klasma.github.io/Logging_1907/kartor/A 17632-2022 karta.png", "A 17632-2022")</f>
        <v/>
      </c>
      <c r="V51">
        <f>HYPERLINK("https://klasma.github.io/Logging_1907/klagomål/A 17632-2022 FSC-klagomål.docx", "A 17632-2022")</f>
        <v/>
      </c>
      <c r="W51">
        <f>HYPERLINK("https://klasma.github.io/Logging_1907/klagomålsmail/A 17632-2022 FSC-klagomål mail.docx", "A 17632-2022")</f>
        <v/>
      </c>
      <c r="X51">
        <f>HYPERLINK("https://klasma.github.io/Logging_1907/tillsyn/A 17632-2022 tillsynsbegäran.docx", "A 17632-2022")</f>
        <v/>
      </c>
      <c r="Y51">
        <f>HYPERLINK("https://klasma.github.io/Logging_1907/tillsynsmail/A 17632-2022 tillsynsbegäran mail.docx", "A 17632-2022")</f>
        <v/>
      </c>
    </row>
    <row r="52" ht="15" customHeight="1">
      <c r="A52" t="inlineStr">
        <is>
          <t>A 56362-2023</t>
        </is>
      </c>
      <c r="B52" s="1" t="n">
        <v>45236</v>
      </c>
      <c r="C52" s="1" t="n">
        <v>46190</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47453-2024</t>
        </is>
      </c>
      <c r="B53" s="1" t="n">
        <v>45587.55017361111</v>
      </c>
      <c r="C53" s="1" t="n">
        <v>46190</v>
      </c>
      <c r="D53" t="inlineStr">
        <is>
          <t>VÄSTMANLANDS LÄN</t>
        </is>
      </c>
      <c r="E53" t="inlineStr">
        <is>
          <t>SURAHAMMAR</t>
        </is>
      </c>
      <c r="G53" t="n">
        <v>5.1</v>
      </c>
      <c r="H53" t="n">
        <v>1</v>
      </c>
      <c r="I53" t="n">
        <v>0</v>
      </c>
      <c r="J53" t="n">
        <v>0</v>
      </c>
      <c r="K53" t="n">
        <v>0</v>
      </c>
      <c r="L53" t="n">
        <v>0</v>
      </c>
      <c r="M53" t="n">
        <v>0</v>
      </c>
      <c r="N53" t="n">
        <v>0</v>
      </c>
      <c r="O53" t="n">
        <v>0</v>
      </c>
      <c r="P53" t="n">
        <v>0</v>
      </c>
      <c r="Q53" t="n">
        <v>1</v>
      </c>
      <c r="R53" s="2" t="inlineStr">
        <is>
          <t>Göktyta</t>
        </is>
      </c>
      <c r="S53">
        <f>HYPERLINK("https://klasma.github.io/Logging_1907/artfynd/A 47453-2024 artfynd.xlsx", "A 47453-2024")</f>
        <v/>
      </c>
      <c r="T53">
        <f>HYPERLINK("https://klasma.github.io/Logging_1907/kartor/A 47453-2024 karta.png", "A 47453-2024")</f>
        <v/>
      </c>
      <c r="V53">
        <f>HYPERLINK("https://klasma.github.io/Logging_1907/klagomål/A 47453-2024 FSC-klagomål.docx", "A 47453-2024")</f>
        <v/>
      </c>
      <c r="W53">
        <f>HYPERLINK("https://klasma.github.io/Logging_1907/klagomålsmail/A 47453-2024 FSC-klagomål mail.docx", "A 47453-2024")</f>
        <v/>
      </c>
      <c r="X53">
        <f>HYPERLINK("https://klasma.github.io/Logging_1907/tillsyn/A 47453-2024 tillsynsbegäran.docx", "A 47453-2024")</f>
        <v/>
      </c>
      <c r="Y53">
        <f>HYPERLINK("https://klasma.github.io/Logging_1907/tillsynsmail/A 47453-2024 tillsynsbegäran mail.docx", "A 47453-2024")</f>
        <v/>
      </c>
      <c r="Z53">
        <f>HYPERLINK("https://klasma.github.io/Logging_1907/fåglar/A 47453-2024 prioriterade fågelarter.docx", "A 47453-2024")</f>
        <v/>
      </c>
    </row>
    <row r="54" ht="15" customHeight="1">
      <c r="A54" t="inlineStr">
        <is>
          <t>A 34584-2025</t>
        </is>
      </c>
      <c r="B54" s="1" t="n">
        <v>45846</v>
      </c>
      <c r="C54" s="1" t="n">
        <v>46190</v>
      </c>
      <c r="D54" t="inlineStr">
        <is>
          <t>VÄSTMANLANDS LÄN</t>
        </is>
      </c>
      <c r="E54" t="inlineStr">
        <is>
          <t>SURAHAMMAR</t>
        </is>
      </c>
      <c r="F54" t="inlineStr">
        <is>
          <t>Bergvik skog väst AB</t>
        </is>
      </c>
      <c r="G54" t="n">
        <v>2.7</v>
      </c>
      <c r="H54" t="n">
        <v>1</v>
      </c>
      <c r="I54" t="n">
        <v>0</v>
      </c>
      <c r="J54" t="n">
        <v>0</v>
      </c>
      <c r="K54" t="n">
        <v>0</v>
      </c>
      <c r="L54" t="n">
        <v>0</v>
      </c>
      <c r="M54" t="n">
        <v>0</v>
      </c>
      <c r="N54" t="n">
        <v>0</v>
      </c>
      <c r="O54" t="n">
        <v>0</v>
      </c>
      <c r="P54" t="n">
        <v>0</v>
      </c>
      <c r="Q54" t="n">
        <v>1</v>
      </c>
      <c r="R54" s="2" t="inlineStr">
        <is>
          <t>Tjäder</t>
        </is>
      </c>
      <c r="S54">
        <f>HYPERLINK("https://klasma.github.io/Logging_1907/artfynd/A 34584-2025 artfynd.xlsx", "A 34584-2025")</f>
        <v/>
      </c>
      <c r="T54">
        <f>HYPERLINK("https://klasma.github.io/Logging_1907/kartor/A 34584-2025 karta.png", "A 34584-2025")</f>
        <v/>
      </c>
      <c r="V54">
        <f>HYPERLINK("https://klasma.github.io/Logging_1907/klagomål/A 34584-2025 FSC-klagomål.docx", "A 34584-2025")</f>
        <v/>
      </c>
      <c r="W54">
        <f>HYPERLINK("https://klasma.github.io/Logging_1907/klagomålsmail/A 34584-2025 FSC-klagomål mail.docx", "A 34584-2025")</f>
        <v/>
      </c>
      <c r="X54">
        <f>HYPERLINK("https://klasma.github.io/Logging_1907/tillsyn/A 34584-2025 tillsynsbegäran.docx", "A 34584-2025")</f>
        <v/>
      </c>
      <c r="Y54">
        <f>HYPERLINK("https://klasma.github.io/Logging_1907/tillsynsmail/A 34584-2025 tillsynsbegäran mail.docx", "A 34584-2025")</f>
        <v/>
      </c>
      <c r="Z54">
        <f>HYPERLINK("https://klasma.github.io/Logging_1907/fåglar/A 34584-2025 prioriterade fågelarter.docx", "A 34584-2025")</f>
        <v/>
      </c>
    </row>
    <row r="55" ht="15" customHeight="1">
      <c r="A55" t="inlineStr">
        <is>
          <t>A 44356-2024</t>
        </is>
      </c>
      <c r="B55" s="1" t="n">
        <v>45573</v>
      </c>
      <c r="C55" s="1" t="n">
        <v>46190</v>
      </c>
      <c r="D55" t="inlineStr">
        <is>
          <t>VÄSTMANLANDS LÄN</t>
        </is>
      </c>
      <c r="E55" t="inlineStr">
        <is>
          <t>SURAHAMMAR</t>
        </is>
      </c>
      <c r="F55" t="inlineStr">
        <is>
          <t>Sveaskog</t>
        </is>
      </c>
      <c r="G55" t="n">
        <v>0.7</v>
      </c>
      <c r="H55" t="n">
        <v>1</v>
      </c>
      <c r="I55" t="n">
        <v>0</v>
      </c>
      <c r="J55" t="n">
        <v>0</v>
      </c>
      <c r="K55" t="n">
        <v>0</v>
      </c>
      <c r="L55" t="n">
        <v>0</v>
      </c>
      <c r="M55" t="n">
        <v>0</v>
      </c>
      <c r="N55" t="n">
        <v>0</v>
      </c>
      <c r="O55" t="n">
        <v>0</v>
      </c>
      <c r="P55" t="n">
        <v>0</v>
      </c>
      <c r="Q55" t="n">
        <v>1</v>
      </c>
      <c r="R55" s="2" t="inlineStr">
        <is>
          <t>Revlummer</t>
        </is>
      </c>
      <c r="S55">
        <f>HYPERLINK("https://klasma.github.io/Logging_1907/artfynd/A 44356-2024 artfynd.xlsx", "A 44356-2024")</f>
        <v/>
      </c>
      <c r="T55">
        <f>HYPERLINK("https://klasma.github.io/Logging_1907/kartor/A 44356-2024 karta.png", "A 44356-2024")</f>
        <v/>
      </c>
      <c r="V55">
        <f>HYPERLINK("https://klasma.github.io/Logging_1907/klagomål/A 44356-2024 FSC-klagomål.docx", "A 44356-2024")</f>
        <v/>
      </c>
      <c r="W55">
        <f>HYPERLINK("https://klasma.github.io/Logging_1907/klagomålsmail/A 44356-2024 FSC-klagomål mail.docx", "A 44356-2024")</f>
        <v/>
      </c>
      <c r="X55">
        <f>HYPERLINK("https://klasma.github.io/Logging_1907/tillsyn/A 44356-2024 tillsynsbegäran.docx", "A 44356-2024")</f>
        <v/>
      </c>
      <c r="Y55">
        <f>HYPERLINK("https://klasma.github.io/Logging_1907/tillsynsmail/A 44356-2024 tillsynsbegäran mail.docx", "A 44356-2024")</f>
        <v/>
      </c>
    </row>
    <row r="56" ht="15" customHeight="1">
      <c r="A56" t="inlineStr">
        <is>
          <t>A 55042-2025</t>
        </is>
      </c>
      <c r="B56" s="1" t="n">
        <v>45967.65858796296</v>
      </c>
      <c r="C56" s="1" t="n">
        <v>46190</v>
      </c>
      <c r="D56" t="inlineStr">
        <is>
          <t>VÄSTMANLANDS LÄN</t>
        </is>
      </c>
      <c r="E56" t="inlineStr">
        <is>
          <t>SURAHAMMAR</t>
        </is>
      </c>
      <c r="F56" t="inlineStr">
        <is>
          <t>Sveaskog</t>
        </is>
      </c>
      <c r="G56" t="n">
        <v>7.2</v>
      </c>
      <c r="H56" t="n">
        <v>0</v>
      </c>
      <c r="I56" t="n">
        <v>0</v>
      </c>
      <c r="J56" t="n">
        <v>1</v>
      </c>
      <c r="K56" t="n">
        <v>0</v>
      </c>
      <c r="L56" t="n">
        <v>0</v>
      </c>
      <c r="M56" t="n">
        <v>0</v>
      </c>
      <c r="N56" t="n">
        <v>0</v>
      </c>
      <c r="O56" t="n">
        <v>1</v>
      </c>
      <c r="P56" t="n">
        <v>0</v>
      </c>
      <c r="Q56" t="n">
        <v>1</v>
      </c>
      <c r="R56" s="2" t="inlineStr">
        <is>
          <t>Motaggsvamp</t>
        </is>
      </c>
      <c r="S56">
        <f>HYPERLINK("https://klasma.github.io/Logging_1907/artfynd/A 55042-2025 artfynd.xlsx", "A 55042-2025")</f>
        <v/>
      </c>
      <c r="T56">
        <f>HYPERLINK("https://klasma.github.io/Logging_1907/kartor/A 55042-2025 karta.png", "A 55042-2025")</f>
        <v/>
      </c>
      <c r="V56">
        <f>HYPERLINK("https://klasma.github.io/Logging_1907/klagomål/A 55042-2025 FSC-klagomål.docx", "A 55042-2025")</f>
        <v/>
      </c>
      <c r="W56">
        <f>HYPERLINK("https://klasma.github.io/Logging_1907/klagomålsmail/A 55042-2025 FSC-klagomål mail.docx", "A 55042-2025")</f>
        <v/>
      </c>
      <c r="X56">
        <f>HYPERLINK("https://klasma.github.io/Logging_1907/tillsyn/A 55042-2025 tillsynsbegäran.docx", "A 55042-2025")</f>
        <v/>
      </c>
      <c r="Y56">
        <f>HYPERLINK("https://klasma.github.io/Logging_1907/tillsynsmail/A 55042-2025 tillsynsbegäran mail.docx", "A 55042-2025")</f>
        <v/>
      </c>
    </row>
    <row r="57" ht="15" customHeight="1">
      <c r="A57" t="inlineStr">
        <is>
          <t>A 55871-2025</t>
        </is>
      </c>
      <c r="B57" s="1" t="n">
        <v>45973.35452546296</v>
      </c>
      <c r="C57" s="1" t="n">
        <v>46190</v>
      </c>
      <c r="D57" t="inlineStr">
        <is>
          <t>VÄSTMANLANDS LÄN</t>
        </is>
      </c>
      <c r="E57" t="inlineStr">
        <is>
          <t>SURAHAMMAR</t>
        </is>
      </c>
      <c r="F57" t="inlineStr">
        <is>
          <t>Sveaskog</t>
        </is>
      </c>
      <c r="G57" t="n">
        <v>1.4</v>
      </c>
      <c r="H57" t="n">
        <v>1</v>
      </c>
      <c r="I57" t="n">
        <v>0</v>
      </c>
      <c r="J57" t="n">
        <v>0</v>
      </c>
      <c r="K57" t="n">
        <v>0</v>
      </c>
      <c r="L57" t="n">
        <v>0</v>
      </c>
      <c r="M57" t="n">
        <v>0</v>
      </c>
      <c r="N57" t="n">
        <v>0</v>
      </c>
      <c r="O57" t="n">
        <v>0</v>
      </c>
      <c r="P57" t="n">
        <v>0</v>
      </c>
      <c r="Q57" t="n">
        <v>1</v>
      </c>
      <c r="R57" s="2" t="inlineStr">
        <is>
          <t>Lopplummer (aggregat)</t>
        </is>
      </c>
      <c r="S57">
        <f>HYPERLINK("https://klasma.github.io/Logging_1907/artfynd/A 55871-2025 artfynd.xlsx", "A 55871-2025")</f>
        <v/>
      </c>
      <c r="T57">
        <f>HYPERLINK("https://klasma.github.io/Logging_1907/kartor/A 55871-2025 karta.png", "A 55871-2025")</f>
        <v/>
      </c>
      <c r="V57">
        <f>HYPERLINK("https://klasma.github.io/Logging_1907/klagomål/A 55871-2025 FSC-klagomål.docx", "A 55871-2025")</f>
        <v/>
      </c>
      <c r="W57">
        <f>HYPERLINK("https://klasma.github.io/Logging_1907/klagomålsmail/A 55871-2025 FSC-klagomål mail.docx", "A 55871-2025")</f>
        <v/>
      </c>
      <c r="X57">
        <f>HYPERLINK("https://klasma.github.io/Logging_1907/tillsyn/A 55871-2025 tillsynsbegäran.docx", "A 55871-2025")</f>
        <v/>
      </c>
      <c r="Y57">
        <f>HYPERLINK("https://klasma.github.io/Logging_1907/tillsynsmail/A 55871-2025 tillsynsbegäran mail.docx", "A 55871-2025")</f>
        <v/>
      </c>
    </row>
    <row r="58" ht="15" customHeight="1">
      <c r="A58" t="inlineStr">
        <is>
          <t>A 56768-2025</t>
        </is>
      </c>
      <c r="B58" s="1" t="n">
        <v>45978</v>
      </c>
      <c r="C58" s="1" t="n">
        <v>46190</v>
      </c>
      <c r="D58" t="inlineStr">
        <is>
          <t>VÄSTMANLANDS LÄN</t>
        </is>
      </c>
      <c r="E58" t="inlineStr">
        <is>
          <t>SURAHAMMAR</t>
        </is>
      </c>
      <c r="F58" t="inlineStr">
        <is>
          <t>Sveaskog</t>
        </is>
      </c>
      <c r="G58" t="n">
        <v>3.8</v>
      </c>
      <c r="H58" t="n">
        <v>0</v>
      </c>
      <c r="I58" t="n">
        <v>0</v>
      </c>
      <c r="J58" t="n">
        <v>1</v>
      </c>
      <c r="K58" t="n">
        <v>0</v>
      </c>
      <c r="L58" t="n">
        <v>0</v>
      </c>
      <c r="M58" t="n">
        <v>0</v>
      </c>
      <c r="N58" t="n">
        <v>0</v>
      </c>
      <c r="O58" t="n">
        <v>1</v>
      </c>
      <c r="P58" t="n">
        <v>0</v>
      </c>
      <c r="Q58" t="n">
        <v>1</v>
      </c>
      <c r="R58" s="2" t="inlineStr">
        <is>
          <t>Motaggsvamp</t>
        </is>
      </c>
      <c r="S58">
        <f>HYPERLINK("https://klasma.github.io/Logging_1907/artfynd/A 56768-2025 artfynd.xlsx", "A 56768-2025")</f>
        <v/>
      </c>
      <c r="T58">
        <f>HYPERLINK("https://klasma.github.io/Logging_1907/kartor/A 56768-2025 karta.png", "A 56768-2025")</f>
        <v/>
      </c>
      <c r="V58">
        <f>HYPERLINK("https://klasma.github.io/Logging_1907/klagomål/A 56768-2025 FSC-klagomål.docx", "A 56768-2025")</f>
        <v/>
      </c>
      <c r="W58">
        <f>HYPERLINK("https://klasma.github.io/Logging_1907/klagomålsmail/A 56768-2025 FSC-klagomål mail.docx", "A 56768-2025")</f>
        <v/>
      </c>
      <c r="X58">
        <f>HYPERLINK("https://klasma.github.io/Logging_1907/tillsyn/A 56768-2025 tillsynsbegäran.docx", "A 56768-2025")</f>
        <v/>
      </c>
      <c r="Y58">
        <f>HYPERLINK("https://klasma.github.io/Logging_1907/tillsynsmail/A 56768-2025 tillsynsbegäran mail.docx", "A 56768-2025")</f>
        <v/>
      </c>
    </row>
    <row r="59" ht="15" customHeight="1">
      <c r="A59" t="inlineStr">
        <is>
          <t>A 22840-2023</t>
        </is>
      </c>
      <c r="B59" s="1" t="n">
        <v>45072</v>
      </c>
      <c r="C59" s="1" t="n">
        <v>46190</v>
      </c>
      <c r="D59" t="inlineStr">
        <is>
          <t>VÄSTMANLANDS LÄN</t>
        </is>
      </c>
      <c r="E59" t="inlineStr">
        <is>
          <t>SURAHAMMAR</t>
        </is>
      </c>
      <c r="G59" t="n">
        <v>4.3</v>
      </c>
      <c r="H59" t="n">
        <v>1</v>
      </c>
      <c r="I59" t="n">
        <v>0</v>
      </c>
      <c r="J59" t="n">
        <v>0</v>
      </c>
      <c r="K59" t="n">
        <v>0</v>
      </c>
      <c r="L59" t="n">
        <v>0</v>
      </c>
      <c r="M59" t="n">
        <v>0</v>
      </c>
      <c r="N59" t="n">
        <v>0</v>
      </c>
      <c r="O59" t="n">
        <v>0</v>
      </c>
      <c r="P59" t="n">
        <v>0</v>
      </c>
      <c r="Q59" t="n">
        <v>1</v>
      </c>
      <c r="R59" s="2" t="inlineStr">
        <is>
          <t>Fläcknycklar</t>
        </is>
      </c>
      <c r="S59">
        <f>HYPERLINK("https://klasma.github.io/Logging_1907/artfynd/A 22840-2023 artfynd.xlsx", "A 22840-2023")</f>
        <v/>
      </c>
      <c r="T59">
        <f>HYPERLINK("https://klasma.github.io/Logging_1907/kartor/A 22840-2023 karta.png", "A 22840-2023")</f>
        <v/>
      </c>
      <c r="V59">
        <f>HYPERLINK("https://klasma.github.io/Logging_1907/klagomål/A 22840-2023 FSC-klagomål.docx", "A 22840-2023")</f>
        <v/>
      </c>
      <c r="W59">
        <f>HYPERLINK("https://klasma.github.io/Logging_1907/klagomålsmail/A 22840-2023 FSC-klagomål mail.docx", "A 22840-2023")</f>
        <v/>
      </c>
      <c r="X59">
        <f>HYPERLINK("https://klasma.github.io/Logging_1907/tillsyn/A 22840-2023 tillsynsbegäran.docx", "A 22840-2023")</f>
        <v/>
      </c>
      <c r="Y59">
        <f>HYPERLINK("https://klasma.github.io/Logging_1907/tillsynsmail/A 22840-2023 tillsynsbegäran mail.docx", "A 22840-2023")</f>
        <v/>
      </c>
    </row>
    <row r="60" ht="15" customHeight="1">
      <c r="A60" t="inlineStr">
        <is>
          <t>A 33231-2024</t>
        </is>
      </c>
      <c r="B60" s="1" t="n">
        <v>45518</v>
      </c>
      <c r="C60" s="1" t="n">
        <v>46190</v>
      </c>
      <c r="D60" t="inlineStr">
        <is>
          <t>VÄSTMANLANDS LÄN</t>
        </is>
      </c>
      <c r="E60" t="inlineStr">
        <is>
          <t>SURAHAMMAR</t>
        </is>
      </c>
      <c r="F60" t="inlineStr">
        <is>
          <t>Bergvik skog väst AB</t>
        </is>
      </c>
      <c r="G60" t="n">
        <v>1.5</v>
      </c>
      <c r="H60" t="n">
        <v>1</v>
      </c>
      <c r="I60" t="n">
        <v>0</v>
      </c>
      <c r="J60" t="n">
        <v>0</v>
      </c>
      <c r="K60" t="n">
        <v>0</v>
      </c>
      <c r="L60" t="n">
        <v>0</v>
      </c>
      <c r="M60" t="n">
        <v>0</v>
      </c>
      <c r="N60" t="n">
        <v>0</v>
      </c>
      <c r="O60" t="n">
        <v>0</v>
      </c>
      <c r="P60" t="n">
        <v>0</v>
      </c>
      <c r="Q60" t="n">
        <v>1</v>
      </c>
      <c r="R60" s="2" t="inlineStr">
        <is>
          <t>Mindre vattensalamander</t>
        </is>
      </c>
      <c r="S60">
        <f>HYPERLINK("https://klasma.github.io/Logging_1907/artfynd/A 33231-2024 artfynd.xlsx", "A 33231-2024")</f>
        <v/>
      </c>
      <c r="T60">
        <f>HYPERLINK("https://klasma.github.io/Logging_1907/kartor/A 33231-2024 karta.png", "A 33231-2024")</f>
        <v/>
      </c>
      <c r="V60">
        <f>HYPERLINK("https://klasma.github.io/Logging_1907/klagomål/A 33231-2024 FSC-klagomål.docx", "A 33231-2024")</f>
        <v/>
      </c>
      <c r="W60">
        <f>HYPERLINK("https://klasma.github.io/Logging_1907/klagomålsmail/A 33231-2024 FSC-klagomål mail.docx", "A 33231-2024")</f>
        <v/>
      </c>
      <c r="X60">
        <f>HYPERLINK("https://klasma.github.io/Logging_1907/tillsyn/A 33231-2024 tillsynsbegäran.docx", "A 33231-2024")</f>
        <v/>
      </c>
      <c r="Y60">
        <f>HYPERLINK("https://klasma.github.io/Logging_1907/tillsynsmail/A 33231-2024 tillsynsbegäran mail.docx", "A 33231-2024")</f>
        <v/>
      </c>
    </row>
    <row r="61" ht="15" customHeight="1">
      <c r="A61" t="inlineStr">
        <is>
          <t>A 63145-2025</t>
        </is>
      </c>
      <c r="B61" s="1" t="n">
        <v>46009</v>
      </c>
      <c r="C61" s="1" t="n">
        <v>46190</v>
      </c>
      <c r="D61" t="inlineStr">
        <is>
          <t>VÄSTMANLANDS LÄN</t>
        </is>
      </c>
      <c r="E61" t="inlineStr">
        <is>
          <t>SURAHAMMAR</t>
        </is>
      </c>
      <c r="F61" t="inlineStr">
        <is>
          <t>Bergvik skog väst AB</t>
        </is>
      </c>
      <c r="G61" t="n">
        <v>40.5</v>
      </c>
      <c r="H61" t="n">
        <v>0</v>
      </c>
      <c r="I61" t="n">
        <v>1</v>
      </c>
      <c r="J61" t="n">
        <v>0</v>
      </c>
      <c r="K61" t="n">
        <v>0</v>
      </c>
      <c r="L61" t="n">
        <v>0</v>
      </c>
      <c r="M61" t="n">
        <v>0</v>
      </c>
      <c r="N61" t="n">
        <v>0</v>
      </c>
      <c r="O61" t="n">
        <v>0</v>
      </c>
      <c r="P61" t="n">
        <v>0</v>
      </c>
      <c r="Q61" t="n">
        <v>1</v>
      </c>
      <c r="R61" s="2" t="inlineStr">
        <is>
          <t>Svart trolldruva</t>
        </is>
      </c>
      <c r="S61">
        <f>HYPERLINK("https://klasma.github.io/Logging_1907/artfynd/A 63145-2025 artfynd.xlsx", "A 63145-2025")</f>
        <v/>
      </c>
      <c r="T61">
        <f>HYPERLINK("https://klasma.github.io/Logging_1907/kartor/A 63145-2025 karta.png", "A 63145-2025")</f>
        <v/>
      </c>
      <c r="V61">
        <f>HYPERLINK("https://klasma.github.io/Logging_1907/klagomål/A 63145-2025 FSC-klagomål.docx", "A 63145-2025")</f>
        <v/>
      </c>
      <c r="W61">
        <f>HYPERLINK("https://klasma.github.io/Logging_1907/klagomålsmail/A 63145-2025 FSC-klagomål mail.docx", "A 63145-2025")</f>
        <v/>
      </c>
      <c r="X61">
        <f>HYPERLINK("https://klasma.github.io/Logging_1907/tillsyn/A 63145-2025 tillsynsbegäran.docx", "A 63145-2025")</f>
        <v/>
      </c>
      <c r="Y61">
        <f>HYPERLINK("https://klasma.github.io/Logging_1907/tillsynsmail/A 63145-2025 tillsynsbegäran mail.docx", "A 63145-2025")</f>
        <v/>
      </c>
    </row>
    <row r="62" ht="15" customHeight="1">
      <c r="A62" t="inlineStr">
        <is>
          <t>A 63138-2025</t>
        </is>
      </c>
      <c r="B62" s="1" t="n">
        <v>46009</v>
      </c>
      <c r="C62" s="1" t="n">
        <v>46190</v>
      </c>
      <c r="D62" t="inlineStr">
        <is>
          <t>VÄSTMANLANDS LÄN</t>
        </is>
      </c>
      <c r="E62" t="inlineStr">
        <is>
          <t>SURAHAMMAR</t>
        </is>
      </c>
      <c r="F62" t="inlineStr">
        <is>
          <t>Bergvik skog väst AB</t>
        </is>
      </c>
      <c r="G62" t="n">
        <v>2.5</v>
      </c>
      <c r="H62" t="n">
        <v>1</v>
      </c>
      <c r="I62" t="n">
        <v>0</v>
      </c>
      <c r="J62" t="n">
        <v>0</v>
      </c>
      <c r="K62" t="n">
        <v>0</v>
      </c>
      <c r="L62" t="n">
        <v>0</v>
      </c>
      <c r="M62" t="n">
        <v>0</v>
      </c>
      <c r="N62" t="n">
        <v>0</v>
      </c>
      <c r="O62" t="n">
        <v>0</v>
      </c>
      <c r="P62" t="n">
        <v>0</v>
      </c>
      <c r="Q62" t="n">
        <v>1</v>
      </c>
      <c r="R62" s="2" t="inlineStr">
        <is>
          <t>Tjäder</t>
        </is>
      </c>
      <c r="S62">
        <f>HYPERLINK("https://klasma.github.io/Logging_1907/artfynd/A 63138-2025 artfynd.xlsx", "A 63138-2025")</f>
        <v/>
      </c>
      <c r="T62">
        <f>HYPERLINK("https://klasma.github.io/Logging_1907/kartor/A 63138-2025 karta.png", "A 63138-2025")</f>
        <v/>
      </c>
      <c r="V62">
        <f>HYPERLINK("https://klasma.github.io/Logging_1907/klagomål/A 63138-2025 FSC-klagomål.docx", "A 63138-2025")</f>
        <v/>
      </c>
      <c r="W62">
        <f>HYPERLINK("https://klasma.github.io/Logging_1907/klagomålsmail/A 63138-2025 FSC-klagomål mail.docx", "A 63138-2025")</f>
        <v/>
      </c>
      <c r="X62">
        <f>HYPERLINK("https://klasma.github.io/Logging_1907/tillsyn/A 63138-2025 tillsynsbegäran.docx", "A 63138-2025")</f>
        <v/>
      </c>
      <c r="Y62">
        <f>HYPERLINK("https://klasma.github.io/Logging_1907/tillsynsmail/A 63138-2025 tillsynsbegäran mail.docx", "A 63138-2025")</f>
        <v/>
      </c>
      <c r="Z62">
        <f>HYPERLINK("https://klasma.github.io/Logging_1907/fåglar/A 63138-2025 prioriterade fågelarter.docx", "A 63138-2025")</f>
        <v/>
      </c>
    </row>
    <row r="63" ht="15" customHeight="1">
      <c r="A63" t="inlineStr">
        <is>
          <t>A 14001-2023</t>
        </is>
      </c>
      <c r="B63" s="1" t="n">
        <v>45007</v>
      </c>
      <c r="C63" s="1" t="n">
        <v>46190</v>
      </c>
      <c r="D63" t="inlineStr">
        <is>
          <t>VÄSTMANLANDS LÄN</t>
        </is>
      </c>
      <c r="E63" t="inlineStr">
        <is>
          <t>SURAHAMMAR</t>
        </is>
      </c>
      <c r="F63" t="inlineStr">
        <is>
          <t>Bergvik skog väst AB</t>
        </is>
      </c>
      <c r="G63" t="n">
        <v>1</v>
      </c>
      <c r="H63" t="n">
        <v>0</v>
      </c>
      <c r="I63" t="n">
        <v>0</v>
      </c>
      <c r="J63" t="n">
        <v>1</v>
      </c>
      <c r="K63" t="n">
        <v>0</v>
      </c>
      <c r="L63" t="n">
        <v>0</v>
      </c>
      <c r="M63" t="n">
        <v>0</v>
      </c>
      <c r="N63" t="n">
        <v>0</v>
      </c>
      <c r="O63" t="n">
        <v>1</v>
      </c>
      <c r="P63" t="n">
        <v>0</v>
      </c>
      <c r="Q63" t="n">
        <v>1</v>
      </c>
      <c r="R63" s="2" t="inlineStr">
        <is>
          <t>Motaggsvamp</t>
        </is>
      </c>
      <c r="S63">
        <f>HYPERLINK("https://klasma.github.io/Logging_1907/artfynd/A 14001-2023 artfynd.xlsx", "A 14001-2023")</f>
        <v/>
      </c>
      <c r="T63">
        <f>HYPERLINK("https://klasma.github.io/Logging_1907/kartor/A 14001-2023 karta.png", "A 14001-2023")</f>
        <v/>
      </c>
      <c r="V63">
        <f>HYPERLINK("https://klasma.github.io/Logging_1907/klagomål/A 14001-2023 FSC-klagomål.docx", "A 14001-2023")</f>
        <v/>
      </c>
      <c r="W63">
        <f>HYPERLINK("https://klasma.github.io/Logging_1907/klagomålsmail/A 14001-2023 FSC-klagomål mail.docx", "A 14001-2023")</f>
        <v/>
      </c>
      <c r="X63">
        <f>HYPERLINK("https://klasma.github.io/Logging_1907/tillsyn/A 14001-2023 tillsynsbegäran.docx", "A 14001-2023")</f>
        <v/>
      </c>
      <c r="Y63">
        <f>HYPERLINK("https://klasma.github.io/Logging_1907/tillsynsmail/A 14001-2023 tillsynsbegäran mail.docx", "A 14001-2023")</f>
        <v/>
      </c>
    </row>
    <row r="64" ht="15" customHeight="1">
      <c r="A64" t="inlineStr">
        <is>
          <t>A 13971-2023</t>
        </is>
      </c>
      <c r="B64" s="1" t="n">
        <v>45007</v>
      </c>
      <c r="C64" s="1" t="n">
        <v>46190</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31176-2024</t>
        </is>
      </c>
      <c r="B65" s="1" t="n">
        <v>45503</v>
      </c>
      <c r="C65" s="1" t="n">
        <v>46190</v>
      </c>
      <c r="D65" t="inlineStr">
        <is>
          <t>VÄSTMANLANDS LÄN</t>
        </is>
      </c>
      <c r="E65" t="inlineStr">
        <is>
          <t>SURAHAMMAR</t>
        </is>
      </c>
      <c r="F65" t="inlineStr">
        <is>
          <t>Allmännings- och besparingsskogar</t>
        </is>
      </c>
      <c r="G65" t="n">
        <v>10.7</v>
      </c>
      <c r="H65" t="n">
        <v>0</v>
      </c>
      <c r="I65" t="n">
        <v>0</v>
      </c>
      <c r="J65" t="n">
        <v>1</v>
      </c>
      <c r="K65" t="n">
        <v>0</v>
      </c>
      <c r="L65" t="n">
        <v>0</v>
      </c>
      <c r="M65" t="n">
        <v>0</v>
      </c>
      <c r="N65" t="n">
        <v>0</v>
      </c>
      <c r="O65" t="n">
        <v>1</v>
      </c>
      <c r="P65" t="n">
        <v>0</v>
      </c>
      <c r="Q65" t="n">
        <v>1</v>
      </c>
      <c r="R65" s="2" t="inlineStr">
        <is>
          <t>Doftskinn</t>
        </is>
      </c>
      <c r="S65">
        <f>HYPERLINK("https://klasma.github.io/Logging_1907/artfynd/A 31176-2024 artfynd.xlsx", "A 31176-2024")</f>
        <v/>
      </c>
      <c r="T65">
        <f>HYPERLINK("https://klasma.github.io/Logging_1907/kartor/A 31176-2024 karta.png", "A 31176-2024")</f>
        <v/>
      </c>
      <c r="V65">
        <f>HYPERLINK("https://klasma.github.io/Logging_1907/klagomål/A 31176-2024 FSC-klagomål.docx", "A 31176-2024")</f>
        <v/>
      </c>
      <c r="W65">
        <f>HYPERLINK("https://klasma.github.io/Logging_1907/klagomålsmail/A 31176-2024 FSC-klagomål mail.docx", "A 31176-2024")</f>
        <v/>
      </c>
      <c r="X65">
        <f>HYPERLINK("https://klasma.github.io/Logging_1907/tillsyn/A 31176-2024 tillsynsbegäran.docx", "A 31176-2024")</f>
        <v/>
      </c>
      <c r="Y65">
        <f>HYPERLINK("https://klasma.github.io/Logging_1907/tillsynsmail/A 31176-2024 tillsynsbegäran mail.docx", "A 31176-2024")</f>
        <v/>
      </c>
    </row>
    <row r="66" ht="15" customHeight="1">
      <c r="A66" t="inlineStr">
        <is>
          <t>A 64073-2021</t>
        </is>
      </c>
      <c r="B66" s="1" t="n">
        <v>44509</v>
      </c>
      <c r="C66" s="1" t="n">
        <v>46190</v>
      </c>
      <c r="D66" t="inlineStr">
        <is>
          <t>VÄSTMANLANDS LÄN</t>
        </is>
      </c>
      <c r="E66" t="inlineStr">
        <is>
          <t>SURAHAMMAR</t>
        </is>
      </c>
      <c r="G66" t="n">
        <v>0.4</v>
      </c>
      <c r="H66" t="n">
        <v>0</v>
      </c>
      <c r="I66" t="n">
        <v>0</v>
      </c>
      <c r="J66" t="n">
        <v>0</v>
      </c>
      <c r="K66" t="n">
        <v>0</v>
      </c>
      <c r="L66" t="n">
        <v>0</v>
      </c>
      <c r="M66" t="n">
        <v>0</v>
      </c>
      <c r="N66" t="n">
        <v>0</v>
      </c>
      <c r="O66" t="n">
        <v>0</v>
      </c>
      <c r="P66" t="n">
        <v>0</v>
      </c>
      <c r="Q66" t="n">
        <v>0</v>
      </c>
      <c r="R66" s="2" t="inlineStr"/>
    </row>
    <row r="67" ht="15" customHeight="1">
      <c r="A67" t="inlineStr">
        <is>
          <t>A 19845-2022</t>
        </is>
      </c>
      <c r="B67" s="1" t="n">
        <v>44696.88850694444</v>
      </c>
      <c r="C67" s="1" t="n">
        <v>46190</v>
      </c>
      <c r="D67" t="inlineStr">
        <is>
          <t>VÄSTMANLANDS LÄN</t>
        </is>
      </c>
      <c r="E67" t="inlineStr">
        <is>
          <t>SURAHAMMAR</t>
        </is>
      </c>
      <c r="F67" t="inlineStr">
        <is>
          <t>Kommuner</t>
        </is>
      </c>
      <c r="G67" t="n">
        <v>3.3</v>
      </c>
      <c r="H67" t="n">
        <v>0</v>
      </c>
      <c r="I67" t="n">
        <v>0</v>
      </c>
      <c r="J67" t="n">
        <v>0</v>
      </c>
      <c r="K67" t="n">
        <v>0</v>
      </c>
      <c r="L67" t="n">
        <v>0</v>
      </c>
      <c r="M67" t="n">
        <v>0</v>
      </c>
      <c r="N67" t="n">
        <v>0</v>
      </c>
      <c r="O67" t="n">
        <v>0</v>
      </c>
      <c r="P67" t="n">
        <v>0</v>
      </c>
      <c r="Q67" t="n">
        <v>0</v>
      </c>
      <c r="R67" s="2" t="inlineStr"/>
    </row>
    <row r="68" ht="15" customHeight="1">
      <c r="A68" t="inlineStr">
        <is>
          <t>A 19844-2022</t>
        </is>
      </c>
      <c r="B68" s="1" t="n">
        <v>44696.88001157407</v>
      </c>
      <c r="C68" s="1" t="n">
        <v>46190</v>
      </c>
      <c r="D68" t="inlineStr">
        <is>
          <t>VÄSTMANLANDS LÄN</t>
        </is>
      </c>
      <c r="E68" t="inlineStr">
        <is>
          <t>SURAHAMMAR</t>
        </is>
      </c>
      <c r="F68" t="inlineStr">
        <is>
          <t>Kommuner</t>
        </is>
      </c>
      <c r="G68" t="n">
        <v>2.1</v>
      </c>
      <c r="H68" t="n">
        <v>0</v>
      </c>
      <c r="I68" t="n">
        <v>0</v>
      </c>
      <c r="J68" t="n">
        <v>0</v>
      </c>
      <c r="K68" t="n">
        <v>0</v>
      </c>
      <c r="L68" t="n">
        <v>0</v>
      </c>
      <c r="M68" t="n">
        <v>0</v>
      </c>
      <c r="N68" t="n">
        <v>0</v>
      </c>
      <c r="O68" t="n">
        <v>0</v>
      </c>
      <c r="P68" t="n">
        <v>0</v>
      </c>
      <c r="Q68" t="n">
        <v>0</v>
      </c>
      <c r="R68" s="2" t="inlineStr"/>
    </row>
    <row r="69" ht="15" customHeight="1">
      <c r="A69" t="inlineStr">
        <is>
          <t>A 32491-2022</t>
        </is>
      </c>
      <c r="B69" s="1" t="n">
        <v>44782</v>
      </c>
      <c r="C69" s="1" t="n">
        <v>46190</v>
      </c>
      <c r="D69" t="inlineStr">
        <is>
          <t>VÄSTMANLANDS LÄN</t>
        </is>
      </c>
      <c r="E69" t="inlineStr">
        <is>
          <t>SURAHAMMAR</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37799-2021</t>
        </is>
      </c>
      <c r="B70" s="1" t="n">
        <v>44402</v>
      </c>
      <c r="C70" s="1" t="n">
        <v>46190</v>
      </c>
      <c r="D70" t="inlineStr">
        <is>
          <t>VÄSTMANLANDS LÄN</t>
        </is>
      </c>
      <c r="E70" t="inlineStr">
        <is>
          <t>SURAHAMMAR</t>
        </is>
      </c>
      <c r="F70" t="inlineStr">
        <is>
          <t>Kommuner</t>
        </is>
      </c>
      <c r="G70" t="n">
        <v>2.1</v>
      </c>
      <c r="H70" t="n">
        <v>0</v>
      </c>
      <c r="I70" t="n">
        <v>0</v>
      </c>
      <c r="J70" t="n">
        <v>0</v>
      </c>
      <c r="K70" t="n">
        <v>0</v>
      </c>
      <c r="L70" t="n">
        <v>0</v>
      </c>
      <c r="M70" t="n">
        <v>0</v>
      </c>
      <c r="N70" t="n">
        <v>0</v>
      </c>
      <c r="O70" t="n">
        <v>0</v>
      </c>
      <c r="P70" t="n">
        <v>0</v>
      </c>
      <c r="Q70" t="n">
        <v>0</v>
      </c>
      <c r="R70" s="2" t="inlineStr"/>
    </row>
    <row r="71" ht="15" customHeight="1">
      <c r="A71" t="inlineStr">
        <is>
          <t>A 73156-2021</t>
        </is>
      </c>
      <c r="B71" s="1" t="n">
        <v>44550</v>
      </c>
      <c r="C71" s="1" t="n">
        <v>46190</v>
      </c>
      <c r="D71" t="inlineStr">
        <is>
          <t>VÄSTMANLANDS LÄN</t>
        </is>
      </c>
      <c r="E71" t="inlineStr">
        <is>
          <t>SURAHAMMAR</t>
        </is>
      </c>
      <c r="F71" t="inlineStr">
        <is>
          <t>Övriga Aktiebolag</t>
        </is>
      </c>
      <c r="G71" t="n">
        <v>2.5</v>
      </c>
      <c r="H71" t="n">
        <v>0</v>
      </c>
      <c r="I71" t="n">
        <v>0</v>
      </c>
      <c r="J71" t="n">
        <v>0</v>
      </c>
      <c r="K71" t="n">
        <v>0</v>
      </c>
      <c r="L71" t="n">
        <v>0</v>
      </c>
      <c r="M71" t="n">
        <v>0</v>
      </c>
      <c r="N71" t="n">
        <v>0</v>
      </c>
      <c r="O71" t="n">
        <v>0</v>
      </c>
      <c r="P71" t="n">
        <v>0</v>
      </c>
      <c r="Q71" t="n">
        <v>0</v>
      </c>
      <c r="R71" s="2" t="inlineStr"/>
    </row>
    <row r="72" ht="15" customHeight="1">
      <c r="A72" t="inlineStr">
        <is>
          <t>A 38178-2021</t>
        </is>
      </c>
      <c r="B72" s="1" t="n">
        <v>44405</v>
      </c>
      <c r="C72" s="1" t="n">
        <v>46190</v>
      </c>
      <c r="D72" t="inlineStr">
        <is>
          <t>VÄSTMANLANDS LÄN</t>
        </is>
      </c>
      <c r="E72" t="inlineStr">
        <is>
          <t>SURAHAMMAR</t>
        </is>
      </c>
      <c r="F72" t="inlineStr">
        <is>
          <t>Sveaskog</t>
        </is>
      </c>
      <c r="G72" t="n">
        <v>1.3</v>
      </c>
      <c r="H72" t="n">
        <v>0</v>
      </c>
      <c r="I72" t="n">
        <v>0</v>
      </c>
      <c r="J72" t="n">
        <v>0</v>
      </c>
      <c r="K72" t="n">
        <v>0</v>
      </c>
      <c r="L72" t="n">
        <v>0</v>
      </c>
      <c r="M72" t="n">
        <v>0</v>
      </c>
      <c r="N72" t="n">
        <v>0</v>
      </c>
      <c r="O72" t="n">
        <v>0</v>
      </c>
      <c r="P72" t="n">
        <v>0</v>
      </c>
      <c r="Q72" t="n">
        <v>0</v>
      </c>
      <c r="R72" s="2" t="inlineStr"/>
    </row>
    <row r="73" ht="15" customHeight="1">
      <c r="A73" t="inlineStr">
        <is>
          <t>A 31468-2021</t>
        </is>
      </c>
      <c r="B73" s="1" t="n">
        <v>44369</v>
      </c>
      <c r="C73" s="1" t="n">
        <v>46190</v>
      </c>
      <c r="D73" t="inlineStr">
        <is>
          <t>VÄSTMANLANDS LÄN</t>
        </is>
      </c>
      <c r="E73" t="inlineStr">
        <is>
          <t>SURAHAMMAR</t>
        </is>
      </c>
      <c r="G73" t="n">
        <v>1.1</v>
      </c>
      <c r="H73" t="n">
        <v>0</v>
      </c>
      <c r="I73" t="n">
        <v>0</v>
      </c>
      <c r="J73" t="n">
        <v>0</v>
      </c>
      <c r="K73" t="n">
        <v>0</v>
      </c>
      <c r="L73" t="n">
        <v>0</v>
      </c>
      <c r="M73" t="n">
        <v>0</v>
      </c>
      <c r="N73" t="n">
        <v>0</v>
      </c>
      <c r="O73" t="n">
        <v>0</v>
      </c>
      <c r="P73" t="n">
        <v>0</v>
      </c>
      <c r="Q73" t="n">
        <v>0</v>
      </c>
      <c r="R73" s="2" t="inlineStr"/>
    </row>
    <row r="74" ht="15" customHeight="1">
      <c r="A74" t="inlineStr">
        <is>
          <t>A 3595-2022</t>
        </is>
      </c>
      <c r="B74" s="1" t="n">
        <v>44586</v>
      </c>
      <c r="C74" s="1" t="n">
        <v>46190</v>
      </c>
      <c r="D74" t="inlineStr">
        <is>
          <t>VÄSTMANLANDS LÄN</t>
        </is>
      </c>
      <c r="E74" t="inlineStr">
        <is>
          <t>SURAHAMMAR</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3155-2022</t>
        </is>
      </c>
      <c r="B75" s="1" t="n">
        <v>44582</v>
      </c>
      <c r="C75" s="1" t="n">
        <v>46190</v>
      </c>
      <c r="D75" t="inlineStr">
        <is>
          <t>VÄSTMANLANDS LÄN</t>
        </is>
      </c>
      <c r="E75" t="inlineStr">
        <is>
          <t>SURAHAMMAR</t>
        </is>
      </c>
      <c r="G75" t="n">
        <v>5.5</v>
      </c>
      <c r="H75" t="n">
        <v>0</v>
      </c>
      <c r="I75" t="n">
        <v>0</v>
      </c>
      <c r="J75" t="n">
        <v>0</v>
      </c>
      <c r="K75" t="n">
        <v>0</v>
      </c>
      <c r="L75" t="n">
        <v>0</v>
      </c>
      <c r="M75" t="n">
        <v>0</v>
      </c>
      <c r="N75" t="n">
        <v>0</v>
      </c>
      <c r="O75" t="n">
        <v>0</v>
      </c>
      <c r="P75" t="n">
        <v>0</v>
      </c>
      <c r="Q75" t="n">
        <v>0</v>
      </c>
      <c r="R75" s="2" t="inlineStr"/>
    </row>
    <row r="76" ht="15" customHeight="1">
      <c r="A76" t="inlineStr">
        <is>
          <t>A 19846-2022</t>
        </is>
      </c>
      <c r="B76" s="1" t="n">
        <v>44696.89327546296</v>
      </c>
      <c r="C76" s="1" t="n">
        <v>46190</v>
      </c>
      <c r="D76" t="inlineStr">
        <is>
          <t>VÄSTMANLANDS LÄN</t>
        </is>
      </c>
      <c r="E76" t="inlineStr">
        <is>
          <t>SURAHAMMAR</t>
        </is>
      </c>
      <c r="F76" t="inlineStr">
        <is>
          <t>Kommuner</t>
        </is>
      </c>
      <c r="G76" t="n">
        <v>3.4</v>
      </c>
      <c r="H76" t="n">
        <v>0</v>
      </c>
      <c r="I76" t="n">
        <v>0</v>
      </c>
      <c r="J76" t="n">
        <v>0</v>
      </c>
      <c r="K76" t="n">
        <v>0</v>
      </c>
      <c r="L76" t="n">
        <v>0</v>
      </c>
      <c r="M76" t="n">
        <v>0</v>
      </c>
      <c r="N76" t="n">
        <v>0</v>
      </c>
      <c r="O76" t="n">
        <v>0</v>
      </c>
      <c r="P76" t="n">
        <v>0</v>
      </c>
      <c r="Q76" t="n">
        <v>0</v>
      </c>
      <c r="R76" s="2" t="inlineStr"/>
    </row>
    <row r="77" ht="15" customHeight="1">
      <c r="A77" t="inlineStr">
        <is>
          <t>A 19637-2022</t>
        </is>
      </c>
      <c r="B77" s="1" t="n">
        <v>44694</v>
      </c>
      <c r="C77" s="1" t="n">
        <v>46190</v>
      </c>
      <c r="D77" t="inlineStr">
        <is>
          <t>VÄSTMANLANDS LÄN</t>
        </is>
      </c>
      <c r="E77" t="inlineStr">
        <is>
          <t>SURAHAMMAR</t>
        </is>
      </c>
      <c r="F77" t="inlineStr">
        <is>
          <t>Bergvik skog väst AB</t>
        </is>
      </c>
      <c r="G77" t="n">
        <v>0.7</v>
      </c>
      <c r="H77" t="n">
        <v>0</v>
      </c>
      <c r="I77" t="n">
        <v>0</v>
      </c>
      <c r="J77" t="n">
        <v>0</v>
      </c>
      <c r="K77" t="n">
        <v>0</v>
      </c>
      <c r="L77" t="n">
        <v>0</v>
      </c>
      <c r="M77" t="n">
        <v>0</v>
      </c>
      <c r="N77" t="n">
        <v>0</v>
      </c>
      <c r="O77" t="n">
        <v>0</v>
      </c>
      <c r="P77" t="n">
        <v>0</v>
      </c>
      <c r="Q77" t="n">
        <v>0</v>
      </c>
      <c r="R77" s="2" t="inlineStr"/>
    </row>
    <row r="78" ht="15" customHeight="1">
      <c r="A78" t="inlineStr">
        <is>
          <t>A 34957-2022</t>
        </is>
      </c>
      <c r="B78" s="1" t="n">
        <v>44796.64672453704</v>
      </c>
      <c r="C78" s="1" t="n">
        <v>46190</v>
      </c>
      <c r="D78" t="inlineStr">
        <is>
          <t>VÄSTMANLANDS LÄN</t>
        </is>
      </c>
      <c r="E78" t="inlineStr">
        <is>
          <t>SURAHAMMAR</t>
        </is>
      </c>
      <c r="F78" t="inlineStr">
        <is>
          <t>Sveaskog</t>
        </is>
      </c>
      <c r="G78" t="n">
        <v>0.8</v>
      </c>
      <c r="H78" t="n">
        <v>0</v>
      </c>
      <c r="I78" t="n">
        <v>0</v>
      </c>
      <c r="J78" t="n">
        <v>0</v>
      </c>
      <c r="K78" t="n">
        <v>0</v>
      </c>
      <c r="L78" t="n">
        <v>0</v>
      </c>
      <c r="M78" t="n">
        <v>0</v>
      </c>
      <c r="N78" t="n">
        <v>0</v>
      </c>
      <c r="O78" t="n">
        <v>0</v>
      </c>
      <c r="P78" t="n">
        <v>0</v>
      </c>
      <c r="Q78" t="n">
        <v>0</v>
      </c>
      <c r="R78" s="2" t="inlineStr"/>
    </row>
    <row r="79" ht="15" customHeight="1">
      <c r="A79" t="inlineStr">
        <is>
          <t>A 66342-2021</t>
        </is>
      </c>
      <c r="B79" s="1" t="n">
        <v>44518</v>
      </c>
      <c r="C79" s="1" t="n">
        <v>46190</v>
      </c>
      <c r="D79" t="inlineStr">
        <is>
          <t>VÄSTMANLANDS LÄN</t>
        </is>
      </c>
      <c r="E79" t="inlineStr">
        <is>
          <t>SURAHAMMAR</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25780-2023</t>
        </is>
      </c>
      <c r="B80" s="1" t="n">
        <v>45090.47523148148</v>
      </c>
      <c r="C80" s="1" t="n">
        <v>46190</v>
      </c>
      <c r="D80" t="inlineStr">
        <is>
          <t>VÄSTMANLANDS LÄN</t>
        </is>
      </c>
      <c r="E80" t="inlineStr">
        <is>
          <t>SURAHAMMAR</t>
        </is>
      </c>
      <c r="G80" t="n">
        <v>2.8</v>
      </c>
      <c r="H80" t="n">
        <v>0</v>
      </c>
      <c r="I80" t="n">
        <v>0</v>
      </c>
      <c r="J80" t="n">
        <v>0</v>
      </c>
      <c r="K80" t="n">
        <v>0</v>
      </c>
      <c r="L80" t="n">
        <v>0</v>
      </c>
      <c r="M80" t="n">
        <v>0</v>
      </c>
      <c r="N80" t="n">
        <v>0</v>
      </c>
      <c r="O80" t="n">
        <v>0</v>
      </c>
      <c r="P80" t="n">
        <v>0</v>
      </c>
      <c r="Q80" t="n">
        <v>0</v>
      </c>
      <c r="R80" s="2" t="inlineStr"/>
    </row>
    <row r="81" ht="15" customHeight="1">
      <c r="A81" t="inlineStr">
        <is>
          <t>A 24158-2023</t>
        </is>
      </c>
      <c r="B81" s="1" t="n">
        <v>45079</v>
      </c>
      <c r="C81" s="1" t="n">
        <v>46190</v>
      </c>
      <c r="D81" t="inlineStr">
        <is>
          <t>VÄSTMANLANDS LÄN</t>
        </is>
      </c>
      <c r="E81" t="inlineStr">
        <is>
          <t>SURAHAMMAR</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42714-2022</t>
        </is>
      </c>
      <c r="B82" s="1" t="n">
        <v>44832</v>
      </c>
      <c r="C82" s="1" t="n">
        <v>46190</v>
      </c>
      <c r="D82" t="inlineStr">
        <is>
          <t>VÄSTMANLANDS LÄN</t>
        </is>
      </c>
      <c r="E82" t="inlineStr">
        <is>
          <t>SURAHAMMAR</t>
        </is>
      </c>
      <c r="G82" t="n">
        <v>1.1</v>
      </c>
      <c r="H82" t="n">
        <v>0</v>
      </c>
      <c r="I82" t="n">
        <v>0</v>
      </c>
      <c r="J82" t="n">
        <v>0</v>
      </c>
      <c r="K82" t="n">
        <v>0</v>
      </c>
      <c r="L82" t="n">
        <v>0</v>
      </c>
      <c r="M82" t="n">
        <v>0</v>
      </c>
      <c r="N82" t="n">
        <v>0</v>
      </c>
      <c r="O82" t="n">
        <v>0</v>
      </c>
      <c r="P82" t="n">
        <v>0</v>
      </c>
      <c r="Q82" t="n">
        <v>0</v>
      </c>
      <c r="R82" s="2" t="inlineStr"/>
    </row>
    <row r="83" ht="15" customHeight="1">
      <c r="A83" t="inlineStr">
        <is>
          <t>A 47785-2021</t>
        </is>
      </c>
      <c r="B83" s="1" t="n">
        <v>44448</v>
      </c>
      <c r="C83" s="1" t="n">
        <v>46190</v>
      </c>
      <c r="D83" t="inlineStr">
        <is>
          <t>VÄSTMANLANDS LÄN</t>
        </is>
      </c>
      <c r="E83" t="inlineStr">
        <is>
          <t>SURAHAMMAR</t>
        </is>
      </c>
      <c r="F83" t="inlineStr">
        <is>
          <t>Kommuner</t>
        </is>
      </c>
      <c r="G83" t="n">
        <v>3.3</v>
      </c>
      <c r="H83" t="n">
        <v>0</v>
      </c>
      <c r="I83" t="n">
        <v>0</v>
      </c>
      <c r="J83" t="n">
        <v>0</v>
      </c>
      <c r="K83" t="n">
        <v>0</v>
      </c>
      <c r="L83" t="n">
        <v>0</v>
      </c>
      <c r="M83" t="n">
        <v>0</v>
      </c>
      <c r="N83" t="n">
        <v>0</v>
      </c>
      <c r="O83" t="n">
        <v>0</v>
      </c>
      <c r="P83" t="n">
        <v>0</v>
      </c>
      <c r="Q83" t="n">
        <v>0</v>
      </c>
      <c r="R83" s="2" t="inlineStr"/>
    </row>
    <row r="84" ht="15" customHeight="1">
      <c r="A84" t="inlineStr">
        <is>
          <t>A 35682-2022</t>
        </is>
      </c>
      <c r="B84" s="1" t="n">
        <v>44799.60422453703</v>
      </c>
      <c r="C84" s="1" t="n">
        <v>46190</v>
      </c>
      <c r="D84" t="inlineStr">
        <is>
          <t>VÄSTMANLANDS LÄN</t>
        </is>
      </c>
      <c r="E84" t="inlineStr">
        <is>
          <t>SURAHAMMAR</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48205-2023</t>
        </is>
      </c>
      <c r="B85" s="1" t="n">
        <v>45205</v>
      </c>
      <c r="C85" s="1" t="n">
        <v>46190</v>
      </c>
      <c r="D85" t="inlineStr">
        <is>
          <t>VÄSTMANLANDS LÄN</t>
        </is>
      </c>
      <c r="E85" t="inlineStr">
        <is>
          <t>SURAHAMMAR</t>
        </is>
      </c>
      <c r="F85" t="inlineStr">
        <is>
          <t>Allmännings- och besparingsskogar</t>
        </is>
      </c>
      <c r="G85" t="n">
        <v>7.6</v>
      </c>
      <c r="H85" t="n">
        <v>0</v>
      </c>
      <c r="I85" t="n">
        <v>0</v>
      </c>
      <c r="J85" t="n">
        <v>0</v>
      </c>
      <c r="K85" t="n">
        <v>0</v>
      </c>
      <c r="L85" t="n">
        <v>0</v>
      </c>
      <c r="M85" t="n">
        <v>0</v>
      </c>
      <c r="N85" t="n">
        <v>0</v>
      </c>
      <c r="O85" t="n">
        <v>0</v>
      </c>
      <c r="P85" t="n">
        <v>0</v>
      </c>
      <c r="Q85" t="n">
        <v>0</v>
      </c>
      <c r="R85" s="2" t="inlineStr"/>
    </row>
    <row r="86" ht="15" customHeight="1">
      <c r="A86" t="inlineStr">
        <is>
          <t>A 15743-2023</t>
        </is>
      </c>
      <c r="B86" s="1" t="n">
        <v>45021</v>
      </c>
      <c r="C86" s="1" t="n">
        <v>46190</v>
      </c>
      <c r="D86" t="inlineStr">
        <is>
          <t>VÄSTMANLANDS LÄN</t>
        </is>
      </c>
      <c r="E86" t="inlineStr">
        <is>
          <t>SURAHAMMAR</t>
        </is>
      </c>
      <c r="G86" t="n">
        <v>0.5</v>
      </c>
      <c r="H86" t="n">
        <v>0</v>
      </c>
      <c r="I86" t="n">
        <v>0</v>
      </c>
      <c r="J86" t="n">
        <v>0</v>
      </c>
      <c r="K86" t="n">
        <v>0</v>
      </c>
      <c r="L86" t="n">
        <v>0</v>
      </c>
      <c r="M86" t="n">
        <v>0</v>
      </c>
      <c r="N86" t="n">
        <v>0</v>
      </c>
      <c r="O86" t="n">
        <v>0</v>
      </c>
      <c r="P86" t="n">
        <v>0</v>
      </c>
      <c r="Q86" t="n">
        <v>0</v>
      </c>
      <c r="R86" s="2" t="inlineStr"/>
    </row>
    <row r="87" ht="15" customHeight="1">
      <c r="A87" t="inlineStr">
        <is>
          <t>A 30076-2023</t>
        </is>
      </c>
      <c r="B87" s="1" t="n">
        <v>45110</v>
      </c>
      <c r="C87" s="1" t="n">
        <v>46190</v>
      </c>
      <c r="D87" t="inlineStr">
        <is>
          <t>VÄSTMANLANDS LÄN</t>
        </is>
      </c>
      <c r="E87" t="inlineStr">
        <is>
          <t>SURAHAMMAR</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11728-2023</t>
        </is>
      </c>
      <c r="B88" s="1" t="n">
        <v>44993</v>
      </c>
      <c r="C88" s="1" t="n">
        <v>46190</v>
      </c>
      <c r="D88" t="inlineStr">
        <is>
          <t>VÄSTMANLANDS LÄN</t>
        </is>
      </c>
      <c r="E88" t="inlineStr">
        <is>
          <t>SURAHAMMAR</t>
        </is>
      </c>
      <c r="F88" t="inlineStr">
        <is>
          <t>Bergvik skog väst AB</t>
        </is>
      </c>
      <c r="G88" t="n">
        <v>0.4</v>
      </c>
      <c r="H88" t="n">
        <v>0</v>
      </c>
      <c r="I88" t="n">
        <v>0</v>
      </c>
      <c r="J88" t="n">
        <v>0</v>
      </c>
      <c r="K88" t="n">
        <v>0</v>
      </c>
      <c r="L88" t="n">
        <v>0</v>
      </c>
      <c r="M88" t="n">
        <v>0</v>
      </c>
      <c r="N88" t="n">
        <v>0</v>
      </c>
      <c r="O88" t="n">
        <v>0</v>
      </c>
      <c r="P88" t="n">
        <v>0</v>
      </c>
      <c r="Q88" t="n">
        <v>0</v>
      </c>
      <c r="R88" s="2" t="inlineStr"/>
    </row>
    <row r="89" ht="15" customHeight="1">
      <c r="A89" t="inlineStr">
        <is>
          <t>A 5567-2022</t>
        </is>
      </c>
      <c r="B89" s="1" t="n">
        <v>44595</v>
      </c>
      <c r="C89" s="1" t="n">
        <v>46190</v>
      </c>
      <c r="D89" t="inlineStr">
        <is>
          <t>VÄSTMANLANDS LÄN</t>
        </is>
      </c>
      <c r="E89" t="inlineStr">
        <is>
          <t>SURAHAMMAR</t>
        </is>
      </c>
      <c r="G89" t="n">
        <v>1.3</v>
      </c>
      <c r="H89" t="n">
        <v>0</v>
      </c>
      <c r="I89" t="n">
        <v>0</v>
      </c>
      <c r="J89" t="n">
        <v>0</v>
      </c>
      <c r="K89" t="n">
        <v>0</v>
      </c>
      <c r="L89" t="n">
        <v>0</v>
      </c>
      <c r="M89" t="n">
        <v>0</v>
      </c>
      <c r="N89" t="n">
        <v>0</v>
      </c>
      <c r="O89" t="n">
        <v>0</v>
      </c>
      <c r="P89" t="n">
        <v>0</v>
      </c>
      <c r="Q89" t="n">
        <v>0</v>
      </c>
      <c r="R89" s="2" t="inlineStr"/>
    </row>
    <row r="90" ht="15" customHeight="1">
      <c r="A90" t="inlineStr">
        <is>
          <t>A 15637-2022</t>
        </is>
      </c>
      <c r="B90" s="1" t="n">
        <v>44662.89638888889</v>
      </c>
      <c r="C90" s="1" t="n">
        <v>46190</v>
      </c>
      <c r="D90" t="inlineStr">
        <is>
          <t>VÄSTMANLANDS LÄN</t>
        </is>
      </c>
      <c r="E90" t="inlineStr">
        <is>
          <t>SURAHAMMAR</t>
        </is>
      </c>
      <c r="G90" t="n">
        <v>2.2</v>
      </c>
      <c r="H90" t="n">
        <v>0</v>
      </c>
      <c r="I90" t="n">
        <v>0</v>
      </c>
      <c r="J90" t="n">
        <v>0</v>
      </c>
      <c r="K90" t="n">
        <v>0</v>
      </c>
      <c r="L90" t="n">
        <v>0</v>
      </c>
      <c r="M90" t="n">
        <v>0</v>
      </c>
      <c r="N90" t="n">
        <v>0</v>
      </c>
      <c r="O90" t="n">
        <v>0</v>
      </c>
      <c r="P90" t="n">
        <v>0</v>
      </c>
      <c r="Q90" t="n">
        <v>0</v>
      </c>
      <c r="R90" s="2" t="inlineStr"/>
    </row>
    <row r="91" ht="15" customHeight="1">
      <c r="A91" t="inlineStr">
        <is>
          <t>A 42832-2022</t>
        </is>
      </c>
      <c r="B91" s="1" t="n">
        <v>44832</v>
      </c>
      <c r="C91" s="1" t="n">
        <v>46190</v>
      </c>
      <c r="D91" t="inlineStr">
        <is>
          <t>VÄSTMANLANDS LÄN</t>
        </is>
      </c>
      <c r="E91" t="inlineStr">
        <is>
          <t>SURAHAMMAR</t>
        </is>
      </c>
      <c r="G91" t="n">
        <v>1.1</v>
      </c>
      <c r="H91" t="n">
        <v>0</v>
      </c>
      <c r="I91" t="n">
        <v>0</v>
      </c>
      <c r="J91" t="n">
        <v>0</v>
      </c>
      <c r="K91" t="n">
        <v>0</v>
      </c>
      <c r="L91" t="n">
        <v>0</v>
      </c>
      <c r="M91" t="n">
        <v>0</v>
      </c>
      <c r="N91" t="n">
        <v>0</v>
      </c>
      <c r="O91" t="n">
        <v>0</v>
      </c>
      <c r="P91" t="n">
        <v>0</v>
      </c>
      <c r="Q91" t="n">
        <v>0</v>
      </c>
      <c r="R91" s="2" t="inlineStr"/>
    </row>
    <row r="92" ht="15" customHeight="1">
      <c r="A92" t="inlineStr">
        <is>
          <t>A 24665-2023</t>
        </is>
      </c>
      <c r="B92" s="1" t="n">
        <v>45084.48592592592</v>
      </c>
      <c r="C92" s="1" t="n">
        <v>46190</v>
      </c>
      <c r="D92" t="inlineStr">
        <is>
          <t>VÄSTMANLANDS LÄN</t>
        </is>
      </c>
      <c r="E92" t="inlineStr">
        <is>
          <t>SURAHAMMAR</t>
        </is>
      </c>
      <c r="G92" t="n">
        <v>0.9</v>
      </c>
      <c r="H92" t="n">
        <v>0</v>
      </c>
      <c r="I92" t="n">
        <v>0</v>
      </c>
      <c r="J92" t="n">
        <v>0</v>
      </c>
      <c r="K92" t="n">
        <v>0</v>
      </c>
      <c r="L92" t="n">
        <v>0</v>
      </c>
      <c r="M92" t="n">
        <v>0</v>
      </c>
      <c r="N92" t="n">
        <v>0</v>
      </c>
      <c r="O92" t="n">
        <v>0</v>
      </c>
      <c r="P92" t="n">
        <v>0</v>
      </c>
      <c r="Q92" t="n">
        <v>0</v>
      </c>
      <c r="R92" s="2" t="inlineStr"/>
    </row>
    <row r="93" ht="15" customHeight="1">
      <c r="A93" t="inlineStr">
        <is>
          <t>A 8553-2023</t>
        </is>
      </c>
      <c r="B93" s="1" t="n">
        <v>44977</v>
      </c>
      <c r="C93" s="1" t="n">
        <v>46190</v>
      </c>
      <c r="D93" t="inlineStr">
        <is>
          <t>VÄSTMANLANDS LÄN</t>
        </is>
      </c>
      <c r="E93" t="inlineStr">
        <is>
          <t>SURAHAMMAR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19786-2023</t>
        </is>
      </c>
      <c r="B94" s="1" t="n">
        <v>45050</v>
      </c>
      <c r="C94" s="1" t="n">
        <v>46190</v>
      </c>
      <c r="D94" t="inlineStr">
        <is>
          <t>VÄSTMANLANDS LÄN</t>
        </is>
      </c>
      <c r="E94" t="inlineStr">
        <is>
          <t>SURAHAMMAR</t>
        </is>
      </c>
      <c r="F94" t="inlineStr">
        <is>
          <t>Bergvik skog väst AB</t>
        </is>
      </c>
      <c r="G94" t="n">
        <v>8.1</v>
      </c>
      <c r="H94" t="n">
        <v>0</v>
      </c>
      <c r="I94" t="n">
        <v>0</v>
      </c>
      <c r="J94" t="n">
        <v>0</v>
      </c>
      <c r="K94" t="n">
        <v>0</v>
      </c>
      <c r="L94" t="n">
        <v>0</v>
      </c>
      <c r="M94" t="n">
        <v>0</v>
      </c>
      <c r="N94" t="n">
        <v>0</v>
      </c>
      <c r="O94" t="n">
        <v>0</v>
      </c>
      <c r="P94" t="n">
        <v>0</v>
      </c>
      <c r="Q94" t="n">
        <v>0</v>
      </c>
      <c r="R94" s="2" t="inlineStr"/>
    </row>
    <row r="95" ht="15" customHeight="1">
      <c r="A95" t="inlineStr">
        <is>
          <t>A 42841-2022</t>
        </is>
      </c>
      <c r="B95" s="1" t="n">
        <v>44832</v>
      </c>
      <c r="C95" s="1" t="n">
        <v>46190</v>
      </c>
      <c r="D95" t="inlineStr">
        <is>
          <t>VÄSTMANLANDS LÄN</t>
        </is>
      </c>
      <c r="E95" t="inlineStr">
        <is>
          <t>SURAHAMMAR</t>
        </is>
      </c>
      <c r="G95" t="n">
        <v>1.8</v>
      </c>
      <c r="H95" t="n">
        <v>0</v>
      </c>
      <c r="I95" t="n">
        <v>0</v>
      </c>
      <c r="J95" t="n">
        <v>0</v>
      </c>
      <c r="K95" t="n">
        <v>0</v>
      </c>
      <c r="L95" t="n">
        <v>0</v>
      </c>
      <c r="M95" t="n">
        <v>0</v>
      </c>
      <c r="N95" t="n">
        <v>0</v>
      </c>
      <c r="O95" t="n">
        <v>0</v>
      </c>
      <c r="P95" t="n">
        <v>0</v>
      </c>
      <c r="Q95" t="n">
        <v>0</v>
      </c>
      <c r="R95" s="2" t="inlineStr"/>
    </row>
    <row r="96" ht="15" customHeight="1">
      <c r="A96" t="inlineStr">
        <is>
          <t>A 42829-2022</t>
        </is>
      </c>
      <c r="B96" s="1" t="n">
        <v>44832</v>
      </c>
      <c r="C96" s="1" t="n">
        <v>46190</v>
      </c>
      <c r="D96" t="inlineStr">
        <is>
          <t>VÄSTMANLANDS LÄN</t>
        </is>
      </c>
      <c r="E96" t="inlineStr">
        <is>
          <t>SURAHAMMAR</t>
        </is>
      </c>
      <c r="G96" t="n">
        <v>1.6</v>
      </c>
      <c r="H96" t="n">
        <v>0</v>
      </c>
      <c r="I96" t="n">
        <v>0</v>
      </c>
      <c r="J96" t="n">
        <v>0</v>
      </c>
      <c r="K96" t="n">
        <v>0</v>
      </c>
      <c r="L96" t="n">
        <v>0</v>
      </c>
      <c r="M96" t="n">
        <v>0</v>
      </c>
      <c r="N96" t="n">
        <v>0</v>
      </c>
      <c r="O96" t="n">
        <v>0</v>
      </c>
      <c r="P96" t="n">
        <v>0</v>
      </c>
      <c r="Q96" t="n">
        <v>0</v>
      </c>
      <c r="R96" s="2" t="inlineStr"/>
    </row>
    <row r="97" ht="15" customHeight="1">
      <c r="A97" t="inlineStr">
        <is>
          <t>A 15739-2023</t>
        </is>
      </c>
      <c r="B97" s="1" t="n">
        <v>45021</v>
      </c>
      <c r="C97" s="1" t="n">
        <v>46190</v>
      </c>
      <c r="D97" t="inlineStr">
        <is>
          <t>VÄSTMANLANDS LÄN</t>
        </is>
      </c>
      <c r="E97" t="inlineStr">
        <is>
          <t>SURAHAMMAR</t>
        </is>
      </c>
      <c r="G97" t="n">
        <v>1.3</v>
      </c>
      <c r="H97" t="n">
        <v>0</v>
      </c>
      <c r="I97" t="n">
        <v>0</v>
      </c>
      <c r="J97" t="n">
        <v>0</v>
      </c>
      <c r="K97" t="n">
        <v>0</v>
      </c>
      <c r="L97" t="n">
        <v>0</v>
      </c>
      <c r="M97" t="n">
        <v>0</v>
      </c>
      <c r="N97" t="n">
        <v>0</v>
      </c>
      <c r="O97" t="n">
        <v>0</v>
      </c>
      <c r="P97" t="n">
        <v>0</v>
      </c>
      <c r="Q97" t="n">
        <v>0</v>
      </c>
      <c r="R97" s="2" t="inlineStr"/>
    </row>
    <row r="98" ht="15" customHeight="1">
      <c r="A98" t="inlineStr">
        <is>
          <t>A 38154-2021</t>
        </is>
      </c>
      <c r="B98" s="1" t="n">
        <v>44405.42373842592</v>
      </c>
      <c r="C98" s="1" t="n">
        <v>46190</v>
      </c>
      <c r="D98" t="inlineStr">
        <is>
          <t>VÄSTMANLANDS LÄN</t>
        </is>
      </c>
      <c r="E98" t="inlineStr">
        <is>
          <t>SURAHAMMAR</t>
        </is>
      </c>
      <c r="F98" t="inlineStr">
        <is>
          <t>Sveaskog</t>
        </is>
      </c>
      <c r="G98" t="n">
        <v>1.3</v>
      </c>
      <c r="H98" t="n">
        <v>0</v>
      </c>
      <c r="I98" t="n">
        <v>0</v>
      </c>
      <c r="J98" t="n">
        <v>0</v>
      </c>
      <c r="K98" t="n">
        <v>0</v>
      </c>
      <c r="L98" t="n">
        <v>0</v>
      </c>
      <c r="M98" t="n">
        <v>0</v>
      </c>
      <c r="N98" t="n">
        <v>0</v>
      </c>
      <c r="O98" t="n">
        <v>0</v>
      </c>
      <c r="P98" t="n">
        <v>0</v>
      </c>
      <c r="Q98" t="n">
        <v>0</v>
      </c>
      <c r="R98" s="2" t="inlineStr"/>
    </row>
    <row r="99" ht="15" customHeight="1">
      <c r="A99" t="inlineStr">
        <is>
          <t>A 2867-2024</t>
        </is>
      </c>
      <c r="B99" s="1" t="n">
        <v>45315</v>
      </c>
      <c r="C99" s="1" t="n">
        <v>46190</v>
      </c>
      <c r="D99" t="inlineStr">
        <is>
          <t>VÄSTMANLANDS LÄN</t>
        </is>
      </c>
      <c r="E99" t="inlineStr">
        <is>
          <t>SURAHAMMAR</t>
        </is>
      </c>
      <c r="F99" t="inlineStr">
        <is>
          <t>Bergvik skog väst AB</t>
        </is>
      </c>
      <c r="G99" t="n">
        <v>1.4</v>
      </c>
      <c r="H99" t="n">
        <v>0</v>
      </c>
      <c r="I99" t="n">
        <v>0</v>
      </c>
      <c r="J99" t="n">
        <v>0</v>
      </c>
      <c r="K99" t="n">
        <v>0</v>
      </c>
      <c r="L99" t="n">
        <v>0</v>
      </c>
      <c r="M99" t="n">
        <v>0</v>
      </c>
      <c r="N99" t="n">
        <v>0</v>
      </c>
      <c r="O99" t="n">
        <v>0</v>
      </c>
      <c r="P99" t="n">
        <v>0</v>
      </c>
      <c r="Q99" t="n">
        <v>0</v>
      </c>
      <c r="R99" s="2" t="inlineStr"/>
    </row>
    <row r="100" ht="15" customHeight="1">
      <c r="A100" t="inlineStr">
        <is>
          <t>A 7787-2024</t>
        </is>
      </c>
      <c r="B100" s="1" t="n">
        <v>45348</v>
      </c>
      <c r="C100" s="1" t="n">
        <v>46190</v>
      </c>
      <c r="D100" t="inlineStr">
        <is>
          <t>VÄSTMANLANDS LÄN</t>
        </is>
      </c>
      <c r="E100" t="inlineStr">
        <is>
          <t>SURAHAMMAR</t>
        </is>
      </c>
      <c r="G100" t="n">
        <v>1</v>
      </c>
      <c r="H100" t="n">
        <v>0</v>
      </c>
      <c r="I100" t="n">
        <v>0</v>
      </c>
      <c r="J100" t="n">
        <v>0</v>
      </c>
      <c r="K100" t="n">
        <v>0</v>
      </c>
      <c r="L100" t="n">
        <v>0</v>
      </c>
      <c r="M100" t="n">
        <v>0</v>
      </c>
      <c r="N100" t="n">
        <v>0</v>
      </c>
      <c r="O100" t="n">
        <v>0</v>
      </c>
      <c r="P100" t="n">
        <v>0</v>
      </c>
      <c r="Q100" t="n">
        <v>0</v>
      </c>
      <c r="R100" s="2" t="inlineStr"/>
    </row>
    <row r="101" ht="15" customHeight="1">
      <c r="A101" t="inlineStr">
        <is>
          <t>A 3085-2023</t>
        </is>
      </c>
      <c r="B101" s="1" t="n">
        <v>44946</v>
      </c>
      <c r="C101" s="1" t="n">
        <v>46190</v>
      </c>
      <c r="D101" t="inlineStr">
        <is>
          <t>VÄSTMANLANDS LÄN</t>
        </is>
      </c>
      <c r="E101" t="inlineStr">
        <is>
          <t>SURAHAMMAR</t>
        </is>
      </c>
      <c r="F101" t="inlineStr">
        <is>
          <t>Kyrkan</t>
        </is>
      </c>
      <c r="G101" t="n">
        <v>13</v>
      </c>
      <c r="H101" t="n">
        <v>0</v>
      </c>
      <c r="I101" t="n">
        <v>0</v>
      </c>
      <c r="J101" t="n">
        <v>0</v>
      </c>
      <c r="K101" t="n">
        <v>0</v>
      </c>
      <c r="L101" t="n">
        <v>0</v>
      </c>
      <c r="M101" t="n">
        <v>0</v>
      </c>
      <c r="N101" t="n">
        <v>0</v>
      </c>
      <c r="O101" t="n">
        <v>0</v>
      </c>
      <c r="P101" t="n">
        <v>0</v>
      </c>
      <c r="Q101" t="n">
        <v>0</v>
      </c>
      <c r="R101" s="2" t="inlineStr"/>
    </row>
    <row r="102" ht="15" customHeight="1">
      <c r="A102" t="inlineStr">
        <is>
          <t>A 37287-2023</t>
        </is>
      </c>
      <c r="B102" s="1" t="n">
        <v>45156</v>
      </c>
      <c r="C102" s="1" t="n">
        <v>46190</v>
      </c>
      <c r="D102" t="inlineStr">
        <is>
          <t>VÄSTMANLANDS LÄN</t>
        </is>
      </c>
      <c r="E102" t="inlineStr">
        <is>
          <t>SURAHAMMAR</t>
        </is>
      </c>
      <c r="G102" t="n">
        <v>0.6</v>
      </c>
      <c r="H102" t="n">
        <v>0</v>
      </c>
      <c r="I102" t="n">
        <v>0</v>
      </c>
      <c r="J102" t="n">
        <v>0</v>
      </c>
      <c r="K102" t="n">
        <v>0</v>
      </c>
      <c r="L102" t="n">
        <v>0</v>
      </c>
      <c r="M102" t="n">
        <v>0</v>
      </c>
      <c r="N102" t="n">
        <v>0</v>
      </c>
      <c r="O102" t="n">
        <v>0</v>
      </c>
      <c r="P102" t="n">
        <v>0</v>
      </c>
      <c r="Q102" t="n">
        <v>0</v>
      </c>
      <c r="R102" s="2" t="inlineStr"/>
    </row>
    <row r="103" ht="15" customHeight="1">
      <c r="A103" t="inlineStr">
        <is>
          <t>A 34955-2022</t>
        </is>
      </c>
      <c r="B103" s="1" t="n">
        <v>44796</v>
      </c>
      <c r="C103" s="1" t="n">
        <v>46190</v>
      </c>
      <c r="D103" t="inlineStr">
        <is>
          <t>VÄSTMANLANDS LÄN</t>
        </is>
      </c>
      <c r="E103" t="inlineStr">
        <is>
          <t>SURAHAMMAR</t>
        </is>
      </c>
      <c r="F103" t="inlineStr">
        <is>
          <t>Sveaskog</t>
        </is>
      </c>
      <c r="G103" t="n">
        <v>4.6</v>
      </c>
      <c r="H103" t="n">
        <v>0</v>
      </c>
      <c r="I103" t="n">
        <v>0</v>
      </c>
      <c r="J103" t="n">
        <v>0</v>
      </c>
      <c r="K103" t="n">
        <v>0</v>
      </c>
      <c r="L103" t="n">
        <v>0</v>
      </c>
      <c r="M103" t="n">
        <v>0</v>
      </c>
      <c r="N103" t="n">
        <v>0</v>
      </c>
      <c r="O103" t="n">
        <v>0</v>
      </c>
      <c r="P103" t="n">
        <v>0</v>
      </c>
      <c r="Q103" t="n">
        <v>0</v>
      </c>
      <c r="R103" s="2" t="inlineStr"/>
    </row>
    <row r="104" ht="15" customHeight="1">
      <c r="A104" t="inlineStr">
        <is>
          <t>A 20904-2023</t>
        </is>
      </c>
      <c r="B104" s="1" t="n">
        <v>45060</v>
      </c>
      <c r="C104" s="1" t="n">
        <v>46190</v>
      </c>
      <c r="D104" t="inlineStr">
        <is>
          <t>VÄSTMANLANDS LÄN</t>
        </is>
      </c>
      <c r="E104" t="inlineStr">
        <is>
          <t>SURAHAMMAR</t>
        </is>
      </c>
      <c r="F104" t="inlineStr">
        <is>
          <t>Sveaskog</t>
        </is>
      </c>
      <c r="G104" t="n">
        <v>1.7</v>
      </c>
      <c r="H104" t="n">
        <v>0</v>
      </c>
      <c r="I104" t="n">
        <v>0</v>
      </c>
      <c r="J104" t="n">
        <v>0</v>
      </c>
      <c r="K104" t="n">
        <v>0</v>
      </c>
      <c r="L104" t="n">
        <v>0</v>
      </c>
      <c r="M104" t="n">
        <v>0</v>
      </c>
      <c r="N104" t="n">
        <v>0</v>
      </c>
      <c r="O104" t="n">
        <v>0</v>
      </c>
      <c r="P104" t="n">
        <v>0</v>
      </c>
      <c r="Q104" t="n">
        <v>0</v>
      </c>
      <c r="R104" s="2" t="inlineStr"/>
    </row>
    <row r="105" ht="15" customHeight="1">
      <c r="A105" t="inlineStr">
        <is>
          <t>A 10883-2023</t>
        </is>
      </c>
      <c r="B105" s="1" t="n">
        <v>44991</v>
      </c>
      <c r="C105" s="1" t="n">
        <v>46190</v>
      </c>
      <c r="D105" t="inlineStr">
        <is>
          <t>VÄSTMANLANDS LÄN</t>
        </is>
      </c>
      <c r="E105" t="inlineStr">
        <is>
          <t>SURAHAMMAR</t>
        </is>
      </c>
      <c r="F105" t="inlineStr">
        <is>
          <t>Övriga Aktiebolag</t>
        </is>
      </c>
      <c r="G105" t="n">
        <v>12.5</v>
      </c>
      <c r="H105" t="n">
        <v>0</v>
      </c>
      <c r="I105" t="n">
        <v>0</v>
      </c>
      <c r="J105" t="n">
        <v>0</v>
      </c>
      <c r="K105" t="n">
        <v>0</v>
      </c>
      <c r="L105" t="n">
        <v>0</v>
      </c>
      <c r="M105" t="n">
        <v>0</v>
      </c>
      <c r="N105" t="n">
        <v>0</v>
      </c>
      <c r="O105" t="n">
        <v>0</v>
      </c>
      <c r="P105" t="n">
        <v>0</v>
      </c>
      <c r="Q105" t="n">
        <v>0</v>
      </c>
      <c r="R105" s="2" t="inlineStr"/>
    </row>
    <row r="106" ht="15" customHeight="1">
      <c r="A106" t="inlineStr">
        <is>
          <t>A 2660-2024</t>
        </is>
      </c>
      <c r="B106" s="1" t="n">
        <v>45310</v>
      </c>
      <c r="C106" s="1" t="n">
        <v>46190</v>
      </c>
      <c r="D106" t="inlineStr">
        <is>
          <t>VÄSTMANLANDS LÄN</t>
        </is>
      </c>
      <c r="E106" t="inlineStr">
        <is>
          <t>SURAHAMMAR</t>
        </is>
      </c>
      <c r="G106" t="n">
        <v>2.1</v>
      </c>
      <c r="H106" t="n">
        <v>0</v>
      </c>
      <c r="I106" t="n">
        <v>0</v>
      </c>
      <c r="J106" t="n">
        <v>0</v>
      </c>
      <c r="K106" t="n">
        <v>0</v>
      </c>
      <c r="L106" t="n">
        <v>0</v>
      </c>
      <c r="M106" t="n">
        <v>0</v>
      </c>
      <c r="N106" t="n">
        <v>0</v>
      </c>
      <c r="O106" t="n">
        <v>0</v>
      </c>
      <c r="P106" t="n">
        <v>0</v>
      </c>
      <c r="Q106" t="n">
        <v>0</v>
      </c>
      <c r="R106" s="2" t="inlineStr"/>
    </row>
    <row r="107" ht="15" customHeight="1">
      <c r="A107" t="inlineStr">
        <is>
          <t>A 72367-2021</t>
        </is>
      </c>
      <c r="B107" s="1" t="n">
        <v>44545</v>
      </c>
      <c r="C107" s="1" t="n">
        <v>46190</v>
      </c>
      <c r="D107" t="inlineStr">
        <is>
          <t>VÄSTMANLANDS LÄN</t>
        </is>
      </c>
      <c r="E107" t="inlineStr">
        <is>
          <t>SURAHAMMAR</t>
        </is>
      </c>
      <c r="G107" t="n">
        <v>2.5</v>
      </c>
      <c r="H107" t="n">
        <v>0</v>
      </c>
      <c r="I107" t="n">
        <v>0</v>
      </c>
      <c r="J107" t="n">
        <v>0</v>
      </c>
      <c r="K107" t="n">
        <v>0</v>
      </c>
      <c r="L107" t="n">
        <v>0</v>
      </c>
      <c r="M107" t="n">
        <v>0</v>
      </c>
      <c r="N107" t="n">
        <v>0</v>
      </c>
      <c r="O107" t="n">
        <v>0</v>
      </c>
      <c r="P107" t="n">
        <v>0</v>
      </c>
      <c r="Q107" t="n">
        <v>0</v>
      </c>
      <c r="R107" s="2" t="inlineStr"/>
    </row>
    <row r="108" ht="15" customHeight="1">
      <c r="A108" t="inlineStr">
        <is>
          <t>A 33931-2022</t>
        </is>
      </c>
      <c r="B108" s="1" t="n">
        <v>44790.65153935185</v>
      </c>
      <c r="C108" s="1" t="n">
        <v>46190</v>
      </c>
      <c r="D108" t="inlineStr">
        <is>
          <t>VÄSTMANLANDS LÄN</t>
        </is>
      </c>
      <c r="E108" t="inlineStr">
        <is>
          <t>SURAHAMMAR</t>
        </is>
      </c>
      <c r="G108" t="n">
        <v>2.2</v>
      </c>
      <c r="H108" t="n">
        <v>0</v>
      </c>
      <c r="I108" t="n">
        <v>0</v>
      </c>
      <c r="J108" t="n">
        <v>0</v>
      </c>
      <c r="K108" t="n">
        <v>0</v>
      </c>
      <c r="L108" t="n">
        <v>0</v>
      </c>
      <c r="M108" t="n">
        <v>0</v>
      </c>
      <c r="N108" t="n">
        <v>0</v>
      </c>
      <c r="O108" t="n">
        <v>0</v>
      </c>
      <c r="P108" t="n">
        <v>0</v>
      </c>
      <c r="Q108" t="n">
        <v>0</v>
      </c>
      <c r="R108" s="2" t="inlineStr"/>
    </row>
    <row r="109" ht="15" customHeight="1">
      <c r="A109" t="inlineStr">
        <is>
          <t>A 43249-2025</t>
        </is>
      </c>
      <c r="B109" s="1" t="n">
        <v>45910.55059027778</v>
      </c>
      <c r="C109" s="1" t="n">
        <v>46190</v>
      </c>
      <c r="D109" t="inlineStr">
        <is>
          <t>VÄSTMANLANDS LÄN</t>
        </is>
      </c>
      <c r="E109" t="inlineStr">
        <is>
          <t>SURAHAMMAR</t>
        </is>
      </c>
      <c r="G109" t="n">
        <v>1.9</v>
      </c>
      <c r="H109" t="n">
        <v>0</v>
      </c>
      <c r="I109" t="n">
        <v>0</v>
      </c>
      <c r="J109" t="n">
        <v>0</v>
      </c>
      <c r="K109" t="n">
        <v>0</v>
      </c>
      <c r="L109" t="n">
        <v>0</v>
      </c>
      <c r="M109" t="n">
        <v>0</v>
      </c>
      <c r="N109" t="n">
        <v>0</v>
      </c>
      <c r="O109" t="n">
        <v>0</v>
      </c>
      <c r="P109" t="n">
        <v>0</v>
      </c>
      <c r="Q109" t="n">
        <v>0</v>
      </c>
      <c r="R109" s="2" t="inlineStr"/>
    </row>
    <row r="110" ht="15" customHeight="1">
      <c r="A110" t="inlineStr">
        <is>
          <t>A 43255-2025</t>
        </is>
      </c>
      <c r="B110" s="1" t="n">
        <v>45910.55325231481</v>
      </c>
      <c r="C110" s="1" t="n">
        <v>46190</v>
      </c>
      <c r="D110" t="inlineStr">
        <is>
          <t>VÄSTMANLANDS LÄN</t>
        </is>
      </c>
      <c r="E110" t="inlineStr">
        <is>
          <t>SURAHAMMAR</t>
        </is>
      </c>
      <c r="G110" t="n">
        <v>1.9</v>
      </c>
      <c r="H110" t="n">
        <v>0</v>
      </c>
      <c r="I110" t="n">
        <v>0</v>
      </c>
      <c r="J110" t="n">
        <v>0</v>
      </c>
      <c r="K110" t="n">
        <v>0</v>
      </c>
      <c r="L110" t="n">
        <v>0</v>
      </c>
      <c r="M110" t="n">
        <v>0</v>
      </c>
      <c r="N110" t="n">
        <v>0</v>
      </c>
      <c r="O110" t="n">
        <v>0</v>
      </c>
      <c r="P110" t="n">
        <v>0</v>
      </c>
      <c r="Q110" t="n">
        <v>0</v>
      </c>
      <c r="R110" s="2" t="inlineStr"/>
    </row>
    <row r="111" ht="15" customHeight="1">
      <c r="A111" t="inlineStr">
        <is>
          <t>A 55868-2025</t>
        </is>
      </c>
      <c r="B111" s="1" t="n">
        <v>45973.35263888889</v>
      </c>
      <c r="C111" s="1" t="n">
        <v>46190</v>
      </c>
      <c r="D111" t="inlineStr">
        <is>
          <t>VÄSTMANLANDS LÄN</t>
        </is>
      </c>
      <c r="E111" t="inlineStr">
        <is>
          <t>SURAHAMMAR</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55874-2025</t>
        </is>
      </c>
      <c r="B112" s="1" t="n">
        <v>45973.3569212963</v>
      </c>
      <c r="C112" s="1" t="n">
        <v>46190</v>
      </c>
      <c r="D112" t="inlineStr">
        <is>
          <t>VÄSTMANLANDS LÄN</t>
        </is>
      </c>
      <c r="E112" t="inlineStr">
        <is>
          <t>SURAHAMMAR</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55873-2025</t>
        </is>
      </c>
      <c r="B113" s="1" t="n">
        <v>45973.35608796297</v>
      </c>
      <c r="C113" s="1" t="n">
        <v>46190</v>
      </c>
      <c r="D113" t="inlineStr">
        <is>
          <t>VÄSTMANLANDS LÄN</t>
        </is>
      </c>
      <c r="E113" t="inlineStr">
        <is>
          <t>SURAHAMMAR</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37013-2025</t>
        </is>
      </c>
      <c r="B114" s="1" t="n">
        <v>45874</v>
      </c>
      <c r="C114" s="1" t="n">
        <v>46190</v>
      </c>
      <c r="D114" t="inlineStr">
        <is>
          <t>VÄSTMANLANDS LÄN</t>
        </is>
      </c>
      <c r="E114" t="inlineStr">
        <is>
          <t>SURAHAMMAR</t>
        </is>
      </c>
      <c r="F114" t="inlineStr">
        <is>
          <t>Bergvik skog väst AB</t>
        </is>
      </c>
      <c r="G114" t="n">
        <v>10.7</v>
      </c>
      <c r="H114" t="n">
        <v>0</v>
      </c>
      <c r="I114" t="n">
        <v>0</v>
      </c>
      <c r="J114" t="n">
        <v>0</v>
      </c>
      <c r="K114" t="n">
        <v>0</v>
      </c>
      <c r="L114" t="n">
        <v>0</v>
      </c>
      <c r="M114" t="n">
        <v>0</v>
      </c>
      <c r="N114" t="n">
        <v>0</v>
      </c>
      <c r="O114" t="n">
        <v>0</v>
      </c>
      <c r="P114" t="n">
        <v>0</v>
      </c>
      <c r="Q114" t="n">
        <v>0</v>
      </c>
      <c r="R114" s="2" t="inlineStr"/>
    </row>
    <row r="115" ht="15" customHeight="1">
      <c r="A115" t="inlineStr">
        <is>
          <t>A 37954-2025</t>
        </is>
      </c>
      <c r="B115" s="1" t="n">
        <v>45881</v>
      </c>
      <c r="C115" s="1" t="n">
        <v>46190</v>
      </c>
      <c r="D115" t="inlineStr">
        <is>
          <t>VÄSTMANLANDS LÄN</t>
        </is>
      </c>
      <c r="E115" t="inlineStr">
        <is>
          <t>SURAHAMMAR</t>
        </is>
      </c>
      <c r="G115" t="n">
        <v>9.5</v>
      </c>
      <c r="H115" t="n">
        <v>0</v>
      </c>
      <c r="I115" t="n">
        <v>0</v>
      </c>
      <c r="J115" t="n">
        <v>0</v>
      </c>
      <c r="K115" t="n">
        <v>0</v>
      </c>
      <c r="L115" t="n">
        <v>0</v>
      </c>
      <c r="M115" t="n">
        <v>0</v>
      </c>
      <c r="N115" t="n">
        <v>0</v>
      </c>
      <c r="O115" t="n">
        <v>0</v>
      </c>
      <c r="P115" t="n">
        <v>0</v>
      </c>
      <c r="Q115" t="n">
        <v>0</v>
      </c>
      <c r="R115" s="2" t="inlineStr"/>
    </row>
    <row r="116" ht="15" customHeight="1">
      <c r="A116" t="inlineStr">
        <is>
          <t>A 14626-2023</t>
        </is>
      </c>
      <c r="B116" s="1" t="n">
        <v>45012</v>
      </c>
      <c r="C116" s="1" t="n">
        <v>46190</v>
      </c>
      <c r="D116" t="inlineStr">
        <is>
          <t>VÄSTMANLANDS LÄN</t>
        </is>
      </c>
      <c r="E116" t="inlineStr">
        <is>
          <t>SURAHAMMAR</t>
        </is>
      </c>
      <c r="F116" t="inlineStr">
        <is>
          <t>Bergvik skog väst AB</t>
        </is>
      </c>
      <c r="G116" t="n">
        <v>5</v>
      </c>
      <c r="H116" t="n">
        <v>0</v>
      </c>
      <c r="I116" t="n">
        <v>0</v>
      </c>
      <c r="J116" t="n">
        <v>0</v>
      </c>
      <c r="K116" t="n">
        <v>0</v>
      </c>
      <c r="L116" t="n">
        <v>0</v>
      </c>
      <c r="M116" t="n">
        <v>0</v>
      </c>
      <c r="N116" t="n">
        <v>0</v>
      </c>
      <c r="O116" t="n">
        <v>0</v>
      </c>
      <c r="P116" t="n">
        <v>0</v>
      </c>
      <c r="Q116" t="n">
        <v>0</v>
      </c>
      <c r="R116" s="2" t="inlineStr"/>
    </row>
    <row r="117" ht="15" customHeight="1">
      <c r="A117" t="inlineStr">
        <is>
          <t>A 37798-2021</t>
        </is>
      </c>
      <c r="B117" s="1" t="n">
        <v>44402</v>
      </c>
      <c r="C117" s="1" t="n">
        <v>46190</v>
      </c>
      <c r="D117" t="inlineStr">
        <is>
          <t>VÄSTMANLANDS LÄN</t>
        </is>
      </c>
      <c r="E117" t="inlineStr">
        <is>
          <t>SURAHAMMAR</t>
        </is>
      </c>
      <c r="F117" t="inlineStr">
        <is>
          <t>Kommuner</t>
        </is>
      </c>
      <c r="G117" t="n">
        <v>1.2</v>
      </c>
      <c r="H117" t="n">
        <v>0</v>
      </c>
      <c r="I117" t="n">
        <v>0</v>
      </c>
      <c r="J117" t="n">
        <v>0</v>
      </c>
      <c r="K117" t="n">
        <v>0</v>
      </c>
      <c r="L117" t="n">
        <v>0</v>
      </c>
      <c r="M117" t="n">
        <v>0</v>
      </c>
      <c r="N117" t="n">
        <v>0</v>
      </c>
      <c r="O117" t="n">
        <v>0</v>
      </c>
      <c r="P117" t="n">
        <v>0</v>
      </c>
      <c r="Q117" t="n">
        <v>0</v>
      </c>
      <c r="R117" s="2" t="inlineStr"/>
    </row>
    <row r="118" ht="15" customHeight="1">
      <c r="A118" t="inlineStr">
        <is>
          <t>A 56541-2025</t>
        </is>
      </c>
      <c r="B118" s="1" t="n">
        <v>45975</v>
      </c>
      <c r="C118" s="1" t="n">
        <v>46190</v>
      </c>
      <c r="D118" t="inlineStr">
        <is>
          <t>VÄSTMANLANDS LÄN</t>
        </is>
      </c>
      <c r="E118" t="inlineStr">
        <is>
          <t>SURAHAMMAR</t>
        </is>
      </c>
      <c r="F118" t="inlineStr">
        <is>
          <t>Sveaskog</t>
        </is>
      </c>
      <c r="G118" t="n">
        <v>7.6</v>
      </c>
      <c r="H118" t="n">
        <v>0</v>
      </c>
      <c r="I118" t="n">
        <v>0</v>
      </c>
      <c r="J118" t="n">
        <v>0</v>
      </c>
      <c r="K118" t="n">
        <v>0</v>
      </c>
      <c r="L118" t="n">
        <v>0</v>
      </c>
      <c r="M118" t="n">
        <v>0</v>
      </c>
      <c r="N118" t="n">
        <v>0</v>
      </c>
      <c r="O118" t="n">
        <v>0</v>
      </c>
      <c r="P118" t="n">
        <v>0</v>
      </c>
      <c r="Q118" t="n">
        <v>0</v>
      </c>
      <c r="R118" s="2" t="inlineStr"/>
    </row>
    <row r="119" ht="15" customHeight="1">
      <c r="A119" t="inlineStr">
        <is>
          <t>A 25450-2024</t>
        </is>
      </c>
      <c r="B119" s="1" t="n">
        <v>45463</v>
      </c>
      <c r="C119" s="1" t="n">
        <v>46190</v>
      </c>
      <c r="D119" t="inlineStr">
        <is>
          <t>VÄSTMANLANDS LÄN</t>
        </is>
      </c>
      <c r="E119" t="inlineStr">
        <is>
          <t>SURAHAMMAR</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19782-2023</t>
        </is>
      </c>
      <c r="B120" s="1" t="n">
        <v>45050</v>
      </c>
      <c r="C120" s="1" t="n">
        <v>46190</v>
      </c>
      <c r="D120" t="inlineStr">
        <is>
          <t>VÄSTMANLANDS LÄN</t>
        </is>
      </c>
      <c r="E120" t="inlineStr">
        <is>
          <t>SURAHAMMAR</t>
        </is>
      </c>
      <c r="F120" t="inlineStr">
        <is>
          <t>Bergvik skog väst AB</t>
        </is>
      </c>
      <c r="G120" t="n">
        <v>5.2</v>
      </c>
      <c r="H120" t="n">
        <v>0</v>
      </c>
      <c r="I120" t="n">
        <v>0</v>
      </c>
      <c r="J120" t="n">
        <v>0</v>
      </c>
      <c r="K120" t="n">
        <v>0</v>
      </c>
      <c r="L120" t="n">
        <v>0</v>
      </c>
      <c r="M120" t="n">
        <v>0</v>
      </c>
      <c r="N120" t="n">
        <v>0</v>
      </c>
      <c r="O120" t="n">
        <v>0</v>
      </c>
      <c r="P120" t="n">
        <v>0</v>
      </c>
      <c r="Q120" t="n">
        <v>0</v>
      </c>
      <c r="R120" s="2" t="inlineStr"/>
    </row>
    <row r="121" ht="15" customHeight="1">
      <c r="A121" t="inlineStr">
        <is>
          <t>A 7848-2022</t>
        </is>
      </c>
      <c r="B121" s="1" t="n">
        <v>44608.58400462963</v>
      </c>
      <c r="C121" s="1" t="n">
        <v>46190</v>
      </c>
      <c r="D121" t="inlineStr">
        <is>
          <t>VÄSTMANLANDS LÄN</t>
        </is>
      </c>
      <c r="E121" t="inlineStr">
        <is>
          <t>SURAHAMMAR</t>
        </is>
      </c>
      <c r="G121" t="n">
        <v>2.1</v>
      </c>
      <c r="H121" t="n">
        <v>0</v>
      </c>
      <c r="I121" t="n">
        <v>0</v>
      </c>
      <c r="J121" t="n">
        <v>0</v>
      </c>
      <c r="K121" t="n">
        <v>0</v>
      </c>
      <c r="L121" t="n">
        <v>0</v>
      </c>
      <c r="M121" t="n">
        <v>0</v>
      </c>
      <c r="N121" t="n">
        <v>0</v>
      </c>
      <c r="O121" t="n">
        <v>0</v>
      </c>
      <c r="P121" t="n">
        <v>0</v>
      </c>
      <c r="Q121" t="n">
        <v>0</v>
      </c>
      <c r="R121" s="2" t="inlineStr"/>
    </row>
    <row r="122" ht="15" customHeight="1">
      <c r="A122" t="inlineStr">
        <is>
          <t>A 24167-2024</t>
        </is>
      </c>
      <c r="B122" s="1" t="n">
        <v>45456</v>
      </c>
      <c r="C122" s="1" t="n">
        <v>46190</v>
      </c>
      <c r="D122" t="inlineStr">
        <is>
          <t>VÄSTMANLANDS LÄN</t>
        </is>
      </c>
      <c r="E122" t="inlineStr">
        <is>
          <t>SURAHAMMAR</t>
        </is>
      </c>
      <c r="G122" t="n">
        <v>0.6</v>
      </c>
      <c r="H122" t="n">
        <v>0</v>
      </c>
      <c r="I122" t="n">
        <v>0</v>
      </c>
      <c r="J122" t="n">
        <v>0</v>
      </c>
      <c r="K122" t="n">
        <v>0</v>
      </c>
      <c r="L122" t="n">
        <v>0</v>
      </c>
      <c r="M122" t="n">
        <v>0</v>
      </c>
      <c r="N122" t="n">
        <v>0</v>
      </c>
      <c r="O122" t="n">
        <v>0</v>
      </c>
      <c r="P122" t="n">
        <v>0</v>
      </c>
      <c r="Q122" t="n">
        <v>0</v>
      </c>
      <c r="R122" s="2" t="inlineStr"/>
    </row>
    <row r="123" ht="15" customHeight="1">
      <c r="A123" t="inlineStr">
        <is>
          <t>A 4724-2026</t>
        </is>
      </c>
      <c r="B123" s="1" t="n">
        <v>46048</v>
      </c>
      <c r="C123" s="1" t="n">
        <v>46190</v>
      </c>
      <c r="D123" t="inlineStr">
        <is>
          <t>VÄSTMANLANDS LÄN</t>
        </is>
      </c>
      <c r="E123" t="inlineStr">
        <is>
          <t>SURAHAMMAR</t>
        </is>
      </c>
      <c r="G123" t="n">
        <v>1.7</v>
      </c>
      <c r="H123" t="n">
        <v>0</v>
      </c>
      <c r="I123" t="n">
        <v>0</v>
      </c>
      <c r="J123" t="n">
        <v>0</v>
      </c>
      <c r="K123" t="n">
        <v>0</v>
      </c>
      <c r="L123" t="n">
        <v>0</v>
      </c>
      <c r="M123" t="n">
        <v>0</v>
      </c>
      <c r="N123" t="n">
        <v>0</v>
      </c>
      <c r="O123" t="n">
        <v>0</v>
      </c>
      <c r="P123" t="n">
        <v>0</v>
      </c>
      <c r="Q123" t="n">
        <v>0</v>
      </c>
      <c r="R123" s="2" t="inlineStr"/>
    </row>
    <row r="124" ht="15" customHeight="1">
      <c r="A124" t="inlineStr">
        <is>
          <t>A 4734-2026</t>
        </is>
      </c>
      <c r="B124" s="1" t="n">
        <v>46048</v>
      </c>
      <c r="C124" s="1" t="n">
        <v>46190</v>
      </c>
      <c r="D124" t="inlineStr">
        <is>
          <t>VÄSTMANLANDS LÄN</t>
        </is>
      </c>
      <c r="E124" t="inlineStr">
        <is>
          <t>SURAHAMMAR</t>
        </is>
      </c>
      <c r="G124" t="n">
        <v>0.7</v>
      </c>
      <c r="H124" t="n">
        <v>0</v>
      </c>
      <c r="I124" t="n">
        <v>0</v>
      </c>
      <c r="J124" t="n">
        <v>0</v>
      </c>
      <c r="K124" t="n">
        <v>0</v>
      </c>
      <c r="L124" t="n">
        <v>0</v>
      </c>
      <c r="M124" t="n">
        <v>0</v>
      </c>
      <c r="N124" t="n">
        <v>0</v>
      </c>
      <c r="O124" t="n">
        <v>0</v>
      </c>
      <c r="P124" t="n">
        <v>0</v>
      </c>
      <c r="Q124" t="n">
        <v>0</v>
      </c>
      <c r="R124" s="2" t="inlineStr"/>
    </row>
    <row r="125" ht="15" customHeight="1">
      <c r="A125" t="inlineStr">
        <is>
          <t>A 5696-2026</t>
        </is>
      </c>
      <c r="B125" s="1" t="n">
        <v>46051.4975</v>
      </c>
      <c r="C125" s="1" t="n">
        <v>46190</v>
      </c>
      <c r="D125" t="inlineStr">
        <is>
          <t>VÄSTMANLANDS LÄN</t>
        </is>
      </c>
      <c r="E125" t="inlineStr">
        <is>
          <t>SURAHAMMAR</t>
        </is>
      </c>
      <c r="F125" t="inlineStr">
        <is>
          <t>Sveaskog</t>
        </is>
      </c>
      <c r="G125" t="n">
        <v>10.4</v>
      </c>
      <c r="H125" t="n">
        <v>0</v>
      </c>
      <c r="I125" t="n">
        <v>0</v>
      </c>
      <c r="J125" t="n">
        <v>0</v>
      </c>
      <c r="K125" t="n">
        <v>0</v>
      </c>
      <c r="L125" t="n">
        <v>0</v>
      </c>
      <c r="M125" t="n">
        <v>0</v>
      </c>
      <c r="N125" t="n">
        <v>0</v>
      </c>
      <c r="O125" t="n">
        <v>0</v>
      </c>
      <c r="P125" t="n">
        <v>0</v>
      </c>
      <c r="Q125" t="n">
        <v>0</v>
      </c>
      <c r="R125" s="2" t="inlineStr"/>
    </row>
    <row r="126" ht="15" customHeight="1">
      <c r="A126" t="inlineStr">
        <is>
          <t>A 5697-2026</t>
        </is>
      </c>
      <c r="B126" s="1" t="n">
        <v>46051.50020833333</v>
      </c>
      <c r="C126" s="1" t="n">
        <v>46190</v>
      </c>
      <c r="D126" t="inlineStr">
        <is>
          <t>VÄSTMANLANDS LÄN</t>
        </is>
      </c>
      <c r="E126" t="inlineStr">
        <is>
          <t>SURAHAMMAR</t>
        </is>
      </c>
      <c r="F126" t="inlineStr">
        <is>
          <t>Sveaskog</t>
        </is>
      </c>
      <c r="G126" t="n">
        <v>3</v>
      </c>
      <c r="H126" t="n">
        <v>0</v>
      </c>
      <c r="I126" t="n">
        <v>0</v>
      </c>
      <c r="J126" t="n">
        <v>0</v>
      </c>
      <c r="K126" t="n">
        <v>0</v>
      </c>
      <c r="L126" t="n">
        <v>0</v>
      </c>
      <c r="M126" t="n">
        <v>0</v>
      </c>
      <c r="N126" t="n">
        <v>0</v>
      </c>
      <c r="O126" t="n">
        <v>0</v>
      </c>
      <c r="P126" t="n">
        <v>0</v>
      </c>
      <c r="Q126" t="n">
        <v>0</v>
      </c>
      <c r="R126" s="2" t="inlineStr"/>
    </row>
    <row r="127" ht="15" customHeight="1">
      <c r="A127" t="inlineStr">
        <is>
          <t>A 5698-2026</t>
        </is>
      </c>
      <c r="B127" s="1" t="n">
        <v>46051.50196759259</v>
      </c>
      <c r="C127" s="1" t="n">
        <v>46190</v>
      </c>
      <c r="D127" t="inlineStr">
        <is>
          <t>VÄSTMANLANDS LÄN</t>
        </is>
      </c>
      <c r="E127" t="inlineStr">
        <is>
          <t>SURAHAMMAR</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56378-2023</t>
        </is>
      </c>
      <c r="B128" s="1" t="n">
        <v>45236</v>
      </c>
      <c r="C128" s="1" t="n">
        <v>46190</v>
      </c>
      <c r="D128" t="inlineStr">
        <is>
          <t>VÄSTMANLANDS LÄN</t>
        </is>
      </c>
      <c r="E128" t="inlineStr">
        <is>
          <t>SURAHAMMAR</t>
        </is>
      </c>
      <c r="F128" t="inlineStr">
        <is>
          <t>Bergvik skog väst AB</t>
        </is>
      </c>
      <c r="G128" t="n">
        <v>4.6</v>
      </c>
      <c r="H128" t="n">
        <v>0</v>
      </c>
      <c r="I128" t="n">
        <v>0</v>
      </c>
      <c r="J128" t="n">
        <v>0</v>
      </c>
      <c r="K128" t="n">
        <v>0</v>
      </c>
      <c r="L128" t="n">
        <v>0</v>
      </c>
      <c r="M128" t="n">
        <v>0</v>
      </c>
      <c r="N128" t="n">
        <v>0</v>
      </c>
      <c r="O128" t="n">
        <v>0</v>
      </c>
      <c r="P128" t="n">
        <v>0</v>
      </c>
      <c r="Q128" t="n">
        <v>0</v>
      </c>
      <c r="R128" s="2" t="inlineStr"/>
    </row>
    <row r="129" ht="15" customHeight="1">
      <c r="A129" t="inlineStr">
        <is>
          <t>A 19099-2022</t>
        </is>
      </c>
      <c r="B129" s="1" t="n">
        <v>44691</v>
      </c>
      <c r="C129" s="1" t="n">
        <v>46190</v>
      </c>
      <c r="D129" t="inlineStr">
        <is>
          <t>VÄSTMANLANDS LÄN</t>
        </is>
      </c>
      <c r="E129" t="inlineStr">
        <is>
          <t>SURAHAMMAR</t>
        </is>
      </c>
      <c r="F129" t="inlineStr">
        <is>
          <t>Övriga Aktiebolag</t>
        </is>
      </c>
      <c r="G129" t="n">
        <v>3.4</v>
      </c>
      <c r="H129" t="n">
        <v>0</v>
      </c>
      <c r="I129" t="n">
        <v>0</v>
      </c>
      <c r="J129" t="n">
        <v>0</v>
      </c>
      <c r="K129" t="n">
        <v>0</v>
      </c>
      <c r="L129" t="n">
        <v>0</v>
      </c>
      <c r="M129" t="n">
        <v>0</v>
      </c>
      <c r="N129" t="n">
        <v>0</v>
      </c>
      <c r="O129" t="n">
        <v>0</v>
      </c>
      <c r="P129" t="n">
        <v>0</v>
      </c>
      <c r="Q129" t="n">
        <v>0</v>
      </c>
      <c r="R129" s="2" t="inlineStr"/>
    </row>
    <row r="130" ht="15" customHeight="1">
      <c r="A130" t="inlineStr">
        <is>
          <t>A 11501-2023</t>
        </is>
      </c>
      <c r="B130" s="1" t="n">
        <v>44991</v>
      </c>
      <c r="C130" s="1" t="n">
        <v>46190</v>
      </c>
      <c r="D130" t="inlineStr">
        <is>
          <t>VÄSTMANLANDS LÄN</t>
        </is>
      </c>
      <c r="E130" t="inlineStr">
        <is>
          <t>SURAHAMMAR</t>
        </is>
      </c>
      <c r="F130" t="inlineStr">
        <is>
          <t>Bergvik skog väst AB</t>
        </is>
      </c>
      <c r="G130" t="n">
        <v>1.1</v>
      </c>
      <c r="H130" t="n">
        <v>0</v>
      </c>
      <c r="I130" t="n">
        <v>0</v>
      </c>
      <c r="J130" t="n">
        <v>0</v>
      </c>
      <c r="K130" t="n">
        <v>0</v>
      </c>
      <c r="L130" t="n">
        <v>0</v>
      </c>
      <c r="M130" t="n">
        <v>0</v>
      </c>
      <c r="N130" t="n">
        <v>0</v>
      </c>
      <c r="O130" t="n">
        <v>0</v>
      </c>
      <c r="P130" t="n">
        <v>0</v>
      </c>
      <c r="Q130" t="n">
        <v>0</v>
      </c>
      <c r="R130" s="2" t="inlineStr"/>
    </row>
    <row r="131" ht="15" customHeight="1">
      <c r="A131" t="inlineStr">
        <is>
          <t>A 10249-2026</t>
        </is>
      </c>
      <c r="B131" s="1" t="n">
        <v>46076.55456018518</v>
      </c>
      <c r="C131" s="1" t="n">
        <v>46190</v>
      </c>
      <c r="D131" t="inlineStr">
        <is>
          <t>VÄSTMANLANDS LÄN</t>
        </is>
      </c>
      <c r="E131" t="inlineStr">
        <is>
          <t>SURAHAMMAR</t>
        </is>
      </c>
      <c r="F131" t="inlineStr">
        <is>
          <t>Allmännings- och besparingsskogar</t>
        </is>
      </c>
      <c r="G131" t="n">
        <v>4.8</v>
      </c>
      <c r="H131" t="n">
        <v>0</v>
      </c>
      <c r="I131" t="n">
        <v>0</v>
      </c>
      <c r="J131" t="n">
        <v>0</v>
      </c>
      <c r="K131" t="n">
        <v>0</v>
      </c>
      <c r="L131" t="n">
        <v>0</v>
      </c>
      <c r="M131" t="n">
        <v>0</v>
      </c>
      <c r="N131" t="n">
        <v>0</v>
      </c>
      <c r="O131" t="n">
        <v>0</v>
      </c>
      <c r="P131" t="n">
        <v>0</v>
      </c>
      <c r="Q131" t="n">
        <v>0</v>
      </c>
      <c r="R131" s="2" t="inlineStr"/>
    </row>
    <row r="132" ht="15" customHeight="1">
      <c r="A132" t="inlineStr">
        <is>
          <t>A 10244-2026</t>
        </is>
      </c>
      <c r="B132" s="1" t="n">
        <v>46076.55032407407</v>
      </c>
      <c r="C132" s="1" t="n">
        <v>46190</v>
      </c>
      <c r="D132" t="inlineStr">
        <is>
          <t>VÄSTMANLANDS LÄN</t>
        </is>
      </c>
      <c r="E132" t="inlineStr">
        <is>
          <t>SURAHAMMAR</t>
        </is>
      </c>
      <c r="F132" t="inlineStr">
        <is>
          <t>Allmännings- och besparingsskogar</t>
        </is>
      </c>
      <c r="G132" t="n">
        <v>8.699999999999999</v>
      </c>
      <c r="H132" t="n">
        <v>0</v>
      </c>
      <c r="I132" t="n">
        <v>0</v>
      </c>
      <c r="J132" t="n">
        <v>0</v>
      </c>
      <c r="K132" t="n">
        <v>0</v>
      </c>
      <c r="L132" t="n">
        <v>0</v>
      </c>
      <c r="M132" t="n">
        <v>0</v>
      </c>
      <c r="N132" t="n">
        <v>0</v>
      </c>
      <c r="O132" t="n">
        <v>0</v>
      </c>
      <c r="P132" t="n">
        <v>0</v>
      </c>
      <c r="Q132" t="n">
        <v>0</v>
      </c>
      <c r="R132" s="2" t="inlineStr"/>
    </row>
    <row r="133" ht="15" customHeight="1">
      <c r="A133" t="inlineStr">
        <is>
          <t>A 10562-2026</t>
        </is>
      </c>
      <c r="B133" s="1" t="n">
        <v>46077.64043981482</v>
      </c>
      <c r="C133" s="1" t="n">
        <v>46190</v>
      </c>
      <c r="D133" t="inlineStr">
        <is>
          <t>VÄSTMANLANDS LÄN</t>
        </is>
      </c>
      <c r="E133" t="inlineStr">
        <is>
          <t>SURAHAMMAR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3818-2022</t>
        </is>
      </c>
      <c r="B134" s="1" t="n">
        <v>44587</v>
      </c>
      <c r="C134" s="1" t="n">
        <v>46190</v>
      </c>
      <c r="D134" t="inlineStr">
        <is>
          <t>VÄSTMANLANDS LÄN</t>
        </is>
      </c>
      <c r="E134" t="inlineStr">
        <is>
          <t>SURAHAMMAR</t>
        </is>
      </c>
      <c r="G134" t="n">
        <v>2.6</v>
      </c>
      <c r="H134" t="n">
        <v>0</v>
      </c>
      <c r="I134" t="n">
        <v>0</v>
      </c>
      <c r="J134" t="n">
        <v>0</v>
      </c>
      <c r="K134" t="n">
        <v>0</v>
      </c>
      <c r="L134" t="n">
        <v>0</v>
      </c>
      <c r="M134" t="n">
        <v>0</v>
      </c>
      <c r="N134" t="n">
        <v>0</v>
      </c>
      <c r="O134" t="n">
        <v>0</v>
      </c>
      <c r="P134" t="n">
        <v>0</v>
      </c>
      <c r="Q134" t="n">
        <v>0</v>
      </c>
      <c r="R134" s="2" t="inlineStr"/>
    </row>
    <row r="135" ht="15" customHeight="1">
      <c r="A135" t="inlineStr">
        <is>
          <t>A 10347-2026</t>
        </is>
      </c>
      <c r="B135" s="1" t="n">
        <v>46076.69101851852</v>
      </c>
      <c r="C135" s="1" t="n">
        <v>46190</v>
      </c>
      <c r="D135" t="inlineStr">
        <is>
          <t>VÄSTMANLANDS LÄN</t>
        </is>
      </c>
      <c r="E135" t="inlineStr">
        <is>
          <t>SURAHAMMAR</t>
        </is>
      </c>
      <c r="F135" t="inlineStr">
        <is>
          <t>Allmännings- och besparingsskogar</t>
        </is>
      </c>
      <c r="G135" t="n">
        <v>3</v>
      </c>
      <c r="H135" t="n">
        <v>0</v>
      </c>
      <c r="I135" t="n">
        <v>0</v>
      </c>
      <c r="J135" t="n">
        <v>0</v>
      </c>
      <c r="K135" t="n">
        <v>0</v>
      </c>
      <c r="L135" t="n">
        <v>0</v>
      </c>
      <c r="M135" t="n">
        <v>0</v>
      </c>
      <c r="N135" t="n">
        <v>0</v>
      </c>
      <c r="O135" t="n">
        <v>0</v>
      </c>
      <c r="P135" t="n">
        <v>0</v>
      </c>
      <c r="Q135" t="n">
        <v>0</v>
      </c>
      <c r="R135" s="2" t="inlineStr"/>
    </row>
    <row r="136" ht="15" customHeight="1">
      <c r="A136" t="inlineStr">
        <is>
          <t>A 12841-2026</t>
        </is>
      </c>
      <c r="B136" s="1" t="n">
        <v>46091</v>
      </c>
      <c r="C136" s="1" t="n">
        <v>46190</v>
      </c>
      <c r="D136" t="inlineStr">
        <is>
          <t>VÄSTMANLANDS LÄN</t>
        </is>
      </c>
      <c r="E136" t="inlineStr">
        <is>
          <t>SURAHAMMAR</t>
        </is>
      </c>
      <c r="F136" t="inlineStr">
        <is>
          <t>Bergvik skog väst AB</t>
        </is>
      </c>
      <c r="G136" t="n">
        <v>4.3</v>
      </c>
      <c r="H136" t="n">
        <v>0</v>
      </c>
      <c r="I136" t="n">
        <v>0</v>
      </c>
      <c r="J136" t="n">
        <v>0</v>
      </c>
      <c r="K136" t="n">
        <v>0</v>
      </c>
      <c r="L136" t="n">
        <v>0</v>
      </c>
      <c r="M136" t="n">
        <v>0</v>
      </c>
      <c r="N136" t="n">
        <v>0</v>
      </c>
      <c r="O136" t="n">
        <v>0</v>
      </c>
      <c r="P136" t="n">
        <v>0</v>
      </c>
      <c r="Q136" t="n">
        <v>0</v>
      </c>
      <c r="R136" s="2" t="inlineStr"/>
    </row>
    <row r="137" ht="15" customHeight="1">
      <c r="A137" t="inlineStr">
        <is>
          <t>A 22628-2026</t>
        </is>
      </c>
      <c r="B137" s="1" t="n">
        <v>46155.6371875</v>
      </c>
      <c r="C137" s="1" t="n">
        <v>46190</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22626-2026</t>
        </is>
      </c>
      <c r="B138" s="1" t="n">
        <v>46155.63545138889</v>
      </c>
      <c r="C138" s="1" t="n">
        <v>46190</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22630-2026</t>
        </is>
      </c>
      <c r="B139" s="1" t="n">
        <v>46155.63839120371</v>
      </c>
      <c r="C139" s="1" t="n">
        <v>46190</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24201-2026</t>
        </is>
      </c>
      <c r="B140" s="1" t="n">
        <v>46168.61650462963</v>
      </c>
      <c r="C140" s="1" t="n">
        <v>46190</v>
      </c>
      <c r="D140" t="inlineStr">
        <is>
          <t>VÄSTMANLANDS LÄN</t>
        </is>
      </c>
      <c r="E140" t="inlineStr">
        <is>
          <t>SURAHAMMAR</t>
        </is>
      </c>
      <c r="G140" t="n">
        <v>2</v>
      </c>
      <c r="H140" t="n">
        <v>0</v>
      </c>
      <c r="I140" t="n">
        <v>0</v>
      </c>
      <c r="J140" t="n">
        <v>0</v>
      </c>
      <c r="K140" t="n">
        <v>0</v>
      </c>
      <c r="L140" t="n">
        <v>0</v>
      </c>
      <c r="M140" t="n">
        <v>0</v>
      </c>
      <c r="N140" t="n">
        <v>0</v>
      </c>
      <c r="O140" t="n">
        <v>0</v>
      </c>
      <c r="P140" t="n">
        <v>0</v>
      </c>
      <c r="Q140" t="n">
        <v>0</v>
      </c>
      <c r="R140" s="2" t="inlineStr"/>
    </row>
    <row r="141" ht="15" customHeight="1">
      <c r="A141" t="inlineStr">
        <is>
          <t>A 21509-2024</t>
        </is>
      </c>
      <c r="B141" s="1" t="n">
        <v>45441</v>
      </c>
      <c r="C141" s="1" t="n">
        <v>46190</v>
      </c>
      <c r="D141" t="inlineStr">
        <is>
          <t>VÄSTMANLANDS LÄN</t>
        </is>
      </c>
      <c r="E141" t="inlineStr">
        <is>
          <t>SURAHAMMAR</t>
        </is>
      </c>
      <c r="F141" t="inlineStr">
        <is>
          <t>Bergvik skog väst AB</t>
        </is>
      </c>
      <c r="G141" t="n">
        <v>3.9</v>
      </c>
      <c r="H141" t="n">
        <v>0</v>
      </c>
      <c r="I141" t="n">
        <v>0</v>
      </c>
      <c r="J141" t="n">
        <v>0</v>
      </c>
      <c r="K141" t="n">
        <v>0</v>
      </c>
      <c r="L141" t="n">
        <v>0</v>
      </c>
      <c r="M141" t="n">
        <v>0</v>
      </c>
      <c r="N141" t="n">
        <v>0</v>
      </c>
      <c r="O141" t="n">
        <v>0</v>
      </c>
      <c r="P141" t="n">
        <v>0</v>
      </c>
      <c r="Q141" t="n">
        <v>0</v>
      </c>
      <c r="R141" s="2" t="inlineStr"/>
    </row>
    <row r="142" ht="15" customHeight="1">
      <c r="A142" t="inlineStr">
        <is>
          <t>A 22662-2023</t>
        </is>
      </c>
      <c r="B142" s="1" t="n">
        <v>45071</v>
      </c>
      <c r="C142" s="1" t="n">
        <v>46190</v>
      </c>
      <c r="D142" t="inlineStr">
        <is>
          <t>VÄSTMANLANDS LÄN</t>
        </is>
      </c>
      <c r="E142" t="inlineStr">
        <is>
          <t>SURAHAMMAR</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16013-2023</t>
        </is>
      </c>
      <c r="B143" s="1" t="n">
        <v>45026</v>
      </c>
      <c r="C143" s="1" t="n">
        <v>46190</v>
      </c>
      <c r="D143" t="inlineStr">
        <is>
          <t>VÄSTMANLANDS LÄN</t>
        </is>
      </c>
      <c r="E143" t="inlineStr">
        <is>
          <t>SURAHAMMAR</t>
        </is>
      </c>
      <c r="G143" t="n">
        <v>3.9</v>
      </c>
      <c r="H143" t="n">
        <v>0</v>
      </c>
      <c r="I143" t="n">
        <v>0</v>
      </c>
      <c r="J143" t="n">
        <v>0</v>
      </c>
      <c r="K143" t="n">
        <v>0</v>
      </c>
      <c r="L143" t="n">
        <v>0</v>
      </c>
      <c r="M143" t="n">
        <v>0</v>
      </c>
      <c r="N143" t="n">
        <v>0</v>
      </c>
      <c r="O143" t="n">
        <v>0</v>
      </c>
      <c r="P143" t="n">
        <v>0</v>
      </c>
      <c r="Q143" t="n">
        <v>0</v>
      </c>
      <c r="R143" s="2" t="inlineStr"/>
    </row>
    <row r="144" ht="15" customHeight="1">
      <c r="A144" t="inlineStr">
        <is>
          <t>A 19246-2026</t>
        </is>
      </c>
      <c r="B144" s="1" t="n">
        <v>46132.66501157408</v>
      </c>
      <c r="C144" s="1" t="n">
        <v>46190</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32808-2024</t>
        </is>
      </c>
      <c r="B145" s="1" t="n">
        <v>45516</v>
      </c>
      <c r="C145" s="1" t="n">
        <v>46190</v>
      </c>
      <c r="D145" t="inlineStr">
        <is>
          <t>VÄSTMANLANDS LÄN</t>
        </is>
      </c>
      <c r="E145" t="inlineStr">
        <is>
          <t>SURAHAMMAR</t>
        </is>
      </c>
      <c r="F145" t="inlineStr">
        <is>
          <t>Övriga Aktiebolag</t>
        </is>
      </c>
      <c r="G145" t="n">
        <v>1.9</v>
      </c>
      <c r="H145" t="n">
        <v>0</v>
      </c>
      <c r="I145" t="n">
        <v>0</v>
      </c>
      <c r="J145" t="n">
        <v>0</v>
      </c>
      <c r="K145" t="n">
        <v>0</v>
      </c>
      <c r="L145" t="n">
        <v>0</v>
      </c>
      <c r="M145" t="n">
        <v>0</v>
      </c>
      <c r="N145" t="n">
        <v>0</v>
      </c>
      <c r="O145" t="n">
        <v>0</v>
      </c>
      <c r="P145" t="n">
        <v>0</v>
      </c>
      <c r="Q145" t="n">
        <v>0</v>
      </c>
      <c r="R145" s="2" t="inlineStr"/>
    </row>
    <row r="146" ht="15" customHeight="1">
      <c r="A146" t="inlineStr">
        <is>
          <t>A 49058-2024</t>
        </is>
      </c>
      <c r="B146" s="1" t="n">
        <v>45594</v>
      </c>
      <c r="C146" s="1" t="n">
        <v>46190</v>
      </c>
      <c r="D146" t="inlineStr">
        <is>
          <t>VÄSTMANLANDS LÄN</t>
        </is>
      </c>
      <c r="E146" t="inlineStr">
        <is>
          <t>SURAHAMMAR</t>
        </is>
      </c>
      <c r="F146" t="inlineStr">
        <is>
          <t>Sveaskog</t>
        </is>
      </c>
      <c r="G146" t="n">
        <v>11.4</v>
      </c>
      <c r="H146" t="n">
        <v>0</v>
      </c>
      <c r="I146" t="n">
        <v>0</v>
      </c>
      <c r="J146" t="n">
        <v>0</v>
      </c>
      <c r="K146" t="n">
        <v>0</v>
      </c>
      <c r="L146" t="n">
        <v>0</v>
      </c>
      <c r="M146" t="n">
        <v>0</v>
      </c>
      <c r="N146" t="n">
        <v>0</v>
      </c>
      <c r="O146" t="n">
        <v>0</v>
      </c>
      <c r="P146" t="n">
        <v>0</v>
      </c>
      <c r="Q146" t="n">
        <v>0</v>
      </c>
      <c r="R146" s="2" t="inlineStr"/>
    </row>
    <row r="147">
      <c r="A147" t="inlineStr">
        <is>
          <t>A 20535-2026</t>
        </is>
      </c>
      <c r="B147" s="1" t="n">
        <v>46140</v>
      </c>
      <c r="C147" s="1" t="n">
        <v>46190</v>
      </c>
      <c r="D147" t="inlineStr">
        <is>
          <t>VÄSTMANLANDS LÄN</t>
        </is>
      </c>
      <c r="E147" t="inlineStr">
        <is>
          <t>SURAHAMMAR</t>
        </is>
      </c>
      <c r="F147" t="inlineStr">
        <is>
          <t>Bergvik skog väst AB</t>
        </is>
      </c>
      <c r="G147" t="n">
        <v>2.7</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2026-06-17T09:18:24Z</dcterms:created>
  <dcterms:modified xmlns:dcterms="http://purl.org/dc/terms/" xmlns:xsi="http://www.w3.org/2001/XMLSchema-instance" xsi:type="dcterms:W3CDTF">2026-06-17T09:18:25Z</dcterms:modified>
</cp:coreProperties>
</file>